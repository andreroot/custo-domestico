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pivotCache/_rels/pivotCacheDefinition2.xml.rels" ContentType="application/vnd.openxmlformats-package.relationships+xml"/>
  <Override PartName="/xl/pivotCache/_rels/pivotCacheDefinition1.xml.rels" ContentType="application/vnd.openxmlformats-package.relationships+xml"/>
  <Override PartName="/xl/pivotCache/pivotCacheRecords2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tyles.xml" ContentType="application/vnd.openxmlformats-officedocument.spreadsheetml.styles+xml"/>
  <Override PartName="/xl/worksheets/sheet10.xml" ContentType="application/vnd.openxmlformats-officedocument.spreadsheetml.worksheet+xml"/>
  <Override PartName="/xl/worksheets/sheet9.xml" ContentType="application/vnd.openxmlformats-officedocument.spreadsheetml.worksheet+xml"/>
  <Override PartName="/xl/worksheets/sheet8.xml" ContentType="application/vnd.openxmlformats-officedocument.spreadsheetml.worksheet+xml"/>
  <Override PartName="/xl/worksheets/_rels/sheet13.xml.rels" ContentType="application/vnd.openxmlformats-package.relationships+xml"/>
  <Override PartName="/xl/worksheets/_rels/sheet10.xml.rels" ContentType="application/vnd.openxmlformats-package.relationships+xml"/>
  <Override PartName="/xl/worksheets/_rels/sheet8.xml.rels" ContentType="application/vnd.openxmlformats-package.relationships+xml"/>
  <Override PartName="/xl/worksheets/_rels/sheet4.xml.rels" ContentType="application/vnd.openxmlformats-package.relationships+xml"/>
  <Override PartName="/xl/worksheets/_rels/sheet6.xml.rels" ContentType="application/vnd.openxmlformats-package.relationships+xml"/>
  <Override PartName="/xl/worksheets/sheet7.xml" ContentType="application/vnd.openxmlformats-officedocument.spreadsheetml.worksheet+xml"/>
  <Override PartName="/xl/worksheets/sheet12.xml" ContentType="application/vnd.openxmlformats-officedocument.spreadsheetml.worksheet+xml"/>
  <Override PartName="/xl/worksheets/sheet2.xml" ContentType="application/vnd.openxmlformats-officedocument.spreadsheetml.worksheet+xml"/>
  <Override PartName="/xl/worksheets/sheet11.xml" ContentType="application/vnd.openxmlformats-officedocument.spreadsheetml.worksheet+xml"/>
  <Override PartName="/xl/worksheets/sheet1.xml" ContentType="application/vnd.openxmlformats-officedocument.spreadsheetml.worksheet+xml"/>
  <Override PartName="/xl/worksheets/sheet13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sharedStrings.xml" ContentType="application/vnd.openxmlformats-officedocument.spreadsheetml.sharedStrings+xml"/>
  <Override PartName="/xl/drawings/drawing3.xml" ContentType="application/vnd.openxmlformats-officedocument.drawing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workbook.xml" ContentType="application/vnd.ms-excel.sheet.macroEnabled.main+xml"/>
  <Override PartName="/xl/pivotTables/_rels/pivotTable2.xml.rels" ContentType="application/vnd.openxmlformats-package.relationships+xml"/>
  <Override PartName="/xl/pivotTables/_rels/pivotTable1.xml.rels" ContentType="application/vnd.openxmlformats-package.relationship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3"/>
  </bookViews>
  <sheets>
    <sheet name="entrada" sheetId="1" state="visible" r:id="rId2"/>
    <sheet name="desconto_folha" sheetId="2" state="visible" r:id="rId3"/>
    <sheet name="utilizacao" sheetId="3" state="visible" r:id="rId4"/>
    <sheet name="debito" sheetId="4" state="visible" r:id="rId5"/>
    <sheet name="total_mes" sheetId="5" state="visible" r:id="rId6"/>
    <sheet name="det_total_dia" sheetId="6" state="visible" r:id="rId7"/>
    <sheet name="pend_debito" sheetId="7" state="visible" r:id="rId8"/>
    <sheet name="credito" sheetId="8" state="visible" r:id="rId9"/>
    <sheet name="pend_crd" sheetId="9" state="visible" r:id="rId10"/>
    <sheet name="Pivot Table_credito_1" sheetId="10" state="visible" r:id="rId11"/>
    <sheet name="planilha" sheetId="11" state="visible" r:id="rId12"/>
    <sheet name="poupança" sheetId="12" state="visible" r:id="rId13"/>
    <sheet name="de-para" sheetId="13" state="visible" r:id="rId14"/>
  </sheets>
  <definedNames>
    <definedName function="false" hidden="true" localSheetId="7" name="_xlnm._FilterDatabase" vbProcedure="false">credito!$A$1:$D$252</definedName>
    <definedName function="false" hidden="true" localSheetId="12" name="_xlnm._FilterDatabase" vbProcedure="false">'de-para'!$A$1:$B$1606</definedName>
    <definedName function="false" hidden="true" localSheetId="3" name="_xlnm._FilterDatabase" vbProcedure="false">debito!$A$1:$H$1169</definedName>
    <definedName function="false" hidden="false" localSheetId="3" name="_xlnm._FilterDatabase" vbProcedure="false">debito!$A$1:$H$590</definedName>
    <definedName function="false" hidden="false" localSheetId="3" name="_xlnm._FilterDatabase_0_0" vbProcedure="false">debito!$A$1:$H$458</definedName>
    <definedName function="false" hidden="false" localSheetId="3" name="_xlnm._FilterDatabase_0_0_0" vbProcedure="false">debito!$A$1:$H$1115</definedName>
    <definedName function="false" hidden="false" localSheetId="3" name="_xlnm._FilterDatabase_0_0_0_0" vbProcedure="false">debito!$A$1:$H$1092</definedName>
    <definedName function="false" hidden="false" localSheetId="3" name="_xlnm._FilterDatabase_0_0_0_0_0" vbProcedure="false">debito!$A$1:$H$1022</definedName>
    <definedName function="false" hidden="false" localSheetId="3" name="_xlnm._FilterDatabase_0_0_0_0_0_0" vbProcedure="false">debito!$A$1:$H$955</definedName>
    <definedName function="false" hidden="false" localSheetId="3" name="_xlnm._FilterDatabase_0_0_0_0_0_0_0" vbProcedure="false">debito!$A$1:$H$810</definedName>
    <definedName function="false" hidden="false" localSheetId="3" name="_xlnm._FilterDatabase_0_0_0_0_0_0_0_0" vbProcedure="false">debito!$A$1:$H$861</definedName>
    <definedName function="false" hidden="false" localSheetId="3" name="_xlnm._FilterDatabase_0_0_0_0_0_0_0_0_0" vbProcedure="false">debito!$A$1:$H$763</definedName>
    <definedName function="false" hidden="false" localSheetId="3" name="_xlnm._FilterDatabase_0_0_0_0_0_0_0_0_0_0" vbProcedure="false">debito!$A$1:$H$740</definedName>
    <definedName function="false" hidden="false" localSheetId="3" name="_xlnm._FilterDatabase_0_0_0_0_0_0_0_0_0_0_0" vbProcedure="false">debito!$A$1:$H$642</definedName>
    <definedName function="false" hidden="false" localSheetId="3" name="_xlnm._FilterDatabase_0_0_0_0_0_0_0_0_0_0_0_0" vbProcedure="false">debito!$A$1:$H$725</definedName>
    <definedName function="false" hidden="false" localSheetId="3" name="_xlnm._FilterDatabase_0_0_0_0_0_0_0_0_0_0_0_0_0" vbProcedure="false">debito!$A$1:$H$717</definedName>
    <definedName function="false" hidden="false" localSheetId="3" name="_xlnm._FilterDatabase_0_0_0_0_0_0_0_0_0_0_0_0_0_0" vbProcedure="false">debito!$A$1:$H$641</definedName>
    <definedName function="false" hidden="false" localSheetId="3" name="_xlnm._FilterDatabase_0_0_0_0_0_0_0_0_0_0_0_0_0_0_0" vbProcedure="false">debito!$A$1:$H$160</definedName>
    <definedName function="false" hidden="false" localSheetId="3" name="_xlnm._FilterDatabase_0_0_0_0_0_0_0_0_0_0_0_0_0_0_0_0" vbProcedure="false">debito!$A$1:$H$589</definedName>
    <definedName function="false" hidden="false" localSheetId="3" name="_xlnm._FilterDatabase_0_0_0_0_0_0_0_0_0_0_0_0_0_0_0_0_0" vbProcedure="false">debito!$A$1:$H$160</definedName>
    <definedName function="false" hidden="false" localSheetId="7" name="_FilterDatabase_0" vbProcedure="false">credito!$A$1:$H$1</definedName>
    <definedName function="false" hidden="false" localSheetId="7" name="_FilterDatabase_0_0" vbProcedure="false">credito!$A$1:$H$1</definedName>
    <definedName function="false" hidden="false" localSheetId="7" name="_xlnm._FilterDatabase" vbProcedure="false">credito!$A$1:$F$384</definedName>
    <definedName function="false" hidden="false" localSheetId="7" name="_xlnm._FilterDatabase_0_0" vbProcedure="false">credito!$B$1:$E$81</definedName>
    <definedName function="false" hidden="false" localSheetId="7" name="_xlnm._FilterDatabase_0_0_0" vbProcedure="false">credito!$A$1:$D$278</definedName>
    <definedName function="false" hidden="false" localSheetId="7" name="_xlnm._FilterDatabase_0_0_0_0" vbProcedure="false">credito!$A$1:$G$278</definedName>
    <definedName function="false" hidden="false" localSheetId="7" name="_xlnm._FilterDatabase_0_0_0_0_0" vbProcedure="false">credito!$A$1:$G$252</definedName>
    <definedName function="false" hidden="false" localSheetId="7" name="_xlnm._FilterDatabase_0_0_0_0_0_0" vbProcedure="false">credito!$A$1:$G$222</definedName>
    <definedName function="false" hidden="false" localSheetId="7" name="_xlnm._FilterDatabase_0_0_0_0_0_0_0" vbProcedure="false">credito!$A$1:$D$113</definedName>
    <definedName function="false" hidden="false" localSheetId="7" name="_xlnm._FilterDatabase_0_0_0_0_0_0_0_0" vbProcedure="false">credito!$A$1:$G$206</definedName>
    <definedName function="false" hidden="false" localSheetId="7" name="_xlnm._FilterDatabase_0_0_0_0_0_0_0_0_0" vbProcedure="false">credito!$A$1:$G$194</definedName>
    <definedName function="false" hidden="false" localSheetId="7" name="_xlnm._FilterDatabase_0_0_0_0_0_0_0_0_0_0" vbProcedure="false">credito!$A$1:$G$45</definedName>
    <definedName function="false" hidden="false" localSheetId="12" name="_xlnm._FilterDatabase" vbProcedure="false">'de-para'!$D$1:$E$163</definedName>
    <definedName function="false" hidden="false" localSheetId="12" name="_xlnm._FilterDatabase_0_0" vbProcedure="false">'de-para'!$A$1:$C$1606</definedName>
    <definedName function="false" hidden="false" localSheetId="12" name="_xlnm._FilterDatabase_0_0_0" vbProcedure="false">'de-para'!$A$1:$B$745</definedName>
    <definedName function="false" hidden="false" localSheetId="12" name="_xlnm._FilterDatabase_0_0_0_0" vbProcedure="false">'de-para'!$A$1:$B$1222</definedName>
    <definedName function="false" hidden="false" localSheetId="12" name="_xlnm._FilterDatabase_0_0_0_0_0" vbProcedure="false">'de-para'!$A$1:$B$888</definedName>
  </definedNames>
  <calcPr iterateCount="100" refMode="A1" iterate="false" iterateDelta="0.0001"/>
  <pivotCaches>
    <pivotCache cacheId="1" r:id="rId16"/>
    <pivotCache cacheId="2" r:id="rId17"/>
  </pivotCaches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<sst xmlns="http://schemas.openxmlformats.org/spreadsheetml/2006/main" count="7595" uniqueCount="1240">
  <si>
    <t xml:space="preserve">salariobase</t>
  </si>
  <si>
    <t xml:space="preserve">Recebido_15</t>
  </si>
  <si>
    <t xml:space="preserve">Recebido_30</t>
  </si>
  <si>
    <t xml:space="preserve">diff_salario_recebido</t>
  </si>
  <si>
    <t xml:space="preserve">messalario</t>
  </si>
  <si>
    <t xml:space="preserve">entrada</t>
  </si>
  <si>
    <t xml:space="preserve">desconto</t>
  </si>
  <si>
    <t xml:space="preserve">valor</t>
  </si>
  <si>
    <t xml:space="preserve">mês </t>
  </si>
  <si>
    <t xml:space="preserve">seguro de vida</t>
  </si>
  <si>
    <t xml:space="preserve">contrib sindical</t>
  </si>
  <si>
    <t xml:space="preserve">compra associa</t>
  </si>
  <si>
    <t xml:space="preserve">assist. Odonto ami</t>
  </si>
  <si>
    <t xml:space="preserve">assist. Odonto dep</t>
  </si>
  <si>
    <t xml:space="preserve">assist medica fix</t>
  </si>
  <si>
    <t xml:space="preserve">assist medica dep</t>
  </si>
  <si>
    <t xml:space="preserve">util. Medica assoc</t>
  </si>
  <si>
    <t xml:space="preserve">util. Medica depend</t>
  </si>
  <si>
    <t xml:space="preserve">vr associado</t>
  </si>
  <si>
    <t xml:space="preserve">inss</t>
  </si>
  <si>
    <t xml:space="preserve">irrf</t>
  </si>
  <si>
    <t xml:space="preserve">contribuicao assistencia</t>
  </si>
  <si>
    <t xml:space="preserve">saldo devedor</t>
  </si>
  <si>
    <t xml:space="preserve">vr alimentacao</t>
  </si>
  <si>
    <t xml:space="preserve">mês</t>
  </si>
  <si>
    <t xml:space="preserve">data_entrada</t>
  </si>
  <si>
    <t xml:space="preserve">forma</t>
  </si>
  <si>
    <t xml:space="preserve">previsão</t>
  </si>
  <si>
    <t xml:space="preserve">recebido</t>
  </si>
  <si>
    <t xml:space="preserve">Salario_1</t>
  </si>
  <si>
    <t xml:space="preserve">Salario_2</t>
  </si>
  <si>
    <t xml:space="preserve">saldo</t>
  </si>
  <si>
    <t xml:space="preserve">pupança</t>
  </si>
  <si>
    <t xml:space="preserve">felipe</t>
  </si>
  <si>
    <t xml:space="preserve">aux creche</t>
  </si>
  <si>
    <t xml:space="preserve">TED 237.0001BRADESCO SAU</t>
  </si>
  <si>
    <t xml:space="preserve">PIX TRANSF  EDUARDO06/02</t>
  </si>
  <si>
    <t xml:space="preserve">PIX QRS CLAUDIO DOU13/02</t>
  </si>
  <si>
    <t xml:space="preserve">TBI 9293.22915-0/500</t>
  </si>
  <si>
    <t xml:space="preserve">michelle</t>
  </si>
  <si>
    <t xml:space="preserve">EST ELECMARIA DAS G</t>
  </si>
  <si>
    <t xml:space="preserve">poupança</t>
  </si>
  <si>
    <t xml:space="preserve">PIX TRANSF  Michele04/06</t>
  </si>
  <si>
    <t xml:space="preserve">descrição</t>
  </si>
  <si>
    <t xml:space="preserve">data</t>
  </si>
  <si>
    <t xml:space="preserve">lançamento</t>
  </si>
  <si>
    <t xml:space="preserve">ag./origem</t>
  </si>
  <si>
    <t xml:space="preserve">valor (R$)</t>
  </si>
  <si>
    <t xml:space="preserve">valor_convertido_saida (R$)</t>
  </si>
  <si>
    <t xml:space="preserve">valor_convertido_entrada (R$)</t>
  </si>
  <si>
    <t xml:space="preserve">REF</t>
  </si>
  <si>
    <t xml:space="preserve">31/12/2020</t>
  </si>
  <si>
    <t xml:space="preserve">SALDO ANTERIOR</t>
  </si>
  <si>
    <t xml:space="preserve">padaria</t>
  </si>
  <si>
    <t xml:space="preserve">04/01/2021</t>
  </si>
  <si>
    <t xml:space="preserve">ELECTRONARIZONA PAE</t>
  </si>
  <si>
    <t xml:space="preserve">9212</t>
  </si>
  <si>
    <t xml:space="preserve">farmacia</t>
  </si>
  <si>
    <t xml:space="preserve">ELECTRONDROGARIA PR</t>
  </si>
  <si>
    <t xml:space="preserve">compras</t>
  </si>
  <si>
    <t xml:space="preserve">ELECTRONM A KOCH LA</t>
  </si>
  <si>
    <t xml:space="preserve">ELECTRONPANIFICADOR</t>
  </si>
  <si>
    <t xml:space="preserve">alimentação</t>
  </si>
  <si>
    <t xml:space="preserve">ELECTRONRAGAZZO</t>
  </si>
  <si>
    <t xml:space="preserve">mercado</t>
  </si>
  <si>
    <t xml:space="preserve">ELECTRONTRIMAIS SUP</t>
  </si>
  <si>
    <t xml:space="preserve">banco</t>
  </si>
  <si>
    <t xml:space="preserve">IOF</t>
  </si>
  <si>
    <t xml:space="preserve">SALDO DO DIA</t>
  </si>
  <si>
    <t xml:space="preserve">creche</t>
  </si>
  <si>
    <t xml:space="preserve">05/01/2021</t>
  </si>
  <si>
    <t xml:space="preserve">INT  PAG TIT BANCO 077</t>
  </si>
  <si>
    <t xml:space="preserve">4175</t>
  </si>
  <si>
    <t xml:space="preserve">juros</t>
  </si>
  <si>
    <t xml:space="preserve">LIS/JUROS     11 DIAS</t>
  </si>
  <si>
    <t xml:space="preserve">TAR PACOTE ITAU   DEZ/20</t>
  </si>
  <si>
    <t xml:space="preserve">9293</t>
  </si>
  <si>
    <t xml:space="preserve">agua</t>
  </si>
  <si>
    <t xml:space="preserve">06/01/2021</t>
  </si>
  <si>
    <t xml:space="preserve">ELECTRONBD</t>
  </si>
  <si>
    <t xml:space="preserve">celular</t>
  </si>
  <si>
    <t xml:space="preserve">07/01/2021</t>
  </si>
  <si>
    <t xml:space="preserve">INT NEXTEL 9899999691047</t>
  </si>
  <si>
    <t xml:space="preserve">INT NEXTEL 9899999691090</t>
  </si>
  <si>
    <t xml:space="preserve">ELECTRONMARIA ELENA</t>
  </si>
  <si>
    <t xml:space="preserve">salario</t>
  </si>
  <si>
    <t xml:space="preserve">TED 237.2846ANDRE N BARB</t>
  </si>
  <si>
    <t xml:space="preserve">condominio</t>
  </si>
  <si>
    <t xml:space="preserve">11/01/2021</t>
  </si>
  <si>
    <t xml:space="preserve">INT PAG TIT 109038470523</t>
  </si>
  <si>
    <t xml:space="preserve">SAQUE 24H 18100537</t>
  </si>
  <si>
    <t xml:space="preserve">5086</t>
  </si>
  <si>
    <t xml:space="preserve">poupatempo rg</t>
  </si>
  <si>
    <t xml:space="preserve">INT SEFAZ-SP/DARE 210590</t>
  </si>
  <si>
    <t xml:space="preserve">ELECTRONDONAJU</t>
  </si>
  <si>
    <t xml:space="preserve">ELECTRONDU MORBAII</t>
  </si>
  <si>
    <t xml:space="preserve">ELECTRONEVANDRO G N</t>
  </si>
  <si>
    <t xml:space="preserve">ELECTRONFURACAO DA</t>
  </si>
  <si>
    <t xml:space="preserve">feira</t>
  </si>
  <si>
    <t xml:space="preserve">ELECTRONPAG*galasso</t>
  </si>
  <si>
    <t xml:space="preserve">ELECTRONPAG*Rosange</t>
  </si>
  <si>
    <t xml:space="preserve">ELECTRONPAG*SidneyD</t>
  </si>
  <si>
    <t xml:space="preserve">ELECTRONPAG*Verdura</t>
  </si>
  <si>
    <t xml:space="preserve">frango</t>
  </si>
  <si>
    <t xml:space="preserve">ELECTRONREINALDO DE</t>
  </si>
  <si>
    <t xml:space="preserve">ELECTRONSILVIO NAKA</t>
  </si>
  <si>
    <t xml:space="preserve">ELECTRONSONDA JACAN</t>
  </si>
  <si>
    <t xml:space="preserve">SEGURO CARTAO</t>
  </si>
  <si>
    <t xml:space="preserve">doação</t>
  </si>
  <si>
    <t xml:space="preserve">DEB AUTOR UNICEF</t>
  </si>
  <si>
    <t xml:space="preserve">13/01/2021</t>
  </si>
  <si>
    <t xml:space="preserve">ELECTRONDROGARIA MA</t>
  </si>
  <si>
    <t xml:space="preserve">ELECTRONMINI MERCAD</t>
  </si>
  <si>
    <t xml:space="preserve">ELECTRONPAG*Josisma</t>
  </si>
  <si>
    <t xml:space="preserve">multa</t>
  </si>
  <si>
    <t xml:space="preserve">14/01/2021</t>
  </si>
  <si>
    <t xml:space="preserve">INT IPVA-SP HOH-6396</t>
  </si>
  <si>
    <t xml:space="preserve">INT MULTA SP 31997756838</t>
  </si>
  <si>
    <t xml:space="preserve">15/01/2021</t>
  </si>
  <si>
    <t xml:space="preserve">ELECTRONDROGARIA SA</t>
  </si>
  <si>
    <t xml:space="preserve">SDO CTA/APL AUTOMATICAS</t>
  </si>
  <si>
    <t xml:space="preserve">saque</t>
  </si>
  <si>
    <t xml:space="preserve">18/01/2021</t>
  </si>
  <si>
    <t xml:space="preserve">SAQUE 24H 11770278 17/01</t>
  </si>
  <si>
    <t xml:space="preserve">estacionamento</t>
  </si>
  <si>
    <t xml:space="preserve">ELECTRONESTAPAR SHO</t>
  </si>
  <si>
    <t xml:space="preserve">ELECTRONFENIX</t>
  </si>
  <si>
    <t xml:space="preserve">ELECTRONLOJAS AMERI</t>
  </si>
  <si>
    <t xml:space="preserve">ELECTRONLOUCADEMIA</t>
  </si>
  <si>
    <t xml:space="preserve">ELECTRONMARELLAS CA</t>
  </si>
  <si>
    <t xml:space="preserve">ELECTRONPAG*Frigott</t>
  </si>
  <si>
    <t xml:space="preserve">ELECTRONSHOPPING CE</t>
  </si>
  <si>
    <t xml:space="preserve">ELECTRONSONEDA PERF</t>
  </si>
  <si>
    <t xml:space="preserve">ELECTRONYINGXUE MA</t>
  </si>
  <si>
    <t xml:space="preserve">cartão de credito</t>
  </si>
  <si>
    <t xml:space="preserve">INT ITAUCARD</t>
  </si>
  <si>
    <t xml:space="preserve">resgate</t>
  </si>
  <si>
    <t xml:space="preserve">19/01/2021</t>
  </si>
  <si>
    <t xml:space="preserve">20/01/2021</t>
  </si>
  <si>
    <t xml:space="preserve">22/01/2021</t>
  </si>
  <si>
    <t xml:space="preserve">ELECTRONPERFUMARIA</t>
  </si>
  <si>
    <t xml:space="preserve">26/01/2021</t>
  </si>
  <si>
    <t xml:space="preserve">SAQUE 24H 10758613 24/01</t>
  </si>
  <si>
    <t xml:space="preserve">ELECTRONA POSTO JD</t>
  </si>
  <si>
    <t xml:space="preserve">ELECTRONDROG SAO PA</t>
  </si>
  <si>
    <t xml:space="preserve">ELECTRONFARMACIAS P</t>
  </si>
  <si>
    <t xml:space="preserve">ELECTRONINDIGO</t>
  </si>
  <si>
    <t xml:space="preserve">ELECTRONLILIANE AYU</t>
  </si>
  <si>
    <t xml:space="preserve">lazer</t>
  </si>
  <si>
    <t xml:space="preserve">ELECTRONMARGINAL GR</t>
  </si>
  <si>
    <t xml:space="preserve">ELECTRONRAVIOLITALI</t>
  </si>
  <si>
    <t xml:space="preserve">cabeleireiro</t>
  </si>
  <si>
    <t xml:space="preserve">PIX TRANSF  ALEXAND23/01</t>
  </si>
  <si>
    <t xml:space="preserve">9026</t>
  </si>
  <si>
    <t xml:space="preserve">deposito</t>
  </si>
  <si>
    <t xml:space="preserve">TBI 0747.56106-6     C/C</t>
  </si>
  <si>
    <t xml:space="preserve">27/01/2021</t>
  </si>
  <si>
    <t xml:space="preserve">ELECTRONFARMACIA IN</t>
  </si>
  <si>
    <t xml:space="preserve">ELECTRONPAG*Farmaco</t>
  </si>
  <si>
    <t xml:space="preserve">gasolina</t>
  </si>
  <si>
    <t xml:space="preserve">28/01/2021</t>
  </si>
  <si>
    <t xml:space="preserve">ELECTRONAUTO POSTO</t>
  </si>
  <si>
    <t xml:space="preserve">ELECTRONPROMOFARMA</t>
  </si>
  <si>
    <t xml:space="preserve">ELECTRONRAIA 47</t>
  </si>
  <si>
    <t xml:space="preserve">ELECTRONRIO CONTENS</t>
  </si>
  <si>
    <t xml:space="preserve">29/01/2021</t>
  </si>
  <si>
    <t xml:space="preserve">ELECTRONPAG*MONICAP</t>
  </si>
  <si>
    <t xml:space="preserve">01/02/2021</t>
  </si>
  <si>
    <t xml:space="preserve">SAQUE 24H 12244067 31/01</t>
  </si>
  <si>
    <t xml:space="preserve">ELECTRONAV ZACHI NA</t>
  </si>
  <si>
    <t xml:space="preserve">ELECTRONFERNANDA GO</t>
  </si>
  <si>
    <t xml:space="preserve">PIX TRANSF  ANDRE N31/01</t>
  </si>
  <si>
    <t xml:space="preserve">9028</t>
  </si>
  <si>
    <t xml:space="preserve">9129</t>
  </si>
  <si>
    <t xml:space="preserve">02/02/2021</t>
  </si>
  <si>
    <t xml:space="preserve">benção</t>
  </si>
  <si>
    <t xml:space="preserve">PIX TRANSF  Ana Mar02/02</t>
  </si>
  <si>
    <t xml:space="preserve">9132</t>
  </si>
  <si>
    <t xml:space="preserve">reembolso</t>
  </si>
  <si>
    <t xml:space="preserve">TAR PACOTE ITAU   JAN/21</t>
  </si>
  <si>
    <t xml:space="preserve">03/02/2021</t>
  </si>
  <si>
    <t xml:space="preserve">04/02/2021</t>
  </si>
  <si>
    <t xml:space="preserve">ELECTRONFARMAVAN XI</t>
  </si>
  <si>
    <t xml:space="preserve">seminario</t>
  </si>
  <si>
    <t xml:space="preserve">INT TED  467957</t>
  </si>
  <si>
    <t xml:space="preserve">05/02/2021</t>
  </si>
  <si>
    <t xml:space="preserve">ELECTRONSALAO FERNA</t>
  </si>
  <si>
    <t xml:space="preserve">LIS/JUROS     24 DIAS</t>
  </si>
  <si>
    <t xml:space="preserve">08/02/2021</t>
  </si>
  <si>
    <t xml:space="preserve">INT PAG TIT 109046299963</t>
  </si>
  <si>
    <t xml:space="preserve">INT NEXTEL 9099999687157</t>
  </si>
  <si>
    <t xml:space="preserve">ELECTRONBREADS VALL</t>
  </si>
  <si>
    <t xml:space="preserve">ELECTRONCENTER CHIC</t>
  </si>
  <si>
    <t xml:space="preserve">ELECTRONCONFECCOES</t>
  </si>
  <si>
    <t xml:space="preserve">rembolso</t>
  </si>
  <si>
    <t xml:space="preserve">tapete</t>
  </si>
  <si>
    <t xml:space="preserve">9327</t>
  </si>
  <si>
    <t xml:space="preserve">09/02/2021</t>
  </si>
  <si>
    <t xml:space="preserve">INT NEXTEL 9499999687161</t>
  </si>
  <si>
    <t xml:space="preserve">10/02/2021</t>
  </si>
  <si>
    <t xml:space="preserve">enfermagem</t>
  </si>
  <si>
    <t xml:space="preserve">11/02/2021</t>
  </si>
  <si>
    <t xml:space="preserve">INT PAG TIT 109006113573</t>
  </si>
  <si>
    <t xml:space="preserve">12/02/2021</t>
  </si>
  <si>
    <t xml:space="preserve">ELECTRONBETTER INFO</t>
  </si>
  <si>
    <t xml:space="preserve">ELECTRONSONDA TREME</t>
  </si>
  <si>
    <t xml:space="preserve">17/02/2021</t>
  </si>
  <si>
    <t xml:space="preserve">SAQUE 24H 11104585 14/02</t>
  </si>
  <si>
    <t xml:space="preserve">ELECTRONESPORT SCAP</t>
  </si>
  <si>
    <t xml:space="preserve">ELECTRONHABIBS</t>
  </si>
  <si>
    <t xml:space="preserve">ELECTRONIMW 3 R VIL</t>
  </si>
  <si>
    <t xml:space="preserve">roupa</t>
  </si>
  <si>
    <t xml:space="preserve">ELECTRONLOJAS RENNE</t>
  </si>
  <si>
    <t xml:space="preserve">ELECTRONPAES E DOCE</t>
  </si>
  <si>
    <t xml:space="preserve">ELECTRONPAG*Rufplas</t>
  </si>
  <si>
    <t xml:space="preserve">retirada</t>
  </si>
  <si>
    <t xml:space="preserve">9136</t>
  </si>
  <si>
    <t xml:space="preserve">PIX TRANSF  ANDRE N15/02</t>
  </si>
  <si>
    <t xml:space="preserve">18/02/2021</t>
  </si>
  <si>
    <t xml:space="preserve">PIX TRANSF  ALEXAND18/02</t>
  </si>
  <si>
    <t xml:space="preserve">9131</t>
  </si>
  <si>
    <t xml:space="preserve">19/02/2021</t>
  </si>
  <si>
    <t xml:space="preserve">22/02/2021</t>
  </si>
  <si>
    <t xml:space="preserve">SAQUE 24H 12763504 21/02</t>
  </si>
  <si>
    <t xml:space="preserve">ELECTRONHABIB S</t>
  </si>
  <si>
    <t xml:space="preserve">ELECTRONMERCPAGO</t>
  </si>
  <si>
    <t xml:space="preserve">ELECTRONR C P FARMA</t>
  </si>
  <si>
    <t xml:space="preserve">PIX TRANSF  ANDRE N21/02</t>
  </si>
  <si>
    <t xml:space="preserve">9014</t>
  </si>
  <si>
    <t xml:space="preserve">23/02/2021</t>
  </si>
  <si>
    <t xml:space="preserve">24/02/2021</t>
  </si>
  <si>
    <t xml:space="preserve">ELECTRONPARK NOW ES</t>
  </si>
  <si>
    <t xml:space="preserve">25/02/2021</t>
  </si>
  <si>
    <t xml:space="preserve">ELECTRONJEFFERSON*j</t>
  </si>
  <si>
    <t xml:space="preserve">ELECTRONPASTEIS SON</t>
  </si>
  <si>
    <t xml:space="preserve">ELECTRONROSANGELA F</t>
  </si>
  <si>
    <t xml:space="preserve">26/02/2021</t>
  </si>
  <si>
    <t xml:space="preserve">28/02/2021</t>
  </si>
  <si>
    <t xml:space="preserve">01/03/2021</t>
  </si>
  <si>
    <t xml:space="preserve">SAQUE 24H 11833548 28/02</t>
  </si>
  <si>
    <t xml:space="preserve">ELECTRONMEU CHAPA B</t>
  </si>
  <si>
    <t xml:space="preserve">ELECTRONPAG*Geraldo</t>
  </si>
  <si>
    <t xml:space="preserve">ELECTRONW PAPER</t>
  </si>
  <si>
    <t xml:space="preserve">PIX TRANSF  ANDRE N27/02</t>
  </si>
  <si>
    <t xml:space="preserve">9953</t>
  </si>
  <si>
    <t xml:space="preserve">02/03/2021</t>
  </si>
  <si>
    <t xml:space="preserve">ELECTRONTRIMAIS II</t>
  </si>
  <si>
    <t xml:space="preserve">TAR PACOTE ITAU   FEV/21</t>
  </si>
  <si>
    <t xml:space="preserve">03/03/2021</t>
  </si>
  <si>
    <t xml:space="preserve">INT PAG TIT 109006113581</t>
  </si>
  <si>
    <t xml:space="preserve">INT PAG TIT 109049905525</t>
  </si>
  <si>
    <t xml:space="preserve">ELECTRONPAG*DirceYu</t>
  </si>
  <si>
    <t xml:space="preserve">04/03/2021</t>
  </si>
  <si>
    <t xml:space="preserve">SAQUE 24H 10024040</t>
  </si>
  <si>
    <t xml:space="preserve">natação</t>
  </si>
  <si>
    <t xml:space="preserve">ELECTRONCENTAURO SH</t>
  </si>
  <si>
    <t xml:space="preserve">PIX TRANSF  MICHELL04/03</t>
  </si>
  <si>
    <t xml:space="preserve">9925</t>
  </si>
  <si>
    <t xml:space="preserve">05/03/2021</t>
  </si>
  <si>
    <t xml:space="preserve">LIS/JUROS     21 DIAS</t>
  </si>
  <si>
    <t xml:space="preserve">08/03/2021</t>
  </si>
  <si>
    <t xml:space="preserve">SAQUE 24H 16333155 07/03</t>
  </si>
  <si>
    <t xml:space="preserve">09/03/2021</t>
  </si>
  <si>
    <t xml:space="preserve">10/03/2021</t>
  </si>
  <si>
    <t xml:space="preserve">11/03/2021</t>
  </si>
  <si>
    <t xml:space="preserve">12/03/2021</t>
  </si>
  <si>
    <t xml:space="preserve">INT NEXTEL 9299999684097</t>
  </si>
  <si>
    <t xml:space="preserve">INT NEXTEL 9899999684073</t>
  </si>
  <si>
    <t xml:space="preserve">PIX TRANSF  IGREJA 12/03</t>
  </si>
  <si>
    <t xml:space="preserve">15/03/2021</t>
  </si>
  <si>
    <t xml:space="preserve">PIX TRANSF  ANDRE N15/03</t>
  </si>
  <si>
    <t xml:space="preserve">igreja</t>
  </si>
  <si>
    <t xml:space="preserve">16/03/2021</t>
  </si>
  <si>
    <t xml:space="preserve">PIX TRANSF  IMW 3 R16/03</t>
  </si>
  <si>
    <t xml:space="preserve">9123</t>
  </si>
  <si>
    <t xml:space="preserve">17/03/2021</t>
  </si>
  <si>
    <t xml:space="preserve">ELECTRONBIBLIA CULT</t>
  </si>
  <si>
    <t xml:space="preserve">18/03/2021</t>
  </si>
  <si>
    <t xml:space="preserve">19/03/2021</t>
  </si>
  <si>
    <t xml:space="preserve">ELECTRONAUTOPASS</t>
  </si>
  <si>
    <t xml:space="preserve">ELECTRONLOJASMEL SA</t>
  </si>
  <si>
    <t xml:space="preserve">seguro</t>
  </si>
  <si>
    <t xml:space="preserve">22/03/2021</t>
  </si>
  <si>
    <t xml:space="preserve">INT  PAG TIT BANCO 237</t>
  </si>
  <si>
    <t xml:space="preserve">ELECTRONFEIRANTE</t>
  </si>
  <si>
    <t xml:space="preserve">ELECTRONINOVESORVET</t>
  </si>
  <si>
    <t xml:space="preserve">ELECTRONPAG*CleliaA</t>
  </si>
  <si>
    <t xml:space="preserve">ELECTRONSERGIO EIZO</t>
  </si>
  <si>
    <t xml:space="preserve">PIX TRANSF  GINENUT20/03</t>
  </si>
  <si>
    <t xml:space="preserve">23/03/2021</t>
  </si>
  <si>
    <t xml:space="preserve">24/03/2021</t>
  </si>
  <si>
    <t xml:space="preserve">25/03/2021</t>
  </si>
  <si>
    <t xml:space="preserve">26/03/2021</t>
  </si>
  <si>
    <t xml:space="preserve">29/03/2021</t>
  </si>
  <si>
    <t xml:space="preserve">SAQUE 24H 08959967 28/03</t>
  </si>
  <si>
    <t xml:space="preserve">30/03/2021</t>
  </si>
  <si>
    <t xml:space="preserve">31/03/2021</t>
  </si>
  <si>
    <t xml:space="preserve">PIX TRANSF  IMW 3 R31/03</t>
  </si>
  <si>
    <t xml:space="preserve">PIX TRANSF  ANDRE N31/03</t>
  </si>
  <si>
    <t xml:space="preserve">01/04/2021</t>
  </si>
  <si>
    <t xml:space="preserve">05/04/2021</t>
  </si>
  <si>
    <t xml:space="preserve">INT PAG TIT 109054906699</t>
  </si>
  <si>
    <t xml:space="preserve">INT NEXTEL 9099999679470</t>
  </si>
  <si>
    <t xml:space="preserve">INT NEXTEL 9099999679474</t>
  </si>
  <si>
    <t xml:space="preserve">PIX TRANSF  ALEXAND03/04</t>
  </si>
  <si>
    <t xml:space="preserve">PIX TRANSF  Bruna R03/04</t>
  </si>
  <si>
    <t xml:space="preserve">9126</t>
  </si>
  <si>
    <t xml:space="preserve">PIX TRANSF  JONAS A05/04</t>
  </si>
  <si>
    <t xml:space="preserve">9120</t>
  </si>
  <si>
    <t xml:space="preserve">TAR PACOTE ITAU   MAR/21</t>
  </si>
  <si>
    <t xml:space="preserve">REND PAGO APLIC AUT MAIS</t>
  </si>
  <si>
    <t xml:space="preserve">06/04/2021</t>
  </si>
  <si>
    <t xml:space="preserve">07/04/2021</t>
  </si>
  <si>
    <t xml:space="preserve">08/04/2021</t>
  </si>
  <si>
    <t xml:space="preserve">INT PAG TIT 109006113599</t>
  </si>
  <si>
    <t xml:space="preserve">09/04/2021</t>
  </si>
  <si>
    <t xml:space="preserve">12/04/2021</t>
  </si>
  <si>
    <t xml:space="preserve">SAQUE 24H 11261716 11/04</t>
  </si>
  <si>
    <t xml:space="preserve">SAQUE 24H 13658083 11/04</t>
  </si>
  <si>
    <t xml:space="preserve">14/04/2021</t>
  </si>
  <si>
    <t xml:space="preserve">PIX TRANSF  ESPACO 14/04</t>
  </si>
  <si>
    <t xml:space="preserve">15/04/2021</t>
  </si>
  <si>
    <t xml:space="preserve">PIX TRANSF  IMW 3 R15/04</t>
  </si>
  <si>
    <t xml:space="preserve">PIX TRANSF  ANDRE N15/04</t>
  </si>
  <si>
    <t xml:space="preserve">16/04/2021</t>
  </si>
  <si>
    <t xml:space="preserve">19/04/2021</t>
  </si>
  <si>
    <t xml:space="preserve">ELECTRONESTETICA AU</t>
  </si>
  <si>
    <t xml:space="preserve">ELECTRONNELSON NASC</t>
  </si>
  <si>
    <t xml:space="preserve">ELECTRONPASTEIS NIS</t>
  </si>
  <si>
    <t xml:space="preserve">ELECTRONSR ELIAS CH</t>
  </si>
  <si>
    <t xml:space="preserve">20/04/2021</t>
  </si>
  <si>
    <t xml:space="preserve">ELECTRONBELLO ART C</t>
  </si>
  <si>
    <t xml:space="preserve">ELECTRONMARIA DAS G</t>
  </si>
  <si>
    <t xml:space="preserve">DEB AUTOR AZUL CIA SEG</t>
  </si>
  <si>
    <t xml:space="preserve">22/04/2021</t>
  </si>
  <si>
    <t xml:space="preserve">26/04/2021</t>
  </si>
  <si>
    <t xml:space="preserve">INT DARF333202885930</t>
  </si>
  <si>
    <t xml:space="preserve">27/04/2021</t>
  </si>
  <si>
    <t xml:space="preserve">28/04/2021</t>
  </si>
  <si>
    <t xml:space="preserve">29/04/2021</t>
  </si>
  <si>
    <t xml:space="preserve">03/05/2021</t>
  </si>
  <si>
    <t xml:space="preserve">INT PAG TIT 109006113607</t>
  </si>
  <si>
    <t xml:space="preserve">INT PAG TIT 109062715132</t>
  </si>
  <si>
    <t xml:space="preserve">SAQUE 24H 10893139 02/05</t>
  </si>
  <si>
    <t xml:space="preserve">INT NEXTEL 9499999675466</t>
  </si>
  <si>
    <t xml:space="preserve">INT NEXTEL 9899999675456</t>
  </si>
  <si>
    <t xml:space="preserve">ELECTRONENG CAETANO</t>
  </si>
  <si>
    <t xml:space="preserve">PIX TRANSF  BRUNA R02/05</t>
  </si>
  <si>
    <t xml:space="preserve">PIX TRANSF  IMW R 303/05</t>
  </si>
  <si>
    <t xml:space="preserve">9779</t>
  </si>
  <si>
    <t xml:space="preserve">PIX TRANSF  IMW 3 R02/05</t>
  </si>
  <si>
    <t xml:space="preserve">9122</t>
  </si>
  <si>
    <t xml:space="preserve">pix</t>
  </si>
  <si>
    <t xml:space="preserve">PIX TRANSF  ANDRE N02/05</t>
  </si>
  <si>
    <t xml:space="preserve">9125</t>
  </si>
  <si>
    <t xml:space="preserve">04/05/2021</t>
  </si>
  <si>
    <t xml:space="preserve">ELECTRONPANDYS</t>
  </si>
  <si>
    <t xml:space="preserve">TAR PACOTE ITAU   ABR/21</t>
  </si>
  <si>
    <t xml:space="preserve">05/05/2021</t>
  </si>
  <si>
    <t xml:space="preserve">PIX TRANSF  DILSHAD05/05</t>
  </si>
  <si>
    <t xml:space="preserve">LIS/JUROS     13 DIAS</t>
  </si>
  <si>
    <t xml:space="preserve">06/05/2021</t>
  </si>
  <si>
    <t xml:space="preserve">ELECTRONANTONIO SER</t>
  </si>
  <si>
    <t xml:space="preserve">07/05/2021</t>
  </si>
  <si>
    <t xml:space="preserve">PIX TRANSF  ALEXAND07/05</t>
  </si>
  <si>
    <t xml:space="preserve">PIX TRANSF  GINENUT07/05</t>
  </si>
  <si>
    <t xml:space="preserve">10/05/2021</t>
  </si>
  <si>
    <t xml:space="preserve">SAQUE 24H 14793616 09/05</t>
  </si>
  <si>
    <t xml:space="preserve">ELECTRONRODRIGO MAU</t>
  </si>
  <si>
    <t xml:space="preserve">11/05/2021</t>
  </si>
  <si>
    <t xml:space="preserve">12/05/2021</t>
  </si>
  <si>
    <t xml:space="preserve">PIX TRANSF  ESPACO 12/05</t>
  </si>
  <si>
    <t xml:space="preserve">13/05/2021</t>
  </si>
  <si>
    <t xml:space="preserve">14/05/2021</t>
  </si>
  <si>
    <t xml:space="preserve">ELECTRONPAG*BazarLi</t>
  </si>
  <si>
    <t xml:space="preserve">17/05/2021</t>
  </si>
  <si>
    <t xml:space="preserve">SAQUE 24H 08956930 15/05</t>
  </si>
  <si>
    <t xml:space="preserve">SAQUE 24H 10958403 16/05</t>
  </si>
  <si>
    <t xml:space="preserve">PIX TRANSF  BRUNA R16/05</t>
  </si>
  <si>
    <t xml:space="preserve">PIX TRANSF  IMW 3 R16/05</t>
  </si>
  <si>
    <t xml:space="preserve">PIX TRANSF  ANDRE N16/05</t>
  </si>
  <si>
    <t xml:space="preserve">18/05/2021</t>
  </si>
  <si>
    <t xml:space="preserve">19/05/2021</t>
  </si>
  <si>
    <t xml:space="preserve">20/05/2021</t>
  </si>
  <si>
    <t xml:space="preserve">21/05/2021</t>
  </si>
  <si>
    <t xml:space="preserve">ELECTRONPAG*MariaAp</t>
  </si>
  <si>
    <t xml:space="preserve">24/05/2021</t>
  </si>
  <si>
    <t xml:space="preserve">SAQUE 24H 09069402 23/05</t>
  </si>
  <si>
    <t xml:space="preserve">ELECTRONBARRACA DE</t>
  </si>
  <si>
    <t xml:space="preserve">25/05/2021</t>
  </si>
  <si>
    <t xml:space="preserve">26/05/2021</t>
  </si>
  <si>
    <t xml:space="preserve">boleto</t>
  </si>
  <si>
    <t xml:space="preserve">28/05/2021</t>
  </si>
  <si>
    <t xml:space="preserve">ELECTRONPAG*Juliana</t>
  </si>
  <si>
    <t xml:space="preserve">31/05/2021</t>
  </si>
  <si>
    <t xml:space="preserve">PIX TRANSF  IMW 3 R31/05</t>
  </si>
  <si>
    <t xml:space="preserve">PIX TRANSF  ANDRE N31/05</t>
  </si>
  <si>
    <t xml:space="preserve">01/06/2021</t>
  </si>
  <si>
    <t xml:space="preserve">02/06/2021</t>
  </si>
  <si>
    <t xml:space="preserve">TAR PACOTE ITAU   MAI/21</t>
  </si>
  <si>
    <t xml:space="preserve">04/06/2021</t>
  </si>
  <si>
    <t xml:space="preserve">INT PAG TIT 109068881029</t>
  </si>
  <si>
    <t xml:space="preserve">ELECTRONQUITANDA ME</t>
  </si>
  <si>
    <t xml:space="preserve">ELECTRONRICARDO VAS</t>
  </si>
  <si>
    <t xml:space="preserve">ELECTRONS KOMESU MA</t>
  </si>
  <si>
    <t xml:space="preserve">PIX TRANSF  ANDRE N04/06</t>
  </si>
  <si>
    <t xml:space="preserve">07/06/2021</t>
  </si>
  <si>
    <t xml:space="preserve">SAQUE 24H 14050421 06/06</t>
  </si>
  <si>
    <t xml:space="preserve">ELECTRONCINEMARK TU</t>
  </si>
  <si>
    <t xml:space="preserve">ELECTRONSHOPPING TU</t>
  </si>
  <si>
    <t xml:space="preserve">08/06/2021</t>
  </si>
  <si>
    <t xml:space="preserve">ELECTRONESKALA 112</t>
  </si>
  <si>
    <t xml:space="preserve">ELECTRONTORRA TORRA</t>
  </si>
  <si>
    <t xml:space="preserve">09/06/2021</t>
  </si>
  <si>
    <t xml:space="preserve">INT NEXTEL 9799999671486</t>
  </si>
  <si>
    <t xml:space="preserve">PIX TRANSF  ALEXAND09/06</t>
  </si>
  <si>
    <t xml:space="preserve">PIX TRANSF  ESPACO 09/06</t>
  </si>
  <si>
    <t xml:space="preserve">9121</t>
  </si>
  <si>
    <t xml:space="preserve">10/06/2021</t>
  </si>
  <si>
    <t xml:space="preserve">11/06/2021</t>
  </si>
  <si>
    <t xml:space="preserve">PIX TRANSF  ANDRE N11/06</t>
  </si>
  <si>
    <t xml:space="preserve">14/06/2021</t>
  </si>
  <si>
    <t xml:space="preserve">TIT PAG TIT ULO ITAU</t>
  </si>
  <si>
    <t xml:space="preserve">ELECTRONCARLOS REIS</t>
  </si>
  <si>
    <t xml:space="preserve">ELECTRONLANCHONETE</t>
  </si>
  <si>
    <t xml:space="preserve">ELECTRONLEGUMES&amp; VE</t>
  </si>
  <si>
    <t xml:space="preserve">ELECTRONPAG*produto</t>
  </si>
  <si>
    <t xml:space="preserve">ELECTRONPAG*CleberL</t>
  </si>
  <si>
    <t xml:space="preserve">ELECTRONPAG*Cristia</t>
  </si>
  <si>
    <t xml:space="preserve">ELECTRONPAG*DEDECOR</t>
  </si>
  <si>
    <t xml:space="preserve">ELECTRONPAG*Henriqu</t>
  </si>
  <si>
    <t xml:space="preserve">ELECTRONPAG*JURACIA</t>
  </si>
  <si>
    <t xml:space="preserve">ELECTRONPAG*WaldirN</t>
  </si>
  <si>
    <t xml:space="preserve">ELECTRONSODIMAC</t>
  </si>
  <si>
    <t xml:space="preserve">PIX TRANSF  IMW 3 R12/06</t>
  </si>
  <si>
    <t xml:space="preserve">15/06/2021</t>
  </si>
  <si>
    <t xml:space="preserve">16/06/2021</t>
  </si>
  <si>
    <t xml:space="preserve">17/06/2021</t>
  </si>
  <si>
    <t xml:space="preserve">INT NEXTEL 9499999671486</t>
  </si>
  <si>
    <t xml:space="preserve">SAQUE S/CARTAO 24H060890</t>
  </si>
  <si>
    <t xml:space="preserve">18/06/2021</t>
  </si>
  <si>
    <t xml:space="preserve">PIX TRANSF  HELENIC18/06</t>
  </si>
  <si>
    <t xml:space="preserve">9773</t>
  </si>
  <si>
    <t xml:space="preserve">21/06/2021</t>
  </si>
  <si>
    <t xml:space="preserve">SAQUE 24H 11286911 20/06</t>
  </si>
  <si>
    <t xml:space="preserve">ELECTRONCACAU SHOW</t>
  </si>
  <si>
    <t xml:space="preserve">ELECTRONPAG*OsneiSa</t>
  </si>
  <si>
    <t xml:space="preserve">22/06/2021</t>
  </si>
  <si>
    <t xml:space="preserve">23/06/2021</t>
  </si>
  <si>
    <t xml:space="preserve">ELECTRONMC DONALDS</t>
  </si>
  <si>
    <t xml:space="preserve">24/06/2021</t>
  </si>
  <si>
    <t xml:space="preserve">ELECTRONA PREFERIDA</t>
  </si>
  <si>
    <t xml:space="preserve">PIX TRANSF  OPIUM M24/06</t>
  </si>
  <si>
    <t xml:space="preserve">25/06/2021</t>
  </si>
  <si>
    <t xml:space="preserve">SAQUE 24H 08140386</t>
  </si>
  <si>
    <t xml:space="preserve">ELECTRONBRAZ LEME</t>
  </si>
  <si>
    <t xml:space="preserve">PIX TRANSF  OPIUM M25/06</t>
  </si>
  <si>
    <t xml:space="preserve">9128</t>
  </si>
  <si>
    <t xml:space="preserve">28/06/2021</t>
  </si>
  <si>
    <t xml:space="preserve">ELECTRONKRAFT</t>
  </si>
  <si>
    <t xml:space="preserve">6501</t>
  </si>
  <si>
    <t xml:space="preserve">ELECTRONCB CONCEITO</t>
  </si>
  <si>
    <t xml:space="preserve">ELECTRONFINI</t>
  </si>
  <si>
    <t xml:space="preserve">dia15</t>
  </si>
  <si>
    <t xml:space="preserve">dia30</t>
  </si>
  <si>
    <t xml:space="preserve">jan-15d</t>
  </si>
  <si>
    <t xml:space="preserve">jan-30d</t>
  </si>
  <si>
    <t xml:space="preserve">diff</t>
  </si>
  <si>
    <t xml:space="preserve">fev-15d</t>
  </si>
  <si>
    <t xml:space="preserve">fev-30d</t>
  </si>
  <si>
    <t xml:space="preserve">mar-15d</t>
  </si>
  <si>
    <t xml:space="preserve">mar-30d</t>
  </si>
  <si>
    <t xml:space="preserve">abril-15d</t>
  </si>
  <si>
    <t xml:space="preserve">abril30d</t>
  </si>
  <si>
    <t xml:space="preserve">maio15d</t>
  </si>
  <si>
    <t xml:space="preserve">maio-30d</t>
  </si>
  <si>
    <t xml:space="preserve">jun-15d</t>
  </si>
  <si>
    <t xml:space="preserve">jun-30d</t>
  </si>
  <si>
    <t xml:space="preserve">total</t>
  </si>
  <si>
    <t xml:space="preserve">Sum - valor_convertido_saida (R$)</t>
  </si>
  <si>
    <t xml:space="preserve">Total Result</t>
  </si>
  <si>
    <t xml:space="preserve">custo</t>
  </si>
  <si>
    <t xml:space="preserve">ref</t>
  </si>
  <si>
    <t xml:space="preserve">pend</t>
  </si>
  <si>
    <t xml:space="preserve">valor real</t>
  </si>
  <si>
    <t xml:space="preserve">% acima da meta</t>
  </si>
  <si>
    <t xml:space="preserve">data atingimento</t>
  </si>
  <si>
    <t xml:space="preserve">casa</t>
  </si>
  <si>
    <t xml:space="preserve">pg</t>
  </si>
  <si>
    <t xml:space="preserve">nextel</t>
  </si>
  <si>
    <t xml:space="preserve">natacao samuel</t>
  </si>
  <si>
    <t xml:space="preserve">custo vida 15d</t>
  </si>
  <si>
    <t xml:space="preserve">custo vida 30d</t>
  </si>
  <si>
    <t xml:space="preserve">curso enfermagem</t>
  </si>
  <si>
    <t xml:space="preserve">darf</t>
  </si>
  <si>
    <t xml:space="preserve">descricao</t>
  </si>
  <si>
    <t xml:space="preserve">valor_alt</t>
  </si>
  <si>
    <t xml:space="preserve">24/11/2020</t>
  </si>
  <si>
    <t xml:space="preserve">Parc=104americanas02/04</t>
  </si>
  <si>
    <t xml:space="preserve">Parc=104americanas.com</t>
  </si>
  <si>
    <t xml:space="preserve">27/11/2020</t>
  </si>
  <si>
    <t xml:space="preserve">Acom Mkt Place    02/02</t>
  </si>
  <si>
    <t xml:space="preserve">Acom Mkt Place</t>
  </si>
  <si>
    <t xml:space="preserve">05/12/2020</t>
  </si>
  <si>
    <t xml:space="preserve">Armarinhos Fernand02/02</t>
  </si>
  <si>
    <t xml:space="preserve">academia</t>
  </si>
  <si>
    <t xml:space="preserve">07/12/2020</t>
  </si>
  <si>
    <t xml:space="preserve">Academia Corpo E Mente</t>
  </si>
  <si>
    <t xml:space="preserve">Trimais Supermercados</t>
  </si>
  <si>
    <t xml:space="preserve">posto gasolina</t>
  </si>
  <si>
    <t xml:space="preserve">Aai         *aai*</t>
  </si>
  <si>
    <t xml:space="preserve">10/12/2020</t>
  </si>
  <si>
    <t xml:space="preserve">Sua Academia</t>
  </si>
  <si>
    <t xml:space="preserve">11/12/2020</t>
  </si>
  <si>
    <t xml:space="preserve">Rp1 Restaurante</t>
  </si>
  <si>
    <t xml:space="preserve">Drogaria Promofarma</t>
  </si>
  <si>
    <t xml:space="preserve">Celeiro Da Fazenda</t>
  </si>
  <si>
    <t xml:space="preserve">13/12/2020</t>
  </si>
  <si>
    <t xml:space="preserve">Mc Donalds  Zak</t>
  </si>
  <si>
    <t xml:space="preserve">14/12/2020</t>
  </si>
  <si>
    <t xml:space="preserve">Aai         *ipiranga</t>
  </si>
  <si>
    <t xml:space="preserve">15/12/2020</t>
  </si>
  <si>
    <t xml:space="preserve">16/12/2020</t>
  </si>
  <si>
    <t xml:space="preserve">Diego Gabriel Martins</t>
  </si>
  <si>
    <t xml:space="preserve">Magic Games Empreendim</t>
  </si>
  <si>
    <t xml:space="preserve">17/12/2020</t>
  </si>
  <si>
    <t xml:space="preserve">Sumup*michelle Perf</t>
  </si>
  <si>
    <t xml:space="preserve">18/12/2020</t>
  </si>
  <si>
    <t xml:space="preserve">Meu Chapa Bar &amp; Grill</t>
  </si>
  <si>
    <t xml:space="preserve">app</t>
  </si>
  <si>
    <t xml:space="preserve">Ebanx       *spotify</t>
  </si>
  <si>
    <t xml:space="preserve">Arizona Paes E Doces</t>
  </si>
  <si>
    <t xml:space="preserve">Ifood       *ifood</t>
  </si>
  <si>
    <t xml:space="preserve">19/12/2020</t>
  </si>
  <si>
    <t xml:space="preserve">Promofarma</t>
  </si>
  <si>
    <t xml:space="preserve">20/12/2020</t>
  </si>
  <si>
    <t xml:space="preserve">M G M E Magalhaes Ltda</t>
  </si>
  <si>
    <t xml:space="preserve">Sonda Jacana</t>
  </si>
  <si>
    <t xml:space="preserve">21/12/2020</t>
  </si>
  <si>
    <t xml:space="preserve">Netflix.com</t>
  </si>
  <si>
    <t xml:space="preserve">22/12/2020</t>
  </si>
  <si>
    <t xml:space="preserve">Dl     *google Google</t>
  </si>
  <si>
    <t xml:space="preserve">23/12/2020</t>
  </si>
  <si>
    <t xml:space="preserve">Estapar Shop Center No</t>
  </si>
  <si>
    <t xml:space="preserve">Lojas Renner Fl 4901/03</t>
  </si>
  <si>
    <t xml:space="preserve">24/12/2020</t>
  </si>
  <si>
    <t xml:space="preserve">Banca Do Pacheco</t>
  </si>
  <si>
    <t xml:space="preserve">Lojas Americanas 0915</t>
  </si>
  <si>
    <t xml:space="preserve">Emporio Zucchini</t>
  </si>
  <si>
    <t xml:space="preserve">The Walt Disney Company</t>
  </si>
  <si>
    <t xml:space="preserve">Brooksfield-bfcn-f01/03</t>
  </si>
  <si>
    <t xml:space="preserve">Prego C Norte 140 01/02</t>
  </si>
  <si>
    <t xml:space="preserve">Cea Scn 160       01/03</t>
  </si>
  <si>
    <t xml:space="preserve">26/12/2020</t>
  </si>
  <si>
    <t xml:space="preserve">Microsoft*suz419daoemre</t>
  </si>
  <si>
    <t xml:space="preserve">27/12/2020</t>
  </si>
  <si>
    <t xml:space="preserve">Posto Florida</t>
  </si>
  <si>
    <t xml:space="preserve">28/12/2020</t>
  </si>
  <si>
    <t xml:space="preserve">Bom Filet</t>
  </si>
  <si>
    <t xml:space="preserve">Emporio Auriun</t>
  </si>
  <si>
    <t xml:space="preserve">Levi Da Silva Me</t>
  </si>
  <si>
    <t xml:space="preserve">29/12/2020</t>
  </si>
  <si>
    <t xml:space="preserve">Soneda Perfumaria</t>
  </si>
  <si>
    <t xml:space="preserve">Confeccoes Caedu</t>
  </si>
  <si>
    <t xml:space="preserve">Supermercado Berga01/02</t>
  </si>
  <si>
    <t xml:space="preserve">30/12/2020</t>
  </si>
  <si>
    <t xml:space="preserve">Amazonprimebr</t>
  </si>
  <si>
    <t xml:space="preserve">Auto Posto Lutaif</t>
  </si>
  <si>
    <t xml:space="preserve">Trimais Supermerca01/02</t>
  </si>
  <si>
    <t xml:space="preserve">01/01/2021</t>
  </si>
  <si>
    <t xml:space="preserve">Google Storage</t>
  </si>
  <si>
    <t xml:space="preserve">02/01/2021</t>
  </si>
  <si>
    <t xml:space="preserve">Dl*googlegooglep</t>
  </si>
  <si>
    <t xml:space="preserve">03/01/2021</t>
  </si>
  <si>
    <t xml:space="preserve">Romofarma</t>
  </si>
  <si>
    <t xml:space="preserve">19/01/2020</t>
  </si>
  <si>
    <t xml:space="preserve">Parc=112gol Qnlrrg12/12</t>
  </si>
  <si>
    <t xml:space="preserve">28/09/2020</t>
  </si>
  <si>
    <t xml:space="preserve">Parc=112dieta E Sa04/12</t>
  </si>
  <si>
    <t xml:space="preserve">parcela</t>
  </si>
  <si>
    <t xml:space="preserve">15/09/2020</t>
  </si>
  <si>
    <t xml:space="preserve">Parcelamen Fatura 05/05</t>
  </si>
  <si>
    <t xml:space="preserve">Zoom.us 888-799-9666</t>
  </si>
  <si>
    <t xml:space="preserve">Parc=104americanas03/04</t>
  </si>
  <si>
    <t xml:space="preserve">Lojas Renner Fl 4902/03</t>
  </si>
  <si>
    <t xml:space="preserve">Lojas Renner Fl 49</t>
  </si>
  <si>
    <t xml:space="preserve">Brooksfield-bfcn-f02/03</t>
  </si>
  <si>
    <t xml:space="preserve">Prego C Norte 140 02/02</t>
  </si>
  <si>
    <t xml:space="preserve">Cea Scn 160       02/03</t>
  </si>
  <si>
    <t xml:space="preserve">Brooksfield-bfcn-fl.10</t>
  </si>
  <si>
    <t xml:space="preserve">Cea Scn 160</t>
  </si>
  <si>
    <t xml:space="preserve">Supermercado Berga02/02</t>
  </si>
  <si>
    <t xml:space="preserve">Trimais Supermerca02/02</t>
  </si>
  <si>
    <t xml:space="preserve">08/01/2021</t>
  </si>
  <si>
    <t xml:space="preserve">09/01/2021</t>
  </si>
  <si>
    <t xml:space="preserve">Du Morbaii</t>
  </si>
  <si>
    <t xml:space="preserve">Drogaria Manoel Gaya</t>
  </si>
  <si>
    <t xml:space="preserve">Auto Posto Amalfi Ltda</t>
  </si>
  <si>
    <t xml:space="preserve">12/01/2021</t>
  </si>
  <si>
    <t xml:space="preserve">Academia Corpo E M01/06</t>
  </si>
  <si>
    <t xml:space="preserve">Google Play</t>
  </si>
  <si>
    <t xml:space="preserve">Ebanx Spotify</t>
  </si>
  <si>
    <t xml:space="preserve">21/01/2021</t>
  </si>
  <si>
    <t xml:space="preserve">24/01/2021</t>
  </si>
  <si>
    <t xml:space="preserve">Mc Donalds  Ama</t>
  </si>
  <si>
    <t xml:space="preserve">Ph5 Fitness -ct Areira</t>
  </si>
  <si>
    <t xml:space="preserve">Ph5 Fitness -ct Ar01/03</t>
  </si>
  <si>
    <t xml:space="preserve">Osto De Servicos Flors</t>
  </si>
  <si>
    <t xml:space="preserve">iof</t>
  </si>
  <si>
    <t xml:space="preserve">Parc=112dieta E Sa05/12</t>
  </si>
  <si>
    <t xml:space="preserve">30/01/2021</t>
  </si>
  <si>
    <t xml:space="preserve">Rogaria Promofarma</t>
  </si>
  <si>
    <t xml:space="preserve">Armarinhos Fernand01/03</t>
  </si>
  <si>
    <t xml:space="preserve">31/01/2021</t>
  </si>
  <si>
    <t xml:space="preserve">Dl*googlegoogles</t>
  </si>
  <si>
    <t xml:space="preserve">Supermercado Bergamini</t>
  </si>
  <si>
    <t xml:space="preserve">Uto Posto Edu        S</t>
  </si>
  <si>
    <t xml:space="preserve">06/02/2021</t>
  </si>
  <si>
    <t xml:space="preserve">Acom Mkt Place    01/03</t>
  </si>
  <si>
    <t xml:space="preserve">Parc=104americanas04/04</t>
  </si>
  <si>
    <t xml:space="preserve">Lojas Renner Fl 4903/03</t>
  </si>
  <si>
    <t xml:space="preserve">Brooksfield-bfcn-f03/03</t>
  </si>
  <si>
    <t xml:space="preserve">Cea Scn 160       03/03</t>
  </si>
  <si>
    <t xml:space="preserve">Academia Corpo E M02/06</t>
  </si>
  <si>
    <t xml:space="preserve">Ph5 Fitness -ct Ar02/03</t>
  </si>
  <si>
    <t xml:space="preserve">Armarinhos Fernand02/03</t>
  </si>
  <si>
    <t xml:space="preserve">Acom Mkt Place    02/03</t>
  </si>
  <si>
    <t xml:space="preserve">America Center Norte</t>
  </si>
  <si>
    <t xml:space="preserve">Playland - Center Nort</t>
  </si>
  <si>
    <t xml:space="preserve">13/02/2021</t>
  </si>
  <si>
    <t xml:space="preserve">Trattoria Do Guappo</t>
  </si>
  <si>
    <t xml:space="preserve">Lojao Do Bras     01/04</t>
  </si>
  <si>
    <t xml:space="preserve">15/02/2021</t>
  </si>
  <si>
    <t xml:space="preserve">Posto Amma</t>
  </si>
  <si>
    <t xml:space="preserve">Ragazzo Caetano Alvare</t>
  </si>
  <si>
    <t xml:space="preserve">Fhf Informatica Eireli</t>
  </si>
  <si>
    <t xml:space="preserve">carro</t>
  </si>
  <si>
    <t xml:space="preserve">Olibone Pneus     01/05</t>
  </si>
  <si>
    <t xml:space="preserve">20/02/2021</t>
  </si>
  <si>
    <t xml:space="preserve">Uber        *trip</t>
  </si>
  <si>
    <t xml:space="preserve">Uber Jump Help.uber.com</t>
  </si>
  <si>
    <t xml:space="preserve">21/02/2021</t>
  </si>
  <si>
    <t xml:space="preserve">Parc=102americanas01/02</t>
  </si>
  <si>
    <t xml:space="preserve">Parc=102submarino.01/02</t>
  </si>
  <si>
    <t xml:space="preserve">Submarino Mktplace01/02</t>
  </si>
  <si>
    <t xml:space="preserve">Submarino Mktplace01/03</t>
  </si>
  <si>
    <t xml:space="preserve">Rizona Paes E Doces</t>
  </si>
  <si>
    <t xml:space="preserve">Centro Automotivo Agua</t>
  </si>
  <si>
    <t xml:space="preserve">Bd</t>
  </si>
  <si>
    <t xml:space="preserve">Pag*phoenix</t>
  </si>
  <si>
    <t xml:space="preserve">Auto Posto Tremembe</t>
  </si>
  <si>
    <t xml:space="preserve">Parc=112dieta E Sa06/12</t>
  </si>
  <si>
    <t xml:space="preserve">Academia Corpo E M03/06</t>
  </si>
  <si>
    <t xml:space="preserve">Ph5 Fitness -ct Ar03/03</t>
  </si>
  <si>
    <t xml:space="preserve">Armarinhos Fernand03/03</t>
  </si>
  <si>
    <t xml:space="preserve">Acom Mkt Place    03/03</t>
  </si>
  <si>
    <t xml:space="preserve">Lojao Do Bras</t>
  </si>
  <si>
    <t xml:space="preserve">Lojao Do Bras     02/04</t>
  </si>
  <si>
    <t xml:space="preserve">Olibone Pneus     02/05</t>
  </si>
  <si>
    <t xml:space="preserve">Parc=102americanas02/02</t>
  </si>
  <si>
    <t xml:space="preserve">Parc=102submarino.02/02</t>
  </si>
  <si>
    <t xml:space="preserve">Submarino Mktplace02/02</t>
  </si>
  <si>
    <t xml:space="preserve">Submarino Mktplace02/03</t>
  </si>
  <si>
    <t xml:space="preserve">Submarino Mktplace</t>
  </si>
  <si>
    <t xml:space="preserve">06/03/2021</t>
  </si>
  <si>
    <t xml:space="preserve">Lojas Americanas 0836</t>
  </si>
  <si>
    <t xml:space="preserve">07/03/2021</t>
  </si>
  <si>
    <t xml:space="preserve">Produtos Globo</t>
  </si>
  <si>
    <t xml:space="preserve">13/03/2021</t>
  </si>
  <si>
    <t xml:space="preserve">Trimais Ii</t>
  </si>
  <si>
    <t xml:space="preserve">Trimais Ii        01/02</t>
  </si>
  <si>
    <t xml:space="preserve">Promofarma        01/02</t>
  </si>
  <si>
    <t xml:space="preserve">Americanas Com</t>
  </si>
  <si>
    <t xml:space="preserve">Acom Mkt Place    01/02</t>
  </si>
  <si>
    <t xml:space="preserve">Av Zachi Narchi</t>
  </si>
  <si>
    <t xml:space="preserve">Parc=103kalunga.co01/03</t>
  </si>
  <si>
    <t xml:space="preserve">Antonio Sergio Lib01/02</t>
  </si>
  <si>
    <t xml:space="preserve">20/03/2021</t>
  </si>
  <si>
    <t xml:space="preserve">21/03/2021</t>
  </si>
  <si>
    <t xml:space="preserve">Rufplast</t>
  </si>
  <si>
    <t xml:space="preserve">27/03/2021</t>
  </si>
  <si>
    <t xml:space="preserve">Parc=112dieta E Sa07/12</t>
  </si>
  <si>
    <t xml:space="preserve">02/04/2021</t>
  </si>
  <si>
    <t xml:space="preserve">Pag*opescadorbarerest</t>
  </si>
  <si>
    <t xml:space="preserve">04/04/2021</t>
  </si>
  <si>
    <t xml:space="preserve">Fernanda Goncalves Sil</t>
  </si>
  <si>
    <t xml:space="preserve">Caps Edgar Faco</t>
  </si>
  <si>
    <t xml:space="preserve">Raia 47</t>
  </si>
  <si>
    <t xml:space="preserve">Academia Corpo E M04/06</t>
  </si>
  <si>
    <t xml:space="preserve">Lojao Do Bras     03/04</t>
  </si>
  <si>
    <t xml:space="preserve">mecanico</t>
  </si>
  <si>
    <t xml:space="preserve">Olibone Pneus     03/05</t>
  </si>
  <si>
    <t xml:space="preserve">Submarino Mktplace03/03</t>
  </si>
  <si>
    <t xml:space="preserve">Trimais Ii        02/02</t>
  </si>
  <si>
    <t xml:space="preserve">Promofarma        02/02</t>
  </si>
  <si>
    <t xml:space="preserve">Parc=103kalunga.co02/03</t>
  </si>
  <si>
    <t xml:space="preserve">Antonio Sergio Lib02/02</t>
  </si>
  <si>
    <t xml:space="preserve">Parc=103kalunga.com</t>
  </si>
  <si>
    <t xml:space="preserve">10/04/2021</t>
  </si>
  <si>
    <t xml:space="preserve">Loucademia De Cerveja</t>
  </si>
  <si>
    <t xml:space="preserve">11/04/2021</t>
  </si>
  <si>
    <t xml:space="preserve">Uber   *uber   *trip</t>
  </si>
  <si>
    <t xml:space="preserve">13/04/2021</t>
  </si>
  <si>
    <t xml:space="preserve">Mercadocar</t>
  </si>
  <si>
    <t xml:space="preserve">18/04/2021</t>
  </si>
  <si>
    <t xml:space="preserve">Ebanx*spotify</t>
  </si>
  <si>
    <t xml:space="preserve">Ifd*ifood</t>
  </si>
  <si>
    <t xml:space="preserve">Arizona Paes</t>
  </si>
  <si>
    <t xml:space="preserve">21/04/2021</t>
  </si>
  <si>
    <t xml:space="preserve">24/04/2021</t>
  </si>
  <si>
    <t xml:space="preserve">Rossio</t>
  </si>
  <si>
    <t xml:space="preserve">Kaiu's Calcados Ltda</t>
  </si>
  <si>
    <t xml:space="preserve">Camila E Carina Presen</t>
  </si>
  <si>
    <t xml:space="preserve">Lojao Da Vila</t>
  </si>
  <si>
    <t xml:space="preserve">Parc=112dieta E Sa08/12</t>
  </si>
  <si>
    <t xml:space="preserve">25/04/2021</t>
  </si>
  <si>
    <t xml:space="preserve">Torra Torra       01/03</t>
  </si>
  <si>
    <t xml:space="preserve">30/04/2021</t>
  </si>
  <si>
    <t xml:space="preserve">01/05/2021</t>
  </si>
  <si>
    <t xml:space="preserve">02/05/2021</t>
  </si>
  <si>
    <t xml:space="preserve">Bazar Hirata</t>
  </si>
  <si>
    <t xml:space="preserve">Pag*wklbombo-ct E</t>
  </si>
  <si>
    <t xml:space="preserve">Americanas Marketp01/02</t>
  </si>
  <si>
    <t xml:space="preserve">Academia Corpo E M05/06</t>
  </si>
  <si>
    <t xml:space="preserve">Lojao Do Bras     04/04</t>
  </si>
  <si>
    <t xml:space="preserve">Olibone Pneus     04/05</t>
  </si>
  <si>
    <t xml:space="preserve">Parc=103kalunga.co03/03</t>
  </si>
  <si>
    <t xml:space="preserve">Parc=102americanas.com</t>
  </si>
  <si>
    <t xml:space="preserve">Torra Torra       02/03</t>
  </si>
  <si>
    <t xml:space="preserve">Torra Torra</t>
  </si>
  <si>
    <t xml:space="preserve">Americanas Marketp02/02</t>
  </si>
  <si>
    <t xml:space="preserve">Conectcar Recargaapp</t>
  </si>
  <si>
    <t xml:space="preserve">Cia Maritima</t>
  </si>
  <si>
    <t xml:space="preserve">Shopping Center Norte</t>
  </si>
  <si>
    <t xml:space="preserve">Rmsjoias Eireli   01/02</t>
  </si>
  <si>
    <t xml:space="preserve">08/05/2021</t>
  </si>
  <si>
    <t xml:space="preserve">Eng Caetano Alvares</t>
  </si>
  <si>
    <t xml:space="preserve">09/05/2021</t>
  </si>
  <si>
    <t xml:space="preserve">Pag*frigotti</t>
  </si>
  <si>
    <t xml:space="preserve">15/05/2021</t>
  </si>
  <si>
    <t xml:space="preserve">Uber* Trip</t>
  </si>
  <si>
    <t xml:space="preserve">16/05/2021</t>
  </si>
  <si>
    <t xml:space="preserve">Uber * Pending</t>
  </si>
  <si>
    <t xml:space="preserve">Ragazzo</t>
  </si>
  <si>
    <t xml:space="preserve">22/05/2021</t>
  </si>
  <si>
    <t xml:space="preserve">Pag*patriciapinheirof</t>
  </si>
  <si>
    <t xml:space="preserve">23/05/2021</t>
  </si>
  <si>
    <t xml:space="preserve">Pag*elciomario</t>
  </si>
  <si>
    <t xml:space="preserve">Parc=112dieta E Sa09/12</t>
  </si>
  <si>
    <t xml:space="preserve">27/05/2021</t>
  </si>
  <si>
    <t xml:space="preserve">29/05/2021</t>
  </si>
  <si>
    <t xml:space="preserve">Playland - Eldorado</t>
  </si>
  <si>
    <t xml:space="preserve">Cb Conceito Jk Comerci</t>
  </si>
  <si>
    <t xml:space="preserve">Pag*eldorado</t>
  </si>
  <si>
    <t xml:space="preserve">30/05/2021</t>
  </si>
  <si>
    <t xml:space="preserve">Ponto Amakha Paris Lau</t>
  </si>
  <si>
    <t xml:space="preserve">Cinemark Brasil</t>
  </si>
  <si>
    <t xml:space="preserve">05/06/2021</t>
  </si>
  <si>
    <t xml:space="preserve">Shopping Tucuruvi</t>
  </si>
  <si>
    <t xml:space="preserve">Parcelamen Fatura 01/04</t>
  </si>
  <si>
    <t xml:space="preserve">Academia Corpo E M06/06</t>
  </si>
  <si>
    <t xml:space="preserve">Olibone Pneus     05/05</t>
  </si>
  <si>
    <t xml:space="preserve">Torra Torra       03/03</t>
  </si>
  <si>
    <t xml:space="preserve">Rmsjoias Eireli   02/02</t>
  </si>
  <si>
    <t xml:space="preserve">Microsoft*store</t>
  </si>
  <si>
    <t xml:space="preserve">12/06/2021</t>
  </si>
  <si>
    <t xml:space="preserve">Axe Brasil</t>
  </si>
  <si>
    <t xml:space="preserve">Pinhal Conveniencia</t>
  </si>
  <si>
    <t xml:space="preserve">Riachuelo 100     01/02</t>
  </si>
  <si>
    <t xml:space="preserve">13/06/2021</t>
  </si>
  <si>
    <t xml:space="preserve">Zuquim Plaza Hotel Ltd</t>
  </si>
  <si>
    <t xml:space="preserve">Sodimac</t>
  </si>
  <si>
    <t xml:space="preserve">Conectcar   *conectcar</t>
  </si>
  <si>
    <t xml:space="preserve">Centro Automotivo Treb</t>
  </si>
  <si>
    <t xml:space="preserve">19/06/2021</t>
  </si>
  <si>
    <t xml:space="preserve">B.s. Moda E Esporte L</t>
  </si>
  <si>
    <t xml:space="preserve">Uber *trip Help.uber.co</t>
  </si>
  <si>
    <t xml:space="preserve">Parc=112dieta E Sa10/12</t>
  </si>
  <si>
    <t xml:space="preserve">Data</t>
  </si>
  <si>
    <t xml:space="preserve">Total Sum - valor</t>
  </si>
  <si>
    <t xml:space="preserve">Total Sum - valor_alt</t>
  </si>
  <si>
    <t xml:space="preserve">Sum - valor</t>
  </si>
  <si>
    <t xml:space="preserve">Sum - valor_alt</t>
  </si>
  <si>
    <t xml:space="preserve"> </t>
  </si>
  <si>
    <t xml:space="preserve">entrada previsto</t>
  </si>
  <si>
    <t xml:space="preserve">saida</t>
  </si>
  <si>
    <t xml:space="preserve">custo previsto</t>
  </si>
  <si>
    <t xml:space="preserve">limite</t>
  </si>
  <si>
    <t xml:space="preserve">utilizado</t>
  </si>
  <si>
    <t xml:space="preserve">saldo atual</t>
  </si>
  <si>
    <t xml:space="preserve">saldo previsto</t>
  </si>
  <si>
    <t xml:space="preserve">Saldo prev + limite</t>
  </si>
  <si>
    <t xml:space="preserve">Saldo Debito + Limite</t>
  </si>
  <si>
    <t xml:space="preserve">custo credito</t>
  </si>
  <si>
    <t xml:space="preserve">cred_pend</t>
  </si>
  <si>
    <t xml:space="preserve">disponivel</t>
  </si>
  <si>
    <t xml:space="preserve">TOTAL</t>
  </si>
  <si>
    <t xml:space="preserve">MEDIA</t>
  </si>
  <si>
    <t xml:space="preserve">observação</t>
  </si>
  <si>
    <t xml:space="preserve">flex</t>
  </si>
  <si>
    <t xml:space="preserve">investimento</t>
  </si>
  <si>
    <t xml:space="preserve">rendimento</t>
  </si>
  <si>
    <t xml:space="preserve">validação</t>
  </si>
  <si>
    <t xml:space="preserve">meta antiga</t>
  </si>
  <si>
    <t xml:space="preserve">margem abaixo</t>
  </si>
  <si>
    <t xml:space="preserve">meta nova</t>
  </si>
  <si>
    <t xml:space="preserve">margem acima</t>
  </si>
  <si>
    <t xml:space="preserve">observ</t>
  </si>
  <si>
    <t xml:space="preserve">reirada de 7000, saldo negativo</t>
  </si>
  <si>
    <t xml:space="preserve">cartao cred pago total, retirada da poupança no dia 15</t>
  </si>
  <si>
    <t xml:space="preserve">retirada de 1000 dia 15\ saldo negativo e manter ate dia 30 para repor 2000</t>
  </si>
  <si>
    <t xml:space="preserve">8.035,17 dia 30/3</t>
  </si>
  <si>
    <t xml:space="preserve">De-para</t>
  </si>
  <si>
    <t xml:space="preserve">SALDO INICIAL</t>
  </si>
  <si>
    <t xml:space="preserve">DOC INT 098997</t>
  </si>
  <si>
    <t xml:space="preserve">transferencia</t>
  </si>
  <si>
    <t xml:space="preserve">ELECTRONPERTO METRO</t>
  </si>
  <si>
    <t xml:space="preserve">transporte</t>
  </si>
  <si>
    <t xml:space="preserve">ELECTRONRETRO EXPLO</t>
  </si>
  <si>
    <t xml:space="preserve">RES APLIC AUT MAIS</t>
  </si>
  <si>
    <t xml:space="preserve">SALDO APLIC AUT MAIS</t>
  </si>
  <si>
    <t xml:space="preserve">ELECTRONBELLA ATALI</t>
  </si>
  <si>
    <t xml:space="preserve">ELECTRONDROGASIL 17</t>
  </si>
  <si>
    <t xml:space="preserve">ELECTRONMILK SHAKE</t>
  </si>
  <si>
    <t xml:space="preserve">ELECTRONPAG*WpaperM</t>
  </si>
  <si>
    <t xml:space="preserve">ELECTRONTTOMATOES</t>
  </si>
  <si>
    <t xml:space="preserve">ELECTRONVILACHIC</t>
  </si>
  <si>
    <t xml:space="preserve">TAR PACOTE ITAU   DEZ/19</t>
  </si>
  <si>
    <t xml:space="preserve">DOC INT 381229</t>
  </si>
  <si>
    <t xml:space="preserve">ELECTRONEMPORIO ROM</t>
  </si>
  <si>
    <t xml:space="preserve">ELECTRONHEROES PLAY</t>
  </si>
  <si>
    <t xml:space="preserve">ELECTRONIRMAOS BAST</t>
  </si>
  <si>
    <t xml:space="preserve">ELECTRONJ E VERDURA</t>
  </si>
  <si>
    <t xml:space="preserve">ELECTRONPAG*ChinaPe</t>
  </si>
  <si>
    <t xml:space="preserve">ELECTRONPAG*HajimeT</t>
  </si>
  <si>
    <t xml:space="preserve">ELECTRONSHOKITI</t>
  </si>
  <si>
    <t xml:space="preserve">ELECTRONSTELO*MARIO</t>
  </si>
  <si>
    <t xml:space="preserve">ELECTRONUNIDOS DA V</t>
  </si>
  <si>
    <t xml:space="preserve">ELECTRONADEGA DO AL</t>
  </si>
  <si>
    <t xml:space="preserve">ELECTRONSUPERMERCAD</t>
  </si>
  <si>
    <t xml:space="preserve">TBI 0190.72508-5     C/C</t>
  </si>
  <si>
    <t xml:space="preserve">SALDO PARCIAL</t>
  </si>
  <si>
    <t xml:space="preserve">TBI 1491.48993-4     C/C</t>
  </si>
  <si>
    <t xml:space="preserve">ELECTRONPAG*Eduardo</t>
  </si>
  <si>
    <t xml:space="preserve">ELECTRONSTELO S A *</t>
  </si>
  <si>
    <t xml:space="preserve">ELECTRONSUN MARINA</t>
  </si>
  <si>
    <t xml:space="preserve">ELECTRONGRAO ESPRES</t>
  </si>
  <si>
    <t xml:space="preserve">INT PAG TIT 109000333418</t>
  </si>
  <si>
    <t xml:space="preserve">TEC DEPOSITO DINHEIRO</t>
  </si>
  <si>
    <t xml:space="preserve">APL APLIC AUT MAIS</t>
  </si>
  <si>
    <t xml:space="preserve">ELECTRONPERTO</t>
  </si>
  <si>
    <t xml:space="preserve">ELECTRONMINIMERCADO</t>
  </si>
  <si>
    <t xml:space="preserve">ELECTRONP3 PAPELARI</t>
  </si>
  <si>
    <t xml:space="preserve">TED 260.0001ANDERSON A S</t>
  </si>
  <si>
    <t xml:space="preserve">ELECTRONSUA ACADEMI</t>
  </si>
  <si>
    <t xml:space="preserve">ELECTRONASSAI ATACA</t>
  </si>
  <si>
    <t xml:space="preserve">ELECTRONCELEIRO DA</t>
  </si>
  <si>
    <t xml:space="preserve">restaurante</t>
  </si>
  <si>
    <t xml:space="preserve">ELECTRONI9PARK ESTA</t>
  </si>
  <si>
    <t xml:space="preserve">ELECTRONPAG*ADRIANA</t>
  </si>
  <si>
    <t xml:space="preserve">ELECTRONSESTINI</t>
  </si>
  <si>
    <t xml:space="preserve">INT TED 104354400005640</t>
  </si>
  <si>
    <t xml:space="preserve">ELECTRONPAG*RegisRe</t>
  </si>
  <si>
    <t xml:space="preserve">ELECTRONSTELO S A*R</t>
  </si>
  <si>
    <t xml:space="preserve">ELECTRONMOBILE MANI</t>
  </si>
  <si>
    <t xml:space="preserve">SALDO FINAL</t>
  </si>
  <si>
    <t xml:space="preserve">ELECTRONAVIGOS BEAU</t>
  </si>
  <si>
    <t xml:space="preserve">ELECTRONFERNANDA VA</t>
  </si>
  <si>
    <t xml:space="preserve">ELECTRONNZLOG</t>
  </si>
  <si>
    <t xml:space="preserve">ELECTRONPAG*SempreB</t>
  </si>
  <si>
    <t xml:space="preserve">INT NEXTEL 9099999739334</t>
  </si>
  <si>
    <t xml:space="preserve">ELECTRONDEPOSITO DO</t>
  </si>
  <si>
    <t xml:space="preserve">INT TED  561369 SEMI</t>
  </si>
  <si>
    <t xml:space="preserve">INT NEXTEL 9199999739334</t>
  </si>
  <si>
    <t xml:space="preserve">TAR PACOTE ITAU   JAN/20</t>
  </si>
  <si>
    <t xml:space="preserve">ELECTRONMARCO ANTON</t>
  </si>
  <si>
    <t xml:space="preserve">ELECTRONMARIA LUCIA</t>
  </si>
  <si>
    <t xml:space="preserve">ELECTRONPADARIA PAL</t>
  </si>
  <si>
    <t xml:space="preserve">ELECTRONPAG*Antonio</t>
  </si>
  <si>
    <t xml:space="preserve">INT  PAG TIT BANCO 001</t>
  </si>
  <si>
    <t xml:space="preserve">ELECTRONCHOCO MIX</t>
  </si>
  <si>
    <t xml:space="preserve">ELECTRONLOBO DO REA</t>
  </si>
  <si>
    <t xml:space="preserve">ELECTRONPAG*CiceroF</t>
  </si>
  <si>
    <t xml:space="preserve">ELECTRONPAG*DanielF</t>
  </si>
  <si>
    <t xml:space="preserve">ELECTRONPAG*RafaelF</t>
  </si>
  <si>
    <t xml:space="preserve">ELECTRONRAIA 133</t>
  </si>
  <si>
    <t xml:space="preserve">CXE     000554 SAQUE</t>
  </si>
  <si>
    <t xml:space="preserve">ELECTRONSUELICATESS</t>
  </si>
  <si>
    <t xml:space="preserve">CXE     000331 SAQUE</t>
  </si>
  <si>
    <t xml:space="preserve">CXE     001966 SAQUE</t>
  </si>
  <si>
    <t xml:space="preserve">ELECTRONVARANDA FRU</t>
  </si>
  <si>
    <t xml:space="preserve">ELECTRONRYMA MINI M</t>
  </si>
  <si>
    <t xml:space="preserve">ELECTRONANTHONNY CA</t>
  </si>
  <si>
    <t xml:space="preserve">ipva</t>
  </si>
  <si>
    <t xml:space="preserve">ELECTRONHORTIFRUTI</t>
  </si>
  <si>
    <t xml:space="preserve">ELECTRONMERCADOPAGO</t>
  </si>
  <si>
    <t xml:space="preserve">ELECTRONPAG*Natalia</t>
  </si>
  <si>
    <t xml:space="preserve">ELECTRONPOSTO M G M</t>
  </si>
  <si>
    <t xml:space="preserve">ELECTRONSARA MARIA</t>
  </si>
  <si>
    <t xml:space="preserve">INT TED  225223 SEMINRI</t>
  </si>
  <si>
    <t xml:space="preserve">INT DOC 260000135246778</t>
  </si>
  <si>
    <t xml:space="preserve">ELECTRONPAG*VictorM</t>
  </si>
  <si>
    <t xml:space="preserve">ELECTRONPOINT DO SU</t>
  </si>
  <si>
    <t xml:space="preserve">ELECTRONPROMO FARMA</t>
  </si>
  <si>
    <t xml:space="preserve">CXE 000273 SAQUE 22/02</t>
  </si>
  <si>
    <t xml:space="preserve">ELECTRONBK SHOPPING</t>
  </si>
  <si>
    <t xml:space="preserve">ELECTRONCHICO HAMBU</t>
  </si>
  <si>
    <t xml:space="preserve">ELECTRONLEVI DA SIL</t>
  </si>
  <si>
    <t xml:space="preserve">ELECTRONLIVORNO EXP</t>
  </si>
  <si>
    <t xml:space="preserve">ELECTRONMILLENIUM P</t>
  </si>
  <si>
    <t xml:space="preserve">ELECTRONOURINHOS SU</t>
  </si>
  <si>
    <t xml:space="preserve">ELECTRONPAG*Familia</t>
  </si>
  <si>
    <t xml:space="preserve">ELECTRONPAG*Valdeci</t>
  </si>
  <si>
    <t xml:space="preserve">ELECTRONPLAYCENTER</t>
  </si>
  <si>
    <t xml:space="preserve">ELECTRONSUBWAY ARIC</t>
  </si>
  <si>
    <t xml:space="preserve">TBI 4833.46062-1/500</t>
  </si>
  <si>
    <t xml:space="preserve">CXE 000141 SAQUE 29/02</t>
  </si>
  <si>
    <t xml:space="preserve">ELECTRONCOM DE FRAN</t>
  </si>
  <si>
    <t xml:space="preserve">ELECTRONPAG*Danubia</t>
  </si>
  <si>
    <t xml:space="preserve">ELECTRONTIAGO COELH</t>
  </si>
  <si>
    <t xml:space="preserve">INT TED  040954 SEMINRI</t>
  </si>
  <si>
    <t xml:space="preserve">TAR PACOTE ITAU   FEV/20</t>
  </si>
  <si>
    <t xml:space="preserve">LIS/JUROS     12 DIAS</t>
  </si>
  <si>
    <t xml:space="preserve">SAQUE CARTAO MAGNETICO</t>
  </si>
  <si>
    <t xml:space="preserve">RSHOP-AUTOPASS   -06/03</t>
  </si>
  <si>
    <t xml:space="preserve">CXE 001370 SAQUE 07/03</t>
  </si>
  <si>
    <t xml:space="preserve">RSHOP-DROGARIA PR-07/03</t>
  </si>
  <si>
    <t xml:space="preserve">RSHOP-LOJAS BECKE-07/03</t>
  </si>
  <si>
    <t xml:space="preserve">RSHOP-PERTO METRO-10/03</t>
  </si>
  <si>
    <t xml:space="preserve">RSHOP-SHOKITI    -10/03</t>
  </si>
  <si>
    <t xml:space="preserve">RSHOP-LOJAS RENNE-11/03</t>
  </si>
  <si>
    <t xml:space="preserve">RSHOP-RIACHUELO 1-11/03</t>
  </si>
  <si>
    <t xml:space="preserve">RSHOP-SANTA FE   -11/03</t>
  </si>
  <si>
    <t xml:space="preserve">RSHOP-MC DONALDS -12/03</t>
  </si>
  <si>
    <t xml:space="preserve">RSHOP-SONDA TREME-12/03</t>
  </si>
  <si>
    <t xml:space="preserve">INT NEXTEL 9999999734880</t>
  </si>
  <si>
    <t xml:space="preserve">RSHOP-PAG*PointDo-13/03</t>
  </si>
  <si>
    <t xml:space="preserve">RSHOP-PAG*WpaperM-13/03</t>
  </si>
  <si>
    <t xml:space="preserve">RSHOP-PAO TO GO  -13/03</t>
  </si>
  <si>
    <t xml:space="preserve">RSHOP-PRINCESA DA-13/03</t>
  </si>
  <si>
    <t xml:space="preserve">RSHOP-SHOKITI    -13/03</t>
  </si>
  <si>
    <t xml:space="preserve">INT DPVAT-SP HOH-6396</t>
  </si>
  <si>
    <t xml:space="preserve">dpvat</t>
  </si>
  <si>
    <t xml:space="preserve">RSHOP-IRA CAVALCA-16/03</t>
  </si>
  <si>
    <t xml:space="preserve">viagem</t>
  </si>
  <si>
    <t xml:space="preserve">RSHOP-KETENE     -15/03</t>
  </si>
  <si>
    <t xml:space="preserve">RSHOP-LGA LANCHON-14/03</t>
  </si>
  <si>
    <t xml:space="preserve">RSHOP-PAG*Givaldo-17/03</t>
  </si>
  <si>
    <t xml:space="preserve">RSHOP-PAG*Sebasti-18/03</t>
  </si>
  <si>
    <t xml:space="preserve">RSHOP-ZP *CICERO -18/03</t>
  </si>
  <si>
    <t xml:space="preserve">RSHOP-PAG*Restaur-19/03</t>
  </si>
  <si>
    <t xml:space="preserve">RSHOP-SUPERMAR   -19/03</t>
  </si>
  <si>
    <t xml:space="preserve">CXE 000646 SAQUE 22/03</t>
  </si>
  <si>
    <t xml:space="preserve">RSHOP-CIA DA LAGO-21/03</t>
  </si>
  <si>
    <t xml:space="preserve">RSHOP-DROGARIA PR-23/03</t>
  </si>
  <si>
    <t xml:space="preserve">RSHOP-PAG*Frigott-22/03</t>
  </si>
  <si>
    <t xml:space="preserve">RSHOP-SONDA JACAN-22/03</t>
  </si>
  <si>
    <t xml:space="preserve">RSHOP-SONDA JACAN-23/03</t>
  </si>
  <si>
    <t xml:space="preserve">RSHOP-SONDA TREME-22/03</t>
  </si>
  <si>
    <t xml:space="preserve">RSHOP-SONDA TREME-23/03</t>
  </si>
  <si>
    <t xml:space="preserve">RSHOP-DROGARIA PR-24/03</t>
  </si>
  <si>
    <t xml:space="preserve">RSHOP-PAG*barraca-25/03</t>
  </si>
  <si>
    <t xml:space="preserve">RSHOP-DROGARIA MA-29/03</t>
  </si>
  <si>
    <t xml:space="preserve">RSHOP-FEIRANTE   -29/03</t>
  </si>
  <si>
    <t xml:space="preserve">RSHOP-PAG*CleliaA-29/03</t>
  </si>
  <si>
    <t xml:space="preserve">RSHOP-PAG*RafaelF-29/03</t>
  </si>
  <si>
    <t xml:space="preserve">RSHOP-POSTO FLORI-28/03</t>
  </si>
  <si>
    <t xml:space="preserve">RSHOP-SONDA JACAN-29/03</t>
  </si>
  <si>
    <t xml:space="preserve">RSHOP-SONDA TREME-28/03</t>
  </si>
  <si>
    <t xml:space="preserve">TBI 0057.13714-3DILSHAD</t>
  </si>
  <si>
    <t xml:space="preserve">RSHOP-SONDA TREME-31/03</t>
  </si>
  <si>
    <t xml:space="preserve">RSHOP-DROGARIA PR-01/04</t>
  </si>
  <si>
    <t xml:space="preserve">RSHOP-SWIFT NOVA -01/04</t>
  </si>
  <si>
    <t xml:space="preserve">TAR PACOTE ITAU   MAR/20</t>
  </si>
  <si>
    <t xml:space="preserve">RSHOP-LOJAS AMERI-03/04</t>
  </si>
  <si>
    <t xml:space="preserve">RSHOP-MARTINS &amp; R-03/04</t>
  </si>
  <si>
    <t xml:space="preserve">RSHOP-RAIA 47    -03/04</t>
  </si>
  <si>
    <t xml:space="preserve">RSHOP-SONDA TREME-03/04</t>
  </si>
  <si>
    <t xml:space="preserve">CXE 000547 SAQUE 04/04</t>
  </si>
  <si>
    <t xml:space="preserve">RSHOP-AUTO POSTO -04/04</t>
  </si>
  <si>
    <t xml:space="preserve">RSHOP-DICICO TREM-04/04</t>
  </si>
  <si>
    <t xml:space="preserve">RSHOP-DOM JOSE   -04/04</t>
  </si>
  <si>
    <t xml:space="preserve">RSHOP-DROGARIA PR-06/04</t>
  </si>
  <si>
    <t xml:space="preserve">RSHOP-DROGARIA NO-04/04</t>
  </si>
  <si>
    <t xml:space="preserve">RSHOP-HORTIFRUTI -04/04</t>
  </si>
  <si>
    <t xml:space="preserve">RSHOP-LEVI DA SIL-04/04</t>
  </si>
  <si>
    <t xml:space="preserve">RSHOP-M A KOCH LA-04/04</t>
  </si>
  <si>
    <t xml:space="preserve">RSHOP-MERCADINHO -04/04</t>
  </si>
  <si>
    <t xml:space="preserve">RSHOP-RAIA 153   -04/04</t>
  </si>
  <si>
    <t xml:space="preserve">RSHOP-SONDA TREME-04/04</t>
  </si>
  <si>
    <t xml:space="preserve">RSHOP-SONDA TREME-05/04</t>
  </si>
  <si>
    <t xml:space="preserve">RSHOP-SONDA TREME-06/04</t>
  </si>
  <si>
    <t xml:space="preserve">RSHOP-SONDA TREME-07/04</t>
  </si>
  <si>
    <t xml:space="preserve">INT NEXTEL 9099999730370</t>
  </si>
  <si>
    <t xml:space="preserve">INT NEXTEL 9199999730370</t>
  </si>
  <si>
    <t xml:space="preserve">RSHOP-AUTO POSTO -09/04</t>
  </si>
  <si>
    <t xml:space="preserve">RSHOP-ARIZONA PAE-13/04</t>
  </si>
  <si>
    <t xml:space="preserve">RSHOP-CHOCOLATES -12/04</t>
  </si>
  <si>
    <t xml:space="preserve">RSHOP-DROGARIA PR-11/04</t>
  </si>
  <si>
    <t xml:space="preserve">RSHOP-ESPETO DO V-11/04</t>
  </si>
  <si>
    <t xml:space="preserve">RSHOP-PADARIA NOV-12/04</t>
  </si>
  <si>
    <t xml:space="preserve">RSHOP-PAG*JoseGil-12/04</t>
  </si>
  <si>
    <t xml:space="preserve">RSHOP-SONDA JACAN-12/04</t>
  </si>
  <si>
    <t xml:space="preserve">RSHOP-STELO*MARIO-12/04</t>
  </si>
  <si>
    <t xml:space="preserve">RSHOP-HABIBS     -14/04</t>
  </si>
  <si>
    <t xml:space="preserve">RSHOP-SONDA JACAN-14/04</t>
  </si>
  <si>
    <t xml:space="preserve">RSHOP-ARIZONA PAE-15/04</t>
  </si>
  <si>
    <t xml:space="preserve">RSHOP-PAG*FarmaEF-15/04</t>
  </si>
  <si>
    <t xml:space="preserve">TBI 2948.08717-2     C/C</t>
  </si>
  <si>
    <t xml:space="preserve">RSHOP-COMANDO JOV-16/04</t>
  </si>
  <si>
    <t xml:space="preserve">RSHOP-COMERCIO DE-16/04</t>
  </si>
  <si>
    <t xml:space="preserve">RSHOP-ECIVALDO CA-16/04</t>
  </si>
  <si>
    <t xml:space="preserve">RSHOP-PAG*diegoej-16/04</t>
  </si>
  <si>
    <t xml:space="preserve">RSHOP-PAG*Taylane-16/04</t>
  </si>
  <si>
    <t xml:space="preserve">RSHOP-DROGARIA PR-17/04</t>
  </si>
  <si>
    <t xml:space="preserve">RSHOP-ADEGA DO AL-18/04</t>
  </si>
  <si>
    <t xml:space="preserve">RSHOP-ARIZONA PAE-18/04</t>
  </si>
  <si>
    <t xml:space="preserve">RSHOP-DROGARIA MA-19/04</t>
  </si>
  <si>
    <t xml:space="preserve">RSHOP-EVANDRO G N-19/04</t>
  </si>
  <si>
    <t xml:space="preserve">RSHOP-FARMAVAN XI-18/04</t>
  </si>
  <si>
    <t xml:space="preserve">RSHOP-OURINHOS SU-18/04</t>
  </si>
  <si>
    <t xml:space="preserve">RSHOP-SONDA JACAN-19/04</t>
  </si>
  <si>
    <t xml:space="preserve">RSHOP-ARIZONA PAE-21/04</t>
  </si>
  <si>
    <t xml:space="preserve">INT TED D   404795 SEGUR</t>
  </si>
  <si>
    <t xml:space="preserve">CXE     000133 SAQUE</t>
  </si>
  <si>
    <t xml:space="preserve">RSHOP-ARIZONA PAE-23/04</t>
  </si>
  <si>
    <t xml:space="preserve">RSHOP-AUTO POSTO -24/04</t>
  </si>
  <si>
    <t xml:space="preserve">RSHOP-MERCADINHO -24/04</t>
  </si>
  <si>
    <t xml:space="preserve">RSHOP-ARBYS SUPER-26/04</t>
  </si>
  <si>
    <t xml:space="preserve">RSHOP-ARIZONA PAE-27/04</t>
  </si>
  <si>
    <t xml:space="preserve">RSHOP-AUTO POSTO -26/04</t>
  </si>
  <si>
    <t xml:space="preserve">RSHOP-DROGARIA PR-27/04</t>
  </si>
  <si>
    <t xml:space="preserve">RSHOP-LEROY MERLI-25/04</t>
  </si>
  <si>
    <t xml:space="preserve">RSHOP-MC DONALDS -25/04</t>
  </si>
  <si>
    <t xml:space="preserve">RSHOP-PAG*IgorDeA-25/04</t>
  </si>
  <si>
    <t xml:space="preserve">RSHOP-RAIA 47    -27/04</t>
  </si>
  <si>
    <t xml:space="preserve">RSHOP-SONDA TREME-25/04</t>
  </si>
  <si>
    <t xml:space="preserve">RSHOP-LEROY MERLI-29/04</t>
  </si>
  <si>
    <t xml:space="preserve">CXE     000620 SAQUE</t>
  </si>
  <si>
    <t xml:space="preserve">RSHOP-ANDORINHA H-30/04</t>
  </si>
  <si>
    <t xml:space="preserve">RSHOP-PASTEIS M M-30/04</t>
  </si>
  <si>
    <t xml:space="preserve">RSHOP-PASTEIS YAS-30/04</t>
  </si>
  <si>
    <t xml:space="preserve">INT TED  511000</t>
  </si>
  <si>
    <t xml:space="preserve">INT TED  513437 SEMI</t>
  </si>
  <si>
    <t xml:space="preserve">RSHOP-LOJAS AMERI-03/05</t>
  </si>
  <si>
    <t xml:space="preserve">RSHOP-MERCADINHO -03/05</t>
  </si>
  <si>
    <t xml:space="preserve">RSHOP-PAG*MarcosD-01/05</t>
  </si>
  <si>
    <t xml:space="preserve">RSHOP-POSTO AMMA -04/05</t>
  </si>
  <si>
    <t xml:space="preserve">RSHOP-STELO S A *-02/05</t>
  </si>
  <si>
    <t xml:space="preserve">INT TED 033072610089869</t>
  </si>
  <si>
    <t xml:space="preserve">TAR PACOTE ITAU   ABR/20</t>
  </si>
  <si>
    <t xml:space="preserve">CXE     000406 SAQUE</t>
  </si>
  <si>
    <t xml:space="preserve">ELECTRONARIANA DIAS</t>
  </si>
  <si>
    <t xml:space="preserve">ELECTRONDRIVE DUMON</t>
  </si>
  <si>
    <t xml:space="preserve">ELECTRONMOCOTO REST</t>
  </si>
  <si>
    <t xml:space="preserve">CXE     000026 SAQUE</t>
  </si>
  <si>
    <t xml:space="preserve">INT NEXTEL 9599999726182</t>
  </si>
  <si>
    <t xml:space="preserve">INT NEXTEL 9899999726181</t>
  </si>
  <si>
    <t xml:space="preserve">ELECTRONVG CELULARE</t>
  </si>
  <si>
    <t xml:space="preserve">CXE 001628 SAQUE 17/05</t>
  </si>
  <si>
    <t xml:space="preserve">ELECTRONEDIVALDO PE</t>
  </si>
  <si>
    <t xml:space="preserve">ELECTRONFRANGOS E V</t>
  </si>
  <si>
    <t xml:space="preserve">ELECTRONPAG*diegoej</t>
  </si>
  <si>
    <t xml:space="preserve">ELECTRONPAG*Severin</t>
  </si>
  <si>
    <t xml:space="preserve">ELECTRONBANCA DUDUC</t>
  </si>
  <si>
    <t xml:space="preserve">ELECTRONBOM FILET</t>
  </si>
  <si>
    <t xml:space="preserve">ELECTRONANDORINHA H</t>
  </si>
  <si>
    <t xml:space="preserve">ELECTRONROTA CANTAR</t>
  </si>
  <si>
    <t xml:space="preserve">INT TED 237284600601853</t>
  </si>
  <si>
    <t xml:space="preserve">SAQUE 24H 08741753 24/05</t>
  </si>
  <si>
    <t xml:space="preserve">ELECTRONSTELO*Banca</t>
  </si>
  <si>
    <t xml:space="preserve">ELECTRONO REI 1</t>
  </si>
  <si>
    <t xml:space="preserve">ELECTRONPAG*hprospe</t>
  </si>
  <si>
    <t xml:space="preserve">ELECTRONEURIPEDES D</t>
  </si>
  <si>
    <t xml:space="preserve">ELECTRONMARTINS &amp; R</t>
  </si>
  <si>
    <t xml:space="preserve">ELECTRONPAG*PerfecS</t>
  </si>
  <si>
    <t xml:space="preserve">TAR PACOTE ITAU   MAI/20</t>
  </si>
  <si>
    <t xml:space="preserve">ELECTRONB LA MILETT</t>
  </si>
  <si>
    <t xml:space="preserve">SAQUE 24H 14645709 07/06</t>
  </si>
  <si>
    <t xml:space="preserve">ELECTRONATACADAO DA</t>
  </si>
  <si>
    <t xml:space="preserve">ELECTRONDICICO TREM</t>
  </si>
  <si>
    <t xml:space="preserve">ELECTRONPIZZA DELIG</t>
  </si>
  <si>
    <t xml:space="preserve">ELECTRONR M SHIMABU</t>
  </si>
  <si>
    <t xml:space="preserve">INT NEXTEL 9299999721677</t>
  </si>
  <si>
    <t xml:space="preserve">INT NEXTEL 9999999721700</t>
  </si>
  <si>
    <t xml:space="preserve">INT  PAG TIT BANCO 033</t>
  </si>
  <si>
    <t xml:space="preserve">ELECTRONFOTOMANIA</t>
  </si>
  <si>
    <t xml:space="preserve">ELECTRONJOSEFA MARL</t>
  </si>
  <si>
    <t xml:space="preserve">ELECTRONLOJA PROGRE</t>
  </si>
  <si>
    <t xml:space="preserve">ELECTRONMUNDIAL CAL</t>
  </si>
  <si>
    <t xml:space="preserve">SAQUE 24H 11143138 14/06</t>
  </si>
  <si>
    <t xml:space="preserve">ELECTRONDV3</t>
  </si>
  <si>
    <t xml:space="preserve">ELECTRONRUMO LESTE</t>
  </si>
  <si>
    <t xml:space="preserve">ELECTRONAGUA FRIA P</t>
  </si>
  <si>
    <t xml:space="preserve">ELECTRONMERCADOCAR</t>
  </si>
  <si>
    <t xml:space="preserve">Pç carro</t>
  </si>
  <si>
    <t xml:space="preserve">INT PAG TIT 176008796308</t>
  </si>
  <si>
    <t xml:space="preserve">SAQUE 24H 11661220 21/06</t>
  </si>
  <si>
    <t xml:space="preserve">ELECTRONVON BEBEER</t>
  </si>
  <si>
    <t xml:space="preserve">ELECTRONDIB FERNAND</t>
  </si>
  <si>
    <t xml:space="preserve">ELECTRONJARDIM MODA</t>
  </si>
  <si>
    <t xml:space="preserve">INT PAG TIT 109804018839</t>
  </si>
  <si>
    <t xml:space="preserve">SAQUE 24H 08799322 28/06</t>
  </si>
  <si>
    <t xml:space="preserve">INT NET SERV COMUNICAC 4</t>
  </si>
  <si>
    <t xml:space="preserve">divida</t>
  </si>
  <si>
    <t xml:space="preserve">ELECTRONDIA BRASIL</t>
  </si>
  <si>
    <t xml:space="preserve">ELECTRONPOSTO FLORI</t>
  </si>
  <si>
    <t xml:space="preserve">ELECTRONREDE DE CAR</t>
  </si>
  <si>
    <t xml:space="preserve">TAR PACOTE ITAU   JUN/20</t>
  </si>
  <si>
    <t xml:space="preserve">INT PAG TIT 109001140044</t>
  </si>
  <si>
    <t xml:space="preserve">SAQUE 24H 13784251 05/07</t>
  </si>
  <si>
    <t xml:space="preserve">SAQUE 24H 18568832</t>
  </si>
  <si>
    <t xml:space="preserve">conserto maquina</t>
  </si>
  <si>
    <t xml:space="preserve">LIS/JUROS     14 DIAS</t>
  </si>
  <si>
    <t xml:space="preserve">INT NEXTEL 9699999717361</t>
  </si>
  <si>
    <t xml:space="preserve">ELECTRONDIA FRANQUI</t>
  </si>
  <si>
    <t xml:space="preserve">ELECTRONMAHAL LANCH</t>
  </si>
  <si>
    <t xml:space="preserve">ELECTRON2081  - PA</t>
  </si>
  <si>
    <t xml:space="preserve">SAQUE 24H 10992964 12/07</t>
  </si>
  <si>
    <t xml:space="preserve">INT NEXTEL 9499999717361</t>
  </si>
  <si>
    <t xml:space="preserve">ELECTRONFAZ MASTER</t>
  </si>
  <si>
    <t xml:space="preserve">ELECTRONPAG*CamilaT</t>
  </si>
  <si>
    <t xml:space="preserve">INT TED  451045 DOMINGOS</t>
  </si>
  <si>
    <t xml:space="preserve">manutenção</t>
  </si>
  <si>
    <t xml:space="preserve">TBI 0747.56106-6</t>
  </si>
  <si>
    <t xml:space="preserve">emprestimo</t>
  </si>
  <si>
    <t xml:space="preserve">ELECTRONDROGARIA VE</t>
  </si>
  <si>
    <t xml:space="preserve">ELECTRONPAG*Phoenix</t>
  </si>
  <si>
    <t xml:space="preserve">ELECTRONRRM EST E G</t>
  </si>
  <si>
    <t xml:space="preserve">ELECTRONSONIA NORIK</t>
  </si>
  <si>
    <t xml:space="preserve">INT TED 237274100473111</t>
  </si>
  <si>
    <t xml:space="preserve">INT TED 212000112860972</t>
  </si>
  <si>
    <t xml:space="preserve">SAQUE 24H 09919556 26/07</t>
  </si>
  <si>
    <t xml:space="preserve">TBI 1491.48993-4michelle</t>
  </si>
  <si>
    <t xml:space="preserve">ELECTRONLJ 17 GLOBA</t>
  </si>
  <si>
    <t xml:space="preserve">ELECTRONPAG*FarmaEF</t>
  </si>
  <si>
    <t xml:space="preserve">DOC 001.REST. IR</t>
  </si>
  <si>
    <t xml:space="preserve">restituição irpf</t>
  </si>
  <si>
    <t xml:space="preserve">(-) SALDO A LIBERAR</t>
  </si>
  <si>
    <t xml:space="preserve">SALDO FINAL DEVEDOR</t>
  </si>
  <si>
    <t xml:space="preserve">ELECTRONALTO DA SER</t>
  </si>
  <si>
    <t xml:space="preserve">TAR PACOTE ITAU   JUL/20</t>
  </si>
  <si>
    <t xml:space="preserve">INT NEXTEL 9399999712769</t>
  </si>
  <si>
    <t xml:space="preserve">INT NEXTEL 9399999712844</t>
  </si>
  <si>
    <t xml:space="preserve">INT TED  189541 SEMI</t>
  </si>
  <si>
    <t xml:space="preserve">ELECTRONCOZINHART E</t>
  </si>
  <si>
    <t xml:space="preserve">ELECTRONKALUNGA NOV</t>
  </si>
  <si>
    <t xml:space="preserve">ELECTRONRUFPLAST</t>
  </si>
  <si>
    <t xml:space="preserve">INT PAG TIT 109001179554</t>
  </si>
  <si>
    <t xml:space="preserve">ELECTRONGABRIELLA C</t>
  </si>
  <si>
    <t xml:space="preserve">ELECTRONBRILHO REAL</t>
  </si>
  <si>
    <t xml:space="preserve">SAQUE 24H 11269792 16/08</t>
  </si>
  <si>
    <t xml:space="preserve">material casa</t>
  </si>
  <si>
    <t xml:space="preserve">ELECTRONMAYARA SEGA</t>
  </si>
  <si>
    <t xml:space="preserve">ELECTRONPAD CONF JD</t>
  </si>
  <si>
    <t xml:space="preserve">SAQUE 24H 10350379 23/08</t>
  </si>
  <si>
    <t xml:space="preserve">ELECTRONCASAS DE BO</t>
  </si>
  <si>
    <t xml:space="preserve">ELECTRONCENTRO AUTO</t>
  </si>
  <si>
    <t xml:space="preserve">ELECTRONPAG*Chaveir</t>
  </si>
  <si>
    <t xml:space="preserve">chaveiro</t>
  </si>
  <si>
    <t xml:space="preserve">SAQUE 24H 12686085 30/08</t>
  </si>
  <si>
    <t xml:space="preserve">TAR PACOTE ITAU   AGO/20</t>
  </si>
  <si>
    <t xml:space="preserve">SAQUE 24H 16358012 06/09</t>
  </si>
  <si>
    <t xml:space="preserve">ELECTRONPAG*OPESCAD</t>
  </si>
  <si>
    <t xml:space="preserve">INT NEXTEL 9099999708303</t>
  </si>
  <si>
    <t xml:space="preserve">INT PAG TIT 109016422561</t>
  </si>
  <si>
    <t xml:space="preserve">ELECTRONPAG*Mercado</t>
  </si>
  <si>
    <t xml:space="preserve">CXE 000844 SAQUE 13/09</t>
  </si>
  <si>
    <t xml:space="preserve">SAQUE 24H 10588358 13/09</t>
  </si>
  <si>
    <t xml:space="preserve">INT NEXTEL 9399999708378</t>
  </si>
  <si>
    <t xml:space="preserve">ELECTRONADRIANO CHI</t>
  </si>
  <si>
    <t xml:space="preserve">ELECTRONMG COMERCIO</t>
  </si>
  <si>
    <t xml:space="preserve">ELECTRONLINDA VIVI</t>
  </si>
  <si>
    <t xml:space="preserve">ELECTRONPAG*bancado</t>
  </si>
  <si>
    <t xml:space="preserve">SAQUE 24H 09674540 19/09</t>
  </si>
  <si>
    <t xml:space="preserve">aniversario samuel(entr+van)</t>
  </si>
  <si>
    <t xml:space="preserve">INT TED  498255 SEMI</t>
  </si>
  <si>
    <t xml:space="preserve">ELECTRONJ A SABAO C</t>
  </si>
  <si>
    <t xml:space="preserve">ELECTRONLOIRASSA BA</t>
  </si>
  <si>
    <t xml:space="preserve">ELECTRONMARIA AMALI</t>
  </si>
  <si>
    <t xml:space="preserve">ELECTRONPAG*CarlaGo</t>
  </si>
  <si>
    <t xml:space="preserve">ELECTRONPAG*Joseane</t>
  </si>
  <si>
    <t xml:space="preserve">ELECTRONPAG*Mariaap</t>
  </si>
  <si>
    <t xml:space="preserve">ELECTRONPAG*SERGIOY</t>
  </si>
  <si>
    <t xml:space="preserve">ELECTRONPASTEIS M M</t>
  </si>
  <si>
    <t xml:space="preserve">ELECTRONRICARDO VIA</t>
  </si>
  <si>
    <t xml:space="preserve">ELECTRONM S H</t>
  </si>
  <si>
    <t xml:space="preserve">ELECTRONMARCELO ROD</t>
  </si>
  <si>
    <t xml:space="preserve">SAQUE 24H 10744894 27/09</t>
  </si>
  <si>
    <t xml:space="preserve">ELECTRONPASTEIS TAN</t>
  </si>
  <si>
    <t xml:space="preserve">INT TED  160641 SEGURO</t>
  </si>
  <si>
    <t xml:space="preserve">TAR PACOTE ITAU   SET/20</t>
  </si>
  <si>
    <t xml:space="preserve">SAQUE 24H 14082226 04/10</t>
  </si>
  <si>
    <t xml:space="preserve">ELECTRONPAG*BOMBONI</t>
  </si>
  <si>
    <t xml:space="preserve">INT NEXTEL 9699999704015</t>
  </si>
  <si>
    <t xml:space="preserve">INT NEXTEL 9699999703948</t>
  </si>
  <si>
    <t xml:space="preserve">ELECTRONFCIA PAGUE</t>
  </si>
  <si>
    <t xml:space="preserve">INT PAG TIT 109022757711</t>
  </si>
  <si>
    <t xml:space="preserve">SAQUE 24H 12755310 11/10</t>
  </si>
  <si>
    <t xml:space="preserve">ELECTRONRAGAZZO CAE</t>
  </si>
  <si>
    <t xml:space="preserve">devolução</t>
  </si>
  <si>
    <t xml:space="preserve">CEI     000021 DINHEIRO</t>
  </si>
  <si>
    <t xml:space="preserve">SAQUE S/CARTAO 24H109864</t>
  </si>
  <si>
    <t xml:space="preserve">TBI 7633.10704-514522</t>
  </si>
  <si>
    <t xml:space="preserve">azul</t>
  </si>
  <si>
    <t xml:space="preserve">SAQUE 24H 10705093 25/10</t>
  </si>
  <si>
    <t xml:space="preserve">TBI 2959.24196-5     C/C</t>
  </si>
  <si>
    <t xml:space="preserve">INT TED  554013 SEMI</t>
  </si>
  <si>
    <t xml:space="preserve">TBI 0534.18071-6     C/C</t>
  </si>
  <si>
    <t xml:space="preserve">SAQUE 24H 13727318 01/11</t>
  </si>
  <si>
    <t xml:space="preserve">ELECTRONSANDROHAIR</t>
  </si>
  <si>
    <t xml:space="preserve">TAR PACOTE ITAU   OUT/20</t>
  </si>
  <si>
    <t xml:space="preserve">TBI 0057.13714-3     C/C</t>
  </si>
  <si>
    <t xml:space="preserve">LIS/JUROS     17 DIAS</t>
  </si>
  <si>
    <t xml:space="preserve">ELECTRONCANTAREIRA</t>
  </si>
  <si>
    <t xml:space="preserve">INT PAG TIT 109027453506</t>
  </si>
  <si>
    <t xml:space="preserve">SAQUE 24H 17920331 08/11</t>
  </si>
  <si>
    <t xml:space="preserve">ELECTRONCLAUDIA KAN</t>
  </si>
  <si>
    <t xml:space="preserve">ELECTRONVALENS BAR</t>
  </si>
  <si>
    <t xml:space="preserve">INT NEXTEL 9799999699806</t>
  </si>
  <si>
    <t xml:space="preserve">ELECTRONCENTURY PAE</t>
  </si>
  <si>
    <t xml:space="preserve">SAQUE 24H 12468625 15/11</t>
  </si>
  <si>
    <t xml:space="preserve">ELECTRONJAILSON BAL</t>
  </si>
  <si>
    <t xml:space="preserve">ELECTRONPAG*HiroCal</t>
  </si>
  <si>
    <t xml:space="preserve">ELECTRONSANTO GOLE</t>
  </si>
  <si>
    <t xml:space="preserve">TED 340.0000SAMUEL JOSE</t>
  </si>
  <si>
    <t xml:space="preserve">ELECTRONARLINDO VAL</t>
  </si>
  <si>
    <t xml:space="preserve">ELECTRONSANTANA DRI</t>
  </si>
  <si>
    <t xml:space="preserve">ELECTRONJOHNNYS 535</t>
  </si>
  <si>
    <t xml:space="preserve">ELECTRONPAG*CaioVin</t>
  </si>
  <si>
    <t xml:space="preserve">ELECTRONPLAYLAND -</t>
  </si>
  <si>
    <t xml:space="preserve">ELECTRONCANDYMELL</t>
  </si>
  <si>
    <t xml:space="preserve">PIX TRANSF  FRANCIS26/11</t>
  </si>
  <si>
    <t xml:space="preserve">EST PIX TF  FRANCISCO</t>
  </si>
  <si>
    <t xml:space="preserve">estorno</t>
  </si>
  <si>
    <t xml:space="preserve">TBI 0745.13546-7     C/C</t>
  </si>
  <si>
    <t xml:space="preserve">BO  PROMOCAO PIX CADAST</t>
  </si>
  <si>
    <t xml:space="preserve">ELECTRONPARK PLACE</t>
  </si>
  <si>
    <t xml:space="preserve">SAQUE 24H 15720220 29/11</t>
  </si>
  <si>
    <t xml:space="preserve">TED 237.2846ANDRE N BA</t>
  </si>
</sst>
</file>

<file path=xl/styles.xml><?xml version="1.0" encoding="utf-8"?>
<styleSheet xmlns="http://schemas.openxmlformats.org/spreadsheetml/2006/main">
  <numFmts count="12">
    <numFmt numFmtId="164" formatCode="General"/>
    <numFmt numFmtId="165" formatCode="D/M/YYYY"/>
    <numFmt numFmtId="166" formatCode="0.00"/>
    <numFmt numFmtId="167" formatCode="&quot; R$ &quot;* #,##0.00\ ;&quot; R$ &quot;* \(#,##0.00\);&quot; R$ &quot;* \-#\ ;@\ "/>
    <numFmt numFmtId="168" formatCode="[$R$-416]\ #,##0.00;[RED]\-[$R$-416]\ #,##0.00"/>
    <numFmt numFmtId="169" formatCode="DD/MM/YY"/>
    <numFmt numFmtId="170" formatCode="0000\ "/>
    <numFmt numFmtId="171" formatCode="#,##0.00"/>
    <numFmt numFmtId="172" formatCode="DD/MM/YYYY"/>
    <numFmt numFmtId="173" formatCode="#0000_-"/>
    <numFmt numFmtId="174" formatCode="[$R$-pt-BR]\ * #,##0.00"/>
    <numFmt numFmtId="175" formatCode="[$R$]\ * #,##0.00"/>
  </numFmts>
  <fonts count="27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0"/>
      <name val="Arial"/>
      <family val="2"/>
      <charset val="1"/>
    </font>
    <font>
      <sz val="11"/>
      <color rgb="FFFF0000"/>
      <name val="Calibri"/>
      <family val="2"/>
      <charset val="1"/>
    </font>
    <font>
      <sz val="10"/>
      <name val="Arial"/>
      <family val="0"/>
      <charset val="1"/>
    </font>
    <font>
      <sz val="11"/>
      <color rgb="FF008000"/>
      <name val="Arial"/>
      <family val="0"/>
      <charset val="1"/>
    </font>
    <font>
      <sz val="11"/>
      <name val="Arial"/>
      <family val="0"/>
      <charset val="1"/>
    </font>
    <font>
      <sz val="10"/>
      <color rgb="FFFF0000"/>
      <name val="Arial"/>
      <family val="2"/>
      <charset val="1"/>
    </font>
    <font>
      <b val="true"/>
      <sz val="12"/>
      <name val="Arial"/>
      <family val="0"/>
      <charset val="1"/>
    </font>
    <font>
      <b val="true"/>
      <sz val="12"/>
      <color rgb="FFFF0000"/>
      <name val="Arial"/>
      <family val="0"/>
      <charset val="1"/>
    </font>
    <font>
      <sz val="10"/>
      <name val="Times New Roman"/>
      <family val="1"/>
      <charset val="1"/>
    </font>
    <font>
      <b val="true"/>
      <sz val="12"/>
      <color rgb="FF008000"/>
      <name val="Arial"/>
      <family val="0"/>
      <charset val="1"/>
    </font>
    <font>
      <b val="true"/>
      <sz val="10"/>
      <color rgb="FFC9211E"/>
      <name val="Arial"/>
      <family val="2"/>
      <charset val="1"/>
    </font>
    <font>
      <b val="true"/>
      <sz val="12"/>
      <name val="Times New Roman"/>
      <family val="1"/>
      <charset val="1"/>
    </font>
    <font>
      <b val="true"/>
      <sz val="10"/>
      <color rgb="FFCE181E"/>
      <name val="Arial"/>
      <family val="2"/>
      <charset val="1"/>
    </font>
    <font>
      <sz val="12"/>
      <name val="Arial"/>
      <family val="0"/>
      <charset val="1"/>
    </font>
    <font>
      <sz val="10"/>
      <name val="Callibri"/>
      <family val="0"/>
      <charset val="1"/>
    </font>
    <font>
      <b val="true"/>
      <sz val="10"/>
      <name val="Callibri"/>
      <family val="0"/>
      <charset val="1"/>
    </font>
    <font>
      <sz val="11"/>
      <name val="Arial"/>
      <family val="2"/>
      <charset val="1"/>
    </font>
    <font>
      <sz val="10"/>
      <color rgb="FFCE181E"/>
      <name val="Arial"/>
      <family val="2"/>
      <charset val="1"/>
    </font>
    <font>
      <sz val="10"/>
      <color rgb="FFC9211E"/>
      <name val="Arial"/>
      <family val="2"/>
      <charset val="1"/>
    </font>
    <font>
      <b val="true"/>
      <sz val="10"/>
      <color rgb="FF000000"/>
      <name val="Arial"/>
      <family val="2"/>
      <charset val="1"/>
    </font>
    <font>
      <sz val="10"/>
      <color rgb="FF000000"/>
      <name val="Arial"/>
      <family val="2"/>
      <charset val="1"/>
    </font>
    <font>
      <b val="true"/>
      <sz val="11"/>
      <name val="Arial"/>
      <family val="0"/>
      <charset val="1"/>
    </font>
    <font>
      <sz val="10"/>
      <color rgb="FFC9211E"/>
      <name val="Times New Roman"/>
      <family val="1"/>
      <charset val="1"/>
    </font>
  </fonts>
  <fills count="10">
    <fill>
      <patternFill patternType="none"/>
    </fill>
    <fill>
      <patternFill patternType="gray125"/>
    </fill>
    <fill>
      <patternFill patternType="solid">
        <fgColor rgb="FFCCCCCC"/>
        <bgColor rgb="FFC0C0C0"/>
      </patternFill>
    </fill>
    <fill>
      <patternFill patternType="solid">
        <fgColor rgb="FFDDDDDD"/>
        <bgColor rgb="FFEEEEEE"/>
      </patternFill>
    </fill>
    <fill>
      <patternFill patternType="solid">
        <fgColor rgb="FFB2B2B2"/>
        <bgColor rgb="FFBFBFBF"/>
      </patternFill>
    </fill>
    <fill>
      <patternFill patternType="solid">
        <fgColor rgb="FF999999"/>
        <bgColor rgb="FF808080"/>
      </patternFill>
    </fill>
    <fill>
      <patternFill patternType="solid">
        <fgColor rgb="FFBFBFBF"/>
        <bgColor rgb="FFC0C0C0"/>
      </patternFill>
    </fill>
    <fill>
      <patternFill patternType="solid">
        <fgColor rgb="FFFFFF00"/>
        <bgColor rgb="FFFFF200"/>
      </patternFill>
    </fill>
    <fill>
      <patternFill patternType="solid">
        <fgColor rgb="FFEEEEEE"/>
        <bgColor rgb="FFDDDDDD"/>
      </patternFill>
    </fill>
    <fill>
      <patternFill patternType="solid">
        <fgColor rgb="FFFFF200"/>
        <bgColor rgb="FFFFFF00"/>
      </patternFill>
    </fill>
  </fills>
  <borders count="39">
    <border diagonalUp="false" diagonalDown="false">
      <left/>
      <right/>
      <top/>
      <bottom/>
      <diagonal/>
    </border>
    <border diagonalUp="false" diagonalDown="false">
      <left/>
      <right/>
      <top/>
      <bottom style="thin">
        <color rgb="FFC0C0C0"/>
      </bottom>
      <diagonal/>
    </border>
    <border diagonalUp="false" diagonalDown="false">
      <left style="hair"/>
      <right style="hair"/>
      <top style="hair"/>
      <bottom style="hair"/>
      <diagonal/>
    </border>
    <border diagonalUp="false" diagonalDown="false">
      <left style="medium"/>
      <right style="medium"/>
      <top style="medium"/>
      <bottom style="hair"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medium"/>
      <right style="thin"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/>
      <right style="thin"/>
      <top/>
      <bottom style="thin"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/>
      <top/>
      <bottom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 style="medium"/>
      <right style="thin"/>
      <top style="medium"/>
      <bottom/>
      <diagonal/>
    </border>
    <border diagonalUp="false" diagonalDown="false">
      <left/>
      <right/>
      <top style="medium"/>
      <bottom style="thin"/>
      <diagonal/>
    </border>
    <border diagonalUp="false" diagonalDown="false">
      <left/>
      <right style="medium"/>
      <top style="medium"/>
      <bottom style="thin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thin"/>
      <right style="medium"/>
      <top style="thin"/>
      <bottom/>
      <diagonal/>
    </border>
    <border diagonalUp="false" diagonalDown="false">
      <left style="thin"/>
      <right style="medium"/>
      <top/>
      <bottom/>
      <diagonal/>
    </border>
    <border diagonalUp="false" diagonalDown="false">
      <left style="thin"/>
      <right style="medium"/>
      <top/>
      <bottom style="thin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/>
      <top style="thin"/>
      <bottom style="medium"/>
      <diagonal/>
    </border>
    <border diagonalUp="false" diagonalDown="false">
      <left/>
      <right/>
      <top style="thin"/>
      <bottom style="medium"/>
      <diagonal/>
    </border>
    <border diagonalUp="false" diagonalDown="false">
      <left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/>
      <right/>
      <top style="medium"/>
      <bottom/>
      <diagonal/>
    </border>
    <border diagonalUp="false" diagonalDown="false">
      <left/>
      <right style="medium"/>
      <top style="medium"/>
      <bottom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 style="thin"/>
      <right style="thin"/>
      <top style="thin"/>
      <bottom style="thin"/>
      <diagonal/>
    </border>
  </borders>
  <cellStyleXfs count="27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167" fontId="0" fillId="0" borderId="0" applyFont="true" applyBorder="false" applyAlignment="true" applyProtection="false">
      <alignment horizontal="general" vertical="bottom" textRotation="0" wrapText="false" indent="0" shrinkToFit="false"/>
    </xf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left" vertical="bottom" textRotation="0" wrapText="false" indent="0" shrinkToFit="false"/>
    </xf>
    <xf numFmtId="164" fontId="4" fillId="0" borderId="0" applyFont="true" applyBorder="false" applyAlignment="true" applyProtection="false">
      <alignment horizontal="left" vertical="bottom" textRotation="0" wrapText="false" indent="0" shrinkToFit="false"/>
    </xf>
    <xf numFmtId="164" fontId="4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</cellStyleXfs>
  <cellXfs count="31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5" fillId="0" borderId="0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8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8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9" fontId="6" fillId="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0" fontId="6" fillId="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7" fillId="2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7" fontId="6" fillId="2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6" fillId="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0" fontId="6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6" fillId="0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6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1" fontId="7" fillId="0" borderId="2" xfId="0" applyFont="true" applyBorder="true" applyAlignment="true" applyProtection="false">
      <alignment horizontal="right" vertical="center" textRotation="0" wrapText="false" indent="1" shrinkToFit="false"/>
      <protection locked="true" hidden="false"/>
    </xf>
    <xf numFmtId="164" fontId="8" fillId="0" borderId="1" xfId="0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71" fontId="7" fillId="0" borderId="1" xfId="0" applyFont="true" applyBorder="true" applyAlignment="true" applyProtection="false">
      <alignment horizontal="right" vertical="center" textRotation="0" wrapText="false" indent="1" shrinkToFit="false"/>
      <protection locked="true" hidden="false"/>
    </xf>
    <xf numFmtId="165" fontId="0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0" fontId="6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6" fillId="0" borderId="2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8" fillId="0" borderId="2" xfId="0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64" fontId="6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72" fontId="0" fillId="0" borderId="0" xfId="17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65" fontId="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2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72" fontId="4" fillId="3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3" borderId="2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4" fillId="3" borderId="2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4" fillId="0" borderId="2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5" fontId="4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2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8" fillId="3" borderId="2" xfId="0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64" fontId="10" fillId="3" borderId="2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3" fontId="8" fillId="3" borderId="2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1" fontId="11" fillId="3" borderId="2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0" fillId="3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1" fontId="0" fillId="3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12" fillId="3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8" fillId="3" borderId="2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1" fontId="8" fillId="3" borderId="2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1" fontId="7" fillId="3" borderId="2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9" fillId="3" borderId="2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2" fillId="3" borderId="2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3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1" fontId="13" fillId="3" borderId="2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0" fillId="0" borderId="2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0" fillId="0" borderId="2" xfId="0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73" fontId="8" fillId="0" borderId="2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1" fontId="10" fillId="0" borderId="2" xfId="0" applyFont="true" applyBorder="true" applyAlignment="true" applyProtection="false">
      <alignment horizontal="right" vertical="center" textRotation="0" wrapText="false" indent="1" shrinkToFit="false"/>
      <protection locked="true" hidden="false"/>
    </xf>
    <xf numFmtId="164" fontId="0" fillId="0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1" fontId="0" fillId="0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9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1" fontId="8" fillId="0" borderId="2" xfId="0" applyFont="true" applyBorder="true" applyAlignment="true" applyProtection="false">
      <alignment horizontal="right" vertical="center" textRotation="0" wrapText="false" indent="1" shrinkToFit="false"/>
      <protection locked="true" hidden="false"/>
    </xf>
    <xf numFmtId="164" fontId="10" fillId="3" borderId="2" xfId="0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71" fontId="10" fillId="3" borderId="2" xfId="0" applyFont="true" applyBorder="true" applyAlignment="true" applyProtection="false">
      <alignment horizontal="right" vertical="center" textRotation="0" wrapText="false" indent="1" shrinkToFit="false"/>
      <protection locked="true" hidden="false"/>
    </xf>
    <xf numFmtId="165" fontId="9" fillId="3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1" fontId="8" fillId="3" borderId="2" xfId="0" applyFont="true" applyBorder="true" applyAlignment="true" applyProtection="false">
      <alignment horizontal="right" vertical="center" textRotation="0" wrapText="false" indent="1" shrinkToFit="false"/>
      <protection locked="true" hidden="false"/>
    </xf>
    <xf numFmtId="171" fontId="7" fillId="3" borderId="2" xfId="0" applyFont="true" applyBorder="true" applyAlignment="true" applyProtection="false">
      <alignment horizontal="right" vertical="center" textRotation="0" wrapText="false" indent="1" shrinkToFit="false"/>
      <protection locked="true" hidden="false"/>
    </xf>
    <xf numFmtId="164" fontId="10" fillId="0" borderId="1" xfId="0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73" fontId="8" fillId="0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1" fontId="10" fillId="0" borderId="1" xfId="0" applyFont="true" applyBorder="true" applyAlignment="true" applyProtection="false">
      <alignment horizontal="right" vertical="center" textRotation="0" wrapText="false" indent="1" shrinkToFit="false"/>
      <protection locked="true" hidden="false"/>
    </xf>
    <xf numFmtId="171" fontId="8" fillId="0" borderId="1" xfId="0" applyFont="true" applyBorder="true" applyAlignment="true" applyProtection="false">
      <alignment horizontal="right" vertical="center" textRotation="0" wrapText="false" indent="1" shrinkToFit="false"/>
      <protection locked="true" hidden="false"/>
    </xf>
    <xf numFmtId="164" fontId="4" fillId="4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4" fillId="4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4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4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4" fillId="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4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3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0" fillId="4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4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4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4" fillId="0" borderId="2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2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2" xfId="0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4" fillId="2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" xfId="0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2" borderId="2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0" borderId="8" xfId="0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9" fontId="0" fillId="0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2" xfId="26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9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9" xfId="0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0" borderId="10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0" borderId="11" xfId="0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4" fillId="4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2" xfId="0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0" borderId="13" xfId="0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0" borderId="14" xfId="0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0" borderId="15" xfId="0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0" borderId="16" xfId="0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0" borderId="17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8" xfId="2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9" xfId="2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0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13" xfId="23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5" fontId="0" fillId="0" borderId="14" xfId="23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5" fontId="4" fillId="0" borderId="21" xfId="24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10" xfId="23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15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6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1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22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23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12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21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23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3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4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9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24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25" xfId="24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4" fillId="0" borderId="26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27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28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29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2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4" fillId="2" borderId="2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4" fillId="2" borderId="2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2" fontId="4" fillId="2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4" fillId="2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14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0" fillId="2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2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71" fontId="8" fillId="0" borderId="2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4" fillId="2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14" fillId="2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2" fontId="0" fillId="0" borderId="0" xfId="0" applyFont="false" applyBorder="false" applyAlignment="true" applyProtection="false">
      <alignment horizontal="general" vertical="top" textRotation="0" wrapText="false" indent="0" shrinkToFit="false"/>
      <protection locked="true" hidden="false"/>
    </xf>
    <xf numFmtId="167" fontId="0" fillId="0" borderId="0" xfId="17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72" fontId="0" fillId="0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72" fontId="15" fillId="4" borderId="2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5" fillId="4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15" fillId="4" borderId="2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15" fillId="4" borderId="2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16" fillId="0" borderId="2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0" fillId="0" borderId="0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72" fontId="17" fillId="3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3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4" fontId="8" fillId="3" borderId="2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8" fillId="3" borderId="2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10" fillId="3" borderId="2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17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4" fontId="8" fillId="0" borderId="2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8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4" fontId="8" fillId="0" borderId="1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10" fillId="0" borderId="1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17" fillId="2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2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4" fontId="8" fillId="2" borderId="1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4" fontId="10" fillId="2" borderId="1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17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2" fontId="17" fillId="2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2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4" fontId="8" fillId="2" borderId="2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8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9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2" fontId="0" fillId="0" borderId="0" xfId="17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0" borderId="2" xfId="0" applyFont="fals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2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0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30" xfId="2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1" xfId="2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2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2" fontId="0" fillId="0" borderId="32" xfId="23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72" fontId="0" fillId="0" borderId="33" xfId="23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72" fontId="4" fillId="0" borderId="34" xfId="24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72" fontId="4" fillId="0" borderId="22" xfId="24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32" xfId="23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33" xfId="23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4" fillId="0" borderId="35" xfId="24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4" fillId="0" borderId="24" xfId="24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74" fontId="0" fillId="0" borderId="15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4" fontId="0" fillId="0" borderId="11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4" fontId="0" fillId="0" borderId="0" xfId="21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4" fontId="4" fillId="0" borderId="34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4" fontId="4" fillId="0" borderId="22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4" fontId="0" fillId="0" borderId="12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4" fontId="0" fillId="0" borderId="8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4" fontId="4" fillId="0" borderId="36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4" fontId="4" fillId="0" borderId="23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4" fontId="0" fillId="0" borderId="13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4" fontId="0" fillId="0" borderId="9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4" fontId="4" fillId="0" borderId="35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4" fontId="4" fillId="0" borderId="24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4" fontId="4" fillId="0" borderId="26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4" fontId="4" fillId="0" borderId="28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4" fontId="4" fillId="0" borderId="37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4" fontId="4" fillId="0" borderId="29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3" xfId="0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5" fontId="4" fillId="5" borderId="3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5" borderId="3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5" borderId="3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5" borderId="3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21" fillId="5" borderId="3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1" fillId="5" borderId="3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6" borderId="3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1" fillId="0" borderId="3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2" borderId="3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4" fillId="2" borderId="38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8" fontId="4" fillId="2" borderId="38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8" fontId="0" fillId="2" borderId="38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7" fontId="16" fillId="2" borderId="38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7" fontId="0" fillId="2" borderId="38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8" fontId="22" fillId="2" borderId="2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8" fontId="0" fillId="2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22" fillId="2" borderId="38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7" fontId="0" fillId="0" borderId="38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8" fontId="21" fillId="0" borderId="38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7" fontId="0" fillId="7" borderId="38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5" fontId="4" fillId="0" borderId="3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4" fillId="0" borderId="38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8" fontId="4" fillId="0" borderId="38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8" fontId="0" fillId="0" borderId="38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7" fontId="16" fillId="0" borderId="38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8" fontId="22" fillId="3" borderId="2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8" fontId="22" fillId="0" borderId="2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8" fontId="22" fillId="0" borderId="38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7" fontId="16" fillId="0" borderId="2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7" fontId="0" fillId="0" borderId="2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7" fontId="4" fillId="0" borderId="2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8" fontId="14" fillId="0" borderId="2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8" fontId="16" fillId="0" borderId="34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5" fontId="23" fillId="0" borderId="4" xfId="17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7" fontId="23" fillId="0" borderId="5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8" fontId="4" fillId="0" borderId="5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8" fontId="0" fillId="0" borderId="5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8" fontId="24" fillId="0" borderId="5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5" fontId="23" fillId="0" borderId="25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7" fontId="23" fillId="0" borderId="37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7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8" fillId="0" borderId="2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4" fillId="4" borderId="3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4" borderId="3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3" fillId="4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4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4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4" fillId="4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4" fillId="8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4" fillId="2" borderId="2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8" fontId="4" fillId="4" borderId="2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8" fontId="4" fillId="8" borderId="2" xfId="17" applyFont="true" applyBorder="true" applyAlignment="true" applyProtection="true">
      <alignment horizontal="justify" vertical="bottom" textRotation="0" wrapText="false" indent="0" shrinkToFit="false"/>
      <protection locked="true" hidden="false"/>
    </xf>
    <xf numFmtId="167" fontId="23" fillId="8" borderId="2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8" fontId="0" fillId="8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8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4" fillId="8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8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8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4" fillId="8" borderId="2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5" fontId="4" fillId="9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4" fillId="9" borderId="2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8" fontId="4" fillId="9" borderId="2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8" fontId="0" fillId="9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23" fillId="9" borderId="2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4" fillId="9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4" fillId="9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9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4" fillId="0" borderId="2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7" fontId="23" fillId="0" borderId="2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4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25" fillId="0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8" fillId="0" borderId="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0" fillId="0" borderId="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0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17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5" fontId="8" fillId="0" borderId="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9" fillId="0" borderId="2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2" fillId="0" borderId="2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74" fontId="8" fillId="0" borderId="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2" borderId="2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8" fillId="0" borderId="2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26" fillId="0" borderId="2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0" fillId="0" borderId="2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8" fillId="2" borderId="2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0" fillId="2" borderId="2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0" fillId="4" borderId="2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8" fillId="4" borderId="2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8" fillId="0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0" fillId="7" borderId="2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0" fillId="7" borderId="2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7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0" fillId="2" borderId="2" xfId="0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64" fontId="8" fillId="2" borderId="2" xfId="0" applyFont="true" applyBorder="true" applyAlignment="true" applyProtection="false">
      <alignment horizontal="left" vertical="center" textRotation="0" wrapText="false" indent="1" shrinkToFit="false"/>
      <protection locked="true" hidden="false"/>
    </xf>
  </cellXfs>
  <cellStyles count="13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Pivot Table Corner" xfId="20" builtinId="53" customBuiltin="true"/>
    <cellStyle name="Pivot Table Value" xfId="21" builtinId="53" customBuiltin="true"/>
    <cellStyle name="Pivot Table Field" xfId="22" builtinId="53" customBuiltin="true"/>
    <cellStyle name="Pivot Table Category" xfId="23" builtinId="53" customBuiltin="true"/>
    <cellStyle name="Pivot Table Title" xfId="24" builtinId="53" customBuiltin="true"/>
    <cellStyle name="Pivot Table Result" xfId="25" builtinId="53" customBuiltin="true"/>
    <cellStyle name="Excel Built-in Explanatory Text" xfId="26" builtinId="53" customBuiltin="true"/>
  </cellStyles>
  <dxfs count="1">
    <dxf>
      <font>
        <name val="Arial"/>
        <charset val="1"/>
        <family val="2"/>
      </font>
    </dxf>
  </dxfs>
  <colors>
    <indexedColors>
      <rgbColor rgb="FF000000"/>
      <rgbColor rgb="FFEEEEEE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B2B2B2"/>
      <rgbColor rgb="FFCE181E"/>
      <rgbColor rgb="FFFFFFCC"/>
      <rgbColor rgb="FFCCFFFF"/>
      <rgbColor rgb="FF660066"/>
      <rgbColor rgb="FFFF8080"/>
      <rgbColor rgb="FF0066CC"/>
      <rgbColor rgb="FFCCCCCC"/>
      <rgbColor rgb="FF000080"/>
      <rgbColor rgb="FFFF00FF"/>
      <rgbColor rgb="FFFFF200"/>
      <rgbColor rgb="FF00FFFF"/>
      <rgbColor rgb="FF800080"/>
      <rgbColor rgb="FF800000"/>
      <rgbColor rgb="FF008080"/>
      <rgbColor rgb="FF0000FF"/>
      <rgbColor rgb="FF00CCFF"/>
      <rgbColor rgb="FFCCFFFF"/>
      <rgbColor rgb="FFDDDDDD"/>
      <rgbColor rgb="FFFFFF99"/>
      <rgbColor rgb="FFBFBFB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99999"/>
      <rgbColor rgb="FF003366"/>
      <rgbColor rgb="FF339966"/>
      <rgbColor rgb="FF003300"/>
      <rgbColor rgb="FF333300"/>
      <rgbColor rgb="FFC9211E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worksheet" Target="worksheets/sheet6.xml"/><Relationship Id="rId8" Type="http://schemas.openxmlformats.org/officeDocument/2006/relationships/worksheet" Target="worksheets/sheet7.xml"/><Relationship Id="rId9" Type="http://schemas.openxmlformats.org/officeDocument/2006/relationships/worksheet" Target="worksheets/sheet8.xml"/><Relationship Id="rId10" Type="http://schemas.openxmlformats.org/officeDocument/2006/relationships/worksheet" Target="worksheets/sheet9.xml"/><Relationship Id="rId11" Type="http://schemas.openxmlformats.org/officeDocument/2006/relationships/worksheet" Target="worksheets/sheet10.xml"/><Relationship Id="rId12" Type="http://schemas.openxmlformats.org/officeDocument/2006/relationships/worksheet" Target="worksheets/sheet11.xml"/><Relationship Id="rId13" Type="http://schemas.openxmlformats.org/officeDocument/2006/relationships/worksheet" Target="worksheets/sheet12.xml"/><Relationship Id="rId14" Type="http://schemas.openxmlformats.org/officeDocument/2006/relationships/worksheet" Target="worksheets/sheet13.xml"/><Relationship Id="rId15" Type="http://schemas.openxmlformats.org/officeDocument/2006/relationships/sharedStrings" Target="sharedStrings.xml"/><Relationship Id="rId16" Type="http://schemas.openxmlformats.org/officeDocument/2006/relationships/pivotCacheDefinition" Target="pivotCache/pivotCacheDefinition1.xml"/><Relationship Id="rId17" Type="http://schemas.openxmlformats.org/officeDocument/2006/relationships/pivotCacheDefinition" Target="pivotCache/pivotCacheDefinition2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pivotCache/_rels/pivotCacheDefinition1.xml.rels><?xml version="1.0" encoding="UTF-8"?>
<Relationships xmlns="http://schemas.openxmlformats.org/package/2006/relationships"><Relationship Id="rId1" Type="http://schemas.openxmlformats.org/officeDocument/2006/relationships/pivotCacheRecords" Target="pivotCacheRecords1.xml"/>
</Relationships>
</file>

<file path=xl/pivotCache/_rels/pivotCacheDefinition2.xml.rels><?xml version="1.0" encoding="UTF-8"?>
<Relationships xmlns="http://schemas.openxmlformats.org/package/2006/relationships"><Relationship Id="rId1" Type="http://schemas.openxmlformats.org/officeDocument/2006/relationships/pivotCacheRecords" Target="pivotCacheRecords2.xml"/>
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cordCount="589" createdVersion="3">
  <cacheSource type="worksheet">
    <worksheetSource ref="A1:H590" sheet="debito"/>
  </cacheSource>
  <cacheFields count="8">
    <cacheField name="descrição" numFmtId="0">
      <sharedItems count="42">
        <s v="agua"/>
        <s v="alimentação"/>
        <s v="banco"/>
        <s v="benção"/>
        <s v="boleto"/>
        <s v="cabeleireiro"/>
        <s v="cartão de credito"/>
        <s v="celular"/>
        <s v="compras"/>
        <s v="condominio"/>
        <s v="creche"/>
        <s v="deposito"/>
        <s v="doação"/>
        <s v="enfermagem"/>
        <s v="entrada"/>
        <s v="estacionamento"/>
        <s v="farmacia"/>
        <s v="feira"/>
        <s v="frango"/>
        <s v="gasolina"/>
        <s v="igreja"/>
        <s v="juros"/>
        <s v="lazer"/>
        <s v="mercado"/>
        <s v="michelle"/>
        <s v="multa"/>
        <s v="natação"/>
        <s v="padaria"/>
        <s v="pix"/>
        <s v="poupança"/>
        <s v="poupatempo rg"/>
        <s v="reembolso"/>
        <s v="rembolso"/>
        <s v="resgate"/>
        <s v="retirada"/>
        <s v="roupa"/>
        <s v="salario"/>
        <s v="saldo"/>
        <s v="saque"/>
        <s v="seguro"/>
        <s v="seminario"/>
        <s v="tapete"/>
      </sharedItems>
    </cacheField>
    <cacheField name="data" numFmtId="0">
      <sharedItems count="115">
        <s v="01/02/2021"/>
        <s v="01/03/2021"/>
        <s v="01/04/2021"/>
        <s v="01/06/2021"/>
        <s v="02/02/2021"/>
        <s v="02/03/2021"/>
        <s v="02/06/2021"/>
        <s v="03/02/2021"/>
        <s v="03/03/2021"/>
        <s v="03/05/2021"/>
        <s v="04/01/2021"/>
        <s v="04/02/2021"/>
        <s v="04/03/2021"/>
        <s v="04/05/2021"/>
        <s v="04/06/2021"/>
        <s v="05/01/2021"/>
        <s v="05/02/2021"/>
        <s v="05/03/2021"/>
        <s v="05/04/2021"/>
        <s v="05/05/2021"/>
        <s v="06/01/2021"/>
        <s v="06/04/2021"/>
        <s v="06/05/2021"/>
        <s v="07/01/2021"/>
        <s v="07/04/2021"/>
        <s v="07/05/2021"/>
        <s v="07/06/2021"/>
        <s v="08/02/2021"/>
        <s v="08/03/2021"/>
        <s v="08/04/2021"/>
        <s v="08/06/2021"/>
        <s v="09/02/2021"/>
        <s v="09/03/2021"/>
        <s v="09/04/2021"/>
        <s v="09/06/2021"/>
        <s v="10/02/2021"/>
        <s v="10/03/2021"/>
        <s v="10/05/2021"/>
        <s v="10/06/2021"/>
        <s v="11/01/2021"/>
        <s v="11/02/2021"/>
        <s v="11/03/2021"/>
        <s v="11/05/2021"/>
        <s v="11/06/2021"/>
        <s v="12/02/2021"/>
        <s v="12/03/2021"/>
        <s v="12/04/2021"/>
        <s v="12/05/2021"/>
        <s v="13/01/2021"/>
        <s v="13/05/2021"/>
        <s v="14/01/2021"/>
        <s v="14/04/2021"/>
        <s v="14/05/2021"/>
        <s v="14/06/2021"/>
        <s v="15/01/2021"/>
        <s v="15/03/2021"/>
        <s v="15/04/2021"/>
        <s v="15/06/2021"/>
        <s v="16/03/2021"/>
        <s v="16/04/2021"/>
        <s v="16/06/2021"/>
        <s v="17/02/2021"/>
        <s v="17/03/2021"/>
        <s v="17/05/2021"/>
        <s v="17/06/2021"/>
        <s v="18/01/2021"/>
        <s v="18/02/2021"/>
        <s v="18/03/2021"/>
        <s v="18/05/2021"/>
        <s v="18/06/2021"/>
        <s v="19/01/2021"/>
        <s v="19/02/2021"/>
        <s v="19/03/2021"/>
        <s v="19/04/2021"/>
        <s v="19/05/2021"/>
        <s v="20/01/2021"/>
        <s v="20/04/2021"/>
        <s v="20/05/2021"/>
        <s v="21/05/2021"/>
        <s v="21/06/2021"/>
        <s v="22/01/2021"/>
        <s v="22/02/2021"/>
        <s v="22/03/2021"/>
        <s v="22/04/2021"/>
        <s v="22/06/2021"/>
        <s v="23/02/2021"/>
        <s v="23/03/2021"/>
        <s v="23/06/2021"/>
        <s v="24/02/2021"/>
        <s v="24/03/2021"/>
        <s v="24/05/2021"/>
        <s v="24/06/2021"/>
        <s v="25/02/2021"/>
        <s v="25/03/2021"/>
        <s v="25/05/2021"/>
        <s v="25/06/2021"/>
        <s v="26/01/2021"/>
        <s v="26/02/2021"/>
        <s v="26/03/2021"/>
        <s v="26/04/2021"/>
        <s v="26/05/2021"/>
        <s v="27/01/2021"/>
        <s v="27/04/2021"/>
        <s v="28/01/2021"/>
        <s v="28/02/2021"/>
        <s v="28/04/2021"/>
        <s v="28/05/2021"/>
        <s v="28/06/2021"/>
        <s v="29/01/2021"/>
        <s v="29/03/2021"/>
        <s v="29/04/2021"/>
        <s v="30/03/2021"/>
        <s v="31/03/2021"/>
        <s v="31/05/2021"/>
        <s v="31/12/2020"/>
      </sharedItems>
    </cacheField>
    <cacheField name="lançamento" numFmtId="0">
      <sharedItems count="241">
        <s v="DEB AUTOR AZUL CIA SEG"/>
        <s v="DEB AUTOR UNICEF"/>
        <s v="ELECTRONA POSTO JD"/>
        <s v="ELECTRONA PREFERIDA"/>
        <s v="ELECTRONANTONIO SER"/>
        <s v="ELECTRONARIZONA PAE"/>
        <s v="ELECTRONAUTO POSTO"/>
        <s v="ELECTRONAUTOPASS"/>
        <s v="ELECTRONAV ZACHI NA"/>
        <s v="ELECTRONBARRACA DE"/>
        <s v="ELECTRONBD"/>
        <s v="ELECTRONBELLO ART C"/>
        <s v="ELECTRONBETTER INFO"/>
        <s v="ELECTRONBIBLIA CULT"/>
        <s v="ELECTRONBRAZ LEME"/>
        <s v="ELECTRONBREADS VALL"/>
        <s v="ELECTRONCACAU SHOW"/>
        <s v="ELECTRONCARLOS REIS"/>
        <s v="ELECTRONCB CONCEITO"/>
        <s v="ELECTRONCENTAURO SH"/>
        <s v="ELECTRONCENTER CHIC"/>
        <s v="ELECTRONCINEMARK TU"/>
        <s v="ELECTRONCONFECCOES"/>
        <s v="ELECTRONDONAJU"/>
        <s v="ELECTRONDROG SAO PA"/>
        <s v="ELECTRONDROGARIA MA"/>
        <s v="ELECTRONDROGARIA PR"/>
        <s v="ELECTRONDROGARIA SA"/>
        <s v="ELECTRONDU MORBAII"/>
        <s v="ELECTRONENG CAETANO"/>
        <s v="ELECTRONESKALA 112"/>
        <s v="ELECTRONESPORT SCAP"/>
        <s v="ELECTRONESTAPAR SHO"/>
        <s v="ELECTRONESTETICA AU"/>
        <s v="ELECTRONEVANDRO G N"/>
        <s v="ELECTRONFARMACIA IN"/>
        <s v="ELECTRONFARMACIAS P"/>
        <s v="ELECTRONFARMAVAN XI"/>
        <s v="ELECTRONFEIRANTE"/>
        <s v="ELECTRONFENIX"/>
        <s v="ELECTRONFERNANDA GO"/>
        <s v="ELECTRONFINI"/>
        <s v="ELECTRONFURACAO DA"/>
        <s v="ELECTRONHABIB S"/>
        <s v="ELECTRONHABIBS"/>
        <s v="ELECTRONIMW 3 R VIL"/>
        <s v="ELECTRONINDIGO"/>
        <s v="ELECTRONINOVESORVET"/>
        <s v="ELECTRONJEFFERSON*j"/>
        <s v="ELECTRONKRAFT"/>
        <s v="ELECTRONLANCHONETE"/>
        <s v="ELECTRONLEGUMES&amp; VE"/>
        <s v="ELECTRONLILIANE AYU"/>
        <s v="ELECTRONLOJAS AMERI"/>
        <s v="ELECTRONLOJAS RENNE"/>
        <s v="ELECTRONLOJASMEL SA"/>
        <s v="ELECTRONLOUCADEMIA"/>
        <s v="ELECTRONM A KOCH LA"/>
        <s v="ELECTRONMARELLAS CA"/>
        <s v="ELECTRONMARGINAL GR"/>
        <s v="ELECTRONMARIA DAS G"/>
        <s v="ELECTRONMARIA ELENA"/>
        <s v="ELECTRONMC DONALDS"/>
        <s v="ELECTRONMERCPAGO"/>
        <s v="ELECTRONMEU CHAPA B"/>
        <s v="ELECTRONMINI MERCAD"/>
        <s v="ELECTRONNELSON NASC"/>
        <s v="ELECTRONPAES E DOCE"/>
        <s v="ELECTRONPAG*BazarLi"/>
        <s v="ELECTRONPAG*CleberL"/>
        <s v="ELECTRONPAG*CleliaA"/>
        <s v="ELECTRONPAG*Cristia"/>
        <s v="ELECTRONPAG*DEDECOR"/>
        <s v="ELECTRONPAG*DirceYu"/>
        <s v="ELECTRONPAG*Farmaco"/>
        <s v="ELECTRONPAG*Frigott"/>
        <s v="ELECTRONPAG*galasso"/>
        <s v="ELECTRONPAG*Geraldo"/>
        <s v="ELECTRONPAG*Henriqu"/>
        <s v="ELECTRONPAG*Josisma"/>
        <s v="ELECTRONPAG*Juliana"/>
        <s v="ELECTRONPAG*JURACIA"/>
        <s v="ELECTRONPAG*MariaAp"/>
        <s v="ELECTRONPAG*MONICAP"/>
        <s v="ELECTRONPAG*OsneiSa"/>
        <s v="ELECTRONPAG*produto"/>
        <s v="ELECTRONPAG*Rosange"/>
        <s v="ELECTRONPAG*Rufplas"/>
        <s v="ELECTRONPAG*SidneyD"/>
        <s v="ELECTRONPAG*Verdura"/>
        <s v="ELECTRONPAG*WaldirN"/>
        <s v="ELECTRONPANDYS"/>
        <s v="ELECTRONPANIFICADOR"/>
        <s v="ELECTRONPARK NOW ES"/>
        <s v="ELECTRONPASTEIS NIS"/>
        <s v="ELECTRONPASTEIS SON"/>
        <s v="ELECTRONPERFUMARIA"/>
        <s v="ELECTRONPROMOFARMA"/>
        <s v="ELECTRONQUITANDA ME"/>
        <s v="ELECTRONR C P FARMA"/>
        <s v="ELECTRONRAGAZZO"/>
        <s v="ELECTRONRAIA 47"/>
        <s v="ELECTRONRAVIOLITALI"/>
        <s v="ELECTRONREINALDO DE"/>
        <s v="ELECTRONRICARDO VAS"/>
        <s v="ELECTRONRIO CONTENS"/>
        <s v="ELECTRONRODRIGO MAU"/>
        <s v="ELECTRONROSANGELA F"/>
        <s v="ELECTRONS KOMESU MA"/>
        <s v="ELECTRONSALAO FERNA"/>
        <s v="ELECTRONSERGIO EIZO"/>
        <s v="ELECTRONSHOPPING CE"/>
        <s v="ELECTRONSHOPPING TU"/>
        <s v="ELECTRONSILVIO NAKA"/>
        <s v="ELECTRONSODIMAC"/>
        <s v="ELECTRONSONDA JACAN"/>
        <s v="ELECTRONSONDA TREME"/>
        <s v="ELECTRONSONEDA PERF"/>
        <s v="ELECTRONSR ELIAS CH"/>
        <s v="ELECTRONTORRA TORRA"/>
        <s v="ELECTRONTRIMAIS II"/>
        <s v="ELECTRONTRIMAIS SUP"/>
        <s v="ELECTRONW PAPER"/>
        <s v="ELECTRONYINGXUE MA"/>
        <s v="EST ELECMARIA DAS G"/>
        <s v="INT  PAG TIT BANCO 077"/>
        <s v="INT  PAG TIT BANCO 237"/>
        <s v="INT DARF333202885930"/>
        <s v="INT IPVA-SP HOH-6396"/>
        <s v="INT ITAUCARD"/>
        <s v="INT MULTA SP 31997756838"/>
        <s v="INT NEXTEL 9099999679470"/>
        <s v="INT NEXTEL 9099999679474"/>
        <s v="INT NEXTEL 9099999687157"/>
        <s v="INT NEXTEL 9299999684097"/>
        <s v="INT NEXTEL 9499999671486"/>
        <s v="INT NEXTEL 9499999675466"/>
        <s v="INT NEXTEL 9499999687161"/>
        <s v="INT NEXTEL 9799999671486"/>
        <s v="INT NEXTEL 9899999675456"/>
        <s v="INT NEXTEL 9899999684073"/>
        <s v="INT NEXTEL 9899999691047"/>
        <s v="INT NEXTEL 9899999691090"/>
        <s v="INT PAG TIT 109006113573"/>
        <s v="INT PAG TIT 109006113581"/>
        <s v="INT PAG TIT 109006113599"/>
        <s v="INT PAG TIT 109006113607"/>
        <s v="INT PAG TIT 109038470523"/>
        <s v="INT PAG TIT 109046299963"/>
        <s v="INT PAG TIT 109049905525"/>
        <s v="INT PAG TIT 109054906699"/>
        <s v="INT PAG TIT 109062715132"/>
        <s v="INT PAG TIT 109068881029"/>
        <s v="INT SEFAZ-SP/DARE 210590"/>
        <s v="INT TED  467957"/>
        <s v="IOF"/>
        <s v="LIS/JUROS     11 DIAS"/>
        <s v="LIS/JUROS     13 DIAS"/>
        <s v="LIS/JUROS     21 DIAS"/>
        <s v="LIS/JUROS     24 DIAS"/>
        <s v="PIX QRS CLAUDIO DOU13/02"/>
        <s v="PIX TRANSF  ALEXAND03/04"/>
        <s v="PIX TRANSF  ALEXAND07/05"/>
        <s v="PIX TRANSF  ALEXAND09/06"/>
        <s v="PIX TRANSF  ALEXAND18/02"/>
        <s v="PIX TRANSF  ALEXAND23/01"/>
        <s v="PIX TRANSF  Ana Mar02/02"/>
        <s v="PIX TRANSF  ANDRE N02/05"/>
        <s v="PIX TRANSF  ANDRE N04/06"/>
        <s v="PIX TRANSF  ANDRE N11/06"/>
        <s v="PIX TRANSF  ANDRE N15/02"/>
        <s v="PIX TRANSF  ANDRE N15/03"/>
        <s v="PIX TRANSF  ANDRE N15/04"/>
        <s v="PIX TRANSF  ANDRE N16/05"/>
        <s v="PIX TRANSF  ANDRE N21/02"/>
        <s v="PIX TRANSF  ANDRE N27/02"/>
        <s v="PIX TRANSF  ANDRE N31/01"/>
        <s v="PIX TRANSF  ANDRE N31/03"/>
        <s v="PIX TRANSF  ANDRE N31/05"/>
        <s v="PIX TRANSF  BRUNA R02/05"/>
        <s v="PIX TRANSF  Bruna R03/04"/>
        <s v="PIX TRANSF  BRUNA R16/05"/>
        <s v="PIX TRANSF  DILSHAD05/05"/>
        <s v="PIX TRANSF  EDUARDO06/02"/>
        <s v="PIX TRANSF  ESPACO 09/06"/>
        <s v="PIX TRANSF  ESPACO 12/05"/>
        <s v="PIX TRANSF  ESPACO 14/04"/>
        <s v="PIX TRANSF  GINENUT07/05"/>
        <s v="PIX TRANSF  GINENUT20/03"/>
        <s v="PIX TRANSF  HELENIC18/06"/>
        <s v="PIX TRANSF  IGREJA 12/03"/>
        <s v="PIX TRANSF  IMW 3 R02/05"/>
        <s v="PIX TRANSF  IMW 3 R12/06"/>
        <s v="PIX TRANSF  IMW 3 R15/04"/>
        <s v="PIX TRANSF  IMW 3 R16/03"/>
        <s v="PIX TRANSF  IMW 3 R16/05"/>
        <s v="PIX TRANSF  IMW 3 R31/03"/>
        <s v="PIX TRANSF  IMW 3 R31/05"/>
        <s v="PIX TRANSF  IMW R 303/05"/>
        <s v="PIX TRANSF  JONAS A05/04"/>
        <s v="PIX TRANSF  Michele04/06"/>
        <s v="PIX TRANSF  MICHELL04/03"/>
        <s v="PIX TRANSF  OPIUM M24/06"/>
        <s v="PIX TRANSF  OPIUM M25/06"/>
        <s v="REND PAGO APLIC AUT MAIS"/>
        <s v="SALDO ANTERIOR"/>
        <s v="SALDO DO DIA"/>
        <s v="SAQUE 24H 08140386"/>
        <s v="SAQUE 24H 08956930 15/05"/>
        <s v="SAQUE 24H 08959967 28/03"/>
        <s v="SAQUE 24H 09069402 23/05"/>
        <s v="SAQUE 24H 10024040"/>
        <s v="SAQUE 24H 10758613 24/01"/>
        <s v="SAQUE 24H 10893139 02/05"/>
        <s v="SAQUE 24H 10958403 16/05"/>
        <s v="SAQUE 24H 11104585 14/02"/>
        <s v="SAQUE 24H 11261716 11/04"/>
        <s v="SAQUE 24H 11286911 20/06"/>
        <s v="SAQUE 24H 11770278 17/01"/>
        <s v="SAQUE 24H 11833548 28/02"/>
        <s v="SAQUE 24H 12244067 31/01"/>
        <s v="SAQUE 24H 12763504 21/02"/>
        <s v="SAQUE 24H 13658083 11/04"/>
        <s v="SAQUE 24H 14050421 06/06"/>
        <s v="SAQUE 24H 14793616 09/05"/>
        <s v="SAQUE 24H 16333155 07/03"/>
        <s v="SAQUE 24H 18100537"/>
        <s v="SAQUE S/CARTAO 24H060890"/>
        <s v="SDO CTA/APL AUTOMATICAS"/>
        <s v="SEGURO CARTAO"/>
        <s v="TAR PACOTE ITAU   ABR/21"/>
        <s v="TAR PACOTE ITAU   DEZ/20"/>
        <s v="TAR PACOTE ITAU   FEV/21"/>
        <s v="TAR PACOTE ITAU   JAN/21"/>
        <s v="TAR PACOTE ITAU   MAI/21"/>
        <s v="TAR PACOTE ITAU   MAR/21"/>
        <s v="TBI 0747.56106-6     C/C"/>
        <s v="TBI 9293.22915-0/500"/>
        <s v="TED 237.0001BRADESCO SAU"/>
        <s v="TED 237.2846ANDRE N BARB"/>
        <s v="TIT PAG TIT ULO ITAU"/>
      </sharedItems>
    </cacheField>
    <cacheField name="ag./origem" numFmtId="0">
      <sharedItems containsBlank="1" count="25">
        <s v="4175"/>
        <s v="5086"/>
        <s v="6501"/>
        <s v="9014"/>
        <s v="9026"/>
        <s v="9028"/>
        <s v="9120"/>
        <s v="9121"/>
        <s v="9122"/>
        <s v="9123"/>
        <s v="9125"/>
        <s v="9126"/>
        <s v="9128"/>
        <s v="9129"/>
        <s v="9131"/>
        <s v="9132"/>
        <s v="9136"/>
        <s v="9212"/>
        <s v="9293"/>
        <s v="9327"/>
        <s v="9773"/>
        <s v="9779"/>
        <s v="9925"/>
        <s v="9953"/>
        <m/>
      </sharedItems>
    </cacheField>
    <cacheField name="valor (R$)" numFmtId="0">
      <sharedItems containsString="0" containsBlank="1" containsNumber="1" minValue="-7685.86" maxValue="8000" count="330">
        <n v="-7685.86"/>
        <n v="-6000"/>
        <n v="-5527.93"/>
        <n v="-5465.37"/>
        <n v="-4000"/>
        <n v="-3975.33"/>
        <n v="-3876.74"/>
        <n v="-3626.45"/>
        <n v="-2869.83"/>
        <n v="-2755.11"/>
        <n v="-2000"/>
        <n v="-1929.14"/>
        <n v="-1897.15"/>
        <n v="-1675.38"/>
        <n v="-1369.56"/>
        <n v="-1233.47"/>
        <n v="-971"/>
        <n v="-935.56"/>
        <n v="-850.4"/>
        <n v="-812.34"/>
        <n v="-678"/>
        <n v="-552.32"/>
        <n v="-549.2"/>
        <n v="-542"/>
        <n v="-539.2"/>
        <n v="-496.64"/>
        <n v="-493.44"/>
        <n v="-491.85"/>
        <n v="-485.42"/>
        <n v="-471.06"/>
        <n v="-464.17"/>
        <n v="-443.34"/>
        <n v="-422"/>
        <n v="-411.12"/>
        <n v="-402.75"/>
        <n v="-394.33"/>
        <n v="-385.75"/>
        <n v="-362.4"/>
        <n v="-340"/>
        <n v="-326.5"/>
        <n v="-264.04"/>
        <n v="-263.93"/>
        <n v="-255"/>
        <n v="-250.31"/>
        <n v="-247.87"/>
        <n v="-244.51"/>
        <n v="-240.13"/>
        <n v="-238.78"/>
        <n v="-197.51"/>
        <n v="-192.66"/>
        <n v="-190.98"/>
        <n v="-190.33"/>
        <n v="-189.69"/>
        <n v="-189.07"/>
        <n v="-182.23"/>
        <n v="-178.33"/>
        <n v="-170.07"/>
        <n v="-157.53"/>
        <n v="-150"/>
        <n v="-148.19"/>
        <n v="-148"/>
        <n v="-140.75"/>
        <n v="-140.24"/>
        <n v="-140"/>
        <n v="-135.25"/>
        <n v="-134.5"/>
        <n v="-132.13"/>
        <n v="-124.43"/>
        <n v="-118.11"/>
        <n v="-112.71"/>
        <n v="-110.67"/>
        <n v="-108.94"/>
        <n v="-107.71"/>
        <n v="-104.74"/>
        <n v="-104.22"/>
        <n v="-103.39"/>
        <n v="-102.5"/>
        <n v="-100"/>
        <n v="-97.53"/>
        <n v="-97.49"/>
        <n v="-97.1"/>
        <n v="-96"/>
        <n v="-92.09"/>
        <n v="-90.68"/>
        <n v="-88.76"/>
        <n v="-87.59"/>
        <n v="-87.3"/>
        <n v="-86.88"/>
        <n v="-86.87"/>
        <n v="-85"/>
        <n v="-83.92"/>
        <n v="-82.9"/>
        <n v="-82.48"/>
        <n v="-81.46"/>
        <n v="-81.21"/>
        <n v="-80.38"/>
        <n v="-79.74"/>
        <n v="-79.5"/>
        <n v="-79"/>
        <n v="-75.9"/>
        <n v="-75.44"/>
        <n v="-75"/>
        <n v="-73.8"/>
        <n v="-73.55"/>
        <n v="-72.92"/>
        <n v="-72.27"/>
        <n v="-71"/>
        <n v="-70.47"/>
        <n v="-69"/>
        <n v="-68.98"/>
        <n v="-68.48"/>
        <n v="-68"/>
        <n v="-67"/>
        <n v="-66.9"/>
        <n v="-66.12"/>
        <n v="-65.99"/>
        <n v="-65.21"/>
        <n v="-65"/>
        <n v="-64.72"/>
        <n v="-64.34"/>
        <n v="-63.6"/>
        <n v="-62.57"/>
        <n v="-61.5"/>
        <n v="-61.2"/>
        <n v="-60.08"/>
        <n v="-60"/>
        <n v="-59.02"/>
        <n v="-59"/>
        <n v="-57.23"/>
        <n v="-56.18"/>
        <n v="-55.17"/>
        <n v="-55.15"/>
        <n v="-53.32"/>
        <n v="-53"/>
        <n v="-52.88"/>
        <n v="-52.86"/>
        <n v="-52.14"/>
        <n v="-51.75"/>
        <n v="-51.69"/>
        <n v="-51.43"/>
        <n v="-51"/>
        <n v="-50"/>
        <n v="-49.99"/>
        <n v="-49.98"/>
        <n v="-48.63"/>
        <n v="-48.48"/>
        <n v="-46.9"/>
        <n v="-46.4"/>
        <n v="-46"/>
        <n v="-45.58"/>
        <n v="-45.44"/>
        <n v="-45"/>
        <n v="-44.18"/>
        <n v="-43.98"/>
        <n v="-43.64"/>
        <n v="-43.18"/>
        <n v="-41.86"/>
        <n v="-40.78"/>
        <n v="-40.62"/>
        <n v="-40.32"/>
        <n v="-40.2"/>
        <n v="-40"/>
        <n v="-39.96"/>
        <n v="-39.58"/>
        <n v="-39.51"/>
        <n v="-37.29"/>
        <n v="-36.96"/>
        <n v="-36.84"/>
        <n v="-36.5"/>
        <n v="-36.18"/>
        <n v="-35.84"/>
        <n v="-35.8"/>
        <n v="-35"/>
        <n v="-34.99"/>
        <n v="-33"/>
        <n v="-32.97"/>
        <n v="-32.89"/>
        <n v="-32"/>
        <n v="-31.9"/>
        <n v="-31.7"/>
        <n v="-31.63"/>
        <n v="-31.58"/>
        <n v="-31.25"/>
        <n v="-31.06"/>
        <n v="-30.89"/>
        <n v="-30.8"/>
        <n v="-30.76"/>
        <n v="-30"/>
        <n v="-29.6"/>
        <n v="-29.4"/>
        <n v="-29.17"/>
        <n v="-29"/>
        <n v="-28.76"/>
        <n v="-28.5"/>
        <n v="-28.09"/>
        <n v="-28"/>
        <n v="-27.9"/>
        <n v="-27.21"/>
        <n v="-27"/>
        <n v="-26.75"/>
        <n v="-26.09"/>
        <n v="-26"/>
        <n v="-25.8"/>
        <n v="-25"/>
        <n v="-24.99"/>
        <n v="-24.97"/>
        <n v="-24.71"/>
        <n v="-24.7"/>
        <n v="-24.66"/>
        <n v="-24.51"/>
        <n v="-24"/>
        <n v="-23.99"/>
        <n v="-23"/>
        <n v="-22.89"/>
        <n v="-22.8"/>
        <n v="-22.62"/>
        <n v="-21.99"/>
        <n v="-21.89"/>
        <n v="-21.1"/>
        <n v="-21.05"/>
        <n v="-21"/>
        <n v="-20.78"/>
        <n v="-20.69"/>
        <n v="-20.2"/>
        <n v="-20"/>
        <n v="-19.98"/>
        <n v="-19.9"/>
        <n v="-18.4"/>
        <n v="-18"/>
        <n v="-17.95"/>
        <n v="-17.9"/>
        <n v="-17.43"/>
        <n v="-17.28"/>
        <n v="-16.99"/>
        <n v="-16.98"/>
        <n v="-16.94"/>
        <n v="-16.89"/>
        <n v="-16.7"/>
        <n v="-16.48"/>
        <n v="-16.4"/>
        <n v="-16.2"/>
        <n v="-16"/>
        <n v="-15.9"/>
        <n v="-15.13"/>
        <n v="-15"/>
        <n v="-14.9"/>
        <n v="-14.77"/>
        <n v="-14.7"/>
        <n v="-14.66"/>
        <n v="-14.5"/>
        <n v="-14.22"/>
        <n v="-14.2"/>
        <n v="-14"/>
        <n v="-13.99"/>
        <n v="-13.7"/>
        <n v="-13"/>
        <n v="-12.98"/>
        <n v="-12.97"/>
        <n v="-12.9"/>
        <n v="-12.69"/>
        <n v="-12.6"/>
        <n v="-12.56"/>
        <n v="-12.2"/>
        <n v="-12"/>
        <n v="-11.98"/>
        <n v="-11.9"/>
        <n v="-11.7"/>
        <n v="-11.5"/>
        <n v="-11"/>
        <n v="-10.99"/>
        <n v="-10.58"/>
        <n v="-10"/>
        <n v="-9.98"/>
        <n v="-9.9"/>
        <n v="-9.85"/>
        <n v="-9.81"/>
        <n v="-9.75"/>
        <n v="-8"/>
        <n v="-7.95"/>
        <n v="-7.8"/>
        <n v="-7.38"/>
        <n v="-7.29"/>
        <n v="-7"/>
        <n v="-6.94"/>
        <n v="-6.71"/>
        <n v="-6.61"/>
        <n v="-6.25"/>
        <n v="-6.18"/>
        <n v="-6"/>
        <n v="-5.99"/>
        <n v="-5.75"/>
        <n v="-5.73"/>
        <n v="-5.01"/>
        <n v="-5"/>
        <n v="-4.5"/>
        <n v="-4.4"/>
        <n v="-4.38"/>
        <n v="-4.21"/>
        <n v="-4.03"/>
        <n v="-4"/>
        <n v="-3.76"/>
        <n v="-3.04"/>
        <n v="-3"/>
        <n v="-2"/>
        <n v="-1.29"/>
        <n v="-1.02"/>
        <n v="0.01"/>
        <n v="1"/>
        <n v="30"/>
        <n v="32.86"/>
        <n v="33"/>
        <n v="40"/>
        <n v="150"/>
        <n v="200"/>
        <n v="353"/>
        <n v="392"/>
        <n v="422.21"/>
        <n v="1000"/>
        <n v="1404.69"/>
        <n v="3624.01"/>
        <n v="3926.79"/>
        <n v="3943.38"/>
        <n v="4111.2"/>
        <n v="4303.32"/>
        <n v="5000"/>
        <n v="5392"/>
        <n v="5492"/>
        <n v="7000"/>
        <n v="8000"/>
        <m/>
      </sharedItems>
    </cacheField>
    <cacheField name="valor_convertido_saida (R$)" numFmtId="0">
      <sharedItems containsSemiMixedTypes="0" containsString="0" containsNumber="1" minValue="0" maxValue="7685.86" count="292">
        <n v="0"/>
        <n v="1.02"/>
        <n v="1.29"/>
        <n v="2"/>
        <n v="3"/>
        <n v="3.04"/>
        <n v="3.76"/>
        <n v="4"/>
        <n v="4.03"/>
        <n v="4.21"/>
        <n v="4.38"/>
        <n v="4.4"/>
        <n v="4.5"/>
        <n v="5"/>
        <n v="5.01"/>
        <n v="5.73"/>
        <n v="5.75"/>
        <n v="5.99"/>
        <n v="6"/>
        <n v="6.18"/>
        <n v="6.25"/>
        <n v="6.61"/>
        <n v="6.71"/>
        <n v="6.94"/>
        <n v="7"/>
        <n v="7.29"/>
        <n v="7.38"/>
        <n v="7.8"/>
        <n v="7.95"/>
        <n v="8"/>
        <n v="9.75"/>
        <n v="9.81"/>
        <n v="9.85"/>
        <n v="9.9"/>
        <n v="9.98"/>
        <n v="10"/>
        <n v="10.58"/>
        <n v="10.99"/>
        <n v="11"/>
        <n v="11.5"/>
        <n v="11.7"/>
        <n v="11.9"/>
        <n v="11.98"/>
        <n v="12"/>
        <n v="12.2"/>
        <n v="12.56"/>
        <n v="12.6"/>
        <n v="12.69"/>
        <n v="12.9"/>
        <n v="12.97"/>
        <n v="12.98"/>
        <n v="13"/>
        <n v="13.7"/>
        <n v="13.99"/>
        <n v="14"/>
        <n v="14.2"/>
        <n v="14.22"/>
        <n v="14.5"/>
        <n v="14.66"/>
        <n v="14.7"/>
        <n v="14.77"/>
        <n v="14.9"/>
        <n v="15"/>
        <n v="15.13"/>
        <n v="15.9"/>
        <n v="16"/>
        <n v="16.2"/>
        <n v="16.4"/>
        <n v="16.48"/>
        <n v="16.7"/>
        <n v="16.89"/>
        <n v="16.94"/>
        <n v="16.98"/>
        <n v="16.99"/>
        <n v="17.28"/>
        <n v="17.43"/>
        <n v="17.9"/>
        <n v="17.95"/>
        <n v="18"/>
        <n v="18.4"/>
        <n v="19.9"/>
        <n v="19.98"/>
        <n v="20"/>
        <n v="20.2"/>
        <n v="20.69"/>
        <n v="20.78"/>
        <n v="21"/>
        <n v="21.05"/>
        <n v="21.1"/>
        <n v="21.89"/>
        <n v="21.99"/>
        <n v="22.62"/>
        <n v="22.8"/>
        <n v="22.89"/>
        <n v="23"/>
        <n v="23.99"/>
        <n v="24"/>
        <n v="24.51"/>
        <n v="24.66"/>
        <n v="24.7"/>
        <n v="24.71"/>
        <n v="24.97"/>
        <n v="24.99"/>
        <n v="25"/>
        <n v="25.8"/>
        <n v="26"/>
        <n v="26.09"/>
        <n v="26.75"/>
        <n v="27"/>
        <n v="27.21"/>
        <n v="27.9"/>
        <n v="28"/>
        <n v="28.09"/>
        <n v="28.5"/>
        <n v="28.76"/>
        <n v="29"/>
        <n v="29.17"/>
        <n v="29.4"/>
        <n v="29.6"/>
        <n v="30"/>
        <n v="30.76"/>
        <n v="30.8"/>
        <n v="30.89"/>
        <n v="31.06"/>
        <n v="31.25"/>
        <n v="31.58"/>
        <n v="31.63"/>
        <n v="31.7"/>
        <n v="31.9"/>
        <n v="32"/>
        <n v="32.89"/>
        <n v="32.97"/>
        <n v="33"/>
        <n v="34.99"/>
        <n v="35"/>
        <n v="35.8"/>
        <n v="35.84"/>
        <n v="36.18"/>
        <n v="36.5"/>
        <n v="36.84"/>
        <n v="36.96"/>
        <n v="37.29"/>
        <n v="39.51"/>
        <n v="39.58"/>
        <n v="39.96"/>
        <n v="40"/>
        <n v="40.2"/>
        <n v="40.32"/>
        <n v="40.62"/>
        <n v="40.78"/>
        <n v="41.86"/>
        <n v="43.18"/>
        <n v="43.64"/>
        <n v="43.98"/>
        <n v="44.18"/>
        <n v="45"/>
        <n v="45.44"/>
        <n v="45.58"/>
        <n v="46"/>
        <n v="46.4"/>
        <n v="46.9"/>
        <n v="48.48"/>
        <n v="48.63"/>
        <n v="49.98"/>
        <n v="49.99"/>
        <n v="50"/>
        <n v="51"/>
        <n v="51.43"/>
        <n v="51.69"/>
        <n v="52.14"/>
        <n v="52.86"/>
        <n v="52.88"/>
        <n v="53"/>
        <n v="53.32"/>
        <n v="55.15"/>
        <n v="55.17"/>
        <n v="56.18"/>
        <n v="57.23"/>
        <n v="59"/>
        <n v="59.02"/>
        <n v="60"/>
        <n v="60.08"/>
        <n v="61.2"/>
        <n v="61.5"/>
        <n v="62.57"/>
        <n v="63.6"/>
        <n v="64.34"/>
        <n v="64.72"/>
        <n v="65"/>
        <n v="65.21"/>
        <n v="65.99"/>
        <n v="66.12"/>
        <n v="66.9"/>
        <n v="67"/>
        <n v="68"/>
        <n v="68.48"/>
        <n v="68.98"/>
        <n v="69"/>
        <n v="70.47"/>
        <n v="71"/>
        <n v="72.27"/>
        <n v="72.92"/>
        <n v="73.55"/>
        <n v="73.8"/>
        <n v="75"/>
        <n v="75.44"/>
        <n v="75.9"/>
        <n v="79"/>
        <n v="79.5"/>
        <n v="79.74"/>
        <n v="80.38"/>
        <n v="81.21"/>
        <n v="81.46"/>
        <n v="82.48"/>
        <n v="82.9"/>
        <n v="83.92"/>
        <n v="85"/>
        <n v="86.87"/>
        <n v="86.88"/>
        <n v="87.3"/>
        <n v="88.76"/>
        <n v="90.68"/>
        <n v="92.09"/>
        <n v="96"/>
        <n v="97.1"/>
        <n v="97.49"/>
        <n v="97.53"/>
        <n v="100"/>
        <n v="102.5"/>
        <n v="103.39"/>
        <n v="104.22"/>
        <n v="104.74"/>
        <n v="107.71"/>
        <n v="108.94"/>
        <n v="110.67"/>
        <n v="112.71"/>
        <n v="118.11"/>
        <n v="124.43"/>
        <n v="132.13"/>
        <n v="134.5"/>
        <n v="135.25"/>
        <n v="140"/>
        <n v="140.24"/>
        <n v="140.75"/>
        <n v="148"/>
        <n v="148.19"/>
        <n v="150"/>
        <n v="157.53"/>
        <n v="170.07"/>
        <n v="178.33"/>
        <n v="182.23"/>
        <n v="189.07"/>
        <n v="189.69"/>
        <n v="190.33"/>
        <n v="192.66"/>
        <n v="197.51"/>
        <n v="238.78"/>
        <n v="240.13"/>
        <n v="244.51"/>
        <n v="247.87"/>
        <n v="250.31"/>
        <n v="255"/>
        <n v="263.93"/>
        <n v="264.04"/>
        <n v="326.5"/>
        <n v="340"/>
        <n v="362.4"/>
        <n v="385.75"/>
        <n v="394.33"/>
        <n v="411.12"/>
        <n v="422"/>
        <n v="443.34"/>
        <n v="464.17"/>
        <n v="471.06"/>
        <n v="485.42"/>
        <n v="491.85"/>
        <n v="493.44"/>
        <n v="496.64"/>
        <n v="539.2"/>
        <n v="542"/>
        <n v="549.2"/>
        <n v="552.32"/>
        <n v="678"/>
        <n v="971"/>
        <n v="2000"/>
        <n v="3626.45"/>
        <n v="3876.74"/>
        <n v="4000"/>
        <n v="5465.37"/>
        <n v="5527.93"/>
        <n v="6000"/>
        <n v="7685.86"/>
      </sharedItems>
    </cacheField>
    <cacheField name="valor_convertido_entrada (R$)" numFmtId="0">
      <sharedItems containsSemiMixedTypes="0" containsString="0" containsNumber="1" minValue="0" maxValue="8000" count="23">
        <n v="0"/>
        <n v="0.01"/>
        <n v="1"/>
        <n v="30"/>
        <n v="32.86"/>
        <n v="33"/>
        <n v="40"/>
        <n v="150"/>
        <n v="200"/>
        <n v="353"/>
        <n v="392"/>
        <n v="422.21"/>
        <n v="1000"/>
        <n v="3624.01"/>
        <n v="3926.79"/>
        <n v="3943.38"/>
        <n v="4111.2"/>
        <n v="4303.32"/>
        <n v="5000"/>
        <n v="5392"/>
        <n v="5492"/>
        <n v="7000"/>
        <n v="8000"/>
      </sharedItems>
    </cacheField>
    <cacheField name="REF" numFmtId="0">
      <sharedItems containsSemiMixedTypes="0" containsNonDate="0" containsDate="1" containsString="0" minDate="2021-01-01T00:00:00" maxDate="2021-06-01T00:00:00" count="6">
        <d v="2021-01-01T00:00:00"/>
        <d v="2021-02-01T00:00:00"/>
        <d v="2021-03-01T00:00:00"/>
        <d v="2021-04-01T00:00:00"/>
        <d v="2021-05-01T00:00:00"/>
        <d v="2021-06-01T00:00:00"/>
      </sharedItems>
    </cacheField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cordCount="383" createdVersion="3">
  <cacheSource type="worksheet">
    <worksheetSource ref="A1:F384" sheet="credito"/>
  </cacheSource>
  <cacheFields count="6">
    <cacheField name="descricao" numFmtId="0">
      <sharedItems count="15">
        <s v="academia"/>
        <s v="agua"/>
        <s v="alimentação"/>
        <s v="app"/>
        <s v="carro"/>
        <s v="compras"/>
        <s v="estacionamento"/>
        <s v="farmacia"/>
        <s v="iof"/>
        <s v="lazer"/>
        <s v="mecanico"/>
        <s v="mercado"/>
        <s v="padaria"/>
        <s v="parcela"/>
        <s v="posto gasolina"/>
      </sharedItems>
    </cacheField>
    <cacheField name="data" numFmtId="0">
      <sharedItems containsDate="1" containsMixedTypes="1" minDate="2021-06-14T00:00:00" maxDate="2021-06-14T00:00:00" count="130">
        <d v="2021-06-14T00:00:00"/>
        <s v="01/01/2021"/>
        <s v="01/03/2021"/>
        <s v="01/04/2021"/>
        <s v="01/05/2021"/>
        <s v="01/06/2021"/>
        <s v="02/01/2021"/>
        <s v="02/03/2021"/>
        <s v="02/04/2021"/>
        <s v="02/05/2021"/>
        <s v="02/06/2021"/>
        <s v="03/01/2021"/>
        <s v="03/05/2021"/>
        <s v="04/02/2021"/>
        <s v="04/04/2021"/>
        <s v="04/05/2021"/>
        <s v="04/06/2021"/>
        <s v="05/01/2021"/>
        <s v="05/03/2021"/>
        <s v="05/04/2021"/>
        <s v="05/05/2021"/>
        <s v="05/06/2021"/>
        <s v="05/12/2020"/>
        <s v="06/01/2021"/>
        <s v="06/02/2021"/>
        <s v="06/03/2021"/>
        <s v="06/04/2021"/>
        <s v="06/05/2021"/>
        <s v="07/03/2021"/>
        <s v="07/05/2021"/>
        <s v="07/12/2020"/>
        <s v="08/01/2021"/>
        <s v="08/04/2021"/>
        <s v="08/05/2021"/>
        <s v="09/01/2021"/>
        <s v="09/05/2021"/>
        <s v="10/02/2021"/>
        <s v="10/04/2021"/>
        <s v="10/05/2021"/>
        <s v="10/12/2020"/>
        <s v="11/01/2021"/>
        <s v="11/02/2021"/>
        <s v="11/03/2021"/>
        <s v="11/04/2021"/>
        <s v="11/12/2020"/>
        <s v="12/01/2021"/>
        <s v="12/02/2021"/>
        <s v="12/03/2021"/>
        <s v="12/04/2021"/>
        <s v="12/05/2021"/>
        <s v="13/01/2021"/>
        <s v="13/02/2021"/>
        <s v="13/03/2021"/>
        <s v="13/04/2021"/>
        <s v="13/12/2020"/>
        <s v="14/01/2021"/>
        <s v="14/04/2021"/>
        <s v="14/05/2021"/>
        <s v="14/12/2020"/>
        <s v="15/02/2021"/>
        <s v="15/05/2021"/>
        <s v="15/09/2020"/>
        <s v="15/12/2020"/>
        <s v="16/03/2021"/>
        <s v="16/05/2021"/>
        <s v="16/12/2020"/>
        <s v="17/05/2021"/>
        <s v="17/12/2020"/>
        <s v="18/01/2021"/>
        <s v="18/02/2021"/>
        <s v="18/04/2021"/>
        <s v="18/05/2021"/>
        <s v="18/12/2020"/>
        <s v="19/01/2020"/>
        <s v="19/01/2021"/>
        <s v="19/03/2021"/>
        <s v="19/05/2021"/>
        <s v="19/12/2020"/>
        <s v="20/01/2021"/>
        <s v="20/02/2021"/>
        <s v="20/03/2021"/>
        <s v="20/04/2021"/>
        <s v="20/05/2021"/>
        <s v="20/12/2020"/>
        <s v="21/01/2021"/>
        <s v="21/02/2021"/>
        <s v="21/03/2021"/>
        <s v="21/04/2021"/>
        <s v="21/05/2021"/>
        <s v="21/12/2020"/>
        <s v="22/02/2021"/>
        <s v="22/03/2021"/>
        <s v="22/04/2021"/>
        <s v="22/05/2021"/>
        <s v="22/12/2020"/>
        <s v="23/05/2021"/>
        <s v="23/12/2020"/>
        <s v="24/01/2021"/>
        <s v="24/02/2021"/>
        <s v="24/03/2021"/>
        <s v="24/04/2021"/>
        <s v="24/05/2021"/>
        <s v="24/11/2020"/>
        <s v="24/12/2020"/>
        <s v="25/04/2021"/>
        <s v="26/02/2021"/>
        <s v="26/03/2021"/>
        <s v="26/04/2021"/>
        <s v="26/12/2020"/>
        <s v="27/01/2021"/>
        <s v="27/03/2021"/>
        <s v="27/04/2021"/>
        <s v="27/05/2021"/>
        <s v="27/11/2020"/>
        <s v="27/12/2020"/>
        <s v="28/01/2021"/>
        <s v="28/02/2021"/>
        <s v="28/09/2020"/>
        <s v="28/12/2020"/>
        <s v="29/05/2021"/>
        <s v="29/12/2020"/>
        <s v="30/01/2021"/>
        <s v="30/03/2021"/>
        <s v="30/04/2021"/>
        <s v="30/05/2021"/>
        <s v="30/12/2020"/>
        <s v="31/01/2021"/>
        <s v="31/03/2021"/>
        <s v="31/05/2021"/>
        <s v="31/12/2020"/>
      </sharedItems>
    </cacheField>
    <cacheField name="lançamento" numFmtId="0">
      <sharedItems count="188">
        <s v="Aai         *aai*"/>
        <s v="Aai         *ipiranga"/>
        <s v="Academia Corpo E M01/06"/>
        <s v="Academia Corpo E M02/06"/>
        <s v="Academia Corpo E M03/06"/>
        <s v="Academia Corpo E M04/06"/>
        <s v="Academia Corpo E M05/06"/>
        <s v="Academia Corpo E Mente"/>
        <s v="Acom Mkt Place"/>
        <s v="Acom Mkt Place    01/02"/>
        <s v="Acom Mkt Place    01/03"/>
        <s v="Acom Mkt Place    02/02"/>
        <s v="Acom Mkt Place    02/03"/>
        <s v="Acom Mkt Place    03/03"/>
        <s v="Amazonprimebr"/>
        <s v="America Center Norte"/>
        <s v="Americanas Com"/>
        <s v="Americanas Marketp01/02"/>
        <s v="Americanas Marketp02/02"/>
        <s v="Antonio Sergio Lib01/02"/>
        <s v="Antonio Sergio Lib02/02"/>
        <s v="Arizona Paes"/>
        <s v="Arizona Paes E Doces"/>
        <s v="Armarinhos Fernand01/03"/>
        <s v="Armarinhos Fernand02/02"/>
        <s v="Armarinhos Fernand02/03"/>
        <s v="Armarinhos Fernand03/03"/>
        <s v="Auto Posto Amalfi Ltda"/>
        <s v="Auto Posto Lutaif"/>
        <s v="Auto Posto Tremembe"/>
        <s v="Av Zachi Narchi"/>
        <s v="Banca Do Pacheco"/>
        <s v="Bazar Hirata"/>
        <s v="Bd"/>
        <s v="Bom Filet"/>
        <s v="Brooksfield-bfcn-f01/03"/>
        <s v="Brooksfield-bfcn-f02/03"/>
        <s v="Brooksfield-bfcn-f03/03"/>
        <s v="Brooksfield-bfcn-fl.10"/>
        <s v="Camila E Carina Presen"/>
        <s v="Caps Edgar Faco"/>
        <s v="Cb Conceito Jk Comerci"/>
        <s v="Cea Scn 160"/>
        <s v="Cea Scn 160       01/03"/>
        <s v="Cea Scn 160       02/03"/>
        <s v="Cea Scn 160       03/03"/>
        <s v="Celeiro Da Fazenda"/>
        <s v="Centro Automotivo Agua"/>
        <s v="Cia Maritima"/>
        <s v="Cinemark Brasil"/>
        <s v="Conectcar Recargaapp"/>
        <s v="Confeccoes Caedu"/>
        <s v="Diego Gabriel Martins"/>
        <s v="Dl     *google Google"/>
        <s v="Dl*googlegooglep"/>
        <s v="Dl*googlegoogles"/>
        <s v="Drogaria Manoel Gaya"/>
        <s v="Drogaria Promofarma"/>
        <s v="Du Morbaii"/>
        <s v="Ebanx       *spotify"/>
        <s v="Ebanx Spotify"/>
        <s v="Ebanx*spotify"/>
        <s v="Emporio Auriun"/>
        <s v="Emporio Zucchini"/>
        <s v="Eng Caetano Alvares"/>
        <s v="Estapar Shop Center No"/>
        <s v="Fernanda Goncalves Sil"/>
        <s v="Fhf Informatica Eireli"/>
        <s v="Google Play"/>
        <s v="Google Storage"/>
        <s v="Ifd*ifood"/>
        <s v="Ifood       *ifood"/>
        <s v="iof"/>
        <s v="Kaiu's Calcados Ltda"/>
        <s v="Levi Da Silva Me"/>
        <s v="Lojao Da Vila"/>
        <s v="Lojao Do Bras"/>
        <s v="Lojao Do Bras     01/04"/>
        <s v="Lojao Do Bras     02/04"/>
        <s v="Lojao Do Bras     03/04"/>
        <s v="Lojao Do Bras     04/04"/>
        <s v="Lojas Americanas 0836"/>
        <s v="Lojas Americanas 0915"/>
        <s v="Lojas Renner Fl 49"/>
        <s v="Lojas Renner Fl 4901/03"/>
        <s v="Lojas Renner Fl 4902/03"/>
        <s v="Lojas Renner Fl 4903/03"/>
        <s v="Loucademia De Cerveja"/>
        <s v="M G M E Magalhaes Ltda"/>
        <s v="Magic Games Empreendim"/>
        <s v="Mc Donalds  Ama"/>
        <s v="Mc Donalds  Zak"/>
        <s v="Mercadocar"/>
        <s v="Meu Chapa Bar &amp; Grill"/>
        <s v="Microsoft*suz419daoemre"/>
        <s v="Netflix.com"/>
        <s v="Olibone Pneus     01/05"/>
        <s v="Olibone Pneus     02/05"/>
        <s v="Olibone Pneus     03/05"/>
        <s v="Olibone Pneus     04/05"/>
        <s v="Osto De Servicos Flors"/>
        <s v="Pag*elciomario"/>
        <s v="Pag*eldorado"/>
        <s v="Pag*frigotti"/>
        <s v="Pag*opescadorbarerest"/>
        <s v="Pag*patriciapinheirof"/>
        <s v="Pag*phoenix"/>
        <s v="Pag*wklbombo-ct E"/>
        <s v="Parc=102americanas.com"/>
        <s v="Parc=102americanas01/02"/>
        <s v="Parc=102americanas02/02"/>
        <s v="Parc=102submarino.01/02"/>
        <s v="Parc=102submarino.02/02"/>
        <s v="Parc=103kalunga.co01/03"/>
        <s v="Parc=103kalunga.co02/03"/>
        <s v="Parc=103kalunga.co03/03"/>
        <s v="Parc=103kalunga.com"/>
        <s v="Parc=104americanas.com"/>
        <s v="Parc=104americanas02/04"/>
        <s v="Parc=104americanas03/04"/>
        <s v="Parc=104americanas04/04"/>
        <s v="Parc=112dieta E Sa04/12"/>
        <s v="Parc=112dieta E Sa05/12"/>
        <s v="Parc=112dieta E Sa06/12"/>
        <s v="Parc=112dieta E Sa07/12"/>
        <s v="Parc=112dieta E Sa08/12"/>
        <s v="Parc=112dieta E Sa09/12"/>
        <s v="Parc=112gol Qnlrrg12/12"/>
        <s v="Parcelamen Fatura 01/04"/>
        <s v="Parcelamen Fatura 05/05"/>
        <s v="Ph5 Fitness -ct Ar01/03"/>
        <s v="Ph5 Fitness -ct Ar02/03"/>
        <s v="Ph5 Fitness -ct Ar03/03"/>
        <s v="Ph5 Fitness -ct Areira"/>
        <s v="Playland - Center Nort"/>
        <s v="Playland - Eldorado"/>
        <s v="Ponto Amakha Paris Lau"/>
        <s v="Posto Amma"/>
        <s v="Posto Florida"/>
        <s v="Prego C Norte 140 01/02"/>
        <s v="Prego C Norte 140 02/02"/>
        <s v="Produtos Globo"/>
        <s v="Promofarma"/>
        <s v="Promofarma        01/02"/>
        <s v="Promofarma        02/02"/>
        <s v="Ragazzo"/>
        <s v="Ragazzo Caetano Alvare"/>
        <s v="Raia 47"/>
        <s v="Rizona Paes E Doces"/>
        <s v="Rmsjoias Eireli   01/02"/>
        <s v="Rogaria Promofarma"/>
        <s v="Romofarma"/>
        <s v="Rossio"/>
        <s v="Rp1 Restaurante"/>
        <s v="Rufplast"/>
        <s v="Shopping Center Norte"/>
        <s v="Shopping Tucuruvi"/>
        <s v="Sonda Jacana"/>
        <s v="Soneda Perfumaria"/>
        <s v="Sua Academia"/>
        <s v="Submarino Mktplace"/>
        <s v="Submarino Mktplace01/02"/>
        <s v="Submarino Mktplace01/03"/>
        <s v="Submarino Mktplace02/02"/>
        <s v="Submarino Mktplace02/03"/>
        <s v="Submarino Mktplace03/03"/>
        <s v="Sumup*michelle Perf"/>
        <s v="Supermercado Berga01/02"/>
        <s v="Supermercado Berga02/02"/>
        <s v="Supermercado Bergamini"/>
        <s v="The Walt Disney Company"/>
        <s v="Torra Torra"/>
        <s v="Torra Torra       01/03"/>
        <s v="Torra Torra       02/03"/>
        <s v="Trattoria Do Guappo"/>
        <s v="Trimais Ii"/>
        <s v="Trimais Ii        01/02"/>
        <s v="Trimais Ii        02/02"/>
        <s v="Trimais Supermerca01/02"/>
        <s v="Trimais Supermerca02/02"/>
        <s v="Trimais Supermercados"/>
        <s v="Uber        *trip"/>
        <s v="Uber   *uber   *trip"/>
        <s v="Uber * Pending"/>
        <s v="Uber Jump Help.uber.com"/>
        <s v="Uber* Trip"/>
        <s v="Uto Posto Edu        S"/>
        <s v="Zoom.us 888-799-9666"/>
      </sharedItems>
    </cacheField>
    <cacheField name="valor" numFmtId="0">
      <sharedItems containsSemiMixedTypes="0" containsString="0" containsNumber="1" minValue="-219.9" maxValue="4000" count="203">
        <n v="-219.9"/>
        <n v="-0.06"/>
        <n v="-0.04"/>
        <n v="-0.02"/>
        <n v="-0.01"/>
        <n v="0"/>
        <n v="1"/>
        <n v="3.6"/>
        <n v="3.9"/>
        <n v="4.03"/>
        <n v="4.9"/>
        <n v="5"/>
        <n v="5.6"/>
        <n v="5.78"/>
        <n v="6.5"/>
        <n v="6.99"/>
        <n v="7.5"/>
        <n v="7.9"/>
        <n v="8.5"/>
        <n v="9.9"/>
        <n v="10"/>
        <n v="10.6"/>
        <n v="10.75"/>
        <n v="11"/>
        <n v="11.4"/>
        <n v="11.73"/>
        <n v="12.4"/>
        <n v="13"/>
        <n v="13.2"/>
        <n v="14.16"/>
        <n v="14.31"/>
        <n v="15.88"/>
        <n v="15.98"/>
        <n v="16.34"/>
        <n v="16.75"/>
        <n v="17.75"/>
        <n v="17.94"/>
        <n v="18.58"/>
        <n v="19.28"/>
        <n v="19.99"/>
        <n v="20"/>
        <n v="20.69"/>
        <n v="21.78"/>
        <n v="21.9"/>
        <n v="21.99"/>
        <n v="22.51"/>
        <n v="23.99"/>
        <n v="24"/>
        <n v="24.49"/>
        <n v="24.9"/>
        <n v="24.99"/>
        <n v="25"/>
        <n v="26.06"/>
        <n v="27.11"/>
        <n v="27.9"/>
        <n v="29"/>
        <n v="29.17"/>
        <n v="29.45"/>
        <n v="29.9"/>
        <n v="31.99"/>
        <n v="32.27"/>
        <n v="32.88"/>
        <n v="34.85"/>
        <n v="36"/>
        <n v="36.08"/>
        <n v="37.39"/>
        <n v="37.9"/>
        <n v="38.02"/>
        <n v="39.7"/>
        <n v="39.9"/>
        <n v="39.99"/>
        <n v="40"/>
        <n v="40.7"/>
        <n v="42.55"/>
        <n v="42.98"/>
        <n v="43"/>
        <n v="45.9"/>
        <n v="48.93"/>
        <n v="49.39"/>
        <n v="49.73"/>
        <n v="49.9"/>
        <n v="49.99"/>
        <n v="51.14"/>
        <n v="51.19"/>
        <n v="52.48"/>
        <n v="52.74"/>
        <n v="56.62"/>
        <n v="57.7"/>
        <n v="60"/>
        <n v="60.89"/>
        <n v="61.27"/>
        <n v="62.68"/>
        <n v="62.99"/>
        <n v="64.7"/>
        <n v="64.93"/>
        <n v="67"/>
        <n v="67.9"/>
        <n v="68.35"/>
        <n v="68.6"/>
        <n v="68.89"/>
        <n v="69.49"/>
        <n v="69.89"/>
        <n v="71.4"/>
        <n v="72.97"/>
        <n v="73.3"/>
        <n v="74.6"/>
        <n v="74.79"/>
        <n v="74.94"/>
        <n v="75.2"/>
        <n v="75.72"/>
        <n v="78.7"/>
        <n v="78.85"/>
        <n v="79.16"/>
        <n v="79.9"/>
        <n v="80"/>
        <n v="81"/>
        <n v="84.91"/>
        <n v="86.33"/>
        <n v="87.09"/>
        <n v="87.39"/>
        <n v="89.89"/>
        <n v="90.24"/>
        <n v="91.55"/>
        <n v="92.27"/>
        <n v="93.55"/>
        <n v="93.84"/>
        <n v="93.98"/>
        <n v="94.07"/>
        <n v="94.3"/>
        <n v="94.95"/>
        <n v="95.67"/>
        <n v="97.47"/>
        <n v="98.48"/>
        <n v="99"/>
        <n v="99.62"/>
        <n v="99.79"/>
        <n v="99.9"/>
        <n v="100.13"/>
        <n v="100.39"/>
        <n v="100.86"/>
        <n v="101.23"/>
        <n v="108.47"/>
        <n v="108.79"/>
        <n v="110.82"/>
        <n v="114.14"/>
        <n v="119.8"/>
        <n v="121.39"/>
        <n v="124.4"/>
        <n v="124.63"/>
        <n v="127.28"/>
        <n v="128.14"/>
        <n v="128.33"/>
        <n v="129.33"/>
        <n v="131.33"/>
        <n v="132.09"/>
        <n v="136.66"/>
        <n v="139.7"/>
        <n v="141.79"/>
        <n v="142.24"/>
        <n v="145.74"/>
        <n v="147.25"/>
        <n v="154.5"/>
        <n v="157.48"/>
        <n v="160.23"/>
        <n v="163.28"/>
        <n v="166.5"/>
        <n v="168.2"/>
        <n v="169.86"/>
        <n v="170.37"/>
        <n v="170.65"/>
        <n v="174.02"/>
        <n v="176.65"/>
        <n v="178.96"/>
        <n v="179.79"/>
        <n v="182.25"/>
        <n v="183.81"/>
        <n v="185.48"/>
        <n v="188.37"/>
        <n v="192.83"/>
        <n v="195"/>
        <n v="203"/>
        <n v="206.53"/>
        <n v="210"/>
        <n v="212"/>
        <n v="221.15"/>
        <n v="225"/>
        <n v="236.19"/>
        <n v="242.3"/>
        <n v="242.91"/>
        <n v="248.47"/>
        <n v="257"/>
        <n v="265"/>
        <n v="265.34"/>
        <n v="267.09"/>
        <n v="299"/>
        <n v="315.04"/>
        <n v="324.83"/>
        <n v="325"/>
        <n v="374.9"/>
        <n v="501.36"/>
        <n v="517.29"/>
        <n v="597.42"/>
        <n v="4000"/>
      </sharedItems>
    </cacheField>
    <cacheField name="REF" numFmtId="0">
      <sharedItems containsSemiMixedTypes="0" containsNonDate="0" containsDate="1" containsString="0" minDate="2021-01-01T00:00:00" maxDate="2021-06-01T00:00:00" count="6">
        <d v="2021-01-01T00:00:00"/>
        <d v="2021-02-01T00:00:00"/>
        <d v="2021-03-01T00:00:00"/>
        <d v="2021-04-01T00:00:00"/>
        <d v="2021-05-01T00:00:00"/>
        <d v="2021-06-01T00:00:00"/>
      </sharedItems>
    </cacheField>
    <cacheField name="valor_alt" numFmtId="0">
      <sharedItems containsSemiMixedTypes="0" containsString="0" containsNumber="1" minValue="-219.9" maxValue="597.42" count="252">
        <n v="-219.9"/>
        <n v="-0.06"/>
        <n v="-0.04"/>
        <n v="-0.02"/>
        <n v="-0.01"/>
        <n v="0"/>
        <n v="1"/>
        <n v="1.19"/>
        <n v="3.6"/>
        <n v="3.9"/>
        <n v="4.03"/>
        <n v="4.9"/>
        <n v="5"/>
        <n v="5.6"/>
        <n v="5.78"/>
        <n v="6.5"/>
        <n v="6.99"/>
        <n v="7.5"/>
        <n v="7.9"/>
        <n v="8.5"/>
        <n v="9.9"/>
        <n v="10"/>
        <n v="10.6"/>
        <n v="10.75"/>
        <n v="11"/>
        <n v="11.4"/>
        <n v="11.73"/>
        <n v="12.4"/>
        <n v="13"/>
        <n v="13.2"/>
        <n v="13.51"/>
        <n v="14.16"/>
        <n v="14.31"/>
        <n v="15.88"/>
        <n v="15.98"/>
        <n v="16.34"/>
        <n v="16.75"/>
        <n v="17.48"/>
        <n v="17.75"/>
        <n v="17.94"/>
        <n v="18.58"/>
        <n v="19.28"/>
        <n v="19.99"/>
        <n v="20"/>
        <n v="20.69"/>
        <n v="21.78"/>
        <n v="21.9"/>
        <n v="21.99"/>
        <n v="22.51"/>
        <n v="22.88"/>
        <n v="23.64"/>
        <n v="23.99"/>
        <n v="24"/>
        <n v="24.49"/>
        <n v="24.9"/>
        <n v="24.99"/>
        <n v="25"/>
        <n v="25.71"/>
        <n v="26.06"/>
        <n v="27.11"/>
        <n v="27.9"/>
        <n v="28.8"/>
        <n v="29"/>
        <n v="29.17"/>
        <n v="29.45"/>
        <n v="29.9"/>
        <n v="30"/>
        <n v="30.8"/>
        <n v="31.99"/>
        <n v="32.27"/>
        <n v="32.88"/>
        <n v="33.33"/>
        <n v="34.09"/>
        <n v="34.85"/>
        <n v="35.32"/>
        <n v="36"/>
        <n v="36.08"/>
        <n v="37.39"/>
        <n v="37.9"/>
        <n v="38.02"/>
        <n v="39.7"/>
        <n v="39.9"/>
        <n v="39.99"/>
        <n v="40"/>
        <n v="40.7"/>
        <n v="41.7"/>
        <n v="42.55"/>
        <n v="42.98"/>
        <n v="43"/>
        <n v="44.47"/>
        <n v="44.8"/>
        <n v="45.9"/>
        <n v="48.53"/>
        <n v="48.93"/>
        <n v="49.39"/>
        <n v="49.73"/>
        <n v="49.9"/>
        <n v="49.99"/>
        <n v="50"/>
        <n v="50.7"/>
        <n v="51.14"/>
        <n v="51.19"/>
        <n v="51.36"/>
        <n v="52.48"/>
        <n v="52.74"/>
        <n v="56.62"/>
        <n v="57.7"/>
        <n v="59.8"/>
        <n v="60"/>
        <n v="60.89"/>
        <n v="61.27"/>
        <n v="61.39"/>
        <n v="62.68"/>
        <n v="62.99"/>
        <n v="63.7"/>
        <n v="64.7"/>
        <n v="64.93"/>
        <n v="67"/>
        <n v="67.9"/>
        <n v="68.35"/>
        <n v="68.6"/>
        <n v="68.89"/>
        <n v="69.49"/>
        <n v="69.89"/>
        <n v="70"/>
        <n v="71.4"/>
        <n v="72.97"/>
        <n v="73.3"/>
        <n v="73.68"/>
        <n v="74.6"/>
        <n v="74.79"/>
        <n v="74.94"/>
        <n v="75.2"/>
        <n v="75.72"/>
        <n v="78.7"/>
        <n v="78.85"/>
        <n v="79.16"/>
        <n v="79.9"/>
        <n v="80"/>
        <n v="81"/>
        <n v="84.24"/>
        <n v="84.91"/>
        <n v="86.33"/>
        <n v="87.09"/>
        <n v="87.39"/>
        <n v="88.5"/>
        <n v="88.84"/>
        <n v="89.89"/>
        <n v="90"/>
        <n v="90.24"/>
        <n v="91.55"/>
        <n v="92.27"/>
        <n v="93.55"/>
        <n v="93.84"/>
        <n v="93.98"/>
        <n v="94.07"/>
        <n v="94.3"/>
        <n v="94.35"/>
        <n v="94.95"/>
        <n v="95.67"/>
        <n v="97.47"/>
        <n v="98.48"/>
        <n v="99"/>
        <n v="99.5"/>
        <n v="99.62"/>
        <n v="99.79"/>
        <n v="99.9"/>
        <n v="100.13"/>
        <n v="100.39"/>
        <n v="100.86"/>
        <n v="101.23"/>
        <n v="103.64"/>
        <n v="103.79"/>
        <n v="105.37"/>
        <n v="108.47"/>
        <n v="108.79"/>
        <n v="109.5"/>
        <n v="110.82"/>
        <n v="113.01"/>
        <n v="114.14"/>
        <n v="119.8"/>
        <n v="121.39"/>
        <n v="123"/>
        <n v="124.4"/>
        <n v="124.63"/>
        <n v="127.28"/>
        <n v="128.14"/>
        <n v="128.33"/>
        <n v="129.33"/>
        <n v="130.3"/>
        <n v="131"/>
        <n v="131.33"/>
        <n v="131.7"/>
        <n v="132.09"/>
        <n v="136"/>
        <n v="136.66"/>
        <n v="137"/>
        <n v="139.7"/>
        <n v="140"/>
        <n v="141.79"/>
        <n v="142.24"/>
        <n v="145.74"/>
        <n v="147.25"/>
        <n v="152"/>
        <n v="154.5"/>
        <n v="157.48"/>
        <n v="157.69"/>
        <n v="160.23"/>
        <n v="163.28"/>
        <n v="164.73"/>
        <n v="166.5"/>
        <n v="168.2"/>
        <n v="169.86"/>
        <n v="170.37"/>
        <n v="170.65"/>
        <n v="174.02"/>
        <n v="176.65"/>
        <n v="178.96"/>
        <n v="179.79"/>
        <n v="182.25"/>
        <n v="183.81"/>
        <n v="185.48"/>
        <n v="188.37"/>
        <n v="192.83"/>
        <n v="195"/>
        <n v="203"/>
        <n v="206.53"/>
        <n v="210"/>
        <n v="212"/>
        <n v="221.15"/>
        <n v="225"/>
        <n v="234.75"/>
        <n v="236.19"/>
        <n v="242.3"/>
        <n v="242.91"/>
        <n v="248.47"/>
        <n v="254"/>
        <n v="257"/>
        <n v="258"/>
        <n v="262.48"/>
        <n v="265"/>
        <n v="265.34"/>
        <n v="267.09"/>
        <n v="299"/>
        <n v="315.04"/>
        <n v="324.83"/>
        <n v="325"/>
        <n v="340.14"/>
        <n v="374.9"/>
        <n v="501.36"/>
        <n v="517.29"/>
        <n v="597.42"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89">
  <r>
    <x v="37"/>
    <x v="114"/>
    <x v="205"/>
    <x v="24"/>
    <x v="15"/>
    <x v="0"/>
    <x v="0"/>
    <x v="0"/>
  </r>
  <r>
    <x v="27"/>
    <x v="10"/>
    <x v="5"/>
    <x v="17"/>
    <x v="287"/>
    <x v="19"/>
    <x v="0"/>
    <x v="0"/>
  </r>
  <r>
    <x v="16"/>
    <x v="10"/>
    <x v="26"/>
    <x v="17"/>
    <x v="221"/>
    <x v="85"/>
    <x v="0"/>
    <x v="0"/>
  </r>
  <r>
    <x v="8"/>
    <x v="10"/>
    <x v="57"/>
    <x v="17"/>
    <x v="161"/>
    <x v="145"/>
    <x v="0"/>
    <x v="0"/>
  </r>
  <r>
    <x v="27"/>
    <x v="10"/>
    <x v="92"/>
    <x v="17"/>
    <x v="282"/>
    <x v="24"/>
    <x v="0"/>
    <x v="0"/>
  </r>
  <r>
    <x v="1"/>
    <x v="10"/>
    <x v="100"/>
    <x v="17"/>
    <x v="189"/>
    <x v="117"/>
    <x v="0"/>
    <x v="0"/>
  </r>
  <r>
    <x v="23"/>
    <x v="10"/>
    <x v="121"/>
    <x v="17"/>
    <x v="215"/>
    <x v="91"/>
    <x v="0"/>
    <x v="0"/>
  </r>
  <r>
    <x v="23"/>
    <x v="10"/>
    <x v="121"/>
    <x v="17"/>
    <x v="296"/>
    <x v="10"/>
    <x v="0"/>
    <x v="0"/>
  </r>
  <r>
    <x v="2"/>
    <x v="10"/>
    <x v="155"/>
    <x v="24"/>
    <x v="291"/>
    <x v="15"/>
    <x v="0"/>
    <x v="0"/>
  </r>
  <r>
    <x v="37"/>
    <x v="10"/>
    <x v="206"/>
    <x v="24"/>
    <x v="14"/>
    <x v="0"/>
    <x v="0"/>
    <x v="0"/>
  </r>
  <r>
    <x v="10"/>
    <x v="15"/>
    <x v="125"/>
    <x v="0"/>
    <x v="32"/>
    <x v="270"/>
    <x v="0"/>
    <x v="0"/>
  </r>
  <r>
    <x v="21"/>
    <x v="15"/>
    <x v="156"/>
    <x v="24"/>
    <x v="200"/>
    <x v="106"/>
    <x v="0"/>
    <x v="0"/>
  </r>
  <r>
    <x v="2"/>
    <x v="15"/>
    <x v="231"/>
    <x v="18"/>
    <x v="97"/>
    <x v="208"/>
    <x v="0"/>
    <x v="0"/>
  </r>
  <r>
    <x v="37"/>
    <x v="15"/>
    <x v="206"/>
    <x v="24"/>
    <x v="12"/>
    <x v="0"/>
    <x v="0"/>
    <x v="0"/>
  </r>
  <r>
    <x v="0"/>
    <x v="20"/>
    <x v="10"/>
    <x v="17"/>
    <x v="271"/>
    <x v="35"/>
    <x v="0"/>
    <x v="0"/>
  </r>
  <r>
    <x v="16"/>
    <x v="20"/>
    <x v="26"/>
    <x v="17"/>
    <x v="216"/>
    <x v="90"/>
    <x v="0"/>
    <x v="0"/>
  </r>
  <r>
    <x v="37"/>
    <x v="20"/>
    <x v="206"/>
    <x v="24"/>
    <x v="11"/>
    <x v="0"/>
    <x v="0"/>
    <x v="0"/>
  </r>
  <r>
    <x v="7"/>
    <x v="23"/>
    <x v="141"/>
    <x v="0"/>
    <x v="80"/>
    <x v="224"/>
    <x v="0"/>
    <x v="0"/>
  </r>
  <r>
    <x v="7"/>
    <x v="23"/>
    <x v="142"/>
    <x v="0"/>
    <x v="122"/>
    <x v="183"/>
    <x v="0"/>
    <x v="0"/>
  </r>
  <r>
    <x v="8"/>
    <x v="23"/>
    <x v="61"/>
    <x v="17"/>
    <x v="274"/>
    <x v="32"/>
    <x v="0"/>
    <x v="0"/>
  </r>
  <r>
    <x v="36"/>
    <x v="23"/>
    <x v="239"/>
    <x v="24"/>
    <x v="316"/>
    <x v="0"/>
    <x v="11"/>
    <x v="0"/>
  </r>
  <r>
    <x v="37"/>
    <x v="23"/>
    <x v="206"/>
    <x v="24"/>
    <x v="13"/>
    <x v="0"/>
    <x v="0"/>
    <x v="0"/>
  </r>
  <r>
    <x v="9"/>
    <x v="39"/>
    <x v="147"/>
    <x v="0"/>
    <x v="30"/>
    <x v="272"/>
    <x v="0"/>
    <x v="0"/>
  </r>
  <r>
    <x v="8"/>
    <x v="39"/>
    <x v="226"/>
    <x v="1"/>
    <x v="141"/>
    <x v="165"/>
    <x v="0"/>
    <x v="0"/>
  </r>
  <r>
    <x v="30"/>
    <x v="39"/>
    <x v="153"/>
    <x v="0"/>
    <x v="154"/>
    <x v="152"/>
    <x v="0"/>
    <x v="0"/>
  </r>
  <r>
    <x v="0"/>
    <x v="39"/>
    <x v="10"/>
    <x v="17"/>
    <x v="271"/>
    <x v="35"/>
    <x v="0"/>
    <x v="0"/>
  </r>
  <r>
    <x v="8"/>
    <x v="39"/>
    <x v="23"/>
    <x v="17"/>
    <x v="106"/>
    <x v="199"/>
    <x v="0"/>
    <x v="0"/>
  </r>
  <r>
    <x v="16"/>
    <x v="39"/>
    <x v="26"/>
    <x v="17"/>
    <x v="163"/>
    <x v="143"/>
    <x v="0"/>
    <x v="0"/>
  </r>
  <r>
    <x v="8"/>
    <x v="39"/>
    <x v="28"/>
    <x v="17"/>
    <x v="271"/>
    <x v="35"/>
    <x v="0"/>
    <x v="0"/>
  </r>
  <r>
    <x v="8"/>
    <x v="39"/>
    <x v="34"/>
    <x v="17"/>
    <x v="220"/>
    <x v="86"/>
    <x v="0"/>
    <x v="0"/>
  </r>
  <r>
    <x v="8"/>
    <x v="39"/>
    <x v="42"/>
    <x v="17"/>
    <x v="249"/>
    <x v="57"/>
    <x v="0"/>
    <x v="0"/>
  </r>
  <r>
    <x v="17"/>
    <x v="39"/>
    <x v="76"/>
    <x v="17"/>
    <x v="277"/>
    <x v="29"/>
    <x v="0"/>
    <x v="0"/>
  </r>
  <r>
    <x v="17"/>
    <x v="39"/>
    <x v="86"/>
    <x v="17"/>
    <x v="288"/>
    <x v="18"/>
    <x v="0"/>
    <x v="0"/>
  </r>
  <r>
    <x v="17"/>
    <x v="39"/>
    <x v="88"/>
    <x v="17"/>
    <x v="277"/>
    <x v="29"/>
    <x v="0"/>
    <x v="0"/>
  </r>
  <r>
    <x v="17"/>
    <x v="39"/>
    <x v="89"/>
    <x v="17"/>
    <x v="293"/>
    <x v="13"/>
    <x v="0"/>
    <x v="0"/>
  </r>
  <r>
    <x v="18"/>
    <x v="39"/>
    <x v="103"/>
    <x v="17"/>
    <x v="141"/>
    <x v="165"/>
    <x v="0"/>
    <x v="0"/>
  </r>
  <r>
    <x v="8"/>
    <x v="39"/>
    <x v="113"/>
    <x v="17"/>
    <x v="119"/>
    <x v="186"/>
    <x v="0"/>
    <x v="0"/>
  </r>
  <r>
    <x v="23"/>
    <x v="39"/>
    <x v="115"/>
    <x v="17"/>
    <x v="93"/>
    <x v="212"/>
    <x v="0"/>
    <x v="0"/>
  </r>
  <r>
    <x v="23"/>
    <x v="39"/>
    <x v="121"/>
    <x v="17"/>
    <x v="139"/>
    <x v="167"/>
    <x v="0"/>
    <x v="0"/>
  </r>
  <r>
    <x v="2"/>
    <x v="39"/>
    <x v="229"/>
    <x v="18"/>
    <x v="285"/>
    <x v="21"/>
    <x v="0"/>
    <x v="0"/>
  </r>
  <r>
    <x v="12"/>
    <x v="39"/>
    <x v="1"/>
    <x v="18"/>
    <x v="101"/>
    <x v="204"/>
    <x v="0"/>
    <x v="0"/>
  </r>
  <r>
    <x v="37"/>
    <x v="39"/>
    <x v="206"/>
    <x v="24"/>
    <x v="9"/>
    <x v="0"/>
    <x v="0"/>
    <x v="0"/>
  </r>
  <r>
    <x v="16"/>
    <x v="48"/>
    <x v="25"/>
    <x v="17"/>
    <x v="290"/>
    <x v="16"/>
    <x v="0"/>
    <x v="0"/>
  </r>
  <r>
    <x v="23"/>
    <x v="48"/>
    <x v="65"/>
    <x v="17"/>
    <x v="168"/>
    <x v="138"/>
    <x v="0"/>
    <x v="0"/>
  </r>
  <r>
    <x v="23"/>
    <x v="48"/>
    <x v="79"/>
    <x v="17"/>
    <x v="303"/>
    <x v="3"/>
    <x v="0"/>
    <x v="0"/>
  </r>
  <r>
    <x v="23"/>
    <x v="48"/>
    <x v="121"/>
    <x v="17"/>
    <x v="107"/>
    <x v="198"/>
    <x v="0"/>
    <x v="0"/>
  </r>
  <r>
    <x v="37"/>
    <x v="48"/>
    <x v="206"/>
    <x v="24"/>
    <x v="8"/>
    <x v="0"/>
    <x v="0"/>
    <x v="0"/>
  </r>
  <r>
    <x v="25"/>
    <x v="50"/>
    <x v="128"/>
    <x v="0"/>
    <x v="16"/>
    <x v="283"/>
    <x v="0"/>
    <x v="0"/>
  </r>
  <r>
    <x v="25"/>
    <x v="50"/>
    <x v="130"/>
    <x v="0"/>
    <x v="65"/>
    <x v="239"/>
    <x v="0"/>
    <x v="0"/>
  </r>
  <r>
    <x v="37"/>
    <x v="50"/>
    <x v="206"/>
    <x v="24"/>
    <x v="5"/>
    <x v="0"/>
    <x v="0"/>
    <x v="0"/>
  </r>
  <r>
    <x v="16"/>
    <x v="54"/>
    <x v="27"/>
    <x v="17"/>
    <x v="264"/>
    <x v="42"/>
    <x v="0"/>
    <x v="0"/>
  </r>
  <r>
    <x v="36"/>
    <x v="54"/>
    <x v="239"/>
    <x v="24"/>
    <x v="325"/>
    <x v="0"/>
    <x v="19"/>
    <x v="0"/>
  </r>
  <r>
    <x v="37"/>
    <x v="54"/>
    <x v="228"/>
    <x v="24"/>
    <x v="318"/>
    <x v="0"/>
    <x v="0"/>
    <x v="0"/>
  </r>
  <r>
    <x v="38"/>
    <x v="65"/>
    <x v="218"/>
    <x v="1"/>
    <x v="77"/>
    <x v="227"/>
    <x v="0"/>
    <x v="0"/>
  </r>
  <r>
    <x v="16"/>
    <x v="65"/>
    <x v="26"/>
    <x v="17"/>
    <x v="128"/>
    <x v="177"/>
    <x v="0"/>
    <x v="0"/>
  </r>
  <r>
    <x v="16"/>
    <x v="65"/>
    <x v="26"/>
    <x v="17"/>
    <x v="156"/>
    <x v="150"/>
    <x v="0"/>
    <x v="0"/>
  </r>
  <r>
    <x v="15"/>
    <x v="65"/>
    <x v="32"/>
    <x v="17"/>
    <x v="255"/>
    <x v="51"/>
    <x v="0"/>
    <x v="0"/>
  </r>
  <r>
    <x v="1"/>
    <x v="65"/>
    <x v="39"/>
    <x v="17"/>
    <x v="108"/>
    <x v="197"/>
    <x v="0"/>
    <x v="0"/>
  </r>
  <r>
    <x v="8"/>
    <x v="65"/>
    <x v="53"/>
    <x v="17"/>
    <x v="257"/>
    <x v="49"/>
    <x v="0"/>
    <x v="0"/>
  </r>
  <r>
    <x v="8"/>
    <x v="65"/>
    <x v="56"/>
    <x v="17"/>
    <x v="112"/>
    <x v="193"/>
    <x v="0"/>
    <x v="0"/>
  </r>
  <r>
    <x v="8"/>
    <x v="65"/>
    <x v="58"/>
    <x v="17"/>
    <x v="288"/>
    <x v="18"/>
    <x v="0"/>
    <x v="0"/>
  </r>
  <r>
    <x v="8"/>
    <x v="65"/>
    <x v="58"/>
    <x v="17"/>
    <x v="252"/>
    <x v="54"/>
    <x v="0"/>
    <x v="0"/>
  </r>
  <r>
    <x v="18"/>
    <x v="65"/>
    <x v="75"/>
    <x v="17"/>
    <x v="141"/>
    <x v="165"/>
    <x v="0"/>
    <x v="0"/>
  </r>
  <r>
    <x v="8"/>
    <x v="65"/>
    <x v="111"/>
    <x v="17"/>
    <x v="160"/>
    <x v="146"/>
    <x v="0"/>
    <x v="0"/>
  </r>
  <r>
    <x v="8"/>
    <x v="65"/>
    <x v="117"/>
    <x v="17"/>
    <x v="96"/>
    <x v="209"/>
    <x v="0"/>
    <x v="0"/>
  </r>
  <r>
    <x v="23"/>
    <x v="65"/>
    <x v="121"/>
    <x v="17"/>
    <x v="94"/>
    <x v="211"/>
    <x v="0"/>
    <x v="0"/>
  </r>
  <r>
    <x v="23"/>
    <x v="65"/>
    <x v="121"/>
    <x v="17"/>
    <x v="71"/>
    <x v="233"/>
    <x v="0"/>
    <x v="0"/>
  </r>
  <r>
    <x v="23"/>
    <x v="65"/>
    <x v="121"/>
    <x v="17"/>
    <x v="231"/>
    <x v="75"/>
    <x v="0"/>
    <x v="0"/>
  </r>
  <r>
    <x v="23"/>
    <x v="65"/>
    <x v="123"/>
    <x v="17"/>
    <x v="263"/>
    <x v="43"/>
    <x v="0"/>
    <x v="0"/>
  </r>
  <r>
    <x v="6"/>
    <x v="65"/>
    <x v="129"/>
    <x v="0"/>
    <x v="0"/>
    <x v="291"/>
    <x v="0"/>
    <x v="0"/>
  </r>
  <r>
    <x v="33"/>
    <x v="65"/>
    <x v="237"/>
    <x v="0"/>
    <x v="327"/>
    <x v="0"/>
    <x v="21"/>
    <x v="0"/>
  </r>
  <r>
    <x v="37"/>
    <x v="65"/>
    <x v="206"/>
    <x v="24"/>
    <x v="137"/>
    <x v="0"/>
    <x v="0"/>
    <x v="0"/>
  </r>
  <r>
    <x v="23"/>
    <x v="70"/>
    <x v="121"/>
    <x v="17"/>
    <x v="170"/>
    <x v="136"/>
    <x v="0"/>
    <x v="0"/>
  </r>
  <r>
    <x v="37"/>
    <x v="70"/>
    <x v="206"/>
    <x v="24"/>
    <x v="85"/>
    <x v="0"/>
    <x v="0"/>
    <x v="0"/>
  </r>
  <r>
    <x v="23"/>
    <x v="75"/>
    <x v="121"/>
    <x v="17"/>
    <x v="75"/>
    <x v="229"/>
    <x v="0"/>
    <x v="0"/>
  </r>
  <r>
    <x v="37"/>
    <x v="75"/>
    <x v="206"/>
    <x v="24"/>
    <x v="50"/>
    <x v="0"/>
    <x v="0"/>
    <x v="0"/>
  </r>
  <r>
    <x v="0"/>
    <x v="80"/>
    <x v="10"/>
    <x v="17"/>
    <x v="271"/>
    <x v="35"/>
    <x v="0"/>
    <x v="0"/>
  </r>
  <r>
    <x v="8"/>
    <x v="80"/>
    <x v="96"/>
    <x v="17"/>
    <x v="179"/>
    <x v="127"/>
    <x v="0"/>
    <x v="0"/>
  </r>
  <r>
    <x v="23"/>
    <x v="80"/>
    <x v="121"/>
    <x v="17"/>
    <x v="56"/>
    <x v="248"/>
    <x v="0"/>
    <x v="0"/>
  </r>
  <r>
    <x v="37"/>
    <x v="80"/>
    <x v="206"/>
    <x v="24"/>
    <x v="34"/>
    <x v="0"/>
    <x v="0"/>
    <x v="0"/>
  </r>
  <r>
    <x v="38"/>
    <x v="96"/>
    <x v="212"/>
    <x v="1"/>
    <x v="77"/>
    <x v="227"/>
    <x v="0"/>
    <x v="0"/>
  </r>
  <r>
    <x v="8"/>
    <x v="96"/>
    <x v="2"/>
    <x v="17"/>
    <x v="286"/>
    <x v="20"/>
    <x v="0"/>
    <x v="0"/>
  </r>
  <r>
    <x v="16"/>
    <x v="96"/>
    <x v="24"/>
    <x v="17"/>
    <x v="230"/>
    <x v="76"/>
    <x v="0"/>
    <x v="0"/>
  </r>
  <r>
    <x v="16"/>
    <x v="96"/>
    <x v="36"/>
    <x v="17"/>
    <x v="289"/>
    <x v="17"/>
    <x v="0"/>
    <x v="0"/>
  </r>
  <r>
    <x v="8"/>
    <x v="96"/>
    <x v="46"/>
    <x v="17"/>
    <x v="252"/>
    <x v="54"/>
    <x v="0"/>
    <x v="0"/>
  </r>
  <r>
    <x v="8"/>
    <x v="96"/>
    <x v="52"/>
    <x v="17"/>
    <x v="282"/>
    <x v="24"/>
    <x v="0"/>
    <x v="0"/>
  </r>
  <r>
    <x v="22"/>
    <x v="96"/>
    <x v="59"/>
    <x v="17"/>
    <x v="63"/>
    <x v="241"/>
    <x v="0"/>
    <x v="0"/>
  </r>
  <r>
    <x v="8"/>
    <x v="96"/>
    <x v="76"/>
    <x v="17"/>
    <x v="292"/>
    <x v="14"/>
    <x v="0"/>
    <x v="0"/>
  </r>
  <r>
    <x v="8"/>
    <x v="96"/>
    <x v="76"/>
    <x v="17"/>
    <x v="293"/>
    <x v="13"/>
    <x v="0"/>
    <x v="0"/>
  </r>
  <r>
    <x v="18"/>
    <x v="96"/>
    <x v="75"/>
    <x v="17"/>
    <x v="141"/>
    <x v="165"/>
    <x v="0"/>
    <x v="0"/>
  </r>
  <r>
    <x v="1"/>
    <x v="96"/>
    <x v="102"/>
    <x v="17"/>
    <x v="131"/>
    <x v="174"/>
    <x v="0"/>
    <x v="0"/>
  </r>
  <r>
    <x v="23"/>
    <x v="96"/>
    <x v="121"/>
    <x v="17"/>
    <x v="103"/>
    <x v="202"/>
    <x v="0"/>
    <x v="0"/>
  </r>
  <r>
    <x v="23"/>
    <x v="96"/>
    <x v="121"/>
    <x v="17"/>
    <x v="73"/>
    <x v="231"/>
    <x v="0"/>
    <x v="0"/>
  </r>
  <r>
    <x v="5"/>
    <x v="96"/>
    <x v="165"/>
    <x v="4"/>
    <x v="203"/>
    <x v="103"/>
    <x v="0"/>
    <x v="0"/>
  </r>
  <r>
    <x v="11"/>
    <x v="96"/>
    <x v="236"/>
    <x v="0"/>
    <x v="313"/>
    <x v="0"/>
    <x v="8"/>
    <x v="0"/>
  </r>
  <r>
    <x v="37"/>
    <x v="96"/>
    <x v="206"/>
    <x v="24"/>
    <x v="19"/>
    <x v="0"/>
    <x v="0"/>
    <x v="0"/>
  </r>
  <r>
    <x v="16"/>
    <x v="101"/>
    <x v="35"/>
    <x v="17"/>
    <x v="282"/>
    <x v="24"/>
    <x v="0"/>
    <x v="0"/>
  </r>
  <r>
    <x v="16"/>
    <x v="101"/>
    <x v="74"/>
    <x v="17"/>
    <x v="183"/>
    <x v="123"/>
    <x v="0"/>
    <x v="0"/>
  </r>
  <r>
    <x v="37"/>
    <x v="101"/>
    <x v="206"/>
    <x v="24"/>
    <x v="18"/>
    <x v="0"/>
    <x v="0"/>
    <x v="0"/>
  </r>
  <r>
    <x v="19"/>
    <x v="103"/>
    <x v="6"/>
    <x v="17"/>
    <x v="253"/>
    <x v="53"/>
    <x v="0"/>
    <x v="0"/>
  </r>
  <r>
    <x v="16"/>
    <x v="103"/>
    <x v="97"/>
    <x v="17"/>
    <x v="134"/>
    <x v="171"/>
    <x v="0"/>
    <x v="0"/>
  </r>
  <r>
    <x v="16"/>
    <x v="103"/>
    <x v="101"/>
    <x v="17"/>
    <x v="281"/>
    <x v="25"/>
    <x v="0"/>
    <x v="0"/>
  </r>
  <r>
    <x v="8"/>
    <x v="103"/>
    <x v="105"/>
    <x v="17"/>
    <x v="268"/>
    <x v="38"/>
    <x v="0"/>
    <x v="0"/>
  </r>
  <r>
    <x v="37"/>
    <x v="103"/>
    <x v="206"/>
    <x v="24"/>
    <x v="17"/>
    <x v="0"/>
    <x v="0"/>
    <x v="0"/>
  </r>
  <r>
    <x v="0"/>
    <x v="108"/>
    <x v="10"/>
    <x v="17"/>
    <x v="268"/>
    <x v="38"/>
    <x v="0"/>
    <x v="0"/>
  </r>
  <r>
    <x v="8"/>
    <x v="108"/>
    <x v="83"/>
    <x v="17"/>
    <x v="245"/>
    <x v="61"/>
    <x v="0"/>
    <x v="0"/>
  </r>
  <r>
    <x v="37"/>
    <x v="108"/>
    <x v="205"/>
    <x v="24"/>
    <x v="329"/>
    <x v="0"/>
    <x v="0"/>
    <x v="1"/>
  </r>
  <r>
    <x v="38"/>
    <x v="0"/>
    <x v="220"/>
    <x v="1"/>
    <x v="77"/>
    <x v="227"/>
    <x v="0"/>
    <x v="1"/>
  </r>
  <r>
    <x v="27"/>
    <x v="0"/>
    <x v="5"/>
    <x v="17"/>
    <x v="258"/>
    <x v="48"/>
    <x v="0"/>
    <x v="1"/>
  </r>
  <r>
    <x v="27"/>
    <x v="0"/>
    <x v="5"/>
    <x v="17"/>
    <x v="284"/>
    <x v="22"/>
    <x v="0"/>
    <x v="1"/>
  </r>
  <r>
    <x v="1"/>
    <x v="0"/>
    <x v="8"/>
    <x v="17"/>
    <x v="123"/>
    <x v="182"/>
    <x v="0"/>
    <x v="1"/>
  </r>
  <r>
    <x v="0"/>
    <x v="0"/>
    <x v="10"/>
    <x v="17"/>
    <x v="268"/>
    <x v="38"/>
    <x v="0"/>
    <x v="1"/>
  </r>
  <r>
    <x v="16"/>
    <x v="0"/>
    <x v="26"/>
    <x v="17"/>
    <x v="162"/>
    <x v="144"/>
    <x v="0"/>
    <x v="1"/>
  </r>
  <r>
    <x v="1"/>
    <x v="0"/>
    <x v="40"/>
    <x v="17"/>
    <x v="147"/>
    <x v="159"/>
    <x v="0"/>
    <x v="1"/>
  </r>
  <r>
    <x v="18"/>
    <x v="0"/>
    <x v="75"/>
    <x v="17"/>
    <x v="141"/>
    <x v="165"/>
    <x v="0"/>
    <x v="1"/>
  </r>
  <r>
    <x v="36"/>
    <x v="0"/>
    <x v="176"/>
    <x v="5"/>
    <x v="307"/>
    <x v="0"/>
    <x v="2"/>
    <x v="1"/>
  </r>
  <r>
    <x v="36"/>
    <x v="0"/>
    <x v="176"/>
    <x v="13"/>
    <x v="323"/>
    <x v="0"/>
    <x v="17"/>
    <x v="1"/>
  </r>
  <r>
    <x v="2"/>
    <x v="0"/>
    <x v="155"/>
    <x v="24"/>
    <x v="229"/>
    <x v="77"/>
    <x v="0"/>
    <x v="1"/>
  </r>
  <r>
    <x v="37"/>
    <x v="0"/>
    <x v="228"/>
    <x v="24"/>
    <x v="329"/>
    <x v="0"/>
    <x v="0"/>
    <x v="1"/>
  </r>
  <r>
    <x v="29"/>
    <x v="4"/>
    <x v="237"/>
    <x v="0"/>
    <x v="10"/>
    <x v="284"/>
    <x v="0"/>
    <x v="1"/>
  </r>
  <r>
    <x v="23"/>
    <x v="4"/>
    <x v="121"/>
    <x v="17"/>
    <x v="145"/>
    <x v="161"/>
    <x v="0"/>
    <x v="1"/>
  </r>
  <r>
    <x v="3"/>
    <x v="4"/>
    <x v="166"/>
    <x v="15"/>
    <x v="141"/>
    <x v="165"/>
    <x v="0"/>
    <x v="1"/>
  </r>
  <r>
    <x v="31"/>
    <x v="4"/>
    <x v="238"/>
    <x v="24"/>
    <x v="312"/>
    <x v="0"/>
    <x v="7"/>
    <x v="1"/>
  </r>
  <r>
    <x v="2"/>
    <x v="4"/>
    <x v="233"/>
    <x v="18"/>
    <x v="97"/>
    <x v="208"/>
    <x v="0"/>
    <x v="1"/>
  </r>
  <r>
    <x v="37"/>
    <x v="4"/>
    <x v="228"/>
    <x v="24"/>
    <x v="329"/>
    <x v="0"/>
    <x v="0"/>
    <x v="1"/>
  </r>
  <r>
    <x v="37"/>
    <x v="7"/>
    <x v="228"/>
    <x v="24"/>
    <x v="329"/>
    <x v="0"/>
    <x v="0"/>
    <x v="1"/>
  </r>
  <r>
    <x v="16"/>
    <x v="11"/>
    <x v="37"/>
    <x v="17"/>
    <x v="233"/>
    <x v="73"/>
    <x v="0"/>
    <x v="1"/>
  </r>
  <r>
    <x v="40"/>
    <x v="11"/>
    <x v="154"/>
    <x v="0"/>
    <x v="38"/>
    <x v="265"/>
    <x v="0"/>
    <x v="1"/>
  </r>
  <r>
    <x v="37"/>
    <x v="11"/>
    <x v="228"/>
    <x v="24"/>
    <x v="329"/>
    <x v="0"/>
    <x v="0"/>
    <x v="1"/>
  </r>
  <r>
    <x v="0"/>
    <x v="16"/>
    <x v="10"/>
    <x v="17"/>
    <x v="268"/>
    <x v="38"/>
    <x v="0"/>
    <x v="1"/>
  </r>
  <r>
    <x v="24"/>
    <x v="16"/>
    <x v="109"/>
    <x v="17"/>
    <x v="161"/>
    <x v="145"/>
    <x v="0"/>
    <x v="1"/>
  </r>
  <r>
    <x v="2"/>
    <x v="16"/>
    <x v="159"/>
    <x v="24"/>
    <x v="86"/>
    <x v="219"/>
    <x v="0"/>
    <x v="1"/>
  </r>
  <r>
    <x v="37"/>
    <x v="16"/>
    <x v="228"/>
    <x v="24"/>
    <x v="329"/>
    <x v="0"/>
    <x v="0"/>
    <x v="1"/>
  </r>
  <r>
    <x v="9"/>
    <x v="27"/>
    <x v="148"/>
    <x v="0"/>
    <x v="26"/>
    <x v="276"/>
    <x v="0"/>
    <x v="1"/>
  </r>
  <r>
    <x v="10"/>
    <x v="27"/>
    <x v="125"/>
    <x v="0"/>
    <x v="23"/>
    <x v="279"/>
    <x v="0"/>
    <x v="1"/>
  </r>
  <r>
    <x v="7"/>
    <x v="27"/>
    <x v="133"/>
    <x v="0"/>
    <x v="84"/>
    <x v="220"/>
    <x v="0"/>
    <x v="1"/>
  </r>
  <r>
    <x v="19"/>
    <x v="27"/>
    <x v="6"/>
    <x v="17"/>
    <x v="178"/>
    <x v="128"/>
    <x v="0"/>
    <x v="1"/>
  </r>
  <r>
    <x v="8"/>
    <x v="27"/>
    <x v="15"/>
    <x v="17"/>
    <x v="277"/>
    <x v="29"/>
    <x v="0"/>
    <x v="1"/>
  </r>
  <r>
    <x v="8"/>
    <x v="27"/>
    <x v="20"/>
    <x v="17"/>
    <x v="293"/>
    <x v="13"/>
    <x v="0"/>
    <x v="1"/>
  </r>
  <r>
    <x v="8"/>
    <x v="27"/>
    <x v="22"/>
    <x v="17"/>
    <x v="173"/>
    <x v="133"/>
    <x v="0"/>
    <x v="1"/>
  </r>
  <r>
    <x v="16"/>
    <x v="27"/>
    <x v="26"/>
    <x v="17"/>
    <x v="87"/>
    <x v="218"/>
    <x v="0"/>
    <x v="1"/>
  </r>
  <r>
    <x v="8"/>
    <x v="27"/>
    <x v="40"/>
    <x v="17"/>
    <x v="202"/>
    <x v="104"/>
    <x v="0"/>
    <x v="1"/>
  </r>
  <r>
    <x v="8"/>
    <x v="27"/>
    <x v="40"/>
    <x v="17"/>
    <x v="76"/>
    <x v="228"/>
    <x v="0"/>
    <x v="1"/>
  </r>
  <r>
    <x v="23"/>
    <x v="27"/>
    <x v="121"/>
    <x v="17"/>
    <x v="52"/>
    <x v="252"/>
    <x v="0"/>
    <x v="1"/>
  </r>
  <r>
    <x v="32"/>
    <x v="27"/>
    <x v="238"/>
    <x v="24"/>
    <x v="314"/>
    <x v="0"/>
    <x v="9"/>
    <x v="1"/>
  </r>
  <r>
    <x v="41"/>
    <x v="27"/>
    <x v="183"/>
    <x v="19"/>
    <x v="309"/>
    <x v="0"/>
    <x v="4"/>
    <x v="1"/>
  </r>
  <r>
    <x v="37"/>
    <x v="27"/>
    <x v="206"/>
    <x v="24"/>
    <x v="329"/>
    <x v="0"/>
    <x v="0"/>
    <x v="1"/>
  </r>
  <r>
    <x v="7"/>
    <x v="31"/>
    <x v="137"/>
    <x v="0"/>
    <x v="132"/>
    <x v="173"/>
    <x v="0"/>
    <x v="1"/>
  </r>
  <r>
    <x v="16"/>
    <x v="31"/>
    <x v="26"/>
    <x v="17"/>
    <x v="114"/>
    <x v="191"/>
    <x v="0"/>
    <x v="1"/>
  </r>
  <r>
    <x v="37"/>
    <x v="31"/>
    <x v="206"/>
    <x v="24"/>
    <x v="329"/>
    <x v="0"/>
    <x v="0"/>
    <x v="1"/>
  </r>
  <r>
    <x v="2"/>
    <x v="35"/>
    <x v="229"/>
    <x v="18"/>
    <x v="285"/>
    <x v="21"/>
    <x v="0"/>
    <x v="1"/>
  </r>
  <r>
    <x v="37"/>
    <x v="35"/>
    <x v="206"/>
    <x v="24"/>
    <x v="329"/>
    <x v="0"/>
    <x v="0"/>
    <x v="1"/>
  </r>
  <r>
    <x v="13"/>
    <x v="40"/>
    <x v="143"/>
    <x v="0"/>
    <x v="31"/>
    <x v="271"/>
    <x v="0"/>
    <x v="1"/>
  </r>
  <r>
    <x v="8"/>
    <x v="40"/>
    <x v="10"/>
    <x v="17"/>
    <x v="268"/>
    <x v="38"/>
    <x v="0"/>
    <x v="1"/>
  </r>
  <r>
    <x v="23"/>
    <x v="40"/>
    <x v="121"/>
    <x v="17"/>
    <x v="54"/>
    <x v="250"/>
    <x v="0"/>
    <x v="1"/>
  </r>
  <r>
    <x v="12"/>
    <x v="40"/>
    <x v="1"/>
    <x v="18"/>
    <x v="101"/>
    <x v="204"/>
    <x v="0"/>
    <x v="1"/>
  </r>
  <r>
    <x v="37"/>
    <x v="40"/>
    <x v="206"/>
    <x v="24"/>
    <x v="329"/>
    <x v="0"/>
    <x v="0"/>
    <x v="1"/>
  </r>
  <r>
    <x v="8"/>
    <x v="44"/>
    <x v="12"/>
    <x v="17"/>
    <x v="226"/>
    <x v="80"/>
    <x v="0"/>
    <x v="1"/>
  </r>
  <r>
    <x v="8"/>
    <x v="44"/>
    <x v="83"/>
    <x v="17"/>
    <x v="265"/>
    <x v="41"/>
    <x v="0"/>
    <x v="1"/>
  </r>
  <r>
    <x v="23"/>
    <x v="44"/>
    <x v="116"/>
    <x v="17"/>
    <x v="232"/>
    <x v="74"/>
    <x v="0"/>
    <x v="1"/>
  </r>
  <r>
    <x v="23"/>
    <x v="44"/>
    <x v="121"/>
    <x v="17"/>
    <x v="109"/>
    <x v="196"/>
    <x v="0"/>
    <x v="1"/>
  </r>
  <r>
    <x v="37"/>
    <x v="44"/>
    <x v="206"/>
    <x v="24"/>
    <x v="329"/>
    <x v="0"/>
    <x v="0"/>
    <x v="1"/>
  </r>
  <r>
    <x v="38"/>
    <x v="61"/>
    <x v="215"/>
    <x v="1"/>
    <x v="58"/>
    <x v="246"/>
    <x v="0"/>
    <x v="1"/>
  </r>
  <r>
    <x v="0"/>
    <x v="61"/>
    <x v="10"/>
    <x v="17"/>
    <x v="268"/>
    <x v="38"/>
    <x v="0"/>
    <x v="1"/>
  </r>
  <r>
    <x v="16"/>
    <x v="61"/>
    <x v="26"/>
    <x v="17"/>
    <x v="155"/>
    <x v="151"/>
    <x v="0"/>
    <x v="1"/>
  </r>
  <r>
    <x v="8"/>
    <x v="61"/>
    <x v="31"/>
    <x v="17"/>
    <x v="187"/>
    <x v="119"/>
    <x v="0"/>
    <x v="1"/>
  </r>
  <r>
    <x v="1"/>
    <x v="61"/>
    <x v="44"/>
    <x v="17"/>
    <x v="251"/>
    <x v="55"/>
    <x v="0"/>
    <x v="1"/>
  </r>
  <r>
    <x v="1"/>
    <x v="61"/>
    <x v="45"/>
    <x v="17"/>
    <x v="141"/>
    <x v="165"/>
    <x v="0"/>
    <x v="1"/>
  </r>
  <r>
    <x v="35"/>
    <x v="61"/>
    <x v="54"/>
    <x v="17"/>
    <x v="224"/>
    <x v="82"/>
    <x v="0"/>
    <x v="1"/>
  </r>
  <r>
    <x v="27"/>
    <x v="61"/>
    <x v="67"/>
    <x v="17"/>
    <x v="255"/>
    <x v="51"/>
    <x v="0"/>
    <x v="1"/>
  </r>
  <r>
    <x v="18"/>
    <x v="61"/>
    <x v="75"/>
    <x v="17"/>
    <x v="111"/>
    <x v="194"/>
    <x v="0"/>
    <x v="1"/>
  </r>
  <r>
    <x v="8"/>
    <x v="61"/>
    <x v="83"/>
    <x v="17"/>
    <x v="273"/>
    <x v="33"/>
    <x v="0"/>
    <x v="1"/>
  </r>
  <r>
    <x v="8"/>
    <x v="61"/>
    <x v="87"/>
    <x v="17"/>
    <x v="268"/>
    <x v="38"/>
    <x v="0"/>
    <x v="1"/>
  </r>
  <r>
    <x v="16"/>
    <x v="61"/>
    <x v="97"/>
    <x v="17"/>
    <x v="304"/>
    <x v="2"/>
    <x v="0"/>
    <x v="1"/>
  </r>
  <r>
    <x v="16"/>
    <x v="61"/>
    <x v="97"/>
    <x v="17"/>
    <x v="222"/>
    <x v="84"/>
    <x v="0"/>
    <x v="1"/>
  </r>
  <r>
    <x v="23"/>
    <x v="61"/>
    <x v="121"/>
    <x v="17"/>
    <x v="126"/>
    <x v="179"/>
    <x v="0"/>
    <x v="1"/>
  </r>
  <r>
    <x v="23"/>
    <x v="61"/>
    <x v="121"/>
    <x v="17"/>
    <x v="164"/>
    <x v="142"/>
    <x v="0"/>
    <x v="1"/>
  </r>
  <r>
    <x v="23"/>
    <x v="61"/>
    <x v="121"/>
    <x v="17"/>
    <x v="44"/>
    <x v="259"/>
    <x v="0"/>
    <x v="1"/>
  </r>
  <r>
    <x v="6"/>
    <x v="61"/>
    <x v="129"/>
    <x v="0"/>
    <x v="7"/>
    <x v="285"/>
    <x v="0"/>
    <x v="1"/>
  </r>
  <r>
    <x v="34"/>
    <x v="61"/>
    <x v="237"/>
    <x v="0"/>
    <x v="317"/>
    <x v="0"/>
    <x v="12"/>
    <x v="1"/>
  </r>
  <r>
    <x v="41"/>
    <x v="61"/>
    <x v="160"/>
    <x v="16"/>
    <x v="311"/>
    <x v="0"/>
    <x v="6"/>
    <x v="1"/>
  </r>
  <r>
    <x v="36"/>
    <x v="61"/>
    <x v="170"/>
    <x v="15"/>
    <x v="324"/>
    <x v="0"/>
    <x v="18"/>
    <x v="1"/>
  </r>
  <r>
    <x v="37"/>
    <x v="61"/>
    <x v="206"/>
    <x v="24"/>
    <x v="329"/>
    <x v="0"/>
    <x v="0"/>
    <x v="1"/>
  </r>
  <r>
    <x v="23"/>
    <x v="66"/>
    <x v="121"/>
    <x v="17"/>
    <x v="144"/>
    <x v="162"/>
    <x v="0"/>
    <x v="1"/>
  </r>
  <r>
    <x v="5"/>
    <x v="66"/>
    <x v="164"/>
    <x v="14"/>
    <x v="203"/>
    <x v="103"/>
    <x v="0"/>
    <x v="1"/>
  </r>
  <r>
    <x v="37"/>
    <x v="66"/>
    <x v="206"/>
    <x v="24"/>
    <x v="329"/>
    <x v="0"/>
    <x v="0"/>
    <x v="1"/>
  </r>
  <r>
    <x v="8"/>
    <x v="71"/>
    <x v="20"/>
    <x v="17"/>
    <x v="228"/>
    <x v="78"/>
    <x v="0"/>
    <x v="1"/>
  </r>
  <r>
    <x v="8"/>
    <x v="71"/>
    <x v="57"/>
    <x v="17"/>
    <x v="151"/>
    <x v="155"/>
    <x v="0"/>
    <x v="1"/>
  </r>
  <r>
    <x v="16"/>
    <x v="71"/>
    <x v="97"/>
    <x v="17"/>
    <x v="157"/>
    <x v="149"/>
    <x v="0"/>
    <x v="1"/>
  </r>
  <r>
    <x v="23"/>
    <x v="71"/>
    <x v="121"/>
    <x v="17"/>
    <x v="180"/>
    <x v="126"/>
    <x v="0"/>
    <x v="1"/>
  </r>
  <r>
    <x v="37"/>
    <x v="71"/>
    <x v="206"/>
    <x v="24"/>
    <x v="329"/>
    <x v="0"/>
    <x v="0"/>
    <x v="1"/>
  </r>
  <r>
    <x v="38"/>
    <x v="81"/>
    <x v="221"/>
    <x v="1"/>
    <x v="77"/>
    <x v="227"/>
    <x v="0"/>
    <x v="1"/>
  </r>
  <r>
    <x v="8"/>
    <x v="81"/>
    <x v="23"/>
    <x v="17"/>
    <x v="81"/>
    <x v="223"/>
    <x v="0"/>
    <x v="1"/>
  </r>
  <r>
    <x v="1"/>
    <x v="81"/>
    <x v="43"/>
    <x v="17"/>
    <x v="105"/>
    <x v="200"/>
    <x v="0"/>
    <x v="1"/>
  </r>
  <r>
    <x v="1"/>
    <x v="81"/>
    <x v="63"/>
    <x v="17"/>
    <x v="294"/>
    <x v="12"/>
    <x v="0"/>
    <x v="1"/>
  </r>
  <r>
    <x v="18"/>
    <x v="81"/>
    <x v="75"/>
    <x v="17"/>
    <x v="98"/>
    <x v="207"/>
    <x v="0"/>
    <x v="1"/>
  </r>
  <r>
    <x v="16"/>
    <x v="81"/>
    <x v="99"/>
    <x v="17"/>
    <x v="235"/>
    <x v="71"/>
    <x v="0"/>
    <x v="1"/>
  </r>
  <r>
    <x v="8"/>
    <x v="81"/>
    <x v="117"/>
    <x v="17"/>
    <x v="70"/>
    <x v="234"/>
    <x v="0"/>
    <x v="1"/>
  </r>
  <r>
    <x v="8"/>
    <x v="81"/>
    <x v="174"/>
    <x v="3"/>
    <x v="315"/>
    <x v="0"/>
    <x v="10"/>
    <x v="1"/>
  </r>
  <r>
    <x v="37"/>
    <x v="81"/>
    <x v="206"/>
    <x v="24"/>
    <x v="329"/>
    <x v="0"/>
    <x v="0"/>
    <x v="1"/>
  </r>
  <r>
    <x v="23"/>
    <x v="85"/>
    <x v="116"/>
    <x v="17"/>
    <x v="179"/>
    <x v="127"/>
    <x v="0"/>
    <x v="1"/>
  </r>
  <r>
    <x v="37"/>
    <x v="85"/>
    <x v="206"/>
    <x v="24"/>
    <x v="329"/>
    <x v="0"/>
    <x v="0"/>
    <x v="1"/>
  </r>
  <r>
    <x v="15"/>
    <x v="88"/>
    <x v="93"/>
    <x v="17"/>
    <x v="293"/>
    <x v="13"/>
    <x v="0"/>
    <x v="1"/>
  </r>
  <r>
    <x v="37"/>
    <x v="88"/>
    <x v="206"/>
    <x v="24"/>
    <x v="329"/>
    <x v="0"/>
    <x v="0"/>
    <x v="1"/>
  </r>
  <r>
    <x v="8"/>
    <x v="92"/>
    <x v="48"/>
    <x v="17"/>
    <x v="288"/>
    <x v="18"/>
    <x v="0"/>
    <x v="1"/>
  </r>
  <r>
    <x v="8"/>
    <x v="92"/>
    <x v="76"/>
    <x v="17"/>
    <x v="293"/>
    <x v="13"/>
    <x v="0"/>
    <x v="1"/>
  </r>
  <r>
    <x v="8"/>
    <x v="92"/>
    <x v="95"/>
    <x v="17"/>
    <x v="282"/>
    <x v="24"/>
    <x v="0"/>
    <x v="1"/>
  </r>
  <r>
    <x v="8"/>
    <x v="92"/>
    <x v="107"/>
    <x v="17"/>
    <x v="293"/>
    <x v="13"/>
    <x v="0"/>
    <x v="1"/>
  </r>
  <r>
    <x v="23"/>
    <x v="92"/>
    <x v="121"/>
    <x v="17"/>
    <x v="53"/>
    <x v="251"/>
    <x v="0"/>
    <x v="1"/>
  </r>
  <r>
    <x v="37"/>
    <x v="92"/>
    <x v="206"/>
    <x v="24"/>
    <x v="329"/>
    <x v="0"/>
    <x v="0"/>
    <x v="1"/>
  </r>
  <r>
    <x v="16"/>
    <x v="97"/>
    <x v="26"/>
    <x v="17"/>
    <x v="135"/>
    <x v="170"/>
    <x v="0"/>
    <x v="1"/>
  </r>
  <r>
    <x v="23"/>
    <x v="97"/>
    <x v="121"/>
    <x v="17"/>
    <x v="78"/>
    <x v="226"/>
    <x v="0"/>
    <x v="1"/>
  </r>
  <r>
    <x v="37"/>
    <x v="104"/>
    <x v="206"/>
    <x v="24"/>
    <x v="329"/>
    <x v="0"/>
    <x v="0"/>
    <x v="1"/>
  </r>
  <r>
    <x v="37"/>
    <x v="97"/>
    <x v="205"/>
    <x v="24"/>
    <x v="329"/>
    <x v="0"/>
    <x v="0"/>
    <x v="2"/>
  </r>
  <r>
    <x v="38"/>
    <x v="1"/>
    <x v="219"/>
    <x v="1"/>
    <x v="77"/>
    <x v="227"/>
    <x v="0"/>
    <x v="2"/>
  </r>
  <r>
    <x v="16"/>
    <x v="1"/>
    <x v="26"/>
    <x v="17"/>
    <x v="99"/>
    <x v="206"/>
    <x v="0"/>
    <x v="2"/>
  </r>
  <r>
    <x v="8"/>
    <x v="1"/>
    <x v="36"/>
    <x v="17"/>
    <x v="171"/>
    <x v="135"/>
    <x v="0"/>
    <x v="2"/>
  </r>
  <r>
    <x v="1"/>
    <x v="1"/>
    <x v="64"/>
    <x v="17"/>
    <x v="120"/>
    <x v="185"/>
    <x v="0"/>
    <x v="2"/>
  </r>
  <r>
    <x v="18"/>
    <x v="1"/>
    <x v="75"/>
    <x v="17"/>
    <x v="127"/>
    <x v="178"/>
    <x v="0"/>
    <x v="2"/>
  </r>
  <r>
    <x v="8"/>
    <x v="1"/>
    <x v="77"/>
    <x v="17"/>
    <x v="288"/>
    <x v="18"/>
    <x v="0"/>
    <x v="2"/>
  </r>
  <r>
    <x v="16"/>
    <x v="1"/>
    <x v="97"/>
    <x v="17"/>
    <x v="165"/>
    <x v="141"/>
    <x v="0"/>
    <x v="2"/>
  </r>
  <r>
    <x v="16"/>
    <x v="1"/>
    <x v="99"/>
    <x v="17"/>
    <x v="83"/>
    <x v="221"/>
    <x v="0"/>
    <x v="2"/>
  </r>
  <r>
    <x v="8"/>
    <x v="1"/>
    <x v="122"/>
    <x v="17"/>
    <x v="218"/>
    <x v="88"/>
    <x v="0"/>
    <x v="2"/>
  </r>
  <r>
    <x v="36"/>
    <x v="1"/>
    <x v="175"/>
    <x v="23"/>
    <x v="320"/>
    <x v="0"/>
    <x v="14"/>
    <x v="2"/>
  </r>
  <r>
    <x v="2"/>
    <x v="1"/>
    <x v="155"/>
    <x v="24"/>
    <x v="270"/>
    <x v="36"/>
    <x v="0"/>
    <x v="2"/>
  </r>
  <r>
    <x v="37"/>
    <x v="1"/>
    <x v="228"/>
    <x v="24"/>
    <x v="329"/>
    <x v="0"/>
    <x v="0"/>
    <x v="2"/>
  </r>
  <r>
    <x v="8"/>
    <x v="5"/>
    <x v="83"/>
    <x v="17"/>
    <x v="265"/>
    <x v="41"/>
    <x v="0"/>
    <x v="2"/>
  </r>
  <r>
    <x v="23"/>
    <x v="5"/>
    <x v="120"/>
    <x v="17"/>
    <x v="74"/>
    <x v="230"/>
    <x v="0"/>
    <x v="2"/>
  </r>
  <r>
    <x v="2"/>
    <x v="5"/>
    <x v="232"/>
    <x v="18"/>
    <x v="97"/>
    <x v="208"/>
    <x v="0"/>
    <x v="2"/>
  </r>
  <r>
    <x v="37"/>
    <x v="5"/>
    <x v="228"/>
    <x v="24"/>
    <x v="329"/>
    <x v="0"/>
    <x v="0"/>
    <x v="2"/>
  </r>
  <r>
    <x v="13"/>
    <x v="8"/>
    <x v="144"/>
    <x v="0"/>
    <x v="31"/>
    <x v="271"/>
    <x v="0"/>
    <x v="2"/>
  </r>
  <r>
    <x v="9"/>
    <x v="8"/>
    <x v="149"/>
    <x v="0"/>
    <x v="25"/>
    <x v="277"/>
    <x v="0"/>
    <x v="2"/>
  </r>
  <r>
    <x v="8"/>
    <x v="8"/>
    <x v="73"/>
    <x v="17"/>
    <x v="302"/>
    <x v="4"/>
    <x v="0"/>
    <x v="2"/>
  </r>
  <r>
    <x v="37"/>
    <x v="8"/>
    <x v="228"/>
    <x v="24"/>
    <x v="329"/>
    <x v="0"/>
    <x v="0"/>
    <x v="2"/>
  </r>
  <r>
    <x v="38"/>
    <x v="12"/>
    <x v="211"/>
    <x v="1"/>
    <x v="224"/>
    <x v="82"/>
    <x v="0"/>
    <x v="2"/>
  </r>
  <r>
    <x v="26"/>
    <x v="12"/>
    <x v="19"/>
    <x v="17"/>
    <x v="142"/>
    <x v="164"/>
    <x v="0"/>
    <x v="2"/>
  </r>
  <r>
    <x v="8"/>
    <x v="12"/>
    <x v="83"/>
    <x v="17"/>
    <x v="227"/>
    <x v="79"/>
    <x v="0"/>
    <x v="2"/>
  </r>
  <r>
    <x v="24"/>
    <x v="12"/>
    <x v="201"/>
    <x v="22"/>
    <x v="317"/>
    <x v="0"/>
    <x v="12"/>
    <x v="2"/>
  </r>
  <r>
    <x v="37"/>
    <x v="12"/>
    <x v="228"/>
    <x v="24"/>
    <x v="329"/>
    <x v="0"/>
    <x v="0"/>
    <x v="2"/>
  </r>
  <r>
    <x v="2"/>
    <x v="17"/>
    <x v="158"/>
    <x v="24"/>
    <x v="166"/>
    <x v="140"/>
    <x v="0"/>
    <x v="2"/>
  </r>
  <r>
    <x v="37"/>
    <x v="17"/>
    <x v="228"/>
    <x v="24"/>
    <x v="329"/>
    <x v="0"/>
    <x v="0"/>
    <x v="2"/>
  </r>
  <r>
    <x v="38"/>
    <x v="28"/>
    <x v="225"/>
    <x v="1"/>
    <x v="77"/>
    <x v="227"/>
    <x v="0"/>
    <x v="2"/>
  </r>
  <r>
    <x v="8"/>
    <x v="28"/>
    <x v="10"/>
    <x v="17"/>
    <x v="268"/>
    <x v="38"/>
    <x v="0"/>
    <x v="2"/>
  </r>
  <r>
    <x v="8"/>
    <x v="28"/>
    <x v="39"/>
    <x v="17"/>
    <x v="133"/>
    <x v="172"/>
    <x v="0"/>
    <x v="2"/>
  </r>
  <r>
    <x v="1"/>
    <x v="28"/>
    <x v="56"/>
    <x v="17"/>
    <x v="161"/>
    <x v="145"/>
    <x v="0"/>
    <x v="2"/>
  </r>
  <r>
    <x v="18"/>
    <x v="28"/>
    <x v="75"/>
    <x v="17"/>
    <x v="260"/>
    <x v="46"/>
    <x v="0"/>
    <x v="2"/>
  </r>
  <r>
    <x v="23"/>
    <x v="28"/>
    <x v="115"/>
    <x v="17"/>
    <x v="79"/>
    <x v="225"/>
    <x v="0"/>
    <x v="2"/>
  </r>
  <r>
    <x v="23"/>
    <x v="28"/>
    <x v="120"/>
    <x v="17"/>
    <x v="43"/>
    <x v="260"/>
    <x v="0"/>
    <x v="2"/>
  </r>
  <r>
    <x v="37"/>
    <x v="28"/>
    <x v="228"/>
    <x v="24"/>
    <x v="329"/>
    <x v="0"/>
    <x v="0"/>
    <x v="2"/>
  </r>
  <r>
    <x v="37"/>
    <x v="32"/>
    <x v="228"/>
    <x v="24"/>
    <x v="329"/>
    <x v="0"/>
    <x v="0"/>
    <x v="2"/>
  </r>
  <r>
    <x v="2"/>
    <x v="36"/>
    <x v="229"/>
    <x v="18"/>
    <x v="285"/>
    <x v="21"/>
    <x v="0"/>
    <x v="2"/>
  </r>
  <r>
    <x v="37"/>
    <x v="36"/>
    <x v="228"/>
    <x v="24"/>
    <x v="329"/>
    <x v="0"/>
    <x v="0"/>
    <x v="2"/>
  </r>
  <r>
    <x v="16"/>
    <x v="41"/>
    <x v="97"/>
    <x v="17"/>
    <x v="259"/>
    <x v="47"/>
    <x v="0"/>
    <x v="2"/>
  </r>
  <r>
    <x v="23"/>
    <x v="41"/>
    <x v="120"/>
    <x v="17"/>
    <x v="116"/>
    <x v="189"/>
    <x v="0"/>
    <x v="2"/>
  </r>
  <r>
    <x v="23"/>
    <x v="41"/>
    <x v="120"/>
    <x v="17"/>
    <x v="49"/>
    <x v="254"/>
    <x v="0"/>
    <x v="2"/>
  </r>
  <r>
    <x v="37"/>
    <x v="41"/>
    <x v="228"/>
    <x v="24"/>
    <x v="329"/>
    <x v="0"/>
    <x v="0"/>
    <x v="2"/>
  </r>
  <r>
    <x v="7"/>
    <x v="45"/>
    <x v="134"/>
    <x v="0"/>
    <x v="140"/>
    <x v="166"/>
    <x v="0"/>
    <x v="2"/>
  </r>
  <r>
    <x v="7"/>
    <x v="45"/>
    <x v="140"/>
    <x v="0"/>
    <x v="89"/>
    <x v="216"/>
    <x v="0"/>
    <x v="2"/>
  </r>
  <r>
    <x v="40"/>
    <x v="45"/>
    <x v="190"/>
    <x v="16"/>
    <x v="36"/>
    <x v="267"/>
    <x v="0"/>
    <x v="2"/>
  </r>
  <r>
    <x v="3"/>
    <x v="45"/>
    <x v="1"/>
    <x v="18"/>
    <x v="101"/>
    <x v="204"/>
    <x v="0"/>
    <x v="2"/>
  </r>
  <r>
    <x v="37"/>
    <x v="45"/>
    <x v="228"/>
    <x v="24"/>
    <x v="329"/>
    <x v="0"/>
    <x v="0"/>
    <x v="2"/>
  </r>
  <r>
    <x v="27"/>
    <x v="55"/>
    <x v="5"/>
    <x v="17"/>
    <x v="300"/>
    <x v="6"/>
    <x v="0"/>
    <x v="2"/>
  </r>
  <r>
    <x v="0"/>
    <x v="55"/>
    <x v="10"/>
    <x v="17"/>
    <x v="268"/>
    <x v="38"/>
    <x v="0"/>
    <x v="2"/>
  </r>
  <r>
    <x v="8"/>
    <x v="55"/>
    <x v="40"/>
    <x v="17"/>
    <x v="191"/>
    <x v="115"/>
    <x v="0"/>
    <x v="2"/>
  </r>
  <r>
    <x v="8"/>
    <x v="55"/>
    <x v="56"/>
    <x v="17"/>
    <x v="125"/>
    <x v="180"/>
    <x v="0"/>
    <x v="2"/>
  </r>
  <r>
    <x v="23"/>
    <x v="55"/>
    <x v="120"/>
    <x v="17"/>
    <x v="72"/>
    <x v="232"/>
    <x v="0"/>
    <x v="2"/>
  </r>
  <r>
    <x v="6"/>
    <x v="55"/>
    <x v="129"/>
    <x v="0"/>
    <x v="6"/>
    <x v="286"/>
    <x v="0"/>
    <x v="2"/>
  </r>
  <r>
    <x v="36"/>
    <x v="55"/>
    <x v="171"/>
    <x v="5"/>
    <x v="325"/>
    <x v="0"/>
    <x v="19"/>
    <x v="2"/>
  </r>
  <r>
    <x v="37"/>
    <x v="55"/>
    <x v="228"/>
    <x v="24"/>
    <x v="329"/>
    <x v="0"/>
    <x v="0"/>
    <x v="2"/>
  </r>
  <r>
    <x v="20"/>
    <x v="58"/>
    <x v="194"/>
    <x v="9"/>
    <x v="24"/>
    <x v="278"/>
    <x v="0"/>
    <x v="2"/>
  </r>
  <r>
    <x v="37"/>
    <x v="58"/>
    <x v="228"/>
    <x v="24"/>
    <x v="329"/>
    <x v="0"/>
    <x v="0"/>
    <x v="2"/>
  </r>
  <r>
    <x v="19"/>
    <x v="62"/>
    <x v="6"/>
    <x v="17"/>
    <x v="250"/>
    <x v="56"/>
    <x v="0"/>
    <x v="2"/>
  </r>
  <r>
    <x v="20"/>
    <x v="62"/>
    <x v="13"/>
    <x v="17"/>
    <x v="148"/>
    <x v="158"/>
    <x v="0"/>
    <x v="2"/>
  </r>
  <r>
    <x v="37"/>
    <x v="62"/>
    <x v="228"/>
    <x v="24"/>
    <x v="329"/>
    <x v="0"/>
    <x v="0"/>
    <x v="2"/>
  </r>
  <r>
    <x v="16"/>
    <x v="67"/>
    <x v="26"/>
    <x v="17"/>
    <x v="211"/>
    <x v="95"/>
    <x v="0"/>
    <x v="2"/>
  </r>
  <r>
    <x v="37"/>
    <x v="67"/>
    <x v="228"/>
    <x v="24"/>
    <x v="329"/>
    <x v="0"/>
    <x v="0"/>
    <x v="2"/>
  </r>
  <r>
    <x v="8"/>
    <x v="72"/>
    <x v="7"/>
    <x v="17"/>
    <x v="295"/>
    <x v="11"/>
    <x v="0"/>
    <x v="2"/>
  </r>
  <r>
    <x v="1"/>
    <x v="72"/>
    <x v="55"/>
    <x v="17"/>
    <x v="225"/>
    <x v="81"/>
    <x v="0"/>
    <x v="2"/>
  </r>
  <r>
    <x v="1"/>
    <x v="72"/>
    <x v="55"/>
    <x v="17"/>
    <x v="175"/>
    <x v="131"/>
    <x v="0"/>
    <x v="2"/>
  </r>
  <r>
    <x v="37"/>
    <x v="72"/>
    <x v="228"/>
    <x v="24"/>
    <x v="329"/>
    <x v="0"/>
    <x v="0"/>
    <x v="2"/>
  </r>
  <r>
    <x v="39"/>
    <x v="82"/>
    <x v="126"/>
    <x v="0"/>
    <x v="46"/>
    <x v="257"/>
    <x v="0"/>
    <x v="2"/>
  </r>
  <r>
    <x v="0"/>
    <x v="82"/>
    <x v="10"/>
    <x v="17"/>
    <x v="268"/>
    <x v="38"/>
    <x v="0"/>
    <x v="2"/>
  </r>
  <r>
    <x v="8"/>
    <x v="82"/>
    <x v="34"/>
    <x v="17"/>
    <x v="198"/>
    <x v="108"/>
    <x v="0"/>
    <x v="2"/>
  </r>
  <r>
    <x v="17"/>
    <x v="82"/>
    <x v="38"/>
    <x v="17"/>
    <x v="244"/>
    <x v="62"/>
    <x v="0"/>
    <x v="2"/>
  </r>
  <r>
    <x v="1"/>
    <x v="82"/>
    <x v="47"/>
    <x v="17"/>
    <x v="241"/>
    <x v="65"/>
    <x v="0"/>
    <x v="2"/>
  </r>
  <r>
    <x v="8"/>
    <x v="82"/>
    <x v="70"/>
    <x v="17"/>
    <x v="212"/>
    <x v="94"/>
    <x v="0"/>
    <x v="2"/>
  </r>
  <r>
    <x v="18"/>
    <x v="82"/>
    <x v="75"/>
    <x v="17"/>
    <x v="141"/>
    <x v="165"/>
    <x v="0"/>
    <x v="2"/>
  </r>
  <r>
    <x v="8"/>
    <x v="82"/>
    <x v="110"/>
    <x v="17"/>
    <x v="263"/>
    <x v="43"/>
    <x v="0"/>
    <x v="2"/>
  </r>
  <r>
    <x v="23"/>
    <x v="82"/>
    <x v="120"/>
    <x v="17"/>
    <x v="152"/>
    <x v="154"/>
    <x v="0"/>
    <x v="2"/>
  </r>
  <r>
    <x v="31"/>
    <x v="82"/>
    <x v="188"/>
    <x v="14"/>
    <x v="39"/>
    <x v="264"/>
    <x v="0"/>
    <x v="2"/>
  </r>
  <r>
    <x v="37"/>
    <x v="82"/>
    <x v="228"/>
    <x v="24"/>
    <x v="329"/>
    <x v="0"/>
    <x v="0"/>
    <x v="2"/>
  </r>
  <r>
    <x v="37"/>
    <x v="86"/>
    <x v="228"/>
    <x v="24"/>
    <x v="329"/>
    <x v="0"/>
    <x v="0"/>
    <x v="2"/>
  </r>
  <r>
    <x v="37"/>
    <x v="89"/>
    <x v="228"/>
    <x v="24"/>
    <x v="329"/>
    <x v="0"/>
    <x v="0"/>
    <x v="2"/>
  </r>
  <r>
    <x v="8"/>
    <x v="93"/>
    <x v="53"/>
    <x v="17"/>
    <x v="129"/>
    <x v="176"/>
    <x v="0"/>
    <x v="2"/>
  </r>
  <r>
    <x v="37"/>
    <x v="93"/>
    <x v="228"/>
    <x v="24"/>
    <x v="329"/>
    <x v="0"/>
    <x v="0"/>
    <x v="2"/>
  </r>
  <r>
    <x v="37"/>
    <x v="98"/>
    <x v="228"/>
    <x v="24"/>
    <x v="329"/>
    <x v="0"/>
    <x v="0"/>
    <x v="2"/>
  </r>
  <r>
    <x v="38"/>
    <x v="109"/>
    <x v="209"/>
    <x v="1"/>
    <x v="77"/>
    <x v="227"/>
    <x v="0"/>
    <x v="2"/>
  </r>
  <r>
    <x v="8"/>
    <x v="109"/>
    <x v="10"/>
    <x v="17"/>
    <x v="268"/>
    <x v="38"/>
    <x v="0"/>
    <x v="2"/>
  </r>
  <r>
    <x v="8"/>
    <x v="109"/>
    <x v="39"/>
    <x v="17"/>
    <x v="111"/>
    <x v="194"/>
    <x v="0"/>
    <x v="2"/>
  </r>
  <r>
    <x v="18"/>
    <x v="109"/>
    <x v="75"/>
    <x v="17"/>
    <x v="141"/>
    <x v="165"/>
    <x v="0"/>
    <x v="2"/>
  </r>
  <r>
    <x v="37"/>
    <x v="109"/>
    <x v="228"/>
    <x v="24"/>
    <x v="329"/>
    <x v="0"/>
    <x v="0"/>
    <x v="2"/>
  </r>
  <r>
    <x v="37"/>
    <x v="111"/>
    <x v="228"/>
    <x v="24"/>
    <x v="329"/>
    <x v="0"/>
    <x v="0"/>
    <x v="2"/>
  </r>
  <r>
    <x v="20"/>
    <x v="112"/>
    <x v="196"/>
    <x v="19"/>
    <x v="37"/>
    <x v="266"/>
    <x v="0"/>
    <x v="2"/>
  </r>
  <r>
    <x v="8"/>
    <x v="112"/>
    <x v="177"/>
    <x v="13"/>
    <x v="319"/>
    <x v="0"/>
    <x v="13"/>
    <x v="2"/>
  </r>
  <r>
    <x v="37"/>
    <x v="112"/>
    <x v="228"/>
    <x v="24"/>
    <x v="329"/>
    <x v="0"/>
    <x v="0"/>
    <x v="2"/>
  </r>
  <r>
    <x v="37"/>
    <x v="112"/>
    <x v="205"/>
    <x v="24"/>
    <x v="329"/>
    <x v="0"/>
    <x v="0"/>
    <x v="3"/>
  </r>
  <r>
    <x v="27"/>
    <x v="2"/>
    <x v="5"/>
    <x v="17"/>
    <x v="127"/>
    <x v="178"/>
    <x v="0"/>
    <x v="3"/>
  </r>
  <r>
    <x v="8"/>
    <x v="2"/>
    <x v="53"/>
    <x v="17"/>
    <x v="67"/>
    <x v="237"/>
    <x v="0"/>
    <x v="3"/>
  </r>
  <r>
    <x v="37"/>
    <x v="2"/>
    <x v="228"/>
    <x v="24"/>
    <x v="329"/>
    <x v="0"/>
    <x v="0"/>
    <x v="3"/>
  </r>
  <r>
    <x v="9"/>
    <x v="18"/>
    <x v="150"/>
    <x v="0"/>
    <x v="28"/>
    <x v="274"/>
    <x v="0"/>
    <x v="3"/>
  </r>
  <r>
    <x v="33"/>
    <x v="18"/>
    <x v="237"/>
    <x v="0"/>
    <x v="10"/>
    <x v="284"/>
    <x v="0"/>
    <x v="3"/>
  </r>
  <r>
    <x v="7"/>
    <x v="18"/>
    <x v="131"/>
    <x v="0"/>
    <x v="88"/>
    <x v="217"/>
    <x v="0"/>
    <x v="3"/>
  </r>
  <r>
    <x v="7"/>
    <x v="18"/>
    <x v="132"/>
    <x v="0"/>
    <x v="136"/>
    <x v="169"/>
    <x v="0"/>
    <x v="3"/>
  </r>
  <r>
    <x v="5"/>
    <x v="18"/>
    <x v="161"/>
    <x v="9"/>
    <x v="203"/>
    <x v="103"/>
    <x v="0"/>
    <x v="3"/>
  </r>
  <r>
    <x v="12"/>
    <x v="18"/>
    <x v="180"/>
    <x v="11"/>
    <x v="77"/>
    <x v="227"/>
    <x v="0"/>
    <x v="3"/>
  </r>
  <r>
    <x v="1"/>
    <x v="18"/>
    <x v="199"/>
    <x v="6"/>
    <x v="151"/>
    <x v="155"/>
    <x v="0"/>
    <x v="3"/>
  </r>
  <r>
    <x v="2"/>
    <x v="18"/>
    <x v="235"/>
    <x v="18"/>
    <x v="97"/>
    <x v="208"/>
    <x v="0"/>
    <x v="3"/>
  </r>
  <r>
    <x v="37"/>
    <x v="18"/>
    <x v="204"/>
    <x v="24"/>
    <x v="306"/>
    <x v="0"/>
    <x v="1"/>
    <x v="3"/>
  </r>
  <r>
    <x v="37"/>
    <x v="18"/>
    <x v="228"/>
    <x v="24"/>
    <x v="329"/>
    <x v="0"/>
    <x v="0"/>
    <x v="3"/>
  </r>
  <r>
    <x v="37"/>
    <x v="21"/>
    <x v="228"/>
    <x v="24"/>
    <x v="329"/>
    <x v="0"/>
    <x v="0"/>
    <x v="3"/>
  </r>
  <r>
    <x v="37"/>
    <x v="24"/>
    <x v="228"/>
    <x v="24"/>
    <x v="329"/>
    <x v="0"/>
    <x v="0"/>
    <x v="3"/>
  </r>
  <r>
    <x v="13"/>
    <x v="29"/>
    <x v="145"/>
    <x v="0"/>
    <x v="29"/>
    <x v="273"/>
    <x v="0"/>
    <x v="3"/>
  </r>
  <r>
    <x v="23"/>
    <x v="29"/>
    <x v="120"/>
    <x v="17"/>
    <x v="82"/>
    <x v="222"/>
    <x v="0"/>
    <x v="3"/>
  </r>
  <r>
    <x v="37"/>
    <x v="29"/>
    <x v="228"/>
    <x v="24"/>
    <x v="329"/>
    <x v="0"/>
    <x v="0"/>
    <x v="3"/>
  </r>
  <r>
    <x v="37"/>
    <x v="33"/>
    <x v="228"/>
    <x v="24"/>
    <x v="329"/>
    <x v="0"/>
    <x v="0"/>
    <x v="3"/>
  </r>
  <r>
    <x v="38"/>
    <x v="46"/>
    <x v="216"/>
    <x v="1"/>
    <x v="77"/>
    <x v="227"/>
    <x v="0"/>
    <x v="3"/>
  </r>
  <r>
    <x v="38"/>
    <x v="46"/>
    <x v="222"/>
    <x v="1"/>
    <x v="161"/>
    <x v="145"/>
    <x v="0"/>
    <x v="3"/>
  </r>
  <r>
    <x v="19"/>
    <x v="46"/>
    <x v="6"/>
    <x v="17"/>
    <x v="256"/>
    <x v="50"/>
    <x v="0"/>
    <x v="3"/>
  </r>
  <r>
    <x v="18"/>
    <x v="46"/>
    <x v="75"/>
    <x v="17"/>
    <x v="141"/>
    <x v="165"/>
    <x v="0"/>
    <x v="3"/>
  </r>
  <r>
    <x v="1"/>
    <x v="46"/>
    <x v="79"/>
    <x v="17"/>
    <x v="244"/>
    <x v="62"/>
    <x v="0"/>
    <x v="3"/>
  </r>
  <r>
    <x v="2"/>
    <x v="46"/>
    <x v="229"/>
    <x v="18"/>
    <x v="283"/>
    <x v="23"/>
    <x v="0"/>
    <x v="3"/>
  </r>
  <r>
    <x v="12"/>
    <x v="46"/>
    <x v="1"/>
    <x v="18"/>
    <x v="101"/>
    <x v="204"/>
    <x v="0"/>
    <x v="3"/>
  </r>
  <r>
    <x v="37"/>
    <x v="46"/>
    <x v="206"/>
    <x v="24"/>
    <x v="329"/>
    <x v="0"/>
    <x v="0"/>
    <x v="3"/>
  </r>
  <r>
    <x v="27"/>
    <x v="51"/>
    <x v="5"/>
    <x v="17"/>
    <x v="192"/>
    <x v="114"/>
    <x v="0"/>
    <x v="3"/>
  </r>
  <r>
    <x v="10"/>
    <x v="51"/>
    <x v="186"/>
    <x v="11"/>
    <x v="32"/>
    <x v="270"/>
    <x v="0"/>
    <x v="3"/>
  </r>
  <r>
    <x v="37"/>
    <x v="51"/>
    <x v="206"/>
    <x v="24"/>
    <x v="329"/>
    <x v="0"/>
    <x v="0"/>
    <x v="3"/>
  </r>
  <r>
    <x v="20"/>
    <x v="56"/>
    <x v="193"/>
    <x v="6"/>
    <x v="24"/>
    <x v="278"/>
    <x v="0"/>
    <x v="3"/>
  </r>
  <r>
    <x v="32"/>
    <x v="56"/>
    <x v="238"/>
    <x v="24"/>
    <x v="312"/>
    <x v="0"/>
    <x v="7"/>
    <x v="3"/>
  </r>
  <r>
    <x v="8"/>
    <x v="56"/>
    <x v="172"/>
    <x v="22"/>
    <x v="325"/>
    <x v="0"/>
    <x v="19"/>
    <x v="3"/>
  </r>
  <r>
    <x v="37"/>
    <x v="56"/>
    <x v="228"/>
    <x v="24"/>
    <x v="329"/>
    <x v="0"/>
    <x v="0"/>
    <x v="3"/>
  </r>
  <r>
    <x v="23"/>
    <x v="59"/>
    <x v="120"/>
    <x v="17"/>
    <x v="124"/>
    <x v="181"/>
    <x v="0"/>
    <x v="3"/>
  </r>
  <r>
    <x v="6"/>
    <x v="59"/>
    <x v="129"/>
    <x v="0"/>
    <x v="3"/>
    <x v="288"/>
    <x v="0"/>
    <x v="3"/>
  </r>
  <r>
    <x v="37"/>
    <x v="59"/>
    <x v="206"/>
    <x v="24"/>
    <x v="329"/>
    <x v="0"/>
    <x v="0"/>
    <x v="3"/>
  </r>
  <r>
    <x v="27"/>
    <x v="73"/>
    <x v="5"/>
    <x v="17"/>
    <x v="248"/>
    <x v="58"/>
    <x v="0"/>
    <x v="3"/>
  </r>
  <r>
    <x v="8"/>
    <x v="73"/>
    <x v="33"/>
    <x v="17"/>
    <x v="172"/>
    <x v="134"/>
    <x v="0"/>
    <x v="3"/>
  </r>
  <r>
    <x v="8"/>
    <x v="73"/>
    <x v="66"/>
    <x v="17"/>
    <x v="271"/>
    <x v="35"/>
    <x v="0"/>
    <x v="3"/>
  </r>
  <r>
    <x v="1"/>
    <x v="73"/>
    <x v="94"/>
    <x v="17"/>
    <x v="277"/>
    <x v="29"/>
    <x v="0"/>
    <x v="3"/>
  </r>
  <r>
    <x v="8"/>
    <x v="73"/>
    <x v="118"/>
    <x v="17"/>
    <x v="244"/>
    <x v="62"/>
    <x v="0"/>
    <x v="3"/>
  </r>
  <r>
    <x v="23"/>
    <x v="73"/>
    <x v="120"/>
    <x v="17"/>
    <x v="59"/>
    <x v="245"/>
    <x v="0"/>
    <x v="3"/>
  </r>
  <r>
    <x v="37"/>
    <x v="73"/>
    <x v="206"/>
    <x v="24"/>
    <x v="329"/>
    <x v="0"/>
    <x v="0"/>
    <x v="3"/>
  </r>
  <r>
    <x v="8"/>
    <x v="76"/>
    <x v="11"/>
    <x v="17"/>
    <x v="174"/>
    <x v="132"/>
    <x v="0"/>
    <x v="3"/>
  </r>
  <r>
    <x v="8"/>
    <x v="76"/>
    <x v="60"/>
    <x v="17"/>
    <x v="174"/>
    <x v="132"/>
    <x v="0"/>
    <x v="3"/>
  </r>
  <r>
    <x v="23"/>
    <x v="76"/>
    <x v="120"/>
    <x v="17"/>
    <x v="158"/>
    <x v="148"/>
    <x v="0"/>
    <x v="3"/>
  </r>
  <r>
    <x v="39"/>
    <x v="76"/>
    <x v="0"/>
    <x v="18"/>
    <x v="47"/>
    <x v="256"/>
    <x v="0"/>
    <x v="3"/>
  </r>
  <r>
    <x v="8"/>
    <x v="76"/>
    <x v="124"/>
    <x v="17"/>
    <x v="310"/>
    <x v="0"/>
    <x v="5"/>
    <x v="3"/>
  </r>
  <r>
    <x v="37"/>
    <x v="76"/>
    <x v="206"/>
    <x v="24"/>
    <x v="329"/>
    <x v="0"/>
    <x v="0"/>
    <x v="3"/>
  </r>
  <r>
    <x v="1"/>
    <x v="83"/>
    <x v="43"/>
    <x v="17"/>
    <x v="279"/>
    <x v="27"/>
    <x v="0"/>
    <x v="3"/>
  </r>
  <r>
    <x v="37"/>
    <x v="83"/>
    <x v="206"/>
    <x v="24"/>
    <x v="329"/>
    <x v="0"/>
    <x v="0"/>
    <x v="3"/>
  </r>
  <r>
    <x v="24"/>
    <x v="99"/>
    <x v="127"/>
    <x v="0"/>
    <x v="1"/>
    <x v="290"/>
    <x v="0"/>
    <x v="3"/>
  </r>
  <r>
    <x v="27"/>
    <x v="99"/>
    <x v="5"/>
    <x v="17"/>
    <x v="236"/>
    <x v="70"/>
    <x v="0"/>
    <x v="3"/>
  </r>
  <r>
    <x v="8"/>
    <x v="99"/>
    <x v="10"/>
    <x v="17"/>
    <x v="268"/>
    <x v="38"/>
    <x v="0"/>
    <x v="3"/>
  </r>
  <r>
    <x v="8"/>
    <x v="99"/>
    <x v="56"/>
    <x v="17"/>
    <x v="141"/>
    <x v="165"/>
    <x v="0"/>
    <x v="3"/>
  </r>
  <r>
    <x v="23"/>
    <x v="99"/>
    <x v="120"/>
    <x v="17"/>
    <x v="95"/>
    <x v="210"/>
    <x v="0"/>
    <x v="3"/>
  </r>
  <r>
    <x v="33"/>
    <x v="99"/>
    <x v="237"/>
    <x v="0"/>
    <x v="328"/>
    <x v="0"/>
    <x v="22"/>
    <x v="3"/>
  </r>
  <r>
    <x v="37"/>
    <x v="99"/>
    <x v="206"/>
    <x v="24"/>
    <x v="329"/>
    <x v="0"/>
    <x v="0"/>
    <x v="3"/>
  </r>
  <r>
    <x v="27"/>
    <x v="102"/>
    <x v="5"/>
    <x v="17"/>
    <x v="301"/>
    <x v="5"/>
    <x v="0"/>
    <x v="3"/>
  </r>
  <r>
    <x v="16"/>
    <x v="102"/>
    <x v="26"/>
    <x v="17"/>
    <x v="150"/>
    <x v="156"/>
    <x v="0"/>
    <x v="3"/>
  </r>
  <r>
    <x v="37"/>
    <x v="102"/>
    <x v="206"/>
    <x v="24"/>
    <x v="329"/>
    <x v="0"/>
    <x v="0"/>
    <x v="3"/>
  </r>
  <r>
    <x v="27"/>
    <x v="105"/>
    <x v="5"/>
    <x v="17"/>
    <x v="186"/>
    <x v="120"/>
    <x v="0"/>
    <x v="3"/>
  </r>
  <r>
    <x v="23"/>
    <x v="105"/>
    <x v="120"/>
    <x v="17"/>
    <x v="90"/>
    <x v="215"/>
    <x v="0"/>
    <x v="3"/>
  </r>
  <r>
    <x v="8"/>
    <x v="105"/>
    <x v="206"/>
    <x v="24"/>
    <x v="329"/>
    <x v="0"/>
    <x v="0"/>
    <x v="3"/>
  </r>
  <r>
    <x v="23"/>
    <x v="110"/>
    <x v="120"/>
    <x v="17"/>
    <x v="243"/>
    <x v="63"/>
    <x v="0"/>
    <x v="3"/>
  </r>
  <r>
    <x v="37"/>
    <x v="110"/>
    <x v="206"/>
    <x v="17"/>
    <x v="243"/>
    <x v="0"/>
    <x v="0"/>
    <x v="3"/>
  </r>
  <r>
    <x v="37"/>
    <x v="110"/>
    <x v="205"/>
    <x v="24"/>
    <x v="329"/>
    <x v="0"/>
    <x v="0"/>
    <x v="4"/>
  </r>
  <r>
    <x v="13"/>
    <x v="9"/>
    <x v="146"/>
    <x v="0"/>
    <x v="29"/>
    <x v="273"/>
    <x v="0"/>
    <x v="4"/>
  </r>
  <r>
    <x v="9"/>
    <x v="9"/>
    <x v="151"/>
    <x v="0"/>
    <x v="27"/>
    <x v="275"/>
    <x v="0"/>
    <x v="4"/>
  </r>
  <r>
    <x v="38"/>
    <x v="9"/>
    <x v="213"/>
    <x v="1"/>
    <x v="77"/>
    <x v="227"/>
    <x v="0"/>
    <x v="4"/>
  </r>
  <r>
    <x v="7"/>
    <x v="9"/>
    <x v="136"/>
    <x v="0"/>
    <x v="140"/>
    <x v="166"/>
    <x v="0"/>
    <x v="4"/>
  </r>
  <r>
    <x v="7"/>
    <x v="9"/>
    <x v="139"/>
    <x v="0"/>
    <x v="89"/>
    <x v="216"/>
    <x v="0"/>
    <x v="4"/>
  </r>
  <r>
    <x v="27"/>
    <x v="9"/>
    <x v="5"/>
    <x v="17"/>
    <x v="92"/>
    <x v="213"/>
    <x v="0"/>
    <x v="4"/>
  </r>
  <r>
    <x v="27"/>
    <x v="9"/>
    <x v="5"/>
    <x v="17"/>
    <x v="298"/>
    <x v="8"/>
    <x v="0"/>
    <x v="4"/>
  </r>
  <r>
    <x v="0"/>
    <x v="9"/>
    <x v="10"/>
    <x v="17"/>
    <x v="268"/>
    <x v="38"/>
    <x v="0"/>
    <x v="4"/>
  </r>
  <r>
    <x v="8"/>
    <x v="9"/>
    <x v="29"/>
    <x v="17"/>
    <x v="226"/>
    <x v="80"/>
    <x v="0"/>
    <x v="4"/>
  </r>
  <r>
    <x v="18"/>
    <x v="9"/>
    <x v="75"/>
    <x v="17"/>
    <x v="141"/>
    <x v="165"/>
    <x v="0"/>
    <x v="4"/>
  </r>
  <r>
    <x v="17"/>
    <x v="9"/>
    <x v="88"/>
    <x v="17"/>
    <x v="255"/>
    <x v="51"/>
    <x v="0"/>
    <x v="4"/>
  </r>
  <r>
    <x v="16"/>
    <x v="9"/>
    <x v="97"/>
    <x v="17"/>
    <x v="194"/>
    <x v="112"/>
    <x v="0"/>
    <x v="4"/>
  </r>
  <r>
    <x v="16"/>
    <x v="9"/>
    <x v="97"/>
    <x v="17"/>
    <x v="184"/>
    <x v="122"/>
    <x v="0"/>
    <x v="4"/>
  </r>
  <r>
    <x v="16"/>
    <x v="9"/>
    <x v="101"/>
    <x v="17"/>
    <x v="233"/>
    <x v="73"/>
    <x v="0"/>
    <x v="4"/>
  </r>
  <r>
    <x v="23"/>
    <x v="9"/>
    <x v="120"/>
    <x v="17"/>
    <x v="214"/>
    <x v="92"/>
    <x v="0"/>
    <x v="4"/>
  </r>
  <r>
    <x v="3"/>
    <x v="9"/>
    <x v="179"/>
    <x v="6"/>
    <x v="141"/>
    <x v="165"/>
    <x v="0"/>
    <x v="4"/>
  </r>
  <r>
    <x v="40"/>
    <x v="9"/>
    <x v="198"/>
    <x v="21"/>
    <x v="42"/>
    <x v="261"/>
    <x v="0"/>
    <x v="4"/>
  </r>
  <r>
    <x v="20"/>
    <x v="9"/>
    <x v="191"/>
    <x v="8"/>
    <x v="35"/>
    <x v="268"/>
    <x v="0"/>
    <x v="4"/>
  </r>
  <r>
    <x v="28"/>
    <x v="9"/>
    <x v="167"/>
    <x v="10"/>
    <x v="321"/>
    <x v="0"/>
    <x v="15"/>
    <x v="4"/>
  </r>
  <r>
    <x v="2"/>
    <x v="9"/>
    <x v="155"/>
    <x v="24"/>
    <x v="275"/>
    <x v="31"/>
    <x v="0"/>
    <x v="4"/>
  </r>
  <r>
    <x v="37"/>
    <x v="9"/>
    <x v="228"/>
    <x v="24"/>
    <x v="329"/>
    <x v="0"/>
    <x v="0"/>
    <x v="4"/>
  </r>
  <r>
    <x v="8"/>
    <x v="13"/>
    <x v="91"/>
    <x v="17"/>
    <x v="177"/>
    <x v="129"/>
    <x v="0"/>
    <x v="4"/>
  </r>
  <r>
    <x v="2"/>
    <x v="13"/>
    <x v="230"/>
    <x v="18"/>
    <x v="91"/>
    <x v="214"/>
    <x v="0"/>
    <x v="4"/>
  </r>
  <r>
    <x v="37"/>
    <x v="13"/>
    <x v="228"/>
    <x v="24"/>
    <x v="329"/>
    <x v="0"/>
    <x v="0"/>
    <x v="4"/>
  </r>
  <r>
    <x v="3"/>
    <x v="19"/>
    <x v="182"/>
    <x v="11"/>
    <x v="77"/>
    <x v="227"/>
    <x v="0"/>
    <x v="4"/>
  </r>
  <r>
    <x v="2"/>
    <x v="19"/>
    <x v="157"/>
    <x v="24"/>
    <x v="181"/>
    <x v="125"/>
    <x v="0"/>
    <x v="4"/>
  </r>
  <r>
    <x v="37"/>
    <x v="19"/>
    <x v="228"/>
    <x v="24"/>
    <x v="329"/>
    <x v="0"/>
    <x v="0"/>
    <x v="4"/>
  </r>
  <r>
    <x v="8"/>
    <x v="22"/>
    <x v="4"/>
    <x v="17"/>
    <x v="117"/>
    <x v="188"/>
    <x v="0"/>
    <x v="4"/>
  </r>
  <r>
    <x v="37"/>
    <x v="22"/>
    <x v="228"/>
    <x v="24"/>
    <x v="329"/>
    <x v="0"/>
    <x v="0"/>
    <x v="4"/>
  </r>
  <r>
    <x v="5"/>
    <x v="25"/>
    <x v="162"/>
    <x v="3"/>
    <x v="203"/>
    <x v="103"/>
    <x v="0"/>
    <x v="4"/>
  </r>
  <r>
    <x v="31"/>
    <x v="25"/>
    <x v="187"/>
    <x v="5"/>
    <x v="58"/>
    <x v="246"/>
    <x v="0"/>
    <x v="4"/>
  </r>
  <r>
    <x v="37"/>
    <x v="25"/>
    <x v="228"/>
    <x v="24"/>
    <x v="329"/>
    <x v="0"/>
    <x v="0"/>
    <x v="4"/>
  </r>
  <r>
    <x v="38"/>
    <x v="37"/>
    <x v="224"/>
    <x v="1"/>
    <x v="77"/>
    <x v="227"/>
    <x v="0"/>
    <x v="4"/>
  </r>
  <r>
    <x v="16"/>
    <x v="37"/>
    <x v="26"/>
    <x v="17"/>
    <x v="130"/>
    <x v="175"/>
    <x v="0"/>
    <x v="4"/>
  </r>
  <r>
    <x v="8"/>
    <x v="37"/>
    <x v="106"/>
    <x v="17"/>
    <x v="303"/>
    <x v="3"/>
    <x v="0"/>
    <x v="4"/>
  </r>
  <r>
    <x v="2"/>
    <x v="37"/>
    <x v="229"/>
    <x v="18"/>
    <x v="283"/>
    <x v="23"/>
    <x v="0"/>
    <x v="4"/>
  </r>
  <r>
    <x v="37"/>
    <x v="37"/>
    <x v="228"/>
    <x v="24"/>
    <x v="329"/>
    <x v="0"/>
    <x v="0"/>
    <x v="4"/>
  </r>
  <r>
    <x v="37"/>
    <x v="42"/>
    <x v="228"/>
    <x v="24"/>
    <x v="329"/>
    <x v="0"/>
    <x v="0"/>
    <x v="4"/>
  </r>
  <r>
    <x v="8"/>
    <x v="47"/>
    <x v="83"/>
    <x v="17"/>
    <x v="271"/>
    <x v="35"/>
    <x v="0"/>
    <x v="4"/>
  </r>
  <r>
    <x v="10"/>
    <x v="47"/>
    <x v="185"/>
    <x v="4"/>
    <x v="32"/>
    <x v="270"/>
    <x v="0"/>
    <x v="4"/>
  </r>
  <r>
    <x v="12"/>
    <x v="47"/>
    <x v="1"/>
    <x v="18"/>
    <x v="101"/>
    <x v="204"/>
    <x v="0"/>
    <x v="4"/>
  </r>
  <r>
    <x v="37"/>
    <x v="47"/>
    <x v="228"/>
    <x v="24"/>
    <x v="329"/>
    <x v="0"/>
    <x v="0"/>
    <x v="4"/>
  </r>
  <r>
    <x v="37"/>
    <x v="49"/>
    <x v="228"/>
    <x v="24"/>
    <x v="329"/>
    <x v="0"/>
    <x v="0"/>
    <x v="4"/>
  </r>
  <r>
    <x v="0"/>
    <x v="52"/>
    <x v="10"/>
    <x v="17"/>
    <x v="268"/>
    <x v="38"/>
    <x v="0"/>
    <x v="4"/>
  </r>
  <r>
    <x v="8"/>
    <x v="52"/>
    <x v="68"/>
    <x v="17"/>
    <x v="193"/>
    <x v="113"/>
    <x v="0"/>
    <x v="4"/>
  </r>
  <r>
    <x v="8"/>
    <x v="52"/>
    <x v="83"/>
    <x v="17"/>
    <x v="262"/>
    <x v="44"/>
    <x v="0"/>
    <x v="4"/>
  </r>
  <r>
    <x v="37"/>
    <x v="52"/>
    <x v="228"/>
    <x v="24"/>
    <x v="329"/>
    <x v="0"/>
    <x v="0"/>
    <x v="4"/>
  </r>
  <r>
    <x v="38"/>
    <x v="63"/>
    <x v="208"/>
    <x v="1"/>
    <x v="224"/>
    <x v="82"/>
    <x v="0"/>
    <x v="4"/>
  </r>
  <r>
    <x v="38"/>
    <x v="63"/>
    <x v="214"/>
    <x v="1"/>
    <x v="77"/>
    <x v="227"/>
    <x v="0"/>
    <x v="4"/>
  </r>
  <r>
    <x v="27"/>
    <x v="63"/>
    <x v="5"/>
    <x v="17"/>
    <x v="239"/>
    <x v="67"/>
    <x v="0"/>
    <x v="4"/>
  </r>
  <r>
    <x v="27"/>
    <x v="63"/>
    <x v="5"/>
    <x v="17"/>
    <x v="208"/>
    <x v="98"/>
    <x v="0"/>
    <x v="4"/>
  </r>
  <r>
    <x v="16"/>
    <x v="63"/>
    <x v="26"/>
    <x v="17"/>
    <x v="121"/>
    <x v="184"/>
    <x v="0"/>
    <x v="4"/>
  </r>
  <r>
    <x v="18"/>
    <x v="63"/>
    <x v="75"/>
    <x v="17"/>
    <x v="141"/>
    <x v="165"/>
    <x v="0"/>
    <x v="4"/>
  </r>
  <r>
    <x v="28"/>
    <x v="63"/>
    <x v="181"/>
    <x v="19"/>
    <x v="141"/>
    <x v="165"/>
    <x v="0"/>
    <x v="4"/>
  </r>
  <r>
    <x v="20"/>
    <x v="63"/>
    <x v="195"/>
    <x v="4"/>
    <x v="24"/>
    <x v="278"/>
    <x v="0"/>
    <x v="4"/>
  </r>
  <r>
    <x v="6"/>
    <x v="63"/>
    <x v="129"/>
    <x v="0"/>
    <x v="2"/>
    <x v="289"/>
    <x v="0"/>
    <x v="4"/>
  </r>
  <r>
    <x v="33"/>
    <x v="63"/>
    <x v="237"/>
    <x v="0"/>
    <x v="317"/>
    <x v="0"/>
    <x v="12"/>
    <x v="4"/>
  </r>
  <r>
    <x v="28"/>
    <x v="63"/>
    <x v="173"/>
    <x v="5"/>
    <x v="325"/>
    <x v="0"/>
    <x v="19"/>
    <x v="4"/>
  </r>
  <r>
    <x v="37"/>
    <x v="63"/>
    <x v="228"/>
    <x v="24"/>
    <x v="329"/>
    <x v="0"/>
    <x v="0"/>
    <x v="4"/>
  </r>
  <r>
    <x v="37"/>
    <x v="68"/>
    <x v="228"/>
    <x v="24"/>
    <x v="329"/>
    <x v="0"/>
    <x v="0"/>
    <x v="4"/>
  </r>
  <r>
    <x v="8"/>
    <x v="74"/>
    <x v="83"/>
    <x v="17"/>
    <x v="223"/>
    <x v="83"/>
    <x v="0"/>
    <x v="4"/>
  </r>
  <r>
    <x v="37"/>
    <x v="74"/>
    <x v="228"/>
    <x v="24"/>
    <x v="329"/>
    <x v="0"/>
    <x v="0"/>
    <x v="4"/>
  </r>
  <r>
    <x v="37"/>
    <x v="77"/>
    <x v="228"/>
    <x v="24"/>
    <x v="329"/>
    <x v="0"/>
    <x v="0"/>
    <x v="4"/>
  </r>
  <r>
    <x v="8"/>
    <x v="78"/>
    <x v="82"/>
    <x v="17"/>
    <x v="241"/>
    <x v="65"/>
    <x v="0"/>
    <x v="4"/>
  </r>
  <r>
    <x v="8"/>
    <x v="78"/>
    <x v="83"/>
    <x v="17"/>
    <x v="247"/>
    <x v="59"/>
    <x v="0"/>
    <x v="4"/>
  </r>
  <r>
    <x v="37"/>
    <x v="78"/>
    <x v="228"/>
    <x v="24"/>
    <x v="329"/>
    <x v="0"/>
    <x v="0"/>
    <x v="4"/>
  </r>
  <r>
    <x v="38"/>
    <x v="90"/>
    <x v="210"/>
    <x v="1"/>
    <x v="77"/>
    <x v="227"/>
    <x v="0"/>
    <x v="4"/>
  </r>
  <r>
    <x v="27"/>
    <x v="90"/>
    <x v="5"/>
    <x v="17"/>
    <x v="159"/>
    <x v="147"/>
    <x v="0"/>
    <x v="4"/>
  </r>
  <r>
    <x v="8"/>
    <x v="90"/>
    <x v="9"/>
    <x v="17"/>
    <x v="224"/>
    <x v="82"/>
    <x v="0"/>
    <x v="4"/>
  </r>
  <r>
    <x v="0"/>
    <x v="90"/>
    <x v="10"/>
    <x v="17"/>
    <x v="268"/>
    <x v="38"/>
    <x v="0"/>
    <x v="4"/>
  </r>
  <r>
    <x v="23"/>
    <x v="90"/>
    <x v="65"/>
    <x v="17"/>
    <x v="244"/>
    <x v="62"/>
    <x v="0"/>
    <x v="4"/>
  </r>
  <r>
    <x v="18"/>
    <x v="90"/>
    <x v="75"/>
    <x v="17"/>
    <x v="141"/>
    <x v="165"/>
    <x v="0"/>
    <x v="4"/>
  </r>
  <r>
    <x v="8"/>
    <x v="90"/>
    <x v="117"/>
    <x v="17"/>
    <x v="196"/>
    <x v="110"/>
    <x v="0"/>
    <x v="4"/>
  </r>
  <r>
    <x v="23"/>
    <x v="90"/>
    <x v="120"/>
    <x v="17"/>
    <x v="118"/>
    <x v="187"/>
    <x v="0"/>
    <x v="4"/>
  </r>
  <r>
    <x v="23"/>
    <x v="90"/>
    <x v="120"/>
    <x v="17"/>
    <x v="62"/>
    <x v="242"/>
    <x v="0"/>
    <x v="4"/>
  </r>
  <r>
    <x v="37"/>
    <x v="90"/>
    <x v="204"/>
    <x v="24"/>
    <x v="306"/>
    <x v="0"/>
    <x v="1"/>
    <x v="4"/>
  </r>
  <r>
    <x v="37"/>
    <x v="90"/>
    <x v="206"/>
    <x v="24"/>
    <x v="329"/>
    <x v="0"/>
    <x v="0"/>
    <x v="4"/>
  </r>
  <r>
    <x v="16"/>
    <x v="94"/>
    <x v="36"/>
    <x v="17"/>
    <x v="289"/>
    <x v="17"/>
    <x v="0"/>
    <x v="4"/>
  </r>
  <r>
    <x v="37"/>
    <x v="94"/>
    <x v="206"/>
    <x v="24"/>
    <x v="329"/>
    <x v="0"/>
    <x v="0"/>
    <x v="4"/>
  </r>
  <r>
    <x v="8"/>
    <x v="100"/>
    <x v="83"/>
    <x v="17"/>
    <x v="237"/>
    <x v="69"/>
    <x v="0"/>
    <x v="4"/>
  </r>
  <r>
    <x v="37"/>
    <x v="100"/>
    <x v="206"/>
    <x v="24"/>
    <x v="329"/>
    <x v="0"/>
    <x v="0"/>
    <x v="4"/>
  </r>
  <r>
    <x v="4"/>
    <x v="106"/>
    <x v="126"/>
    <x v="0"/>
    <x v="45"/>
    <x v="258"/>
    <x v="0"/>
    <x v="4"/>
  </r>
  <r>
    <x v="37"/>
    <x v="106"/>
    <x v="80"/>
    <x v="17"/>
    <x v="240"/>
    <x v="66"/>
    <x v="0"/>
    <x v="4"/>
  </r>
  <r>
    <x v="37"/>
    <x v="106"/>
    <x v="206"/>
    <x v="24"/>
    <x v="329"/>
    <x v="0"/>
    <x v="0"/>
    <x v="4"/>
  </r>
  <r>
    <x v="27"/>
    <x v="113"/>
    <x v="5"/>
    <x v="17"/>
    <x v="190"/>
    <x v="116"/>
    <x v="0"/>
    <x v="4"/>
  </r>
  <r>
    <x v="16"/>
    <x v="113"/>
    <x v="36"/>
    <x v="17"/>
    <x v="289"/>
    <x v="17"/>
    <x v="0"/>
    <x v="4"/>
  </r>
  <r>
    <x v="8"/>
    <x v="113"/>
    <x v="53"/>
    <x v="17"/>
    <x v="234"/>
    <x v="72"/>
    <x v="0"/>
    <x v="4"/>
  </r>
  <r>
    <x v="16"/>
    <x v="113"/>
    <x v="97"/>
    <x v="17"/>
    <x v="209"/>
    <x v="97"/>
    <x v="0"/>
    <x v="4"/>
  </r>
  <r>
    <x v="8"/>
    <x v="113"/>
    <x v="117"/>
    <x v="17"/>
    <x v="182"/>
    <x v="124"/>
    <x v="0"/>
    <x v="4"/>
  </r>
  <r>
    <x v="23"/>
    <x v="113"/>
    <x v="123"/>
    <x v="17"/>
    <x v="203"/>
    <x v="103"/>
    <x v="0"/>
    <x v="4"/>
  </r>
  <r>
    <x v="23"/>
    <x v="113"/>
    <x v="123"/>
    <x v="17"/>
    <x v="263"/>
    <x v="43"/>
    <x v="0"/>
    <x v="4"/>
  </r>
  <r>
    <x v="20"/>
    <x v="113"/>
    <x v="197"/>
    <x v="9"/>
    <x v="33"/>
    <x v="269"/>
    <x v="0"/>
    <x v="4"/>
  </r>
  <r>
    <x v="28"/>
    <x v="113"/>
    <x v="178"/>
    <x v="23"/>
    <x v="322"/>
    <x v="0"/>
    <x v="16"/>
    <x v="4"/>
  </r>
  <r>
    <x v="37"/>
    <x v="113"/>
    <x v="228"/>
    <x v="24"/>
    <x v="329"/>
    <x v="0"/>
    <x v="0"/>
    <x v="4"/>
  </r>
  <r>
    <x v="37"/>
    <x v="113"/>
    <x v="206"/>
    <x v="24"/>
    <x v="329"/>
    <x v="0"/>
    <x v="0"/>
    <x v="4"/>
  </r>
  <r>
    <x v="37"/>
    <x v="113"/>
    <x v="205"/>
    <x v="24"/>
    <x v="329"/>
    <x v="0"/>
    <x v="0"/>
    <x v="5"/>
  </r>
  <r>
    <x v="2"/>
    <x v="3"/>
    <x v="155"/>
    <x v="24"/>
    <x v="305"/>
    <x v="1"/>
    <x v="0"/>
    <x v="5"/>
  </r>
  <r>
    <x v="37"/>
    <x v="3"/>
    <x v="228"/>
    <x v="24"/>
    <x v="329"/>
    <x v="0"/>
    <x v="0"/>
    <x v="5"/>
  </r>
  <r>
    <x v="8"/>
    <x v="6"/>
    <x v="80"/>
    <x v="17"/>
    <x v="267"/>
    <x v="39"/>
    <x v="0"/>
    <x v="5"/>
  </r>
  <r>
    <x v="8"/>
    <x v="6"/>
    <x v="234"/>
    <x v="18"/>
    <x v="91"/>
    <x v="214"/>
    <x v="0"/>
    <x v="5"/>
  </r>
  <r>
    <x v="37"/>
    <x v="6"/>
    <x v="228"/>
    <x v="24"/>
    <x v="329"/>
    <x v="0"/>
    <x v="0"/>
    <x v="5"/>
  </r>
  <r>
    <x v="9"/>
    <x v="14"/>
    <x v="152"/>
    <x v="0"/>
    <x v="21"/>
    <x v="281"/>
    <x v="0"/>
    <x v="5"/>
  </r>
  <r>
    <x v="16"/>
    <x v="14"/>
    <x v="36"/>
    <x v="17"/>
    <x v="100"/>
    <x v="205"/>
    <x v="0"/>
    <x v="5"/>
  </r>
  <r>
    <x v="16"/>
    <x v="14"/>
    <x v="36"/>
    <x v="17"/>
    <x v="278"/>
    <x v="28"/>
    <x v="0"/>
    <x v="5"/>
  </r>
  <r>
    <x v="8"/>
    <x v="14"/>
    <x v="80"/>
    <x v="17"/>
    <x v="266"/>
    <x v="40"/>
    <x v="0"/>
    <x v="5"/>
  </r>
  <r>
    <x v="1"/>
    <x v="14"/>
    <x v="98"/>
    <x v="17"/>
    <x v="288"/>
    <x v="18"/>
    <x v="0"/>
    <x v="5"/>
  </r>
  <r>
    <x v="8"/>
    <x v="14"/>
    <x v="104"/>
    <x v="17"/>
    <x v="197"/>
    <x v="109"/>
    <x v="0"/>
    <x v="5"/>
  </r>
  <r>
    <x v="8"/>
    <x v="14"/>
    <x v="108"/>
    <x v="17"/>
    <x v="276"/>
    <x v="30"/>
    <x v="0"/>
    <x v="5"/>
  </r>
  <r>
    <x v="23"/>
    <x v="14"/>
    <x v="120"/>
    <x v="17"/>
    <x v="66"/>
    <x v="238"/>
    <x v="0"/>
    <x v="5"/>
  </r>
  <r>
    <x v="28"/>
    <x v="14"/>
    <x v="168"/>
    <x v="5"/>
    <x v="77"/>
    <x v="227"/>
    <x v="0"/>
    <x v="5"/>
  </r>
  <r>
    <x v="14"/>
    <x v="14"/>
    <x v="200"/>
    <x v="5"/>
    <x v="308"/>
    <x v="0"/>
    <x v="3"/>
    <x v="5"/>
  </r>
  <r>
    <x v="37"/>
    <x v="14"/>
    <x v="228"/>
    <x v="24"/>
    <x v="329"/>
    <x v="0"/>
    <x v="0"/>
    <x v="5"/>
  </r>
  <r>
    <x v="38"/>
    <x v="26"/>
    <x v="223"/>
    <x v="1"/>
    <x v="77"/>
    <x v="227"/>
    <x v="0"/>
    <x v="5"/>
  </r>
  <r>
    <x v="27"/>
    <x v="26"/>
    <x v="5"/>
    <x v="17"/>
    <x v="199"/>
    <x v="107"/>
    <x v="0"/>
    <x v="5"/>
  </r>
  <r>
    <x v="8"/>
    <x v="26"/>
    <x v="10"/>
    <x v="17"/>
    <x v="268"/>
    <x v="38"/>
    <x v="0"/>
    <x v="5"/>
  </r>
  <r>
    <x v="8"/>
    <x v="26"/>
    <x v="21"/>
    <x v="17"/>
    <x v="195"/>
    <x v="111"/>
    <x v="0"/>
    <x v="5"/>
  </r>
  <r>
    <x v="8"/>
    <x v="26"/>
    <x v="53"/>
    <x v="17"/>
    <x v="269"/>
    <x v="37"/>
    <x v="0"/>
    <x v="5"/>
  </r>
  <r>
    <x v="18"/>
    <x v="26"/>
    <x v="75"/>
    <x v="17"/>
    <x v="141"/>
    <x v="165"/>
    <x v="0"/>
    <x v="5"/>
  </r>
  <r>
    <x v="8"/>
    <x v="26"/>
    <x v="112"/>
    <x v="17"/>
    <x v="255"/>
    <x v="51"/>
    <x v="0"/>
    <x v="5"/>
  </r>
  <r>
    <x v="23"/>
    <x v="26"/>
    <x v="120"/>
    <x v="17"/>
    <x v="51"/>
    <x v="253"/>
    <x v="0"/>
    <x v="5"/>
  </r>
  <r>
    <x v="37"/>
    <x v="26"/>
    <x v="228"/>
    <x v="24"/>
    <x v="329"/>
    <x v="0"/>
    <x v="0"/>
    <x v="5"/>
  </r>
  <r>
    <x v="8"/>
    <x v="30"/>
    <x v="30"/>
    <x v="17"/>
    <x v="143"/>
    <x v="163"/>
    <x v="0"/>
    <x v="5"/>
  </r>
  <r>
    <x v="8"/>
    <x v="30"/>
    <x v="30"/>
    <x v="17"/>
    <x v="204"/>
    <x v="102"/>
    <x v="0"/>
    <x v="5"/>
  </r>
  <r>
    <x v="35"/>
    <x v="30"/>
    <x v="119"/>
    <x v="17"/>
    <x v="41"/>
    <x v="262"/>
    <x v="0"/>
    <x v="5"/>
  </r>
  <r>
    <x v="37"/>
    <x v="30"/>
    <x v="228"/>
    <x v="24"/>
    <x v="329"/>
    <x v="0"/>
    <x v="0"/>
    <x v="5"/>
  </r>
  <r>
    <x v="7"/>
    <x v="34"/>
    <x v="138"/>
    <x v="0"/>
    <x v="140"/>
    <x v="166"/>
    <x v="0"/>
    <x v="5"/>
  </r>
  <r>
    <x v="8"/>
    <x v="34"/>
    <x v="80"/>
    <x v="17"/>
    <x v="254"/>
    <x v="52"/>
    <x v="0"/>
    <x v="5"/>
  </r>
  <r>
    <x v="23"/>
    <x v="34"/>
    <x v="116"/>
    <x v="17"/>
    <x v="110"/>
    <x v="195"/>
    <x v="0"/>
    <x v="5"/>
  </r>
  <r>
    <x v="5"/>
    <x v="34"/>
    <x v="163"/>
    <x v="16"/>
    <x v="203"/>
    <x v="103"/>
    <x v="0"/>
    <x v="5"/>
  </r>
  <r>
    <x v="10"/>
    <x v="34"/>
    <x v="184"/>
    <x v="7"/>
    <x v="32"/>
    <x v="270"/>
    <x v="0"/>
    <x v="5"/>
  </r>
  <r>
    <x v="37"/>
    <x v="34"/>
    <x v="228"/>
    <x v="24"/>
    <x v="329"/>
    <x v="0"/>
    <x v="0"/>
    <x v="5"/>
  </r>
  <r>
    <x v="2"/>
    <x v="38"/>
    <x v="229"/>
    <x v="18"/>
    <x v="283"/>
    <x v="23"/>
    <x v="0"/>
    <x v="5"/>
  </r>
  <r>
    <x v="37"/>
    <x v="38"/>
    <x v="228"/>
    <x v="24"/>
    <x v="329"/>
    <x v="0"/>
    <x v="0"/>
    <x v="5"/>
  </r>
  <r>
    <x v="16"/>
    <x v="43"/>
    <x v="97"/>
    <x v="17"/>
    <x v="149"/>
    <x v="157"/>
    <x v="0"/>
    <x v="5"/>
  </r>
  <r>
    <x v="23"/>
    <x v="43"/>
    <x v="120"/>
    <x v="17"/>
    <x v="113"/>
    <x v="192"/>
    <x v="0"/>
    <x v="5"/>
  </r>
  <r>
    <x v="23"/>
    <x v="43"/>
    <x v="120"/>
    <x v="17"/>
    <x v="280"/>
    <x v="26"/>
    <x v="0"/>
    <x v="5"/>
  </r>
  <r>
    <x v="28"/>
    <x v="43"/>
    <x v="169"/>
    <x v="8"/>
    <x v="326"/>
    <x v="0"/>
    <x v="20"/>
    <x v="5"/>
  </r>
  <r>
    <x v="12"/>
    <x v="43"/>
    <x v="1"/>
    <x v="18"/>
    <x v="101"/>
    <x v="204"/>
    <x v="0"/>
    <x v="5"/>
  </r>
  <r>
    <x v="37"/>
    <x v="43"/>
    <x v="228"/>
    <x v="24"/>
    <x v="329"/>
    <x v="0"/>
    <x v="0"/>
    <x v="5"/>
  </r>
  <r>
    <x v="13"/>
    <x v="53"/>
    <x v="240"/>
    <x v="0"/>
    <x v="29"/>
    <x v="273"/>
    <x v="0"/>
    <x v="5"/>
  </r>
  <r>
    <x v="18"/>
    <x v="53"/>
    <x v="17"/>
    <x v="17"/>
    <x v="201"/>
    <x v="105"/>
    <x v="0"/>
    <x v="5"/>
  </r>
  <r>
    <x v="8"/>
    <x v="53"/>
    <x v="50"/>
    <x v="17"/>
    <x v="293"/>
    <x v="13"/>
    <x v="0"/>
    <x v="5"/>
  </r>
  <r>
    <x v="8"/>
    <x v="53"/>
    <x v="51"/>
    <x v="17"/>
    <x v="299"/>
    <x v="7"/>
    <x v="0"/>
    <x v="5"/>
  </r>
  <r>
    <x v="8"/>
    <x v="53"/>
    <x v="53"/>
    <x v="17"/>
    <x v="205"/>
    <x v="101"/>
    <x v="0"/>
    <x v="5"/>
  </r>
  <r>
    <x v="8"/>
    <x v="53"/>
    <x v="85"/>
    <x v="17"/>
    <x v="302"/>
    <x v="4"/>
    <x v="0"/>
    <x v="5"/>
  </r>
  <r>
    <x v="8"/>
    <x v="53"/>
    <x v="69"/>
    <x v="17"/>
    <x v="271"/>
    <x v="35"/>
    <x v="0"/>
    <x v="5"/>
  </r>
  <r>
    <x v="8"/>
    <x v="53"/>
    <x v="71"/>
    <x v="17"/>
    <x v="288"/>
    <x v="18"/>
    <x v="0"/>
    <x v="5"/>
  </r>
  <r>
    <x v="8"/>
    <x v="53"/>
    <x v="72"/>
    <x v="17"/>
    <x v="293"/>
    <x v="13"/>
    <x v="0"/>
    <x v="5"/>
  </r>
  <r>
    <x v="8"/>
    <x v="53"/>
    <x v="77"/>
    <x v="17"/>
    <x v="177"/>
    <x v="129"/>
    <x v="0"/>
    <x v="5"/>
  </r>
  <r>
    <x v="8"/>
    <x v="53"/>
    <x v="78"/>
    <x v="17"/>
    <x v="302"/>
    <x v="4"/>
    <x v="0"/>
    <x v="5"/>
  </r>
  <r>
    <x v="8"/>
    <x v="53"/>
    <x v="81"/>
    <x v="17"/>
    <x v="271"/>
    <x v="35"/>
    <x v="0"/>
    <x v="5"/>
  </r>
  <r>
    <x v="8"/>
    <x v="53"/>
    <x v="90"/>
    <x v="17"/>
    <x v="293"/>
    <x v="13"/>
    <x v="0"/>
    <x v="5"/>
  </r>
  <r>
    <x v="16"/>
    <x v="53"/>
    <x v="97"/>
    <x v="17"/>
    <x v="226"/>
    <x v="80"/>
    <x v="0"/>
    <x v="5"/>
  </r>
  <r>
    <x v="8"/>
    <x v="53"/>
    <x v="114"/>
    <x v="17"/>
    <x v="242"/>
    <x v="64"/>
    <x v="0"/>
    <x v="5"/>
  </r>
  <r>
    <x v="8"/>
    <x v="53"/>
    <x v="114"/>
    <x v="17"/>
    <x v="217"/>
    <x v="89"/>
    <x v="0"/>
    <x v="5"/>
  </r>
  <r>
    <x v="23"/>
    <x v="53"/>
    <x v="120"/>
    <x v="17"/>
    <x v="48"/>
    <x v="255"/>
    <x v="0"/>
    <x v="5"/>
  </r>
  <r>
    <x v="20"/>
    <x v="53"/>
    <x v="192"/>
    <x v="21"/>
    <x v="22"/>
    <x v="280"/>
    <x v="0"/>
    <x v="5"/>
  </r>
  <r>
    <x v="6"/>
    <x v="53"/>
    <x v="129"/>
    <x v="0"/>
    <x v="4"/>
    <x v="287"/>
    <x v="0"/>
    <x v="5"/>
  </r>
  <r>
    <x v="37"/>
    <x v="53"/>
    <x v="204"/>
    <x v="24"/>
    <x v="306"/>
    <x v="0"/>
    <x v="1"/>
    <x v="5"/>
  </r>
  <r>
    <x v="37"/>
    <x v="53"/>
    <x v="228"/>
    <x v="24"/>
    <x v="329"/>
    <x v="0"/>
    <x v="0"/>
    <x v="5"/>
  </r>
  <r>
    <x v="27"/>
    <x v="57"/>
    <x v="5"/>
    <x v="17"/>
    <x v="261"/>
    <x v="45"/>
    <x v="0"/>
    <x v="5"/>
  </r>
  <r>
    <x v="37"/>
    <x v="57"/>
    <x v="228"/>
    <x v="24"/>
    <x v="329"/>
    <x v="0"/>
    <x v="0"/>
    <x v="5"/>
  </r>
  <r>
    <x v="8"/>
    <x v="60"/>
    <x v="80"/>
    <x v="17"/>
    <x v="207"/>
    <x v="99"/>
    <x v="0"/>
    <x v="5"/>
  </r>
  <r>
    <x v="23"/>
    <x v="60"/>
    <x v="120"/>
    <x v="17"/>
    <x v="69"/>
    <x v="235"/>
    <x v="0"/>
    <x v="5"/>
  </r>
  <r>
    <x v="37"/>
    <x v="60"/>
    <x v="228"/>
    <x v="24"/>
    <x v="329"/>
    <x v="0"/>
    <x v="0"/>
    <x v="5"/>
  </r>
  <r>
    <x v="7"/>
    <x v="64"/>
    <x v="135"/>
    <x v="0"/>
    <x v="89"/>
    <x v="216"/>
    <x v="0"/>
    <x v="5"/>
  </r>
  <r>
    <x v="27"/>
    <x v="64"/>
    <x v="5"/>
    <x v="17"/>
    <x v="297"/>
    <x v="9"/>
    <x v="0"/>
    <x v="5"/>
  </r>
  <r>
    <x v="16"/>
    <x v="64"/>
    <x v="26"/>
    <x v="17"/>
    <x v="153"/>
    <x v="153"/>
    <x v="0"/>
    <x v="5"/>
  </r>
  <r>
    <x v="16"/>
    <x v="64"/>
    <x v="97"/>
    <x v="17"/>
    <x v="272"/>
    <x v="34"/>
    <x v="0"/>
    <x v="5"/>
  </r>
  <r>
    <x v="23"/>
    <x v="64"/>
    <x v="120"/>
    <x v="17"/>
    <x v="213"/>
    <x v="93"/>
    <x v="0"/>
    <x v="5"/>
  </r>
  <r>
    <x v="23"/>
    <x v="64"/>
    <x v="120"/>
    <x v="17"/>
    <x v="57"/>
    <x v="247"/>
    <x v="0"/>
    <x v="5"/>
  </r>
  <r>
    <x v="8"/>
    <x v="64"/>
    <x v="227"/>
    <x v="1"/>
    <x v="224"/>
    <x v="82"/>
    <x v="0"/>
    <x v="5"/>
  </r>
  <r>
    <x v="37"/>
    <x v="64"/>
    <x v="228"/>
    <x v="24"/>
    <x v="329"/>
    <x v="0"/>
    <x v="0"/>
    <x v="5"/>
  </r>
  <r>
    <x v="27"/>
    <x v="69"/>
    <x v="5"/>
    <x v="17"/>
    <x v="206"/>
    <x v="100"/>
    <x v="0"/>
    <x v="5"/>
  </r>
  <r>
    <x v="8"/>
    <x v="69"/>
    <x v="80"/>
    <x v="17"/>
    <x v="247"/>
    <x v="59"/>
    <x v="0"/>
    <x v="5"/>
  </r>
  <r>
    <x v="20"/>
    <x v="69"/>
    <x v="189"/>
    <x v="20"/>
    <x v="55"/>
    <x v="249"/>
    <x v="0"/>
    <x v="5"/>
  </r>
  <r>
    <x v="37"/>
    <x v="69"/>
    <x v="228"/>
    <x v="24"/>
    <x v="329"/>
    <x v="0"/>
    <x v="0"/>
    <x v="5"/>
  </r>
  <r>
    <x v="38"/>
    <x v="79"/>
    <x v="217"/>
    <x v="1"/>
    <x v="77"/>
    <x v="227"/>
    <x v="0"/>
    <x v="5"/>
  </r>
  <r>
    <x v="8"/>
    <x v="79"/>
    <x v="10"/>
    <x v="17"/>
    <x v="268"/>
    <x v="38"/>
    <x v="0"/>
    <x v="5"/>
  </r>
  <r>
    <x v="8"/>
    <x v="79"/>
    <x v="16"/>
    <x v="17"/>
    <x v="271"/>
    <x v="35"/>
    <x v="0"/>
    <x v="5"/>
  </r>
  <r>
    <x v="18"/>
    <x v="79"/>
    <x v="75"/>
    <x v="17"/>
    <x v="77"/>
    <x v="227"/>
    <x v="0"/>
    <x v="5"/>
  </r>
  <r>
    <x v="8"/>
    <x v="79"/>
    <x v="84"/>
    <x v="17"/>
    <x v="299"/>
    <x v="7"/>
    <x v="0"/>
    <x v="5"/>
  </r>
  <r>
    <x v="16"/>
    <x v="79"/>
    <x v="97"/>
    <x v="17"/>
    <x v="138"/>
    <x v="168"/>
    <x v="0"/>
    <x v="5"/>
  </r>
  <r>
    <x v="23"/>
    <x v="79"/>
    <x v="115"/>
    <x v="17"/>
    <x v="102"/>
    <x v="203"/>
    <x v="0"/>
    <x v="5"/>
  </r>
  <r>
    <x v="23"/>
    <x v="79"/>
    <x v="120"/>
    <x v="17"/>
    <x v="61"/>
    <x v="243"/>
    <x v="0"/>
    <x v="5"/>
  </r>
  <r>
    <x v="37"/>
    <x v="79"/>
    <x v="206"/>
    <x v="24"/>
    <x v="329"/>
    <x v="0"/>
    <x v="0"/>
    <x v="5"/>
  </r>
  <r>
    <x v="8"/>
    <x v="84"/>
    <x v="0"/>
    <x v="18"/>
    <x v="47"/>
    <x v="256"/>
    <x v="0"/>
    <x v="5"/>
  </r>
  <r>
    <x v="37"/>
    <x v="84"/>
    <x v="206"/>
    <x v="24"/>
    <x v="329"/>
    <x v="0"/>
    <x v="0"/>
    <x v="5"/>
  </r>
  <r>
    <x v="1"/>
    <x v="87"/>
    <x v="62"/>
    <x v="17"/>
    <x v="188"/>
    <x v="118"/>
    <x v="0"/>
    <x v="5"/>
  </r>
  <r>
    <x v="8"/>
    <x v="87"/>
    <x v="80"/>
    <x v="17"/>
    <x v="251"/>
    <x v="55"/>
    <x v="0"/>
    <x v="5"/>
  </r>
  <r>
    <x v="23"/>
    <x v="87"/>
    <x v="120"/>
    <x v="17"/>
    <x v="104"/>
    <x v="201"/>
    <x v="0"/>
    <x v="5"/>
  </r>
  <r>
    <x v="37"/>
    <x v="87"/>
    <x v="206"/>
    <x v="24"/>
    <x v="329"/>
    <x v="0"/>
    <x v="0"/>
    <x v="5"/>
  </r>
  <r>
    <x v="8"/>
    <x v="91"/>
    <x v="3"/>
    <x v="17"/>
    <x v="176"/>
    <x v="130"/>
    <x v="0"/>
    <x v="5"/>
  </r>
  <r>
    <x v="27"/>
    <x v="91"/>
    <x v="5"/>
    <x v="17"/>
    <x v="167"/>
    <x v="139"/>
    <x v="0"/>
    <x v="5"/>
  </r>
  <r>
    <x v="19"/>
    <x v="91"/>
    <x v="6"/>
    <x v="17"/>
    <x v="272"/>
    <x v="34"/>
    <x v="0"/>
    <x v="5"/>
  </r>
  <r>
    <x v="23"/>
    <x v="91"/>
    <x v="120"/>
    <x v="17"/>
    <x v="64"/>
    <x v="240"/>
    <x v="0"/>
    <x v="5"/>
  </r>
  <r>
    <x v="22"/>
    <x v="91"/>
    <x v="202"/>
    <x v="3"/>
    <x v="77"/>
    <x v="227"/>
    <x v="0"/>
    <x v="5"/>
  </r>
  <r>
    <x v="22"/>
    <x v="91"/>
    <x v="202"/>
    <x v="15"/>
    <x v="20"/>
    <x v="282"/>
    <x v="0"/>
    <x v="5"/>
  </r>
  <r>
    <x v="37"/>
    <x v="91"/>
    <x v="206"/>
    <x v="24"/>
    <x v="329"/>
    <x v="0"/>
    <x v="0"/>
    <x v="5"/>
  </r>
  <r>
    <x v="38"/>
    <x v="95"/>
    <x v="207"/>
    <x v="1"/>
    <x v="141"/>
    <x v="165"/>
    <x v="0"/>
    <x v="5"/>
  </r>
  <r>
    <x v="8"/>
    <x v="95"/>
    <x v="14"/>
    <x v="17"/>
    <x v="185"/>
    <x v="121"/>
    <x v="0"/>
    <x v="5"/>
  </r>
  <r>
    <x v="8"/>
    <x v="95"/>
    <x v="83"/>
    <x v="17"/>
    <x v="247"/>
    <x v="59"/>
    <x v="0"/>
    <x v="5"/>
  </r>
  <r>
    <x v="16"/>
    <x v="95"/>
    <x v="101"/>
    <x v="17"/>
    <x v="219"/>
    <x v="87"/>
    <x v="0"/>
    <x v="5"/>
  </r>
  <r>
    <x v="16"/>
    <x v="95"/>
    <x v="101"/>
    <x v="17"/>
    <x v="115"/>
    <x v="190"/>
    <x v="0"/>
    <x v="5"/>
  </r>
  <r>
    <x v="8"/>
    <x v="95"/>
    <x v="117"/>
    <x v="17"/>
    <x v="169"/>
    <x v="137"/>
    <x v="0"/>
    <x v="5"/>
  </r>
  <r>
    <x v="23"/>
    <x v="95"/>
    <x v="120"/>
    <x v="17"/>
    <x v="238"/>
    <x v="68"/>
    <x v="0"/>
    <x v="5"/>
  </r>
  <r>
    <x v="23"/>
    <x v="95"/>
    <x v="120"/>
    <x v="17"/>
    <x v="68"/>
    <x v="236"/>
    <x v="0"/>
    <x v="5"/>
  </r>
  <r>
    <x v="23"/>
    <x v="95"/>
    <x v="123"/>
    <x v="17"/>
    <x v="255"/>
    <x v="51"/>
    <x v="0"/>
    <x v="5"/>
  </r>
  <r>
    <x v="22"/>
    <x v="95"/>
    <x v="203"/>
    <x v="12"/>
    <x v="60"/>
    <x v="244"/>
    <x v="0"/>
    <x v="5"/>
  </r>
  <r>
    <x v="37"/>
    <x v="95"/>
    <x v="206"/>
    <x v="24"/>
    <x v="329"/>
    <x v="0"/>
    <x v="0"/>
    <x v="5"/>
  </r>
  <r>
    <x v="8"/>
    <x v="107"/>
    <x v="49"/>
    <x v="2"/>
    <x v="210"/>
    <x v="96"/>
    <x v="0"/>
    <x v="5"/>
  </r>
  <r>
    <x v="1"/>
    <x v="107"/>
    <x v="18"/>
    <x v="2"/>
    <x v="40"/>
    <x v="263"/>
    <x v="0"/>
    <x v="5"/>
  </r>
  <r>
    <x v="8"/>
    <x v="107"/>
    <x v="41"/>
    <x v="2"/>
    <x v="246"/>
    <x v="60"/>
    <x v="0"/>
    <x v="5"/>
  </r>
  <r>
    <x v="1"/>
    <x v="107"/>
    <x v="44"/>
    <x v="2"/>
    <x v="146"/>
    <x v="160"/>
    <x v="0"/>
    <x v="5"/>
  </r>
  <r>
    <x v="37"/>
    <x v="107"/>
    <x v="206"/>
    <x v="24"/>
    <x v="329"/>
    <x v="0"/>
    <x v="0"/>
    <x v="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83">
  <r>
    <x v="5"/>
    <x v="102"/>
    <x v="118"/>
    <x v="200"/>
    <x v="0"/>
    <x v="250"/>
  </r>
  <r>
    <x v="5"/>
    <x v="102"/>
    <x v="117"/>
    <x v="1"/>
    <x v="0"/>
    <x v="1"/>
  </r>
  <r>
    <x v="5"/>
    <x v="113"/>
    <x v="11"/>
    <x v="102"/>
    <x v="0"/>
    <x v="125"/>
  </r>
  <r>
    <x v="5"/>
    <x v="113"/>
    <x v="8"/>
    <x v="4"/>
    <x v="0"/>
    <x v="4"/>
  </r>
  <r>
    <x v="5"/>
    <x v="22"/>
    <x v="24"/>
    <x v="160"/>
    <x v="0"/>
    <x v="202"/>
  </r>
  <r>
    <x v="0"/>
    <x v="30"/>
    <x v="7"/>
    <x v="114"/>
    <x v="0"/>
    <x v="138"/>
  </r>
  <r>
    <x v="11"/>
    <x v="30"/>
    <x v="180"/>
    <x v="151"/>
    <x v="0"/>
    <x v="187"/>
  </r>
  <r>
    <x v="14"/>
    <x v="30"/>
    <x v="0"/>
    <x v="182"/>
    <x v="0"/>
    <x v="227"/>
  </r>
  <r>
    <x v="0"/>
    <x v="39"/>
    <x v="159"/>
    <x v="19"/>
    <x v="0"/>
    <x v="20"/>
  </r>
  <r>
    <x v="11"/>
    <x v="39"/>
    <x v="180"/>
    <x v="176"/>
    <x v="0"/>
    <x v="221"/>
  </r>
  <r>
    <x v="11"/>
    <x v="44"/>
    <x v="180"/>
    <x v="130"/>
    <x v="0"/>
    <x v="159"/>
  </r>
  <r>
    <x v="2"/>
    <x v="44"/>
    <x v="153"/>
    <x v="77"/>
    <x v="0"/>
    <x v="93"/>
  </r>
  <r>
    <x v="7"/>
    <x v="44"/>
    <x v="57"/>
    <x v="44"/>
    <x v="0"/>
    <x v="47"/>
  </r>
  <r>
    <x v="2"/>
    <x v="44"/>
    <x v="46"/>
    <x v="90"/>
    <x v="0"/>
    <x v="110"/>
  </r>
  <r>
    <x v="2"/>
    <x v="54"/>
    <x v="91"/>
    <x v="105"/>
    <x v="0"/>
    <x v="129"/>
  </r>
  <r>
    <x v="14"/>
    <x v="58"/>
    <x v="1"/>
    <x v="170"/>
    <x v="0"/>
    <x v="215"/>
  </r>
  <r>
    <x v="11"/>
    <x v="62"/>
    <x v="180"/>
    <x v="138"/>
    <x v="0"/>
    <x v="168"/>
  </r>
  <r>
    <x v="5"/>
    <x v="65"/>
    <x v="52"/>
    <x v="71"/>
    <x v="0"/>
    <x v="83"/>
  </r>
  <r>
    <x v="7"/>
    <x v="65"/>
    <x v="57"/>
    <x v="112"/>
    <x v="0"/>
    <x v="136"/>
  </r>
  <r>
    <x v="5"/>
    <x v="65"/>
    <x v="89"/>
    <x v="88"/>
    <x v="0"/>
    <x v="108"/>
  </r>
  <r>
    <x v="5"/>
    <x v="67"/>
    <x v="166"/>
    <x v="6"/>
    <x v="0"/>
    <x v="6"/>
  </r>
  <r>
    <x v="11"/>
    <x v="67"/>
    <x v="180"/>
    <x v="97"/>
    <x v="0"/>
    <x v="119"/>
  </r>
  <r>
    <x v="2"/>
    <x v="72"/>
    <x v="93"/>
    <x v="80"/>
    <x v="0"/>
    <x v="96"/>
  </r>
  <r>
    <x v="11"/>
    <x v="72"/>
    <x v="180"/>
    <x v="140"/>
    <x v="0"/>
    <x v="170"/>
  </r>
  <r>
    <x v="3"/>
    <x v="72"/>
    <x v="59"/>
    <x v="43"/>
    <x v="0"/>
    <x v="46"/>
  </r>
  <r>
    <x v="12"/>
    <x v="72"/>
    <x v="22"/>
    <x v="53"/>
    <x v="0"/>
    <x v="59"/>
  </r>
  <r>
    <x v="2"/>
    <x v="72"/>
    <x v="71"/>
    <x v="99"/>
    <x v="0"/>
    <x v="121"/>
  </r>
  <r>
    <x v="11"/>
    <x v="77"/>
    <x v="180"/>
    <x v="137"/>
    <x v="0"/>
    <x v="167"/>
  </r>
  <r>
    <x v="7"/>
    <x v="77"/>
    <x v="142"/>
    <x v="141"/>
    <x v="0"/>
    <x v="174"/>
  </r>
  <r>
    <x v="5"/>
    <x v="83"/>
    <x v="88"/>
    <x v="51"/>
    <x v="0"/>
    <x v="56"/>
  </r>
  <r>
    <x v="5"/>
    <x v="83"/>
    <x v="88"/>
    <x v="178"/>
    <x v="0"/>
    <x v="223"/>
  </r>
  <r>
    <x v="12"/>
    <x v="83"/>
    <x v="22"/>
    <x v="74"/>
    <x v="0"/>
    <x v="87"/>
  </r>
  <r>
    <x v="11"/>
    <x v="83"/>
    <x v="157"/>
    <x v="83"/>
    <x v="0"/>
    <x v="101"/>
  </r>
  <r>
    <x v="11"/>
    <x v="83"/>
    <x v="157"/>
    <x v="41"/>
    <x v="0"/>
    <x v="44"/>
  </r>
  <r>
    <x v="0"/>
    <x v="89"/>
    <x v="159"/>
    <x v="136"/>
    <x v="0"/>
    <x v="166"/>
  </r>
  <r>
    <x v="12"/>
    <x v="89"/>
    <x v="22"/>
    <x v="150"/>
    <x v="0"/>
    <x v="186"/>
  </r>
  <r>
    <x v="3"/>
    <x v="89"/>
    <x v="95"/>
    <x v="76"/>
    <x v="0"/>
    <x v="91"/>
  </r>
  <r>
    <x v="3"/>
    <x v="94"/>
    <x v="53"/>
    <x v="8"/>
    <x v="0"/>
    <x v="9"/>
  </r>
  <r>
    <x v="11"/>
    <x v="94"/>
    <x v="180"/>
    <x v="98"/>
    <x v="0"/>
    <x v="120"/>
  </r>
  <r>
    <x v="12"/>
    <x v="94"/>
    <x v="22"/>
    <x v="48"/>
    <x v="0"/>
    <x v="53"/>
  </r>
  <r>
    <x v="6"/>
    <x v="96"/>
    <x v="65"/>
    <x v="27"/>
    <x v="0"/>
    <x v="28"/>
  </r>
  <r>
    <x v="5"/>
    <x v="96"/>
    <x v="84"/>
    <x v="132"/>
    <x v="0"/>
    <x v="161"/>
  </r>
  <r>
    <x v="5"/>
    <x v="103"/>
    <x v="31"/>
    <x v="100"/>
    <x v="0"/>
    <x v="122"/>
  </r>
  <r>
    <x v="5"/>
    <x v="103"/>
    <x v="82"/>
    <x v="32"/>
    <x v="0"/>
    <x v="34"/>
  </r>
  <r>
    <x v="11"/>
    <x v="103"/>
    <x v="180"/>
    <x v="162"/>
    <x v="0"/>
    <x v="205"/>
  </r>
  <r>
    <x v="11"/>
    <x v="103"/>
    <x v="180"/>
    <x v="131"/>
    <x v="0"/>
    <x v="160"/>
  </r>
  <r>
    <x v="5"/>
    <x v="103"/>
    <x v="63"/>
    <x v="179"/>
    <x v="0"/>
    <x v="224"/>
  </r>
  <r>
    <x v="6"/>
    <x v="103"/>
    <x v="65"/>
    <x v="27"/>
    <x v="0"/>
    <x v="28"/>
  </r>
  <r>
    <x v="3"/>
    <x v="103"/>
    <x v="170"/>
    <x v="54"/>
    <x v="0"/>
    <x v="60"/>
  </r>
  <r>
    <x v="5"/>
    <x v="103"/>
    <x v="35"/>
    <x v="164"/>
    <x v="0"/>
    <x v="208"/>
  </r>
  <r>
    <x v="5"/>
    <x v="103"/>
    <x v="139"/>
    <x v="129"/>
    <x v="0"/>
    <x v="158"/>
  </r>
  <r>
    <x v="5"/>
    <x v="103"/>
    <x v="43"/>
    <x v="171"/>
    <x v="0"/>
    <x v="216"/>
  </r>
  <r>
    <x v="3"/>
    <x v="108"/>
    <x v="94"/>
    <x v="194"/>
    <x v="0"/>
    <x v="243"/>
  </r>
  <r>
    <x v="11"/>
    <x v="114"/>
    <x v="180"/>
    <x v="144"/>
    <x v="0"/>
    <x v="179"/>
  </r>
  <r>
    <x v="11"/>
    <x v="114"/>
    <x v="180"/>
    <x v="91"/>
    <x v="0"/>
    <x v="112"/>
  </r>
  <r>
    <x v="14"/>
    <x v="114"/>
    <x v="138"/>
    <x v="120"/>
    <x v="0"/>
    <x v="147"/>
  </r>
  <r>
    <x v="2"/>
    <x v="118"/>
    <x v="34"/>
    <x v="33"/>
    <x v="0"/>
    <x v="35"/>
  </r>
  <r>
    <x v="11"/>
    <x v="118"/>
    <x v="180"/>
    <x v="123"/>
    <x v="0"/>
    <x v="151"/>
  </r>
  <r>
    <x v="5"/>
    <x v="118"/>
    <x v="62"/>
    <x v="11"/>
    <x v="0"/>
    <x v="12"/>
  </r>
  <r>
    <x v="7"/>
    <x v="118"/>
    <x v="57"/>
    <x v="68"/>
    <x v="0"/>
    <x v="80"/>
  </r>
  <r>
    <x v="5"/>
    <x v="118"/>
    <x v="74"/>
    <x v="20"/>
    <x v="0"/>
    <x v="21"/>
  </r>
  <r>
    <x v="11"/>
    <x v="120"/>
    <x v="158"/>
    <x v="26"/>
    <x v="0"/>
    <x v="27"/>
  </r>
  <r>
    <x v="5"/>
    <x v="120"/>
    <x v="51"/>
    <x v="81"/>
    <x v="0"/>
    <x v="97"/>
  </r>
  <r>
    <x v="11"/>
    <x v="120"/>
    <x v="167"/>
    <x v="152"/>
    <x v="0"/>
    <x v="188"/>
  </r>
  <r>
    <x v="3"/>
    <x v="125"/>
    <x v="14"/>
    <x v="19"/>
    <x v="0"/>
    <x v="20"/>
  </r>
  <r>
    <x v="14"/>
    <x v="129"/>
    <x v="28"/>
    <x v="177"/>
    <x v="0"/>
    <x v="222"/>
  </r>
  <r>
    <x v="11"/>
    <x v="129"/>
    <x v="157"/>
    <x v="86"/>
    <x v="0"/>
    <x v="105"/>
  </r>
  <r>
    <x v="11"/>
    <x v="129"/>
    <x v="178"/>
    <x v="168"/>
    <x v="0"/>
    <x v="213"/>
  </r>
  <r>
    <x v="3"/>
    <x v="1"/>
    <x v="69"/>
    <x v="15"/>
    <x v="0"/>
    <x v="16"/>
  </r>
  <r>
    <x v="3"/>
    <x v="6"/>
    <x v="54"/>
    <x v="8"/>
    <x v="0"/>
    <x v="9"/>
  </r>
  <r>
    <x v="11"/>
    <x v="6"/>
    <x v="180"/>
    <x v="159"/>
    <x v="0"/>
    <x v="201"/>
  </r>
  <r>
    <x v="11"/>
    <x v="11"/>
    <x v="180"/>
    <x v="153"/>
    <x v="0"/>
    <x v="191"/>
  </r>
  <r>
    <x v="11"/>
    <x v="17"/>
    <x v="180"/>
    <x v="163"/>
    <x v="0"/>
    <x v="207"/>
  </r>
  <r>
    <x v="11"/>
    <x v="17"/>
    <x v="180"/>
    <x v="84"/>
    <x v="0"/>
    <x v="103"/>
  </r>
  <r>
    <x v="11"/>
    <x v="23"/>
    <x v="180"/>
    <x v="124"/>
    <x v="0"/>
    <x v="152"/>
  </r>
  <r>
    <x v="7"/>
    <x v="23"/>
    <x v="151"/>
    <x v="89"/>
    <x v="0"/>
    <x v="109"/>
  </r>
  <r>
    <x v="3"/>
    <x v="73"/>
    <x v="127"/>
    <x v="199"/>
    <x v="0"/>
    <x v="249"/>
  </r>
  <r>
    <x v="3"/>
    <x v="117"/>
    <x v="121"/>
    <x v="39"/>
    <x v="0"/>
    <x v="42"/>
  </r>
  <r>
    <x v="13"/>
    <x v="61"/>
    <x v="129"/>
    <x v="201"/>
    <x v="0"/>
    <x v="251"/>
  </r>
  <r>
    <x v="3"/>
    <x v="114"/>
    <x v="187"/>
    <x v="118"/>
    <x v="0"/>
    <x v="143"/>
  </r>
  <r>
    <x v="5"/>
    <x v="102"/>
    <x v="119"/>
    <x v="200"/>
    <x v="1"/>
    <x v="250"/>
  </r>
  <r>
    <x v="5"/>
    <x v="96"/>
    <x v="85"/>
    <x v="132"/>
    <x v="1"/>
    <x v="161"/>
  </r>
  <r>
    <x v="5"/>
    <x v="96"/>
    <x v="83"/>
    <x v="2"/>
    <x v="1"/>
    <x v="2"/>
  </r>
  <r>
    <x v="5"/>
    <x v="103"/>
    <x v="36"/>
    <x v="164"/>
    <x v="1"/>
    <x v="208"/>
  </r>
  <r>
    <x v="5"/>
    <x v="103"/>
    <x v="140"/>
    <x v="129"/>
    <x v="1"/>
    <x v="158"/>
  </r>
  <r>
    <x v="5"/>
    <x v="103"/>
    <x v="44"/>
    <x v="171"/>
    <x v="1"/>
    <x v="216"/>
  </r>
  <r>
    <x v="5"/>
    <x v="103"/>
    <x v="38"/>
    <x v="2"/>
    <x v="1"/>
    <x v="2"/>
  </r>
  <r>
    <x v="5"/>
    <x v="103"/>
    <x v="42"/>
    <x v="2"/>
    <x v="1"/>
    <x v="2"/>
  </r>
  <r>
    <x v="11"/>
    <x v="120"/>
    <x v="168"/>
    <x v="152"/>
    <x v="1"/>
    <x v="188"/>
  </r>
  <r>
    <x v="11"/>
    <x v="129"/>
    <x v="179"/>
    <x v="168"/>
    <x v="1"/>
    <x v="213"/>
  </r>
  <r>
    <x v="11"/>
    <x v="31"/>
    <x v="180"/>
    <x v="167"/>
    <x v="1"/>
    <x v="212"/>
  </r>
  <r>
    <x v="5"/>
    <x v="34"/>
    <x v="58"/>
    <x v="58"/>
    <x v="1"/>
    <x v="65"/>
  </r>
  <r>
    <x v="7"/>
    <x v="34"/>
    <x v="56"/>
    <x v="47"/>
    <x v="1"/>
    <x v="52"/>
  </r>
  <r>
    <x v="14"/>
    <x v="34"/>
    <x v="27"/>
    <x v="59"/>
    <x v="1"/>
    <x v="68"/>
  </r>
  <r>
    <x v="14"/>
    <x v="40"/>
    <x v="138"/>
    <x v="180"/>
    <x v="1"/>
    <x v="225"/>
  </r>
  <r>
    <x v="0"/>
    <x v="45"/>
    <x v="159"/>
    <x v="19"/>
    <x v="1"/>
    <x v="20"/>
  </r>
  <r>
    <x v="0"/>
    <x v="50"/>
    <x v="2"/>
    <x v="113"/>
    <x v="1"/>
    <x v="137"/>
  </r>
  <r>
    <x v="3"/>
    <x v="55"/>
    <x v="68"/>
    <x v="17"/>
    <x v="1"/>
    <x v="18"/>
  </r>
  <r>
    <x v="14"/>
    <x v="68"/>
    <x v="138"/>
    <x v="183"/>
    <x v="1"/>
    <x v="228"/>
  </r>
  <r>
    <x v="3"/>
    <x v="74"/>
    <x v="60"/>
    <x v="43"/>
    <x v="1"/>
    <x v="46"/>
  </r>
  <r>
    <x v="0"/>
    <x v="78"/>
    <x v="159"/>
    <x v="136"/>
    <x v="1"/>
    <x v="166"/>
  </r>
  <r>
    <x v="3"/>
    <x v="84"/>
    <x v="95"/>
    <x v="76"/>
    <x v="1"/>
    <x v="91"/>
  </r>
  <r>
    <x v="3"/>
    <x v="97"/>
    <x v="170"/>
    <x v="54"/>
    <x v="1"/>
    <x v="60"/>
  </r>
  <r>
    <x v="2"/>
    <x v="109"/>
    <x v="90"/>
    <x v="16"/>
    <x v="1"/>
    <x v="17"/>
  </r>
  <r>
    <x v="0"/>
    <x v="109"/>
    <x v="133"/>
    <x v="40"/>
    <x v="1"/>
    <x v="43"/>
  </r>
  <r>
    <x v="0"/>
    <x v="109"/>
    <x v="130"/>
    <x v="165"/>
    <x v="1"/>
    <x v="210"/>
  </r>
  <r>
    <x v="5"/>
    <x v="115"/>
    <x v="100"/>
    <x v="184"/>
    <x v="1"/>
    <x v="229"/>
  </r>
  <r>
    <x v="3"/>
    <x v="109"/>
    <x v="187"/>
    <x v="119"/>
    <x v="1"/>
    <x v="144"/>
  </r>
  <r>
    <x v="8"/>
    <x v="109"/>
    <x v="72"/>
    <x v="12"/>
    <x v="1"/>
    <x v="13"/>
  </r>
  <r>
    <x v="3"/>
    <x v="117"/>
    <x v="122"/>
    <x v="39"/>
    <x v="1"/>
    <x v="42"/>
  </r>
  <r>
    <x v="7"/>
    <x v="121"/>
    <x v="150"/>
    <x v="111"/>
    <x v="1"/>
    <x v="135"/>
  </r>
  <r>
    <x v="3"/>
    <x v="121"/>
    <x v="14"/>
    <x v="19"/>
    <x v="1"/>
    <x v="20"/>
  </r>
  <r>
    <x v="5"/>
    <x v="121"/>
    <x v="23"/>
    <x v="157"/>
    <x v="1"/>
    <x v="199"/>
  </r>
  <r>
    <x v="3"/>
    <x v="126"/>
    <x v="55"/>
    <x v="15"/>
    <x v="1"/>
    <x v="16"/>
  </r>
  <r>
    <x v="11"/>
    <x v="13"/>
    <x v="169"/>
    <x v="174"/>
    <x v="1"/>
    <x v="219"/>
  </r>
  <r>
    <x v="11"/>
    <x v="13"/>
    <x v="180"/>
    <x v="142"/>
    <x v="1"/>
    <x v="175"/>
  </r>
  <r>
    <x v="14"/>
    <x v="13"/>
    <x v="186"/>
    <x v="185"/>
    <x v="1"/>
    <x v="230"/>
  </r>
  <r>
    <x v="5"/>
    <x v="24"/>
    <x v="10"/>
    <x v="61"/>
    <x v="1"/>
    <x v="70"/>
  </r>
  <r>
    <x v="5"/>
    <x v="102"/>
    <x v="120"/>
    <x v="200"/>
    <x v="2"/>
    <x v="250"/>
  </r>
  <r>
    <x v="5"/>
    <x v="96"/>
    <x v="86"/>
    <x v="132"/>
    <x v="2"/>
    <x v="161"/>
  </r>
  <r>
    <x v="5"/>
    <x v="103"/>
    <x v="37"/>
    <x v="164"/>
    <x v="2"/>
    <x v="208"/>
  </r>
  <r>
    <x v="5"/>
    <x v="103"/>
    <x v="45"/>
    <x v="171"/>
    <x v="2"/>
    <x v="216"/>
  </r>
  <r>
    <x v="0"/>
    <x v="50"/>
    <x v="3"/>
    <x v="113"/>
    <x v="2"/>
    <x v="137"/>
  </r>
  <r>
    <x v="0"/>
    <x v="109"/>
    <x v="131"/>
    <x v="165"/>
    <x v="2"/>
    <x v="210"/>
  </r>
  <r>
    <x v="5"/>
    <x v="121"/>
    <x v="25"/>
    <x v="157"/>
    <x v="2"/>
    <x v="199"/>
  </r>
  <r>
    <x v="5"/>
    <x v="24"/>
    <x v="12"/>
    <x v="61"/>
    <x v="2"/>
    <x v="70"/>
  </r>
  <r>
    <x v="2"/>
    <x v="36"/>
    <x v="15"/>
    <x v="175"/>
    <x v="2"/>
    <x v="220"/>
  </r>
  <r>
    <x v="9"/>
    <x v="36"/>
    <x v="134"/>
    <x v="75"/>
    <x v="2"/>
    <x v="88"/>
  </r>
  <r>
    <x v="9"/>
    <x v="36"/>
    <x v="134"/>
    <x v="40"/>
    <x v="2"/>
    <x v="43"/>
  </r>
  <r>
    <x v="6"/>
    <x v="36"/>
    <x v="65"/>
    <x v="27"/>
    <x v="2"/>
    <x v="28"/>
  </r>
  <r>
    <x v="3"/>
    <x v="36"/>
    <x v="68"/>
    <x v="19"/>
    <x v="2"/>
    <x v="20"/>
  </r>
  <r>
    <x v="0"/>
    <x v="41"/>
    <x v="159"/>
    <x v="19"/>
    <x v="2"/>
    <x v="20"/>
  </r>
  <r>
    <x v="5"/>
    <x v="46"/>
    <x v="8"/>
    <x v="92"/>
    <x v="2"/>
    <x v="113"/>
  </r>
  <r>
    <x v="14"/>
    <x v="46"/>
    <x v="28"/>
    <x v="126"/>
    <x v="2"/>
    <x v="154"/>
  </r>
  <r>
    <x v="2"/>
    <x v="51"/>
    <x v="174"/>
    <x v="125"/>
    <x v="2"/>
    <x v="153"/>
  </r>
  <r>
    <x v="5"/>
    <x v="51"/>
    <x v="84"/>
    <x v="145"/>
    <x v="2"/>
    <x v="180"/>
  </r>
  <r>
    <x v="5"/>
    <x v="51"/>
    <x v="77"/>
    <x v="82"/>
    <x v="2"/>
    <x v="100"/>
  </r>
  <r>
    <x v="14"/>
    <x v="59"/>
    <x v="137"/>
    <x v="190"/>
    <x v="2"/>
    <x v="237"/>
  </r>
  <r>
    <x v="2"/>
    <x v="59"/>
    <x v="146"/>
    <x v="64"/>
    <x v="2"/>
    <x v="76"/>
  </r>
  <r>
    <x v="5"/>
    <x v="59"/>
    <x v="67"/>
    <x v="69"/>
    <x v="2"/>
    <x v="81"/>
  </r>
  <r>
    <x v="4"/>
    <x v="59"/>
    <x v="96"/>
    <x v="196"/>
    <x v="2"/>
    <x v="245"/>
  </r>
  <r>
    <x v="3"/>
    <x v="69"/>
    <x v="59"/>
    <x v="43"/>
    <x v="2"/>
    <x v="46"/>
  </r>
  <r>
    <x v="3"/>
    <x v="109"/>
    <x v="187"/>
    <x v="119"/>
    <x v="2"/>
    <x v="144"/>
  </r>
  <r>
    <x v="8"/>
    <x v="109"/>
    <x v="72"/>
    <x v="12"/>
    <x v="2"/>
    <x v="13"/>
  </r>
  <r>
    <x v="3"/>
    <x v="79"/>
    <x v="181"/>
    <x v="56"/>
    <x v="2"/>
    <x v="63"/>
  </r>
  <r>
    <x v="3"/>
    <x v="79"/>
    <x v="184"/>
    <x v="7"/>
    <x v="2"/>
    <x v="8"/>
  </r>
  <r>
    <x v="5"/>
    <x v="85"/>
    <x v="109"/>
    <x v="28"/>
    <x v="2"/>
    <x v="29"/>
  </r>
  <r>
    <x v="5"/>
    <x v="85"/>
    <x v="111"/>
    <x v="24"/>
    <x v="2"/>
    <x v="25"/>
  </r>
  <r>
    <x v="5"/>
    <x v="85"/>
    <x v="161"/>
    <x v="161"/>
    <x v="2"/>
    <x v="204"/>
  </r>
  <r>
    <x v="5"/>
    <x v="85"/>
    <x v="162"/>
    <x v="21"/>
    <x v="2"/>
    <x v="22"/>
  </r>
  <r>
    <x v="5"/>
    <x v="85"/>
    <x v="162"/>
    <x v="117"/>
    <x v="2"/>
    <x v="142"/>
  </r>
  <r>
    <x v="5"/>
    <x v="85"/>
    <x v="162"/>
    <x v="42"/>
    <x v="2"/>
    <x v="45"/>
  </r>
  <r>
    <x v="5"/>
    <x v="85"/>
    <x v="162"/>
    <x v="31"/>
    <x v="2"/>
    <x v="33"/>
  </r>
  <r>
    <x v="5"/>
    <x v="85"/>
    <x v="10"/>
    <x v="104"/>
    <x v="2"/>
    <x v="127"/>
  </r>
  <r>
    <x v="5"/>
    <x v="85"/>
    <x v="10"/>
    <x v="22"/>
    <x v="2"/>
    <x v="23"/>
  </r>
  <r>
    <x v="11"/>
    <x v="90"/>
    <x v="180"/>
    <x v="127"/>
    <x v="2"/>
    <x v="155"/>
  </r>
  <r>
    <x v="2"/>
    <x v="90"/>
    <x v="148"/>
    <x v="9"/>
    <x v="2"/>
    <x v="10"/>
  </r>
  <r>
    <x v="3"/>
    <x v="90"/>
    <x v="95"/>
    <x v="76"/>
    <x v="2"/>
    <x v="91"/>
  </r>
  <r>
    <x v="14"/>
    <x v="98"/>
    <x v="47"/>
    <x v="193"/>
    <x v="2"/>
    <x v="242"/>
  </r>
  <r>
    <x v="5"/>
    <x v="98"/>
    <x v="8"/>
    <x v="0"/>
    <x v="2"/>
    <x v="0"/>
  </r>
  <r>
    <x v="1"/>
    <x v="105"/>
    <x v="33"/>
    <x v="23"/>
    <x v="2"/>
    <x v="24"/>
  </r>
  <r>
    <x v="5"/>
    <x v="105"/>
    <x v="106"/>
    <x v="63"/>
    <x v="2"/>
    <x v="75"/>
  </r>
  <r>
    <x v="14"/>
    <x v="116"/>
    <x v="29"/>
    <x v="14"/>
    <x v="2"/>
    <x v="15"/>
  </r>
  <r>
    <x v="2"/>
    <x v="116"/>
    <x v="90"/>
    <x v="93"/>
    <x v="2"/>
    <x v="115"/>
  </r>
  <r>
    <x v="3"/>
    <x v="116"/>
    <x v="170"/>
    <x v="54"/>
    <x v="2"/>
    <x v="60"/>
  </r>
  <r>
    <x v="3"/>
    <x v="116"/>
    <x v="53"/>
    <x v="15"/>
    <x v="2"/>
    <x v="16"/>
  </r>
  <r>
    <x v="3"/>
    <x v="2"/>
    <x v="14"/>
    <x v="19"/>
    <x v="2"/>
    <x v="20"/>
  </r>
  <r>
    <x v="0"/>
    <x v="7"/>
    <x v="159"/>
    <x v="136"/>
    <x v="2"/>
    <x v="166"/>
  </r>
  <r>
    <x v="2"/>
    <x v="18"/>
    <x v="71"/>
    <x v="146"/>
    <x v="2"/>
    <x v="181"/>
  </r>
  <r>
    <x v="5"/>
    <x v="117"/>
    <x v="123"/>
    <x v="39"/>
    <x v="2"/>
    <x v="42"/>
  </r>
  <r>
    <x v="0"/>
    <x v="50"/>
    <x v="4"/>
    <x v="113"/>
    <x v="3"/>
    <x v="137"/>
  </r>
  <r>
    <x v="0"/>
    <x v="109"/>
    <x v="132"/>
    <x v="165"/>
    <x v="3"/>
    <x v="210"/>
  </r>
  <r>
    <x v="5"/>
    <x v="121"/>
    <x v="26"/>
    <x v="157"/>
    <x v="3"/>
    <x v="199"/>
  </r>
  <r>
    <x v="5"/>
    <x v="24"/>
    <x v="13"/>
    <x v="61"/>
    <x v="3"/>
    <x v="70"/>
  </r>
  <r>
    <x v="5"/>
    <x v="51"/>
    <x v="76"/>
    <x v="1"/>
    <x v="3"/>
    <x v="1"/>
  </r>
  <r>
    <x v="5"/>
    <x v="51"/>
    <x v="85"/>
    <x v="145"/>
    <x v="3"/>
    <x v="180"/>
  </r>
  <r>
    <x v="5"/>
    <x v="51"/>
    <x v="78"/>
    <x v="82"/>
    <x v="3"/>
    <x v="100"/>
  </r>
  <r>
    <x v="4"/>
    <x v="59"/>
    <x v="97"/>
    <x v="196"/>
    <x v="3"/>
    <x v="245"/>
  </r>
  <r>
    <x v="5"/>
    <x v="85"/>
    <x v="110"/>
    <x v="28"/>
    <x v="3"/>
    <x v="29"/>
  </r>
  <r>
    <x v="5"/>
    <x v="85"/>
    <x v="112"/>
    <x v="24"/>
    <x v="3"/>
    <x v="25"/>
  </r>
  <r>
    <x v="5"/>
    <x v="85"/>
    <x v="163"/>
    <x v="161"/>
    <x v="3"/>
    <x v="204"/>
  </r>
  <r>
    <x v="5"/>
    <x v="85"/>
    <x v="164"/>
    <x v="21"/>
    <x v="3"/>
    <x v="22"/>
  </r>
  <r>
    <x v="5"/>
    <x v="85"/>
    <x v="164"/>
    <x v="117"/>
    <x v="3"/>
    <x v="142"/>
  </r>
  <r>
    <x v="5"/>
    <x v="85"/>
    <x v="164"/>
    <x v="42"/>
    <x v="3"/>
    <x v="45"/>
  </r>
  <r>
    <x v="5"/>
    <x v="85"/>
    <x v="164"/>
    <x v="31"/>
    <x v="3"/>
    <x v="33"/>
  </r>
  <r>
    <x v="5"/>
    <x v="85"/>
    <x v="12"/>
    <x v="104"/>
    <x v="3"/>
    <x v="127"/>
  </r>
  <r>
    <x v="5"/>
    <x v="85"/>
    <x v="12"/>
    <x v="22"/>
    <x v="3"/>
    <x v="23"/>
  </r>
  <r>
    <x v="5"/>
    <x v="85"/>
    <x v="160"/>
    <x v="2"/>
    <x v="3"/>
    <x v="2"/>
  </r>
  <r>
    <x v="5"/>
    <x v="85"/>
    <x v="8"/>
    <x v="2"/>
    <x v="3"/>
    <x v="2"/>
  </r>
  <r>
    <x v="5"/>
    <x v="25"/>
    <x v="81"/>
    <x v="94"/>
    <x v="3"/>
    <x v="116"/>
  </r>
  <r>
    <x v="14"/>
    <x v="28"/>
    <x v="1"/>
    <x v="181"/>
    <x v="3"/>
    <x v="226"/>
  </r>
  <r>
    <x v="0"/>
    <x v="42"/>
    <x v="159"/>
    <x v="19"/>
    <x v="3"/>
    <x v="20"/>
  </r>
  <r>
    <x v="3"/>
    <x v="47"/>
    <x v="141"/>
    <x v="66"/>
    <x v="3"/>
    <x v="78"/>
  </r>
  <r>
    <x v="11"/>
    <x v="52"/>
    <x v="175"/>
    <x v="103"/>
    <x v="3"/>
    <x v="126"/>
  </r>
  <r>
    <x v="11"/>
    <x v="52"/>
    <x v="176"/>
    <x v="173"/>
    <x v="3"/>
    <x v="218"/>
  </r>
  <r>
    <x v="7"/>
    <x v="52"/>
    <x v="143"/>
    <x v="85"/>
    <x v="3"/>
    <x v="104"/>
  </r>
  <r>
    <x v="5"/>
    <x v="63"/>
    <x v="16"/>
    <x v="30"/>
    <x v="3"/>
    <x v="32"/>
  </r>
  <r>
    <x v="5"/>
    <x v="63"/>
    <x v="9"/>
    <x v="116"/>
    <x v="3"/>
    <x v="141"/>
  </r>
  <r>
    <x v="3"/>
    <x v="75"/>
    <x v="60"/>
    <x v="43"/>
    <x v="3"/>
    <x v="46"/>
  </r>
  <r>
    <x v="5"/>
    <x v="75"/>
    <x v="30"/>
    <x v="87"/>
    <x v="3"/>
    <x v="106"/>
  </r>
  <r>
    <x v="5"/>
    <x v="75"/>
    <x v="113"/>
    <x v="107"/>
    <x v="3"/>
    <x v="131"/>
  </r>
  <r>
    <x v="11"/>
    <x v="75"/>
    <x v="176"/>
    <x v="143"/>
    <x v="3"/>
    <x v="177"/>
  </r>
  <r>
    <x v="5"/>
    <x v="75"/>
    <x v="19"/>
    <x v="197"/>
    <x v="3"/>
    <x v="246"/>
  </r>
  <r>
    <x v="2"/>
    <x v="80"/>
    <x v="71"/>
    <x v="101"/>
    <x v="3"/>
    <x v="123"/>
  </r>
  <r>
    <x v="3"/>
    <x v="80"/>
    <x v="53"/>
    <x v="80"/>
    <x v="3"/>
    <x v="96"/>
  </r>
  <r>
    <x v="3"/>
    <x v="86"/>
    <x v="95"/>
    <x v="76"/>
    <x v="3"/>
    <x v="91"/>
  </r>
  <r>
    <x v="0"/>
    <x v="91"/>
    <x v="159"/>
    <x v="136"/>
    <x v="3"/>
    <x v="166"/>
  </r>
  <r>
    <x v="3"/>
    <x v="99"/>
    <x v="170"/>
    <x v="54"/>
    <x v="3"/>
    <x v="60"/>
  </r>
  <r>
    <x v="11"/>
    <x v="106"/>
    <x v="175"/>
    <x v="79"/>
    <x v="3"/>
    <x v="95"/>
  </r>
  <r>
    <x v="11"/>
    <x v="106"/>
    <x v="175"/>
    <x v="65"/>
    <x v="3"/>
    <x v="77"/>
  </r>
  <r>
    <x v="11"/>
    <x v="106"/>
    <x v="175"/>
    <x v="156"/>
    <x v="3"/>
    <x v="197"/>
  </r>
  <r>
    <x v="11"/>
    <x v="106"/>
    <x v="175"/>
    <x v="52"/>
    <x v="3"/>
    <x v="58"/>
  </r>
  <r>
    <x v="3"/>
    <x v="106"/>
    <x v="154"/>
    <x v="133"/>
    <x v="3"/>
    <x v="162"/>
  </r>
  <r>
    <x v="7"/>
    <x v="106"/>
    <x v="57"/>
    <x v="46"/>
    <x v="3"/>
    <x v="51"/>
  </r>
  <r>
    <x v="7"/>
    <x v="106"/>
    <x v="142"/>
    <x v="78"/>
    <x v="3"/>
    <x v="94"/>
  </r>
  <r>
    <x v="14"/>
    <x v="110"/>
    <x v="138"/>
    <x v="191"/>
    <x v="3"/>
    <x v="240"/>
  </r>
  <r>
    <x v="2"/>
    <x v="110"/>
    <x v="71"/>
    <x v="89"/>
    <x v="3"/>
    <x v="109"/>
  </r>
  <r>
    <x v="11"/>
    <x v="110"/>
    <x v="176"/>
    <x v="186"/>
    <x v="3"/>
    <x v="232"/>
  </r>
  <r>
    <x v="3"/>
    <x v="110"/>
    <x v="187"/>
    <x v="121"/>
    <x v="3"/>
    <x v="149"/>
  </r>
  <r>
    <x v="3"/>
    <x v="110"/>
    <x v="72"/>
    <x v="13"/>
    <x v="3"/>
    <x v="14"/>
  </r>
  <r>
    <x v="3"/>
    <x v="117"/>
    <x v="124"/>
    <x v="39"/>
    <x v="3"/>
    <x v="42"/>
  </r>
  <r>
    <x v="3"/>
    <x v="122"/>
    <x v="14"/>
    <x v="19"/>
    <x v="3"/>
    <x v="20"/>
  </r>
  <r>
    <x v="3"/>
    <x v="127"/>
    <x v="53"/>
    <x v="15"/>
    <x v="3"/>
    <x v="16"/>
  </r>
  <r>
    <x v="0"/>
    <x v="3"/>
    <x v="159"/>
    <x v="147"/>
    <x v="3"/>
    <x v="183"/>
  </r>
  <r>
    <x v="11"/>
    <x v="3"/>
    <x v="176"/>
    <x v="195"/>
    <x v="3"/>
    <x v="244"/>
  </r>
  <r>
    <x v="2"/>
    <x v="8"/>
    <x v="104"/>
    <x v="169"/>
    <x v="3"/>
    <x v="214"/>
  </r>
  <r>
    <x v="5"/>
    <x v="14"/>
    <x v="66"/>
    <x v="108"/>
    <x v="3"/>
    <x v="132"/>
  </r>
  <r>
    <x v="11"/>
    <x v="14"/>
    <x v="175"/>
    <x v="96"/>
    <x v="3"/>
    <x v="118"/>
  </r>
  <r>
    <x v="5"/>
    <x v="14"/>
    <x v="40"/>
    <x v="198"/>
    <x v="3"/>
    <x v="248"/>
  </r>
  <r>
    <x v="7"/>
    <x v="19"/>
    <x v="147"/>
    <x v="128"/>
    <x v="3"/>
    <x v="156"/>
  </r>
  <r>
    <x v="11"/>
    <x v="26"/>
    <x v="175"/>
    <x v="166"/>
    <x v="3"/>
    <x v="211"/>
  </r>
  <r>
    <x v="12"/>
    <x v="26"/>
    <x v="22"/>
    <x v="60"/>
    <x v="3"/>
    <x v="69"/>
  </r>
  <r>
    <x v="0"/>
    <x v="50"/>
    <x v="5"/>
    <x v="113"/>
    <x v="4"/>
    <x v="137"/>
  </r>
  <r>
    <x v="5"/>
    <x v="51"/>
    <x v="86"/>
    <x v="145"/>
    <x v="4"/>
    <x v="180"/>
  </r>
  <r>
    <x v="5"/>
    <x v="51"/>
    <x v="79"/>
    <x v="82"/>
    <x v="4"/>
    <x v="100"/>
  </r>
  <r>
    <x v="10"/>
    <x v="59"/>
    <x v="98"/>
    <x v="196"/>
    <x v="4"/>
    <x v="245"/>
  </r>
  <r>
    <x v="5"/>
    <x v="85"/>
    <x v="165"/>
    <x v="21"/>
    <x v="4"/>
    <x v="22"/>
  </r>
  <r>
    <x v="5"/>
    <x v="85"/>
    <x v="165"/>
    <x v="117"/>
    <x v="4"/>
    <x v="142"/>
  </r>
  <r>
    <x v="5"/>
    <x v="85"/>
    <x v="165"/>
    <x v="42"/>
    <x v="4"/>
    <x v="45"/>
  </r>
  <r>
    <x v="5"/>
    <x v="85"/>
    <x v="165"/>
    <x v="31"/>
    <x v="4"/>
    <x v="33"/>
  </r>
  <r>
    <x v="5"/>
    <x v="85"/>
    <x v="13"/>
    <x v="104"/>
    <x v="4"/>
    <x v="127"/>
  </r>
  <r>
    <x v="5"/>
    <x v="85"/>
    <x v="13"/>
    <x v="22"/>
    <x v="4"/>
    <x v="23"/>
  </r>
  <r>
    <x v="11"/>
    <x v="52"/>
    <x v="175"/>
    <x v="4"/>
    <x v="4"/>
    <x v="4"/>
  </r>
  <r>
    <x v="11"/>
    <x v="52"/>
    <x v="177"/>
    <x v="173"/>
    <x v="4"/>
    <x v="218"/>
  </r>
  <r>
    <x v="7"/>
    <x v="52"/>
    <x v="144"/>
    <x v="85"/>
    <x v="4"/>
    <x v="104"/>
  </r>
  <r>
    <x v="5"/>
    <x v="63"/>
    <x v="11"/>
    <x v="116"/>
    <x v="4"/>
    <x v="141"/>
  </r>
  <r>
    <x v="5"/>
    <x v="75"/>
    <x v="114"/>
    <x v="107"/>
    <x v="4"/>
    <x v="131"/>
  </r>
  <r>
    <x v="11"/>
    <x v="75"/>
    <x v="177"/>
    <x v="143"/>
    <x v="4"/>
    <x v="177"/>
  </r>
  <r>
    <x v="5"/>
    <x v="75"/>
    <x v="20"/>
    <x v="197"/>
    <x v="4"/>
    <x v="246"/>
  </r>
  <r>
    <x v="5"/>
    <x v="75"/>
    <x v="116"/>
    <x v="3"/>
    <x v="4"/>
    <x v="3"/>
  </r>
  <r>
    <x v="11"/>
    <x v="75"/>
    <x v="175"/>
    <x v="4"/>
    <x v="4"/>
    <x v="4"/>
  </r>
  <r>
    <x v="11"/>
    <x v="110"/>
    <x v="177"/>
    <x v="186"/>
    <x v="4"/>
    <x v="232"/>
  </r>
  <r>
    <x v="11"/>
    <x v="3"/>
    <x v="177"/>
    <x v="195"/>
    <x v="4"/>
    <x v="244"/>
  </r>
  <r>
    <x v="5"/>
    <x v="32"/>
    <x v="16"/>
    <x v="38"/>
    <x v="4"/>
    <x v="41"/>
  </r>
  <r>
    <x v="5"/>
    <x v="32"/>
    <x v="109"/>
    <x v="115"/>
    <x v="4"/>
    <x v="139"/>
  </r>
  <r>
    <x v="5"/>
    <x v="37"/>
    <x v="87"/>
    <x v="95"/>
    <x v="4"/>
    <x v="117"/>
  </r>
  <r>
    <x v="3"/>
    <x v="37"/>
    <x v="53"/>
    <x v="49"/>
    <x v="4"/>
    <x v="54"/>
  </r>
  <r>
    <x v="14"/>
    <x v="37"/>
    <x v="28"/>
    <x v="189"/>
    <x v="4"/>
    <x v="235"/>
  </r>
  <r>
    <x v="11"/>
    <x v="37"/>
    <x v="176"/>
    <x v="187"/>
    <x v="4"/>
    <x v="233"/>
  </r>
  <r>
    <x v="3"/>
    <x v="43"/>
    <x v="182"/>
    <x v="29"/>
    <x v="4"/>
    <x v="31"/>
  </r>
  <r>
    <x v="2"/>
    <x v="43"/>
    <x v="71"/>
    <x v="106"/>
    <x v="4"/>
    <x v="130"/>
  </r>
  <r>
    <x v="5"/>
    <x v="48"/>
    <x v="141"/>
    <x v="66"/>
    <x v="4"/>
    <x v="78"/>
  </r>
  <r>
    <x v="0"/>
    <x v="53"/>
    <x v="159"/>
    <x v="19"/>
    <x v="4"/>
    <x v="20"/>
  </r>
  <r>
    <x v="10"/>
    <x v="56"/>
    <x v="92"/>
    <x v="67"/>
    <x v="4"/>
    <x v="79"/>
  </r>
  <r>
    <x v="11"/>
    <x v="56"/>
    <x v="176"/>
    <x v="154"/>
    <x v="4"/>
    <x v="193"/>
  </r>
  <r>
    <x v="2"/>
    <x v="70"/>
    <x v="71"/>
    <x v="135"/>
    <x v="4"/>
    <x v="165"/>
  </r>
  <r>
    <x v="3"/>
    <x v="70"/>
    <x v="61"/>
    <x v="43"/>
    <x v="4"/>
    <x v="46"/>
  </r>
  <r>
    <x v="2"/>
    <x v="70"/>
    <x v="70"/>
    <x v="72"/>
    <x v="4"/>
    <x v="84"/>
  </r>
  <r>
    <x v="12"/>
    <x v="81"/>
    <x v="21"/>
    <x v="139"/>
    <x v="4"/>
    <x v="169"/>
  </r>
  <r>
    <x v="0"/>
    <x v="81"/>
    <x v="159"/>
    <x v="136"/>
    <x v="4"/>
    <x v="166"/>
  </r>
  <r>
    <x v="3"/>
    <x v="87"/>
    <x v="95"/>
    <x v="76"/>
    <x v="4"/>
    <x v="91"/>
  </r>
  <r>
    <x v="11"/>
    <x v="92"/>
    <x v="175"/>
    <x v="155"/>
    <x v="4"/>
    <x v="195"/>
  </r>
  <r>
    <x v="7"/>
    <x v="92"/>
    <x v="142"/>
    <x v="110"/>
    <x v="4"/>
    <x v="134"/>
  </r>
  <r>
    <x v="14"/>
    <x v="92"/>
    <x v="28"/>
    <x v="172"/>
    <x v="4"/>
    <x v="217"/>
  </r>
  <r>
    <x v="5"/>
    <x v="100"/>
    <x v="152"/>
    <x v="16"/>
    <x v="4"/>
    <x v="17"/>
  </r>
  <r>
    <x v="5"/>
    <x v="100"/>
    <x v="73"/>
    <x v="70"/>
    <x v="4"/>
    <x v="82"/>
  </r>
  <r>
    <x v="5"/>
    <x v="100"/>
    <x v="39"/>
    <x v="55"/>
    <x v="4"/>
    <x v="62"/>
  </r>
  <r>
    <x v="11"/>
    <x v="100"/>
    <x v="175"/>
    <x v="134"/>
    <x v="4"/>
    <x v="164"/>
  </r>
  <r>
    <x v="5"/>
    <x v="100"/>
    <x v="75"/>
    <x v="50"/>
    <x v="4"/>
    <x v="55"/>
  </r>
  <r>
    <x v="3"/>
    <x v="100"/>
    <x v="170"/>
    <x v="54"/>
    <x v="4"/>
    <x v="60"/>
  </r>
  <r>
    <x v="3"/>
    <x v="117"/>
    <x v="125"/>
    <x v="39"/>
    <x v="4"/>
    <x v="42"/>
  </r>
  <r>
    <x v="2"/>
    <x v="104"/>
    <x v="71"/>
    <x v="158"/>
    <x v="4"/>
    <x v="200"/>
  </r>
  <r>
    <x v="5"/>
    <x v="107"/>
    <x v="172"/>
    <x v="188"/>
    <x v="4"/>
    <x v="234"/>
  </r>
  <r>
    <x v="11"/>
    <x v="111"/>
    <x v="175"/>
    <x v="45"/>
    <x v="4"/>
    <x v="48"/>
  </r>
  <r>
    <x v="7"/>
    <x v="111"/>
    <x v="142"/>
    <x v="62"/>
    <x v="4"/>
    <x v="73"/>
  </r>
  <r>
    <x v="11"/>
    <x v="111"/>
    <x v="176"/>
    <x v="149"/>
    <x v="4"/>
    <x v="185"/>
  </r>
  <r>
    <x v="3"/>
    <x v="123"/>
    <x v="14"/>
    <x v="19"/>
    <x v="4"/>
    <x v="20"/>
  </r>
  <r>
    <x v="3"/>
    <x v="123"/>
    <x v="53"/>
    <x v="15"/>
    <x v="4"/>
    <x v="16"/>
  </r>
  <r>
    <x v="5"/>
    <x v="4"/>
    <x v="160"/>
    <x v="36"/>
    <x v="4"/>
    <x v="39"/>
  </r>
  <r>
    <x v="5"/>
    <x v="4"/>
    <x v="109"/>
    <x v="25"/>
    <x v="4"/>
    <x v="26"/>
  </r>
  <r>
    <x v="5"/>
    <x v="4"/>
    <x v="161"/>
    <x v="57"/>
    <x v="4"/>
    <x v="64"/>
  </r>
  <r>
    <x v="5"/>
    <x v="4"/>
    <x v="9"/>
    <x v="34"/>
    <x v="4"/>
    <x v="36"/>
  </r>
  <r>
    <x v="5"/>
    <x v="4"/>
    <x v="9"/>
    <x v="37"/>
    <x v="4"/>
    <x v="40"/>
  </r>
  <r>
    <x v="5"/>
    <x v="9"/>
    <x v="88"/>
    <x v="192"/>
    <x v="4"/>
    <x v="241"/>
  </r>
  <r>
    <x v="11"/>
    <x v="12"/>
    <x v="175"/>
    <x v="109"/>
    <x v="4"/>
    <x v="133"/>
  </r>
  <r>
    <x v="5"/>
    <x v="15"/>
    <x v="32"/>
    <x v="73"/>
    <x v="4"/>
    <x v="86"/>
  </r>
  <r>
    <x v="5"/>
    <x v="15"/>
    <x v="32"/>
    <x v="10"/>
    <x v="4"/>
    <x v="11"/>
  </r>
  <r>
    <x v="5"/>
    <x v="20"/>
    <x v="107"/>
    <x v="18"/>
    <x v="4"/>
    <x v="19"/>
  </r>
  <r>
    <x v="5"/>
    <x v="20"/>
    <x v="17"/>
    <x v="35"/>
    <x v="4"/>
    <x v="38"/>
  </r>
  <r>
    <x v="11"/>
    <x v="27"/>
    <x v="176"/>
    <x v="148"/>
    <x v="4"/>
    <x v="184"/>
  </r>
  <r>
    <x v="3"/>
    <x v="111"/>
    <x v="187"/>
    <x v="122"/>
    <x v="4"/>
    <x v="150"/>
  </r>
  <r>
    <x v="5"/>
    <x v="50"/>
    <x v="6"/>
    <x v="5"/>
    <x v="5"/>
    <x v="137"/>
  </r>
  <r>
    <x v="5"/>
    <x v="51"/>
    <x v="80"/>
    <x v="5"/>
    <x v="5"/>
    <x v="100"/>
  </r>
  <r>
    <x v="5"/>
    <x v="59"/>
    <x v="99"/>
    <x v="5"/>
    <x v="5"/>
    <x v="245"/>
  </r>
  <r>
    <x v="5"/>
    <x v="75"/>
    <x v="115"/>
    <x v="5"/>
    <x v="5"/>
    <x v="131"/>
  </r>
  <r>
    <x v="5"/>
    <x v="32"/>
    <x v="108"/>
    <x v="5"/>
    <x v="5"/>
    <x v="4"/>
  </r>
  <r>
    <x v="5"/>
    <x v="32"/>
    <x v="110"/>
    <x v="5"/>
    <x v="5"/>
    <x v="139"/>
  </r>
  <r>
    <x v="11"/>
    <x v="37"/>
    <x v="177"/>
    <x v="5"/>
    <x v="5"/>
    <x v="233"/>
  </r>
  <r>
    <x v="11"/>
    <x v="56"/>
    <x v="175"/>
    <x v="5"/>
    <x v="5"/>
    <x v="4"/>
  </r>
  <r>
    <x v="11"/>
    <x v="56"/>
    <x v="177"/>
    <x v="5"/>
    <x v="5"/>
    <x v="193"/>
  </r>
  <r>
    <x v="5"/>
    <x v="107"/>
    <x v="173"/>
    <x v="5"/>
    <x v="5"/>
    <x v="234"/>
  </r>
  <r>
    <x v="5"/>
    <x v="107"/>
    <x v="171"/>
    <x v="5"/>
    <x v="5"/>
    <x v="2"/>
  </r>
  <r>
    <x v="11"/>
    <x v="111"/>
    <x v="177"/>
    <x v="5"/>
    <x v="5"/>
    <x v="185"/>
  </r>
  <r>
    <x v="5"/>
    <x v="4"/>
    <x v="110"/>
    <x v="5"/>
    <x v="5"/>
    <x v="26"/>
  </r>
  <r>
    <x v="5"/>
    <x v="4"/>
    <x v="163"/>
    <x v="5"/>
    <x v="5"/>
    <x v="64"/>
  </r>
  <r>
    <x v="5"/>
    <x v="4"/>
    <x v="11"/>
    <x v="5"/>
    <x v="5"/>
    <x v="36"/>
  </r>
  <r>
    <x v="5"/>
    <x v="4"/>
    <x v="11"/>
    <x v="5"/>
    <x v="5"/>
    <x v="40"/>
  </r>
  <r>
    <x v="5"/>
    <x v="20"/>
    <x v="18"/>
    <x v="5"/>
    <x v="5"/>
    <x v="38"/>
  </r>
  <r>
    <x v="11"/>
    <x v="27"/>
    <x v="177"/>
    <x v="5"/>
    <x v="5"/>
    <x v="184"/>
  </r>
  <r>
    <x v="2"/>
    <x v="29"/>
    <x v="146"/>
    <x v="5"/>
    <x v="5"/>
    <x v="61"/>
  </r>
  <r>
    <x v="5"/>
    <x v="29"/>
    <x v="50"/>
    <x v="5"/>
    <x v="5"/>
    <x v="98"/>
  </r>
  <r>
    <x v="5"/>
    <x v="29"/>
    <x v="48"/>
    <x v="5"/>
    <x v="5"/>
    <x v="194"/>
  </r>
  <r>
    <x v="5"/>
    <x v="29"/>
    <x v="155"/>
    <x v="5"/>
    <x v="5"/>
    <x v="99"/>
  </r>
  <r>
    <x v="6"/>
    <x v="29"/>
    <x v="65"/>
    <x v="5"/>
    <x v="5"/>
    <x v="28"/>
  </r>
  <r>
    <x v="5"/>
    <x v="29"/>
    <x v="149"/>
    <x v="5"/>
    <x v="5"/>
    <x v="163"/>
  </r>
  <r>
    <x v="5"/>
    <x v="29"/>
    <x v="149"/>
    <x v="5"/>
    <x v="5"/>
    <x v="176"/>
  </r>
  <r>
    <x v="12"/>
    <x v="33"/>
    <x v="21"/>
    <x v="5"/>
    <x v="5"/>
    <x v="89"/>
  </r>
  <r>
    <x v="11"/>
    <x v="33"/>
    <x v="175"/>
    <x v="5"/>
    <x v="5"/>
    <x v="157"/>
  </r>
  <r>
    <x v="5"/>
    <x v="33"/>
    <x v="64"/>
    <x v="5"/>
    <x v="5"/>
    <x v="20"/>
  </r>
  <r>
    <x v="12"/>
    <x v="35"/>
    <x v="21"/>
    <x v="5"/>
    <x v="5"/>
    <x v="72"/>
  </r>
  <r>
    <x v="14"/>
    <x v="35"/>
    <x v="1"/>
    <x v="5"/>
    <x v="5"/>
    <x v="231"/>
  </r>
  <r>
    <x v="2"/>
    <x v="35"/>
    <x v="71"/>
    <x v="5"/>
    <x v="5"/>
    <x v="206"/>
  </r>
  <r>
    <x v="5"/>
    <x v="35"/>
    <x v="103"/>
    <x v="5"/>
    <x v="5"/>
    <x v="198"/>
  </r>
  <r>
    <x v="7"/>
    <x v="35"/>
    <x v="147"/>
    <x v="5"/>
    <x v="5"/>
    <x v="178"/>
  </r>
  <r>
    <x v="0"/>
    <x v="38"/>
    <x v="159"/>
    <x v="5"/>
    <x v="5"/>
    <x v="20"/>
  </r>
  <r>
    <x v="5"/>
    <x v="49"/>
    <x v="141"/>
    <x v="5"/>
    <x v="5"/>
    <x v="78"/>
  </r>
  <r>
    <x v="5"/>
    <x v="49"/>
    <x v="154"/>
    <x v="5"/>
    <x v="5"/>
    <x v="56"/>
  </r>
  <r>
    <x v="7"/>
    <x v="49"/>
    <x v="142"/>
    <x v="5"/>
    <x v="5"/>
    <x v="128"/>
  </r>
  <r>
    <x v="11"/>
    <x v="49"/>
    <x v="176"/>
    <x v="5"/>
    <x v="5"/>
    <x v="196"/>
  </r>
  <r>
    <x v="11"/>
    <x v="57"/>
    <x v="175"/>
    <x v="5"/>
    <x v="5"/>
    <x v="140"/>
  </r>
  <r>
    <x v="11"/>
    <x v="57"/>
    <x v="176"/>
    <x v="5"/>
    <x v="5"/>
    <x v="189"/>
  </r>
  <r>
    <x v="5"/>
    <x v="60"/>
    <x v="185"/>
    <x v="5"/>
    <x v="5"/>
    <x v="71"/>
  </r>
  <r>
    <x v="5"/>
    <x v="64"/>
    <x v="66"/>
    <x v="5"/>
    <x v="5"/>
    <x v="190"/>
  </r>
  <r>
    <x v="5"/>
    <x v="64"/>
    <x v="183"/>
    <x v="5"/>
    <x v="5"/>
    <x v="30"/>
  </r>
  <r>
    <x v="11"/>
    <x v="66"/>
    <x v="175"/>
    <x v="5"/>
    <x v="5"/>
    <x v="145"/>
  </r>
  <r>
    <x v="14"/>
    <x v="66"/>
    <x v="138"/>
    <x v="5"/>
    <x v="5"/>
    <x v="236"/>
  </r>
  <r>
    <x v="12"/>
    <x v="71"/>
    <x v="21"/>
    <x v="5"/>
    <x v="5"/>
    <x v="49"/>
  </r>
  <r>
    <x v="3"/>
    <x v="71"/>
    <x v="61"/>
    <x v="5"/>
    <x v="5"/>
    <x v="46"/>
  </r>
  <r>
    <x v="5"/>
    <x v="76"/>
    <x v="8"/>
    <x v="5"/>
    <x v="5"/>
    <x v="67"/>
  </r>
  <r>
    <x v="5"/>
    <x v="76"/>
    <x v="8"/>
    <x v="5"/>
    <x v="5"/>
    <x v="74"/>
  </r>
  <r>
    <x v="11"/>
    <x v="82"/>
    <x v="175"/>
    <x v="5"/>
    <x v="5"/>
    <x v="173"/>
  </r>
  <r>
    <x v="11"/>
    <x v="82"/>
    <x v="175"/>
    <x v="5"/>
    <x v="5"/>
    <x v="102"/>
  </r>
  <r>
    <x v="11"/>
    <x v="82"/>
    <x v="175"/>
    <x v="5"/>
    <x v="5"/>
    <x v="111"/>
  </r>
  <r>
    <x v="0"/>
    <x v="82"/>
    <x v="159"/>
    <x v="5"/>
    <x v="5"/>
    <x v="166"/>
  </r>
  <r>
    <x v="5"/>
    <x v="88"/>
    <x v="145"/>
    <x v="5"/>
    <x v="5"/>
    <x v="85"/>
  </r>
  <r>
    <x v="3"/>
    <x v="88"/>
    <x v="95"/>
    <x v="5"/>
    <x v="5"/>
    <x v="91"/>
  </r>
  <r>
    <x v="11"/>
    <x v="93"/>
    <x v="169"/>
    <x v="5"/>
    <x v="5"/>
    <x v="7"/>
  </r>
  <r>
    <x v="11"/>
    <x v="93"/>
    <x v="169"/>
    <x v="5"/>
    <x v="5"/>
    <x v="37"/>
  </r>
  <r>
    <x v="11"/>
    <x v="93"/>
    <x v="175"/>
    <x v="5"/>
    <x v="5"/>
    <x v="209"/>
  </r>
  <r>
    <x v="5"/>
    <x v="93"/>
    <x v="105"/>
    <x v="5"/>
    <x v="5"/>
    <x v="66"/>
  </r>
  <r>
    <x v="7"/>
    <x v="95"/>
    <x v="57"/>
    <x v="5"/>
    <x v="5"/>
    <x v="107"/>
  </r>
  <r>
    <x v="5"/>
    <x v="95"/>
    <x v="101"/>
    <x v="5"/>
    <x v="5"/>
    <x v="124"/>
  </r>
  <r>
    <x v="7"/>
    <x v="95"/>
    <x v="147"/>
    <x v="5"/>
    <x v="5"/>
    <x v="57"/>
  </r>
  <r>
    <x v="14"/>
    <x v="101"/>
    <x v="138"/>
    <x v="5"/>
    <x v="5"/>
    <x v="239"/>
  </r>
  <r>
    <x v="3"/>
    <x v="101"/>
    <x v="170"/>
    <x v="5"/>
    <x v="5"/>
    <x v="60"/>
  </r>
  <r>
    <x v="5"/>
    <x v="117"/>
    <x v="126"/>
    <x v="5"/>
    <x v="5"/>
    <x v="42"/>
  </r>
  <r>
    <x v="2"/>
    <x v="112"/>
    <x v="90"/>
    <x v="5"/>
    <x v="5"/>
    <x v="90"/>
  </r>
  <r>
    <x v="11"/>
    <x v="112"/>
    <x v="176"/>
    <x v="5"/>
    <x v="5"/>
    <x v="203"/>
  </r>
  <r>
    <x v="5"/>
    <x v="119"/>
    <x v="135"/>
    <x v="5"/>
    <x v="5"/>
    <x v="182"/>
  </r>
  <r>
    <x v="5"/>
    <x v="119"/>
    <x v="41"/>
    <x v="5"/>
    <x v="5"/>
    <x v="247"/>
  </r>
  <r>
    <x v="5"/>
    <x v="119"/>
    <x v="102"/>
    <x v="5"/>
    <x v="5"/>
    <x v="92"/>
  </r>
  <r>
    <x v="11"/>
    <x v="124"/>
    <x v="175"/>
    <x v="5"/>
    <x v="5"/>
    <x v="50"/>
  </r>
  <r>
    <x v="3"/>
    <x v="124"/>
    <x v="14"/>
    <x v="5"/>
    <x v="5"/>
    <x v="20"/>
  </r>
  <r>
    <x v="3"/>
    <x v="111"/>
    <x v="187"/>
    <x v="5"/>
    <x v="5"/>
    <x v="146"/>
  </r>
  <r>
    <x v="5"/>
    <x v="128"/>
    <x v="136"/>
    <x v="5"/>
    <x v="5"/>
    <x v="192"/>
  </r>
  <r>
    <x v="14"/>
    <x v="128"/>
    <x v="138"/>
    <x v="5"/>
    <x v="5"/>
    <x v="238"/>
  </r>
  <r>
    <x v="3"/>
    <x v="5"/>
    <x v="69"/>
    <x v="5"/>
    <x v="5"/>
    <x v="16"/>
  </r>
  <r>
    <x v="11"/>
    <x v="5"/>
    <x v="176"/>
    <x v="5"/>
    <x v="5"/>
    <x v="171"/>
  </r>
  <r>
    <x v="11"/>
    <x v="10"/>
    <x v="175"/>
    <x v="5"/>
    <x v="5"/>
    <x v="172"/>
  </r>
  <r>
    <x v="5"/>
    <x v="16"/>
    <x v="49"/>
    <x v="5"/>
    <x v="5"/>
    <x v="114"/>
  </r>
  <r>
    <x v="5"/>
    <x v="16"/>
    <x v="49"/>
    <x v="5"/>
    <x v="5"/>
    <x v="65"/>
  </r>
  <r>
    <x v="5"/>
    <x v="21"/>
    <x v="156"/>
    <x v="5"/>
    <x v="5"/>
    <x v="148"/>
  </r>
  <r>
    <x v="13"/>
    <x v="0"/>
    <x v="128"/>
    <x v="202"/>
    <x v="5"/>
    <x v="5"/>
  </r>
</pivotCacheRecords>
</file>

<file path=xl/pivotTables/_rels/pivotTable1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_rels/pivotTable2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2.xml"/>
</Relationships>
</file>

<file path=xl/pivotTables/pivotTable1.xml><?xml version="1.0" encoding="utf-8"?>
<pivotTableDefinition xmlns="http://schemas.openxmlformats.org/spreadsheetml/2006/main" name="DataPilot1" cacheId="1" applyNumberFormats="0" applyBorderFormats="0" applyFontFormats="0" applyPatternFormats="0" applyAlignmentFormats="0" applyWidthHeightFormats="0" dataCaption="Values" useAutoFormatting="0" itemPrintTitles="1" indent="0" outline="0" outlineData="0" compact="0" compactData="0">
  <location ref="A3:H47" firstHeaderRow="1" firstDataRow="2" firstDataCol="1"/>
  <pivotFields count="8">
    <pivotField axis="axisRow" showAll="0" defaultSubtotal="0" compact="0" outline="0">
      <items count="42">
        <item x="23"/>
        <item x="27"/>
        <item x="37"/>
        <item x="2"/>
        <item x="7"/>
        <item x="8"/>
        <item x="9"/>
        <item x="10"/>
        <item x="16"/>
        <item x="21"/>
        <item x="36"/>
        <item x="12"/>
        <item x="17"/>
        <item x="18"/>
        <item x="25"/>
        <item x="30"/>
        <item x="1"/>
        <item x="5"/>
        <item x="6"/>
        <item x="11"/>
        <item x="15"/>
        <item x="19"/>
        <item x="33"/>
        <item x="38"/>
        <item x="0"/>
        <item x="22"/>
        <item x="3"/>
        <item x="24"/>
        <item x="29"/>
        <item x="31"/>
        <item x="40"/>
        <item x="32"/>
        <item x="41"/>
        <item x="13"/>
        <item x="34"/>
        <item x="35"/>
        <item x="26"/>
        <item x="20"/>
        <item x="39"/>
        <item x="28"/>
        <item x="4"/>
        <item x="14"/>
      </items>
    </pivotField>
    <pivotField showAll="0" compact="0"/>
    <pivotField showAll="0" compact="0"/>
    <pivotField showAll="0" compact="0"/>
    <pivotField showAll="0" compact="0"/>
    <pivotField dataField="1" showAll="0" compact="0" outline="0"/>
    <pivotField showAll="0" compact="0"/>
    <pivotField axis="axisCol" showAll="0" defaultSubtotal="0" compact="0" outline="0">
      <items count="6">
        <item x="0"/>
        <item x="1"/>
        <item x="2"/>
        <item x="3"/>
        <item x="4"/>
        <item x="5"/>
      </items>
    </pivotField>
  </pivotFields>
  <rowFields count="1">
    <field x="0"/>
  </rowFields>
  <colFields count="1">
    <field x="7"/>
  </colFields>
  <dataFields count="1">
    <dataField fld="5" subtotal="sum"/>
  </dataFields>
</pivotTableDefinition>
</file>

<file path=xl/pivotTables/pivotTable2.xml><?xml version="1.0" encoding="utf-8"?>
<pivotTableDefinition xmlns="http://schemas.openxmlformats.org/spreadsheetml/2006/main" name="DataPilot2" cacheId="2" applyNumberFormats="0" applyBorderFormats="0" applyFontFormats="0" applyPatternFormats="0" applyAlignmentFormats="0" applyWidthHeightFormats="0" dataCaption="Values" useAutoFormatting="0" itemPrintTitles="1" indent="0" outline="0" outlineData="0" compact="0" compactData="0">
  <location ref="A1:O19" firstHeaderRow="1" firstDataRow="3" firstDataCol="1"/>
  <pivotFields count="6">
    <pivotField axis="axisRow" showAll="0" defaultSubtotal="0" compact="0">
      <items count="15">
        <item x="0"/>
        <item x="1"/>
        <item x="2"/>
        <item x="3"/>
        <item x="4"/>
        <item x="5"/>
        <item x="6"/>
        <item x="7"/>
        <item x="8"/>
        <item x="9"/>
        <item x="11"/>
        <item x="12"/>
        <item x="10"/>
        <item x="13"/>
        <item x="14"/>
      </items>
    </pivotField>
    <pivotField showAll="0" compact="0"/>
    <pivotField showAll="0" compact="0"/>
    <pivotField dataField="1" showAll="0" compact="0" outline="0"/>
    <pivotField axis="axisCol" showAll="0" defaultSubtotal="0" compact="0" outline="0">
      <items count="6">
        <item x="0"/>
        <item x="1"/>
        <item x="2"/>
        <item x="3"/>
        <item x="4"/>
        <item x="5"/>
      </items>
    </pivotField>
    <pivotField dataField="1" showAll="0" compact="0" outline="0"/>
  </pivotFields>
  <rowFields count="1">
    <field x="0"/>
  </rowFields>
  <colFields count="2">
    <field x="4"/>
    <field x="-2"/>
  </colFields>
  <dataFields count="2">
    <dataField fld="3" subtotal="sum"/>
    <dataField fld="5" subtotal="sum"/>
  </dataFields>
</pivotTableDefinition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pivotTable" Target="../pivotTables/pivotTable1.xml"/>
</Relationships>
</file>

<file path=xl/worksheets/_rels/sheet8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10.xml.rels><?xml version="1.0" encoding="UTF-8"?>
<Relationships xmlns="http://schemas.openxmlformats.org/package/2006/relationships"><Relationship Id="rId1" Type="http://schemas.openxmlformats.org/officeDocument/2006/relationships/pivotTable" Target="../pivotTables/pivotTable2.xml"/>
</Relationships>
</file>

<file path=xl/worksheets/_rels/sheet13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N4"/>
  <sheetViews>
    <sheetView showFormulas="false" showGridLines="true" showRowColHeaders="true" showZeros="true" rightToLeft="false" tabSelected="false" showOutlineSymbols="true" defaultGridColor="true" view="normal" topLeftCell="A1" colorId="64" zoomScale="84" zoomScaleNormal="84" zoomScalePageLayoutView="100" workbookViewId="0">
      <selection pane="topLeft" activeCell="A2" activeCellId="0" sqref="A2"/>
    </sheetView>
  </sheetViews>
  <sheetFormatPr defaultRowHeight="12.75" zeroHeight="false" outlineLevelRow="0" outlineLevelCol="0"/>
  <cols>
    <col collapsed="false" customWidth="true" hidden="false" outlineLevel="0" max="1" min="1" style="0" width="16.89"/>
    <col collapsed="false" customWidth="true" hidden="false" outlineLevel="0" max="2" min="2" style="1" width="16.14"/>
    <col collapsed="false" customWidth="true" hidden="false" outlineLevel="0" max="3" min="3" style="0" width="16.14"/>
    <col collapsed="false" customWidth="true" hidden="false" outlineLevel="0" max="4" min="4" style="0" width="22.96"/>
    <col collapsed="false" customWidth="true" hidden="false" outlineLevel="0" max="5" min="5" style="0" width="17.86"/>
    <col collapsed="false" customWidth="true" hidden="false" outlineLevel="0" max="6" min="6" style="0" width="16.89"/>
    <col collapsed="false" customWidth="true" hidden="false" outlineLevel="0" max="7" min="7" style="0" width="16.41"/>
    <col collapsed="false" customWidth="true" hidden="false" outlineLevel="0" max="8" min="8" style="2" width="17.86"/>
    <col collapsed="false" customWidth="true" hidden="false" outlineLevel="0" max="9" min="9" style="0" width="11.71"/>
    <col collapsed="false" customWidth="true" hidden="false" outlineLevel="0" max="12" min="10" style="0" width="13.7"/>
    <col collapsed="false" customWidth="true" hidden="false" outlineLevel="0" max="13" min="13" style="0" width="22.01"/>
    <col collapsed="false" customWidth="true" hidden="false" outlineLevel="0" max="14" min="14" style="0" width="11.3"/>
    <col collapsed="false" customWidth="true" hidden="false" outlineLevel="0" max="1025" min="15" style="0" width="9.85"/>
  </cols>
  <sheetData>
    <row r="1" customFormat="false" ht="13.8" hidden="false" customHeight="false" outlineLevel="0" collapsed="false">
      <c r="A1" s="3" t="s">
        <v>0</v>
      </c>
      <c r="B1" s="3" t="s">
        <v>1</v>
      </c>
      <c r="C1" s="3" t="s">
        <v>2</v>
      </c>
      <c r="D1" s="3" t="s">
        <v>3</v>
      </c>
      <c r="E1" s="3"/>
      <c r="F1" s="3"/>
      <c r="G1" s="3"/>
      <c r="I1" s="3" t="s">
        <v>4</v>
      </c>
    </row>
    <row r="2" customFormat="false" ht="13.8" hidden="false" customHeight="false" outlineLevel="0" collapsed="false">
      <c r="A2" s="4" t="s">
        <v>5</v>
      </c>
      <c r="B2" s="4" t="n">
        <v>0</v>
      </c>
      <c r="C2" s="4" t="n">
        <v>0</v>
      </c>
      <c r="D2" s="4"/>
      <c r="E2" s="4"/>
      <c r="F2" s="4"/>
      <c r="G2" s="4"/>
      <c r="H2" s="4"/>
      <c r="I2" s="1" t="n">
        <v>43831</v>
      </c>
      <c r="N2" s="1"/>
    </row>
    <row r="3" customFormat="false" ht="12.8" hidden="false" customHeight="false" outlineLevel="0" collapsed="false"/>
    <row r="4" customFormat="false" ht="13.8" hidden="false" customHeight="false" outlineLevel="0" collapsed="false"/>
    <row r="5" customFormat="false" ht="13.8" hidden="false" customHeight="false" outlineLevel="0" collapsed="false"/>
    <row r="6" customFormat="false" ht="13.8" hidden="false" customHeight="false" outlineLevel="0" collapsed="false"/>
    <row r="7" customFormat="false" ht="13.8" hidden="false" customHeight="false" outlineLevel="0" collapsed="false"/>
    <row r="8" customFormat="false" ht="13.8" hidden="false" customHeight="false" outlineLevel="0" collapsed="false"/>
    <row r="9" customFormat="false" ht="13.8" hidden="false" customHeight="false" outlineLevel="0" collapsed="false"/>
    <row r="10" customFormat="false" ht="13.8" hidden="false" customHeight="false" outlineLevel="0" collapsed="false"/>
    <row r="11" customFormat="false" ht="13.8" hidden="false" customHeight="false" outlineLevel="0" collapsed="false"/>
    <row r="12" customFormat="false" ht="13.8" hidden="false" customHeight="false" outlineLevel="0" collapsed="false"/>
    <row r="13" customFormat="false" ht="13.8" hidden="false" customHeight="false" outlineLevel="0" collapsed="false"/>
  </sheetData>
  <printOptions headings="false" gridLines="false" gridLinesSet="true" horizontalCentered="false" verticalCentered="false"/>
  <pageMargins left="0.511805555555555" right="0.511805555555555" top="0.7875" bottom="0.78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C1048576"/>
  <sheetViews>
    <sheetView showFormulas="false" showGridLines="true" showRowColHeaders="true" showZeros="true" rightToLeft="false" tabSelected="false" showOutlineSymbols="true" defaultGridColor="true" view="normal" topLeftCell="A1" colorId="64" zoomScale="84" zoomScaleNormal="84" zoomScalePageLayoutView="100" workbookViewId="0">
      <selection pane="topLeft" activeCell="G13" activeCellId="0" sqref="G13"/>
    </sheetView>
  </sheetViews>
  <sheetFormatPr defaultRowHeight="12.75" zeroHeight="false" outlineLevelRow="0" outlineLevelCol="0"/>
  <cols>
    <col collapsed="false" customWidth="true" hidden="false" outlineLevel="0" max="1" min="1" style="0" width="18.85"/>
    <col collapsed="false" customWidth="true" hidden="false" outlineLevel="0" max="2" min="2" style="0" width="9"/>
    <col collapsed="false" customWidth="true" hidden="false" outlineLevel="0" max="3" min="3" style="0" width="11.3"/>
    <col collapsed="false" customWidth="true" hidden="false" outlineLevel="0" max="1025" min="4" style="0" width="9.85"/>
  </cols>
  <sheetData>
    <row r="1" customFormat="false" ht="12.75" hidden="false" customHeight="false" outlineLevel="0" collapsed="false">
      <c r="A1" s="0" t="s">
        <v>6</v>
      </c>
      <c r="B1" s="0" t="s">
        <v>7</v>
      </c>
      <c r="C1" s="0" t="s">
        <v>8</v>
      </c>
    </row>
    <row r="2" customFormat="false" ht="12.8" hidden="false" customHeight="false" outlineLevel="0" collapsed="false">
      <c r="A2" s="0" t="s">
        <v>9</v>
      </c>
      <c r="B2" s="0" t="n">
        <v>0</v>
      </c>
      <c r="C2" s="1" t="n">
        <v>44197</v>
      </c>
    </row>
    <row r="3" customFormat="false" ht="12.8" hidden="false" customHeight="false" outlineLevel="0" collapsed="false">
      <c r="A3" s="0" t="s">
        <v>10</v>
      </c>
      <c r="B3" s="0" t="n">
        <v>50</v>
      </c>
      <c r="C3" s="1" t="n">
        <v>44197</v>
      </c>
    </row>
    <row r="4" customFormat="false" ht="12.8" hidden="false" customHeight="false" outlineLevel="0" collapsed="false">
      <c r="A4" s="0" t="s">
        <v>11</v>
      </c>
      <c r="B4" s="0" t="n">
        <v>0</v>
      </c>
      <c r="C4" s="1" t="n">
        <v>44197</v>
      </c>
    </row>
    <row r="5" customFormat="false" ht="12.8" hidden="false" customHeight="false" outlineLevel="0" collapsed="false">
      <c r="A5" s="0" t="s">
        <v>12</v>
      </c>
      <c r="B5" s="0" t="n">
        <v>66.82</v>
      </c>
      <c r="C5" s="1" t="n">
        <v>44197</v>
      </c>
    </row>
    <row r="6" customFormat="false" ht="12.8" hidden="false" customHeight="false" outlineLevel="0" collapsed="false">
      <c r="A6" s="0" t="s">
        <v>13</v>
      </c>
      <c r="B6" s="0" t="n">
        <v>133.64</v>
      </c>
      <c r="C6" s="1" t="n">
        <v>44197</v>
      </c>
    </row>
    <row r="7" customFormat="false" ht="12.8" hidden="false" customHeight="false" outlineLevel="0" collapsed="false">
      <c r="A7" s="0" t="s">
        <v>14</v>
      </c>
      <c r="B7" s="0" t="n">
        <v>79.9</v>
      </c>
      <c r="C7" s="1" t="n">
        <v>44197</v>
      </c>
    </row>
    <row r="8" customFormat="false" ht="12.8" hidden="false" customHeight="false" outlineLevel="0" collapsed="false">
      <c r="A8" s="0" t="s">
        <v>15</v>
      </c>
      <c r="B8" s="0" t="n">
        <v>419</v>
      </c>
      <c r="C8" s="1" t="n">
        <v>44197</v>
      </c>
    </row>
    <row r="9" customFormat="false" ht="12.8" hidden="false" customHeight="false" outlineLevel="0" collapsed="false">
      <c r="A9" s="0" t="s">
        <v>16</v>
      </c>
      <c r="B9" s="0" t="n">
        <v>0</v>
      </c>
      <c r="C9" s="1" t="n">
        <v>44197</v>
      </c>
    </row>
    <row r="10" customFormat="false" ht="12.8" hidden="false" customHeight="false" outlineLevel="0" collapsed="false">
      <c r="A10" s="0" t="s">
        <v>17</v>
      </c>
      <c r="B10" s="0" t="n">
        <v>0</v>
      </c>
      <c r="C10" s="1" t="n">
        <v>44197</v>
      </c>
    </row>
    <row r="11" customFormat="false" ht="12.8" hidden="false" customHeight="false" outlineLevel="0" collapsed="false">
      <c r="A11" s="0" t="s">
        <v>18</v>
      </c>
      <c r="B11" s="0" t="n">
        <v>4.1</v>
      </c>
      <c r="C11" s="1" t="n">
        <v>44197</v>
      </c>
    </row>
    <row r="12" customFormat="false" ht="12.8" hidden="false" customHeight="false" outlineLevel="0" collapsed="false">
      <c r="A12" s="0" t="s">
        <v>19</v>
      </c>
      <c r="B12" s="0" t="n">
        <v>713.08</v>
      </c>
      <c r="C12" s="1" t="n">
        <v>44197</v>
      </c>
    </row>
    <row r="13" customFormat="false" ht="12.8" hidden="false" customHeight="false" outlineLevel="0" collapsed="false">
      <c r="A13" s="0" t="s">
        <v>20</v>
      </c>
      <c r="B13" s="0" t="n">
        <v>2536.99</v>
      </c>
      <c r="C13" s="1" t="n">
        <v>44197</v>
      </c>
    </row>
    <row r="14" customFormat="false" ht="12.8" hidden="false" customHeight="false" outlineLevel="0" collapsed="false">
      <c r="A14" s="5" t="s">
        <v>9</v>
      </c>
      <c r="B14" s="5" t="n">
        <v>0</v>
      </c>
      <c r="C14" s="6" t="n">
        <v>43862</v>
      </c>
    </row>
    <row r="15" customFormat="false" ht="12.8" hidden="false" customHeight="false" outlineLevel="0" collapsed="false">
      <c r="A15" s="5" t="s">
        <v>10</v>
      </c>
      <c r="B15" s="5" t="n">
        <v>50</v>
      </c>
      <c r="C15" s="6" t="n">
        <v>43862</v>
      </c>
    </row>
    <row r="16" customFormat="false" ht="12.8" hidden="false" customHeight="false" outlineLevel="0" collapsed="false">
      <c r="A16" s="5" t="s">
        <v>11</v>
      </c>
      <c r="B16" s="5" t="n">
        <v>72.78</v>
      </c>
      <c r="C16" s="6" t="n">
        <v>43862</v>
      </c>
    </row>
    <row r="17" customFormat="false" ht="12.8" hidden="false" customHeight="false" outlineLevel="0" collapsed="false">
      <c r="A17" s="5" t="s">
        <v>12</v>
      </c>
      <c r="B17" s="5" t="n">
        <v>66.82</v>
      </c>
      <c r="C17" s="6" t="n">
        <v>43862</v>
      </c>
    </row>
    <row r="18" customFormat="false" ht="12.8" hidden="false" customHeight="false" outlineLevel="0" collapsed="false">
      <c r="A18" s="5" t="s">
        <v>13</v>
      </c>
      <c r="B18" s="5" t="n">
        <v>133.64</v>
      </c>
      <c r="C18" s="6" t="n">
        <v>43862</v>
      </c>
    </row>
    <row r="19" customFormat="false" ht="12.8" hidden="false" customHeight="false" outlineLevel="0" collapsed="false">
      <c r="A19" s="5" t="s">
        <v>14</v>
      </c>
      <c r="B19" s="5" t="n">
        <v>79.9</v>
      </c>
      <c r="C19" s="6" t="n">
        <v>43862</v>
      </c>
    </row>
    <row r="20" customFormat="false" ht="12.8" hidden="false" customHeight="false" outlineLevel="0" collapsed="false">
      <c r="A20" s="5" t="s">
        <v>15</v>
      </c>
      <c r="B20" s="5" t="n">
        <v>419</v>
      </c>
      <c r="C20" s="6" t="n">
        <v>43862</v>
      </c>
    </row>
    <row r="21" customFormat="false" ht="12.8" hidden="false" customHeight="false" outlineLevel="0" collapsed="false">
      <c r="A21" s="5" t="s">
        <v>16</v>
      </c>
      <c r="B21" s="5" t="n">
        <v>0</v>
      </c>
      <c r="C21" s="6" t="n">
        <v>43862</v>
      </c>
    </row>
    <row r="22" customFormat="false" ht="12.8" hidden="false" customHeight="false" outlineLevel="0" collapsed="false">
      <c r="A22" s="5" t="s">
        <v>17</v>
      </c>
      <c r="B22" s="5" t="n">
        <v>609.06</v>
      </c>
      <c r="C22" s="6" t="n">
        <v>43862</v>
      </c>
    </row>
    <row r="23" customFormat="false" ht="12.8" hidden="false" customHeight="false" outlineLevel="0" collapsed="false">
      <c r="A23" s="5" t="s">
        <v>18</v>
      </c>
      <c r="B23" s="5" t="n">
        <v>4.1</v>
      </c>
      <c r="C23" s="6" t="n">
        <v>43862</v>
      </c>
    </row>
    <row r="24" customFormat="false" ht="12.8" hidden="false" customHeight="false" outlineLevel="0" collapsed="false">
      <c r="A24" s="5" t="s">
        <v>19</v>
      </c>
      <c r="B24" s="5" t="n">
        <v>671.12</v>
      </c>
      <c r="C24" s="6" t="n">
        <v>43862</v>
      </c>
    </row>
    <row r="25" customFormat="false" ht="12.8" hidden="false" customHeight="false" outlineLevel="0" collapsed="false">
      <c r="A25" s="5" t="s">
        <v>20</v>
      </c>
      <c r="B25" s="5" t="n">
        <v>1859.93</v>
      </c>
      <c r="C25" s="6" t="n">
        <v>43862</v>
      </c>
    </row>
    <row r="26" customFormat="false" ht="12.8" hidden="false" customHeight="false" outlineLevel="0" collapsed="false">
      <c r="A26" s="0" t="s">
        <v>9</v>
      </c>
      <c r="B26" s="0" t="n">
        <v>0</v>
      </c>
      <c r="C26" s="1" t="n">
        <v>43891</v>
      </c>
    </row>
    <row r="27" customFormat="false" ht="12.8" hidden="false" customHeight="false" outlineLevel="0" collapsed="false">
      <c r="A27" s="0" t="s">
        <v>10</v>
      </c>
      <c r="B27" s="0" t="n">
        <v>50</v>
      </c>
      <c r="C27" s="1" t="n">
        <v>43891</v>
      </c>
    </row>
    <row r="28" customFormat="false" ht="12.8" hidden="false" customHeight="false" outlineLevel="0" collapsed="false">
      <c r="A28" s="0" t="s">
        <v>11</v>
      </c>
      <c r="B28" s="0" t="n">
        <v>155.56</v>
      </c>
      <c r="C28" s="1" t="n">
        <v>43891</v>
      </c>
    </row>
    <row r="29" customFormat="false" ht="12.8" hidden="false" customHeight="false" outlineLevel="0" collapsed="false">
      <c r="A29" s="0" t="s">
        <v>12</v>
      </c>
      <c r="B29" s="0" t="n">
        <v>66.82</v>
      </c>
      <c r="C29" s="1" t="n">
        <v>43891</v>
      </c>
    </row>
    <row r="30" customFormat="false" ht="12.8" hidden="false" customHeight="false" outlineLevel="0" collapsed="false">
      <c r="A30" s="0" t="s">
        <v>13</v>
      </c>
      <c r="B30" s="0" t="n">
        <v>133.64</v>
      </c>
      <c r="C30" s="1" t="n">
        <v>43891</v>
      </c>
    </row>
    <row r="31" customFormat="false" ht="12.8" hidden="false" customHeight="false" outlineLevel="0" collapsed="false">
      <c r="A31" s="0" t="s">
        <v>14</v>
      </c>
      <c r="B31" s="0" t="n">
        <v>79.9</v>
      </c>
      <c r="C31" s="1" t="n">
        <v>43891</v>
      </c>
    </row>
    <row r="32" customFormat="false" ht="12.8" hidden="false" customHeight="false" outlineLevel="0" collapsed="false">
      <c r="A32" s="0" t="s">
        <v>15</v>
      </c>
      <c r="B32" s="0" t="n">
        <v>419</v>
      </c>
      <c r="C32" s="1" t="n">
        <v>43891</v>
      </c>
    </row>
    <row r="33" customFormat="false" ht="12.8" hidden="false" customHeight="false" outlineLevel="0" collapsed="false">
      <c r="A33" s="0" t="s">
        <v>16</v>
      </c>
      <c r="B33" s="0" t="n">
        <v>0</v>
      </c>
      <c r="C33" s="1" t="n">
        <v>43891</v>
      </c>
    </row>
    <row r="34" customFormat="false" ht="12.8" hidden="false" customHeight="false" outlineLevel="0" collapsed="false">
      <c r="A34" s="0" t="s">
        <v>17</v>
      </c>
      <c r="B34" s="0" t="n">
        <v>238.89</v>
      </c>
      <c r="C34" s="1" t="n">
        <v>43891</v>
      </c>
    </row>
    <row r="35" customFormat="false" ht="12.8" hidden="false" customHeight="false" outlineLevel="0" collapsed="false">
      <c r="A35" s="0" t="s">
        <v>18</v>
      </c>
      <c r="B35" s="0" t="n">
        <v>4.1</v>
      </c>
      <c r="C35" s="1" t="n">
        <v>43891</v>
      </c>
    </row>
    <row r="36" customFormat="false" ht="12.8" hidden="false" customHeight="false" outlineLevel="0" collapsed="false">
      <c r="A36" s="0" t="s">
        <v>19</v>
      </c>
      <c r="B36" s="0" t="n">
        <v>713.08</v>
      </c>
      <c r="C36" s="1" t="n">
        <v>43891</v>
      </c>
    </row>
    <row r="37" customFormat="false" ht="12.8" hidden="false" customHeight="false" outlineLevel="0" collapsed="false">
      <c r="A37" s="0" t="s">
        <v>20</v>
      </c>
      <c r="B37" s="0" t="n">
        <v>1848.39</v>
      </c>
      <c r="C37" s="1" t="n">
        <v>43891</v>
      </c>
    </row>
    <row r="38" customFormat="false" ht="12.8" hidden="false" customHeight="false" outlineLevel="0" collapsed="false">
      <c r="A38" s="5" t="s">
        <v>9</v>
      </c>
      <c r="B38" s="5" t="n">
        <v>0</v>
      </c>
      <c r="C38" s="6" t="n">
        <v>43922</v>
      </c>
    </row>
    <row r="39" customFormat="false" ht="12.8" hidden="false" customHeight="false" outlineLevel="0" collapsed="false">
      <c r="A39" s="5" t="s">
        <v>10</v>
      </c>
      <c r="B39" s="5" t="n">
        <v>50</v>
      </c>
      <c r="C39" s="6" t="n">
        <v>43922</v>
      </c>
    </row>
    <row r="40" customFormat="false" ht="12.8" hidden="false" customHeight="false" outlineLevel="0" collapsed="false">
      <c r="A40" s="5" t="s">
        <v>11</v>
      </c>
      <c r="B40" s="5" t="n">
        <v>0</v>
      </c>
      <c r="C40" s="6" t="n">
        <v>43922</v>
      </c>
    </row>
    <row r="41" customFormat="false" ht="12.8" hidden="false" customHeight="false" outlineLevel="0" collapsed="false">
      <c r="A41" s="5" t="s">
        <v>12</v>
      </c>
      <c r="B41" s="5" t="n">
        <v>66.82</v>
      </c>
      <c r="C41" s="6" t="n">
        <v>43922</v>
      </c>
    </row>
    <row r="42" customFormat="false" ht="12.8" hidden="false" customHeight="false" outlineLevel="0" collapsed="false">
      <c r="A42" s="5" t="s">
        <v>13</v>
      </c>
      <c r="B42" s="5" t="n">
        <v>133.64</v>
      </c>
      <c r="C42" s="6" t="n">
        <v>43922</v>
      </c>
    </row>
    <row r="43" customFormat="false" ht="12.8" hidden="false" customHeight="false" outlineLevel="0" collapsed="false">
      <c r="A43" s="5" t="s">
        <v>14</v>
      </c>
      <c r="B43" s="5" t="n">
        <v>79.9</v>
      </c>
      <c r="C43" s="6" t="n">
        <v>43922</v>
      </c>
    </row>
    <row r="44" customFormat="false" ht="12.8" hidden="false" customHeight="false" outlineLevel="0" collapsed="false">
      <c r="A44" s="5" t="s">
        <v>15</v>
      </c>
      <c r="B44" s="5" t="n">
        <v>419</v>
      </c>
      <c r="C44" s="6" t="n">
        <v>43922</v>
      </c>
    </row>
    <row r="45" customFormat="false" ht="12.8" hidden="false" customHeight="false" outlineLevel="0" collapsed="false">
      <c r="A45" s="5" t="s">
        <v>16</v>
      </c>
      <c r="B45" s="5" t="n">
        <v>0</v>
      </c>
      <c r="C45" s="6" t="n">
        <v>43922</v>
      </c>
    </row>
    <row r="46" customFormat="false" ht="12.8" hidden="false" customHeight="false" outlineLevel="0" collapsed="false">
      <c r="A46" s="5" t="s">
        <v>17</v>
      </c>
      <c r="B46" s="5" t="n">
        <v>0</v>
      </c>
      <c r="C46" s="6" t="n">
        <v>43922</v>
      </c>
    </row>
    <row r="47" customFormat="false" ht="12.8" hidden="false" customHeight="false" outlineLevel="0" collapsed="false">
      <c r="A47" s="5" t="s">
        <v>18</v>
      </c>
      <c r="B47" s="5" t="n">
        <v>4.1</v>
      </c>
      <c r="C47" s="6" t="n">
        <v>43922</v>
      </c>
    </row>
    <row r="48" customFormat="false" ht="12.8" hidden="false" customHeight="false" outlineLevel="0" collapsed="false">
      <c r="A48" s="5" t="s">
        <v>19</v>
      </c>
      <c r="B48" s="5" t="n">
        <v>671.12</v>
      </c>
      <c r="C48" s="6" t="n">
        <v>43922</v>
      </c>
    </row>
    <row r="49" customFormat="false" ht="12.8" hidden="false" customHeight="false" outlineLevel="0" collapsed="false">
      <c r="A49" s="5" t="s">
        <v>20</v>
      </c>
      <c r="B49" s="5" t="n">
        <v>1859.93</v>
      </c>
      <c r="C49" s="6" t="n">
        <v>43922</v>
      </c>
    </row>
    <row r="50" customFormat="false" ht="12.8" hidden="false" customHeight="false" outlineLevel="0" collapsed="false">
      <c r="A50" s="5" t="s">
        <v>19</v>
      </c>
      <c r="B50" s="5" t="n">
        <v>713.08</v>
      </c>
      <c r="C50" s="6" t="n">
        <v>43922</v>
      </c>
    </row>
    <row r="51" customFormat="false" ht="12.8" hidden="false" customHeight="false" outlineLevel="0" collapsed="false">
      <c r="A51" s="0" t="s">
        <v>9</v>
      </c>
      <c r="B51" s="0" t="n">
        <v>0</v>
      </c>
      <c r="C51" s="1" t="n">
        <v>43952</v>
      </c>
    </row>
    <row r="52" customFormat="false" ht="12.8" hidden="false" customHeight="false" outlineLevel="0" collapsed="false">
      <c r="A52" s="0" t="s">
        <v>10</v>
      </c>
      <c r="B52" s="0" t="n">
        <v>50</v>
      </c>
      <c r="C52" s="1" t="n">
        <v>43952</v>
      </c>
    </row>
    <row r="53" customFormat="false" ht="12.8" hidden="false" customHeight="false" outlineLevel="0" collapsed="false">
      <c r="A53" s="0" t="s">
        <v>11</v>
      </c>
      <c r="B53" s="0" t="n">
        <v>0</v>
      </c>
      <c r="C53" s="1" t="n">
        <v>43952</v>
      </c>
    </row>
    <row r="54" customFormat="false" ht="12.8" hidden="false" customHeight="false" outlineLevel="0" collapsed="false">
      <c r="A54" s="0" t="s">
        <v>12</v>
      </c>
      <c r="B54" s="0" t="n">
        <v>66.82</v>
      </c>
      <c r="C54" s="1" t="n">
        <v>43952</v>
      </c>
    </row>
    <row r="55" customFormat="false" ht="12.8" hidden="false" customHeight="false" outlineLevel="0" collapsed="false">
      <c r="A55" s="0" t="s">
        <v>13</v>
      </c>
      <c r="B55" s="0" t="n">
        <v>133.64</v>
      </c>
      <c r="C55" s="1" t="n">
        <v>43952</v>
      </c>
    </row>
    <row r="56" customFormat="false" ht="12.8" hidden="false" customHeight="false" outlineLevel="0" collapsed="false">
      <c r="A56" s="0" t="s">
        <v>14</v>
      </c>
      <c r="B56" s="0" t="n">
        <v>79.9</v>
      </c>
      <c r="C56" s="1" t="n">
        <v>43952</v>
      </c>
    </row>
    <row r="57" customFormat="false" ht="12.8" hidden="false" customHeight="false" outlineLevel="0" collapsed="false">
      <c r="A57" s="0" t="s">
        <v>15</v>
      </c>
      <c r="B57" s="0" t="n">
        <v>419</v>
      </c>
      <c r="C57" s="1" t="n">
        <v>43952</v>
      </c>
    </row>
    <row r="58" customFormat="false" ht="12.8" hidden="false" customHeight="false" outlineLevel="0" collapsed="false">
      <c r="A58" s="0" t="s">
        <v>16</v>
      </c>
      <c r="B58" s="0" t="n">
        <v>0</v>
      </c>
      <c r="C58" s="1" t="n">
        <v>43952</v>
      </c>
    </row>
    <row r="59" customFormat="false" ht="12.8" hidden="false" customHeight="false" outlineLevel="0" collapsed="false">
      <c r="A59" s="0" t="s">
        <v>17</v>
      </c>
      <c r="B59" s="0" t="n">
        <v>444.98</v>
      </c>
      <c r="C59" s="1" t="n">
        <v>43952</v>
      </c>
    </row>
    <row r="60" customFormat="false" ht="12.8" hidden="false" customHeight="false" outlineLevel="0" collapsed="false">
      <c r="A60" s="0" t="s">
        <v>18</v>
      </c>
      <c r="B60" s="0" t="n">
        <v>4.1</v>
      </c>
      <c r="C60" s="1" t="n">
        <v>43952</v>
      </c>
    </row>
    <row r="61" customFormat="false" ht="12.8" hidden="false" customHeight="false" outlineLevel="0" collapsed="false">
      <c r="A61" s="0" t="s">
        <v>19</v>
      </c>
      <c r="B61" s="0" t="n">
        <v>713.08</v>
      </c>
      <c r="C61" s="1" t="n">
        <v>43952</v>
      </c>
    </row>
    <row r="62" customFormat="false" ht="12.8" hidden="false" customHeight="false" outlineLevel="0" collapsed="false">
      <c r="A62" s="0" t="s">
        <v>20</v>
      </c>
      <c r="B62" s="0" t="n">
        <v>1848.39</v>
      </c>
      <c r="C62" s="1" t="n">
        <v>43952</v>
      </c>
    </row>
    <row r="63" customFormat="false" ht="12.8" hidden="false" customHeight="false" outlineLevel="0" collapsed="false">
      <c r="A63" s="5" t="s">
        <v>21</v>
      </c>
      <c r="B63" s="5" t="n">
        <v>50</v>
      </c>
      <c r="C63" s="6" t="n">
        <v>43983</v>
      </c>
    </row>
    <row r="64" customFormat="false" ht="12.8" hidden="false" customHeight="false" outlineLevel="0" collapsed="false">
      <c r="A64" s="5" t="s">
        <v>10</v>
      </c>
      <c r="B64" s="5" t="n">
        <v>0</v>
      </c>
      <c r="C64" s="6" t="n">
        <v>43983</v>
      </c>
    </row>
    <row r="65" customFormat="false" ht="12.8" hidden="false" customHeight="false" outlineLevel="0" collapsed="false">
      <c r="A65" s="5" t="s">
        <v>11</v>
      </c>
      <c r="B65" s="5" t="n">
        <v>0</v>
      </c>
      <c r="C65" s="6" t="n">
        <v>43983</v>
      </c>
    </row>
    <row r="66" customFormat="false" ht="12.8" hidden="false" customHeight="false" outlineLevel="0" collapsed="false">
      <c r="A66" s="5" t="s">
        <v>12</v>
      </c>
      <c r="B66" s="5" t="n">
        <v>66.82</v>
      </c>
      <c r="C66" s="6" t="n">
        <v>43983</v>
      </c>
    </row>
    <row r="67" customFormat="false" ht="12.8" hidden="false" customHeight="false" outlineLevel="0" collapsed="false">
      <c r="A67" s="5" t="s">
        <v>13</v>
      </c>
      <c r="B67" s="5" t="n">
        <v>133.64</v>
      </c>
      <c r="C67" s="6" t="n">
        <v>43983</v>
      </c>
    </row>
    <row r="68" customFormat="false" ht="12.8" hidden="false" customHeight="false" outlineLevel="0" collapsed="false">
      <c r="A68" s="5" t="s">
        <v>14</v>
      </c>
      <c r="B68" s="5" t="n">
        <v>79.9</v>
      </c>
      <c r="C68" s="6" t="n">
        <v>43983</v>
      </c>
    </row>
    <row r="69" customFormat="false" ht="12.8" hidden="false" customHeight="false" outlineLevel="0" collapsed="false">
      <c r="A69" s="5" t="s">
        <v>15</v>
      </c>
      <c r="B69" s="5" t="n">
        <v>419</v>
      </c>
      <c r="C69" s="6" t="n">
        <v>43983</v>
      </c>
    </row>
    <row r="70" customFormat="false" ht="12.8" hidden="false" customHeight="false" outlineLevel="0" collapsed="false">
      <c r="A70" s="5" t="s">
        <v>16</v>
      </c>
      <c r="B70" s="5" t="n">
        <v>0</v>
      </c>
      <c r="C70" s="6" t="n">
        <v>43983</v>
      </c>
    </row>
    <row r="71" customFormat="false" ht="12.8" hidden="false" customHeight="false" outlineLevel="0" collapsed="false">
      <c r="A71" s="5" t="s">
        <v>17</v>
      </c>
      <c r="B71" s="5" t="n">
        <v>100</v>
      </c>
      <c r="C71" s="6" t="n">
        <v>43983</v>
      </c>
    </row>
    <row r="72" customFormat="false" ht="12.8" hidden="false" customHeight="false" outlineLevel="0" collapsed="false">
      <c r="A72" s="5" t="s">
        <v>18</v>
      </c>
      <c r="B72" s="5" t="n">
        <v>4.1</v>
      </c>
      <c r="C72" s="6" t="n">
        <v>43983</v>
      </c>
    </row>
    <row r="73" customFormat="false" ht="12.8" hidden="false" customHeight="false" outlineLevel="0" collapsed="false">
      <c r="A73" s="5" t="s">
        <v>19</v>
      </c>
      <c r="B73" s="5" t="n">
        <v>713.08</v>
      </c>
      <c r="C73" s="6" t="n">
        <v>43983</v>
      </c>
    </row>
    <row r="74" customFormat="false" ht="12.8" hidden="false" customHeight="false" outlineLevel="0" collapsed="false">
      <c r="A74" s="5" t="s">
        <v>20</v>
      </c>
      <c r="B74" s="5" t="n">
        <v>1848.39</v>
      </c>
      <c r="C74" s="6" t="n">
        <v>43983</v>
      </c>
    </row>
    <row r="75" customFormat="false" ht="12.8" hidden="false" customHeight="false" outlineLevel="0" collapsed="false">
      <c r="A75" s="5" t="s">
        <v>22</v>
      </c>
      <c r="B75" s="5" t="n">
        <v>1819.47</v>
      </c>
      <c r="C75" s="6" t="n">
        <v>43983</v>
      </c>
    </row>
    <row r="76" customFormat="false" ht="12.8" hidden="false" customHeight="false" outlineLevel="0" collapsed="false">
      <c r="A76" s="0" t="s">
        <v>9</v>
      </c>
      <c r="B76" s="0" t="n">
        <v>0</v>
      </c>
      <c r="C76" s="1" t="n">
        <v>44013</v>
      </c>
    </row>
    <row r="77" customFormat="false" ht="12.8" hidden="false" customHeight="false" outlineLevel="0" collapsed="false">
      <c r="A77" s="0" t="s">
        <v>10</v>
      </c>
      <c r="B77" s="0" t="n">
        <v>50</v>
      </c>
      <c r="C77" s="1" t="n">
        <v>44013</v>
      </c>
    </row>
    <row r="78" customFormat="false" ht="12.8" hidden="false" customHeight="false" outlineLevel="0" collapsed="false">
      <c r="A78" s="0" t="s">
        <v>11</v>
      </c>
      <c r="B78" s="0" t="n">
        <v>31.48</v>
      </c>
      <c r="C78" s="1" t="n">
        <v>44013</v>
      </c>
    </row>
    <row r="79" customFormat="false" ht="12.8" hidden="false" customHeight="false" outlineLevel="0" collapsed="false">
      <c r="A79" s="0" t="s">
        <v>12</v>
      </c>
      <c r="B79" s="0" t="n">
        <v>66.82</v>
      </c>
      <c r="C79" s="1" t="n">
        <v>44013</v>
      </c>
    </row>
    <row r="80" customFormat="false" ht="12.8" hidden="false" customHeight="false" outlineLevel="0" collapsed="false">
      <c r="A80" s="0" t="s">
        <v>13</v>
      </c>
      <c r="B80" s="0" t="n">
        <v>133.64</v>
      </c>
      <c r="C80" s="1" t="n">
        <v>44013</v>
      </c>
    </row>
    <row r="81" customFormat="false" ht="12.8" hidden="false" customHeight="false" outlineLevel="0" collapsed="false">
      <c r="A81" s="0" t="s">
        <v>14</v>
      </c>
      <c r="B81" s="0" t="n">
        <v>79.9</v>
      </c>
      <c r="C81" s="1" t="n">
        <v>44013</v>
      </c>
    </row>
    <row r="82" customFormat="false" ht="12.8" hidden="false" customHeight="false" outlineLevel="0" collapsed="false">
      <c r="A82" s="0" t="s">
        <v>15</v>
      </c>
      <c r="B82" s="0" t="n">
        <v>419</v>
      </c>
      <c r="C82" s="1" t="n">
        <v>44013</v>
      </c>
    </row>
    <row r="83" customFormat="false" ht="12.8" hidden="false" customHeight="false" outlineLevel="0" collapsed="false">
      <c r="A83" s="0" t="s">
        <v>16</v>
      </c>
      <c r="B83" s="0" t="n">
        <v>0</v>
      </c>
      <c r="C83" s="1" t="n">
        <v>44013</v>
      </c>
    </row>
    <row r="84" customFormat="false" ht="12.8" hidden="false" customHeight="false" outlineLevel="0" collapsed="false">
      <c r="A84" s="0" t="s">
        <v>17</v>
      </c>
      <c r="B84" s="0" t="n">
        <v>444.98</v>
      </c>
      <c r="C84" s="1" t="n">
        <v>44013</v>
      </c>
    </row>
    <row r="85" customFormat="false" ht="12.8" hidden="false" customHeight="false" outlineLevel="0" collapsed="false">
      <c r="A85" s="0" t="s">
        <v>18</v>
      </c>
      <c r="B85" s="0" t="n">
        <v>4.1</v>
      </c>
      <c r="C85" s="1" t="n">
        <v>44013</v>
      </c>
    </row>
    <row r="86" customFormat="false" ht="12.8" hidden="false" customHeight="false" outlineLevel="0" collapsed="false">
      <c r="A86" s="0" t="s">
        <v>19</v>
      </c>
      <c r="B86" s="0" t="n">
        <v>713.08</v>
      </c>
      <c r="C86" s="1" t="n">
        <v>44013</v>
      </c>
    </row>
    <row r="87" customFormat="false" ht="12.8" hidden="false" customHeight="false" outlineLevel="0" collapsed="false">
      <c r="A87" s="0" t="s">
        <v>20</v>
      </c>
      <c r="B87" s="0" t="n">
        <v>2088.31</v>
      </c>
      <c r="C87" s="1" t="n">
        <v>44013</v>
      </c>
    </row>
    <row r="88" customFormat="false" ht="12.8" hidden="false" customHeight="false" outlineLevel="0" collapsed="false">
      <c r="A88" s="5" t="s">
        <v>9</v>
      </c>
      <c r="B88" s="5" t="n">
        <v>0</v>
      </c>
      <c r="C88" s="6" t="n">
        <v>44044</v>
      </c>
    </row>
    <row r="89" customFormat="false" ht="12.8" hidden="false" customHeight="false" outlineLevel="0" collapsed="false">
      <c r="A89" s="5" t="s">
        <v>10</v>
      </c>
      <c r="B89" s="5" t="n">
        <v>50</v>
      </c>
      <c r="C89" s="6" t="n">
        <v>44044</v>
      </c>
    </row>
    <row r="90" customFormat="false" ht="12.8" hidden="false" customHeight="false" outlineLevel="0" collapsed="false">
      <c r="A90" s="5" t="s">
        <v>11</v>
      </c>
      <c r="B90" s="5" t="n">
        <v>0</v>
      </c>
      <c r="C90" s="6" t="n">
        <v>44044</v>
      </c>
    </row>
    <row r="91" customFormat="false" ht="12.8" hidden="false" customHeight="false" outlineLevel="0" collapsed="false">
      <c r="A91" s="5" t="s">
        <v>12</v>
      </c>
      <c r="B91" s="5" t="n">
        <v>66.82</v>
      </c>
      <c r="C91" s="6" t="n">
        <v>44044</v>
      </c>
    </row>
    <row r="92" customFormat="false" ht="12.8" hidden="false" customHeight="false" outlineLevel="0" collapsed="false">
      <c r="A92" s="5" t="s">
        <v>13</v>
      </c>
      <c r="B92" s="5" t="n">
        <v>133.64</v>
      </c>
      <c r="C92" s="6" t="n">
        <v>44044</v>
      </c>
    </row>
    <row r="93" customFormat="false" ht="12.8" hidden="false" customHeight="false" outlineLevel="0" collapsed="false">
      <c r="A93" s="5" t="s">
        <v>14</v>
      </c>
      <c r="B93" s="5" t="n">
        <v>79.9</v>
      </c>
      <c r="C93" s="6" t="n">
        <v>44044</v>
      </c>
    </row>
    <row r="94" customFormat="false" ht="12.8" hidden="false" customHeight="false" outlineLevel="0" collapsed="false">
      <c r="A94" s="5" t="s">
        <v>15</v>
      </c>
      <c r="B94" s="5" t="n">
        <v>419</v>
      </c>
      <c r="C94" s="6" t="n">
        <v>44044</v>
      </c>
    </row>
    <row r="95" customFormat="false" ht="12.8" hidden="false" customHeight="false" outlineLevel="0" collapsed="false">
      <c r="A95" s="5" t="s">
        <v>16</v>
      </c>
      <c r="B95" s="5" t="n">
        <v>150</v>
      </c>
      <c r="C95" s="6" t="n">
        <v>44044</v>
      </c>
    </row>
    <row r="96" customFormat="false" ht="12.8" hidden="false" customHeight="false" outlineLevel="0" collapsed="false">
      <c r="A96" s="5" t="s">
        <v>17</v>
      </c>
      <c r="B96" s="5" t="n">
        <v>0</v>
      </c>
      <c r="C96" s="6" t="n">
        <v>44044</v>
      </c>
    </row>
    <row r="97" customFormat="false" ht="12.8" hidden="false" customHeight="false" outlineLevel="0" collapsed="false">
      <c r="A97" s="5" t="s">
        <v>18</v>
      </c>
      <c r="B97" s="5" t="n">
        <v>4.1</v>
      </c>
      <c r="C97" s="6" t="n">
        <v>44044</v>
      </c>
    </row>
    <row r="98" customFormat="false" ht="12.8" hidden="false" customHeight="false" outlineLevel="0" collapsed="false">
      <c r="A98" s="5" t="s">
        <v>19</v>
      </c>
      <c r="B98" s="5" t="n">
        <v>713.08</v>
      </c>
      <c r="C98" s="6" t="n">
        <v>44044</v>
      </c>
    </row>
    <row r="99" customFormat="false" ht="12.8" hidden="false" customHeight="false" outlineLevel="0" collapsed="false">
      <c r="A99" s="5" t="s">
        <v>20</v>
      </c>
      <c r="B99" s="5" t="n">
        <v>1848.39</v>
      </c>
      <c r="C99" s="6" t="n">
        <v>44044</v>
      </c>
    </row>
    <row r="100" customFormat="false" ht="12.8" hidden="false" customHeight="false" outlineLevel="0" collapsed="false">
      <c r="A100" s="0" t="s">
        <v>9</v>
      </c>
      <c r="B100" s="0" t="n">
        <v>0</v>
      </c>
      <c r="C100" s="1" t="n">
        <v>44075</v>
      </c>
    </row>
    <row r="101" customFormat="false" ht="12.8" hidden="false" customHeight="false" outlineLevel="0" collapsed="false">
      <c r="A101" s="0" t="s">
        <v>10</v>
      </c>
      <c r="B101" s="0" t="n">
        <v>50</v>
      </c>
      <c r="C101" s="1" t="n">
        <v>44075</v>
      </c>
    </row>
    <row r="102" customFormat="false" ht="12.8" hidden="false" customHeight="false" outlineLevel="0" collapsed="false">
      <c r="A102" s="0" t="s">
        <v>12</v>
      </c>
      <c r="B102" s="0" t="n">
        <v>66.82</v>
      </c>
      <c r="C102" s="1" t="n">
        <v>44075</v>
      </c>
    </row>
    <row r="103" customFormat="false" ht="12.8" hidden="false" customHeight="false" outlineLevel="0" collapsed="false">
      <c r="A103" s="0" t="s">
        <v>13</v>
      </c>
      <c r="B103" s="0" t="n">
        <v>133.64</v>
      </c>
      <c r="C103" s="1" t="n">
        <v>44075</v>
      </c>
    </row>
    <row r="104" customFormat="false" ht="12.8" hidden="false" customHeight="false" outlineLevel="0" collapsed="false">
      <c r="A104" s="0" t="s">
        <v>14</v>
      </c>
      <c r="B104" s="0" t="n">
        <v>79.9</v>
      </c>
      <c r="C104" s="1" t="n">
        <v>44075</v>
      </c>
    </row>
    <row r="105" customFormat="false" ht="12.8" hidden="false" customHeight="false" outlineLevel="0" collapsed="false">
      <c r="A105" s="0" t="s">
        <v>15</v>
      </c>
      <c r="B105" s="0" t="n">
        <v>419</v>
      </c>
      <c r="C105" s="1" t="n">
        <v>44075</v>
      </c>
    </row>
    <row r="106" customFormat="false" ht="12.8" hidden="false" customHeight="false" outlineLevel="0" collapsed="false">
      <c r="A106" s="0" t="s">
        <v>16</v>
      </c>
      <c r="B106" s="0" t="n">
        <v>0</v>
      </c>
      <c r="C106" s="1" t="n">
        <v>44075</v>
      </c>
    </row>
    <row r="107" customFormat="false" ht="12.8" hidden="false" customHeight="false" outlineLevel="0" collapsed="false">
      <c r="A107" s="0" t="s">
        <v>17</v>
      </c>
      <c r="B107" s="0" t="n">
        <v>95.3</v>
      </c>
      <c r="C107" s="1" t="n">
        <v>44075</v>
      </c>
    </row>
    <row r="108" customFormat="false" ht="12.8" hidden="false" customHeight="false" outlineLevel="0" collapsed="false">
      <c r="A108" s="0" t="s">
        <v>23</v>
      </c>
      <c r="B108" s="0" t="n">
        <v>4.1</v>
      </c>
      <c r="C108" s="1" t="n">
        <v>44075</v>
      </c>
    </row>
    <row r="109" customFormat="false" ht="12.8" hidden="false" customHeight="false" outlineLevel="0" collapsed="false">
      <c r="A109" s="0" t="s">
        <v>19</v>
      </c>
      <c r="B109" s="0" t="n">
        <v>713.08</v>
      </c>
      <c r="C109" s="1" t="n">
        <v>44075</v>
      </c>
    </row>
    <row r="110" customFormat="false" ht="12.8" hidden="false" customHeight="false" outlineLevel="0" collapsed="false">
      <c r="A110" s="0" t="s">
        <v>20</v>
      </c>
      <c r="B110" s="0" t="n">
        <v>1848.39</v>
      </c>
      <c r="C110" s="1" t="n">
        <v>44075</v>
      </c>
    </row>
    <row r="111" customFormat="false" ht="12.8" hidden="false" customHeight="false" outlineLevel="0" collapsed="false"/>
    <row r="112" customFormat="false" ht="12.8" hidden="false" customHeight="false" outlineLevel="0" collapsed="false"/>
    <row r="113" customFormat="false" ht="12.8" hidden="false" customHeight="false" outlineLevel="0" collapsed="false"/>
    <row r="114" customFormat="false" ht="12.8" hidden="false" customHeight="false" outlineLevel="0" collapsed="false"/>
    <row r="115" customFormat="false" ht="12.8" hidden="false" customHeight="false" outlineLevel="0" collapsed="false"/>
    <row r="116" customFormat="false" ht="12.8" hidden="false" customHeight="false" outlineLevel="0" collapsed="false"/>
    <row r="117" customFormat="false" ht="12.8" hidden="false" customHeight="false" outlineLevel="0" collapsed="false"/>
    <row r="118" customFormat="false" ht="12.8" hidden="false" customHeight="false" outlineLevel="0" collapsed="false"/>
    <row r="119" customFormat="false" ht="12.8" hidden="false" customHeight="false" outlineLevel="0" collapsed="false"/>
    <row r="1048572" customFormat="false" ht="12.8" hidden="false" customHeight="false" outlineLevel="0" collapsed="false"/>
    <row r="1048573" customFormat="false" ht="12.8" hidden="false" customHeight="false" outlineLevel="0" collapsed="false"/>
    <row r="1048574" customFormat="false" ht="12.8" hidden="false" customHeight="false" outlineLevel="0" collapsed="false"/>
    <row r="1048575" customFormat="false" ht="12.8" hidden="false" customHeight="false" outlineLevel="0" collapsed="false"/>
    <row r="1048576" customFormat="false" ht="12.8" hidden="false" customHeight="false" outlineLevel="0" collapsed="false"/>
  </sheetData>
  <printOptions headings="false" gridLines="false" gridLinesSet="true" horizontalCentered="false" verticalCentered="false"/>
  <pageMargins left="0.511805555555555" right="0.511805555555555" top="0.7875" bottom="0.78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E47"/>
  <sheetViews>
    <sheetView showFormulas="false" showGridLines="true" showRowColHeaders="true" showZeros="true" rightToLeft="false" tabSelected="false" showOutlineSymbols="true" defaultGridColor="true" view="normal" topLeftCell="A1" colorId="64" zoomScale="84" zoomScaleNormal="84" zoomScalePageLayoutView="100" workbookViewId="0">
      <selection pane="topLeft" activeCell="E28" activeCellId="0" sqref="E28"/>
    </sheetView>
  </sheetViews>
  <sheetFormatPr defaultRowHeight="12.8" zeroHeight="false" outlineLevelRow="0" outlineLevelCol="0"/>
  <cols>
    <col collapsed="false" customWidth="true" hidden="false" outlineLevel="0" max="2" min="1" style="7" width="15"/>
    <col collapsed="false" customWidth="true" hidden="false" outlineLevel="0" max="3" min="3" style="7" width="33.27"/>
    <col collapsed="false" customWidth="true" hidden="false" outlineLevel="0" max="4" min="4" style="8" width="17.13"/>
    <col collapsed="false" customWidth="true" hidden="false" outlineLevel="0" max="5" min="5" style="0" width="14.77"/>
    <col collapsed="false" customWidth="true" hidden="false" outlineLevel="0" max="6" min="6" style="0" width="12.14"/>
    <col collapsed="false" customWidth="true" hidden="false" outlineLevel="0" max="1025" min="7" style="0" width="9.85"/>
  </cols>
  <sheetData>
    <row r="1" customFormat="false" ht="13.8" hidden="false" customHeight="false" outlineLevel="0" collapsed="false">
      <c r="A1" s="9" t="s">
        <v>24</v>
      </c>
      <c r="B1" s="9" t="s">
        <v>25</v>
      </c>
      <c r="C1" s="9" t="s">
        <v>26</v>
      </c>
      <c r="D1" s="10" t="s">
        <v>27</v>
      </c>
      <c r="E1" s="3" t="s">
        <v>28</v>
      </c>
    </row>
    <row r="2" customFormat="false" ht="13.8" hidden="false" customHeight="false" outlineLevel="0" collapsed="false">
      <c r="A2" s="11" t="n">
        <v>44197</v>
      </c>
      <c r="B2" s="12" t="n">
        <v>44211</v>
      </c>
      <c r="C2" s="13" t="s">
        <v>29</v>
      </c>
      <c r="D2" s="14" t="n">
        <v>5392</v>
      </c>
      <c r="E2" s="15" t="n">
        <v>5392</v>
      </c>
    </row>
    <row r="3" customFormat="false" ht="12.8" hidden="false" customHeight="false" outlineLevel="0" collapsed="false">
      <c r="A3" s="11" t="n">
        <v>44197</v>
      </c>
      <c r="B3" s="12" t="n">
        <v>44226</v>
      </c>
      <c r="C3" s="16" t="s">
        <v>30</v>
      </c>
      <c r="D3" s="15" t="n">
        <v>4304.32</v>
      </c>
      <c r="E3" s="15" t="n">
        <f aca="false">D3</f>
        <v>4304.32</v>
      </c>
    </row>
    <row r="4" customFormat="false" ht="12.8" hidden="false" customHeight="false" outlineLevel="0" collapsed="false">
      <c r="A4" s="11" t="n">
        <v>44197</v>
      </c>
      <c r="B4" s="12" t="n">
        <v>44197</v>
      </c>
      <c r="C4" s="16" t="s">
        <v>31</v>
      </c>
      <c r="D4" s="15" t="n">
        <v>-1233.48</v>
      </c>
      <c r="E4" s="15" t="n">
        <f aca="false">D4</f>
        <v>-1233.48</v>
      </c>
    </row>
    <row r="5" customFormat="false" ht="12.8" hidden="false" customHeight="false" outlineLevel="0" collapsed="false">
      <c r="A5" s="11" t="n">
        <v>44197</v>
      </c>
      <c r="B5" s="12" t="n">
        <v>44212</v>
      </c>
      <c r="C5" s="16" t="s">
        <v>32</v>
      </c>
      <c r="D5" s="15" t="n">
        <v>7000</v>
      </c>
      <c r="E5" s="15" t="n">
        <v>7000</v>
      </c>
    </row>
    <row r="6" customFormat="false" ht="12.8" hidden="false" customHeight="false" outlineLevel="0" collapsed="false">
      <c r="A6" s="11" t="n">
        <v>44197</v>
      </c>
      <c r="B6" s="12" t="n">
        <v>44222</v>
      </c>
      <c r="C6" s="16" t="s">
        <v>33</v>
      </c>
      <c r="D6" s="15" t="n">
        <v>200</v>
      </c>
      <c r="E6" s="15" t="n">
        <v>200</v>
      </c>
    </row>
    <row r="7" customFormat="false" ht="12.8" hidden="false" customHeight="false" outlineLevel="0" collapsed="false">
      <c r="A7" s="11" t="n">
        <v>44197</v>
      </c>
      <c r="B7" s="12" t="n">
        <v>44203</v>
      </c>
      <c r="C7" s="16" t="s">
        <v>34</v>
      </c>
      <c r="D7" s="15" t="n">
        <v>422.21</v>
      </c>
      <c r="E7" s="15" t="n">
        <v>422.21</v>
      </c>
    </row>
    <row r="8" customFormat="false" ht="12.8" hidden="false" customHeight="false" outlineLevel="0" collapsed="false">
      <c r="A8" s="17" t="n">
        <v>44228</v>
      </c>
      <c r="B8" s="17" t="n">
        <v>44242</v>
      </c>
      <c r="C8" s="18" t="s">
        <v>29</v>
      </c>
      <c r="D8" s="19" t="n">
        <v>5392</v>
      </c>
      <c r="E8" s="19" t="n">
        <f aca="false">D8</f>
        <v>5392</v>
      </c>
    </row>
    <row r="9" customFormat="false" ht="12.8" hidden="false" customHeight="false" outlineLevel="0" collapsed="false">
      <c r="A9" s="17" t="n">
        <v>44228</v>
      </c>
      <c r="B9" s="17" t="n">
        <v>44242</v>
      </c>
      <c r="C9" s="18" t="s">
        <v>34</v>
      </c>
      <c r="D9" s="19" t="n">
        <v>0</v>
      </c>
      <c r="E9" s="19" t="n">
        <v>0</v>
      </c>
    </row>
    <row r="10" customFormat="false" ht="15.8" hidden="false" customHeight="false" outlineLevel="0" collapsed="false">
      <c r="A10" s="17" t="n">
        <v>44228</v>
      </c>
      <c r="B10" s="17" t="n">
        <v>44255</v>
      </c>
      <c r="C10" s="20" t="s">
        <v>30</v>
      </c>
      <c r="D10" s="21" t="n">
        <v>3926.79</v>
      </c>
      <c r="E10" s="19" t="n">
        <f aca="false">D10</f>
        <v>3926.79</v>
      </c>
    </row>
    <row r="11" customFormat="false" ht="15.8" hidden="false" customHeight="false" outlineLevel="0" collapsed="false">
      <c r="A11" s="17" t="n">
        <v>44228</v>
      </c>
      <c r="B11" s="17" t="n">
        <v>44235</v>
      </c>
      <c r="C11" s="22" t="s">
        <v>35</v>
      </c>
      <c r="D11" s="23" t="n">
        <v>150</v>
      </c>
      <c r="E11" s="19" t="n">
        <v>150</v>
      </c>
    </row>
    <row r="12" customFormat="false" ht="15.8" hidden="false" customHeight="false" outlineLevel="0" collapsed="false">
      <c r="A12" s="17" t="n">
        <v>44228</v>
      </c>
      <c r="B12" s="17" t="n">
        <v>44239</v>
      </c>
      <c r="C12" s="22" t="s">
        <v>35</v>
      </c>
      <c r="D12" s="23" t="n">
        <v>353</v>
      </c>
      <c r="E12" s="19" t="n">
        <v>353</v>
      </c>
    </row>
    <row r="13" customFormat="false" ht="15.8" hidden="false" customHeight="false" outlineLevel="0" collapsed="false">
      <c r="A13" s="17" t="n">
        <v>44228</v>
      </c>
      <c r="B13" s="17" t="n">
        <v>44239</v>
      </c>
      <c r="C13" s="22" t="s">
        <v>36</v>
      </c>
      <c r="D13" s="23" t="n">
        <v>32.86</v>
      </c>
      <c r="E13" s="19" t="n">
        <v>32.86</v>
      </c>
    </row>
    <row r="14" customFormat="false" ht="15.8" hidden="false" customHeight="false" outlineLevel="0" collapsed="false">
      <c r="A14" s="17" t="n">
        <v>44228</v>
      </c>
      <c r="B14" s="17" t="n">
        <v>44241</v>
      </c>
      <c r="C14" s="22" t="s">
        <v>37</v>
      </c>
      <c r="D14" s="23" t="n">
        <v>40</v>
      </c>
      <c r="E14" s="19" t="n">
        <v>40</v>
      </c>
    </row>
    <row r="15" customFormat="false" ht="15.8" hidden="false" customHeight="false" outlineLevel="0" collapsed="false">
      <c r="A15" s="17" t="n">
        <v>44228</v>
      </c>
      <c r="B15" s="17" t="n">
        <v>44242</v>
      </c>
      <c r="C15" s="22" t="s">
        <v>38</v>
      </c>
      <c r="D15" s="23" t="n">
        <v>1000</v>
      </c>
      <c r="E15" s="19" t="n">
        <v>1000</v>
      </c>
    </row>
    <row r="16" customFormat="false" ht="12.8" hidden="false" customHeight="false" outlineLevel="0" collapsed="false">
      <c r="A16" s="11" t="n">
        <v>44256</v>
      </c>
      <c r="B16" s="11" t="n">
        <v>44270</v>
      </c>
      <c r="C16" s="13" t="s">
        <v>29</v>
      </c>
      <c r="D16" s="15" t="n">
        <v>5392</v>
      </c>
      <c r="E16" s="15" t="n">
        <v>5392</v>
      </c>
    </row>
    <row r="17" customFormat="false" ht="12.8" hidden="false" customHeight="false" outlineLevel="0" collapsed="false">
      <c r="A17" s="11" t="n">
        <v>44256</v>
      </c>
      <c r="B17" s="11" t="n">
        <v>44286</v>
      </c>
      <c r="C17" s="16" t="s">
        <v>30</v>
      </c>
      <c r="D17" s="15" t="n">
        <v>4000</v>
      </c>
      <c r="E17" s="15" t="n">
        <v>3624.01</v>
      </c>
    </row>
    <row r="18" customFormat="false" ht="12.8" hidden="false" customHeight="false" outlineLevel="0" collapsed="false">
      <c r="A18" s="11" t="n">
        <v>44256</v>
      </c>
      <c r="B18" s="12" t="n">
        <v>44259</v>
      </c>
      <c r="C18" s="16" t="s">
        <v>39</v>
      </c>
      <c r="D18" s="15" t="n">
        <v>1000</v>
      </c>
      <c r="E18" s="15" t="n">
        <v>1000</v>
      </c>
    </row>
    <row r="19" customFormat="false" ht="12.8" hidden="false" customHeight="false" outlineLevel="0" collapsed="false">
      <c r="A19" s="24" t="n">
        <v>44287</v>
      </c>
      <c r="B19" s="24" t="n">
        <v>44301</v>
      </c>
      <c r="C19" s="25" t="s">
        <v>29</v>
      </c>
      <c r="D19" s="26" t="n">
        <v>5392</v>
      </c>
      <c r="E19" s="26" t="n">
        <v>5392</v>
      </c>
    </row>
    <row r="20" customFormat="false" ht="13.8" hidden="false" customHeight="false" outlineLevel="0" collapsed="false">
      <c r="A20" s="24" t="n">
        <v>44287</v>
      </c>
      <c r="B20" s="24" t="n">
        <v>44301</v>
      </c>
      <c r="C20" s="27" t="s">
        <v>35</v>
      </c>
      <c r="D20" s="21" t="n">
        <v>150</v>
      </c>
      <c r="E20" s="26" t="n">
        <v>150</v>
      </c>
    </row>
    <row r="21" customFormat="false" ht="13.8" hidden="false" customHeight="false" outlineLevel="0" collapsed="false">
      <c r="A21" s="24" t="n">
        <v>44287</v>
      </c>
      <c r="B21" s="24"/>
      <c r="C21" s="28" t="s">
        <v>30</v>
      </c>
      <c r="D21" s="26" t="n">
        <v>4000</v>
      </c>
      <c r="E21" s="21" t="n">
        <v>3943.38</v>
      </c>
    </row>
    <row r="22" customFormat="false" ht="13.8" hidden="false" customHeight="false" outlineLevel="0" collapsed="false">
      <c r="A22" s="24" t="n">
        <v>44287</v>
      </c>
      <c r="B22" s="24" t="n">
        <v>44306</v>
      </c>
      <c r="C22" s="28" t="s">
        <v>40</v>
      </c>
      <c r="D22" s="26" t="n">
        <v>33</v>
      </c>
      <c r="E22" s="21" t="n">
        <v>33</v>
      </c>
    </row>
    <row r="23" customFormat="false" ht="12.8" hidden="false" customHeight="false" outlineLevel="0" collapsed="false">
      <c r="A23" s="24" t="n">
        <v>44287</v>
      </c>
      <c r="B23" s="24" t="n">
        <v>44311</v>
      </c>
      <c r="C23" s="25" t="s">
        <v>41</v>
      </c>
      <c r="D23" s="26" t="n">
        <v>8000</v>
      </c>
      <c r="E23" s="26" t="n">
        <v>8000</v>
      </c>
    </row>
    <row r="24" customFormat="false" ht="12.8" hidden="false" customHeight="false" outlineLevel="0" collapsed="false">
      <c r="A24" s="11" t="n">
        <v>44317</v>
      </c>
      <c r="B24" s="11"/>
      <c r="C24" s="13" t="s">
        <v>29</v>
      </c>
      <c r="D24" s="15" t="n">
        <v>5391.6</v>
      </c>
      <c r="E24" s="15" t="n">
        <v>5392</v>
      </c>
    </row>
    <row r="25" customFormat="false" ht="12.8" hidden="false" customHeight="false" outlineLevel="0" collapsed="false">
      <c r="A25" s="11" t="n">
        <v>44317</v>
      </c>
      <c r="B25" s="11"/>
      <c r="C25" s="16" t="s">
        <v>30</v>
      </c>
      <c r="D25" s="15" t="n">
        <v>4000</v>
      </c>
      <c r="E25" s="15" t="n">
        <v>4111.2</v>
      </c>
    </row>
    <row r="26" customFormat="false" ht="12.8" hidden="false" customHeight="false" outlineLevel="0" collapsed="false">
      <c r="A26" s="11" t="n">
        <v>44317</v>
      </c>
      <c r="B26" s="12"/>
      <c r="C26" s="16" t="s">
        <v>41</v>
      </c>
      <c r="D26" s="15" t="n">
        <v>1000</v>
      </c>
      <c r="E26" s="15" t="n">
        <v>1000</v>
      </c>
    </row>
    <row r="27" customFormat="false" ht="12.8" hidden="false" customHeight="false" outlineLevel="0" collapsed="false">
      <c r="A27" s="17" t="n">
        <v>44348</v>
      </c>
      <c r="B27" s="17"/>
      <c r="C27" s="18" t="s">
        <v>29</v>
      </c>
      <c r="D27" s="19" t="n">
        <v>5391.6</v>
      </c>
      <c r="E27" s="19" t="n">
        <v>5492</v>
      </c>
    </row>
    <row r="28" customFormat="false" ht="12.8" hidden="false" customHeight="false" outlineLevel="0" collapsed="false">
      <c r="A28" s="17" t="n">
        <v>44348</v>
      </c>
      <c r="B28" s="29"/>
      <c r="C28" s="20" t="s">
        <v>30</v>
      </c>
      <c r="D28" s="19" t="n">
        <v>4000</v>
      </c>
      <c r="E28" s="19" t="n">
        <v>0</v>
      </c>
    </row>
    <row r="29" customFormat="false" ht="15.8" hidden="false" customHeight="false" outlineLevel="0" collapsed="false">
      <c r="A29" s="17" t="n">
        <v>44348</v>
      </c>
      <c r="B29" s="17"/>
      <c r="C29" s="22" t="s">
        <v>42</v>
      </c>
      <c r="D29" s="19" t="n">
        <v>30</v>
      </c>
      <c r="E29" s="0" t="n">
        <v>30</v>
      </c>
    </row>
    <row r="30" customFormat="false" ht="12.8" hidden="false" customHeight="false" outlineLevel="0" collapsed="false">
      <c r="A30" s="11" t="n">
        <v>44378</v>
      </c>
      <c r="B30" s="11"/>
      <c r="C30" s="13" t="s">
        <v>29</v>
      </c>
      <c r="D30" s="15" t="n">
        <v>5391.6</v>
      </c>
      <c r="E30" s="15" t="n">
        <v>0</v>
      </c>
    </row>
    <row r="31" customFormat="false" ht="12.8" hidden="false" customHeight="false" outlineLevel="0" collapsed="false">
      <c r="A31" s="11" t="n">
        <v>44378</v>
      </c>
      <c r="B31" s="11"/>
      <c r="C31" s="16" t="s">
        <v>30</v>
      </c>
      <c r="D31" s="15" t="n">
        <v>4000</v>
      </c>
      <c r="E31" s="15" t="n">
        <v>0</v>
      </c>
    </row>
    <row r="32" customFormat="false" ht="12.8" hidden="false" customHeight="false" outlineLevel="0" collapsed="false">
      <c r="A32" s="11" t="n">
        <v>44378</v>
      </c>
      <c r="B32" s="12"/>
      <c r="C32" s="16"/>
      <c r="D32" s="15" t="n">
        <v>0</v>
      </c>
      <c r="E32" s="15"/>
    </row>
    <row r="33" customFormat="false" ht="12.8" hidden="false" customHeight="false" outlineLevel="0" collapsed="false">
      <c r="A33" s="17" t="n">
        <v>44409</v>
      </c>
      <c r="B33" s="17"/>
      <c r="C33" s="18" t="s">
        <v>29</v>
      </c>
      <c r="D33" s="19" t="n">
        <v>5391.6</v>
      </c>
      <c r="E33" s="19" t="n">
        <v>0</v>
      </c>
    </row>
    <row r="34" customFormat="false" ht="12.8" hidden="false" customHeight="false" outlineLevel="0" collapsed="false">
      <c r="A34" s="17" t="n">
        <v>44409</v>
      </c>
      <c r="B34" s="17"/>
      <c r="C34" s="20" t="s">
        <v>30</v>
      </c>
      <c r="D34" s="19" t="n">
        <v>4000</v>
      </c>
      <c r="E34" s="19" t="n">
        <v>0</v>
      </c>
    </row>
    <row r="35" customFormat="false" ht="12.8" hidden="false" customHeight="false" outlineLevel="0" collapsed="false">
      <c r="A35" s="17" t="n">
        <v>44409</v>
      </c>
      <c r="B35" s="17"/>
      <c r="C35" s="18"/>
      <c r="D35" s="19" t="n">
        <v>0</v>
      </c>
      <c r="E35" s="19"/>
    </row>
    <row r="36" customFormat="false" ht="12.8" hidden="false" customHeight="false" outlineLevel="0" collapsed="false">
      <c r="A36" s="11" t="n">
        <v>44440</v>
      </c>
      <c r="B36" s="11"/>
      <c r="C36" s="13" t="s">
        <v>29</v>
      </c>
      <c r="D36" s="15" t="n">
        <v>5391.6</v>
      </c>
      <c r="E36" s="15" t="n">
        <v>0</v>
      </c>
    </row>
    <row r="37" customFormat="false" ht="12.8" hidden="false" customHeight="false" outlineLevel="0" collapsed="false">
      <c r="A37" s="11" t="n">
        <v>44440</v>
      </c>
      <c r="B37" s="11"/>
      <c r="C37" s="16" t="s">
        <v>30</v>
      </c>
      <c r="D37" s="15" t="n">
        <v>4000</v>
      </c>
      <c r="E37" s="15" t="n">
        <v>0</v>
      </c>
    </row>
    <row r="38" customFormat="false" ht="12.8" hidden="false" customHeight="false" outlineLevel="0" collapsed="false">
      <c r="A38" s="11" t="n">
        <v>44440</v>
      </c>
      <c r="B38" s="12"/>
      <c r="C38" s="16"/>
      <c r="D38" s="15" t="n">
        <v>0</v>
      </c>
      <c r="E38" s="15"/>
    </row>
    <row r="39" customFormat="false" ht="12.8" hidden="false" customHeight="false" outlineLevel="0" collapsed="false">
      <c r="A39" s="17" t="n">
        <v>44470</v>
      </c>
      <c r="B39" s="17"/>
      <c r="C39" s="18" t="s">
        <v>29</v>
      </c>
      <c r="D39" s="19" t="n">
        <v>5391.6</v>
      </c>
      <c r="E39" s="19" t="n">
        <v>0</v>
      </c>
    </row>
    <row r="40" customFormat="false" ht="12.8" hidden="false" customHeight="false" outlineLevel="0" collapsed="false">
      <c r="A40" s="17" t="n">
        <v>44470</v>
      </c>
      <c r="B40" s="29"/>
      <c r="C40" s="20" t="s">
        <v>30</v>
      </c>
      <c r="D40" s="19" t="n">
        <v>4000</v>
      </c>
      <c r="E40" s="19" t="n">
        <v>0</v>
      </c>
    </row>
    <row r="41" customFormat="false" ht="12.8" hidden="false" customHeight="false" outlineLevel="0" collapsed="false">
      <c r="A41" s="17" t="n">
        <v>44470</v>
      </c>
      <c r="B41" s="17"/>
      <c r="C41" s="18"/>
      <c r="D41" s="19" t="n">
        <v>0</v>
      </c>
    </row>
    <row r="42" customFormat="false" ht="12.8" hidden="false" customHeight="false" outlineLevel="0" collapsed="false">
      <c r="A42" s="11" t="n">
        <v>44501</v>
      </c>
      <c r="B42" s="11"/>
      <c r="C42" s="13" t="s">
        <v>29</v>
      </c>
      <c r="D42" s="15" t="n">
        <v>5391.6</v>
      </c>
      <c r="E42" s="15" t="n">
        <v>0</v>
      </c>
    </row>
    <row r="43" customFormat="false" ht="12.8" hidden="false" customHeight="false" outlineLevel="0" collapsed="false">
      <c r="A43" s="11" t="n">
        <v>44501</v>
      </c>
      <c r="B43" s="11"/>
      <c r="C43" s="16" t="s">
        <v>30</v>
      </c>
      <c r="D43" s="15" t="n">
        <v>4000</v>
      </c>
      <c r="E43" s="15" t="n">
        <v>0</v>
      </c>
    </row>
    <row r="44" customFormat="false" ht="12.8" hidden="false" customHeight="false" outlineLevel="0" collapsed="false">
      <c r="A44" s="11" t="n">
        <v>44501</v>
      </c>
      <c r="B44" s="12"/>
      <c r="C44" s="16"/>
      <c r="D44" s="15" t="n">
        <v>0</v>
      </c>
      <c r="E44" s="15"/>
    </row>
    <row r="45" customFormat="false" ht="12.8" hidden="false" customHeight="false" outlineLevel="0" collapsed="false">
      <c r="A45" s="17" t="n">
        <v>44531</v>
      </c>
      <c r="B45" s="17"/>
      <c r="C45" s="18" t="s">
        <v>29</v>
      </c>
      <c r="D45" s="19" t="n">
        <v>5391.6</v>
      </c>
      <c r="E45" s="19" t="n">
        <v>0</v>
      </c>
    </row>
    <row r="46" customFormat="false" ht="12.8" hidden="false" customHeight="false" outlineLevel="0" collapsed="false">
      <c r="A46" s="17" t="n">
        <v>44531</v>
      </c>
      <c r="B46" s="29"/>
      <c r="C46" s="20" t="s">
        <v>30</v>
      </c>
      <c r="D46" s="19" t="n">
        <v>4000</v>
      </c>
      <c r="E46" s="19" t="n">
        <v>0</v>
      </c>
    </row>
    <row r="47" customFormat="false" ht="12.8" hidden="false" customHeight="false" outlineLevel="0" collapsed="false">
      <c r="A47" s="17" t="n">
        <v>44531</v>
      </c>
      <c r="B47" s="17"/>
      <c r="C47" s="18"/>
      <c r="D47" s="19" t="n">
        <v>0</v>
      </c>
    </row>
  </sheetData>
  <printOptions headings="false" gridLines="false" gridLinesSet="true" horizontalCentered="false" verticalCentered="false"/>
  <pageMargins left="0.511805555555555" right="0.511805555555555" top="0.7875" bottom="0.78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176"/>
  <sheetViews>
    <sheetView showFormulas="false" showGridLines="true" showRowColHeaders="true" showZeros="true" rightToLeft="false" tabSelected="true" showOutlineSymbols="true" defaultGridColor="true" view="normal" topLeftCell="A1" colorId="64" zoomScale="84" zoomScaleNormal="84" zoomScalePageLayoutView="100" workbookViewId="0">
      <selection pane="topLeft" activeCell="B467" activeCellId="0" sqref="B467"/>
    </sheetView>
  </sheetViews>
  <sheetFormatPr defaultRowHeight="12.8" zeroHeight="false" outlineLevelRow="0" outlineLevelCol="0"/>
  <cols>
    <col collapsed="false" customWidth="true" hidden="false" outlineLevel="0" max="1" min="1" style="30" width="36.04"/>
    <col collapsed="false" customWidth="true" hidden="false" outlineLevel="0" max="2" min="2" style="31" width="13.86"/>
    <col collapsed="false" customWidth="true" hidden="false" outlineLevel="0" max="3" min="3" style="30" width="35.33"/>
    <col collapsed="false" customWidth="true" hidden="false" outlineLevel="0" max="4" min="4" style="0" width="12.68"/>
    <col collapsed="false" customWidth="true" hidden="false" outlineLevel="0" max="5" min="5" style="32" width="18.77"/>
    <col collapsed="false" customWidth="true" hidden="false" outlineLevel="0" max="6" min="6" style="0" width="25.47"/>
    <col collapsed="false" customWidth="true" hidden="false" outlineLevel="0" max="7" min="7" style="33" width="27.28"/>
    <col collapsed="false" customWidth="true" hidden="false" outlineLevel="0" max="8" min="8" style="33" width="9.47"/>
    <col collapsed="false" customWidth="true" hidden="false" outlineLevel="0" max="9" min="9" style="0" width="11.14"/>
    <col collapsed="false" customWidth="true" hidden="false" outlineLevel="0" max="1021" min="10" style="0" width="10.29"/>
    <col collapsed="false" customWidth="false" hidden="false" outlineLevel="0" max="1025" min="1022" style="0" width="11.52"/>
  </cols>
  <sheetData>
    <row r="1" customFormat="false" ht="12.8" hidden="false" customHeight="false" outlineLevel="0" collapsed="false">
      <c r="A1" s="34" t="s">
        <v>43</v>
      </c>
      <c r="B1" s="35" t="s">
        <v>44</v>
      </c>
      <c r="C1" s="36" t="s">
        <v>45</v>
      </c>
      <c r="D1" s="37" t="s">
        <v>46</v>
      </c>
      <c r="E1" s="37" t="s">
        <v>47</v>
      </c>
      <c r="F1" s="38" t="s">
        <v>48</v>
      </c>
      <c r="G1" s="38" t="s">
        <v>49</v>
      </c>
      <c r="H1" s="39" t="s">
        <v>50</v>
      </c>
    </row>
    <row r="2" customFormat="false" ht="15" hidden="false" customHeight="false" outlineLevel="0" collapsed="false">
      <c r="A2" s="40" t="s">
        <v>31</v>
      </c>
      <c r="B2" s="41" t="s">
        <v>51</v>
      </c>
      <c r="C2" s="42" t="s">
        <v>52</v>
      </c>
      <c r="D2" s="43"/>
      <c r="E2" s="44" t="n">
        <v>-1233.47</v>
      </c>
      <c r="F2" s="45" t="n">
        <f aca="false">IF(ISNUMBER(FIND("SALDO ANTERIOR",C2)),0,IF(ISNUMBER(FIND("SALDO DO DIA",C2)),0,IF(ISNUMBER(FIND("SALDO PARCIAL",C2)),0,IF(ISNUMBER(FIND("SDO CTA/APL AUTOMATICAS",C2)),0,IF(ISNUMBER(FIND("APL APLIC AUT MAIS",C2)),0,IF(ISNUMBER(FIND("TEC DEPOSITO",C2)),0,IF(E2&gt;0,0,E2*(-1))))))))</f>
        <v>0</v>
      </c>
      <c r="G2" s="46" t="n">
        <f aca="false">IF(ISNUMBER(FIND("SALDO ANTERIOR",C2)),0,IF(ISNUMBER(FIND("SALDO DO DIA",C2)),0,IF(ISNUMBER(FIND("SDO CTA/APL AUTOMATICAS",C2)),0,IF(ISNUMBER(FIND("TEC DEPOSITO",C2)),0,IF(ISNUMBER(FIND("APL APLIC AUT MAIS",C2)),E2,IF(E2&gt;0,E2,0))))))</f>
        <v>0</v>
      </c>
      <c r="H2" s="47" t="n">
        <v>44197</v>
      </c>
    </row>
    <row r="3" customFormat="false" ht="13.8" hidden="false" customHeight="false" outlineLevel="0" collapsed="false">
      <c r="A3" s="40" t="s">
        <v>53</v>
      </c>
      <c r="B3" s="41" t="s">
        <v>54</v>
      </c>
      <c r="C3" s="48" t="s">
        <v>55</v>
      </c>
      <c r="D3" s="43" t="s">
        <v>56</v>
      </c>
      <c r="E3" s="49" t="n">
        <v>-6.18</v>
      </c>
      <c r="F3" s="45" t="n">
        <f aca="false">IF(ISNUMBER(FIND("SALDO ANTERIOR",C3)),0,IF(ISNUMBER(FIND("SALDO DO DIA",C3)),0,IF(ISNUMBER(FIND("SALDO PARCIAL",C3)),0,IF(ISNUMBER(FIND("SDO CTA/APL AUTOMATICAS",C3)),0,IF(ISNUMBER(FIND("APL APLIC AUT MAIS",C3)),0,IF(ISNUMBER(FIND("TEC DEPOSITO",C3)),0,IF(E3&gt;0,0,E3*(-1))))))))</f>
        <v>6.18</v>
      </c>
      <c r="G3" s="46" t="n">
        <f aca="false">IF(ISNUMBER(FIND("SALDO ANTERIOR",C3)),0,IF(ISNUMBER(FIND("SALDO DO DIA",C3)),0,IF(ISNUMBER(FIND("SDO CTA/APL AUTOMATICAS",C3)),0,IF(ISNUMBER(FIND("TEC DEPOSITO",C3)),0,IF(ISNUMBER(FIND("APL APLIC AUT MAIS",C3)),E3,IF(E3&gt;0,E3,0))))))</f>
        <v>0</v>
      </c>
      <c r="H3" s="47" t="n">
        <v>44197</v>
      </c>
    </row>
    <row r="4" customFormat="false" ht="13.8" hidden="false" customHeight="false" outlineLevel="0" collapsed="false">
      <c r="A4" s="40" t="s">
        <v>57</v>
      </c>
      <c r="B4" s="41" t="s">
        <v>54</v>
      </c>
      <c r="C4" s="48" t="s">
        <v>58</v>
      </c>
      <c r="D4" s="43" t="s">
        <v>56</v>
      </c>
      <c r="E4" s="49" t="n">
        <v>-20.78</v>
      </c>
      <c r="F4" s="45" t="n">
        <f aca="false">IF(ISNUMBER(FIND("SALDO ANTERIOR",C4)),0,IF(ISNUMBER(FIND("SALDO DO DIA",C4)),0,IF(ISNUMBER(FIND("SALDO PARCIAL",C4)),0,IF(ISNUMBER(FIND("SDO CTA/APL AUTOMATICAS",C4)),0,IF(ISNUMBER(FIND("APL APLIC AUT MAIS",C4)),0,IF(ISNUMBER(FIND("TEC DEPOSITO",C4)),0,IF(E4&gt;0,0,E4*(-1))))))))</f>
        <v>20.78</v>
      </c>
      <c r="G4" s="46" t="n">
        <f aca="false">IF(ISNUMBER(FIND("SALDO ANTERIOR",C4)),0,IF(ISNUMBER(FIND("SALDO DO DIA",C4)),0,IF(ISNUMBER(FIND("SDO CTA/APL AUTOMATICAS",C4)),0,IF(ISNUMBER(FIND("TEC DEPOSITO",C4)),0,IF(ISNUMBER(FIND("APL APLIC AUT MAIS",C4)),E4,IF(E4&gt;0,E4,0))))))</f>
        <v>0</v>
      </c>
      <c r="H4" s="47" t="n">
        <v>44197</v>
      </c>
    </row>
    <row r="5" customFormat="false" ht="13.8" hidden="false" customHeight="false" outlineLevel="0" collapsed="false">
      <c r="A5" s="40" t="s">
        <v>59</v>
      </c>
      <c r="B5" s="41" t="s">
        <v>54</v>
      </c>
      <c r="C5" s="48" t="s">
        <v>60</v>
      </c>
      <c r="D5" s="43" t="s">
        <v>56</v>
      </c>
      <c r="E5" s="49" t="n">
        <v>-40</v>
      </c>
      <c r="F5" s="45" t="n">
        <f aca="false">IF(ISNUMBER(FIND("SALDO ANTERIOR",C5)),0,IF(ISNUMBER(FIND("SALDO DO DIA",C5)),0,IF(ISNUMBER(FIND("SALDO PARCIAL",C5)),0,IF(ISNUMBER(FIND("SDO CTA/APL AUTOMATICAS",C5)),0,IF(ISNUMBER(FIND("APL APLIC AUT MAIS",C5)),0,IF(ISNUMBER(FIND("TEC DEPOSITO",C5)),0,IF(E5&gt;0,0,E5*(-1))))))))</f>
        <v>40</v>
      </c>
      <c r="G5" s="46" t="n">
        <f aca="false">IF(ISNUMBER(FIND("SALDO ANTERIOR",C5)),0,IF(ISNUMBER(FIND("SALDO DO DIA",C5)),0,IF(ISNUMBER(FIND("SDO CTA/APL AUTOMATICAS",C5)),0,IF(ISNUMBER(FIND("TEC DEPOSITO",C5)),0,IF(ISNUMBER(FIND("APL APLIC AUT MAIS",C5)),E5,IF(E5&gt;0,E5,0))))))</f>
        <v>0</v>
      </c>
      <c r="H5" s="47" t="n">
        <v>44197</v>
      </c>
    </row>
    <row r="6" customFormat="false" ht="13.8" hidden="false" customHeight="false" outlineLevel="0" collapsed="false">
      <c r="A6" s="40" t="s">
        <v>53</v>
      </c>
      <c r="B6" s="41" t="s">
        <v>54</v>
      </c>
      <c r="C6" s="48" t="s">
        <v>61</v>
      </c>
      <c r="D6" s="43" t="s">
        <v>56</v>
      </c>
      <c r="E6" s="49" t="n">
        <v>-7</v>
      </c>
      <c r="F6" s="45" t="n">
        <f aca="false">IF(ISNUMBER(FIND("SALDO ANTERIOR",C6)),0,IF(ISNUMBER(FIND("SALDO DO DIA",C6)),0,IF(ISNUMBER(FIND("SALDO PARCIAL",C6)),0,IF(ISNUMBER(FIND("SDO CTA/APL AUTOMATICAS",C6)),0,IF(ISNUMBER(FIND("APL APLIC AUT MAIS",C6)),0,IF(ISNUMBER(FIND("TEC DEPOSITO",C6)),0,IF(E6&gt;0,0,E6*(-1))))))))</f>
        <v>7</v>
      </c>
      <c r="G6" s="46" t="n">
        <f aca="false">IF(ISNUMBER(FIND("SALDO ANTERIOR",C6)),0,IF(ISNUMBER(FIND("SALDO DO DIA",C6)),0,IF(ISNUMBER(FIND("SDO CTA/APL AUTOMATICAS",C6)),0,IF(ISNUMBER(FIND("TEC DEPOSITO",C6)),0,IF(ISNUMBER(FIND("APL APLIC AUT MAIS",C6)),E6,IF(E6&gt;0,E6,0))))))</f>
        <v>0</v>
      </c>
      <c r="H6" s="47" t="n">
        <v>44197</v>
      </c>
    </row>
    <row r="7" customFormat="false" ht="13.8" hidden="false" customHeight="false" outlineLevel="0" collapsed="false">
      <c r="A7" s="40" t="s">
        <v>62</v>
      </c>
      <c r="B7" s="41" t="s">
        <v>54</v>
      </c>
      <c r="C7" s="48" t="s">
        <v>63</v>
      </c>
      <c r="D7" s="43" t="s">
        <v>56</v>
      </c>
      <c r="E7" s="49" t="n">
        <v>-29.4</v>
      </c>
      <c r="F7" s="45" t="n">
        <f aca="false">IF(ISNUMBER(FIND("SALDO ANTERIOR",C7)),0,IF(ISNUMBER(FIND("SALDO DO DIA",C7)),0,IF(ISNUMBER(FIND("SALDO PARCIAL",C7)),0,IF(ISNUMBER(FIND("SDO CTA/APL AUTOMATICAS",C7)),0,IF(ISNUMBER(FIND("APL APLIC AUT MAIS",C7)),0,IF(ISNUMBER(FIND("TEC DEPOSITO",C7)),0,IF(E7&gt;0,0,E7*(-1))))))))</f>
        <v>29.4</v>
      </c>
      <c r="G7" s="46" t="n">
        <f aca="false">IF(ISNUMBER(FIND("SALDO ANTERIOR",C7)),0,IF(ISNUMBER(FIND("SALDO DO DIA",C7)),0,IF(ISNUMBER(FIND("SDO CTA/APL AUTOMATICAS",C7)),0,IF(ISNUMBER(FIND("TEC DEPOSITO",C7)),0,IF(ISNUMBER(FIND("APL APLIC AUT MAIS",C7)),E7,IF(E7&gt;0,E7,0))))))</f>
        <v>0</v>
      </c>
      <c r="H7" s="47" t="n">
        <v>44197</v>
      </c>
    </row>
    <row r="8" customFormat="false" ht="13.8" hidden="false" customHeight="false" outlineLevel="0" collapsed="false">
      <c r="A8" s="40" t="s">
        <v>64</v>
      </c>
      <c r="B8" s="41" t="s">
        <v>54</v>
      </c>
      <c r="C8" s="48" t="s">
        <v>65</v>
      </c>
      <c r="D8" s="43" t="s">
        <v>56</v>
      </c>
      <c r="E8" s="49" t="n">
        <v>-22.62</v>
      </c>
      <c r="F8" s="45" t="n">
        <f aca="false">IF(ISNUMBER(FIND("SALDO ANTERIOR",C8)),0,IF(ISNUMBER(FIND("SALDO DO DIA",C8)),0,IF(ISNUMBER(FIND("SALDO PARCIAL",C8)),0,IF(ISNUMBER(FIND("SDO CTA/APL AUTOMATICAS",C8)),0,IF(ISNUMBER(FIND("APL APLIC AUT MAIS",C8)),0,IF(ISNUMBER(FIND("TEC DEPOSITO",C8)),0,IF(E8&gt;0,0,E8*(-1))))))))</f>
        <v>22.62</v>
      </c>
      <c r="G8" s="46" t="n">
        <f aca="false">IF(ISNUMBER(FIND("SALDO ANTERIOR",C8)),0,IF(ISNUMBER(FIND("SALDO DO DIA",C8)),0,IF(ISNUMBER(FIND("SDO CTA/APL AUTOMATICAS",C8)),0,IF(ISNUMBER(FIND("TEC DEPOSITO",C8)),0,IF(ISNUMBER(FIND("APL APLIC AUT MAIS",C8)),E8,IF(E8&gt;0,E8,0))))))</f>
        <v>0</v>
      </c>
      <c r="H8" s="47" t="n">
        <v>44197</v>
      </c>
    </row>
    <row r="9" customFormat="false" ht="13.8" hidden="false" customHeight="false" outlineLevel="0" collapsed="false">
      <c r="A9" s="40" t="s">
        <v>64</v>
      </c>
      <c r="B9" s="41" t="s">
        <v>54</v>
      </c>
      <c r="C9" s="48" t="s">
        <v>65</v>
      </c>
      <c r="D9" s="43" t="s">
        <v>56</v>
      </c>
      <c r="E9" s="49" t="n">
        <v>-4.38</v>
      </c>
      <c r="F9" s="45" t="n">
        <f aca="false">IF(ISNUMBER(FIND("SALDO ANTERIOR",C9)),0,IF(ISNUMBER(FIND("SALDO DO DIA",C9)),0,IF(ISNUMBER(FIND("SALDO PARCIAL",C9)),0,IF(ISNUMBER(FIND("SDO CTA/APL AUTOMATICAS",C9)),0,IF(ISNUMBER(FIND("APL APLIC AUT MAIS",C9)),0,IF(ISNUMBER(FIND("TEC DEPOSITO",C9)),0,IF(E9&gt;0,0,E9*(-1))))))))</f>
        <v>4.38</v>
      </c>
      <c r="G9" s="46" t="n">
        <f aca="false">IF(ISNUMBER(FIND("SALDO ANTERIOR",C9)),0,IF(ISNUMBER(FIND("SALDO DO DIA",C9)),0,IF(ISNUMBER(FIND("SDO CTA/APL AUTOMATICAS",C9)),0,IF(ISNUMBER(FIND("TEC DEPOSITO",C9)),0,IF(ISNUMBER(FIND("APL APLIC AUT MAIS",C9)),E9,IF(E9&gt;0,E9,0))))))</f>
        <v>0</v>
      </c>
      <c r="H9" s="47" t="n">
        <v>44197</v>
      </c>
    </row>
    <row r="10" customFormat="false" ht="13.8" hidden="false" customHeight="false" outlineLevel="0" collapsed="false">
      <c r="A10" s="40" t="s">
        <v>66</v>
      </c>
      <c r="B10" s="41" t="s">
        <v>54</v>
      </c>
      <c r="C10" s="48" t="s">
        <v>67</v>
      </c>
      <c r="D10" s="43"/>
      <c r="E10" s="49" t="n">
        <v>-5.73</v>
      </c>
      <c r="F10" s="45" t="n">
        <f aca="false">IF(ISNUMBER(FIND("SALDO ANTERIOR",C10)),0,IF(ISNUMBER(FIND("SALDO DO DIA",C10)),0,IF(ISNUMBER(FIND("SALDO PARCIAL",C10)),0,IF(ISNUMBER(FIND("SDO CTA/APL AUTOMATICAS",C10)),0,IF(ISNUMBER(FIND("APL APLIC AUT MAIS",C10)),0,IF(ISNUMBER(FIND("TEC DEPOSITO",C10)),0,IF(E10&gt;0,0,E10*(-1))))))))</f>
        <v>5.73</v>
      </c>
      <c r="G10" s="46" t="n">
        <f aca="false">IF(ISNUMBER(FIND("SALDO ANTERIOR",C10)),0,IF(ISNUMBER(FIND("SALDO DO DIA",C10)),0,IF(ISNUMBER(FIND("SDO CTA/APL AUTOMATICAS",C10)),0,IF(ISNUMBER(FIND("TEC DEPOSITO",C10)),0,IF(ISNUMBER(FIND("APL APLIC AUT MAIS",C10)),E10,IF(E10&gt;0,E10,0))))))</f>
        <v>0</v>
      </c>
      <c r="H10" s="47" t="n">
        <v>44197</v>
      </c>
    </row>
    <row r="11" customFormat="false" ht="15" hidden="false" customHeight="false" outlineLevel="0" collapsed="false">
      <c r="A11" s="40" t="s">
        <v>31</v>
      </c>
      <c r="B11" s="41" t="s">
        <v>54</v>
      </c>
      <c r="C11" s="42" t="s">
        <v>68</v>
      </c>
      <c r="D11" s="43"/>
      <c r="E11" s="44" t="n">
        <v>-1369.56</v>
      </c>
      <c r="F11" s="45" t="n">
        <f aca="false">IF(ISNUMBER(FIND("SALDO ANTERIOR",C11)),0,IF(ISNUMBER(FIND("SALDO DO DIA",C11)),0,IF(ISNUMBER(FIND("SALDO PARCIAL",C11)),0,IF(ISNUMBER(FIND("SDO CTA/APL AUTOMATICAS",C11)),0,IF(ISNUMBER(FIND("APL APLIC AUT MAIS",C11)),0,IF(ISNUMBER(FIND("TEC DEPOSITO",C11)),0,IF(E11&gt;0,0,E11*(-1))))))))</f>
        <v>0</v>
      </c>
      <c r="G11" s="46" t="n">
        <f aca="false">IF(ISNUMBER(FIND("SALDO ANTERIOR",C11)),0,IF(ISNUMBER(FIND("SALDO DO DIA",C11)),0,IF(ISNUMBER(FIND("SDO CTA/APL AUTOMATICAS",C11)),0,IF(ISNUMBER(FIND("TEC DEPOSITO",C11)),0,IF(ISNUMBER(FIND("APL APLIC AUT MAIS",C11)),E11,IF(E11&gt;0,E11,0))))))</f>
        <v>0</v>
      </c>
      <c r="H11" s="47" t="n">
        <v>44197</v>
      </c>
    </row>
    <row r="12" customFormat="false" ht="13.8" hidden="false" customHeight="false" outlineLevel="0" collapsed="false">
      <c r="A12" s="40" t="s">
        <v>69</v>
      </c>
      <c r="B12" s="41" t="s">
        <v>70</v>
      </c>
      <c r="C12" s="48" t="s">
        <v>71</v>
      </c>
      <c r="D12" s="43" t="s">
        <v>72</v>
      </c>
      <c r="E12" s="49" t="n">
        <v>-422</v>
      </c>
      <c r="F12" s="45" t="n">
        <f aca="false">IF(ISNUMBER(FIND("SALDO ANTERIOR",C12)),0,IF(ISNUMBER(FIND("SALDO DO DIA",C12)),0,IF(ISNUMBER(FIND("SALDO PARCIAL",C12)),0,IF(ISNUMBER(FIND("SDO CTA/APL AUTOMATICAS",C12)),0,IF(ISNUMBER(FIND("APL APLIC AUT MAIS",C12)),0,IF(ISNUMBER(FIND("TEC DEPOSITO",C12)),0,IF(E12&gt;0,0,E12*(-1))))))))</f>
        <v>422</v>
      </c>
      <c r="G12" s="46" t="n">
        <f aca="false">IF(ISNUMBER(FIND("SALDO ANTERIOR",C12)),0,IF(ISNUMBER(FIND("SALDO DO DIA",C12)),0,IF(ISNUMBER(FIND("SDO CTA/APL AUTOMATICAS",C12)),0,IF(ISNUMBER(FIND("TEC DEPOSITO",C12)),0,IF(ISNUMBER(FIND("APL APLIC AUT MAIS",C12)),E12,IF(E12&gt;0,E12,0))))))</f>
        <v>0</v>
      </c>
      <c r="H12" s="47" t="n">
        <v>44197</v>
      </c>
    </row>
    <row r="13" customFormat="false" ht="13.8" hidden="false" customHeight="false" outlineLevel="0" collapsed="false">
      <c r="A13" s="40" t="s">
        <v>73</v>
      </c>
      <c r="B13" s="41" t="s">
        <v>70</v>
      </c>
      <c r="C13" s="48" t="s">
        <v>74</v>
      </c>
      <c r="D13" s="43"/>
      <c r="E13" s="49" t="n">
        <v>-26.09</v>
      </c>
      <c r="F13" s="45" t="n">
        <f aca="false">IF(ISNUMBER(FIND("SALDO ANTERIOR",C13)),0,IF(ISNUMBER(FIND("SALDO DO DIA",C13)),0,IF(ISNUMBER(FIND("SALDO PARCIAL",C13)),0,IF(ISNUMBER(FIND("SDO CTA/APL AUTOMATICAS",C13)),0,IF(ISNUMBER(FIND("APL APLIC AUT MAIS",C13)),0,IF(ISNUMBER(FIND("TEC DEPOSITO",C13)),0,IF(E13&gt;0,0,E13*(-1))))))))</f>
        <v>26.09</v>
      </c>
      <c r="G13" s="46" t="n">
        <f aca="false">IF(ISNUMBER(FIND("SALDO ANTERIOR",C13)),0,IF(ISNUMBER(FIND("SALDO DO DIA",C13)),0,IF(ISNUMBER(FIND("SDO CTA/APL AUTOMATICAS",C13)),0,IF(ISNUMBER(FIND("TEC DEPOSITO",C13)),0,IF(ISNUMBER(FIND("APL APLIC AUT MAIS",C13)),E13,IF(E13&gt;0,E13,0))))))</f>
        <v>0</v>
      </c>
      <c r="H13" s="47" t="n">
        <v>44197</v>
      </c>
    </row>
    <row r="14" customFormat="false" ht="13.8" hidden="false" customHeight="false" outlineLevel="0" collapsed="false">
      <c r="A14" s="40" t="s">
        <v>66</v>
      </c>
      <c r="B14" s="41" t="s">
        <v>70</v>
      </c>
      <c r="C14" s="48" t="s">
        <v>75</v>
      </c>
      <c r="D14" s="43" t="s">
        <v>76</v>
      </c>
      <c r="E14" s="49" t="n">
        <v>-79.5</v>
      </c>
      <c r="F14" s="45" t="n">
        <f aca="false">IF(ISNUMBER(FIND("SALDO ANTERIOR",C14)),0,IF(ISNUMBER(FIND("SALDO DO DIA",C14)),0,IF(ISNUMBER(FIND("SALDO PARCIAL",C14)),0,IF(ISNUMBER(FIND("SDO CTA/APL AUTOMATICAS",C14)),0,IF(ISNUMBER(FIND("APL APLIC AUT MAIS",C14)),0,IF(ISNUMBER(FIND("TEC DEPOSITO",C14)),0,IF(E14&gt;0,0,E14*(-1))))))))</f>
        <v>79.5</v>
      </c>
      <c r="G14" s="46" t="n">
        <f aca="false">IF(ISNUMBER(FIND("SALDO ANTERIOR",C14)),0,IF(ISNUMBER(FIND("SALDO DO DIA",C14)),0,IF(ISNUMBER(FIND("SDO CTA/APL AUTOMATICAS",C14)),0,IF(ISNUMBER(FIND("TEC DEPOSITO",C14)),0,IF(ISNUMBER(FIND("APL APLIC AUT MAIS",C14)),E14,IF(E14&gt;0,E14,0))))))</f>
        <v>0</v>
      </c>
      <c r="H14" s="47" t="n">
        <v>44197</v>
      </c>
    </row>
    <row r="15" customFormat="false" ht="15" hidden="false" customHeight="false" outlineLevel="0" collapsed="false">
      <c r="A15" s="40" t="s">
        <v>31</v>
      </c>
      <c r="B15" s="41" t="s">
        <v>70</v>
      </c>
      <c r="C15" s="42" t="s">
        <v>68</v>
      </c>
      <c r="D15" s="43"/>
      <c r="E15" s="44" t="n">
        <v>-1897.15</v>
      </c>
      <c r="F15" s="45" t="n">
        <f aca="false">IF(ISNUMBER(FIND("SALDO ANTERIOR",C15)),0,IF(ISNUMBER(FIND("SALDO DO DIA",C15)),0,IF(ISNUMBER(FIND("SALDO PARCIAL",C15)),0,IF(ISNUMBER(FIND("SDO CTA/APL AUTOMATICAS",C15)),0,IF(ISNUMBER(FIND("APL APLIC AUT MAIS",C15)),0,IF(ISNUMBER(FIND("TEC DEPOSITO",C15)),0,IF(E15&gt;0,0,E15*(-1))))))))</f>
        <v>0</v>
      </c>
      <c r="G15" s="46" t="n">
        <f aca="false">IF(ISNUMBER(FIND("SALDO ANTERIOR",C15)),0,IF(ISNUMBER(FIND("SALDO DO DIA",C15)),0,IF(ISNUMBER(FIND("SDO CTA/APL AUTOMATICAS",C15)),0,IF(ISNUMBER(FIND("TEC DEPOSITO",C15)),0,IF(ISNUMBER(FIND("APL APLIC AUT MAIS",C15)),E15,IF(E15&gt;0,E15,0))))))</f>
        <v>0</v>
      </c>
      <c r="H15" s="47" t="n">
        <v>44197</v>
      </c>
    </row>
    <row r="16" customFormat="false" ht="13.8" hidden="false" customHeight="false" outlineLevel="0" collapsed="false">
      <c r="A16" s="40" t="s">
        <v>77</v>
      </c>
      <c r="B16" s="41" t="s">
        <v>78</v>
      </c>
      <c r="C16" s="48" t="s">
        <v>79</v>
      </c>
      <c r="D16" s="43" t="s">
        <v>56</v>
      </c>
      <c r="E16" s="49" t="n">
        <v>-10</v>
      </c>
      <c r="F16" s="45" t="n">
        <f aca="false">IF(ISNUMBER(FIND("SALDO ANTERIOR",C16)),0,IF(ISNUMBER(FIND("SALDO DO DIA",C16)),0,IF(ISNUMBER(FIND("SALDO PARCIAL",C16)),0,IF(ISNUMBER(FIND("SDO CTA/APL AUTOMATICAS",C16)),0,IF(ISNUMBER(FIND("APL APLIC AUT MAIS",C16)),0,IF(ISNUMBER(FIND("TEC DEPOSITO",C16)),0,IF(E16&gt;0,0,E16*(-1))))))))</f>
        <v>10</v>
      </c>
      <c r="G16" s="46" t="n">
        <f aca="false">IF(ISNUMBER(FIND("SALDO ANTERIOR",C16)),0,IF(ISNUMBER(FIND("SALDO DO DIA",C16)),0,IF(ISNUMBER(FIND("SDO CTA/APL AUTOMATICAS",C16)),0,IF(ISNUMBER(FIND("TEC DEPOSITO",C16)),0,IF(ISNUMBER(FIND("APL APLIC AUT MAIS",C16)),E16,IF(E16&gt;0,E16,0))))))</f>
        <v>0</v>
      </c>
      <c r="H16" s="47" t="n">
        <v>44197</v>
      </c>
    </row>
    <row r="17" customFormat="false" ht="13.8" hidden="false" customHeight="false" outlineLevel="0" collapsed="false">
      <c r="A17" s="40" t="s">
        <v>57</v>
      </c>
      <c r="B17" s="41" t="s">
        <v>78</v>
      </c>
      <c r="C17" s="48" t="s">
        <v>58</v>
      </c>
      <c r="D17" s="43" t="s">
        <v>56</v>
      </c>
      <c r="E17" s="49" t="n">
        <v>-21.99</v>
      </c>
      <c r="F17" s="45" t="n">
        <f aca="false">IF(ISNUMBER(FIND("SALDO ANTERIOR",C17)),0,IF(ISNUMBER(FIND("SALDO DO DIA",C17)),0,IF(ISNUMBER(FIND("SALDO PARCIAL",C17)),0,IF(ISNUMBER(FIND("SDO CTA/APL AUTOMATICAS",C17)),0,IF(ISNUMBER(FIND("APL APLIC AUT MAIS",C17)),0,IF(ISNUMBER(FIND("TEC DEPOSITO",C17)),0,IF(E17&gt;0,0,E17*(-1))))))))</f>
        <v>21.99</v>
      </c>
      <c r="G17" s="46" t="n">
        <f aca="false">IF(ISNUMBER(FIND("SALDO ANTERIOR",C17)),0,IF(ISNUMBER(FIND("SALDO DO DIA",C17)),0,IF(ISNUMBER(FIND("SDO CTA/APL AUTOMATICAS",C17)),0,IF(ISNUMBER(FIND("TEC DEPOSITO",C17)),0,IF(ISNUMBER(FIND("APL APLIC AUT MAIS",C17)),E17,IF(E17&gt;0,E17,0))))))</f>
        <v>0</v>
      </c>
      <c r="H17" s="47" t="n">
        <v>44197</v>
      </c>
    </row>
    <row r="18" customFormat="false" ht="15" hidden="false" customHeight="false" outlineLevel="0" collapsed="false">
      <c r="A18" s="40" t="s">
        <v>31</v>
      </c>
      <c r="B18" s="41" t="s">
        <v>78</v>
      </c>
      <c r="C18" s="42" t="s">
        <v>68</v>
      </c>
      <c r="D18" s="43"/>
      <c r="E18" s="44" t="n">
        <v>-1929.14</v>
      </c>
      <c r="F18" s="45" t="n">
        <f aca="false">IF(ISNUMBER(FIND("SALDO ANTERIOR",C18)),0,IF(ISNUMBER(FIND("SALDO DO DIA",C18)),0,IF(ISNUMBER(FIND("SALDO PARCIAL",C18)),0,IF(ISNUMBER(FIND("SDO CTA/APL AUTOMATICAS",C18)),0,IF(ISNUMBER(FIND("APL APLIC AUT MAIS",C18)),0,IF(ISNUMBER(FIND("TEC DEPOSITO",C18)),0,IF(E18&gt;0,0,E18*(-1))))))))</f>
        <v>0</v>
      </c>
      <c r="G18" s="46" t="n">
        <f aca="false">IF(ISNUMBER(FIND("SALDO ANTERIOR",C18)),0,IF(ISNUMBER(FIND("SALDO DO DIA",C18)),0,IF(ISNUMBER(FIND("SDO CTA/APL AUTOMATICAS",C18)),0,IF(ISNUMBER(FIND("TEC DEPOSITO",C18)),0,IF(ISNUMBER(FIND("APL APLIC AUT MAIS",C18)),E18,IF(E18&gt;0,E18,0))))))</f>
        <v>0</v>
      </c>
      <c r="H18" s="47" t="n">
        <v>44197</v>
      </c>
    </row>
    <row r="19" customFormat="false" ht="13.8" hidden="false" customHeight="false" outlineLevel="0" collapsed="false">
      <c r="A19" s="40" t="s">
        <v>80</v>
      </c>
      <c r="B19" s="41" t="s">
        <v>81</v>
      </c>
      <c r="C19" s="48" t="s">
        <v>82</v>
      </c>
      <c r="D19" s="43" t="s">
        <v>72</v>
      </c>
      <c r="E19" s="49" t="n">
        <v>-97.1</v>
      </c>
      <c r="F19" s="45" t="n">
        <f aca="false">IF(ISNUMBER(FIND("SALDO ANTERIOR",C19)),0,IF(ISNUMBER(FIND("SALDO DO DIA",C19)),0,IF(ISNUMBER(FIND("SALDO PARCIAL",C19)),0,IF(ISNUMBER(FIND("SDO CTA/APL AUTOMATICAS",C19)),0,IF(ISNUMBER(FIND("APL APLIC AUT MAIS",C19)),0,IF(ISNUMBER(FIND("TEC DEPOSITO",C19)),0,IF(E19&gt;0,0,E19*(-1))))))))</f>
        <v>97.1</v>
      </c>
      <c r="G19" s="46" t="n">
        <f aca="false">IF(ISNUMBER(FIND("SALDO ANTERIOR",C19)),0,IF(ISNUMBER(FIND("SALDO DO DIA",C19)),0,IF(ISNUMBER(FIND("SDO CTA/APL AUTOMATICAS",C19)),0,IF(ISNUMBER(FIND("TEC DEPOSITO",C19)),0,IF(ISNUMBER(FIND("APL APLIC AUT MAIS",C19)),E19,IF(E19&gt;0,E19,0))))))</f>
        <v>0</v>
      </c>
      <c r="H19" s="47" t="n">
        <v>44197</v>
      </c>
    </row>
    <row r="20" customFormat="false" ht="13.8" hidden="false" customHeight="false" outlineLevel="0" collapsed="false">
      <c r="A20" s="40" t="s">
        <v>80</v>
      </c>
      <c r="B20" s="41" t="s">
        <v>81</v>
      </c>
      <c r="C20" s="48" t="s">
        <v>83</v>
      </c>
      <c r="D20" s="43" t="s">
        <v>72</v>
      </c>
      <c r="E20" s="49" t="n">
        <v>-61.5</v>
      </c>
      <c r="F20" s="45" t="n">
        <f aca="false">IF(ISNUMBER(FIND("SALDO ANTERIOR",C20)),0,IF(ISNUMBER(FIND("SALDO DO DIA",C20)),0,IF(ISNUMBER(FIND("SALDO PARCIAL",C20)),0,IF(ISNUMBER(FIND("SDO CTA/APL AUTOMATICAS",C20)),0,IF(ISNUMBER(FIND("APL APLIC AUT MAIS",C20)),0,IF(ISNUMBER(FIND("TEC DEPOSITO",C20)),0,IF(E20&gt;0,0,E20*(-1))))))))</f>
        <v>61.5</v>
      </c>
      <c r="G20" s="46" t="n">
        <f aca="false">IF(ISNUMBER(FIND("SALDO ANTERIOR",C20)),0,IF(ISNUMBER(FIND("SALDO DO DIA",C20)),0,IF(ISNUMBER(FIND("SDO CTA/APL AUTOMATICAS",C20)),0,IF(ISNUMBER(FIND("TEC DEPOSITO",C20)),0,IF(ISNUMBER(FIND("APL APLIC AUT MAIS",C20)),E20,IF(E20&gt;0,E20,0))))))</f>
        <v>0</v>
      </c>
      <c r="H20" s="47" t="n">
        <v>44197</v>
      </c>
    </row>
    <row r="21" customFormat="false" ht="13.8" hidden="false" customHeight="false" outlineLevel="0" collapsed="false">
      <c r="A21" s="40" t="s">
        <v>59</v>
      </c>
      <c r="B21" s="41" t="s">
        <v>81</v>
      </c>
      <c r="C21" s="48" t="s">
        <v>84</v>
      </c>
      <c r="D21" s="43" t="s">
        <v>56</v>
      </c>
      <c r="E21" s="49" t="n">
        <v>-9.85</v>
      </c>
      <c r="F21" s="45" t="n">
        <f aca="false">IF(ISNUMBER(FIND("SALDO ANTERIOR",C21)),0,IF(ISNUMBER(FIND("SALDO DO DIA",C21)),0,IF(ISNUMBER(FIND("SALDO PARCIAL",C21)),0,IF(ISNUMBER(FIND("SDO CTA/APL AUTOMATICAS",C21)),0,IF(ISNUMBER(FIND("APL APLIC AUT MAIS",C21)),0,IF(ISNUMBER(FIND("TEC DEPOSITO",C21)),0,IF(E21&gt;0,0,E21*(-1))))))))</f>
        <v>9.85</v>
      </c>
      <c r="G21" s="46" t="n">
        <f aca="false">IF(ISNUMBER(FIND("SALDO ANTERIOR",C21)),0,IF(ISNUMBER(FIND("SALDO DO DIA",C21)),0,IF(ISNUMBER(FIND("SDO CTA/APL AUTOMATICAS",C21)),0,IF(ISNUMBER(FIND("TEC DEPOSITO",C21)),0,IF(ISNUMBER(FIND("APL APLIC AUT MAIS",C21)),E21,IF(E21&gt;0,E21,0))))))</f>
        <v>0</v>
      </c>
      <c r="H21" s="47" t="n">
        <v>44197</v>
      </c>
    </row>
    <row r="22" customFormat="false" ht="13.8" hidden="false" customHeight="false" outlineLevel="0" collapsed="false">
      <c r="A22" s="40" t="s">
        <v>85</v>
      </c>
      <c r="B22" s="41" t="s">
        <v>81</v>
      </c>
      <c r="C22" s="48" t="s">
        <v>86</v>
      </c>
      <c r="D22" s="43"/>
      <c r="E22" s="50" t="n">
        <v>422.21</v>
      </c>
      <c r="F22" s="45" t="n">
        <f aca="false">IF(ISNUMBER(FIND("SALDO ANTERIOR",C22)),0,IF(ISNUMBER(FIND("SALDO DO DIA",C22)),0,IF(ISNUMBER(FIND("SALDO PARCIAL",C22)),0,IF(ISNUMBER(FIND("SDO CTA/APL AUTOMATICAS",C22)),0,IF(ISNUMBER(FIND("APL APLIC AUT MAIS",C22)),0,IF(ISNUMBER(FIND("TEC DEPOSITO",C22)),0,IF(E22&gt;0,0,E22*(-1))))))))</f>
        <v>0</v>
      </c>
      <c r="G22" s="46" t="n">
        <f aca="false">IF(ISNUMBER(FIND("SALDO ANTERIOR",C22)),0,IF(ISNUMBER(FIND("SALDO DO DIA",C22)),0,IF(ISNUMBER(FIND("SDO CTA/APL AUTOMATICAS",C22)),0,IF(ISNUMBER(FIND("TEC DEPOSITO",C22)),0,IF(ISNUMBER(FIND("APL APLIC AUT MAIS",C22)),E22,IF(E22&gt;0,E22,0))))))</f>
        <v>422.21</v>
      </c>
      <c r="H22" s="47" t="n">
        <v>44197</v>
      </c>
    </row>
    <row r="23" customFormat="false" ht="15" hidden="false" customHeight="false" outlineLevel="0" collapsed="false">
      <c r="A23" s="40" t="s">
        <v>31</v>
      </c>
      <c r="B23" s="41" t="s">
        <v>81</v>
      </c>
      <c r="C23" s="42" t="s">
        <v>68</v>
      </c>
      <c r="D23" s="43"/>
      <c r="E23" s="44" t="n">
        <v>-1675.38</v>
      </c>
      <c r="F23" s="45" t="n">
        <f aca="false">IF(ISNUMBER(FIND("SALDO ANTERIOR",C23)),0,IF(ISNUMBER(FIND("SALDO DO DIA",C23)),0,IF(ISNUMBER(FIND("SALDO PARCIAL",C23)),0,IF(ISNUMBER(FIND("SDO CTA/APL AUTOMATICAS",C23)),0,IF(ISNUMBER(FIND("APL APLIC AUT MAIS",C23)),0,IF(ISNUMBER(FIND("TEC DEPOSITO",C23)),0,IF(E23&gt;0,0,E23*(-1))))))))</f>
        <v>0</v>
      </c>
      <c r="G23" s="46" t="n">
        <f aca="false">IF(ISNUMBER(FIND("SALDO ANTERIOR",C23)),0,IF(ISNUMBER(FIND("SALDO DO DIA",C23)),0,IF(ISNUMBER(FIND("SDO CTA/APL AUTOMATICAS",C23)),0,IF(ISNUMBER(FIND("TEC DEPOSITO",C23)),0,IF(ISNUMBER(FIND("APL APLIC AUT MAIS",C23)),E23,IF(E23&gt;0,E23,0))))))</f>
        <v>0</v>
      </c>
      <c r="H23" s="47" t="n">
        <v>44197</v>
      </c>
    </row>
    <row r="24" customFormat="false" ht="13.8" hidden="false" customHeight="false" outlineLevel="0" collapsed="false">
      <c r="A24" s="51" t="s">
        <v>87</v>
      </c>
      <c r="B24" s="41" t="s">
        <v>88</v>
      </c>
      <c r="C24" s="48" t="s">
        <v>89</v>
      </c>
      <c r="D24" s="43" t="s">
        <v>72</v>
      </c>
      <c r="E24" s="49" t="n">
        <v>-464.17</v>
      </c>
      <c r="F24" s="45" t="n">
        <f aca="false">IF(ISNUMBER(FIND("SALDO ANTERIOR",C24)),0,IF(ISNUMBER(FIND("SALDO DO DIA",C24)),0,IF(ISNUMBER(FIND("SALDO PARCIAL",C24)),0,IF(ISNUMBER(FIND("SDO CTA/APL AUTOMATICAS",C24)),0,IF(ISNUMBER(FIND("APL APLIC AUT MAIS",C24)),0,IF(ISNUMBER(FIND("TEC DEPOSITO",C24)),0,IF(E24&gt;0,0,E24*(-1))))))))</f>
        <v>464.17</v>
      </c>
      <c r="G24" s="46" t="n">
        <f aca="false">IF(ISNUMBER(FIND("SALDO ANTERIOR",C24)),0,IF(ISNUMBER(FIND("SALDO DO DIA",C24)),0,IF(ISNUMBER(FIND("SDO CTA/APL AUTOMATICAS",C24)),0,IF(ISNUMBER(FIND("TEC DEPOSITO",C24)),0,IF(ISNUMBER(FIND("APL APLIC AUT MAIS",C24)),E24,IF(E24&gt;0,E24,0))))))</f>
        <v>0</v>
      </c>
      <c r="H24" s="47" t="n">
        <v>44197</v>
      </c>
    </row>
    <row r="25" customFormat="false" ht="13.8" hidden="false" customHeight="false" outlineLevel="0" collapsed="false">
      <c r="A25" s="40" t="s">
        <v>59</v>
      </c>
      <c r="B25" s="41" t="s">
        <v>88</v>
      </c>
      <c r="C25" s="48" t="s">
        <v>90</v>
      </c>
      <c r="D25" s="43" t="s">
        <v>91</v>
      </c>
      <c r="E25" s="49" t="n">
        <v>-50</v>
      </c>
      <c r="F25" s="45" t="n">
        <f aca="false">IF(ISNUMBER(FIND("SALDO ANTERIOR",C25)),0,IF(ISNUMBER(FIND("SALDO DO DIA",C25)),0,IF(ISNUMBER(FIND("SALDO PARCIAL",C25)),0,IF(ISNUMBER(FIND("SDO CTA/APL AUTOMATICAS",C25)),0,IF(ISNUMBER(FIND("APL APLIC AUT MAIS",C25)),0,IF(ISNUMBER(FIND("TEC DEPOSITO",C25)),0,IF(E25&gt;0,0,E25*(-1))))))))</f>
        <v>50</v>
      </c>
      <c r="G25" s="46" t="n">
        <f aca="false">IF(ISNUMBER(FIND("SALDO ANTERIOR",C25)),0,IF(ISNUMBER(FIND("SALDO DO DIA",C25)),0,IF(ISNUMBER(FIND("SDO CTA/APL AUTOMATICAS",C25)),0,IF(ISNUMBER(FIND("TEC DEPOSITO",C25)),0,IF(ISNUMBER(FIND("APL APLIC AUT MAIS",C25)),E25,IF(E25&gt;0,E25,0))))))</f>
        <v>0</v>
      </c>
      <c r="H25" s="47" t="n">
        <v>44197</v>
      </c>
    </row>
    <row r="26" customFormat="false" ht="13.8" hidden="false" customHeight="false" outlineLevel="0" collapsed="false">
      <c r="A26" s="40" t="s">
        <v>92</v>
      </c>
      <c r="B26" s="41" t="s">
        <v>88</v>
      </c>
      <c r="C26" s="48" t="s">
        <v>93</v>
      </c>
      <c r="D26" s="43" t="s">
        <v>72</v>
      </c>
      <c r="E26" s="49" t="n">
        <v>-43.64</v>
      </c>
      <c r="F26" s="45" t="n">
        <f aca="false">IF(ISNUMBER(FIND("SALDO ANTERIOR",C26)),0,IF(ISNUMBER(FIND("SALDO DO DIA",C26)),0,IF(ISNUMBER(FIND("SALDO PARCIAL",C26)),0,IF(ISNUMBER(FIND("SDO CTA/APL AUTOMATICAS",C26)),0,IF(ISNUMBER(FIND("APL APLIC AUT MAIS",C26)),0,IF(ISNUMBER(FIND("TEC DEPOSITO",C26)),0,IF(E26&gt;0,0,E26*(-1))))))))</f>
        <v>43.64</v>
      </c>
      <c r="G26" s="46" t="n">
        <f aca="false">IF(ISNUMBER(FIND("SALDO ANTERIOR",C26)),0,IF(ISNUMBER(FIND("SALDO DO DIA",C26)),0,IF(ISNUMBER(FIND("SDO CTA/APL AUTOMATICAS",C26)),0,IF(ISNUMBER(FIND("TEC DEPOSITO",C26)),0,IF(ISNUMBER(FIND("APL APLIC AUT MAIS",C26)),E26,IF(E26&gt;0,E26,0))))))</f>
        <v>0</v>
      </c>
      <c r="H26" s="47" t="n">
        <v>44197</v>
      </c>
    </row>
    <row r="27" customFormat="false" ht="13.8" hidden="false" customHeight="false" outlineLevel="0" collapsed="false">
      <c r="A27" s="40" t="s">
        <v>77</v>
      </c>
      <c r="B27" s="41" t="s">
        <v>88</v>
      </c>
      <c r="C27" s="48" t="s">
        <v>79</v>
      </c>
      <c r="D27" s="43" t="s">
        <v>56</v>
      </c>
      <c r="E27" s="49" t="n">
        <v>-10</v>
      </c>
      <c r="F27" s="45" t="n">
        <f aca="false">IF(ISNUMBER(FIND("SALDO ANTERIOR",C27)),0,IF(ISNUMBER(FIND("SALDO DO DIA",C27)),0,IF(ISNUMBER(FIND("SALDO PARCIAL",C27)),0,IF(ISNUMBER(FIND("SDO CTA/APL AUTOMATICAS",C27)),0,IF(ISNUMBER(FIND("APL APLIC AUT MAIS",C27)),0,IF(ISNUMBER(FIND("TEC DEPOSITO",C27)),0,IF(E27&gt;0,0,E27*(-1))))))))</f>
        <v>10</v>
      </c>
      <c r="G27" s="46" t="n">
        <f aca="false">IF(ISNUMBER(FIND("SALDO ANTERIOR",C27)),0,IF(ISNUMBER(FIND("SALDO DO DIA",C27)),0,IF(ISNUMBER(FIND("SDO CTA/APL AUTOMATICAS",C27)),0,IF(ISNUMBER(FIND("TEC DEPOSITO",C27)),0,IF(ISNUMBER(FIND("APL APLIC AUT MAIS",C27)),E27,IF(E27&gt;0,E27,0))))))</f>
        <v>0</v>
      </c>
      <c r="H27" s="47" t="n">
        <v>44197</v>
      </c>
    </row>
    <row r="28" customFormat="false" ht="13.8" hidden="false" customHeight="false" outlineLevel="0" collapsed="false">
      <c r="A28" s="40" t="s">
        <v>59</v>
      </c>
      <c r="B28" s="41" t="s">
        <v>88</v>
      </c>
      <c r="C28" s="48" t="s">
        <v>94</v>
      </c>
      <c r="D28" s="43" t="s">
        <v>56</v>
      </c>
      <c r="E28" s="49" t="n">
        <v>-71</v>
      </c>
      <c r="F28" s="45" t="n">
        <f aca="false">IF(ISNUMBER(FIND("SALDO ANTERIOR",C28)),0,IF(ISNUMBER(FIND("SALDO DO DIA",C28)),0,IF(ISNUMBER(FIND("SALDO PARCIAL",C28)),0,IF(ISNUMBER(FIND("SDO CTA/APL AUTOMATICAS",C28)),0,IF(ISNUMBER(FIND("APL APLIC AUT MAIS",C28)),0,IF(ISNUMBER(FIND("TEC DEPOSITO",C28)),0,IF(E28&gt;0,0,E28*(-1))))))))</f>
        <v>71</v>
      </c>
      <c r="G28" s="46" t="n">
        <f aca="false">IF(ISNUMBER(FIND("SALDO ANTERIOR",C28)),0,IF(ISNUMBER(FIND("SALDO DO DIA",C28)),0,IF(ISNUMBER(FIND("SDO CTA/APL AUTOMATICAS",C28)),0,IF(ISNUMBER(FIND("TEC DEPOSITO",C28)),0,IF(ISNUMBER(FIND("APL APLIC AUT MAIS",C28)),E28,IF(E28&gt;0,E28,0))))))</f>
        <v>0</v>
      </c>
      <c r="H28" s="47" t="n">
        <v>44197</v>
      </c>
    </row>
    <row r="29" customFormat="false" ht="13.8" hidden="false" customHeight="false" outlineLevel="0" collapsed="false">
      <c r="A29" s="40" t="s">
        <v>57</v>
      </c>
      <c r="B29" s="41" t="s">
        <v>88</v>
      </c>
      <c r="C29" s="48" t="s">
        <v>58</v>
      </c>
      <c r="D29" s="43" t="s">
        <v>56</v>
      </c>
      <c r="E29" s="49" t="n">
        <v>-39.58</v>
      </c>
      <c r="F29" s="45" t="n">
        <f aca="false">IF(ISNUMBER(FIND("SALDO ANTERIOR",C29)),0,IF(ISNUMBER(FIND("SALDO DO DIA",C29)),0,IF(ISNUMBER(FIND("SALDO PARCIAL",C29)),0,IF(ISNUMBER(FIND("SDO CTA/APL AUTOMATICAS",C29)),0,IF(ISNUMBER(FIND("APL APLIC AUT MAIS",C29)),0,IF(ISNUMBER(FIND("TEC DEPOSITO",C29)),0,IF(E29&gt;0,0,E29*(-1))))))))</f>
        <v>39.58</v>
      </c>
      <c r="G29" s="46" t="n">
        <f aca="false">IF(ISNUMBER(FIND("SALDO ANTERIOR",C29)),0,IF(ISNUMBER(FIND("SALDO DO DIA",C29)),0,IF(ISNUMBER(FIND("SDO CTA/APL AUTOMATICAS",C29)),0,IF(ISNUMBER(FIND("TEC DEPOSITO",C29)),0,IF(ISNUMBER(FIND("APL APLIC AUT MAIS",C29)),E29,IF(E29&gt;0,E29,0))))))</f>
        <v>0</v>
      </c>
      <c r="H29" s="47" t="n">
        <v>44197</v>
      </c>
    </row>
    <row r="30" customFormat="false" ht="13.8" hidden="false" customHeight="false" outlineLevel="0" collapsed="false">
      <c r="A30" s="40" t="s">
        <v>59</v>
      </c>
      <c r="B30" s="41" t="s">
        <v>88</v>
      </c>
      <c r="C30" s="48" t="s">
        <v>95</v>
      </c>
      <c r="D30" s="43" t="s">
        <v>56</v>
      </c>
      <c r="E30" s="49" t="n">
        <v>-10</v>
      </c>
      <c r="F30" s="45" t="n">
        <f aca="false">IF(ISNUMBER(FIND("SALDO ANTERIOR",C30)),0,IF(ISNUMBER(FIND("SALDO DO DIA",C30)),0,IF(ISNUMBER(FIND("SALDO PARCIAL",C30)),0,IF(ISNUMBER(FIND("SDO CTA/APL AUTOMATICAS",C30)),0,IF(ISNUMBER(FIND("APL APLIC AUT MAIS",C30)),0,IF(ISNUMBER(FIND("TEC DEPOSITO",C30)),0,IF(E30&gt;0,0,E30*(-1))))))))</f>
        <v>10</v>
      </c>
      <c r="G30" s="46" t="n">
        <f aca="false">IF(ISNUMBER(FIND("SALDO ANTERIOR",C30)),0,IF(ISNUMBER(FIND("SALDO DO DIA",C30)),0,IF(ISNUMBER(FIND("SDO CTA/APL AUTOMATICAS",C30)),0,IF(ISNUMBER(FIND("TEC DEPOSITO",C30)),0,IF(ISNUMBER(FIND("APL APLIC AUT MAIS",C30)),E30,IF(E30&gt;0,E30,0))))))</f>
        <v>0</v>
      </c>
      <c r="H30" s="47" t="n">
        <v>44197</v>
      </c>
    </row>
    <row r="31" customFormat="false" ht="13.8" hidden="false" customHeight="false" outlineLevel="0" collapsed="false">
      <c r="A31" s="40" t="s">
        <v>59</v>
      </c>
      <c r="B31" s="41" t="s">
        <v>88</v>
      </c>
      <c r="C31" s="48" t="s">
        <v>96</v>
      </c>
      <c r="D31" s="43" t="s">
        <v>56</v>
      </c>
      <c r="E31" s="49" t="n">
        <v>-21</v>
      </c>
      <c r="F31" s="45" t="n">
        <f aca="false">IF(ISNUMBER(FIND("SALDO ANTERIOR",C31)),0,IF(ISNUMBER(FIND("SALDO DO DIA",C31)),0,IF(ISNUMBER(FIND("SALDO PARCIAL",C31)),0,IF(ISNUMBER(FIND("SDO CTA/APL AUTOMATICAS",C31)),0,IF(ISNUMBER(FIND("APL APLIC AUT MAIS",C31)),0,IF(ISNUMBER(FIND("TEC DEPOSITO",C31)),0,IF(E31&gt;0,0,E31*(-1))))))))</f>
        <v>21</v>
      </c>
      <c r="G31" s="46" t="n">
        <f aca="false">IF(ISNUMBER(FIND("SALDO ANTERIOR",C31)),0,IF(ISNUMBER(FIND("SALDO DO DIA",C31)),0,IF(ISNUMBER(FIND("SDO CTA/APL AUTOMATICAS",C31)),0,IF(ISNUMBER(FIND("TEC DEPOSITO",C31)),0,IF(ISNUMBER(FIND("APL APLIC AUT MAIS",C31)),E31,IF(E31&gt;0,E31,0))))))</f>
        <v>0</v>
      </c>
      <c r="H31" s="47" t="n">
        <v>44197</v>
      </c>
    </row>
    <row r="32" customFormat="false" ht="13.8" hidden="false" customHeight="false" outlineLevel="0" collapsed="false">
      <c r="A32" s="40" t="s">
        <v>59</v>
      </c>
      <c r="B32" s="41" t="s">
        <v>88</v>
      </c>
      <c r="C32" s="48" t="s">
        <v>97</v>
      </c>
      <c r="D32" s="43" t="s">
        <v>56</v>
      </c>
      <c r="E32" s="49" t="n">
        <v>-14.5</v>
      </c>
      <c r="F32" s="45" t="n">
        <f aca="false">IF(ISNUMBER(FIND("SALDO ANTERIOR",C32)),0,IF(ISNUMBER(FIND("SALDO DO DIA",C32)),0,IF(ISNUMBER(FIND("SALDO PARCIAL",C32)),0,IF(ISNUMBER(FIND("SDO CTA/APL AUTOMATICAS",C32)),0,IF(ISNUMBER(FIND("APL APLIC AUT MAIS",C32)),0,IF(ISNUMBER(FIND("TEC DEPOSITO",C32)),0,IF(E32&gt;0,0,E32*(-1))))))))</f>
        <v>14.5</v>
      </c>
      <c r="G32" s="46" t="n">
        <f aca="false">IF(ISNUMBER(FIND("SALDO ANTERIOR",C32)),0,IF(ISNUMBER(FIND("SALDO DO DIA",C32)),0,IF(ISNUMBER(FIND("SDO CTA/APL AUTOMATICAS",C32)),0,IF(ISNUMBER(FIND("TEC DEPOSITO",C32)),0,IF(ISNUMBER(FIND("APL APLIC AUT MAIS",C32)),E32,IF(E32&gt;0,E32,0))))))</f>
        <v>0</v>
      </c>
      <c r="H32" s="47" t="n">
        <v>44197</v>
      </c>
    </row>
    <row r="33" customFormat="false" ht="13.8" hidden="false" customHeight="false" outlineLevel="0" collapsed="false">
      <c r="A33" s="40" t="s">
        <v>98</v>
      </c>
      <c r="B33" s="41" t="s">
        <v>88</v>
      </c>
      <c r="C33" s="48" t="s">
        <v>99</v>
      </c>
      <c r="D33" s="43" t="s">
        <v>56</v>
      </c>
      <c r="E33" s="49" t="n">
        <v>-8</v>
      </c>
      <c r="F33" s="45" t="n">
        <f aca="false">IF(ISNUMBER(FIND("SALDO ANTERIOR",C33)),0,IF(ISNUMBER(FIND("SALDO DO DIA",C33)),0,IF(ISNUMBER(FIND("SALDO PARCIAL",C33)),0,IF(ISNUMBER(FIND("SDO CTA/APL AUTOMATICAS",C33)),0,IF(ISNUMBER(FIND("APL APLIC AUT MAIS",C33)),0,IF(ISNUMBER(FIND("TEC DEPOSITO",C33)),0,IF(E33&gt;0,0,E33*(-1))))))))</f>
        <v>8</v>
      </c>
      <c r="G33" s="46" t="n">
        <f aca="false">IF(ISNUMBER(FIND("SALDO ANTERIOR",C33)),0,IF(ISNUMBER(FIND("SALDO DO DIA",C33)),0,IF(ISNUMBER(FIND("SDO CTA/APL AUTOMATICAS",C33)),0,IF(ISNUMBER(FIND("TEC DEPOSITO",C33)),0,IF(ISNUMBER(FIND("APL APLIC AUT MAIS",C33)),E33,IF(E33&gt;0,E33,0))))))</f>
        <v>0</v>
      </c>
      <c r="H33" s="47" t="n">
        <v>44197</v>
      </c>
    </row>
    <row r="34" customFormat="false" ht="13.8" hidden="false" customHeight="false" outlineLevel="0" collapsed="false">
      <c r="A34" s="40" t="s">
        <v>98</v>
      </c>
      <c r="B34" s="41" t="s">
        <v>88</v>
      </c>
      <c r="C34" s="48" t="s">
        <v>100</v>
      </c>
      <c r="D34" s="43" t="s">
        <v>56</v>
      </c>
      <c r="E34" s="49" t="n">
        <v>-6</v>
      </c>
      <c r="F34" s="45" t="n">
        <f aca="false">IF(ISNUMBER(FIND("SALDO ANTERIOR",C34)),0,IF(ISNUMBER(FIND("SALDO DO DIA",C34)),0,IF(ISNUMBER(FIND("SALDO PARCIAL",C34)),0,IF(ISNUMBER(FIND("SDO CTA/APL AUTOMATICAS",C34)),0,IF(ISNUMBER(FIND("APL APLIC AUT MAIS",C34)),0,IF(ISNUMBER(FIND("TEC DEPOSITO",C34)),0,IF(E34&gt;0,0,E34*(-1))))))))</f>
        <v>6</v>
      </c>
      <c r="G34" s="46" t="n">
        <f aca="false">IF(ISNUMBER(FIND("SALDO ANTERIOR",C34)),0,IF(ISNUMBER(FIND("SALDO DO DIA",C34)),0,IF(ISNUMBER(FIND("SDO CTA/APL AUTOMATICAS",C34)),0,IF(ISNUMBER(FIND("TEC DEPOSITO",C34)),0,IF(ISNUMBER(FIND("APL APLIC AUT MAIS",C34)),E34,IF(E34&gt;0,E34,0))))))</f>
        <v>0</v>
      </c>
      <c r="H34" s="47" t="n">
        <v>44197</v>
      </c>
    </row>
    <row r="35" customFormat="false" ht="13.8" hidden="false" customHeight="false" outlineLevel="0" collapsed="false">
      <c r="A35" s="40" t="s">
        <v>98</v>
      </c>
      <c r="B35" s="41" t="s">
        <v>88</v>
      </c>
      <c r="C35" s="48" t="s">
        <v>101</v>
      </c>
      <c r="D35" s="43" t="s">
        <v>56</v>
      </c>
      <c r="E35" s="49" t="n">
        <v>-8</v>
      </c>
      <c r="F35" s="45" t="n">
        <f aca="false">IF(ISNUMBER(FIND("SALDO ANTERIOR",C35)),0,IF(ISNUMBER(FIND("SALDO DO DIA",C35)),0,IF(ISNUMBER(FIND("SALDO PARCIAL",C35)),0,IF(ISNUMBER(FIND("SDO CTA/APL AUTOMATICAS",C35)),0,IF(ISNUMBER(FIND("APL APLIC AUT MAIS",C35)),0,IF(ISNUMBER(FIND("TEC DEPOSITO",C35)),0,IF(E35&gt;0,0,E35*(-1))))))))</f>
        <v>8</v>
      </c>
      <c r="G35" s="46" t="n">
        <f aca="false">IF(ISNUMBER(FIND("SALDO ANTERIOR",C35)),0,IF(ISNUMBER(FIND("SALDO DO DIA",C35)),0,IF(ISNUMBER(FIND("SDO CTA/APL AUTOMATICAS",C35)),0,IF(ISNUMBER(FIND("TEC DEPOSITO",C35)),0,IF(ISNUMBER(FIND("APL APLIC AUT MAIS",C35)),E35,IF(E35&gt;0,E35,0))))))</f>
        <v>0</v>
      </c>
      <c r="H35" s="47" t="n">
        <v>44197</v>
      </c>
    </row>
    <row r="36" customFormat="false" ht="13.8" hidden="false" customHeight="false" outlineLevel="0" collapsed="false">
      <c r="A36" s="40" t="s">
        <v>98</v>
      </c>
      <c r="B36" s="41" t="s">
        <v>88</v>
      </c>
      <c r="C36" s="48" t="s">
        <v>102</v>
      </c>
      <c r="D36" s="43" t="s">
        <v>56</v>
      </c>
      <c r="E36" s="49" t="n">
        <v>-5</v>
      </c>
      <c r="F36" s="45" t="n">
        <f aca="false">IF(ISNUMBER(FIND("SALDO ANTERIOR",C36)),0,IF(ISNUMBER(FIND("SALDO DO DIA",C36)),0,IF(ISNUMBER(FIND("SALDO PARCIAL",C36)),0,IF(ISNUMBER(FIND("SDO CTA/APL AUTOMATICAS",C36)),0,IF(ISNUMBER(FIND("APL APLIC AUT MAIS",C36)),0,IF(ISNUMBER(FIND("TEC DEPOSITO",C36)),0,IF(E36&gt;0,0,E36*(-1))))))))</f>
        <v>5</v>
      </c>
      <c r="G36" s="46" t="n">
        <f aca="false">IF(ISNUMBER(FIND("SALDO ANTERIOR",C36)),0,IF(ISNUMBER(FIND("SALDO DO DIA",C36)),0,IF(ISNUMBER(FIND("SDO CTA/APL AUTOMATICAS",C36)),0,IF(ISNUMBER(FIND("TEC DEPOSITO",C36)),0,IF(ISNUMBER(FIND("APL APLIC AUT MAIS",C36)),E36,IF(E36&gt;0,E36,0))))))</f>
        <v>0</v>
      </c>
      <c r="H36" s="47" t="n">
        <v>44197</v>
      </c>
    </row>
    <row r="37" customFormat="false" ht="13.8" hidden="false" customHeight="false" outlineLevel="0" collapsed="false">
      <c r="A37" s="40" t="s">
        <v>103</v>
      </c>
      <c r="B37" s="41" t="s">
        <v>88</v>
      </c>
      <c r="C37" s="48" t="s">
        <v>104</v>
      </c>
      <c r="D37" s="43" t="s">
        <v>56</v>
      </c>
      <c r="E37" s="49" t="n">
        <v>-50</v>
      </c>
      <c r="F37" s="45" t="n">
        <f aca="false">IF(ISNUMBER(FIND("SALDO ANTERIOR",C37)),0,IF(ISNUMBER(FIND("SALDO DO DIA",C37)),0,IF(ISNUMBER(FIND("SALDO PARCIAL",C37)),0,IF(ISNUMBER(FIND("SDO CTA/APL AUTOMATICAS",C37)),0,IF(ISNUMBER(FIND("APL APLIC AUT MAIS",C37)),0,IF(ISNUMBER(FIND("TEC DEPOSITO",C37)),0,IF(E37&gt;0,0,E37*(-1))))))))</f>
        <v>50</v>
      </c>
      <c r="G37" s="46" t="n">
        <f aca="false">IF(ISNUMBER(FIND("SALDO ANTERIOR",C37)),0,IF(ISNUMBER(FIND("SALDO DO DIA",C37)),0,IF(ISNUMBER(FIND("SDO CTA/APL AUTOMATICAS",C37)),0,IF(ISNUMBER(FIND("TEC DEPOSITO",C37)),0,IF(ISNUMBER(FIND("APL APLIC AUT MAIS",C37)),E37,IF(E37&gt;0,E37,0))))))</f>
        <v>0</v>
      </c>
      <c r="H37" s="47" t="n">
        <v>44197</v>
      </c>
    </row>
    <row r="38" customFormat="false" ht="13.8" hidden="false" customHeight="false" outlineLevel="0" collapsed="false">
      <c r="A38" s="52" t="s">
        <v>59</v>
      </c>
      <c r="B38" s="41" t="s">
        <v>88</v>
      </c>
      <c r="C38" s="48" t="s">
        <v>105</v>
      </c>
      <c r="D38" s="43" t="s">
        <v>56</v>
      </c>
      <c r="E38" s="49" t="n">
        <v>-64.34</v>
      </c>
      <c r="F38" s="45" t="n">
        <f aca="false">IF(ISNUMBER(FIND("SALDO ANTERIOR",C38)),0,IF(ISNUMBER(FIND("SALDO DO DIA",C38)),0,IF(ISNUMBER(FIND("SALDO PARCIAL",C38)),0,IF(ISNUMBER(FIND("SDO CTA/APL AUTOMATICAS",C38)),0,IF(ISNUMBER(FIND("APL APLIC AUT MAIS",C38)),0,IF(ISNUMBER(FIND("TEC DEPOSITO",C38)),0,IF(E38&gt;0,0,E38*(-1))))))))</f>
        <v>64.34</v>
      </c>
      <c r="G38" s="46" t="n">
        <f aca="false">IF(ISNUMBER(FIND("SALDO ANTERIOR",C38)),0,IF(ISNUMBER(FIND("SALDO DO DIA",C38)),0,IF(ISNUMBER(FIND("SDO CTA/APL AUTOMATICAS",C38)),0,IF(ISNUMBER(FIND("TEC DEPOSITO",C38)),0,IF(ISNUMBER(FIND("APL APLIC AUT MAIS",C38)),E38,IF(E38&gt;0,E38,0))))))</f>
        <v>0</v>
      </c>
      <c r="H38" s="47" t="n">
        <v>44197</v>
      </c>
    </row>
    <row r="39" customFormat="false" ht="13.8" hidden="false" customHeight="false" outlineLevel="0" collapsed="false">
      <c r="A39" s="53" t="s">
        <v>64</v>
      </c>
      <c r="B39" s="41" t="s">
        <v>88</v>
      </c>
      <c r="C39" s="48" t="s">
        <v>106</v>
      </c>
      <c r="D39" s="43" t="s">
        <v>56</v>
      </c>
      <c r="E39" s="49" t="n">
        <v>-81.46</v>
      </c>
      <c r="F39" s="45" t="n">
        <f aca="false">IF(ISNUMBER(FIND("SALDO ANTERIOR",C39)),0,IF(ISNUMBER(FIND("SALDO DO DIA",C39)),0,IF(ISNUMBER(FIND("SALDO PARCIAL",C39)),0,IF(ISNUMBER(FIND("SDO CTA/APL AUTOMATICAS",C39)),0,IF(ISNUMBER(FIND("APL APLIC AUT MAIS",C39)),0,IF(ISNUMBER(FIND("TEC DEPOSITO",C39)),0,IF(E39&gt;0,0,E39*(-1))))))))</f>
        <v>81.46</v>
      </c>
      <c r="G39" s="46" t="n">
        <f aca="false">IF(ISNUMBER(FIND("SALDO ANTERIOR",C39)),0,IF(ISNUMBER(FIND("SALDO DO DIA",C39)),0,IF(ISNUMBER(FIND("SDO CTA/APL AUTOMATICAS",C39)),0,IF(ISNUMBER(FIND("TEC DEPOSITO",C39)),0,IF(ISNUMBER(FIND("APL APLIC AUT MAIS",C39)),E39,IF(E39&gt;0,E39,0))))))</f>
        <v>0</v>
      </c>
      <c r="H39" s="47" t="n">
        <v>44197</v>
      </c>
    </row>
    <row r="40" customFormat="false" ht="13.8" hidden="false" customHeight="false" outlineLevel="0" collapsed="false">
      <c r="A40" s="53" t="s">
        <v>64</v>
      </c>
      <c r="B40" s="41" t="s">
        <v>88</v>
      </c>
      <c r="C40" s="48" t="s">
        <v>65</v>
      </c>
      <c r="D40" s="43" t="s">
        <v>56</v>
      </c>
      <c r="E40" s="49" t="n">
        <v>-51.43</v>
      </c>
      <c r="F40" s="45" t="n">
        <f aca="false">IF(ISNUMBER(FIND("SALDO ANTERIOR",C40)),0,IF(ISNUMBER(FIND("SALDO DO DIA",C40)),0,IF(ISNUMBER(FIND("SALDO PARCIAL",C40)),0,IF(ISNUMBER(FIND("SDO CTA/APL AUTOMATICAS",C40)),0,IF(ISNUMBER(FIND("APL APLIC AUT MAIS",C40)),0,IF(ISNUMBER(FIND("TEC DEPOSITO",C40)),0,IF(E40&gt;0,0,E40*(-1))))))))</f>
        <v>51.43</v>
      </c>
      <c r="G40" s="46" t="n">
        <f aca="false">IF(ISNUMBER(FIND("SALDO ANTERIOR",C40)),0,IF(ISNUMBER(FIND("SALDO DO DIA",C40)),0,IF(ISNUMBER(FIND("SDO CTA/APL AUTOMATICAS",C40)),0,IF(ISNUMBER(FIND("TEC DEPOSITO",C40)),0,IF(ISNUMBER(FIND("APL APLIC AUT MAIS",C40)),E40,IF(E40&gt;0,E40,0))))))</f>
        <v>0</v>
      </c>
      <c r="H40" s="47" t="n">
        <v>44197</v>
      </c>
    </row>
    <row r="41" customFormat="false" ht="13.8" hidden="false" customHeight="false" outlineLevel="0" collapsed="false">
      <c r="A41" s="45" t="s">
        <v>66</v>
      </c>
      <c r="B41" s="41" t="s">
        <v>88</v>
      </c>
      <c r="C41" s="48" t="s">
        <v>107</v>
      </c>
      <c r="D41" s="43" t="s">
        <v>76</v>
      </c>
      <c r="E41" s="49" t="n">
        <v>-6.61</v>
      </c>
      <c r="F41" s="45" t="n">
        <f aca="false">IF(ISNUMBER(FIND("SALDO ANTERIOR",C41)),0,IF(ISNUMBER(FIND("SALDO DO DIA",C41)),0,IF(ISNUMBER(FIND("SALDO PARCIAL",C41)),0,IF(ISNUMBER(FIND("SDO CTA/APL AUTOMATICAS",C41)),0,IF(ISNUMBER(FIND("APL APLIC AUT MAIS",C41)),0,IF(ISNUMBER(FIND("TEC DEPOSITO",C41)),0,IF(E41&gt;0,0,E41*(-1))))))))</f>
        <v>6.61</v>
      </c>
      <c r="G41" s="46" t="n">
        <f aca="false">IF(ISNUMBER(FIND("SALDO ANTERIOR",C41)),0,IF(ISNUMBER(FIND("SALDO DO DIA",C41)),0,IF(ISNUMBER(FIND("SDO CTA/APL AUTOMATICAS",C41)),0,IF(ISNUMBER(FIND("TEC DEPOSITO",C41)),0,IF(ISNUMBER(FIND("APL APLIC AUT MAIS",C41)),E41,IF(E41&gt;0,E41,0))))))</f>
        <v>0</v>
      </c>
      <c r="H41" s="47" t="n">
        <v>44197</v>
      </c>
    </row>
    <row r="42" customFormat="false" ht="13.8" hidden="false" customHeight="false" outlineLevel="0" collapsed="false">
      <c r="A42" s="53" t="s">
        <v>108</v>
      </c>
      <c r="B42" s="41" t="s">
        <v>88</v>
      </c>
      <c r="C42" s="48" t="s">
        <v>109</v>
      </c>
      <c r="D42" s="43" t="s">
        <v>76</v>
      </c>
      <c r="E42" s="49" t="n">
        <v>-75</v>
      </c>
      <c r="F42" s="45" t="n">
        <f aca="false">IF(ISNUMBER(FIND("SALDO ANTERIOR",C42)),0,IF(ISNUMBER(FIND("SALDO DO DIA",C42)),0,IF(ISNUMBER(FIND("SALDO PARCIAL",C42)),0,IF(ISNUMBER(FIND("SDO CTA/APL AUTOMATICAS",C42)),0,IF(ISNUMBER(FIND("APL APLIC AUT MAIS",C42)),0,IF(ISNUMBER(FIND("TEC DEPOSITO",C42)),0,IF(E42&gt;0,0,E42*(-1))))))))</f>
        <v>75</v>
      </c>
      <c r="G42" s="46" t="n">
        <f aca="false">IF(ISNUMBER(FIND("SALDO ANTERIOR",C42)),0,IF(ISNUMBER(FIND("SALDO DO DIA",C42)),0,IF(ISNUMBER(FIND("SDO CTA/APL AUTOMATICAS",C42)),0,IF(ISNUMBER(FIND("TEC DEPOSITO",C42)),0,IF(ISNUMBER(FIND("APL APLIC AUT MAIS",C42)),E42,IF(E42&gt;0,E42,0))))))</f>
        <v>0</v>
      </c>
      <c r="H42" s="47" t="n">
        <v>44197</v>
      </c>
    </row>
    <row r="43" customFormat="false" ht="15" hidden="false" customHeight="false" outlineLevel="0" collapsed="false">
      <c r="A43" s="53" t="s">
        <v>31</v>
      </c>
      <c r="B43" s="41" t="s">
        <v>88</v>
      </c>
      <c r="C43" s="42" t="s">
        <v>68</v>
      </c>
      <c r="D43" s="43"/>
      <c r="E43" s="44" t="n">
        <v>-2755.11</v>
      </c>
      <c r="F43" s="45" t="n">
        <f aca="false">IF(ISNUMBER(FIND("SALDO ANTERIOR",C43)),0,IF(ISNUMBER(FIND("SALDO DO DIA",C43)),0,IF(ISNUMBER(FIND("SALDO PARCIAL",C43)),0,IF(ISNUMBER(FIND("SDO CTA/APL AUTOMATICAS",C43)),0,IF(ISNUMBER(FIND("APL APLIC AUT MAIS",C43)),0,IF(ISNUMBER(FIND("TEC DEPOSITO",C43)),0,IF(E43&gt;0,0,E43*(-1))))))))</f>
        <v>0</v>
      </c>
      <c r="G43" s="46" t="n">
        <f aca="false">IF(ISNUMBER(FIND("SALDO ANTERIOR",C43)),0,IF(ISNUMBER(FIND("SALDO DO DIA",C43)),0,IF(ISNUMBER(FIND("SDO CTA/APL AUTOMATICAS",C43)),0,IF(ISNUMBER(FIND("TEC DEPOSITO",C43)),0,IF(ISNUMBER(FIND("APL APLIC AUT MAIS",C43)),E43,IF(E43&gt;0,E43,0))))))</f>
        <v>0</v>
      </c>
      <c r="H43" s="47" t="n">
        <v>44197</v>
      </c>
    </row>
    <row r="44" customFormat="false" ht="13.8" hidden="false" customHeight="false" outlineLevel="0" collapsed="false">
      <c r="A44" s="45" t="s">
        <v>57</v>
      </c>
      <c r="B44" s="41" t="s">
        <v>110</v>
      </c>
      <c r="C44" s="48" t="s">
        <v>111</v>
      </c>
      <c r="D44" s="43" t="s">
        <v>56</v>
      </c>
      <c r="E44" s="49" t="n">
        <v>-5.75</v>
      </c>
      <c r="F44" s="45" t="n">
        <f aca="false">IF(ISNUMBER(FIND("SALDO ANTERIOR",C44)),0,IF(ISNUMBER(FIND("SALDO DO DIA",C44)),0,IF(ISNUMBER(FIND("SALDO PARCIAL",C44)),0,IF(ISNUMBER(FIND("SDO CTA/APL AUTOMATICAS",C44)),0,IF(ISNUMBER(FIND("APL APLIC AUT MAIS",C44)),0,IF(ISNUMBER(FIND("TEC DEPOSITO",C44)),0,IF(E44&gt;0,0,E44*(-1))))))))</f>
        <v>5.75</v>
      </c>
      <c r="G44" s="46" t="n">
        <f aca="false">IF(ISNUMBER(FIND("SALDO ANTERIOR",C44)),0,IF(ISNUMBER(FIND("SALDO DO DIA",C44)),0,IF(ISNUMBER(FIND("SDO CTA/APL AUTOMATICAS",C44)),0,IF(ISNUMBER(FIND("TEC DEPOSITO",C44)),0,IF(ISNUMBER(FIND("APL APLIC AUT MAIS",C44)),E44,IF(E44&gt;0,E44,0))))))</f>
        <v>0</v>
      </c>
      <c r="H44" s="47" t="n">
        <v>44197</v>
      </c>
    </row>
    <row r="45" customFormat="false" ht="13.8" hidden="false" customHeight="false" outlineLevel="0" collapsed="false">
      <c r="A45" s="53" t="s">
        <v>64</v>
      </c>
      <c r="B45" s="41" t="s">
        <v>110</v>
      </c>
      <c r="C45" s="48" t="s">
        <v>112</v>
      </c>
      <c r="D45" s="43" t="s">
        <v>56</v>
      </c>
      <c r="E45" s="49" t="n">
        <v>-36.5</v>
      </c>
      <c r="F45" s="45" t="n">
        <f aca="false">IF(ISNUMBER(FIND("SALDO ANTERIOR",C45)),0,IF(ISNUMBER(FIND("SALDO DO DIA",C45)),0,IF(ISNUMBER(FIND("SALDO PARCIAL",C45)),0,IF(ISNUMBER(FIND("SDO CTA/APL AUTOMATICAS",C45)),0,IF(ISNUMBER(FIND("APL APLIC AUT MAIS",C45)),0,IF(ISNUMBER(FIND("TEC DEPOSITO",C45)),0,IF(E45&gt;0,0,E45*(-1))))))))</f>
        <v>36.5</v>
      </c>
      <c r="G45" s="46" t="n">
        <f aca="false">IF(ISNUMBER(FIND("SALDO ANTERIOR",C45)),0,IF(ISNUMBER(FIND("SALDO DO DIA",C45)),0,IF(ISNUMBER(FIND("SDO CTA/APL AUTOMATICAS",C45)),0,IF(ISNUMBER(FIND("TEC DEPOSITO",C45)),0,IF(ISNUMBER(FIND("APL APLIC AUT MAIS",C45)),E45,IF(E45&gt;0,E45,0))))))</f>
        <v>0</v>
      </c>
      <c r="H45" s="47" t="n">
        <v>44197</v>
      </c>
    </row>
    <row r="46" customFormat="false" ht="13.8" hidden="false" customHeight="false" outlineLevel="0" collapsed="false">
      <c r="A46" s="53" t="s">
        <v>64</v>
      </c>
      <c r="B46" s="41" t="s">
        <v>110</v>
      </c>
      <c r="C46" s="48" t="s">
        <v>113</v>
      </c>
      <c r="D46" s="43" t="s">
        <v>56</v>
      </c>
      <c r="E46" s="49" t="n">
        <v>-2</v>
      </c>
      <c r="F46" s="45" t="n">
        <f aca="false">IF(ISNUMBER(FIND("SALDO ANTERIOR",C46)),0,IF(ISNUMBER(FIND("SALDO DO DIA",C46)),0,IF(ISNUMBER(FIND("SALDO PARCIAL",C46)),0,IF(ISNUMBER(FIND("SDO CTA/APL AUTOMATICAS",C46)),0,IF(ISNUMBER(FIND("APL APLIC AUT MAIS",C46)),0,IF(ISNUMBER(FIND("TEC DEPOSITO",C46)),0,IF(E46&gt;0,0,E46*(-1))))))))</f>
        <v>2</v>
      </c>
      <c r="G46" s="46" t="n">
        <f aca="false">IF(ISNUMBER(FIND("SALDO ANTERIOR",C46)),0,IF(ISNUMBER(FIND("SALDO DO DIA",C46)),0,IF(ISNUMBER(FIND("SDO CTA/APL AUTOMATICAS",C46)),0,IF(ISNUMBER(FIND("TEC DEPOSITO",C46)),0,IF(ISNUMBER(FIND("APL APLIC AUT MAIS",C46)),E46,IF(E46&gt;0,E46,0))))))</f>
        <v>0</v>
      </c>
      <c r="H46" s="47" t="n">
        <v>44197</v>
      </c>
    </row>
    <row r="47" customFormat="false" ht="13.8" hidden="false" customHeight="false" outlineLevel="0" collapsed="false">
      <c r="A47" s="53" t="s">
        <v>64</v>
      </c>
      <c r="B47" s="41" t="s">
        <v>110</v>
      </c>
      <c r="C47" s="48" t="s">
        <v>65</v>
      </c>
      <c r="D47" s="43" t="s">
        <v>56</v>
      </c>
      <c r="E47" s="49" t="n">
        <v>-70.47</v>
      </c>
      <c r="F47" s="45" t="n">
        <f aca="false">IF(ISNUMBER(FIND("SALDO ANTERIOR",C47)),0,IF(ISNUMBER(FIND("SALDO DO DIA",C47)),0,IF(ISNUMBER(FIND("SALDO PARCIAL",C47)),0,IF(ISNUMBER(FIND("SDO CTA/APL AUTOMATICAS",C47)),0,IF(ISNUMBER(FIND("APL APLIC AUT MAIS",C47)),0,IF(ISNUMBER(FIND("TEC DEPOSITO",C47)),0,IF(E47&gt;0,0,E47*(-1))))))))</f>
        <v>70.47</v>
      </c>
      <c r="G47" s="46" t="n">
        <f aca="false">IF(ISNUMBER(FIND("SALDO ANTERIOR",C47)),0,IF(ISNUMBER(FIND("SALDO DO DIA",C47)),0,IF(ISNUMBER(FIND("SDO CTA/APL AUTOMATICAS",C47)),0,IF(ISNUMBER(FIND("TEC DEPOSITO",C47)),0,IF(ISNUMBER(FIND("APL APLIC AUT MAIS",C47)),E47,IF(E47&gt;0,E47,0))))))</f>
        <v>0</v>
      </c>
      <c r="H47" s="47" t="n">
        <v>44197</v>
      </c>
    </row>
    <row r="48" customFormat="false" ht="15" hidden="false" customHeight="false" outlineLevel="0" collapsed="false">
      <c r="A48" s="53" t="s">
        <v>31</v>
      </c>
      <c r="B48" s="41" t="s">
        <v>110</v>
      </c>
      <c r="C48" s="42" t="s">
        <v>68</v>
      </c>
      <c r="D48" s="43"/>
      <c r="E48" s="44" t="n">
        <v>-2869.83</v>
      </c>
      <c r="F48" s="45" t="n">
        <f aca="false">IF(ISNUMBER(FIND("SALDO ANTERIOR",C48)),0,IF(ISNUMBER(FIND("SALDO DO DIA",C48)),0,IF(ISNUMBER(FIND("SALDO PARCIAL",C48)),0,IF(ISNUMBER(FIND("SDO CTA/APL AUTOMATICAS",C48)),0,IF(ISNUMBER(FIND("APL APLIC AUT MAIS",C48)),0,IF(ISNUMBER(FIND("TEC DEPOSITO",C48)),0,IF(E48&gt;0,0,E48*(-1))))))))</f>
        <v>0</v>
      </c>
      <c r="G48" s="46" t="n">
        <f aca="false">IF(ISNUMBER(FIND("SALDO ANTERIOR",C48)),0,IF(ISNUMBER(FIND("SALDO DO DIA",C48)),0,IF(ISNUMBER(FIND("SDO CTA/APL AUTOMATICAS",C48)),0,IF(ISNUMBER(FIND("TEC DEPOSITO",C48)),0,IF(ISNUMBER(FIND("APL APLIC AUT MAIS",C48)),E48,IF(E48&gt;0,E48,0))))))</f>
        <v>0</v>
      </c>
      <c r="H48" s="47" t="n">
        <v>44197</v>
      </c>
    </row>
    <row r="49" customFormat="false" ht="13.8" hidden="false" customHeight="false" outlineLevel="0" collapsed="false">
      <c r="A49" s="45" t="s">
        <v>114</v>
      </c>
      <c r="B49" s="41" t="s">
        <v>115</v>
      </c>
      <c r="C49" s="48" t="s">
        <v>116</v>
      </c>
      <c r="D49" s="43" t="s">
        <v>72</v>
      </c>
      <c r="E49" s="49" t="n">
        <v>-971</v>
      </c>
      <c r="F49" s="45" t="n">
        <f aca="false">IF(ISNUMBER(FIND("SALDO ANTERIOR",C49)),0,IF(ISNUMBER(FIND("SALDO DO DIA",C49)),0,IF(ISNUMBER(FIND("SALDO PARCIAL",C49)),0,IF(ISNUMBER(FIND("SDO CTA/APL AUTOMATICAS",C49)),0,IF(ISNUMBER(FIND("APL APLIC AUT MAIS",C49)),0,IF(ISNUMBER(FIND("TEC DEPOSITO",C49)),0,IF(E49&gt;0,0,E49*(-1))))))))</f>
        <v>971</v>
      </c>
      <c r="G49" s="46" t="n">
        <f aca="false">IF(ISNUMBER(FIND("SALDO ANTERIOR",C49)),0,IF(ISNUMBER(FIND("SALDO DO DIA",C49)),0,IF(ISNUMBER(FIND("SDO CTA/APL AUTOMATICAS",C49)),0,IF(ISNUMBER(FIND("TEC DEPOSITO",C49)),0,IF(ISNUMBER(FIND("APL APLIC AUT MAIS",C49)),E49,IF(E49&gt;0,E49,0))))))</f>
        <v>0</v>
      </c>
      <c r="H49" s="47" t="n">
        <v>44197</v>
      </c>
    </row>
    <row r="50" customFormat="false" ht="13.8" hidden="false" customHeight="false" outlineLevel="0" collapsed="false">
      <c r="A50" s="53" t="s">
        <v>114</v>
      </c>
      <c r="B50" s="41" t="s">
        <v>115</v>
      </c>
      <c r="C50" s="48" t="s">
        <v>117</v>
      </c>
      <c r="D50" s="43" t="s">
        <v>72</v>
      </c>
      <c r="E50" s="49" t="n">
        <v>-134.5</v>
      </c>
      <c r="F50" s="45" t="n">
        <f aca="false">IF(ISNUMBER(FIND("SALDO ANTERIOR",C50)),0,IF(ISNUMBER(FIND("SALDO DO DIA",C50)),0,IF(ISNUMBER(FIND("SALDO PARCIAL",C50)),0,IF(ISNUMBER(FIND("SDO CTA/APL AUTOMATICAS",C50)),0,IF(ISNUMBER(FIND("APL APLIC AUT MAIS",C50)),0,IF(ISNUMBER(FIND("TEC DEPOSITO",C50)),0,IF(E50&gt;0,0,E50*(-1))))))))</f>
        <v>134.5</v>
      </c>
      <c r="G50" s="46" t="n">
        <f aca="false">IF(ISNUMBER(FIND("SALDO ANTERIOR",C50)),0,IF(ISNUMBER(FIND("SALDO DO DIA",C50)),0,IF(ISNUMBER(FIND("SDO CTA/APL AUTOMATICAS",C50)),0,IF(ISNUMBER(FIND("TEC DEPOSITO",C50)),0,IF(ISNUMBER(FIND("APL APLIC AUT MAIS",C50)),E50,IF(E50&gt;0,E50,0))))))</f>
        <v>0</v>
      </c>
      <c r="H50" s="47" t="n">
        <v>44197</v>
      </c>
    </row>
    <row r="51" customFormat="false" ht="15" hidden="false" customHeight="false" outlineLevel="0" collapsed="false">
      <c r="A51" s="45" t="s">
        <v>31</v>
      </c>
      <c r="B51" s="41" t="s">
        <v>115</v>
      </c>
      <c r="C51" s="42" t="s">
        <v>68</v>
      </c>
      <c r="D51" s="43"/>
      <c r="E51" s="44" t="n">
        <v>-3975.33</v>
      </c>
      <c r="F51" s="45" t="n">
        <f aca="false">IF(ISNUMBER(FIND("SALDO ANTERIOR",C51)),0,IF(ISNUMBER(FIND("SALDO DO DIA",C51)),0,IF(ISNUMBER(FIND("SALDO PARCIAL",C51)),0,IF(ISNUMBER(FIND("SDO CTA/APL AUTOMATICAS",C51)),0,IF(ISNUMBER(FIND("APL APLIC AUT MAIS",C51)),0,IF(ISNUMBER(FIND("TEC DEPOSITO",C51)),0,IF(E51&gt;0,0,E51*(-1))))))))</f>
        <v>0</v>
      </c>
      <c r="G51" s="46" t="n">
        <f aca="false">IF(ISNUMBER(FIND("SALDO ANTERIOR",C51)),0,IF(ISNUMBER(FIND("SALDO DO DIA",C51)),0,IF(ISNUMBER(FIND("SDO CTA/APL AUTOMATICAS",C51)),0,IF(ISNUMBER(FIND("TEC DEPOSITO",C51)),0,IF(ISNUMBER(FIND("APL APLIC AUT MAIS",C51)),E51,IF(E51&gt;0,E51,0))))))</f>
        <v>0</v>
      </c>
      <c r="H51" s="47" t="n">
        <v>44197</v>
      </c>
    </row>
    <row r="52" customFormat="false" ht="13.8" hidden="false" customHeight="false" outlineLevel="0" collapsed="false">
      <c r="A52" s="40" t="s">
        <v>57</v>
      </c>
      <c r="B52" s="41" t="s">
        <v>118</v>
      </c>
      <c r="C52" s="48" t="s">
        <v>119</v>
      </c>
      <c r="D52" s="43" t="s">
        <v>56</v>
      </c>
      <c r="E52" s="49" t="n">
        <v>-11.98</v>
      </c>
      <c r="F52" s="45" t="n">
        <f aca="false">IF(ISNUMBER(FIND("SALDO ANTERIOR",C52)),0,IF(ISNUMBER(FIND("SALDO DO DIA",C52)),0,IF(ISNUMBER(FIND("SALDO PARCIAL",C52)),0,IF(ISNUMBER(FIND("SDO CTA/APL AUTOMATICAS",C52)),0,IF(ISNUMBER(FIND("APL APLIC AUT MAIS",C52)),0,IF(ISNUMBER(FIND("TEC DEPOSITO",C52)),0,IF(E52&gt;0,0,E52*(-1))))))))</f>
        <v>11.98</v>
      </c>
      <c r="G52" s="46" t="n">
        <f aca="false">IF(ISNUMBER(FIND("SALDO ANTERIOR",C52)),0,IF(ISNUMBER(FIND("SALDO DO DIA",C52)),0,IF(ISNUMBER(FIND("SDO CTA/APL AUTOMATICAS",C52)),0,IF(ISNUMBER(FIND("TEC DEPOSITO",C52)),0,IF(ISNUMBER(FIND("APL APLIC AUT MAIS",C52)),E52,IF(E52&gt;0,E52,0))))))</f>
        <v>0</v>
      </c>
      <c r="H52" s="47" t="n">
        <v>44197</v>
      </c>
    </row>
    <row r="53" customFormat="false" ht="13.8" hidden="false" customHeight="false" outlineLevel="0" collapsed="false">
      <c r="A53" s="40" t="s">
        <v>85</v>
      </c>
      <c r="B53" s="41" t="s">
        <v>118</v>
      </c>
      <c r="C53" s="48" t="s">
        <v>86</v>
      </c>
      <c r="D53" s="43"/>
      <c r="E53" s="50" t="n">
        <v>5392</v>
      </c>
      <c r="F53" s="45" t="n">
        <f aca="false">IF(ISNUMBER(FIND("SALDO ANTERIOR",C53)),0,IF(ISNUMBER(FIND("SALDO DO DIA",C53)),0,IF(ISNUMBER(FIND("SALDO PARCIAL",C53)),0,IF(ISNUMBER(FIND("SDO CTA/APL AUTOMATICAS",C53)),0,IF(ISNUMBER(FIND("APL APLIC AUT MAIS",C53)),0,IF(ISNUMBER(FIND("TEC DEPOSITO",C53)),0,IF(E53&gt;0,0,E53*(-1))))))))</f>
        <v>0</v>
      </c>
      <c r="G53" s="46" t="n">
        <f aca="false">IF(ISNUMBER(FIND("SALDO ANTERIOR",C53)),0,IF(ISNUMBER(FIND("SALDO DO DIA",C53)),0,IF(ISNUMBER(FIND("SDO CTA/APL AUTOMATICAS",C53)),0,IF(ISNUMBER(FIND("TEC DEPOSITO",C53)),0,IF(ISNUMBER(FIND("APL APLIC AUT MAIS",C53)),E53,IF(E53&gt;0,E53,0))))))</f>
        <v>5392</v>
      </c>
      <c r="H53" s="47" t="n">
        <v>44197</v>
      </c>
    </row>
    <row r="54" customFormat="false" ht="15" hidden="false" customHeight="false" outlineLevel="0" collapsed="false">
      <c r="A54" s="40" t="s">
        <v>31</v>
      </c>
      <c r="B54" s="41" t="s">
        <v>118</v>
      </c>
      <c r="C54" s="42" t="s">
        <v>120</v>
      </c>
      <c r="D54" s="43"/>
      <c r="E54" s="54" t="n">
        <v>1404.69</v>
      </c>
      <c r="F54" s="45" t="n">
        <f aca="false">IF(ISNUMBER(FIND("SALDO ANTERIOR",C54)),0,IF(ISNUMBER(FIND("SALDO DO DIA",C54)),0,IF(ISNUMBER(FIND("SALDO PARCIAL",C54)),0,IF(ISNUMBER(FIND("SDO CTA/APL AUTOMATICAS",C54)),0,IF(ISNUMBER(FIND("APL APLIC AUT MAIS",C54)),0,IF(ISNUMBER(FIND("TEC DEPOSITO",C54)),0,IF(E54&gt;0,0,E54*(-1))))))))</f>
        <v>0</v>
      </c>
      <c r="G54" s="46" t="n">
        <f aca="false">IF(ISNUMBER(FIND("SALDO ANTERIOR",C54)),0,IF(ISNUMBER(FIND("SALDO DO DIA",C54)),0,IF(ISNUMBER(FIND("SDO CTA/APL AUTOMATICAS",C54)),0,IF(ISNUMBER(FIND("TEC DEPOSITO",C54)),0,IF(ISNUMBER(FIND("APL APLIC AUT MAIS",C54)),E54,IF(E54&gt;0,E54,0))))))</f>
        <v>0</v>
      </c>
      <c r="H54" s="47" t="n">
        <v>44197</v>
      </c>
    </row>
    <row r="55" customFormat="false" ht="13.8" hidden="false" customHeight="false" outlineLevel="0" collapsed="false">
      <c r="A55" s="40" t="s">
        <v>121</v>
      </c>
      <c r="B55" s="41" t="s">
        <v>122</v>
      </c>
      <c r="C55" s="48" t="s">
        <v>123</v>
      </c>
      <c r="D55" s="43" t="s">
        <v>91</v>
      </c>
      <c r="E55" s="49" t="n">
        <v>-100</v>
      </c>
      <c r="F55" s="45" t="n">
        <f aca="false">IF(ISNUMBER(FIND("SALDO ANTERIOR",C55)),0,IF(ISNUMBER(FIND("SALDO DO DIA",C55)),0,IF(ISNUMBER(FIND("SALDO PARCIAL",C55)),0,IF(ISNUMBER(FIND("SDO CTA/APL AUTOMATICAS",C55)),0,IF(ISNUMBER(FIND("APL APLIC AUT MAIS",C55)),0,IF(ISNUMBER(FIND("TEC DEPOSITO",C55)),0,IF(E55&gt;0,0,E55*(-1))))))))</f>
        <v>100</v>
      </c>
      <c r="G55" s="46" t="n">
        <f aca="false">IF(ISNUMBER(FIND("SALDO ANTERIOR",C55)),0,IF(ISNUMBER(FIND("SALDO DO DIA",C55)),0,IF(ISNUMBER(FIND("SDO CTA/APL AUTOMATICAS",C55)),0,IF(ISNUMBER(FIND("TEC DEPOSITO",C55)),0,IF(ISNUMBER(FIND("APL APLIC AUT MAIS",C55)),E55,IF(E55&gt;0,E55,0))))))</f>
        <v>0</v>
      </c>
      <c r="H55" s="47" t="n">
        <v>44197</v>
      </c>
    </row>
    <row r="56" customFormat="false" ht="13.8" hidden="false" customHeight="false" outlineLevel="0" collapsed="false">
      <c r="A56" s="40" t="s">
        <v>57</v>
      </c>
      <c r="B56" s="41" t="s">
        <v>122</v>
      </c>
      <c r="C56" s="48" t="s">
        <v>58</v>
      </c>
      <c r="D56" s="43" t="s">
        <v>56</v>
      </c>
      <c r="E56" s="49" t="n">
        <v>-57.23</v>
      </c>
      <c r="F56" s="45" t="n">
        <f aca="false">IF(ISNUMBER(FIND("SALDO ANTERIOR",C56)),0,IF(ISNUMBER(FIND("SALDO DO DIA",C56)),0,IF(ISNUMBER(FIND("SALDO PARCIAL",C56)),0,IF(ISNUMBER(FIND("SDO CTA/APL AUTOMATICAS",C56)),0,IF(ISNUMBER(FIND("APL APLIC AUT MAIS",C56)),0,IF(ISNUMBER(FIND("TEC DEPOSITO",C56)),0,IF(E56&gt;0,0,E56*(-1))))))))</f>
        <v>57.23</v>
      </c>
      <c r="G56" s="46" t="n">
        <f aca="false">IF(ISNUMBER(FIND("SALDO ANTERIOR",C56)),0,IF(ISNUMBER(FIND("SALDO DO DIA",C56)),0,IF(ISNUMBER(FIND("SDO CTA/APL AUTOMATICAS",C56)),0,IF(ISNUMBER(FIND("TEC DEPOSITO",C56)),0,IF(ISNUMBER(FIND("APL APLIC AUT MAIS",C56)),E56,IF(E56&gt;0,E56,0))))))</f>
        <v>0</v>
      </c>
      <c r="H56" s="47" t="n">
        <v>44197</v>
      </c>
    </row>
    <row r="57" customFormat="false" ht="13.8" hidden="false" customHeight="false" outlineLevel="0" collapsed="false">
      <c r="A57" s="40" t="s">
        <v>57</v>
      </c>
      <c r="B57" s="41" t="s">
        <v>122</v>
      </c>
      <c r="C57" s="48" t="s">
        <v>58</v>
      </c>
      <c r="D57" s="43" t="s">
        <v>56</v>
      </c>
      <c r="E57" s="49" t="n">
        <v>-41.86</v>
      </c>
      <c r="F57" s="45" t="n">
        <f aca="false">IF(ISNUMBER(FIND("SALDO ANTERIOR",C57)),0,IF(ISNUMBER(FIND("SALDO DO DIA",C57)),0,IF(ISNUMBER(FIND("SALDO PARCIAL",C57)),0,IF(ISNUMBER(FIND("SDO CTA/APL AUTOMATICAS",C57)),0,IF(ISNUMBER(FIND("APL APLIC AUT MAIS",C57)),0,IF(ISNUMBER(FIND("TEC DEPOSITO",C57)),0,IF(E57&gt;0,0,E57*(-1))))))))</f>
        <v>41.86</v>
      </c>
      <c r="G57" s="46" t="n">
        <f aca="false">IF(ISNUMBER(FIND("SALDO ANTERIOR",C57)),0,IF(ISNUMBER(FIND("SALDO DO DIA",C57)),0,IF(ISNUMBER(FIND("SDO CTA/APL AUTOMATICAS",C57)),0,IF(ISNUMBER(FIND("TEC DEPOSITO",C57)),0,IF(ISNUMBER(FIND("APL APLIC AUT MAIS",C57)),E57,IF(E57&gt;0,E57,0))))))</f>
        <v>0</v>
      </c>
      <c r="H57" s="47" t="n">
        <v>44197</v>
      </c>
    </row>
    <row r="58" customFormat="false" ht="13.8" hidden="false" customHeight="false" outlineLevel="0" collapsed="false">
      <c r="A58" s="45" t="s">
        <v>124</v>
      </c>
      <c r="B58" s="41" t="s">
        <v>122</v>
      </c>
      <c r="C58" s="48" t="s">
        <v>125</v>
      </c>
      <c r="D58" s="43" t="s">
        <v>56</v>
      </c>
      <c r="E58" s="49" t="n">
        <v>-13</v>
      </c>
      <c r="F58" s="45" t="n">
        <f aca="false">IF(ISNUMBER(FIND("SALDO ANTERIOR",C58)),0,IF(ISNUMBER(FIND("SALDO DO DIA",C58)),0,IF(ISNUMBER(FIND("SALDO PARCIAL",C58)),0,IF(ISNUMBER(FIND("SDO CTA/APL AUTOMATICAS",C58)),0,IF(ISNUMBER(FIND("APL APLIC AUT MAIS",C58)),0,IF(ISNUMBER(FIND("TEC DEPOSITO",C58)),0,IF(E58&gt;0,0,E58*(-1))))))))</f>
        <v>13</v>
      </c>
      <c r="G58" s="46" t="n">
        <f aca="false">IF(ISNUMBER(FIND("SALDO ANTERIOR",C58)),0,IF(ISNUMBER(FIND("SALDO DO DIA",C58)),0,IF(ISNUMBER(FIND("SDO CTA/APL AUTOMATICAS",C58)),0,IF(ISNUMBER(FIND("TEC DEPOSITO",C58)),0,IF(ISNUMBER(FIND("APL APLIC AUT MAIS",C58)),E58,IF(E58&gt;0,E58,0))))))</f>
        <v>0</v>
      </c>
      <c r="H58" s="47" t="n">
        <v>44197</v>
      </c>
    </row>
    <row r="59" customFormat="false" ht="13.8" hidden="false" customHeight="false" outlineLevel="0" collapsed="false">
      <c r="A59" s="40" t="s">
        <v>62</v>
      </c>
      <c r="B59" s="41" t="s">
        <v>122</v>
      </c>
      <c r="C59" s="48" t="s">
        <v>126</v>
      </c>
      <c r="D59" s="43" t="s">
        <v>56</v>
      </c>
      <c r="E59" s="49" t="n">
        <v>-69</v>
      </c>
      <c r="F59" s="45" t="n">
        <f aca="false">IF(ISNUMBER(FIND("SALDO ANTERIOR",C59)),0,IF(ISNUMBER(FIND("SALDO DO DIA",C59)),0,IF(ISNUMBER(FIND("SALDO PARCIAL",C59)),0,IF(ISNUMBER(FIND("SDO CTA/APL AUTOMATICAS",C59)),0,IF(ISNUMBER(FIND("APL APLIC AUT MAIS",C59)),0,IF(ISNUMBER(FIND("TEC DEPOSITO",C59)),0,IF(E59&gt;0,0,E59*(-1))))))))</f>
        <v>69</v>
      </c>
      <c r="G59" s="46" t="n">
        <f aca="false">IF(ISNUMBER(FIND("SALDO ANTERIOR",C59)),0,IF(ISNUMBER(FIND("SALDO DO DIA",C59)),0,IF(ISNUMBER(FIND("SDO CTA/APL AUTOMATICAS",C59)),0,IF(ISNUMBER(FIND("TEC DEPOSITO",C59)),0,IF(ISNUMBER(FIND("APL APLIC AUT MAIS",C59)),E59,IF(E59&gt;0,E59,0))))))</f>
        <v>0</v>
      </c>
      <c r="H59" s="47" t="n">
        <v>44197</v>
      </c>
    </row>
    <row r="60" customFormat="false" ht="13.8" hidden="false" customHeight="false" outlineLevel="0" collapsed="false">
      <c r="A60" s="40" t="s">
        <v>59</v>
      </c>
      <c r="B60" s="41" t="s">
        <v>122</v>
      </c>
      <c r="C60" s="48" t="s">
        <v>127</v>
      </c>
      <c r="D60" s="43" t="s">
        <v>56</v>
      </c>
      <c r="E60" s="49" t="n">
        <v>-12.97</v>
      </c>
      <c r="F60" s="45" t="n">
        <f aca="false">IF(ISNUMBER(FIND("SALDO ANTERIOR",C60)),0,IF(ISNUMBER(FIND("SALDO DO DIA",C60)),0,IF(ISNUMBER(FIND("SALDO PARCIAL",C60)),0,IF(ISNUMBER(FIND("SDO CTA/APL AUTOMATICAS",C60)),0,IF(ISNUMBER(FIND("APL APLIC AUT MAIS",C60)),0,IF(ISNUMBER(FIND("TEC DEPOSITO",C60)),0,IF(E60&gt;0,0,E60*(-1))))))))</f>
        <v>12.97</v>
      </c>
      <c r="G60" s="46" t="n">
        <f aca="false">IF(ISNUMBER(FIND("SALDO ANTERIOR",C60)),0,IF(ISNUMBER(FIND("SALDO DO DIA",C60)),0,IF(ISNUMBER(FIND("SDO CTA/APL AUTOMATICAS",C60)),0,IF(ISNUMBER(FIND("TEC DEPOSITO",C60)),0,IF(ISNUMBER(FIND("APL APLIC AUT MAIS",C60)),E60,IF(E60&gt;0,E60,0))))))</f>
        <v>0</v>
      </c>
      <c r="H60" s="47" t="n">
        <v>44197</v>
      </c>
    </row>
    <row r="61" customFormat="false" ht="13.8" hidden="false" customHeight="false" outlineLevel="0" collapsed="false">
      <c r="A61" s="40" t="s">
        <v>59</v>
      </c>
      <c r="B61" s="41" t="s">
        <v>122</v>
      </c>
      <c r="C61" s="48" t="s">
        <v>128</v>
      </c>
      <c r="D61" s="43" t="s">
        <v>56</v>
      </c>
      <c r="E61" s="49" t="n">
        <v>-67</v>
      </c>
      <c r="F61" s="45" t="n">
        <f aca="false">IF(ISNUMBER(FIND("SALDO ANTERIOR",C61)),0,IF(ISNUMBER(FIND("SALDO DO DIA",C61)),0,IF(ISNUMBER(FIND("SALDO PARCIAL",C61)),0,IF(ISNUMBER(FIND("SDO CTA/APL AUTOMATICAS",C61)),0,IF(ISNUMBER(FIND("APL APLIC AUT MAIS",C61)),0,IF(ISNUMBER(FIND("TEC DEPOSITO",C61)),0,IF(E61&gt;0,0,E61*(-1))))))))</f>
        <v>67</v>
      </c>
      <c r="G61" s="46" t="n">
        <f aca="false">IF(ISNUMBER(FIND("SALDO ANTERIOR",C61)),0,IF(ISNUMBER(FIND("SALDO DO DIA",C61)),0,IF(ISNUMBER(FIND("SDO CTA/APL AUTOMATICAS",C61)),0,IF(ISNUMBER(FIND("TEC DEPOSITO",C61)),0,IF(ISNUMBER(FIND("APL APLIC AUT MAIS",C61)),E61,IF(E61&gt;0,E61,0))))))</f>
        <v>0</v>
      </c>
      <c r="H61" s="47" t="n">
        <v>44197</v>
      </c>
    </row>
    <row r="62" customFormat="false" ht="13.8" hidden="false" customHeight="false" outlineLevel="0" collapsed="false">
      <c r="A62" s="53" t="s">
        <v>59</v>
      </c>
      <c r="B62" s="41" t="s">
        <v>122</v>
      </c>
      <c r="C62" s="48" t="s">
        <v>129</v>
      </c>
      <c r="D62" s="43" t="s">
        <v>56</v>
      </c>
      <c r="E62" s="49" t="n">
        <v>-6</v>
      </c>
      <c r="F62" s="45" t="n">
        <f aca="false">IF(ISNUMBER(FIND("SALDO ANTERIOR",C62)),0,IF(ISNUMBER(FIND("SALDO DO DIA",C62)),0,IF(ISNUMBER(FIND("SALDO PARCIAL",C62)),0,IF(ISNUMBER(FIND("SDO CTA/APL AUTOMATICAS",C62)),0,IF(ISNUMBER(FIND("APL APLIC AUT MAIS",C62)),0,IF(ISNUMBER(FIND("TEC DEPOSITO",C62)),0,IF(E62&gt;0,0,E62*(-1))))))))</f>
        <v>6</v>
      </c>
      <c r="G62" s="46" t="n">
        <f aca="false">IF(ISNUMBER(FIND("SALDO ANTERIOR",C62)),0,IF(ISNUMBER(FIND("SALDO DO DIA",C62)),0,IF(ISNUMBER(FIND("SDO CTA/APL AUTOMATICAS",C62)),0,IF(ISNUMBER(FIND("TEC DEPOSITO",C62)),0,IF(ISNUMBER(FIND("APL APLIC AUT MAIS",C62)),E62,IF(E62&gt;0,E62,0))))))</f>
        <v>0</v>
      </c>
      <c r="H62" s="47" t="n">
        <v>44197</v>
      </c>
    </row>
    <row r="63" customFormat="false" ht="13.8" hidden="false" customHeight="false" outlineLevel="0" collapsed="false">
      <c r="A63" s="45" t="s">
        <v>59</v>
      </c>
      <c r="B63" s="41" t="s">
        <v>122</v>
      </c>
      <c r="C63" s="48" t="s">
        <v>129</v>
      </c>
      <c r="D63" s="43" t="s">
        <v>56</v>
      </c>
      <c r="E63" s="49" t="n">
        <v>-14</v>
      </c>
      <c r="F63" s="45" t="n">
        <f aca="false">IF(ISNUMBER(FIND("SALDO ANTERIOR",C63)),0,IF(ISNUMBER(FIND("SALDO DO DIA",C63)),0,IF(ISNUMBER(FIND("SALDO PARCIAL",C63)),0,IF(ISNUMBER(FIND("SDO CTA/APL AUTOMATICAS",C63)),0,IF(ISNUMBER(FIND("APL APLIC AUT MAIS",C63)),0,IF(ISNUMBER(FIND("TEC DEPOSITO",C63)),0,IF(E63&gt;0,0,E63*(-1))))))))</f>
        <v>14</v>
      </c>
      <c r="G63" s="46" t="n">
        <f aca="false">IF(ISNUMBER(FIND("SALDO ANTERIOR",C63)),0,IF(ISNUMBER(FIND("SALDO DO DIA",C63)),0,IF(ISNUMBER(FIND("SDO CTA/APL AUTOMATICAS",C63)),0,IF(ISNUMBER(FIND("TEC DEPOSITO",C63)),0,IF(ISNUMBER(FIND("APL APLIC AUT MAIS",C63)),E63,IF(E63&gt;0,E63,0))))))</f>
        <v>0</v>
      </c>
      <c r="H63" s="47" t="n">
        <v>44197</v>
      </c>
    </row>
    <row r="64" customFormat="false" ht="13.8" hidden="false" customHeight="false" outlineLevel="0" collapsed="false">
      <c r="A64" s="40" t="s">
        <v>103</v>
      </c>
      <c r="B64" s="41" t="s">
        <v>122</v>
      </c>
      <c r="C64" s="48" t="s">
        <v>130</v>
      </c>
      <c r="D64" s="43" t="s">
        <v>56</v>
      </c>
      <c r="E64" s="49" t="n">
        <v>-50</v>
      </c>
      <c r="F64" s="45" t="n">
        <f aca="false">IF(ISNUMBER(FIND("SALDO ANTERIOR",C64)),0,IF(ISNUMBER(FIND("SALDO DO DIA",C64)),0,IF(ISNUMBER(FIND("SALDO PARCIAL",C64)),0,IF(ISNUMBER(FIND("SDO CTA/APL AUTOMATICAS",C64)),0,IF(ISNUMBER(FIND("APL APLIC AUT MAIS",C64)),0,IF(ISNUMBER(FIND("TEC DEPOSITO",C64)),0,IF(E64&gt;0,0,E64*(-1))))))))</f>
        <v>50</v>
      </c>
      <c r="G64" s="46" t="n">
        <f aca="false">IF(ISNUMBER(FIND("SALDO ANTERIOR",C64)),0,IF(ISNUMBER(FIND("SALDO DO DIA",C64)),0,IF(ISNUMBER(FIND("SDO CTA/APL AUTOMATICAS",C64)),0,IF(ISNUMBER(FIND("TEC DEPOSITO",C64)),0,IF(ISNUMBER(FIND("APL APLIC AUT MAIS",C64)),E64,IF(E64&gt;0,E64,0))))))</f>
        <v>0</v>
      </c>
      <c r="H64" s="47" t="n">
        <v>44197</v>
      </c>
    </row>
    <row r="65" customFormat="false" ht="13.8" hidden="false" customHeight="false" outlineLevel="0" collapsed="false">
      <c r="A65" s="40" t="s">
        <v>59</v>
      </c>
      <c r="B65" s="41" t="s">
        <v>122</v>
      </c>
      <c r="C65" s="48" t="s">
        <v>131</v>
      </c>
      <c r="D65" s="43" t="s">
        <v>56</v>
      </c>
      <c r="E65" s="49" t="n">
        <v>-40.2</v>
      </c>
      <c r="F65" s="45" t="n">
        <f aca="false">IF(ISNUMBER(FIND("SALDO ANTERIOR",C65)),0,IF(ISNUMBER(FIND("SALDO DO DIA",C65)),0,IF(ISNUMBER(FIND("SALDO PARCIAL",C65)),0,IF(ISNUMBER(FIND("SDO CTA/APL AUTOMATICAS",C65)),0,IF(ISNUMBER(FIND("APL APLIC AUT MAIS",C65)),0,IF(ISNUMBER(FIND("TEC DEPOSITO",C65)),0,IF(E65&gt;0,0,E65*(-1))))))))</f>
        <v>40.2</v>
      </c>
      <c r="G65" s="46" t="n">
        <f aca="false">IF(ISNUMBER(FIND("SALDO ANTERIOR",C65)),0,IF(ISNUMBER(FIND("SALDO DO DIA",C65)),0,IF(ISNUMBER(FIND("SDO CTA/APL AUTOMATICAS",C65)),0,IF(ISNUMBER(FIND("TEC DEPOSITO",C65)),0,IF(ISNUMBER(FIND("APL APLIC AUT MAIS",C65)),E65,IF(E65&gt;0,E65,0))))))</f>
        <v>0</v>
      </c>
      <c r="H65" s="47" t="n">
        <v>44197</v>
      </c>
    </row>
    <row r="66" customFormat="false" ht="13.8" hidden="false" customHeight="false" outlineLevel="0" collapsed="false">
      <c r="A66" s="40" t="s">
        <v>59</v>
      </c>
      <c r="B66" s="41" t="s">
        <v>122</v>
      </c>
      <c r="C66" s="48" t="s">
        <v>132</v>
      </c>
      <c r="D66" s="43" t="s">
        <v>56</v>
      </c>
      <c r="E66" s="49" t="n">
        <v>-79.74</v>
      </c>
      <c r="F66" s="45" t="n">
        <f aca="false">IF(ISNUMBER(FIND("SALDO ANTERIOR",C66)),0,IF(ISNUMBER(FIND("SALDO DO DIA",C66)),0,IF(ISNUMBER(FIND("SALDO PARCIAL",C66)),0,IF(ISNUMBER(FIND("SDO CTA/APL AUTOMATICAS",C66)),0,IF(ISNUMBER(FIND("APL APLIC AUT MAIS",C66)),0,IF(ISNUMBER(FIND("TEC DEPOSITO",C66)),0,IF(E66&gt;0,0,E66*(-1))))))))</f>
        <v>79.74</v>
      </c>
      <c r="G66" s="46" t="n">
        <f aca="false">IF(ISNUMBER(FIND("SALDO ANTERIOR",C66)),0,IF(ISNUMBER(FIND("SALDO DO DIA",C66)),0,IF(ISNUMBER(FIND("SDO CTA/APL AUTOMATICAS",C66)),0,IF(ISNUMBER(FIND("TEC DEPOSITO",C66)),0,IF(ISNUMBER(FIND("APL APLIC AUT MAIS",C66)),E66,IF(E66&gt;0,E66,0))))))</f>
        <v>0</v>
      </c>
      <c r="H66" s="47" t="n">
        <v>44197</v>
      </c>
    </row>
    <row r="67" customFormat="false" ht="13.8" hidden="false" customHeight="false" outlineLevel="0" collapsed="false">
      <c r="A67" s="40" t="s">
        <v>64</v>
      </c>
      <c r="B67" s="41" t="s">
        <v>122</v>
      </c>
      <c r="C67" s="48" t="s">
        <v>65</v>
      </c>
      <c r="D67" s="43" t="s">
        <v>56</v>
      </c>
      <c r="E67" s="49" t="n">
        <v>-81.21</v>
      </c>
      <c r="F67" s="45" t="n">
        <f aca="false">IF(ISNUMBER(FIND("SALDO ANTERIOR",C67)),0,IF(ISNUMBER(FIND("SALDO DO DIA",C67)),0,IF(ISNUMBER(FIND("SALDO PARCIAL",C67)),0,IF(ISNUMBER(FIND("SDO CTA/APL AUTOMATICAS",C67)),0,IF(ISNUMBER(FIND("APL APLIC AUT MAIS",C67)),0,IF(ISNUMBER(FIND("TEC DEPOSITO",C67)),0,IF(E67&gt;0,0,E67*(-1))))))))</f>
        <v>81.21</v>
      </c>
      <c r="G67" s="46" t="n">
        <f aca="false">IF(ISNUMBER(FIND("SALDO ANTERIOR",C67)),0,IF(ISNUMBER(FIND("SALDO DO DIA",C67)),0,IF(ISNUMBER(FIND("SDO CTA/APL AUTOMATICAS",C67)),0,IF(ISNUMBER(FIND("TEC DEPOSITO",C67)),0,IF(ISNUMBER(FIND("APL APLIC AUT MAIS",C67)),E67,IF(E67&gt;0,E67,0))))))</f>
        <v>0</v>
      </c>
      <c r="H67" s="47" t="n">
        <v>44197</v>
      </c>
    </row>
    <row r="68" customFormat="false" ht="13.8" hidden="false" customHeight="false" outlineLevel="0" collapsed="false">
      <c r="A68" s="40" t="s">
        <v>64</v>
      </c>
      <c r="B68" s="41" t="s">
        <v>122</v>
      </c>
      <c r="C68" s="48" t="s">
        <v>65</v>
      </c>
      <c r="D68" s="43" t="s">
        <v>56</v>
      </c>
      <c r="E68" s="49" t="n">
        <v>-108.94</v>
      </c>
      <c r="F68" s="45" t="n">
        <f aca="false">IF(ISNUMBER(FIND("SALDO ANTERIOR",C68)),0,IF(ISNUMBER(FIND("SALDO DO DIA",C68)),0,IF(ISNUMBER(FIND("SALDO PARCIAL",C68)),0,IF(ISNUMBER(FIND("SDO CTA/APL AUTOMATICAS",C68)),0,IF(ISNUMBER(FIND("APL APLIC AUT MAIS",C68)),0,IF(ISNUMBER(FIND("TEC DEPOSITO",C68)),0,IF(E68&gt;0,0,E68*(-1))))))))</f>
        <v>108.94</v>
      </c>
      <c r="G68" s="46" t="n">
        <f aca="false">IF(ISNUMBER(FIND("SALDO ANTERIOR",C68)),0,IF(ISNUMBER(FIND("SALDO DO DIA",C68)),0,IF(ISNUMBER(FIND("SDO CTA/APL AUTOMATICAS",C68)),0,IF(ISNUMBER(FIND("TEC DEPOSITO",C68)),0,IF(ISNUMBER(FIND("APL APLIC AUT MAIS",C68)),E68,IF(E68&gt;0,E68,0))))))</f>
        <v>0</v>
      </c>
      <c r="H68" s="47" t="n">
        <v>44197</v>
      </c>
    </row>
    <row r="69" customFormat="false" ht="13.8" hidden="false" customHeight="false" outlineLevel="0" collapsed="false">
      <c r="A69" s="40" t="s">
        <v>64</v>
      </c>
      <c r="B69" s="41" t="s">
        <v>122</v>
      </c>
      <c r="C69" s="48" t="s">
        <v>65</v>
      </c>
      <c r="D69" s="43" t="s">
        <v>56</v>
      </c>
      <c r="E69" s="49" t="n">
        <v>-17.43</v>
      </c>
      <c r="F69" s="45" t="n">
        <f aca="false">IF(ISNUMBER(FIND("SALDO ANTERIOR",C69)),0,IF(ISNUMBER(FIND("SALDO DO DIA",C69)),0,IF(ISNUMBER(FIND("SALDO PARCIAL",C69)),0,IF(ISNUMBER(FIND("SDO CTA/APL AUTOMATICAS",C69)),0,IF(ISNUMBER(FIND("APL APLIC AUT MAIS",C69)),0,IF(ISNUMBER(FIND("TEC DEPOSITO",C69)),0,IF(E69&gt;0,0,E69*(-1))))))))</f>
        <v>17.43</v>
      </c>
      <c r="G69" s="46" t="n">
        <f aca="false">IF(ISNUMBER(FIND("SALDO ANTERIOR",C69)),0,IF(ISNUMBER(FIND("SALDO DO DIA",C69)),0,IF(ISNUMBER(FIND("SDO CTA/APL AUTOMATICAS",C69)),0,IF(ISNUMBER(FIND("TEC DEPOSITO",C69)),0,IF(ISNUMBER(FIND("APL APLIC AUT MAIS",C69)),E69,IF(E69&gt;0,E69,0))))))</f>
        <v>0</v>
      </c>
      <c r="H69" s="47" t="n">
        <v>44197</v>
      </c>
    </row>
    <row r="70" customFormat="false" ht="13.8" hidden="false" customHeight="false" outlineLevel="0" collapsed="false">
      <c r="A70" s="40" t="s">
        <v>64</v>
      </c>
      <c r="B70" s="41" t="s">
        <v>122</v>
      </c>
      <c r="C70" s="48" t="s">
        <v>133</v>
      </c>
      <c r="D70" s="43" t="s">
        <v>56</v>
      </c>
      <c r="E70" s="49" t="n">
        <v>-12</v>
      </c>
      <c r="F70" s="45" t="n">
        <f aca="false">IF(ISNUMBER(FIND("SALDO ANTERIOR",C70)),0,IF(ISNUMBER(FIND("SALDO DO DIA",C70)),0,IF(ISNUMBER(FIND("SALDO PARCIAL",C70)),0,IF(ISNUMBER(FIND("SDO CTA/APL AUTOMATICAS",C70)),0,IF(ISNUMBER(FIND("APL APLIC AUT MAIS",C70)),0,IF(ISNUMBER(FIND("TEC DEPOSITO",C70)),0,IF(E70&gt;0,0,E70*(-1))))))))</f>
        <v>12</v>
      </c>
      <c r="G70" s="46" t="n">
        <f aca="false">IF(ISNUMBER(FIND("SALDO ANTERIOR",C70)),0,IF(ISNUMBER(FIND("SALDO DO DIA",C70)),0,IF(ISNUMBER(FIND("SDO CTA/APL AUTOMATICAS",C70)),0,IF(ISNUMBER(FIND("TEC DEPOSITO",C70)),0,IF(ISNUMBER(FIND("APL APLIC AUT MAIS",C70)),E70,IF(E70&gt;0,E70,0))))))</f>
        <v>0</v>
      </c>
      <c r="H70" s="47" t="n">
        <v>44197</v>
      </c>
    </row>
    <row r="71" customFormat="false" ht="13.8" hidden="false" customHeight="false" outlineLevel="0" collapsed="false">
      <c r="A71" s="40" t="s">
        <v>134</v>
      </c>
      <c r="B71" s="41" t="s">
        <v>122</v>
      </c>
      <c r="C71" s="48" t="s">
        <v>135</v>
      </c>
      <c r="D71" s="43" t="s">
        <v>72</v>
      </c>
      <c r="E71" s="49" t="n">
        <v>-7685.86</v>
      </c>
      <c r="F71" s="45" t="n">
        <f aca="false">IF(ISNUMBER(FIND("SALDO ANTERIOR",C71)),0,IF(ISNUMBER(FIND("SALDO DO DIA",C71)),0,IF(ISNUMBER(FIND("SALDO PARCIAL",C71)),0,IF(ISNUMBER(FIND("SDO CTA/APL AUTOMATICAS",C71)),0,IF(ISNUMBER(FIND("APL APLIC AUT MAIS",C71)),0,IF(ISNUMBER(FIND("TEC DEPOSITO",C71)),0,IF(E71&gt;0,0,E71*(-1))))))))</f>
        <v>7685.86</v>
      </c>
      <c r="G71" s="46" t="n">
        <f aca="false">IF(ISNUMBER(FIND("SALDO ANTERIOR",C71)),0,IF(ISNUMBER(FIND("SALDO DO DIA",C71)),0,IF(ISNUMBER(FIND("SDO CTA/APL AUTOMATICAS",C71)),0,IF(ISNUMBER(FIND("TEC DEPOSITO",C71)),0,IF(ISNUMBER(FIND("APL APLIC AUT MAIS",C71)),E71,IF(E71&gt;0,E71,0))))))</f>
        <v>0</v>
      </c>
      <c r="H71" s="47" t="n">
        <v>44197</v>
      </c>
    </row>
    <row r="72" customFormat="false" ht="13.8" hidden="false" customHeight="false" outlineLevel="0" collapsed="false">
      <c r="A72" s="40" t="s">
        <v>136</v>
      </c>
      <c r="B72" s="41" t="s">
        <v>122</v>
      </c>
      <c r="C72" s="48" t="s">
        <v>38</v>
      </c>
      <c r="D72" s="43" t="s">
        <v>72</v>
      </c>
      <c r="E72" s="50" t="n">
        <v>7000</v>
      </c>
      <c r="F72" s="45" t="n">
        <f aca="false">IF(ISNUMBER(FIND("SALDO ANTERIOR",C72)),0,IF(ISNUMBER(FIND("SALDO DO DIA",C72)),0,IF(ISNUMBER(FIND("SALDO PARCIAL",C72)),0,IF(ISNUMBER(FIND("SDO CTA/APL AUTOMATICAS",C72)),0,IF(ISNUMBER(FIND("APL APLIC AUT MAIS",C72)),0,IF(ISNUMBER(FIND("TEC DEPOSITO",C72)),0,IF(E72&gt;0,0,E72*(-1))))))))</f>
        <v>0</v>
      </c>
      <c r="G72" s="46" t="n">
        <f aca="false">IF(ISNUMBER(FIND("SALDO ANTERIOR",C72)),0,IF(ISNUMBER(FIND("SALDO DO DIA",C72)),0,IF(ISNUMBER(FIND("SDO CTA/APL AUTOMATICAS",C72)),0,IF(ISNUMBER(FIND("TEC DEPOSITO",C72)),0,IF(ISNUMBER(FIND("APL APLIC AUT MAIS",C72)),E72,IF(E72&gt;0,E72,0))))))</f>
        <v>7000</v>
      </c>
      <c r="H72" s="47" t="n">
        <v>44197</v>
      </c>
    </row>
    <row r="73" customFormat="false" ht="15" hidden="false" customHeight="false" outlineLevel="0" collapsed="false">
      <c r="A73" s="40" t="s">
        <v>31</v>
      </c>
      <c r="B73" s="41" t="s">
        <v>122</v>
      </c>
      <c r="C73" s="42" t="s">
        <v>68</v>
      </c>
      <c r="D73" s="43"/>
      <c r="E73" s="44" t="n">
        <v>-51.75</v>
      </c>
      <c r="F73" s="45" t="n">
        <f aca="false">IF(ISNUMBER(FIND("SALDO ANTERIOR",C73)),0,IF(ISNUMBER(FIND("SALDO DO DIA",C73)),0,IF(ISNUMBER(FIND("SALDO PARCIAL",C73)),0,IF(ISNUMBER(FIND("SDO CTA/APL AUTOMATICAS",C73)),0,IF(ISNUMBER(FIND("APL APLIC AUT MAIS",C73)),0,IF(ISNUMBER(FIND("TEC DEPOSITO",C73)),0,IF(E73&gt;0,0,E73*(-1))))))))</f>
        <v>0</v>
      </c>
      <c r="G73" s="46" t="n">
        <f aca="false">IF(ISNUMBER(FIND("SALDO ANTERIOR",C73)),0,IF(ISNUMBER(FIND("SALDO DO DIA",C73)),0,IF(ISNUMBER(FIND("SDO CTA/APL AUTOMATICAS",C73)),0,IF(ISNUMBER(FIND("TEC DEPOSITO",C73)),0,IF(ISNUMBER(FIND("APL APLIC AUT MAIS",C73)),E73,IF(E73&gt;0,E73,0))))))</f>
        <v>0</v>
      </c>
      <c r="H73" s="47" t="n">
        <v>44197</v>
      </c>
    </row>
    <row r="74" customFormat="false" ht="13.8" hidden="false" customHeight="false" outlineLevel="0" collapsed="false">
      <c r="A74" s="40" t="s">
        <v>64</v>
      </c>
      <c r="B74" s="41" t="s">
        <v>137</v>
      </c>
      <c r="C74" s="48" t="s">
        <v>65</v>
      </c>
      <c r="D74" s="43" t="s">
        <v>56</v>
      </c>
      <c r="E74" s="49" t="n">
        <v>-35.84</v>
      </c>
      <c r="F74" s="45" t="n">
        <f aca="false">IF(ISNUMBER(FIND("SALDO ANTERIOR",C74)),0,IF(ISNUMBER(FIND("SALDO DO DIA",C74)),0,IF(ISNUMBER(FIND("SALDO PARCIAL",C74)),0,IF(ISNUMBER(FIND("SDO CTA/APL AUTOMATICAS",C74)),0,IF(ISNUMBER(FIND("APL APLIC AUT MAIS",C74)),0,IF(ISNUMBER(FIND("TEC DEPOSITO",C74)),0,IF(E74&gt;0,0,E74*(-1))))))))</f>
        <v>35.84</v>
      </c>
      <c r="G74" s="46" t="n">
        <f aca="false">IF(ISNUMBER(FIND("SALDO ANTERIOR",C74)),0,IF(ISNUMBER(FIND("SALDO DO DIA",C74)),0,IF(ISNUMBER(FIND("SDO CTA/APL AUTOMATICAS",C74)),0,IF(ISNUMBER(FIND("TEC DEPOSITO",C74)),0,IF(ISNUMBER(FIND("APL APLIC AUT MAIS",C74)),E74,IF(E74&gt;0,E74,0))))))</f>
        <v>0</v>
      </c>
      <c r="H74" s="47" t="n">
        <v>44197</v>
      </c>
    </row>
    <row r="75" customFormat="false" ht="15" hidden="false" customHeight="false" outlineLevel="0" collapsed="false">
      <c r="A75" s="40" t="s">
        <v>31</v>
      </c>
      <c r="B75" s="41" t="s">
        <v>137</v>
      </c>
      <c r="C75" s="42" t="s">
        <v>68</v>
      </c>
      <c r="D75" s="43"/>
      <c r="E75" s="44" t="n">
        <v>-87.59</v>
      </c>
      <c r="F75" s="45" t="n">
        <f aca="false">IF(ISNUMBER(FIND("SALDO ANTERIOR",C75)),0,IF(ISNUMBER(FIND("SALDO DO DIA",C75)),0,IF(ISNUMBER(FIND("SALDO PARCIAL",C75)),0,IF(ISNUMBER(FIND("SDO CTA/APL AUTOMATICAS",C75)),0,IF(ISNUMBER(FIND("APL APLIC AUT MAIS",C75)),0,IF(ISNUMBER(FIND("TEC DEPOSITO",C75)),0,IF(E75&gt;0,0,E75*(-1))))))))</f>
        <v>0</v>
      </c>
      <c r="G75" s="46" t="n">
        <f aca="false">IF(ISNUMBER(FIND("SALDO ANTERIOR",C75)),0,IF(ISNUMBER(FIND("SALDO DO DIA",C75)),0,IF(ISNUMBER(FIND("SDO CTA/APL AUTOMATICAS",C75)),0,IF(ISNUMBER(FIND("TEC DEPOSITO",C75)),0,IF(ISNUMBER(FIND("APL APLIC AUT MAIS",C75)),E75,IF(E75&gt;0,E75,0))))))</f>
        <v>0</v>
      </c>
      <c r="H75" s="47" t="n">
        <v>44197</v>
      </c>
    </row>
    <row r="76" customFormat="false" ht="13.8" hidden="false" customHeight="false" outlineLevel="0" collapsed="false">
      <c r="A76" s="40" t="s">
        <v>64</v>
      </c>
      <c r="B76" s="41" t="s">
        <v>138</v>
      </c>
      <c r="C76" s="48" t="s">
        <v>65</v>
      </c>
      <c r="D76" s="43" t="s">
        <v>56</v>
      </c>
      <c r="E76" s="49" t="n">
        <v>-103.39</v>
      </c>
      <c r="F76" s="45" t="n">
        <f aca="false">IF(ISNUMBER(FIND("SALDO ANTERIOR",C76)),0,IF(ISNUMBER(FIND("SALDO DO DIA",C76)),0,IF(ISNUMBER(FIND("SALDO PARCIAL",C76)),0,IF(ISNUMBER(FIND("SDO CTA/APL AUTOMATICAS",C76)),0,IF(ISNUMBER(FIND("APL APLIC AUT MAIS",C76)),0,IF(ISNUMBER(FIND("TEC DEPOSITO",C76)),0,IF(E76&gt;0,0,E76*(-1))))))))</f>
        <v>103.39</v>
      </c>
      <c r="G76" s="46" t="n">
        <f aca="false">IF(ISNUMBER(FIND("SALDO ANTERIOR",C76)),0,IF(ISNUMBER(FIND("SALDO DO DIA",C76)),0,IF(ISNUMBER(FIND("SDO CTA/APL AUTOMATICAS",C76)),0,IF(ISNUMBER(FIND("TEC DEPOSITO",C76)),0,IF(ISNUMBER(FIND("APL APLIC AUT MAIS",C76)),E76,IF(E76&gt;0,E76,0))))))</f>
        <v>0</v>
      </c>
      <c r="H76" s="47" t="n">
        <v>44197</v>
      </c>
    </row>
    <row r="77" customFormat="false" ht="15" hidden="false" customHeight="false" outlineLevel="0" collapsed="false">
      <c r="A77" s="40" t="s">
        <v>31</v>
      </c>
      <c r="B77" s="41" t="s">
        <v>138</v>
      </c>
      <c r="C77" s="42" t="s">
        <v>68</v>
      </c>
      <c r="D77" s="43"/>
      <c r="E77" s="44" t="n">
        <v>-190.98</v>
      </c>
      <c r="F77" s="45" t="n">
        <f aca="false">IF(ISNUMBER(FIND("SALDO ANTERIOR",C77)),0,IF(ISNUMBER(FIND("SALDO DO DIA",C77)),0,IF(ISNUMBER(FIND("SALDO PARCIAL",C77)),0,IF(ISNUMBER(FIND("SDO CTA/APL AUTOMATICAS",C77)),0,IF(ISNUMBER(FIND("APL APLIC AUT MAIS",C77)),0,IF(ISNUMBER(FIND("TEC DEPOSITO",C77)),0,IF(E77&gt;0,0,E77*(-1))))))))</f>
        <v>0</v>
      </c>
      <c r="G77" s="46" t="n">
        <f aca="false">IF(ISNUMBER(FIND("SALDO ANTERIOR",C77)),0,IF(ISNUMBER(FIND("SALDO DO DIA",C77)),0,IF(ISNUMBER(FIND("SDO CTA/APL AUTOMATICAS",C77)),0,IF(ISNUMBER(FIND("TEC DEPOSITO",C77)),0,IF(ISNUMBER(FIND("APL APLIC AUT MAIS",C77)),E77,IF(E77&gt;0,E77,0))))))</f>
        <v>0</v>
      </c>
      <c r="H77" s="47" t="n">
        <v>44197</v>
      </c>
    </row>
    <row r="78" customFormat="false" ht="13.8" hidden="false" customHeight="false" outlineLevel="0" collapsed="false">
      <c r="A78" s="40" t="s">
        <v>77</v>
      </c>
      <c r="B78" s="41" t="s">
        <v>139</v>
      </c>
      <c r="C78" s="48" t="s">
        <v>79</v>
      </c>
      <c r="D78" s="43" t="s">
        <v>56</v>
      </c>
      <c r="E78" s="49" t="n">
        <v>-10</v>
      </c>
      <c r="F78" s="45" t="n">
        <f aca="false">IF(ISNUMBER(FIND("SALDO ANTERIOR",C78)),0,IF(ISNUMBER(FIND("SALDO DO DIA",C78)),0,IF(ISNUMBER(FIND("SALDO PARCIAL",C78)),0,IF(ISNUMBER(FIND("SDO CTA/APL AUTOMATICAS",C78)),0,IF(ISNUMBER(FIND("APL APLIC AUT MAIS",C78)),0,IF(ISNUMBER(FIND("TEC DEPOSITO",C78)),0,IF(E78&gt;0,0,E78*(-1))))))))</f>
        <v>10</v>
      </c>
      <c r="G78" s="46" t="n">
        <f aca="false">IF(ISNUMBER(FIND("SALDO ANTERIOR",C78)),0,IF(ISNUMBER(FIND("SALDO DO DIA",C78)),0,IF(ISNUMBER(FIND("SDO CTA/APL AUTOMATICAS",C78)),0,IF(ISNUMBER(FIND("TEC DEPOSITO",C78)),0,IF(ISNUMBER(FIND("APL APLIC AUT MAIS",C78)),E78,IF(E78&gt;0,E78,0))))))</f>
        <v>0</v>
      </c>
      <c r="H78" s="47" t="n">
        <v>44197</v>
      </c>
    </row>
    <row r="79" customFormat="false" ht="13.8" hidden="false" customHeight="false" outlineLevel="0" collapsed="false">
      <c r="A79" s="40" t="s">
        <v>59</v>
      </c>
      <c r="B79" s="41" t="s">
        <v>139</v>
      </c>
      <c r="C79" s="48" t="s">
        <v>140</v>
      </c>
      <c r="D79" s="43" t="s">
        <v>56</v>
      </c>
      <c r="E79" s="49" t="n">
        <v>-31.7</v>
      </c>
      <c r="F79" s="45" t="n">
        <f aca="false">IF(ISNUMBER(FIND("SALDO ANTERIOR",C79)),0,IF(ISNUMBER(FIND("SALDO DO DIA",C79)),0,IF(ISNUMBER(FIND("SALDO PARCIAL",C79)),0,IF(ISNUMBER(FIND("SDO CTA/APL AUTOMATICAS",C79)),0,IF(ISNUMBER(FIND("APL APLIC AUT MAIS",C79)),0,IF(ISNUMBER(FIND("TEC DEPOSITO",C79)),0,IF(E79&gt;0,0,E79*(-1))))))))</f>
        <v>31.7</v>
      </c>
      <c r="G79" s="46" t="n">
        <f aca="false">IF(ISNUMBER(FIND("SALDO ANTERIOR",C79)),0,IF(ISNUMBER(FIND("SALDO DO DIA",C79)),0,IF(ISNUMBER(FIND("SDO CTA/APL AUTOMATICAS",C79)),0,IF(ISNUMBER(FIND("TEC DEPOSITO",C79)),0,IF(ISNUMBER(FIND("APL APLIC AUT MAIS",C79)),E79,IF(E79&gt;0,E79,0))))))</f>
        <v>0</v>
      </c>
      <c r="H79" s="47" t="n">
        <v>44197</v>
      </c>
    </row>
    <row r="80" customFormat="false" ht="13.8" hidden="false" customHeight="false" outlineLevel="0" collapsed="false">
      <c r="A80" s="40" t="s">
        <v>64</v>
      </c>
      <c r="B80" s="41" t="s">
        <v>139</v>
      </c>
      <c r="C80" s="48" t="s">
        <v>65</v>
      </c>
      <c r="D80" s="43" t="s">
        <v>56</v>
      </c>
      <c r="E80" s="49" t="n">
        <v>-170.07</v>
      </c>
      <c r="F80" s="45" t="n">
        <f aca="false">IF(ISNUMBER(FIND("SALDO ANTERIOR",C80)),0,IF(ISNUMBER(FIND("SALDO DO DIA",C80)),0,IF(ISNUMBER(FIND("SALDO PARCIAL",C80)),0,IF(ISNUMBER(FIND("SDO CTA/APL AUTOMATICAS",C80)),0,IF(ISNUMBER(FIND("APL APLIC AUT MAIS",C80)),0,IF(ISNUMBER(FIND("TEC DEPOSITO",C80)),0,IF(E80&gt;0,0,E80*(-1))))))))</f>
        <v>170.07</v>
      </c>
      <c r="G80" s="46" t="n">
        <f aca="false">IF(ISNUMBER(FIND("SALDO ANTERIOR",C80)),0,IF(ISNUMBER(FIND("SALDO DO DIA",C80)),0,IF(ISNUMBER(FIND("SDO CTA/APL AUTOMATICAS",C80)),0,IF(ISNUMBER(FIND("TEC DEPOSITO",C80)),0,IF(ISNUMBER(FIND("APL APLIC AUT MAIS",C80)),E80,IF(E80&gt;0,E80,0))))))</f>
        <v>0</v>
      </c>
      <c r="H80" s="47" t="n">
        <v>44197</v>
      </c>
    </row>
    <row r="81" customFormat="false" ht="15" hidden="false" customHeight="false" outlineLevel="0" collapsed="false">
      <c r="A81" s="40" t="s">
        <v>31</v>
      </c>
      <c r="B81" s="41" t="s">
        <v>139</v>
      </c>
      <c r="C81" s="42" t="s">
        <v>68</v>
      </c>
      <c r="D81" s="43"/>
      <c r="E81" s="44" t="n">
        <v>-402.75</v>
      </c>
      <c r="F81" s="45" t="n">
        <f aca="false">IF(ISNUMBER(FIND("SALDO ANTERIOR",C81)),0,IF(ISNUMBER(FIND("SALDO DO DIA",C81)),0,IF(ISNUMBER(FIND("SALDO PARCIAL",C81)),0,IF(ISNUMBER(FIND("SDO CTA/APL AUTOMATICAS",C81)),0,IF(ISNUMBER(FIND("APL APLIC AUT MAIS",C81)),0,IF(ISNUMBER(FIND("TEC DEPOSITO",C81)),0,IF(E81&gt;0,0,E81*(-1))))))))</f>
        <v>0</v>
      </c>
      <c r="G81" s="46" t="n">
        <f aca="false">IF(ISNUMBER(FIND("SALDO ANTERIOR",C81)),0,IF(ISNUMBER(FIND("SALDO DO DIA",C81)),0,IF(ISNUMBER(FIND("SDO CTA/APL AUTOMATICAS",C81)),0,IF(ISNUMBER(FIND("TEC DEPOSITO",C81)),0,IF(ISNUMBER(FIND("APL APLIC AUT MAIS",C81)),E81,IF(E81&gt;0,E81,0))))))</f>
        <v>0</v>
      </c>
      <c r="H81" s="47" t="n">
        <v>44197</v>
      </c>
    </row>
    <row r="82" customFormat="false" ht="13.8" hidden="false" customHeight="false" outlineLevel="0" collapsed="false">
      <c r="A82" s="40" t="s">
        <v>121</v>
      </c>
      <c r="B82" s="41" t="s">
        <v>141</v>
      </c>
      <c r="C82" s="48" t="s">
        <v>142</v>
      </c>
      <c r="D82" s="43" t="s">
        <v>91</v>
      </c>
      <c r="E82" s="49" t="n">
        <v>-100</v>
      </c>
      <c r="F82" s="45" t="n">
        <f aca="false">IF(ISNUMBER(FIND("SALDO ANTERIOR",C82)),0,IF(ISNUMBER(FIND("SALDO DO DIA",C82)),0,IF(ISNUMBER(FIND("SALDO PARCIAL",C82)),0,IF(ISNUMBER(FIND("SDO CTA/APL AUTOMATICAS",C82)),0,IF(ISNUMBER(FIND("APL APLIC AUT MAIS",C82)),0,IF(ISNUMBER(FIND("TEC DEPOSITO",C82)),0,IF(E82&gt;0,0,E82*(-1))))))))</f>
        <v>100</v>
      </c>
      <c r="G82" s="46" t="n">
        <f aca="false">IF(ISNUMBER(FIND("SALDO ANTERIOR",C82)),0,IF(ISNUMBER(FIND("SALDO DO DIA",C82)),0,IF(ISNUMBER(FIND("SDO CTA/APL AUTOMATICAS",C82)),0,IF(ISNUMBER(FIND("TEC DEPOSITO",C82)),0,IF(ISNUMBER(FIND("APL APLIC AUT MAIS",C82)),E82,IF(E82&gt;0,E82,0))))))</f>
        <v>0</v>
      </c>
      <c r="H82" s="47" t="n">
        <v>44197</v>
      </c>
    </row>
    <row r="83" customFormat="false" ht="13.8" hidden="false" customHeight="false" outlineLevel="0" collapsed="false">
      <c r="A83" s="40" t="s">
        <v>59</v>
      </c>
      <c r="B83" s="41" t="s">
        <v>141</v>
      </c>
      <c r="C83" s="48" t="s">
        <v>143</v>
      </c>
      <c r="D83" s="43" t="s">
        <v>56</v>
      </c>
      <c r="E83" s="49" t="n">
        <v>-6.25</v>
      </c>
      <c r="F83" s="45" t="n">
        <f aca="false">IF(ISNUMBER(FIND("SALDO ANTERIOR",C83)),0,IF(ISNUMBER(FIND("SALDO DO DIA",C83)),0,IF(ISNUMBER(FIND("SALDO PARCIAL",C83)),0,IF(ISNUMBER(FIND("SDO CTA/APL AUTOMATICAS",C83)),0,IF(ISNUMBER(FIND("APL APLIC AUT MAIS",C83)),0,IF(ISNUMBER(FIND("TEC DEPOSITO",C83)),0,IF(E83&gt;0,0,E83*(-1))))))))</f>
        <v>6.25</v>
      </c>
      <c r="G83" s="46" t="n">
        <f aca="false">IF(ISNUMBER(FIND("SALDO ANTERIOR",C83)),0,IF(ISNUMBER(FIND("SALDO DO DIA",C83)),0,IF(ISNUMBER(FIND("SDO CTA/APL AUTOMATICAS",C83)),0,IF(ISNUMBER(FIND("TEC DEPOSITO",C83)),0,IF(ISNUMBER(FIND("APL APLIC AUT MAIS",C83)),E83,IF(E83&gt;0,E83,0))))))</f>
        <v>0</v>
      </c>
      <c r="H83" s="47" t="n">
        <v>44197</v>
      </c>
    </row>
    <row r="84" customFormat="false" ht="13.8" hidden="false" customHeight="false" outlineLevel="0" collapsed="false">
      <c r="A84" s="40" t="s">
        <v>57</v>
      </c>
      <c r="B84" s="41" t="s">
        <v>141</v>
      </c>
      <c r="C84" s="48" t="s">
        <v>144</v>
      </c>
      <c r="D84" s="43" t="s">
        <v>56</v>
      </c>
      <c r="E84" s="49" t="n">
        <v>-17.9</v>
      </c>
      <c r="F84" s="45" t="n">
        <f aca="false">IF(ISNUMBER(FIND("SALDO ANTERIOR",C84)),0,IF(ISNUMBER(FIND("SALDO DO DIA",C84)),0,IF(ISNUMBER(FIND("SALDO PARCIAL",C84)),0,IF(ISNUMBER(FIND("SDO CTA/APL AUTOMATICAS",C84)),0,IF(ISNUMBER(FIND("APL APLIC AUT MAIS",C84)),0,IF(ISNUMBER(FIND("TEC DEPOSITO",C84)),0,IF(E84&gt;0,0,E84*(-1))))))))</f>
        <v>17.9</v>
      </c>
      <c r="G84" s="46" t="n">
        <f aca="false">IF(ISNUMBER(FIND("SALDO ANTERIOR",C84)),0,IF(ISNUMBER(FIND("SALDO DO DIA",C84)),0,IF(ISNUMBER(FIND("SDO CTA/APL AUTOMATICAS",C84)),0,IF(ISNUMBER(FIND("TEC DEPOSITO",C84)),0,IF(ISNUMBER(FIND("APL APLIC AUT MAIS",C84)),E84,IF(E84&gt;0,E84,0))))))</f>
        <v>0</v>
      </c>
      <c r="H84" s="47" t="n">
        <v>44197</v>
      </c>
    </row>
    <row r="85" customFormat="false" ht="13.8" hidden="false" customHeight="false" outlineLevel="0" collapsed="false">
      <c r="A85" s="40" t="s">
        <v>57</v>
      </c>
      <c r="B85" s="41" t="s">
        <v>141</v>
      </c>
      <c r="C85" s="48" t="s">
        <v>145</v>
      </c>
      <c r="D85" s="43" t="s">
        <v>56</v>
      </c>
      <c r="E85" s="49" t="n">
        <v>-5.99</v>
      </c>
      <c r="F85" s="45" t="n">
        <f aca="false">IF(ISNUMBER(FIND("SALDO ANTERIOR",C85)),0,IF(ISNUMBER(FIND("SALDO DO DIA",C85)),0,IF(ISNUMBER(FIND("SALDO PARCIAL",C85)),0,IF(ISNUMBER(FIND("SDO CTA/APL AUTOMATICAS",C85)),0,IF(ISNUMBER(FIND("APL APLIC AUT MAIS",C85)),0,IF(ISNUMBER(FIND("TEC DEPOSITO",C85)),0,IF(E85&gt;0,0,E85*(-1))))))))</f>
        <v>5.99</v>
      </c>
      <c r="G85" s="46" t="n">
        <f aca="false">IF(ISNUMBER(FIND("SALDO ANTERIOR",C85)),0,IF(ISNUMBER(FIND("SALDO DO DIA",C85)),0,IF(ISNUMBER(FIND("SDO CTA/APL AUTOMATICAS",C85)),0,IF(ISNUMBER(FIND("TEC DEPOSITO",C85)),0,IF(ISNUMBER(FIND("APL APLIC AUT MAIS",C85)),E85,IF(E85&gt;0,E85,0))))))</f>
        <v>0</v>
      </c>
      <c r="H85" s="47" t="n">
        <v>44197</v>
      </c>
    </row>
    <row r="86" customFormat="false" ht="13.8" hidden="false" customHeight="false" outlineLevel="0" collapsed="false">
      <c r="A86" s="40" t="s">
        <v>59</v>
      </c>
      <c r="B86" s="41" t="s">
        <v>141</v>
      </c>
      <c r="C86" s="48" t="s">
        <v>146</v>
      </c>
      <c r="D86" s="43" t="s">
        <v>56</v>
      </c>
      <c r="E86" s="49" t="n">
        <v>-14</v>
      </c>
      <c r="F86" s="45" t="n">
        <f aca="false">IF(ISNUMBER(FIND("SALDO ANTERIOR",C86)),0,IF(ISNUMBER(FIND("SALDO DO DIA",C86)),0,IF(ISNUMBER(FIND("SALDO PARCIAL",C86)),0,IF(ISNUMBER(FIND("SDO CTA/APL AUTOMATICAS",C86)),0,IF(ISNUMBER(FIND("APL APLIC AUT MAIS",C86)),0,IF(ISNUMBER(FIND("TEC DEPOSITO",C86)),0,IF(E86&gt;0,0,E86*(-1))))))))</f>
        <v>14</v>
      </c>
      <c r="G86" s="46" t="n">
        <f aca="false">IF(ISNUMBER(FIND("SALDO ANTERIOR",C86)),0,IF(ISNUMBER(FIND("SALDO DO DIA",C86)),0,IF(ISNUMBER(FIND("SDO CTA/APL AUTOMATICAS",C86)),0,IF(ISNUMBER(FIND("TEC DEPOSITO",C86)),0,IF(ISNUMBER(FIND("APL APLIC AUT MAIS",C86)),E86,IF(E86&gt;0,E86,0))))))</f>
        <v>0</v>
      </c>
      <c r="H86" s="47" t="n">
        <v>44197</v>
      </c>
    </row>
    <row r="87" customFormat="false" ht="13.8" hidden="false" customHeight="false" outlineLevel="0" collapsed="false">
      <c r="A87" s="40" t="s">
        <v>59</v>
      </c>
      <c r="B87" s="41" t="s">
        <v>141</v>
      </c>
      <c r="C87" s="48" t="s">
        <v>147</v>
      </c>
      <c r="D87" s="43" t="s">
        <v>56</v>
      </c>
      <c r="E87" s="49" t="n">
        <v>-7</v>
      </c>
      <c r="F87" s="45" t="n">
        <f aca="false">IF(ISNUMBER(FIND("SALDO ANTERIOR",C87)),0,IF(ISNUMBER(FIND("SALDO DO DIA",C87)),0,IF(ISNUMBER(FIND("SALDO PARCIAL",C87)),0,IF(ISNUMBER(FIND("SDO CTA/APL AUTOMATICAS",C87)),0,IF(ISNUMBER(FIND("APL APLIC AUT MAIS",C87)),0,IF(ISNUMBER(FIND("TEC DEPOSITO",C87)),0,IF(E87&gt;0,0,E87*(-1))))))))</f>
        <v>7</v>
      </c>
      <c r="G87" s="46" t="n">
        <f aca="false">IF(ISNUMBER(FIND("SALDO ANTERIOR",C87)),0,IF(ISNUMBER(FIND("SALDO DO DIA",C87)),0,IF(ISNUMBER(FIND("SDO CTA/APL AUTOMATICAS",C87)),0,IF(ISNUMBER(FIND("TEC DEPOSITO",C87)),0,IF(ISNUMBER(FIND("APL APLIC AUT MAIS",C87)),E87,IF(E87&gt;0,E87,0))))))</f>
        <v>0</v>
      </c>
      <c r="H87" s="47" t="n">
        <v>44197</v>
      </c>
    </row>
    <row r="88" customFormat="false" ht="13.8" hidden="false" customHeight="false" outlineLevel="0" collapsed="false">
      <c r="A88" s="40" t="s">
        <v>148</v>
      </c>
      <c r="B88" s="41" t="s">
        <v>141</v>
      </c>
      <c r="C88" s="48" t="s">
        <v>149</v>
      </c>
      <c r="D88" s="43" t="s">
        <v>56</v>
      </c>
      <c r="E88" s="49" t="n">
        <v>-140</v>
      </c>
      <c r="F88" s="45" t="n">
        <f aca="false">IF(ISNUMBER(FIND("SALDO ANTERIOR",C88)),0,IF(ISNUMBER(FIND("SALDO DO DIA",C88)),0,IF(ISNUMBER(FIND("SALDO PARCIAL",C88)),0,IF(ISNUMBER(FIND("SDO CTA/APL AUTOMATICAS",C88)),0,IF(ISNUMBER(FIND("APL APLIC AUT MAIS",C88)),0,IF(ISNUMBER(FIND("TEC DEPOSITO",C88)),0,IF(E88&gt;0,0,E88*(-1))))))))</f>
        <v>140</v>
      </c>
      <c r="G88" s="46" t="n">
        <f aca="false">IF(ISNUMBER(FIND("SALDO ANTERIOR",C88)),0,IF(ISNUMBER(FIND("SALDO DO DIA",C88)),0,IF(ISNUMBER(FIND("SDO CTA/APL AUTOMATICAS",C88)),0,IF(ISNUMBER(FIND("TEC DEPOSITO",C88)),0,IF(ISNUMBER(FIND("APL APLIC AUT MAIS",C88)),E88,IF(E88&gt;0,E88,0))))))</f>
        <v>0</v>
      </c>
      <c r="H88" s="47" t="n">
        <v>44197</v>
      </c>
    </row>
    <row r="89" customFormat="false" ht="13.8" hidden="false" customHeight="false" outlineLevel="0" collapsed="false">
      <c r="A89" s="40" t="s">
        <v>59</v>
      </c>
      <c r="B89" s="41" t="s">
        <v>141</v>
      </c>
      <c r="C89" s="48" t="s">
        <v>99</v>
      </c>
      <c r="D89" s="43" t="s">
        <v>56</v>
      </c>
      <c r="E89" s="49" t="n">
        <v>-5.01</v>
      </c>
      <c r="F89" s="45" t="n">
        <f aca="false">IF(ISNUMBER(FIND("SALDO ANTERIOR",C89)),0,IF(ISNUMBER(FIND("SALDO DO DIA",C89)),0,IF(ISNUMBER(FIND("SALDO PARCIAL",C89)),0,IF(ISNUMBER(FIND("SDO CTA/APL AUTOMATICAS",C89)),0,IF(ISNUMBER(FIND("APL APLIC AUT MAIS",C89)),0,IF(ISNUMBER(FIND("TEC DEPOSITO",C89)),0,IF(E89&gt;0,0,E89*(-1))))))))</f>
        <v>5.01</v>
      </c>
      <c r="G89" s="46" t="n">
        <f aca="false">IF(ISNUMBER(FIND("SALDO ANTERIOR",C89)),0,IF(ISNUMBER(FIND("SALDO DO DIA",C89)),0,IF(ISNUMBER(FIND("SDO CTA/APL AUTOMATICAS",C89)),0,IF(ISNUMBER(FIND("TEC DEPOSITO",C89)),0,IF(ISNUMBER(FIND("APL APLIC AUT MAIS",C89)),E89,IF(E89&gt;0,E89,0))))))</f>
        <v>0</v>
      </c>
      <c r="H89" s="47" t="n">
        <v>44197</v>
      </c>
    </row>
    <row r="90" customFormat="false" ht="13.8" hidden="false" customHeight="false" outlineLevel="0" collapsed="false">
      <c r="A90" s="40" t="s">
        <v>59</v>
      </c>
      <c r="B90" s="41" t="s">
        <v>141</v>
      </c>
      <c r="C90" s="48" t="s">
        <v>99</v>
      </c>
      <c r="D90" s="43" t="s">
        <v>56</v>
      </c>
      <c r="E90" s="49" t="n">
        <v>-5</v>
      </c>
      <c r="F90" s="45" t="n">
        <f aca="false">IF(ISNUMBER(FIND("SALDO ANTERIOR",C90)),0,IF(ISNUMBER(FIND("SALDO DO DIA",C90)),0,IF(ISNUMBER(FIND("SALDO PARCIAL",C90)),0,IF(ISNUMBER(FIND("SDO CTA/APL AUTOMATICAS",C90)),0,IF(ISNUMBER(FIND("APL APLIC AUT MAIS",C90)),0,IF(ISNUMBER(FIND("TEC DEPOSITO",C90)),0,IF(E90&gt;0,0,E90*(-1))))))))</f>
        <v>5</v>
      </c>
      <c r="G90" s="46" t="n">
        <f aca="false">IF(ISNUMBER(FIND("SALDO ANTERIOR",C90)),0,IF(ISNUMBER(FIND("SALDO DO DIA",C90)),0,IF(ISNUMBER(FIND("SDO CTA/APL AUTOMATICAS",C90)),0,IF(ISNUMBER(FIND("TEC DEPOSITO",C90)),0,IF(ISNUMBER(FIND("APL APLIC AUT MAIS",C90)),E90,IF(E90&gt;0,E90,0))))))</f>
        <v>0</v>
      </c>
      <c r="H90" s="47" t="n">
        <v>44197</v>
      </c>
    </row>
    <row r="91" customFormat="false" ht="13.8" hidden="false" customHeight="false" outlineLevel="0" collapsed="false">
      <c r="A91" s="40" t="s">
        <v>103</v>
      </c>
      <c r="B91" s="41" t="s">
        <v>141</v>
      </c>
      <c r="C91" s="48" t="s">
        <v>130</v>
      </c>
      <c r="D91" s="43" t="s">
        <v>56</v>
      </c>
      <c r="E91" s="49" t="n">
        <v>-50</v>
      </c>
      <c r="F91" s="45" t="n">
        <f aca="false">IF(ISNUMBER(FIND("SALDO ANTERIOR",C91)),0,IF(ISNUMBER(FIND("SALDO DO DIA",C91)),0,IF(ISNUMBER(FIND("SALDO PARCIAL",C91)),0,IF(ISNUMBER(FIND("SDO CTA/APL AUTOMATICAS",C91)),0,IF(ISNUMBER(FIND("APL APLIC AUT MAIS",C91)),0,IF(ISNUMBER(FIND("TEC DEPOSITO",C91)),0,IF(E91&gt;0,0,E91*(-1))))))))</f>
        <v>50</v>
      </c>
      <c r="G91" s="46" t="n">
        <f aca="false">IF(ISNUMBER(FIND("SALDO ANTERIOR",C91)),0,IF(ISNUMBER(FIND("SALDO DO DIA",C91)),0,IF(ISNUMBER(FIND("SDO CTA/APL AUTOMATICAS",C91)),0,IF(ISNUMBER(FIND("TEC DEPOSITO",C91)),0,IF(ISNUMBER(FIND("APL APLIC AUT MAIS",C91)),E91,IF(E91&gt;0,E91,0))))))</f>
        <v>0</v>
      </c>
      <c r="H91" s="47" t="n">
        <v>44197</v>
      </c>
    </row>
    <row r="92" customFormat="false" ht="13.8" hidden="false" customHeight="false" outlineLevel="0" collapsed="false">
      <c r="A92" s="40" t="s">
        <v>62</v>
      </c>
      <c r="B92" s="41" t="s">
        <v>141</v>
      </c>
      <c r="C92" s="48" t="s">
        <v>150</v>
      </c>
      <c r="D92" s="43" t="s">
        <v>56</v>
      </c>
      <c r="E92" s="49" t="n">
        <v>-55.15</v>
      </c>
      <c r="F92" s="45" t="n">
        <f aca="false">IF(ISNUMBER(FIND("SALDO ANTERIOR",C92)),0,IF(ISNUMBER(FIND("SALDO DO DIA",C92)),0,IF(ISNUMBER(FIND("SALDO PARCIAL",C92)),0,IF(ISNUMBER(FIND("SDO CTA/APL AUTOMATICAS",C92)),0,IF(ISNUMBER(FIND("APL APLIC AUT MAIS",C92)),0,IF(ISNUMBER(FIND("TEC DEPOSITO",C92)),0,IF(E92&gt;0,0,E92*(-1))))))))</f>
        <v>55.15</v>
      </c>
      <c r="G92" s="46" t="n">
        <f aca="false">IF(ISNUMBER(FIND("SALDO ANTERIOR",C92)),0,IF(ISNUMBER(FIND("SALDO DO DIA",C92)),0,IF(ISNUMBER(FIND("SDO CTA/APL AUTOMATICAS",C92)),0,IF(ISNUMBER(FIND("TEC DEPOSITO",C92)),0,IF(ISNUMBER(FIND("APL APLIC AUT MAIS",C92)),E92,IF(E92&gt;0,E92,0))))))</f>
        <v>0</v>
      </c>
      <c r="H92" s="47" t="n">
        <v>44197</v>
      </c>
    </row>
    <row r="93" customFormat="false" ht="13.8" hidden="false" customHeight="false" outlineLevel="0" collapsed="false">
      <c r="A93" s="40" t="s">
        <v>64</v>
      </c>
      <c r="B93" s="41" t="s">
        <v>141</v>
      </c>
      <c r="C93" s="48" t="s">
        <v>65</v>
      </c>
      <c r="D93" s="43" t="s">
        <v>56</v>
      </c>
      <c r="E93" s="49" t="n">
        <v>-73.55</v>
      </c>
      <c r="F93" s="45" t="n">
        <f aca="false">IF(ISNUMBER(FIND("SALDO ANTERIOR",C93)),0,IF(ISNUMBER(FIND("SALDO DO DIA",C93)),0,IF(ISNUMBER(FIND("SALDO PARCIAL",C93)),0,IF(ISNUMBER(FIND("SDO CTA/APL AUTOMATICAS",C93)),0,IF(ISNUMBER(FIND("APL APLIC AUT MAIS",C93)),0,IF(ISNUMBER(FIND("TEC DEPOSITO",C93)),0,IF(E93&gt;0,0,E93*(-1))))))))</f>
        <v>73.55</v>
      </c>
      <c r="G93" s="46" t="n">
        <f aca="false">IF(ISNUMBER(FIND("SALDO ANTERIOR",C93)),0,IF(ISNUMBER(FIND("SALDO DO DIA",C93)),0,IF(ISNUMBER(FIND("SDO CTA/APL AUTOMATICAS",C93)),0,IF(ISNUMBER(FIND("TEC DEPOSITO",C93)),0,IF(ISNUMBER(FIND("APL APLIC AUT MAIS",C93)),E93,IF(E93&gt;0,E93,0))))))</f>
        <v>0</v>
      </c>
      <c r="H93" s="47" t="n">
        <v>44197</v>
      </c>
    </row>
    <row r="94" customFormat="false" ht="13.8" hidden="false" customHeight="false" outlineLevel="0" collapsed="false">
      <c r="A94" s="40" t="s">
        <v>64</v>
      </c>
      <c r="B94" s="41" t="s">
        <v>141</v>
      </c>
      <c r="C94" s="48" t="s">
        <v>65</v>
      </c>
      <c r="D94" s="43" t="s">
        <v>56</v>
      </c>
      <c r="E94" s="49" t="n">
        <v>-104.74</v>
      </c>
      <c r="F94" s="45" t="n">
        <f aca="false">IF(ISNUMBER(FIND("SALDO ANTERIOR",C94)),0,IF(ISNUMBER(FIND("SALDO DO DIA",C94)),0,IF(ISNUMBER(FIND("SALDO PARCIAL",C94)),0,IF(ISNUMBER(FIND("SDO CTA/APL AUTOMATICAS",C94)),0,IF(ISNUMBER(FIND("APL APLIC AUT MAIS",C94)),0,IF(ISNUMBER(FIND("TEC DEPOSITO",C94)),0,IF(E94&gt;0,0,E94*(-1))))))))</f>
        <v>104.74</v>
      </c>
      <c r="G94" s="46" t="n">
        <f aca="false">IF(ISNUMBER(FIND("SALDO ANTERIOR",C94)),0,IF(ISNUMBER(FIND("SALDO DO DIA",C94)),0,IF(ISNUMBER(FIND("SDO CTA/APL AUTOMATICAS",C94)),0,IF(ISNUMBER(FIND("TEC DEPOSITO",C94)),0,IF(ISNUMBER(FIND("APL APLIC AUT MAIS",C94)),E94,IF(E94&gt;0,E94,0))))))</f>
        <v>0</v>
      </c>
      <c r="H94" s="47" t="n">
        <v>44197</v>
      </c>
    </row>
    <row r="95" customFormat="false" ht="13.8" hidden="false" customHeight="false" outlineLevel="0" collapsed="false">
      <c r="A95" s="40" t="s">
        <v>151</v>
      </c>
      <c r="B95" s="41" t="s">
        <v>141</v>
      </c>
      <c r="C95" s="48" t="s">
        <v>152</v>
      </c>
      <c r="D95" s="43" t="s">
        <v>153</v>
      </c>
      <c r="E95" s="49" t="n">
        <v>-25</v>
      </c>
      <c r="F95" s="45" t="n">
        <f aca="false">IF(ISNUMBER(FIND("SALDO ANTERIOR",C95)),0,IF(ISNUMBER(FIND("SALDO DO DIA",C95)),0,IF(ISNUMBER(FIND("SALDO PARCIAL",C95)),0,IF(ISNUMBER(FIND("SDO CTA/APL AUTOMATICAS",C95)),0,IF(ISNUMBER(FIND("APL APLIC AUT MAIS",C95)),0,IF(ISNUMBER(FIND("TEC DEPOSITO",C95)),0,IF(E95&gt;0,0,E95*(-1))))))))</f>
        <v>25</v>
      </c>
      <c r="G95" s="46" t="n">
        <f aca="false">IF(ISNUMBER(FIND("SALDO ANTERIOR",C95)),0,IF(ISNUMBER(FIND("SALDO DO DIA",C95)),0,IF(ISNUMBER(FIND("SDO CTA/APL AUTOMATICAS",C95)),0,IF(ISNUMBER(FIND("TEC DEPOSITO",C95)),0,IF(ISNUMBER(FIND("APL APLIC AUT MAIS",C95)),E95,IF(E95&gt;0,E95,0))))))</f>
        <v>0</v>
      </c>
      <c r="H95" s="47" t="n">
        <v>44197</v>
      </c>
    </row>
    <row r="96" customFormat="false" ht="13.8" hidden="false" customHeight="false" outlineLevel="0" collapsed="false">
      <c r="A96" s="40" t="s">
        <v>154</v>
      </c>
      <c r="B96" s="41" t="s">
        <v>141</v>
      </c>
      <c r="C96" s="48" t="s">
        <v>155</v>
      </c>
      <c r="D96" s="43" t="s">
        <v>72</v>
      </c>
      <c r="E96" s="50" t="n">
        <v>200</v>
      </c>
      <c r="F96" s="45" t="n">
        <f aca="false">IF(ISNUMBER(FIND("SALDO ANTERIOR",C96)),0,IF(ISNUMBER(FIND("SALDO DO DIA",C96)),0,IF(ISNUMBER(FIND("SALDO PARCIAL",C96)),0,IF(ISNUMBER(FIND("SDO CTA/APL AUTOMATICAS",C96)),0,IF(ISNUMBER(FIND("APL APLIC AUT MAIS",C96)),0,IF(ISNUMBER(FIND("TEC DEPOSITO",C96)),0,IF(E96&gt;0,0,E96*(-1))))))))</f>
        <v>0</v>
      </c>
      <c r="G96" s="46" t="n">
        <f aca="false">IF(ISNUMBER(FIND("SALDO ANTERIOR",C96)),0,IF(ISNUMBER(FIND("SALDO DO DIA",C96)),0,IF(ISNUMBER(FIND("SDO CTA/APL AUTOMATICAS",C96)),0,IF(ISNUMBER(FIND("TEC DEPOSITO",C96)),0,IF(ISNUMBER(FIND("APL APLIC AUT MAIS",C96)),E96,IF(E96&gt;0,E96,0))))))</f>
        <v>200</v>
      </c>
      <c r="H96" s="47" t="n">
        <v>44197</v>
      </c>
    </row>
    <row r="97" customFormat="false" ht="15" hidden="false" customHeight="false" outlineLevel="0" collapsed="false">
      <c r="A97" s="40" t="s">
        <v>31</v>
      </c>
      <c r="B97" s="41" t="s">
        <v>141</v>
      </c>
      <c r="C97" s="42" t="s">
        <v>68</v>
      </c>
      <c r="D97" s="43"/>
      <c r="E97" s="44" t="n">
        <v>-812.34</v>
      </c>
      <c r="F97" s="45" t="n">
        <f aca="false">IF(ISNUMBER(FIND("SALDO ANTERIOR",C97)),0,IF(ISNUMBER(FIND("SALDO DO DIA",C97)),0,IF(ISNUMBER(FIND("SALDO PARCIAL",C97)),0,IF(ISNUMBER(FIND("SDO CTA/APL AUTOMATICAS",C97)),0,IF(ISNUMBER(FIND("APL APLIC AUT MAIS",C97)),0,IF(ISNUMBER(FIND("TEC DEPOSITO",C97)),0,IF(E97&gt;0,0,E97*(-1))))))))</f>
        <v>0</v>
      </c>
      <c r="G97" s="46" t="n">
        <f aca="false">IF(ISNUMBER(FIND("SALDO ANTERIOR",C97)),0,IF(ISNUMBER(FIND("SALDO DO DIA",C97)),0,IF(ISNUMBER(FIND("SDO CTA/APL AUTOMATICAS",C97)),0,IF(ISNUMBER(FIND("TEC DEPOSITO",C97)),0,IF(ISNUMBER(FIND("APL APLIC AUT MAIS",C97)),E97,IF(E97&gt;0,E97,0))))))</f>
        <v>0</v>
      </c>
      <c r="H97" s="47" t="n">
        <v>44197</v>
      </c>
    </row>
    <row r="98" customFormat="false" ht="13.8" hidden="false" customHeight="false" outlineLevel="0" collapsed="false">
      <c r="A98" s="40" t="s">
        <v>57</v>
      </c>
      <c r="B98" s="41" t="s">
        <v>156</v>
      </c>
      <c r="C98" s="48" t="s">
        <v>157</v>
      </c>
      <c r="D98" s="43" t="s">
        <v>56</v>
      </c>
      <c r="E98" s="49" t="n">
        <v>-7</v>
      </c>
      <c r="F98" s="45" t="n">
        <f aca="false">IF(ISNUMBER(FIND("SALDO ANTERIOR",C98)),0,IF(ISNUMBER(FIND("SALDO DO DIA",C98)),0,IF(ISNUMBER(FIND("SALDO PARCIAL",C98)),0,IF(ISNUMBER(FIND("SDO CTA/APL AUTOMATICAS",C98)),0,IF(ISNUMBER(FIND("APL APLIC AUT MAIS",C98)),0,IF(ISNUMBER(FIND("TEC DEPOSITO",C98)),0,IF(E98&gt;0,0,E98*(-1))))))))</f>
        <v>7</v>
      </c>
      <c r="G98" s="46" t="n">
        <f aca="false">IF(ISNUMBER(FIND("SALDO ANTERIOR",C98)),0,IF(ISNUMBER(FIND("SALDO DO DIA",C98)),0,IF(ISNUMBER(FIND("SDO CTA/APL AUTOMATICAS",C98)),0,IF(ISNUMBER(FIND("TEC DEPOSITO",C98)),0,IF(ISNUMBER(FIND("APL APLIC AUT MAIS",C98)),E98,IF(E98&gt;0,E98,0))))))</f>
        <v>0</v>
      </c>
      <c r="H98" s="47" t="n">
        <v>44197</v>
      </c>
    </row>
    <row r="99" customFormat="false" ht="13.8" hidden="false" customHeight="false" outlineLevel="0" collapsed="false">
      <c r="A99" s="40" t="s">
        <v>57</v>
      </c>
      <c r="B99" s="41" t="s">
        <v>156</v>
      </c>
      <c r="C99" s="48" t="s">
        <v>158</v>
      </c>
      <c r="D99" s="43" t="s">
        <v>56</v>
      </c>
      <c r="E99" s="49" t="n">
        <v>-31.06</v>
      </c>
      <c r="F99" s="45" t="n">
        <f aca="false">IF(ISNUMBER(FIND("SALDO ANTERIOR",C99)),0,IF(ISNUMBER(FIND("SALDO DO DIA",C99)),0,IF(ISNUMBER(FIND("SALDO PARCIAL",C99)),0,IF(ISNUMBER(FIND("SDO CTA/APL AUTOMATICAS",C99)),0,IF(ISNUMBER(FIND("APL APLIC AUT MAIS",C99)),0,IF(ISNUMBER(FIND("TEC DEPOSITO",C99)),0,IF(E99&gt;0,0,E99*(-1))))))))</f>
        <v>31.06</v>
      </c>
      <c r="G99" s="46" t="n">
        <f aca="false">IF(ISNUMBER(FIND("SALDO ANTERIOR",C99)),0,IF(ISNUMBER(FIND("SALDO DO DIA",C99)),0,IF(ISNUMBER(FIND("SDO CTA/APL AUTOMATICAS",C99)),0,IF(ISNUMBER(FIND("TEC DEPOSITO",C99)),0,IF(ISNUMBER(FIND("APL APLIC AUT MAIS",C99)),E99,IF(E99&gt;0,E99,0))))))</f>
        <v>0</v>
      </c>
      <c r="H99" s="47" t="n">
        <v>44197</v>
      </c>
    </row>
    <row r="100" customFormat="false" ht="15" hidden="false" customHeight="false" outlineLevel="0" collapsed="false">
      <c r="A100" s="40" t="s">
        <v>31</v>
      </c>
      <c r="B100" s="41" t="s">
        <v>156</v>
      </c>
      <c r="C100" s="42" t="s">
        <v>68</v>
      </c>
      <c r="D100" s="43"/>
      <c r="E100" s="44" t="n">
        <v>-850.4</v>
      </c>
      <c r="F100" s="45" t="n">
        <f aca="false">IF(ISNUMBER(FIND("SALDO ANTERIOR",C100)),0,IF(ISNUMBER(FIND("SALDO DO DIA",C100)),0,IF(ISNUMBER(FIND("SALDO PARCIAL",C100)),0,IF(ISNUMBER(FIND("SDO CTA/APL AUTOMATICAS",C100)),0,IF(ISNUMBER(FIND("APL APLIC AUT MAIS",C100)),0,IF(ISNUMBER(FIND("TEC DEPOSITO",C100)),0,IF(E100&gt;0,0,E100*(-1))))))))</f>
        <v>0</v>
      </c>
      <c r="G100" s="46" t="n">
        <f aca="false">IF(ISNUMBER(FIND("SALDO ANTERIOR",C100)),0,IF(ISNUMBER(FIND("SALDO DO DIA",C100)),0,IF(ISNUMBER(FIND("SDO CTA/APL AUTOMATICAS",C100)),0,IF(ISNUMBER(FIND("TEC DEPOSITO",C100)),0,IF(ISNUMBER(FIND("APL APLIC AUT MAIS",C100)),E100,IF(E100&gt;0,E100,0))))))</f>
        <v>0</v>
      </c>
      <c r="H100" s="47" t="n">
        <v>44197</v>
      </c>
    </row>
    <row r="101" customFormat="false" ht="13.8" hidden="false" customHeight="false" outlineLevel="0" collapsed="false">
      <c r="A101" s="40" t="s">
        <v>159</v>
      </c>
      <c r="B101" s="41" t="s">
        <v>160</v>
      </c>
      <c r="C101" s="48" t="s">
        <v>161</v>
      </c>
      <c r="D101" s="43" t="s">
        <v>56</v>
      </c>
      <c r="E101" s="49" t="n">
        <v>-13.99</v>
      </c>
      <c r="F101" s="45" t="n">
        <f aca="false">IF(ISNUMBER(FIND("SALDO ANTERIOR",C101)),0,IF(ISNUMBER(FIND("SALDO DO DIA",C101)),0,IF(ISNUMBER(FIND("SALDO PARCIAL",C101)),0,IF(ISNUMBER(FIND("SDO CTA/APL AUTOMATICAS",C101)),0,IF(ISNUMBER(FIND("APL APLIC AUT MAIS",C101)),0,IF(ISNUMBER(FIND("TEC DEPOSITO",C101)),0,IF(E101&gt;0,0,E101*(-1))))))))</f>
        <v>13.99</v>
      </c>
      <c r="G101" s="46" t="n">
        <f aca="false">IF(ISNUMBER(FIND("SALDO ANTERIOR",C101)),0,IF(ISNUMBER(FIND("SALDO DO DIA",C101)),0,IF(ISNUMBER(FIND("SDO CTA/APL AUTOMATICAS",C101)),0,IF(ISNUMBER(FIND("TEC DEPOSITO",C101)),0,IF(ISNUMBER(FIND("APL APLIC AUT MAIS",C101)),E101,IF(E101&gt;0,E101,0))))))</f>
        <v>0</v>
      </c>
      <c r="H101" s="47" t="n">
        <v>44197</v>
      </c>
    </row>
    <row r="102" customFormat="false" ht="13.8" hidden="false" customHeight="false" outlineLevel="0" collapsed="false">
      <c r="A102" s="40" t="s">
        <v>57</v>
      </c>
      <c r="B102" s="41" t="s">
        <v>160</v>
      </c>
      <c r="C102" s="48" t="s">
        <v>162</v>
      </c>
      <c r="D102" s="43" t="s">
        <v>56</v>
      </c>
      <c r="E102" s="49" t="n">
        <v>-52.88</v>
      </c>
      <c r="F102" s="45" t="n">
        <f aca="false">IF(ISNUMBER(FIND("SALDO ANTERIOR",C102)),0,IF(ISNUMBER(FIND("SALDO DO DIA",C102)),0,IF(ISNUMBER(FIND("SALDO PARCIAL",C102)),0,IF(ISNUMBER(FIND("SDO CTA/APL AUTOMATICAS",C102)),0,IF(ISNUMBER(FIND("APL APLIC AUT MAIS",C102)),0,IF(ISNUMBER(FIND("TEC DEPOSITO",C102)),0,IF(E102&gt;0,0,E102*(-1))))))))</f>
        <v>52.88</v>
      </c>
      <c r="G102" s="46" t="n">
        <f aca="false">IF(ISNUMBER(FIND("SALDO ANTERIOR",C102)),0,IF(ISNUMBER(FIND("SALDO DO DIA",C102)),0,IF(ISNUMBER(FIND("SDO CTA/APL AUTOMATICAS",C102)),0,IF(ISNUMBER(FIND("TEC DEPOSITO",C102)),0,IF(ISNUMBER(FIND("APL APLIC AUT MAIS",C102)),E102,IF(E102&gt;0,E102,0))))))</f>
        <v>0</v>
      </c>
      <c r="H102" s="47" t="n">
        <v>44197</v>
      </c>
    </row>
    <row r="103" customFormat="false" ht="13.8" hidden="false" customHeight="false" outlineLevel="0" collapsed="false">
      <c r="A103" s="40" t="s">
        <v>57</v>
      </c>
      <c r="B103" s="41" t="s">
        <v>160</v>
      </c>
      <c r="C103" s="48" t="s">
        <v>163</v>
      </c>
      <c r="D103" s="43" t="s">
        <v>56</v>
      </c>
      <c r="E103" s="49" t="n">
        <v>-7.29</v>
      </c>
      <c r="F103" s="45" t="n">
        <f aca="false">IF(ISNUMBER(FIND("SALDO ANTERIOR",C103)),0,IF(ISNUMBER(FIND("SALDO DO DIA",C103)),0,IF(ISNUMBER(FIND("SALDO PARCIAL",C103)),0,IF(ISNUMBER(FIND("SDO CTA/APL AUTOMATICAS",C103)),0,IF(ISNUMBER(FIND("APL APLIC AUT MAIS",C103)),0,IF(ISNUMBER(FIND("TEC DEPOSITO",C103)),0,IF(E103&gt;0,0,E103*(-1))))))))</f>
        <v>7.29</v>
      </c>
      <c r="G103" s="46" t="n">
        <f aca="false">IF(ISNUMBER(FIND("SALDO ANTERIOR",C103)),0,IF(ISNUMBER(FIND("SALDO DO DIA",C103)),0,IF(ISNUMBER(FIND("SDO CTA/APL AUTOMATICAS",C103)),0,IF(ISNUMBER(FIND("TEC DEPOSITO",C103)),0,IF(ISNUMBER(FIND("APL APLIC AUT MAIS",C103)),E103,IF(E103&gt;0,E103,0))))))</f>
        <v>0</v>
      </c>
      <c r="H103" s="47" t="n">
        <v>44197</v>
      </c>
    </row>
    <row r="104" customFormat="false" ht="13.8" hidden="false" customHeight="false" outlineLevel="0" collapsed="false">
      <c r="A104" s="40" t="s">
        <v>59</v>
      </c>
      <c r="B104" s="41" t="s">
        <v>160</v>
      </c>
      <c r="C104" s="48" t="s">
        <v>164</v>
      </c>
      <c r="D104" s="43" t="s">
        <v>56</v>
      </c>
      <c r="E104" s="49" t="n">
        <v>-11</v>
      </c>
      <c r="F104" s="45" t="n">
        <f aca="false">IF(ISNUMBER(FIND("SALDO ANTERIOR",C104)),0,IF(ISNUMBER(FIND("SALDO DO DIA",C104)),0,IF(ISNUMBER(FIND("SALDO PARCIAL",C104)),0,IF(ISNUMBER(FIND("SDO CTA/APL AUTOMATICAS",C104)),0,IF(ISNUMBER(FIND("APL APLIC AUT MAIS",C104)),0,IF(ISNUMBER(FIND("TEC DEPOSITO",C104)),0,IF(E104&gt;0,0,E104*(-1))))))))</f>
        <v>11</v>
      </c>
      <c r="G104" s="46" t="n">
        <f aca="false">IF(ISNUMBER(FIND("SALDO ANTERIOR",C104)),0,IF(ISNUMBER(FIND("SALDO DO DIA",C104)),0,IF(ISNUMBER(FIND("SDO CTA/APL AUTOMATICAS",C104)),0,IF(ISNUMBER(FIND("TEC DEPOSITO",C104)),0,IF(ISNUMBER(FIND("APL APLIC AUT MAIS",C104)),E104,IF(E104&gt;0,E104,0))))))</f>
        <v>0</v>
      </c>
      <c r="H104" s="47" t="n">
        <v>44197</v>
      </c>
    </row>
    <row r="105" customFormat="false" ht="15" hidden="false" customHeight="false" outlineLevel="0" collapsed="false">
      <c r="A105" s="40" t="s">
        <v>31</v>
      </c>
      <c r="B105" s="41" t="s">
        <v>160</v>
      </c>
      <c r="C105" s="42" t="s">
        <v>68</v>
      </c>
      <c r="D105" s="43"/>
      <c r="E105" s="44" t="n">
        <v>-935.56</v>
      </c>
      <c r="F105" s="45" t="n">
        <f aca="false">IF(ISNUMBER(FIND("SALDO ANTERIOR",C105)),0,IF(ISNUMBER(FIND("SALDO DO DIA",C105)),0,IF(ISNUMBER(FIND("SALDO PARCIAL",C105)),0,IF(ISNUMBER(FIND("SDO CTA/APL AUTOMATICAS",C105)),0,IF(ISNUMBER(FIND("APL APLIC AUT MAIS",C105)),0,IF(ISNUMBER(FIND("TEC DEPOSITO",C105)),0,IF(E105&gt;0,0,E105*(-1))))))))</f>
        <v>0</v>
      </c>
      <c r="G105" s="46" t="n">
        <f aca="false">IF(ISNUMBER(FIND("SALDO ANTERIOR",C105)),0,IF(ISNUMBER(FIND("SALDO DO DIA",C105)),0,IF(ISNUMBER(FIND("SDO CTA/APL AUTOMATICAS",C105)),0,IF(ISNUMBER(FIND("TEC DEPOSITO",C105)),0,IF(ISNUMBER(FIND("APL APLIC AUT MAIS",C105)),E105,IF(E105&gt;0,E105,0))))))</f>
        <v>0</v>
      </c>
      <c r="H105" s="47" t="n">
        <v>44197</v>
      </c>
    </row>
    <row r="106" customFormat="false" ht="13.8" hidden="false" customHeight="false" outlineLevel="0" collapsed="false">
      <c r="A106" s="40" t="s">
        <v>77</v>
      </c>
      <c r="B106" s="41" t="s">
        <v>165</v>
      </c>
      <c r="C106" s="48" t="s">
        <v>79</v>
      </c>
      <c r="D106" s="43" t="s">
        <v>56</v>
      </c>
      <c r="E106" s="49" t="n">
        <v>-11</v>
      </c>
      <c r="F106" s="45" t="n">
        <f aca="false">IF(ISNUMBER(FIND("SALDO ANTERIOR",C106)),0,IF(ISNUMBER(FIND("SALDO DO DIA",C106)),0,IF(ISNUMBER(FIND("SALDO PARCIAL",C106)),0,IF(ISNUMBER(FIND("SDO CTA/APL AUTOMATICAS",C106)),0,IF(ISNUMBER(FIND("APL APLIC AUT MAIS",C106)),0,IF(ISNUMBER(FIND("TEC DEPOSITO",C106)),0,IF(E106&gt;0,0,E106*(-1))))))))</f>
        <v>11</v>
      </c>
      <c r="G106" s="46" t="n">
        <f aca="false">IF(ISNUMBER(FIND("SALDO ANTERIOR",C106)),0,IF(ISNUMBER(FIND("SALDO DO DIA",C106)),0,IF(ISNUMBER(FIND("SDO CTA/APL AUTOMATICAS",C106)),0,IF(ISNUMBER(FIND("TEC DEPOSITO",C106)),0,IF(ISNUMBER(FIND("APL APLIC AUT MAIS",C106)),E106,IF(E106&gt;0,E106,0))))))</f>
        <v>0</v>
      </c>
      <c r="H106" s="47" t="n">
        <v>44197</v>
      </c>
    </row>
    <row r="107" customFormat="false" ht="13.8" hidden="false" customHeight="false" outlineLevel="0" collapsed="false">
      <c r="A107" s="40" t="s">
        <v>59</v>
      </c>
      <c r="B107" s="41" t="s">
        <v>165</v>
      </c>
      <c r="C107" s="48" t="s">
        <v>166</v>
      </c>
      <c r="D107" s="43" t="s">
        <v>56</v>
      </c>
      <c r="E107" s="49" t="n">
        <v>-14.9</v>
      </c>
      <c r="F107" s="45" t="n">
        <f aca="false">IF(ISNUMBER(FIND("SALDO ANTERIOR",C107)),0,IF(ISNUMBER(FIND("SALDO DO DIA",C107)),0,IF(ISNUMBER(FIND("SALDO PARCIAL",C107)),0,IF(ISNUMBER(FIND("SDO CTA/APL AUTOMATICAS",C107)),0,IF(ISNUMBER(FIND("APL APLIC AUT MAIS",C107)),0,IF(ISNUMBER(FIND("TEC DEPOSITO",C107)),0,IF(E107&gt;0,0,E107*(-1))))))))</f>
        <v>14.9</v>
      </c>
      <c r="G107" s="46" t="n">
        <f aca="false">IF(ISNUMBER(FIND("SALDO ANTERIOR",C107)),0,IF(ISNUMBER(FIND("SALDO DO DIA",C107)),0,IF(ISNUMBER(FIND("SDO CTA/APL AUTOMATICAS",C107)),0,IF(ISNUMBER(FIND("TEC DEPOSITO",C107)),0,IF(ISNUMBER(FIND("APL APLIC AUT MAIS",C107)),E107,IF(E107&gt;0,E107,0))))))</f>
        <v>0</v>
      </c>
      <c r="H107" s="47" t="n">
        <v>44197</v>
      </c>
    </row>
    <row r="108" customFormat="false" ht="17" hidden="false" customHeight="false" outlineLevel="0" collapsed="false">
      <c r="A108" s="55" t="s">
        <v>31</v>
      </c>
      <c r="B108" s="27" t="s">
        <v>165</v>
      </c>
      <c r="C108" s="56" t="s">
        <v>52</v>
      </c>
      <c r="D108" s="57"/>
      <c r="E108" s="58"/>
      <c r="F108" s="59" t="n">
        <f aca="false">IF(ISNUMBER(FIND("SALDO ANTERIOR",C108)),0,IF(ISNUMBER(FIND("SALDO DO DIA",C108)),0,IF(ISNUMBER(FIND("SALDO PARCIAL",C108)),0,IF(ISNUMBER(FIND("SDO CTA/APL AUTOMATICAS",C108)),0,IF(ISNUMBER(FIND("APL APLIC AUT MAIS",C108)),0,IF(ISNUMBER(FIND("TEC DEPOSITO",C108)),0,IF(E108&gt;0,0,E108*(-1))))))))</f>
        <v>0</v>
      </c>
      <c r="G108" s="60" t="n">
        <f aca="false">IF(ISNUMBER(FIND("SALDO ANTERIOR",C108)),0,IF(ISNUMBER(FIND("SALDO DO DIA",C108)),0,IF(ISNUMBER(FIND("SDO CTA/APL AUTOMATICAS",C108)),0,IF(ISNUMBER(FIND("TEC DEPOSITO",C108)),0,IF(ISNUMBER(FIND("APL APLIC AUT MAIS",C108)),E108,IF(E108&gt;0,E108,0))))))</f>
        <v>0</v>
      </c>
      <c r="H108" s="61" t="n">
        <v>44228</v>
      </c>
    </row>
    <row r="109" customFormat="false" ht="15.8" hidden="false" customHeight="false" outlineLevel="0" collapsed="false">
      <c r="A109" s="55" t="s">
        <v>121</v>
      </c>
      <c r="B109" s="27" t="s">
        <v>167</v>
      </c>
      <c r="C109" s="27" t="s">
        <v>168</v>
      </c>
      <c r="D109" s="57" t="s">
        <v>91</v>
      </c>
      <c r="E109" s="62" t="n">
        <v>-100</v>
      </c>
      <c r="F109" s="59" t="n">
        <f aca="false">IF(ISNUMBER(FIND("SALDO ANTERIOR",C109)),0,IF(ISNUMBER(FIND("SALDO DO DIA",C109)),0,IF(ISNUMBER(FIND("SALDO PARCIAL",C109)),0,IF(ISNUMBER(FIND("SDO CTA/APL AUTOMATICAS",C109)),0,IF(ISNUMBER(FIND("APL APLIC AUT MAIS",C109)),0,IF(ISNUMBER(FIND("TEC DEPOSITO",C109)),0,IF(E109&gt;0,0,E109*(-1))))))))</f>
        <v>100</v>
      </c>
      <c r="G109" s="60" t="n">
        <f aca="false">IF(ISNUMBER(FIND("SALDO ANTERIOR",C109)),0,IF(ISNUMBER(FIND("SALDO DO DIA",C109)),0,IF(ISNUMBER(FIND("SDO CTA/APL AUTOMATICAS",C109)),0,IF(ISNUMBER(FIND("TEC DEPOSITO",C109)),0,IF(ISNUMBER(FIND("APL APLIC AUT MAIS",C109)),E109,IF(E109&gt;0,E109,0))))))</f>
        <v>0</v>
      </c>
      <c r="H109" s="61" t="n">
        <v>44228</v>
      </c>
    </row>
    <row r="110" customFormat="false" ht="15.8" hidden="false" customHeight="false" outlineLevel="0" collapsed="false">
      <c r="A110" s="55" t="s">
        <v>53</v>
      </c>
      <c r="B110" s="27" t="s">
        <v>167</v>
      </c>
      <c r="C110" s="27" t="s">
        <v>55</v>
      </c>
      <c r="D110" s="57" t="s">
        <v>56</v>
      </c>
      <c r="E110" s="62" t="n">
        <v>-12.9</v>
      </c>
      <c r="F110" s="59" t="n">
        <f aca="false">IF(ISNUMBER(FIND("SALDO ANTERIOR",C110)),0,IF(ISNUMBER(FIND("SALDO DO DIA",C110)),0,IF(ISNUMBER(FIND("SALDO PARCIAL",C110)),0,IF(ISNUMBER(FIND("SDO CTA/APL AUTOMATICAS",C110)),0,IF(ISNUMBER(FIND("APL APLIC AUT MAIS",C110)),0,IF(ISNUMBER(FIND("TEC DEPOSITO",C110)),0,IF(E110&gt;0,0,E110*(-1))))))))</f>
        <v>12.9</v>
      </c>
      <c r="G110" s="60" t="n">
        <f aca="false">IF(ISNUMBER(FIND("SALDO ANTERIOR",C110)),0,IF(ISNUMBER(FIND("SALDO DO DIA",C110)),0,IF(ISNUMBER(FIND("SDO CTA/APL AUTOMATICAS",C110)),0,IF(ISNUMBER(FIND("TEC DEPOSITO",C110)),0,IF(ISNUMBER(FIND("APL APLIC AUT MAIS",C110)),E110,IF(E110&gt;0,E110,0))))))</f>
        <v>0</v>
      </c>
      <c r="H110" s="61" t="n">
        <v>44228</v>
      </c>
    </row>
    <row r="111" customFormat="false" ht="15.8" hidden="false" customHeight="false" outlineLevel="0" collapsed="false">
      <c r="A111" s="55" t="s">
        <v>53</v>
      </c>
      <c r="B111" s="27" t="s">
        <v>167</v>
      </c>
      <c r="C111" s="27" t="s">
        <v>55</v>
      </c>
      <c r="D111" s="57" t="s">
        <v>56</v>
      </c>
      <c r="E111" s="62" t="n">
        <v>-6.71</v>
      </c>
      <c r="F111" s="59" t="n">
        <f aca="false">IF(ISNUMBER(FIND("SALDO ANTERIOR",C111)),0,IF(ISNUMBER(FIND("SALDO DO DIA",C111)),0,IF(ISNUMBER(FIND("SALDO PARCIAL",C111)),0,IF(ISNUMBER(FIND("SDO CTA/APL AUTOMATICAS",C111)),0,IF(ISNUMBER(FIND("APL APLIC AUT MAIS",C111)),0,IF(ISNUMBER(FIND("TEC DEPOSITO",C111)),0,IF(E111&gt;0,0,E111*(-1))))))))</f>
        <v>6.71</v>
      </c>
      <c r="G111" s="60" t="n">
        <f aca="false">IF(ISNUMBER(FIND("SALDO ANTERIOR",C111)),0,IF(ISNUMBER(FIND("SALDO DO DIA",C111)),0,IF(ISNUMBER(FIND("SDO CTA/APL AUTOMATICAS",C111)),0,IF(ISNUMBER(FIND("TEC DEPOSITO",C111)),0,IF(ISNUMBER(FIND("APL APLIC AUT MAIS",C111)),E111,IF(E111&gt;0,E111,0))))))</f>
        <v>0</v>
      </c>
      <c r="H111" s="61" t="n">
        <v>44228</v>
      </c>
    </row>
    <row r="112" customFormat="false" ht="15.8" hidden="false" customHeight="false" outlineLevel="0" collapsed="false">
      <c r="A112" s="55" t="s">
        <v>62</v>
      </c>
      <c r="B112" s="27" t="s">
        <v>167</v>
      </c>
      <c r="C112" s="27" t="s">
        <v>169</v>
      </c>
      <c r="D112" s="57" t="s">
        <v>56</v>
      </c>
      <c r="E112" s="62" t="n">
        <v>-61.2</v>
      </c>
      <c r="F112" s="59" t="n">
        <f aca="false">IF(ISNUMBER(FIND("SALDO ANTERIOR",C112)),0,IF(ISNUMBER(FIND("SALDO DO DIA",C112)),0,IF(ISNUMBER(FIND("SALDO PARCIAL",C112)),0,IF(ISNUMBER(FIND("SDO CTA/APL AUTOMATICAS",C112)),0,IF(ISNUMBER(FIND("APL APLIC AUT MAIS",C112)),0,IF(ISNUMBER(FIND("TEC DEPOSITO",C112)),0,IF(E112&gt;0,0,E112*(-1))))))))</f>
        <v>61.2</v>
      </c>
      <c r="G112" s="60" t="n">
        <f aca="false">IF(ISNUMBER(FIND("SALDO ANTERIOR",C112)),0,IF(ISNUMBER(FIND("SALDO DO DIA",C112)),0,IF(ISNUMBER(FIND("SDO CTA/APL AUTOMATICAS",C112)),0,IF(ISNUMBER(FIND("TEC DEPOSITO",C112)),0,IF(ISNUMBER(FIND("APL APLIC AUT MAIS",C112)),E112,IF(E112&gt;0,E112,0))))))</f>
        <v>0</v>
      </c>
      <c r="H112" s="61" t="n">
        <v>44228</v>
      </c>
    </row>
    <row r="113" customFormat="false" ht="15.8" hidden="false" customHeight="false" outlineLevel="0" collapsed="false">
      <c r="A113" s="55" t="s">
        <v>77</v>
      </c>
      <c r="B113" s="27" t="s">
        <v>167</v>
      </c>
      <c r="C113" s="27" t="s">
        <v>79</v>
      </c>
      <c r="D113" s="57" t="s">
        <v>56</v>
      </c>
      <c r="E113" s="62" t="n">
        <v>-11</v>
      </c>
      <c r="F113" s="59" t="n">
        <f aca="false">IF(ISNUMBER(FIND("SALDO ANTERIOR",C113)),0,IF(ISNUMBER(FIND("SALDO DO DIA",C113)),0,IF(ISNUMBER(FIND("SALDO PARCIAL",C113)),0,IF(ISNUMBER(FIND("SDO CTA/APL AUTOMATICAS",C113)),0,IF(ISNUMBER(FIND("APL APLIC AUT MAIS",C113)),0,IF(ISNUMBER(FIND("TEC DEPOSITO",C113)),0,IF(E113&gt;0,0,E113*(-1))))))))</f>
        <v>11</v>
      </c>
      <c r="G113" s="60" t="n">
        <f aca="false">IF(ISNUMBER(FIND("SALDO ANTERIOR",C113)),0,IF(ISNUMBER(FIND("SALDO DO DIA",C113)),0,IF(ISNUMBER(FIND("SDO CTA/APL AUTOMATICAS",C113)),0,IF(ISNUMBER(FIND("TEC DEPOSITO",C113)),0,IF(ISNUMBER(FIND("APL APLIC AUT MAIS",C113)),E113,IF(E113&gt;0,E113,0))))))</f>
        <v>0</v>
      </c>
      <c r="H113" s="61" t="n">
        <v>44228</v>
      </c>
    </row>
    <row r="114" customFormat="false" ht="15.8" hidden="false" customHeight="false" outlineLevel="0" collapsed="false">
      <c r="A114" s="55" t="s">
        <v>57</v>
      </c>
      <c r="B114" s="27" t="s">
        <v>167</v>
      </c>
      <c r="C114" s="27" t="s">
        <v>58</v>
      </c>
      <c r="D114" s="57" t="s">
        <v>56</v>
      </c>
      <c r="E114" s="62" t="n">
        <v>-39.96</v>
      </c>
      <c r="F114" s="59" t="n">
        <f aca="false">IF(ISNUMBER(FIND("SALDO ANTERIOR",C114)),0,IF(ISNUMBER(FIND("SALDO DO DIA",C114)),0,IF(ISNUMBER(FIND("SALDO PARCIAL",C114)),0,IF(ISNUMBER(FIND("SDO CTA/APL AUTOMATICAS",C114)),0,IF(ISNUMBER(FIND("APL APLIC AUT MAIS",C114)),0,IF(ISNUMBER(FIND("TEC DEPOSITO",C114)),0,IF(E114&gt;0,0,E114*(-1))))))))</f>
        <v>39.96</v>
      </c>
      <c r="G114" s="60" t="n">
        <f aca="false">IF(ISNUMBER(FIND("SALDO ANTERIOR",C114)),0,IF(ISNUMBER(FIND("SALDO DO DIA",C114)),0,IF(ISNUMBER(FIND("SDO CTA/APL AUTOMATICAS",C114)),0,IF(ISNUMBER(FIND("TEC DEPOSITO",C114)),0,IF(ISNUMBER(FIND("APL APLIC AUT MAIS",C114)),E114,IF(E114&gt;0,E114,0))))))</f>
        <v>0</v>
      </c>
      <c r="H114" s="61" t="n">
        <v>44228</v>
      </c>
    </row>
    <row r="115" customFormat="false" ht="13.8" hidden="false" customHeight="false" outlineLevel="0" collapsed="false">
      <c r="A115" s="55" t="s">
        <v>62</v>
      </c>
      <c r="B115" s="27" t="s">
        <v>167</v>
      </c>
      <c r="C115" s="27" t="s">
        <v>170</v>
      </c>
      <c r="D115" s="57" t="s">
        <v>56</v>
      </c>
      <c r="E115" s="62" t="n">
        <v>-46.4</v>
      </c>
      <c r="F115" s="59" t="n">
        <f aca="false">IF(ISNUMBER(FIND("SALDO ANTERIOR",C115)),0,IF(ISNUMBER(FIND("SALDO DO DIA",C115)),0,IF(ISNUMBER(FIND("SALDO PARCIAL",C115)),0,IF(ISNUMBER(FIND("SDO CTA/APL AUTOMATICAS",C115)),0,IF(ISNUMBER(FIND("APL APLIC AUT MAIS",C115)),0,IF(ISNUMBER(FIND("TEC DEPOSITO",C115)),0,IF(E115&gt;0,0,E115*(-1))))))))</f>
        <v>46.4</v>
      </c>
      <c r="G115" s="60" t="n">
        <f aca="false">IF(ISNUMBER(FIND("SALDO ANTERIOR",C115)),0,IF(ISNUMBER(FIND("SALDO DO DIA",C115)),0,IF(ISNUMBER(FIND("SDO CTA/APL AUTOMATICAS",C115)),0,IF(ISNUMBER(FIND("TEC DEPOSITO",C115)),0,IF(ISNUMBER(FIND("APL APLIC AUT MAIS",C115)),E115,IF(E115&gt;0,E115,0))))))</f>
        <v>0</v>
      </c>
      <c r="H115" s="61" t="n">
        <v>44228</v>
      </c>
    </row>
    <row r="116" customFormat="false" ht="15.8" hidden="false" customHeight="false" outlineLevel="0" collapsed="false">
      <c r="A116" s="55" t="s">
        <v>103</v>
      </c>
      <c r="B116" s="27" t="s">
        <v>167</v>
      </c>
      <c r="C116" s="27" t="s">
        <v>130</v>
      </c>
      <c r="D116" s="57" t="s">
        <v>56</v>
      </c>
      <c r="E116" s="62" t="n">
        <v>-50</v>
      </c>
      <c r="F116" s="59" t="n">
        <f aca="false">IF(ISNUMBER(FIND("SALDO ANTERIOR",C116)),0,IF(ISNUMBER(FIND("SALDO DO DIA",C116)),0,IF(ISNUMBER(FIND("SALDO PARCIAL",C116)),0,IF(ISNUMBER(FIND("SDO CTA/APL AUTOMATICAS",C116)),0,IF(ISNUMBER(FIND("APL APLIC AUT MAIS",C116)),0,IF(ISNUMBER(FIND("TEC DEPOSITO",C116)),0,IF(E116&gt;0,0,E116*(-1))))))))</f>
        <v>50</v>
      </c>
      <c r="G116" s="60" t="n">
        <f aca="false">IF(ISNUMBER(FIND("SALDO ANTERIOR",C116)),0,IF(ISNUMBER(FIND("SALDO DO DIA",C116)),0,IF(ISNUMBER(FIND("SDO CTA/APL AUTOMATICAS",C116)),0,IF(ISNUMBER(FIND("TEC DEPOSITO",C116)),0,IF(ISNUMBER(FIND("APL APLIC AUT MAIS",C116)),E116,IF(E116&gt;0,E116,0))))))</f>
        <v>0</v>
      </c>
      <c r="H116" s="61" t="n">
        <v>44228</v>
      </c>
    </row>
    <row r="117" customFormat="false" ht="15.8" hidden="false" customHeight="false" outlineLevel="0" collapsed="false">
      <c r="A117" s="55" t="s">
        <v>85</v>
      </c>
      <c r="B117" s="27" t="s">
        <v>167</v>
      </c>
      <c r="C117" s="27" t="s">
        <v>171</v>
      </c>
      <c r="D117" s="57" t="s">
        <v>172</v>
      </c>
      <c r="E117" s="21" t="n">
        <v>1</v>
      </c>
      <c r="F117" s="59" t="n">
        <f aca="false">IF(ISNUMBER(FIND("SALDO ANTERIOR",C117)),0,IF(ISNUMBER(FIND("SALDO DO DIA",C117)),0,IF(ISNUMBER(FIND("SALDO PARCIAL",C117)),0,IF(ISNUMBER(FIND("SDO CTA/APL AUTOMATICAS",C117)),0,IF(ISNUMBER(FIND("APL APLIC AUT MAIS",C117)),0,IF(ISNUMBER(FIND("TEC DEPOSITO",C117)),0,IF(E117&gt;0,0,E117*(-1))))))))</f>
        <v>0</v>
      </c>
      <c r="G117" s="60" t="n">
        <f aca="false">IF(ISNUMBER(FIND("SALDO ANTERIOR",C117)),0,IF(ISNUMBER(FIND("SALDO DO DIA",C117)),0,IF(ISNUMBER(FIND("SDO CTA/APL AUTOMATICAS",C117)),0,IF(ISNUMBER(FIND("TEC DEPOSITO",C117)),0,IF(ISNUMBER(FIND("APL APLIC AUT MAIS",C117)),E117,IF(E117&gt;0,E117,0))))))</f>
        <v>1</v>
      </c>
      <c r="H117" s="61" t="n">
        <v>44228</v>
      </c>
    </row>
    <row r="118" customFormat="false" ht="15.8" hidden="false" customHeight="false" outlineLevel="0" collapsed="false">
      <c r="A118" s="55" t="s">
        <v>85</v>
      </c>
      <c r="B118" s="27" t="s">
        <v>167</v>
      </c>
      <c r="C118" s="27" t="s">
        <v>171</v>
      </c>
      <c r="D118" s="57" t="s">
        <v>173</v>
      </c>
      <c r="E118" s="21" t="n">
        <v>4303.32</v>
      </c>
      <c r="F118" s="59" t="n">
        <f aca="false">IF(ISNUMBER(FIND("SALDO ANTERIOR",C118)),0,IF(ISNUMBER(FIND("SALDO DO DIA",C118)),0,IF(ISNUMBER(FIND("SALDO PARCIAL",C118)),0,IF(ISNUMBER(FIND("SDO CTA/APL AUTOMATICAS",C118)),0,IF(ISNUMBER(FIND("APL APLIC AUT MAIS",C118)),0,IF(ISNUMBER(FIND("TEC DEPOSITO",C118)),0,IF(E118&gt;0,0,E118*(-1))))))))</f>
        <v>0</v>
      </c>
      <c r="G118" s="60" t="n">
        <f aca="false">IF(ISNUMBER(FIND("SALDO ANTERIOR",C118)),0,IF(ISNUMBER(FIND("SALDO DO DIA",C118)),0,IF(ISNUMBER(FIND("SDO CTA/APL AUTOMATICAS",C118)),0,IF(ISNUMBER(FIND("TEC DEPOSITO",C118)),0,IF(ISNUMBER(FIND("APL APLIC AUT MAIS",C118)),E118,IF(E118&gt;0,E118,0))))))</f>
        <v>4303.32</v>
      </c>
      <c r="H118" s="61" t="n">
        <v>44228</v>
      </c>
    </row>
    <row r="119" customFormat="false" ht="15.8" hidden="false" customHeight="false" outlineLevel="0" collapsed="false">
      <c r="A119" s="55" t="s">
        <v>66</v>
      </c>
      <c r="B119" s="27" t="s">
        <v>167</v>
      </c>
      <c r="C119" s="27" t="s">
        <v>67</v>
      </c>
      <c r="D119" s="57"/>
      <c r="E119" s="62" t="n">
        <v>-17.95</v>
      </c>
      <c r="F119" s="59" t="n">
        <f aca="false">IF(ISNUMBER(FIND("SALDO ANTERIOR",C119)),0,IF(ISNUMBER(FIND("SALDO DO DIA",C119)),0,IF(ISNUMBER(FIND("SALDO PARCIAL",C119)),0,IF(ISNUMBER(FIND("SDO CTA/APL AUTOMATICAS",C119)),0,IF(ISNUMBER(FIND("APL APLIC AUT MAIS",C119)),0,IF(ISNUMBER(FIND("TEC DEPOSITO",C119)),0,IF(E119&gt;0,0,E119*(-1))))))))</f>
        <v>17.95</v>
      </c>
      <c r="G119" s="60" t="n">
        <f aca="false">IF(ISNUMBER(FIND("SALDO ANTERIOR",C119)),0,IF(ISNUMBER(FIND("SALDO DO DIA",C119)),0,IF(ISNUMBER(FIND("SDO CTA/APL AUTOMATICAS",C119)),0,IF(ISNUMBER(FIND("TEC DEPOSITO",C119)),0,IF(ISNUMBER(FIND("APL APLIC AUT MAIS",C119)),E119,IF(E119&gt;0,E119,0))))))</f>
        <v>0</v>
      </c>
      <c r="H119" s="61" t="n">
        <v>44228</v>
      </c>
    </row>
    <row r="120" customFormat="false" ht="17" hidden="false" customHeight="false" outlineLevel="0" collapsed="false">
      <c r="A120" s="55" t="s">
        <v>31</v>
      </c>
      <c r="B120" s="27" t="s">
        <v>167</v>
      </c>
      <c r="C120" s="56" t="s">
        <v>120</v>
      </c>
      <c r="D120" s="57"/>
      <c r="E120" s="58"/>
      <c r="F120" s="59" t="n">
        <f aca="false">IF(ISNUMBER(FIND("SALDO ANTERIOR",C120)),0,IF(ISNUMBER(FIND("SALDO DO DIA",C120)),0,IF(ISNUMBER(FIND("SALDO PARCIAL",C120)),0,IF(ISNUMBER(FIND("SDO CTA/APL AUTOMATICAS",C120)),0,IF(ISNUMBER(FIND("APL APLIC AUT MAIS",C120)),0,IF(ISNUMBER(FIND("TEC DEPOSITO",C120)),0,IF(E120&gt;0,0,E120*(-1))))))))</f>
        <v>0</v>
      </c>
      <c r="G120" s="60" t="n">
        <f aca="false">IF(ISNUMBER(FIND("SALDO ANTERIOR",C120)),0,IF(ISNUMBER(FIND("SALDO DO DIA",C120)),0,IF(ISNUMBER(FIND("SDO CTA/APL AUTOMATICAS",C120)),0,IF(ISNUMBER(FIND("TEC DEPOSITO",C120)),0,IF(ISNUMBER(FIND("APL APLIC AUT MAIS",C120)),E120,IF(E120&gt;0,E120,0))))))</f>
        <v>0</v>
      </c>
      <c r="H120" s="61" t="n">
        <v>44228</v>
      </c>
    </row>
    <row r="121" customFormat="false" ht="15.8" hidden="false" customHeight="false" outlineLevel="0" collapsed="false">
      <c r="A121" s="55" t="s">
        <v>41</v>
      </c>
      <c r="B121" s="27" t="s">
        <v>174</v>
      </c>
      <c r="C121" s="27" t="s">
        <v>38</v>
      </c>
      <c r="D121" s="57" t="s">
        <v>72</v>
      </c>
      <c r="E121" s="62" t="n">
        <v>-2000</v>
      </c>
      <c r="F121" s="59" t="n">
        <f aca="false">IF(ISNUMBER(FIND("SALDO ANTERIOR",C121)),0,IF(ISNUMBER(FIND("SALDO DO DIA",C121)),0,IF(ISNUMBER(FIND("SALDO PARCIAL",C121)),0,IF(ISNUMBER(FIND("SDO CTA/APL AUTOMATICAS",C121)),0,IF(ISNUMBER(FIND("APL APLIC AUT MAIS",C121)),0,IF(ISNUMBER(FIND("TEC DEPOSITO",C121)),0,IF(E121&gt;0,0,E121*(-1))))))))</f>
        <v>2000</v>
      </c>
      <c r="G121" s="60" t="n">
        <f aca="false">IF(ISNUMBER(FIND("SALDO ANTERIOR",C121)),0,IF(ISNUMBER(FIND("SALDO DO DIA",C121)),0,IF(ISNUMBER(FIND("SDO CTA/APL AUTOMATICAS",C121)),0,IF(ISNUMBER(FIND("TEC DEPOSITO",C121)),0,IF(ISNUMBER(FIND("APL APLIC AUT MAIS",C121)),E121,IF(E121&gt;0,E121,0))))))</f>
        <v>0</v>
      </c>
      <c r="H121" s="61" t="n">
        <v>44228</v>
      </c>
    </row>
    <row r="122" customFormat="false" ht="15.8" hidden="false" customHeight="false" outlineLevel="0" collapsed="false">
      <c r="A122" s="55" t="s">
        <v>64</v>
      </c>
      <c r="B122" s="27" t="s">
        <v>174</v>
      </c>
      <c r="C122" s="27" t="s">
        <v>65</v>
      </c>
      <c r="D122" s="57" t="s">
        <v>56</v>
      </c>
      <c r="E122" s="62" t="n">
        <v>-48.48</v>
      </c>
      <c r="F122" s="59" t="n">
        <f aca="false">IF(ISNUMBER(FIND("SALDO ANTERIOR",C122)),0,IF(ISNUMBER(FIND("SALDO DO DIA",C122)),0,IF(ISNUMBER(FIND("SALDO PARCIAL",C122)),0,IF(ISNUMBER(FIND("SDO CTA/APL AUTOMATICAS",C122)),0,IF(ISNUMBER(FIND("APL APLIC AUT MAIS",C122)),0,IF(ISNUMBER(FIND("TEC DEPOSITO",C122)),0,IF(E122&gt;0,0,E122*(-1))))))))</f>
        <v>48.48</v>
      </c>
      <c r="G122" s="60" t="n">
        <f aca="false">IF(ISNUMBER(FIND("SALDO ANTERIOR",C122)),0,IF(ISNUMBER(FIND("SALDO DO DIA",C122)),0,IF(ISNUMBER(FIND("SDO CTA/APL AUTOMATICAS",C122)),0,IF(ISNUMBER(FIND("TEC DEPOSITO",C122)),0,IF(ISNUMBER(FIND("APL APLIC AUT MAIS",C122)),E122,IF(E122&gt;0,E122,0))))))</f>
        <v>0</v>
      </c>
      <c r="H122" s="61" t="n">
        <v>44228</v>
      </c>
    </row>
    <row r="123" customFormat="false" ht="15.8" hidden="false" customHeight="false" outlineLevel="0" collapsed="false">
      <c r="A123" s="55" t="s">
        <v>175</v>
      </c>
      <c r="B123" s="27" t="s">
        <v>174</v>
      </c>
      <c r="C123" s="27" t="s">
        <v>176</v>
      </c>
      <c r="D123" s="57" t="s">
        <v>177</v>
      </c>
      <c r="E123" s="62" t="n">
        <v>-50</v>
      </c>
      <c r="F123" s="59" t="n">
        <f aca="false">IF(ISNUMBER(FIND("SALDO ANTERIOR",C123)),0,IF(ISNUMBER(FIND("SALDO DO DIA",C123)),0,IF(ISNUMBER(FIND("SALDO PARCIAL",C123)),0,IF(ISNUMBER(FIND("SDO CTA/APL AUTOMATICAS",C123)),0,IF(ISNUMBER(FIND("APL APLIC AUT MAIS",C123)),0,IF(ISNUMBER(FIND("TEC DEPOSITO",C123)),0,IF(E123&gt;0,0,E123*(-1))))))))</f>
        <v>50</v>
      </c>
      <c r="G123" s="60" t="n">
        <f aca="false">IF(ISNUMBER(FIND("SALDO ANTERIOR",C123)),0,IF(ISNUMBER(FIND("SALDO DO DIA",C123)),0,IF(ISNUMBER(FIND("SDO CTA/APL AUTOMATICAS",C123)),0,IF(ISNUMBER(FIND("TEC DEPOSITO",C123)),0,IF(ISNUMBER(FIND("APL APLIC AUT MAIS",C123)),E123,IF(E123&gt;0,E123,0))))))</f>
        <v>0</v>
      </c>
      <c r="H123" s="61" t="n">
        <v>44228</v>
      </c>
    </row>
    <row r="124" customFormat="false" ht="15.8" hidden="false" customHeight="false" outlineLevel="0" collapsed="false">
      <c r="A124" s="55" t="s">
        <v>178</v>
      </c>
      <c r="B124" s="27" t="s">
        <v>174</v>
      </c>
      <c r="C124" s="27" t="s">
        <v>35</v>
      </c>
      <c r="D124" s="57"/>
      <c r="E124" s="21" t="n">
        <v>150</v>
      </c>
      <c r="F124" s="59" t="n">
        <f aca="false">IF(ISNUMBER(FIND("SALDO ANTERIOR",C124)),0,IF(ISNUMBER(FIND("SALDO DO DIA",C124)),0,IF(ISNUMBER(FIND("SALDO PARCIAL",C124)),0,IF(ISNUMBER(FIND("SDO CTA/APL AUTOMATICAS",C124)),0,IF(ISNUMBER(FIND("APL APLIC AUT MAIS",C124)),0,IF(ISNUMBER(FIND("TEC DEPOSITO",C124)),0,IF(E124&gt;0,0,E124*(-1))))))))</f>
        <v>0</v>
      </c>
      <c r="G124" s="60" t="n">
        <f aca="false">IF(ISNUMBER(FIND("SALDO ANTERIOR",C124)),0,IF(ISNUMBER(FIND("SALDO DO DIA",C124)),0,IF(ISNUMBER(FIND("SDO CTA/APL AUTOMATICAS",C124)),0,IF(ISNUMBER(FIND("TEC DEPOSITO",C124)),0,IF(ISNUMBER(FIND("APL APLIC AUT MAIS",C124)),E124,IF(E124&gt;0,E124,0))))))</f>
        <v>150</v>
      </c>
      <c r="H124" s="61" t="n">
        <v>44228</v>
      </c>
    </row>
    <row r="125" customFormat="false" ht="15.8" hidden="false" customHeight="false" outlineLevel="0" collapsed="false">
      <c r="A125" s="55" t="s">
        <v>66</v>
      </c>
      <c r="B125" s="27" t="s">
        <v>174</v>
      </c>
      <c r="C125" s="27" t="s">
        <v>179</v>
      </c>
      <c r="D125" s="57" t="s">
        <v>76</v>
      </c>
      <c r="E125" s="62" t="n">
        <v>-79.5</v>
      </c>
      <c r="F125" s="59" t="n">
        <f aca="false">IF(ISNUMBER(FIND("SALDO ANTERIOR",C125)),0,IF(ISNUMBER(FIND("SALDO DO DIA",C125)),0,IF(ISNUMBER(FIND("SALDO PARCIAL",C125)),0,IF(ISNUMBER(FIND("SDO CTA/APL AUTOMATICAS",C125)),0,IF(ISNUMBER(FIND("APL APLIC AUT MAIS",C125)),0,IF(ISNUMBER(FIND("TEC DEPOSITO",C125)),0,IF(E125&gt;0,0,E125*(-1))))))))</f>
        <v>79.5</v>
      </c>
      <c r="G125" s="60" t="n">
        <f aca="false">IF(ISNUMBER(FIND("SALDO ANTERIOR",C125)),0,IF(ISNUMBER(FIND("SALDO DO DIA",C125)),0,IF(ISNUMBER(FIND("SDO CTA/APL AUTOMATICAS",C125)),0,IF(ISNUMBER(FIND("TEC DEPOSITO",C125)),0,IF(ISNUMBER(FIND("APL APLIC AUT MAIS",C125)),E125,IF(E125&gt;0,E125,0))))))</f>
        <v>0</v>
      </c>
      <c r="H125" s="61" t="n">
        <v>44228</v>
      </c>
    </row>
    <row r="126" customFormat="false" ht="17" hidden="false" customHeight="false" outlineLevel="0" collapsed="false">
      <c r="A126" s="55" t="s">
        <v>31</v>
      </c>
      <c r="B126" s="27" t="s">
        <v>174</v>
      </c>
      <c r="C126" s="56" t="s">
        <v>120</v>
      </c>
      <c r="D126" s="57"/>
      <c r="E126" s="58"/>
      <c r="F126" s="59" t="n">
        <f aca="false">IF(ISNUMBER(FIND("SALDO ANTERIOR",C126)),0,IF(ISNUMBER(FIND("SALDO DO DIA",C126)),0,IF(ISNUMBER(FIND("SALDO PARCIAL",C126)),0,IF(ISNUMBER(FIND("SDO CTA/APL AUTOMATICAS",C126)),0,IF(ISNUMBER(FIND("APL APLIC AUT MAIS",C126)),0,IF(ISNUMBER(FIND("TEC DEPOSITO",C126)),0,IF(E126&gt;0,0,E126*(-1))))))))</f>
        <v>0</v>
      </c>
      <c r="G126" s="60" t="n">
        <f aca="false">IF(ISNUMBER(FIND("SALDO ANTERIOR",C126)),0,IF(ISNUMBER(FIND("SALDO DO DIA",C126)),0,IF(ISNUMBER(FIND("SDO CTA/APL AUTOMATICAS",C126)),0,IF(ISNUMBER(FIND("TEC DEPOSITO",C126)),0,IF(ISNUMBER(FIND("APL APLIC AUT MAIS",C126)),E126,IF(E126&gt;0,E126,0))))))</f>
        <v>0</v>
      </c>
      <c r="H126" s="61" t="n">
        <v>44228</v>
      </c>
    </row>
    <row r="127" customFormat="false" ht="17" hidden="false" customHeight="false" outlineLevel="0" collapsed="false">
      <c r="A127" s="55" t="s">
        <v>31</v>
      </c>
      <c r="B127" s="27" t="s">
        <v>180</v>
      </c>
      <c r="C127" s="56" t="s">
        <v>120</v>
      </c>
      <c r="D127" s="57"/>
      <c r="E127" s="58"/>
      <c r="F127" s="59" t="n">
        <f aca="false">IF(ISNUMBER(FIND("SALDO ANTERIOR",C127)),0,IF(ISNUMBER(FIND("SALDO DO DIA",C127)),0,IF(ISNUMBER(FIND("SALDO PARCIAL",C127)),0,IF(ISNUMBER(FIND("SDO CTA/APL AUTOMATICAS",C127)),0,IF(ISNUMBER(FIND("APL APLIC AUT MAIS",C127)),0,IF(ISNUMBER(FIND("TEC DEPOSITO",C127)),0,IF(E127&gt;0,0,E127*(-1))))))))</f>
        <v>0</v>
      </c>
      <c r="G127" s="60" t="n">
        <f aca="false">IF(ISNUMBER(FIND("SALDO ANTERIOR",C127)),0,IF(ISNUMBER(FIND("SALDO DO DIA",C127)),0,IF(ISNUMBER(FIND("SDO CTA/APL AUTOMATICAS",C127)),0,IF(ISNUMBER(FIND("TEC DEPOSITO",C127)),0,IF(ISNUMBER(FIND("APL APLIC AUT MAIS",C127)),E127,IF(E127&gt;0,E127,0))))))</f>
        <v>0</v>
      </c>
      <c r="H127" s="61" t="n">
        <v>44228</v>
      </c>
    </row>
    <row r="128" customFormat="false" ht="15.8" hidden="false" customHeight="false" outlineLevel="0" collapsed="false">
      <c r="A128" s="55" t="s">
        <v>57</v>
      </c>
      <c r="B128" s="27" t="s">
        <v>181</v>
      </c>
      <c r="C128" s="27" t="s">
        <v>182</v>
      </c>
      <c r="D128" s="57" t="s">
        <v>56</v>
      </c>
      <c r="E128" s="62" t="n">
        <v>-16.99</v>
      </c>
      <c r="F128" s="59" t="n">
        <f aca="false">IF(ISNUMBER(FIND("SALDO ANTERIOR",C128)),0,IF(ISNUMBER(FIND("SALDO DO DIA",C128)),0,IF(ISNUMBER(FIND("SALDO PARCIAL",C128)),0,IF(ISNUMBER(FIND("SDO CTA/APL AUTOMATICAS",C128)),0,IF(ISNUMBER(FIND("APL APLIC AUT MAIS",C128)),0,IF(ISNUMBER(FIND("TEC DEPOSITO",C128)),0,IF(E128&gt;0,0,E128*(-1))))))))</f>
        <v>16.99</v>
      </c>
      <c r="G128" s="60" t="n">
        <f aca="false">IF(ISNUMBER(FIND("SALDO ANTERIOR",C128)),0,IF(ISNUMBER(FIND("SALDO DO DIA",C128)),0,IF(ISNUMBER(FIND("SDO CTA/APL AUTOMATICAS",C128)),0,IF(ISNUMBER(FIND("TEC DEPOSITO",C128)),0,IF(ISNUMBER(FIND("APL APLIC AUT MAIS",C128)),E128,IF(E128&gt;0,E128,0))))))</f>
        <v>0</v>
      </c>
      <c r="H128" s="61" t="n">
        <v>44228</v>
      </c>
    </row>
    <row r="129" customFormat="false" ht="15.8" hidden="false" customHeight="false" outlineLevel="0" collapsed="false">
      <c r="A129" s="55" t="s">
        <v>183</v>
      </c>
      <c r="B129" s="27" t="s">
        <v>181</v>
      </c>
      <c r="C129" s="27" t="s">
        <v>184</v>
      </c>
      <c r="D129" s="57" t="s">
        <v>72</v>
      </c>
      <c r="E129" s="62" t="n">
        <v>-340</v>
      </c>
      <c r="F129" s="59" t="n">
        <f aca="false">IF(ISNUMBER(FIND("SALDO ANTERIOR",C129)),0,IF(ISNUMBER(FIND("SALDO DO DIA",C129)),0,IF(ISNUMBER(FIND("SALDO PARCIAL",C129)),0,IF(ISNUMBER(FIND("SDO CTA/APL AUTOMATICAS",C129)),0,IF(ISNUMBER(FIND("APL APLIC AUT MAIS",C129)),0,IF(ISNUMBER(FIND("TEC DEPOSITO",C129)),0,IF(E129&gt;0,0,E129*(-1))))))))</f>
        <v>340</v>
      </c>
      <c r="G129" s="60" t="n">
        <f aca="false">IF(ISNUMBER(FIND("SALDO ANTERIOR",C129)),0,IF(ISNUMBER(FIND("SALDO DO DIA",C129)),0,IF(ISNUMBER(FIND("SDO CTA/APL AUTOMATICAS",C129)),0,IF(ISNUMBER(FIND("TEC DEPOSITO",C129)),0,IF(ISNUMBER(FIND("APL APLIC AUT MAIS",C129)),E129,IF(E129&gt;0,E129,0))))))</f>
        <v>0</v>
      </c>
      <c r="H129" s="61" t="n">
        <v>44228</v>
      </c>
    </row>
    <row r="130" customFormat="false" ht="17" hidden="false" customHeight="false" outlineLevel="0" collapsed="false">
      <c r="A130" s="55" t="s">
        <v>31</v>
      </c>
      <c r="B130" s="27" t="s">
        <v>181</v>
      </c>
      <c r="C130" s="56" t="s">
        <v>120</v>
      </c>
      <c r="D130" s="57"/>
      <c r="E130" s="58"/>
      <c r="F130" s="59" t="n">
        <f aca="false">IF(ISNUMBER(FIND("SALDO ANTERIOR",C130)),0,IF(ISNUMBER(FIND("SALDO DO DIA",C130)),0,IF(ISNUMBER(FIND("SALDO PARCIAL",C130)),0,IF(ISNUMBER(FIND("SDO CTA/APL AUTOMATICAS",C130)),0,IF(ISNUMBER(FIND("APL APLIC AUT MAIS",C130)),0,IF(ISNUMBER(FIND("TEC DEPOSITO",C130)),0,IF(E130&gt;0,0,E130*(-1))))))))</f>
        <v>0</v>
      </c>
      <c r="G130" s="60" t="n">
        <f aca="false">IF(ISNUMBER(FIND("SALDO ANTERIOR",C130)),0,IF(ISNUMBER(FIND("SALDO DO DIA",C130)),0,IF(ISNUMBER(FIND("SDO CTA/APL AUTOMATICAS",C130)),0,IF(ISNUMBER(FIND("TEC DEPOSITO",C130)),0,IF(ISNUMBER(FIND("APL APLIC AUT MAIS",C130)),E130,IF(E130&gt;0,E130,0))))))</f>
        <v>0</v>
      </c>
      <c r="H130" s="61" t="n">
        <v>44228</v>
      </c>
    </row>
    <row r="131" customFormat="false" ht="15.8" hidden="false" customHeight="false" outlineLevel="0" collapsed="false">
      <c r="A131" s="55" t="s">
        <v>77</v>
      </c>
      <c r="B131" s="27" t="s">
        <v>185</v>
      </c>
      <c r="C131" s="27" t="s">
        <v>79</v>
      </c>
      <c r="D131" s="57" t="s">
        <v>56</v>
      </c>
      <c r="E131" s="62" t="n">
        <v>-11</v>
      </c>
      <c r="F131" s="59" t="n">
        <f aca="false">IF(ISNUMBER(FIND("SALDO ANTERIOR",C131)),0,IF(ISNUMBER(FIND("SALDO DO DIA",C131)),0,IF(ISNUMBER(FIND("SALDO PARCIAL",C131)),0,IF(ISNUMBER(FIND("SDO CTA/APL AUTOMATICAS",C131)),0,IF(ISNUMBER(FIND("APL APLIC AUT MAIS",C131)),0,IF(ISNUMBER(FIND("TEC DEPOSITO",C131)),0,IF(E131&gt;0,0,E131*(-1))))))))</f>
        <v>11</v>
      </c>
      <c r="G131" s="60" t="n">
        <f aca="false">IF(ISNUMBER(FIND("SALDO ANTERIOR",C131)),0,IF(ISNUMBER(FIND("SALDO DO DIA",C131)),0,IF(ISNUMBER(FIND("SDO CTA/APL AUTOMATICAS",C131)),0,IF(ISNUMBER(FIND("TEC DEPOSITO",C131)),0,IF(ISNUMBER(FIND("APL APLIC AUT MAIS",C131)),E131,IF(E131&gt;0,E131,0))))))</f>
        <v>0</v>
      </c>
      <c r="H131" s="61" t="n">
        <v>44228</v>
      </c>
    </row>
    <row r="132" customFormat="false" ht="15.8" hidden="false" customHeight="false" outlineLevel="0" collapsed="false">
      <c r="A132" s="55" t="s">
        <v>39</v>
      </c>
      <c r="B132" s="27" t="s">
        <v>185</v>
      </c>
      <c r="C132" s="27" t="s">
        <v>186</v>
      </c>
      <c r="D132" s="57" t="s">
        <v>56</v>
      </c>
      <c r="E132" s="62" t="n">
        <v>-40</v>
      </c>
      <c r="F132" s="59" t="n">
        <f aca="false">IF(ISNUMBER(FIND("SALDO ANTERIOR",C132)),0,IF(ISNUMBER(FIND("SALDO DO DIA",C132)),0,IF(ISNUMBER(FIND("SALDO PARCIAL",C132)),0,IF(ISNUMBER(FIND("SDO CTA/APL AUTOMATICAS",C132)),0,IF(ISNUMBER(FIND("APL APLIC AUT MAIS",C132)),0,IF(ISNUMBER(FIND("TEC DEPOSITO",C132)),0,IF(E132&gt;0,0,E132*(-1))))))))</f>
        <v>40</v>
      </c>
      <c r="G132" s="60" t="n">
        <f aca="false">IF(ISNUMBER(FIND("SALDO ANTERIOR",C132)),0,IF(ISNUMBER(FIND("SALDO DO DIA",C132)),0,IF(ISNUMBER(FIND("SDO CTA/APL AUTOMATICAS",C132)),0,IF(ISNUMBER(FIND("TEC DEPOSITO",C132)),0,IF(ISNUMBER(FIND("APL APLIC AUT MAIS",C132)),E132,IF(E132&gt;0,E132,0))))))</f>
        <v>0</v>
      </c>
      <c r="H132" s="61" t="n">
        <v>44228</v>
      </c>
    </row>
    <row r="133" customFormat="false" ht="15.8" hidden="false" customHeight="false" outlineLevel="0" collapsed="false">
      <c r="A133" s="55" t="s">
        <v>66</v>
      </c>
      <c r="B133" s="27" t="s">
        <v>185</v>
      </c>
      <c r="C133" s="27" t="s">
        <v>187</v>
      </c>
      <c r="D133" s="57"/>
      <c r="E133" s="62" t="n">
        <v>-87.3</v>
      </c>
      <c r="F133" s="59" t="n">
        <f aca="false">IF(ISNUMBER(FIND("SALDO ANTERIOR",C133)),0,IF(ISNUMBER(FIND("SALDO DO DIA",C133)),0,IF(ISNUMBER(FIND("SALDO PARCIAL",C133)),0,IF(ISNUMBER(FIND("SDO CTA/APL AUTOMATICAS",C133)),0,IF(ISNUMBER(FIND("APL APLIC AUT MAIS",C133)),0,IF(ISNUMBER(FIND("TEC DEPOSITO",C133)),0,IF(E133&gt;0,0,E133*(-1))))))))</f>
        <v>87.3</v>
      </c>
      <c r="G133" s="60" t="n">
        <f aca="false">IF(ISNUMBER(FIND("SALDO ANTERIOR",C133)),0,IF(ISNUMBER(FIND("SALDO DO DIA",C133)),0,IF(ISNUMBER(FIND("SDO CTA/APL AUTOMATICAS",C133)),0,IF(ISNUMBER(FIND("TEC DEPOSITO",C133)),0,IF(ISNUMBER(FIND("APL APLIC AUT MAIS",C133)),E133,IF(E133&gt;0,E133,0))))))</f>
        <v>0</v>
      </c>
      <c r="H133" s="61" t="n">
        <v>44228</v>
      </c>
    </row>
    <row r="134" customFormat="false" ht="17" hidden="false" customHeight="false" outlineLevel="0" collapsed="false">
      <c r="A134" s="55" t="s">
        <v>31</v>
      </c>
      <c r="B134" s="27" t="s">
        <v>185</v>
      </c>
      <c r="C134" s="56" t="s">
        <v>120</v>
      </c>
      <c r="D134" s="57"/>
      <c r="E134" s="58"/>
      <c r="F134" s="59" t="n">
        <f aca="false">IF(ISNUMBER(FIND("SALDO ANTERIOR",C134)),0,IF(ISNUMBER(FIND("SALDO DO DIA",C134)),0,IF(ISNUMBER(FIND("SALDO PARCIAL",C134)),0,IF(ISNUMBER(FIND("SDO CTA/APL AUTOMATICAS",C134)),0,IF(ISNUMBER(FIND("APL APLIC AUT MAIS",C134)),0,IF(ISNUMBER(FIND("TEC DEPOSITO",C134)),0,IF(E134&gt;0,0,E134*(-1))))))))</f>
        <v>0</v>
      </c>
      <c r="G134" s="60" t="n">
        <f aca="false">IF(ISNUMBER(FIND("SALDO ANTERIOR",C134)),0,IF(ISNUMBER(FIND("SALDO DO DIA",C134)),0,IF(ISNUMBER(FIND("SDO CTA/APL AUTOMATICAS",C134)),0,IF(ISNUMBER(FIND("TEC DEPOSITO",C134)),0,IF(ISNUMBER(FIND("APL APLIC AUT MAIS",C134)),E134,IF(E134&gt;0,E134,0))))))</f>
        <v>0</v>
      </c>
      <c r="H134" s="61" t="n">
        <v>44228</v>
      </c>
    </row>
    <row r="135" customFormat="false" ht="15.8" hidden="false" customHeight="false" outlineLevel="0" collapsed="false">
      <c r="A135" s="55" t="s">
        <v>87</v>
      </c>
      <c r="B135" s="27" t="s">
        <v>188</v>
      </c>
      <c r="C135" s="27" t="s">
        <v>189</v>
      </c>
      <c r="D135" s="57" t="s">
        <v>72</v>
      </c>
      <c r="E135" s="62" t="n">
        <v>-493.44</v>
      </c>
      <c r="F135" s="59" t="n">
        <f aca="false">IF(ISNUMBER(FIND("SALDO ANTERIOR",C135)),0,IF(ISNUMBER(FIND("SALDO DO DIA",C135)),0,IF(ISNUMBER(FIND("SALDO PARCIAL",C135)),0,IF(ISNUMBER(FIND("SDO CTA/APL AUTOMATICAS",C135)),0,IF(ISNUMBER(FIND("APL APLIC AUT MAIS",C135)),0,IF(ISNUMBER(FIND("TEC DEPOSITO",C135)),0,IF(E135&gt;0,0,E135*(-1))))))))</f>
        <v>493.44</v>
      </c>
      <c r="G135" s="60" t="n">
        <f aca="false">IF(ISNUMBER(FIND("SALDO ANTERIOR",C135)),0,IF(ISNUMBER(FIND("SALDO DO DIA",C135)),0,IF(ISNUMBER(FIND("SDO CTA/APL AUTOMATICAS",C135)),0,IF(ISNUMBER(FIND("TEC DEPOSITO",C135)),0,IF(ISNUMBER(FIND("APL APLIC AUT MAIS",C135)),E135,IF(E135&gt;0,E135,0))))))</f>
        <v>0</v>
      </c>
      <c r="H135" s="61" t="n">
        <v>44228</v>
      </c>
    </row>
    <row r="136" customFormat="false" ht="15.8" hidden="false" customHeight="false" outlineLevel="0" collapsed="false">
      <c r="A136" s="55" t="s">
        <v>69</v>
      </c>
      <c r="B136" s="27" t="s">
        <v>188</v>
      </c>
      <c r="C136" s="27" t="s">
        <v>71</v>
      </c>
      <c r="D136" s="57" t="s">
        <v>72</v>
      </c>
      <c r="E136" s="62" t="n">
        <v>-542</v>
      </c>
      <c r="F136" s="59" t="n">
        <f aca="false">IF(ISNUMBER(FIND("SALDO ANTERIOR",C136)),0,IF(ISNUMBER(FIND("SALDO DO DIA",C136)),0,IF(ISNUMBER(FIND("SALDO PARCIAL",C136)),0,IF(ISNUMBER(FIND("SDO CTA/APL AUTOMATICAS",C136)),0,IF(ISNUMBER(FIND("APL APLIC AUT MAIS",C136)),0,IF(ISNUMBER(FIND("TEC DEPOSITO",C136)),0,IF(E136&gt;0,0,E136*(-1))))))))</f>
        <v>542</v>
      </c>
      <c r="G136" s="60" t="n">
        <f aca="false">IF(ISNUMBER(FIND("SALDO ANTERIOR",C136)),0,IF(ISNUMBER(FIND("SALDO DO DIA",C136)),0,IF(ISNUMBER(FIND("SDO CTA/APL AUTOMATICAS",C136)),0,IF(ISNUMBER(FIND("TEC DEPOSITO",C136)),0,IF(ISNUMBER(FIND("APL APLIC AUT MAIS",C136)),E136,IF(E136&gt;0,E136,0))))))</f>
        <v>0</v>
      </c>
      <c r="H136" s="61" t="n">
        <v>44228</v>
      </c>
    </row>
    <row r="137" customFormat="false" ht="15.8" hidden="false" customHeight="false" outlineLevel="0" collapsed="false">
      <c r="A137" s="55" t="s">
        <v>80</v>
      </c>
      <c r="B137" s="27" t="s">
        <v>188</v>
      </c>
      <c r="C137" s="27" t="s">
        <v>190</v>
      </c>
      <c r="D137" s="57" t="s">
        <v>72</v>
      </c>
      <c r="E137" s="62" t="n">
        <v>-88.76</v>
      </c>
      <c r="F137" s="59" t="n">
        <f aca="false">IF(ISNUMBER(FIND("SALDO ANTERIOR",C137)),0,IF(ISNUMBER(FIND("SALDO DO DIA",C137)),0,IF(ISNUMBER(FIND("SALDO PARCIAL",C137)),0,IF(ISNUMBER(FIND("SDO CTA/APL AUTOMATICAS",C137)),0,IF(ISNUMBER(FIND("APL APLIC AUT MAIS",C137)),0,IF(ISNUMBER(FIND("TEC DEPOSITO",C137)),0,IF(E137&gt;0,0,E137*(-1))))))))</f>
        <v>88.76</v>
      </c>
      <c r="G137" s="60" t="n">
        <f aca="false">IF(ISNUMBER(FIND("SALDO ANTERIOR",C137)),0,IF(ISNUMBER(FIND("SALDO DO DIA",C137)),0,IF(ISNUMBER(FIND("SDO CTA/APL AUTOMATICAS",C137)),0,IF(ISNUMBER(FIND("TEC DEPOSITO",C137)),0,IF(ISNUMBER(FIND("APL APLIC AUT MAIS",C137)),E137,IF(E137&gt;0,E137,0))))))</f>
        <v>0</v>
      </c>
      <c r="H137" s="61" t="n">
        <v>44228</v>
      </c>
    </row>
    <row r="138" customFormat="false" ht="15.8" hidden="false" customHeight="false" outlineLevel="0" collapsed="false">
      <c r="A138" s="55" t="s">
        <v>159</v>
      </c>
      <c r="B138" s="27" t="s">
        <v>188</v>
      </c>
      <c r="C138" s="27" t="s">
        <v>161</v>
      </c>
      <c r="D138" s="57" t="s">
        <v>56</v>
      </c>
      <c r="E138" s="62" t="n">
        <v>-31.9</v>
      </c>
      <c r="F138" s="59" t="n">
        <f aca="false">IF(ISNUMBER(FIND("SALDO ANTERIOR",C138)),0,IF(ISNUMBER(FIND("SALDO DO DIA",C138)),0,IF(ISNUMBER(FIND("SALDO PARCIAL",C138)),0,IF(ISNUMBER(FIND("SDO CTA/APL AUTOMATICAS",C138)),0,IF(ISNUMBER(FIND("APL APLIC AUT MAIS",C138)),0,IF(ISNUMBER(FIND("TEC DEPOSITO",C138)),0,IF(E138&gt;0,0,E138*(-1))))))))</f>
        <v>31.9</v>
      </c>
      <c r="G138" s="60" t="n">
        <f aca="false">IF(ISNUMBER(FIND("SALDO ANTERIOR",C138)),0,IF(ISNUMBER(FIND("SALDO DO DIA",C138)),0,IF(ISNUMBER(FIND("SDO CTA/APL AUTOMATICAS",C138)),0,IF(ISNUMBER(FIND("TEC DEPOSITO",C138)),0,IF(ISNUMBER(FIND("APL APLIC AUT MAIS",C138)),E138,IF(E138&gt;0,E138,0))))))</f>
        <v>0</v>
      </c>
      <c r="H138" s="61" t="n">
        <v>44228</v>
      </c>
    </row>
    <row r="139" customFormat="false" ht="15.8" hidden="false" customHeight="false" outlineLevel="0" collapsed="false">
      <c r="A139" s="55" t="s">
        <v>59</v>
      </c>
      <c r="B139" s="27" t="s">
        <v>188</v>
      </c>
      <c r="C139" s="27" t="s">
        <v>191</v>
      </c>
      <c r="D139" s="57" t="s">
        <v>56</v>
      </c>
      <c r="E139" s="62" t="n">
        <v>-8</v>
      </c>
      <c r="F139" s="59" t="n">
        <f aca="false">IF(ISNUMBER(FIND("SALDO ANTERIOR",C139)),0,IF(ISNUMBER(FIND("SALDO DO DIA",C139)),0,IF(ISNUMBER(FIND("SALDO PARCIAL",C139)),0,IF(ISNUMBER(FIND("SDO CTA/APL AUTOMATICAS",C139)),0,IF(ISNUMBER(FIND("APL APLIC AUT MAIS",C139)),0,IF(ISNUMBER(FIND("TEC DEPOSITO",C139)),0,IF(E139&gt;0,0,E139*(-1))))))))</f>
        <v>8</v>
      </c>
      <c r="G139" s="60" t="n">
        <f aca="false">IF(ISNUMBER(FIND("SALDO ANTERIOR",C139)),0,IF(ISNUMBER(FIND("SALDO DO DIA",C139)),0,IF(ISNUMBER(FIND("SDO CTA/APL AUTOMATICAS",C139)),0,IF(ISNUMBER(FIND("TEC DEPOSITO",C139)),0,IF(ISNUMBER(FIND("APL APLIC AUT MAIS",C139)),E139,IF(E139&gt;0,E139,0))))))</f>
        <v>0</v>
      </c>
      <c r="H139" s="61" t="n">
        <v>44228</v>
      </c>
    </row>
    <row r="140" customFormat="false" ht="15.8" hidden="false" customHeight="false" outlineLevel="0" collapsed="false">
      <c r="A140" s="55" t="s">
        <v>59</v>
      </c>
      <c r="B140" s="27" t="s">
        <v>188</v>
      </c>
      <c r="C140" s="27" t="s">
        <v>192</v>
      </c>
      <c r="D140" s="57" t="s">
        <v>56</v>
      </c>
      <c r="E140" s="62" t="n">
        <v>-5</v>
      </c>
      <c r="F140" s="59" t="n">
        <f aca="false">IF(ISNUMBER(FIND("SALDO ANTERIOR",C140)),0,IF(ISNUMBER(FIND("SALDO DO DIA",C140)),0,IF(ISNUMBER(FIND("SALDO PARCIAL",C140)),0,IF(ISNUMBER(FIND("SDO CTA/APL AUTOMATICAS",C140)),0,IF(ISNUMBER(FIND("APL APLIC AUT MAIS",C140)),0,IF(ISNUMBER(FIND("TEC DEPOSITO",C140)),0,IF(E140&gt;0,0,E140*(-1))))))))</f>
        <v>5</v>
      </c>
      <c r="G140" s="60" t="n">
        <f aca="false">IF(ISNUMBER(FIND("SALDO ANTERIOR",C140)),0,IF(ISNUMBER(FIND("SALDO DO DIA",C140)),0,IF(ISNUMBER(FIND("SDO CTA/APL AUTOMATICAS",C140)),0,IF(ISNUMBER(FIND("TEC DEPOSITO",C140)),0,IF(ISNUMBER(FIND("APL APLIC AUT MAIS",C140)),E140,IF(E140&gt;0,E140,0))))))</f>
        <v>0</v>
      </c>
      <c r="H140" s="61" t="n">
        <v>44228</v>
      </c>
    </row>
    <row r="141" customFormat="false" ht="15.8" hidden="false" customHeight="false" outlineLevel="0" collapsed="false">
      <c r="A141" s="55" t="s">
        <v>59</v>
      </c>
      <c r="B141" s="27" t="s">
        <v>188</v>
      </c>
      <c r="C141" s="27" t="s">
        <v>193</v>
      </c>
      <c r="D141" s="57" t="s">
        <v>56</v>
      </c>
      <c r="E141" s="62" t="n">
        <v>-34.99</v>
      </c>
      <c r="F141" s="59" t="n">
        <f aca="false">IF(ISNUMBER(FIND("SALDO ANTERIOR",C141)),0,IF(ISNUMBER(FIND("SALDO DO DIA",C141)),0,IF(ISNUMBER(FIND("SALDO PARCIAL",C141)),0,IF(ISNUMBER(FIND("SDO CTA/APL AUTOMATICAS",C141)),0,IF(ISNUMBER(FIND("APL APLIC AUT MAIS",C141)),0,IF(ISNUMBER(FIND("TEC DEPOSITO",C141)),0,IF(E141&gt;0,0,E141*(-1))))))))</f>
        <v>34.99</v>
      </c>
      <c r="G141" s="60" t="n">
        <f aca="false">IF(ISNUMBER(FIND("SALDO ANTERIOR",C141)),0,IF(ISNUMBER(FIND("SALDO DO DIA",C141)),0,IF(ISNUMBER(FIND("SDO CTA/APL AUTOMATICAS",C141)),0,IF(ISNUMBER(FIND("TEC DEPOSITO",C141)),0,IF(ISNUMBER(FIND("APL APLIC AUT MAIS",C141)),E141,IF(E141&gt;0,E141,0))))))</f>
        <v>0</v>
      </c>
      <c r="H141" s="61" t="n">
        <v>44228</v>
      </c>
    </row>
    <row r="142" customFormat="false" ht="15.8" hidden="false" customHeight="false" outlineLevel="0" collapsed="false">
      <c r="A142" s="55" t="s">
        <v>57</v>
      </c>
      <c r="B142" s="27" t="s">
        <v>188</v>
      </c>
      <c r="C142" s="27" t="s">
        <v>58</v>
      </c>
      <c r="D142" s="57" t="s">
        <v>56</v>
      </c>
      <c r="E142" s="62" t="n">
        <v>-86.88</v>
      </c>
      <c r="F142" s="59" t="n">
        <f aca="false">IF(ISNUMBER(FIND("SALDO ANTERIOR",C142)),0,IF(ISNUMBER(FIND("SALDO DO DIA",C142)),0,IF(ISNUMBER(FIND("SALDO PARCIAL",C142)),0,IF(ISNUMBER(FIND("SDO CTA/APL AUTOMATICAS",C142)),0,IF(ISNUMBER(FIND("APL APLIC AUT MAIS",C142)),0,IF(ISNUMBER(FIND("TEC DEPOSITO",C142)),0,IF(E142&gt;0,0,E142*(-1))))))))</f>
        <v>86.88</v>
      </c>
      <c r="G142" s="60" t="n">
        <f aca="false">IF(ISNUMBER(FIND("SALDO ANTERIOR",C142)),0,IF(ISNUMBER(FIND("SALDO DO DIA",C142)),0,IF(ISNUMBER(FIND("SDO CTA/APL AUTOMATICAS",C142)),0,IF(ISNUMBER(FIND("TEC DEPOSITO",C142)),0,IF(ISNUMBER(FIND("APL APLIC AUT MAIS",C142)),E142,IF(E142&gt;0,E142,0))))))</f>
        <v>0</v>
      </c>
      <c r="H142" s="61" t="n">
        <v>44228</v>
      </c>
    </row>
    <row r="143" customFormat="false" ht="15.8" hidden="false" customHeight="false" outlineLevel="0" collapsed="false">
      <c r="A143" s="55" t="s">
        <v>59</v>
      </c>
      <c r="B143" s="27" t="s">
        <v>188</v>
      </c>
      <c r="C143" s="27" t="s">
        <v>170</v>
      </c>
      <c r="D143" s="57" t="s">
        <v>56</v>
      </c>
      <c r="E143" s="62" t="n">
        <v>-25.8</v>
      </c>
      <c r="F143" s="59" t="n">
        <f aca="false">IF(ISNUMBER(FIND("SALDO ANTERIOR",C143)),0,IF(ISNUMBER(FIND("SALDO DO DIA",C143)),0,IF(ISNUMBER(FIND("SALDO PARCIAL",C143)),0,IF(ISNUMBER(FIND("SDO CTA/APL AUTOMATICAS",C143)),0,IF(ISNUMBER(FIND("APL APLIC AUT MAIS",C143)),0,IF(ISNUMBER(FIND("TEC DEPOSITO",C143)),0,IF(E143&gt;0,0,E143*(-1))))))))</f>
        <v>25.8</v>
      </c>
      <c r="G143" s="60" t="n">
        <f aca="false">IF(ISNUMBER(FIND("SALDO ANTERIOR",C143)),0,IF(ISNUMBER(FIND("SALDO DO DIA",C143)),0,IF(ISNUMBER(FIND("SDO CTA/APL AUTOMATICAS",C143)),0,IF(ISNUMBER(FIND("TEC DEPOSITO",C143)),0,IF(ISNUMBER(FIND("APL APLIC AUT MAIS",C143)),E143,IF(E143&gt;0,E143,0))))))</f>
        <v>0</v>
      </c>
      <c r="H143" s="61" t="n">
        <v>44228</v>
      </c>
    </row>
    <row r="144" customFormat="false" ht="15.8" hidden="false" customHeight="false" outlineLevel="0" collapsed="false">
      <c r="A144" s="55" t="s">
        <v>59</v>
      </c>
      <c r="B144" s="27" t="s">
        <v>188</v>
      </c>
      <c r="C144" s="27" t="s">
        <v>170</v>
      </c>
      <c r="D144" s="57" t="s">
        <v>56</v>
      </c>
      <c r="E144" s="62" t="n">
        <v>-102.5</v>
      </c>
      <c r="F144" s="59" t="n">
        <f aca="false">IF(ISNUMBER(FIND("SALDO ANTERIOR",C144)),0,IF(ISNUMBER(FIND("SALDO DO DIA",C144)),0,IF(ISNUMBER(FIND("SALDO PARCIAL",C144)),0,IF(ISNUMBER(FIND("SDO CTA/APL AUTOMATICAS",C144)),0,IF(ISNUMBER(FIND("APL APLIC AUT MAIS",C144)),0,IF(ISNUMBER(FIND("TEC DEPOSITO",C144)),0,IF(E144&gt;0,0,E144*(-1))))))))</f>
        <v>102.5</v>
      </c>
      <c r="G144" s="60" t="n">
        <f aca="false">IF(ISNUMBER(FIND("SALDO ANTERIOR",C144)),0,IF(ISNUMBER(FIND("SALDO DO DIA",C144)),0,IF(ISNUMBER(FIND("SDO CTA/APL AUTOMATICAS",C144)),0,IF(ISNUMBER(FIND("TEC DEPOSITO",C144)),0,IF(ISNUMBER(FIND("APL APLIC AUT MAIS",C144)),E144,IF(E144&gt;0,E144,0))))))</f>
        <v>0</v>
      </c>
      <c r="H144" s="61" t="n">
        <v>44228</v>
      </c>
    </row>
    <row r="145" customFormat="false" ht="15.8" hidden="false" customHeight="false" outlineLevel="0" collapsed="false">
      <c r="A145" s="55" t="s">
        <v>64</v>
      </c>
      <c r="B145" s="27" t="s">
        <v>188</v>
      </c>
      <c r="C145" s="27" t="s">
        <v>65</v>
      </c>
      <c r="D145" s="57" t="s">
        <v>56</v>
      </c>
      <c r="E145" s="62" t="n">
        <v>-189.69</v>
      </c>
      <c r="F145" s="59" t="n">
        <f aca="false">IF(ISNUMBER(FIND("SALDO ANTERIOR",C145)),0,IF(ISNUMBER(FIND("SALDO DO DIA",C145)),0,IF(ISNUMBER(FIND("SALDO PARCIAL",C145)),0,IF(ISNUMBER(FIND("SDO CTA/APL AUTOMATICAS",C145)),0,IF(ISNUMBER(FIND("APL APLIC AUT MAIS",C145)),0,IF(ISNUMBER(FIND("TEC DEPOSITO",C145)),0,IF(E145&gt;0,0,E145*(-1))))))))</f>
        <v>189.69</v>
      </c>
      <c r="G145" s="60" t="n">
        <f aca="false">IF(ISNUMBER(FIND("SALDO ANTERIOR",C145)),0,IF(ISNUMBER(FIND("SALDO DO DIA",C145)),0,IF(ISNUMBER(FIND("SDO CTA/APL AUTOMATICAS",C145)),0,IF(ISNUMBER(FIND("TEC DEPOSITO",C145)),0,IF(ISNUMBER(FIND("APL APLIC AUT MAIS",C145)),E145,IF(E145&gt;0,E145,0))))))</f>
        <v>0</v>
      </c>
      <c r="H145" s="61" t="n">
        <v>44228</v>
      </c>
    </row>
    <row r="146" customFormat="false" ht="15.8" hidden="false" customHeight="false" outlineLevel="0" collapsed="false">
      <c r="A146" s="55" t="s">
        <v>194</v>
      </c>
      <c r="B146" s="27" t="s">
        <v>188</v>
      </c>
      <c r="C146" s="27" t="s">
        <v>35</v>
      </c>
      <c r="D146" s="57"/>
      <c r="E146" s="21" t="n">
        <v>353</v>
      </c>
      <c r="F146" s="59" t="n">
        <f aca="false">IF(ISNUMBER(FIND("SALDO ANTERIOR",C146)),0,IF(ISNUMBER(FIND("SALDO DO DIA",C146)),0,IF(ISNUMBER(FIND("SALDO PARCIAL",C146)),0,IF(ISNUMBER(FIND("SDO CTA/APL AUTOMATICAS",C146)),0,IF(ISNUMBER(FIND("APL APLIC AUT MAIS",C146)),0,IF(ISNUMBER(FIND("TEC DEPOSITO",C146)),0,IF(E146&gt;0,0,E146*(-1))))))))</f>
        <v>0</v>
      </c>
      <c r="G146" s="60" t="n">
        <f aca="false">IF(ISNUMBER(FIND("SALDO ANTERIOR",C146)),0,IF(ISNUMBER(FIND("SALDO DO DIA",C146)),0,IF(ISNUMBER(FIND("SDO CTA/APL AUTOMATICAS",C146)),0,IF(ISNUMBER(FIND("TEC DEPOSITO",C146)),0,IF(ISNUMBER(FIND("APL APLIC AUT MAIS",C146)),E146,IF(E146&gt;0,E146,0))))))</f>
        <v>353</v>
      </c>
      <c r="H146" s="61" t="n">
        <v>44228</v>
      </c>
    </row>
    <row r="147" customFormat="false" ht="15.8" hidden="false" customHeight="false" outlineLevel="0" collapsed="false">
      <c r="A147" s="55" t="s">
        <v>195</v>
      </c>
      <c r="B147" s="27" t="s">
        <v>188</v>
      </c>
      <c r="C147" s="27" t="s">
        <v>36</v>
      </c>
      <c r="D147" s="57" t="s">
        <v>196</v>
      </c>
      <c r="E147" s="21" t="n">
        <v>32.86</v>
      </c>
      <c r="F147" s="59" t="n">
        <f aca="false">IF(ISNUMBER(FIND("SALDO ANTERIOR",C147)),0,IF(ISNUMBER(FIND("SALDO DO DIA",C147)),0,IF(ISNUMBER(FIND("SALDO PARCIAL",C147)),0,IF(ISNUMBER(FIND("SDO CTA/APL AUTOMATICAS",C147)),0,IF(ISNUMBER(FIND("APL APLIC AUT MAIS",C147)),0,IF(ISNUMBER(FIND("TEC DEPOSITO",C147)),0,IF(E147&gt;0,0,E147*(-1))))))))</f>
        <v>0</v>
      </c>
      <c r="G147" s="60" t="n">
        <f aca="false">IF(ISNUMBER(FIND("SALDO ANTERIOR",C147)),0,IF(ISNUMBER(FIND("SALDO DO DIA",C147)),0,IF(ISNUMBER(FIND("SDO CTA/APL AUTOMATICAS",C147)),0,IF(ISNUMBER(FIND("TEC DEPOSITO",C147)),0,IF(ISNUMBER(FIND("APL APLIC AUT MAIS",C147)),E147,IF(E147&gt;0,E147,0))))))</f>
        <v>32.86</v>
      </c>
      <c r="H147" s="61" t="n">
        <v>44228</v>
      </c>
    </row>
    <row r="148" customFormat="false" ht="17" hidden="false" customHeight="false" outlineLevel="0" collapsed="false">
      <c r="A148" s="55" t="s">
        <v>31</v>
      </c>
      <c r="B148" s="27" t="s">
        <v>188</v>
      </c>
      <c r="C148" s="56" t="s">
        <v>68</v>
      </c>
      <c r="D148" s="57"/>
      <c r="E148" s="58"/>
      <c r="F148" s="59" t="n">
        <f aca="false">IF(ISNUMBER(FIND("SALDO ANTERIOR",C148)),0,IF(ISNUMBER(FIND("SALDO DO DIA",C148)),0,IF(ISNUMBER(FIND("SALDO PARCIAL",C148)),0,IF(ISNUMBER(FIND("SDO CTA/APL AUTOMATICAS",C148)),0,IF(ISNUMBER(FIND("APL APLIC AUT MAIS",C148)),0,IF(ISNUMBER(FIND("TEC DEPOSITO",C148)),0,IF(E148&gt;0,0,E148*(-1))))))))</f>
        <v>0</v>
      </c>
      <c r="G148" s="60" t="n">
        <f aca="false">IF(ISNUMBER(FIND("SALDO ANTERIOR",C148)),0,IF(ISNUMBER(FIND("SALDO DO DIA",C148)),0,IF(ISNUMBER(FIND("SDO CTA/APL AUTOMATICAS",C148)),0,IF(ISNUMBER(FIND("TEC DEPOSITO",C148)),0,IF(ISNUMBER(FIND("APL APLIC AUT MAIS",C148)),E148,IF(E148&gt;0,E148,0))))))</f>
        <v>0</v>
      </c>
      <c r="H148" s="61" t="n">
        <v>44228</v>
      </c>
    </row>
    <row r="149" customFormat="false" ht="15.8" hidden="false" customHeight="false" outlineLevel="0" collapsed="false">
      <c r="A149" s="55" t="s">
        <v>80</v>
      </c>
      <c r="B149" s="27" t="s">
        <v>197</v>
      </c>
      <c r="C149" s="27" t="s">
        <v>198</v>
      </c>
      <c r="D149" s="57" t="s">
        <v>72</v>
      </c>
      <c r="E149" s="62" t="n">
        <v>-53.32</v>
      </c>
      <c r="F149" s="59" t="n">
        <f aca="false">IF(ISNUMBER(FIND("SALDO ANTERIOR",C149)),0,IF(ISNUMBER(FIND("SALDO DO DIA",C149)),0,IF(ISNUMBER(FIND("SALDO PARCIAL",C149)),0,IF(ISNUMBER(FIND("SDO CTA/APL AUTOMATICAS",C149)),0,IF(ISNUMBER(FIND("APL APLIC AUT MAIS",C149)),0,IF(ISNUMBER(FIND("TEC DEPOSITO",C149)),0,IF(E149&gt;0,0,E149*(-1))))))))</f>
        <v>53.32</v>
      </c>
      <c r="G149" s="60" t="n">
        <f aca="false">IF(ISNUMBER(FIND("SALDO ANTERIOR",C149)),0,IF(ISNUMBER(FIND("SALDO DO DIA",C149)),0,IF(ISNUMBER(FIND("SDO CTA/APL AUTOMATICAS",C149)),0,IF(ISNUMBER(FIND("TEC DEPOSITO",C149)),0,IF(ISNUMBER(FIND("APL APLIC AUT MAIS",C149)),E149,IF(E149&gt;0,E149,0))))))</f>
        <v>0</v>
      </c>
      <c r="H149" s="61" t="n">
        <v>44228</v>
      </c>
    </row>
    <row r="150" customFormat="false" ht="15.8" hidden="false" customHeight="false" outlineLevel="0" collapsed="false">
      <c r="A150" s="55" t="s">
        <v>57</v>
      </c>
      <c r="B150" s="27" t="s">
        <v>197</v>
      </c>
      <c r="C150" s="27" t="s">
        <v>58</v>
      </c>
      <c r="D150" s="57" t="s">
        <v>56</v>
      </c>
      <c r="E150" s="62" t="n">
        <v>-66.12</v>
      </c>
      <c r="F150" s="59" t="n">
        <f aca="false">IF(ISNUMBER(FIND("SALDO ANTERIOR",C150)),0,IF(ISNUMBER(FIND("SALDO DO DIA",C150)),0,IF(ISNUMBER(FIND("SALDO PARCIAL",C150)),0,IF(ISNUMBER(FIND("SDO CTA/APL AUTOMATICAS",C150)),0,IF(ISNUMBER(FIND("APL APLIC AUT MAIS",C150)),0,IF(ISNUMBER(FIND("TEC DEPOSITO",C150)),0,IF(E150&gt;0,0,E150*(-1))))))))</f>
        <v>66.12</v>
      </c>
      <c r="G150" s="60" t="n">
        <f aca="false">IF(ISNUMBER(FIND("SALDO ANTERIOR",C150)),0,IF(ISNUMBER(FIND("SALDO DO DIA",C150)),0,IF(ISNUMBER(FIND("SDO CTA/APL AUTOMATICAS",C150)),0,IF(ISNUMBER(FIND("TEC DEPOSITO",C150)),0,IF(ISNUMBER(FIND("APL APLIC AUT MAIS",C150)),E150,IF(E150&gt;0,E150,0))))))</f>
        <v>0</v>
      </c>
      <c r="H150" s="61" t="n">
        <v>44228</v>
      </c>
    </row>
    <row r="151" customFormat="false" ht="17" hidden="false" customHeight="false" outlineLevel="0" collapsed="false">
      <c r="A151" s="55" t="s">
        <v>31</v>
      </c>
      <c r="B151" s="27" t="s">
        <v>197</v>
      </c>
      <c r="C151" s="56" t="s">
        <v>68</v>
      </c>
      <c r="D151" s="57"/>
      <c r="E151" s="58"/>
      <c r="F151" s="59" t="n">
        <f aca="false">IF(ISNUMBER(FIND("SALDO ANTERIOR",C151)),0,IF(ISNUMBER(FIND("SALDO DO DIA",C151)),0,IF(ISNUMBER(FIND("SALDO PARCIAL",C151)),0,IF(ISNUMBER(FIND("SDO CTA/APL AUTOMATICAS",C151)),0,IF(ISNUMBER(FIND("APL APLIC AUT MAIS",C151)),0,IF(ISNUMBER(FIND("TEC DEPOSITO",C151)),0,IF(E151&gt;0,0,E151*(-1))))))))</f>
        <v>0</v>
      </c>
      <c r="G151" s="60" t="n">
        <f aca="false">IF(ISNUMBER(FIND("SALDO ANTERIOR",C151)),0,IF(ISNUMBER(FIND("SALDO DO DIA",C151)),0,IF(ISNUMBER(FIND("SDO CTA/APL AUTOMATICAS",C151)),0,IF(ISNUMBER(FIND("TEC DEPOSITO",C151)),0,IF(ISNUMBER(FIND("APL APLIC AUT MAIS",C151)),E151,IF(E151&gt;0,E151,0))))))</f>
        <v>0</v>
      </c>
      <c r="H151" s="61" t="n">
        <v>44228</v>
      </c>
    </row>
    <row r="152" customFormat="false" ht="15.8" hidden="false" customHeight="false" outlineLevel="0" collapsed="false">
      <c r="A152" s="55" t="s">
        <v>66</v>
      </c>
      <c r="B152" s="27" t="s">
        <v>199</v>
      </c>
      <c r="C152" s="27" t="s">
        <v>107</v>
      </c>
      <c r="D152" s="57" t="s">
        <v>76</v>
      </c>
      <c r="E152" s="62" t="n">
        <v>-6.61</v>
      </c>
      <c r="F152" s="59" t="n">
        <f aca="false">IF(ISNUMBER(FIND("SALDO ANTERIOR",C152)),0,IF(ISNUMBER(FIND("SALDO DO DIA",C152)),0,IF(ISNUMBER(FIND("SALDO PARCIAL",C152)),0,IF(ISNUMBER(FIND("SDO CTA/APL AUTOMATICAS",C152)),0,IF(ISNUMBER(FIND("APL APLIC AUT MAIS",C152)),0,IF(ISNUMBER(FIND("TEC DEPOSITO",C152)),0,IF(E152&gt;0,0,E152*(-1))))))))</f>
        <v>6.61</v>
      </c>
      <c r="G152" s="60" t="n">
        <f aca="false">IF(ISNUMBER(FIND("SALDO ANTERIOR",C152)),0,IF(ISNUMBER(FIND("SALDO DO DIA",C152)),0,IF(ISNUMBER(FIND("SDO CTA/APL AUTOMATICAS",C152)),0,IF(ISNUMBER(FIND("TEC DEPOSITO",C152)),0,IF(ISNUMBER(FIND("APL APLIC AUT MAIS",C152)),E152,IF(E152&gt;0,E152,0))))))</f>
        <v>0</v>
      </c>
      <c r="H152" s="61" t="n">
        <v>44228</v>
      </c>
    </row>
    <row r="153" customFormat="false" ht="17" hidden="false" customHeight="false" outlineLevel="0" collapsed="false">
      <c r="A153" s="55" t="s">
        <v>31</v>
      </c>
      <c r="B153" s="27" t="s">
        <v>199</v>
      </c>
      <c r="C153" s="56" t="s">
        <v>68</v>
      </c>
      <c r="D153" s="57"/>
      <c r="E153" s="58"/>
      <c r="F153" s="59" t="n">
        <f aca="false">IF(ISNUMBER(FIND("SALDO ANTERIOR",C153)),0,IF(ISNUMBER(FIND("SALDO DO DIA",C153)),0,IF(ISNUMBER(FIND("SALDO PARCIAL",C153)),0,IF(ISNUMBER(FIND("SDO CTA/APL AUTOMATICAS",C153)),0,IF(ISNUMBER(FIND("APL APLIC AUT MAIS",C153)),0,IF(ISNUMBER(FIND("TEC DEPOSITO",C153)),0,IF(E153&gt;0,0,E153*(-1))))))))</f>
        <v>0</v>
      </c>
      <c r="G153" s="60" t="n">
        <f aca="false">IF(ISNUMBER(FIND("SALDO ANTERIOR",C153)),0,IF(ISNUMBER(FIND("SALDO DO DIA",C153)),0,IF(ISNUMBER(FIND("SDO CTA/APL AUTOMATICAS",C153)),0,IF(ISNUMBER(FIND("TEC DEPOSITO",C153)),0,IF(ISNUMBER(FIND("APL APLIC AUT MAIS",C153)),E153,IF(E153&gt;0,E153,0))))))</f>
        <v>0</v>
      </c>
      <c r="H153" s="61" t="n">
        <v>44228</v>
      </c>
    </row>
    <row r="154" customFormat="false" ht="15.8" hidden="false" customHeight="false" outlineLevel="0" collapsed="false">
      <c r="A154" s="55" t="s">
        <v>200</v>
      </c>
      <c r="B154" s="27" t="s">
        <v>201</v>
      </c>
      <c r="C154" s="27" t="s">
        <v>202</v>
      </c>
      <c r="D154" s="57" t="s">
        <v>72</v>
      </c>
      <c r="E154" s="62" t="n">
        <v>-443.34</v>
      </c>
      <c r="F154" s="59" t="n">
        <f aca="false">IF(ISNUMBER(FIND("SALDO ANTERIOR",C154)),0,IF(ISNUMBER(FIND("SALDO DO DIA",C154)),0,IF(ISNUMBER(FIND("SALDO PARCIAL",C154)),0,IF(ISNUMBER(FIND("SDO CTA/APL AUTOMATICAS",C154)),0,IF(ISNUMBER(FIND("APL APLIC AUT MAIS",C154)),0,IF(ISNUMBER(FIND("TEC DEPOSITO",C154)),0,IF(E154&gt;0,0,E154*(-1))))))))</f>
        <v>443.34</v>
      </c>
      <c r="G154" s="60" t="n">
        <f aca="false">IF(ISNUMBER(FIND("SALDO ANTERIOR",C154)),0,IF(ISNUMBER(FIND("SALDO DO DIA",C154)),0,IF(ISNUMBER(FIND("SDO CTA/APL AUTOMATICAS",C154)),0,IF(ISNUMBER(FIND("TEC DEPOSITO",C154)),0,IF(ISNUMBER(FIND("APL APLIC AUT MAIS",C154)),E154,IF(E154&gt;0,E154,0))))))</f>
        <v>0</v>
      </c>
      <c r="H154" s="61" t="n">
        <v>44228</v>
      </c>
    </row>
    <row r="155" customFormat="false" ht="15.8" hidden="false" customHeight="false" outlineLevel="0" collapsed="false">
      <c r="A155" s="55" t="s">
        <v>59</v>
      </c>
      <c r="B155" s="27" t="s">
        <v>201</v>
      </c>
      <c r="C155" s="27" t="s">
        <v>79</v>
      </c>
      <c r="D155" s="57" t="s">
        <v>56</v>
      </c>
      <c r="E155" s="62" t="n">
        <v>-11</v>
      </c>
      <c r="F155" s="59" t="n">
        <f aca="false">IF(ISNUMBER(FIND("SALDO ANTERIOR",C155)),0,IF(ISNUMBER(FIND("SALDO DO DIA",C155)),0,IF(ISNUMBER(FIND("SALDO PARCIAL",C155)),0,IF(ISNUMBER(FIND("SDO CTA/APL AUTOMATICAS",C155)),0,IF(ISNUMBER(FIND("APL APLIC AUT MAIS",C155)),0,IF(ISNUMBER(FIND("TEC DEPOSITO",C155)),0,IF(E155&gt;0,0,E155*(-1))))))))</f>
        <v>11</v>
      </c>
      <c r="G155" s="60" t="n">
        <f aca="false">IF(ISNUMBER(FIND("SALDO ANTERIOR",C155)),0,IF(ISNUMBER(FIND("SALDO DO DIA",C155)),0,IF(ISNUMBER(FIND("SDO CTA/APL AUTOMATICAS",C155)),0,IF(ISNUMBER(FIND("TEC DEPOSITO",C155)),0,IF(ISNUMBER(FIND("APL APLIC AUT MAIS",C155)),E155,IF(E155&gt;0,E155,0))))))</f>
        <v>0</v>
      </c>
      <c r="H155" s="61" t="n">
        <v>44228</v>
      </c>
    </row>
    <row r="156" customFormat="false" ht="15.8" hidden="false" customHeight="false" outlineLevel="0" collapsed="false">
      <c r="A156" s="55" t="s">
        <v>64</v>
      </c>
      <c r="B156" s="27" t="s">
        <v>201</v>
      </c>
      <c r="C156" s="27" t="s">
        <v>65</v>
      </c>
      <c r="D156" s="57" t="s">
        <v>56</v>
      </c>
      <c r="E156" s="62" t="n">
        <v>-182.23</v>
      </c>
      <c r="F156" s="59" t="n">
        <f aca="false">IF(ISNUMBER(FIND("SALDO ANTERIOR",C156)),0,IF(ISNUMBER(FIND("SALDO DO DIA",C156)),0,IF(ISNUMBER(FIND("SALDO PARCIAL",C156)),0,IF(ISNUMBER(FIND("SDO CTA/APL AUTOMATICAS",C156)),0,IF(ISNUMBER(FIND("APL APLIC AUT MAIS",C156)),0,IF(ISNUMBER(FIND("TEC DEPOSITO",C156)),0,IF(E156&gt;0,0,E156*(-1))))))))</f>
        <v>182.23</v>
      </c>
      <c r="G156" s="60" t="n">
        <f aca="false">IF(ISNUMBER(FIND("SALDO ANTERIOR",C156)),0,IF(ISNUMBER(FIND("SALDO DO DIA",C156)),0,IF(ISNUMBER(FIND("SDO CTA/APL AUTOMATICAS",C156)),0,IF(ISNUMBER(FIND("TEC DEPOSITO",C156)),0,IF(ISNUMBER(FIND("APL APLIC AUT MAIS",C156)),E156,IF(E156&gt;0,E156,0))))))</f>
        <v>0</v>
      </c>
      <c r="H156" s="61" t="n">
        <v>44228</v>
      </c>
    </row>
    <row r="157" customFormat="false" ht="15.8" hidden="false" customHeight="false" outlineLevel="0" collapsed="false">
      <c r="A157" s="55" t="s">
        <v>108</v>
      </c>
      <c r="B157" s="27" t="s">
        <v>201</v>
      </c>
      <c r="C157" s="27" t="s">
        <v>109</v>
      </c>
      <c r="D157" s="57" t="s">
        <v>76</v>
      </c>
      <c r="E157" s="62" t="n">
        <v>-75</v>
      </c>
      <c r="F157" s="59" t="n">
        <f aca="false">IF(ISNUMBER(FIND("SALDO ANTERIOR",C157)),0,IF(ISNUMBER(FIND("SALDO DO DIA",C157)),0,IF(ISNUMBER(FIND("SALDO PARCIAL",C157)),0,IF(ISNUMBER(FIND("SDO CTA/APL AUTOMATICAS",C157)),0,IF(ISNUMBER(FIND("APL APLIC AUT MAIS",C157)),0,IF(ISNUMBER(FIND("TEC DEPOSITO",C157)),0,IF(E157&gt;0,0,E157*(-1))))))))</f>
        <v>75</v>
      </c>
      <c r="G157" s="60" t="n">
        <f aca="false">IF(ISNUMBER(FIND("SALDO ANTERIOR",C157)),0,IF(ISNUMBER(FIND("SALDO DO DIA",C157)),0,IF(ISNUMBER(FIND("SDO CTA/APL AUTOMATICAS",C157)),0,IF(ISNUMBER(FIND("TEC DEPOSITO",C157)),0,IF(ISNUMBER(FIND("APL APLIC AUT MAIS",C157)),E157,IF(E157&gt;0,E157,0))))))</f>
        <v>0</v>
      </c>
      <c r="H157" s="61" t="n">
        <v>44228</v>
      </c>
    </row>
    <row r="158" customFormat="false" ht="17" hidden="false" customHeight="false" outlineLevel="0" collapsed="false">
      <c r="A158" s="55" t="s">
        <v>31</v>
      </c>
      <c r="B158" s="27" t="s">
        <v>201</v>
      </c>
      <c r="C158" s="56" t="s">
        <v>68</v>
      </c>
      <c r="D158" s="57"/>
      <c r="E158" s="58"/>
      <c r="F158" s="59" t="n">
        <f aca="false">IF(ISNUMBER(FIND("SALDO ANTERIOR",C158)),0,IF(ISNUMBER(FIND("SALDO DO DIA",C158)),0,IF(ISNUMBER(FIND("SALDO PARCIAL",C158)),0,IF(ISNUMBER(FIND("SDO CTA/APL AUTOMATICAS",C158)),0,IF(ISNUMBER(FIND("APL APLIC AUT MAIS",C158)),0,IF(ISNUMBER(FIND("TEC DEPOSITO",C158)),0,IF(E158&gt;0,0,E158*(-1))))))))</f>
        <v>0</v>
      </c>
      <c r="G158" s="60" t="n">
        <f aca="false">IF(ISNUMBER(FIND("SALDO ANTERIOR",C158)),0,IF(ISNUMBER(FIND("SALDO DO DIA",C158)),0,IF(ISNUMBER(FIND("SDO CTA/APL AUTOMATICAS",C158)),0,IF(ISNUMBER(FIND("TEC DEPOSITO",C158)),0,IF(ISNUMBER(FIND("APL APLIC AUT MAIS",C158)),E158,IF(E158&gt;0,E158,0))))))</f>
        <v>0</v>
      </c>
      <c r="H158" s="61" t="n">
        <v>44228</v>
      </c>
    </row>
    <row r="159" customFormat="false" ht="15.8" hidden="false" customHeight="false" outlineLevel="0" collapsed="false">
      <c r="A159" s="55" t="s">
        <v>59</v>
      </c>
      <c r="B159" s="27" t="s">
        <v>203</v>
      </c>
      <c r="C159" s="27" t="s">
        <v>204</v>
      </c>
      <c r="D159" s="57" t="s">
        <v>56</v>
      </c>
      <c r="E159" s="62" t="n">
        <v>-19.9</v>
      </c>
      <c r="F159" s="59" t="n">
        <f aca="false">IF(ISNUMBER(FIND("SALDO ANTERIOR",C159)),0,IF(ISNUMBER(FIND("SALDO DO DIA",C159)),0,IF(ISNUMBER(FIND("SALDO PARCIAL",C159)),0,IF(ISNUMBER(FIND("SDO CTA/APL AUTOMATICAS",C159)),0,IF(ISNUMBER(FIND("APL APLIC AUT MAIS",C159)),0,IF(ISNUMBER(FIND("TEC DEPOSITO",C159)),0,IF(E159&gt;0,0,E159*(-1))))))))</f>
        <v>19.9</v>
      </c>
      <c r="G159" s="60" t="n">
        <f aca="false">IF(ISNUMBER(FIND("SALDO ANTERIOR",C159)),0,IF(ISNUMBER(FIND("SALDO DO DIA",C159)),0,IF(ISNUMBER(FIND("SDO CTA/APL AUTOMATICAS",C159)),0,IF(ISNUMBER(FIND("TEC DEPOSITO",C159)),0,IF(ISNUMBER(FIND("APL APLIC AUT MAIS",C159)),E159,IF(E159&gt;0,E159,0))))))</f>
        <v>0</v>
      </c>
      <c r="H159" s="61" t="n">
        <v>44228</v>
      </c>
    </row>
    <row r="160" customFormat="false" ht="15.8" hidden="false" customHeight="false" outlineLevel="0" collapsed="false">
      <c r="A160" s="55" t="s">
        <v>59</v>
      </c>
      <c r="B160" s="27" t="s">
        <v>203</v>
      </c>
      <c r="C160" s="27" t="s">
        <v>166</v>
      </c>
      <c r="D160" s="57" t="s">
        <v>56</v>
      </c>
      <c r="E160" s="62" t="n">
        <v>-11.9</v>
      </c>
      <c r="F160" s="59" t="n">
        <f aca="false">IF(ISNUMBER(FIND("SALDO ANTERIOR",C160)),0,IF(ISNUMBER(FIND("SALDO DO DIA",C160)),0,IF(ISNUMBER(FIND("SALDO PARCIAL",C160)),0,IF(ISNUMBER(FIND("SDO CTA/APL AUTOMATICAS",C160)),0,IF(ISNUMBER(FIND("APL APLIC AUT MAIS",C160)),0,IF(ISNUMBER(FIND("TEC DEPOSITO",C160)),0,IF(E160&gt;0,0,E160*(-1))))))))</f>
        <v>11.9</v>
      </c>
      <c r="G160" s="60" t="n">
        <f aca="false">IF(ISNUMBER(FIND("SALDO ANTERIOR",C160)),0,IF(ISNUMBER(FIND("SALDO DO DIA",C160)),0,IF(ISNUMBER(FIND("SDO CTA/APL AUTOMATICAS",C160)),0,IF(ISNUMBER(FIND("TEC DEPOSITO",C160)),0,IF(ISNUMBER(FIND("APL APLIC AUT MAIS",C160)),E160,IF(E160&gt;0,E160,0))))))</f>
        <v>0</v>
      </c>
      <c r="H160" s="61" t="n">
        <v>44228</v>
      </c>
    </row>
    <row r="161" customFormat="false" ht="15.8" hidden="false" customHeight="false" outlineLevel="0" collapsed="false">
      <c r="A161" s="55" t="s">
        <v>64</v>
      </c>
      <c r="B161" s="27" t="s">
        <v>203</v>
      </c>
      <c r="C161" s="27" t="s">
        <v>205</v>
      </c>
      <c r="D161" s="57" t="s">
        <v>56</v>
      </c>
      <c r="E161" s="62" t="n">
        <v>-17.28</v>
      </c>
      <c r="F161" s="59" t="n">
        <f aca="false">IF(ISNUMBER(FIND("SALDO ANTERIOR",C161)),0,IF(ISNUMBER(FIND("SALDO DO DIA",C161)),0,IF(ISNUMBER(FIND("SALDO PARCIAL",C161)),0,IF(ISNUMBER(FIND("SDO CTA/APL AUTOMATICAS",C161)),0,IF(ISNUMBER(FIND("APL APLIC AUT MAIS",C161)),0,IF(ISNUMBER(FIND("TEC DEPOSITO",C161)),0,IF(E161&gt;0,0,E161*(-1))))))))</f>
        <v>17.28</v>
      </c>
      <c r="G161" s="60" t="n">
        <f aca="false">IF(ISNUMBER(FIND("SALDO ANTERIOR",C161)),0,IF(ISNUMBER(FIND("SALDO DO DIA",C161)),0,IF(ISNUMBER(FIND("SDO CTA/APL AUTOMATICAS",C161)),0,IF(ISNUMBER(FIND("TEC DEPOSITO",C161)),0,IF(ISNUMBER(FIND("APL APLIC AUT MAIS",C161)),E161,IF(E161&gt;0,E161,0))))))</f>
        <v>0</v>
      </c>
      <c r="H161" s="61" t="n">
        <v>44228</v>
      </c>
    </row>
    <row r="162" customFormat="false" ht="15.8" hidden="false" customHeight="false" outlineLevel="0" collapsed="false">
      <c r="A162" s="55" t="s">
        <v>64</v>
      </c>
      <c r="B162" s="27" t="s">
        <v>203</v>
      </c>
      <c r="C162" s="27" t="s">
        <v>65</v>
      </c>
      <c r="D162" s="57" t="s">
        <v>56</v>
      </c>
      <c r="E162" s="62" t="n">
        <v>-68.98</v>
      </c>
      <c r="F162" s="59" t="n">
        <f aca="false">IF(ISNUMBER(FIND("SALDO ANTERIOR",C162)),0,IF(ISNUMBER(FIND("SALDO DO DIA",C162)),0,IF(ISNUMBER(FIND("SALDO PARCIAL",C162)),0,IF(ISNUMBER(FIND("SDO CTA/APL AUTOMATICAS",C162)),0,IF(ISNUMBER(FIND("APL APLIC AUT MAIS",C162)),0,IF(ISNUMBER(FIND("TEC DEPOSITO",C162)),0,IF(E162&gt;0,0,E162*(-1))))))))</f>
        <v>68.98</v>
      </c>
      <c r="G162" s="60" t="n">
        <f aca="false">IF(ISNUMBER(FIND("SALDO ANTERIOR",C162)),0,IF(ISNUMBER(FIND("SALDO DO DIA",C162)),0,IF(ISNUMBER(FIND("SDO CTA/APL AUTOMATICAS",C162)),0,IF(ISNUMBER(FIND("TEC DEPOSITO",C162)),0,IF(ISNUMBER(FIND("APL APLIC AUT MAIS",C162)),E162,IF(E162&gt;0,E162,0))))))</f>
        <v>0</v>
      </c>
      <c r="H162" s="61" t="n">
        <v>44228</v>
      </c>
    </row>
    <row r="163" customFormat="false" ht="17" hidden="false" customHeight="false" outlineLevel="0" collapsed="false">
      <c r="A163" s="55" t="s">
        <v>31</v>
      </c>
      <c r="B163" s="27" t="s">
        <v>203</v>
      </c>
      <c r="C163" s="56" t="s">
        <v>68</v>
      </c>
      <c r="D163" s="57"/>
      <c r="E163" s="58"/>
      <c r="F163" s="59" t="n">
        <f aca="false">IF(ISNUMBER(FIND("SALDO ANTERIOR",C163)),0,IF(ISNUMBER(FIND("SALDO DO DIA",C163)),0,IF(ISNUMBER(FIND("SALDO PARCIAL",C163)),0,IF(ISNUMBER(FIND("SDO CTA/APL AUTOMATICAS",C163)),0,IF(ISNUMBER(FIND("APL APLIC AUT MAIS",C163)),0,IF(ISNUMBER(FIND("TEC DEPOSITO",C163)),0,IF(E163&gt;0,0,E163*(-1))))))))</f>
        <v>0</v>
      </c>
      <c r="G163" s="60" t="n">
        <f aca="false">IF(ISNUMBER(FIND("SALDO ANTERIOR",C163)),0,IF(ISNUMBER(FIND("SALDO DO DIA",C163)),0,IF(ISNUMBER(FIND("SDO CTA/APL AUTOMATICAS",C163)),0,IF(ISNUMBER(FIND("TEC DEPOSITO",C163)),0,IF(ISNUMBER(FIND("APL APLIC AUT MAIS",C163)),E163,IF(E163&gt;0,E163,0))))))</f>
        <v>0</v>
      </c>
      <c r="H163" s="61" t="n">
        <v>44228</v>
      </c>
    </row>
    <row r="164" customFormat="false" ht="15.8" hidden="false" customHeight="false" outlineLevel="0" collapsed="false">
      <c r="A164" s="55" t="s">
        <v>121</v>
      </c>
      <c r="B164" s="27" t="s">
        <v>206</v>
      </c>
      <c r="C164" s="27" t="s">
        <v>207</v>
      </c>
      <c r="D164" s="57" t="s">
        <v>91</v>
      </c>
      <c r="E164" s="62" t="n">
        <v>-150</v>
      </c>
      <c r="F164" s="59" t="n">
        <f aca="false">IF(ISNUMBER(FIND("SALDO ANTERIOR",C164)),0,IF(ISNUMBER(FIND("SALDO DO DIA",C164)),0,IF(ISNUMBER(FIND("SALDO PARCIAL",C164)),0,IF(ISNUMBER(FIND("SDO CTA/APL AUTOMATICAS",C164)),0,IF(ISNUMBER(FIND("APL APLIC AUT MAIS",C164)),0,IF(ISNUMBER(FIND("TEC DEPOSITO",C164)),0,IF(E164&gt;0,0,E164*(-1))))))))</f>
        <v>150</v>
      </c>
      <c r="G164" s="60" t="n">
        <f aca="false">IF(ISNUMBER(FIND("SALDO ANTERIOR",C164)),0,IF(ISNUMBER(FIND("SALDO DO DIA",C164)),0,IF(ISNUMBER(FIND("SDO CTA/APL AUTOMATICAS",C164)),0,IF(ISNUMBER(FIND("TEC DEPOSITO",C164)),0,IF(ISNUMBER(FIND("APL APLIC AUT MAIS",C164)),E164,IF(E164&gt;0,E164,0))))))</f>
        <v>0</v>
      </c>
      <c r="H164" s="61" t="n">
        <v>44228</v>
      </c>
    </row>
    <row r="165" customFormat="false" ht="15.8" hidden="false" customHeight="false" outlineLevel="0" collapsed="false">
      <c r="A165" s="55" t="s">
        <v>77</v>
      </c>
      <c r="B165" s="27" t="s">
        <v>206</v>
      </c>
      <c r="C165" s="27" t="s">
        <v>79</v>
      </c>
      <c r="D165" s="57" t="s">
        <v>56</v>
      </c>
      <c r="E165" s="62" t="n">
        <v>-11</v>
      </c>
      <c r="F165" s="59" t="n">
        <f aca="false">IF(ISNUMBER(FIND("SALDO ANTERIOR",C165)),0,IF(ISNUMBER(FIND("SALDO DO DIA",C165)),0,IF(ISNUMBER(FIND("SALDO PARCIAL",C165)),0,IF(ISNUMBER(FIND("SDO CTA/APL AUTOMATICAS",C165)),0,IF(ISNUMBER(FIND("APL APLIC AUT MAIS",C165)),0,IF(ISNUMBER(FIND("TEC DEPOSITO",C165)),0,IF(E165&gt;0,0,E165*(-1))))))))</f>
        <v>11</v>
      </c>
      <c r="G165" s="60" t="n">
        <f aca="false">IF(ISNUMBER(FIND("SALDO ANTERIOR",C165)),0,IF(ISNUMBER(FIND("SALDO DO DIA",C165)),0,IF(ISNUMBER(FIND("SDO CTA/APL AUTOMATICAS",C165)),0,IF(ISNUMBER(FIND("TEC DEPOSITO",C165)),0,IF(ISNUMBER(FIND("APL APLIC AUT MAIS",C165)),E165,IF(E165&gt;0,E165,0))))))</f>
        <v>0</v>
      </c>
      <c r="H165" s="61" t="n">
        <v>44228</v>
      </c>
    </row>
    <row r="166" customFormat="false" ht="15.8" hidden="false" customHeight="false" outlineLevel="0" collapsed="false">
      <c r="A166" s="55" t="s">
        <v>57</v>
      </c>
      <c r="B166" s="27" t="s">
        <v>206</v>
      </c>
      <c r="C166" s="27" t="s">
        <v>58</v>
      </c>
      <c r="D166" s="57" t="s">
        <v>56</v>
      </c>
      <c r="E166" s="62" t="n">
        <v>-43.18</v>
      </c>
      <c r="F166" s="59" t="n">
        <f aca="false">IF(ISNUMBER(FIND("SALDO ANTERIOR",C166)),0,IF(ISNUMBER(FIND("SALDO DO DIA",C166)),0,IF(ISNUMBER(FIND("SALDO PARCIAL",C166)),0,IF(ISNUMBER(FIND("SDO CTA/APL AUTOMATICAS",C166)),0,IF(ISNUMBER(FIND("APL APLIC AUT MAIS",C166)),0,IF(ISNUMBER(FIND("TEC DEPOSITO",C166)),0,IF(E166&gt;0,0,E166*(-1))))))))</f>
        <v>43.18</v>
      </c>
      <c r="G166" s="60" t="n">
        <f aca="false">IF(ISNUMBER(FIND("SALDO ANTERIOR",C166)),0,IF(ISNUMBER(FIND("SALDO DO DIA",C166)),0,IF(ISNUMBER(FIND("SDO CTA/APL AUTOMATICAS",C166)),0,IF(ISNUMBER(FIND("TEC DEPOSITO",C166)),0,IF(ISNUMBER(FIND("APL APLIC AUT MAIS",C166)),E166,IF(E166&gt;0,E166,0))))))</f>
        <v>0</v>
      </c>
      <c r="H166" s="61" t="n">
        <v>44228</v>
      </c>
    </row>
    <row r="167" customFormat="false" ht="15.8" hidden="false" customHeight="false" outlineLevel="0" collapsed="false">
      <c r="A167" s="55" t="s">
        <v>59</v>
      </c>
      <c r="B167" s="27" t="s">
        <v>206</v>
      </c>
      <c r="C167" s="27" t="s">
        <v>208</v>
      </c>
      <c r="D167" s="57" t="s">
        <v>56</v>
      </c>
      <c r="E167" s="62" t="n">
        <v>-30</v>
      </c>
      <c r="F167" s="59" t="n">
        <f aca="false">IF(ISNUMBER(FIND("SALDO ANTERIOR",C167)),0,IF(ISNUMBER(FIND("SALDO DO DIA",C167)),0,IF(ISNUMBER(FIND("SALDO PARCIAL",C167)),0,IF(ISNUMBER(FIND("SDO CTA/APL AUTOMATICAS",C167)),0,IF(ISNUMBER(FIND("APL APLIC AUT MAIS",C167)),0,IF(ISNUMBER(FIND("TEC DEPOSITO",C167)),0,IF(E167&gt;0,0,E167*(-1))))))))</f>
        <v>30</v>
      </c>
      <c r="G167" s="60" t="n">
        <f aca="false">IF(ISNUMBER(FIND("SALDO ANTERIOR",C167)),0,IF(ISNUMBER(FIND("SALDO DO DIA",C167)),0,IF(ISNUMBER(FIND("SDO CTA/APL AUTOMATICAS",C167)),0,IF(ISNUMBER(FIND("TEC DEPOSITO",C167)),0,IF(ISNUMBER(FIND("APL APLIC AUT MAIS",C167)),E167,IF(E167&gt;0,E167,0))))))</f>
        <v>0</v>
      </c>
      <c r="H167" s="61" t="n">
        <v>44228</v>
      </c>
    </row>
    <row r="168" customFormat="false" ht="13.8" hidden="false" customHeight="false" outlineLevel="0" collapsed="false">
      <c r="A168" s="55" t="s">
        <v>62</v>
      </c>
      <c r="B168" s="27" t="s">
        <v>206</v>
      </c>
      <c r="C168" s="27" t="s">
        <v>209</v>
      </c>
      <c r="D168" s="57" t="s">
        <v>56</v>
      </c>
      <c r="E168" s="62" t="n">
        <v>-14.2</v>
      </c>
      <c r="F168" s="59" t="n">
        <f aca="false">IF(ISNUMBER(FIND("SALDO ANTERIOR",C168)),0,IF(ISNUMBER(FIND("SALDO DO DIA",C168)),0,IF(ISNUMBER(FIND("SALDO PARCIAL",C168)),0,IF(ISNUMBER(FIND("SDO CTA/APL AUTOMATICAS",C168)),0,IF(ISNUMBER(FIND("APL APLIC AUT MAIS",C168)),0,IF(ISNUMBER(FIND("TEC DEPOSITO",C168)),0,IF(E168&gt;0,0,E168*(-1))))))))</f>
        <v>14.2</v>
      </c>
      <c r="G168" s="60" t="n">
        <f aca="false">IF(ISNUMBER(FIND("SALDO ANTERIOR",C168)),0,IF(ISNUMBER(FIND("SALDO DO DIA",C168)),0,IF(ISNUMBER(FIND("SDO CTA/APL AUTOMATICAS",C168)),0,IF(ISNUMBER(FIND("TEC DEPOSITO",C168)),0,IF(ISNUMBER(FIND("APL APLIC AUT MAIS",C168)),E168,IF(E168&gt;0,E168,0))))))</f>
        <v>0</v>
      </c>
      <c r="H168" s="61" t="n">
        <v>44228</v>
      </c>
    </row>
    <row r="169" customFormat="false" ht="15.8" hidden="false" customHeight="false" outlineLevel="0" collapsed="false">
      <c r="A169" s="55" t="s">
        <v>62</v>
      </c>
      <c r="B169" s="27" t="s">
        <v>206</v>
      </c>
      <c r="C169" s="27" t="s">
        <v>210</v>
      </c>
      <c r="D169" s="57" t="s">
        <v>56</v>
      </c>
      <c r="E169" s="62" t="n">
        <v>-50</v>
      </c>
      <c r="F169" s="59" t="n">
        <f aca="false">IF(ISNUMBER(FIND("SALDO ANTERIOR",C169)),0,IF(ISNUMBER(FIND("SALDO DO DIA",C169)),0,IF(ISNUMBER(FIND("SALDO PARCIAL",C169)),0,IF(ISNUMBER(FIND("SDO CTA/APL AUTOMATICAS",C169)),0,IF(ISNUMBER(FIND("APL APLIC AUT MAIS",C169)),0,IF(ISNUMBER(FIND("TEC DEPOSITO",C169)),0,IF(E169&gt;0,0,E169*(-1))))))))</f>
        <v>50</v>
      </c>
      <c r="G169" s="60" t="n">
        <f aca="false">IF(ISNUMBER(FIND("SALDO ANTERIOR",C169)),0,IF(ISNUMBER(FIND("SALDO DO DIA",C169)),0,IF(ISNUMBER(FIND("SDO CTA/APL AUTOMATICAS",C169)),0,IF(ISNUMBER(FIND("TEC DEPOSITO",C169)),0,IF(ISNUMBER(FIND("APL APLIC AUT MAIS",C169)),E169,IF(E169&gt;0,E169,0))))))</f>
        <v>0</v>
      </c>
      <c r="H169" s="61" t="n">
        <v>44228</v>
      </c>
    </row>
    <row r="170" customFormat="false" ht="15.8" hidden="false" customHeight="false" outlineLevel="0" collapsed="false">
      <c r="A170" s="55" t="s">
        <v>211</v>
      </c>
      <c r="B170" s="27" t="s">
        <v>206</v>
      </c>
      <c r="C170" s="27" t="s">
        <v>212</v>
      </c>
      <c r="D170" s="57" t="s">
        <v>56</v>
      </c>
      <c r="E170" s="62" t="n">
        <v>-20</v>
      </c>
      <c r="F170" s="59" t="n">
        <f aca="false">IF(ISNUMBER(FIND("SALDO ANTERIOR",C170)),0,IF(ISNUMBER(FIND("SALDO DO DIA",C170)),0,IF(ISNUMBER(FIND("SALDO PARCIAL",C170)),0,IF(ISNUMBER(FIND("SDO CTA/APL AUTOMATICAS",C170)),0,IF(ISNUMBER(FIND("APL APLIC AUT MAIS",C170)),0,IF(ISNUMBER(FIND("TEC DEPOSITO",C170)),0,IF(E170&gt;0,0,E170*(-1))))))))</f>
        <v>20</v>
      </c>
      <c r="G170" s="60" t="n">
        <f aca="false">IF(ISNUMBER(FIND("SALDO ANTERIOR",C170)),0,IF(ISNUMBER(FIND("SALDO DO DIA",C170)),0,IF(ISNUMBER(FIND("SDO CTA/APL AUTOMATICAS",C170)),0,IF(ISNUMBER(FIND("TEC DEPOSITO",C170)),0,IF(ISNUMBER(FIND("APL APLIC AUT MAIS",C170)),E170,IF(E170&gt;0,E170,0))))))</f>
        <v>0</v>
      </c>
      <c r="H170" s="61" t="n">
        <v>44228</v>
      </c>
    </row>
    <row r="171" customFormat="false" ht="15.8" hidden="false" customHeight="false" outlineLevel="0" collapsed="false">
      <c r="A171" s="55" t="s">
        <v>53</v>
      </c>
      <c r="B171" s="27" t="s">
        <v>206</v>
      </c>
      <c r="C171" s="27" t="s">
        <v>213</v>
      </c>
      <c r="D171" s="57" t="s">
        <v>56</v>
      </c>
      <c r="E171" s="62" t="n">
        <v>-13</v>
      </c>
      <c r="F171" s="59" t="n">
        <f aca="false">IF(ISNUMBER(FIND("SALDO ANTERIOR",C171)),0,IF(ISNUMBER(FIND("SALDO DO DIA",C171)),0,IF(ISNUMBER(FIND("SALDO PARCIAL",C171)),0,IF(ISNUMBER(FIND("SDO CTA/APL AUTOMATICAS",C171)),0,IF(ISNUMBER(FIND("APL APLIC AUT MAIS",C171)),0,IF(ISNUMBER(FIND("TEC DEPOSITO",C171)),0,IF(E171&gt;0,0,E171*(-1))))))))</f>
        <v>13</v>
      </c>
      <c r="G171" s="60" t="n">
        <f aca="false">IF(ISNUMBER(FIND("SALDO ANTERIOR",C171)),0,IF(ISNUMBER(FIND("SALDO DO DIA",C171)),0,IF(ISNUMBER(FIND("SDO CTA/APL AUTOMATICAS",C171)),0,IF(ISNUMBER(FIND("TEC DEPOSITO",C171)),0,IF(ISNUMBER(FIND("APL APLIC AUT MAIS",C171)),E171,IF(E171&gt;0,E171,0))))))</f>
        <v>0</v>
      </c>
      <c r="H171" s="61" t="n">
        <v>44228</v>
      </c>
    </row>
    <row r="172" customFormat="false" ht="15.8" hidden="false" customHeight="false" outlineLevel="0" collapsed="false">
      <c r="A172" s="55" t="s">
        <v>103</v>
      </c>
      <c r="B172" s="27" t="s">
        <v>206</v>
      </c>
      <c r="C172" s="27" t="s">
        <v>130</v>
      </c>
      <c r="D172" s="57" t="s">
        <v>56</v>
      </c>
      <c r="E172" s="62" t="n">
        <v>-68</v>
      </c>
      <c r="F172" s="59" t="n">
        <f aca="false">IF(ISNUMBER(FIND("SALDO ANTERIOR",C172)),0,IF(ISNUMBER(FIND("SALDO DO DIA",C172)),0,IF(ISNUMBER(FIND("SALDO PARCIAL",C172)),0,IF(ISNUMBER(FIND("SDO CTA/APL AUTOMATICAS",C172)),0,IF(ISNUMBER(FIND("APL APLIC AUT MAIS",C172)),0,IF(ISNUMBER(FIND("TEC DEPOSITO",C172)),0,IF(E172&gt;0,0,E172*(-1))))))))</f>
        <v>68</v>
      </c>
      <c r="G172" s="60" t="n">
        <f aca="false">IF(ISNUMBER(FIND("SALDO ANTERIOR",C172)),0,IF(ISNUMBER(FIND("SALDO DO DIA",C172)),0,IF(ISNUMBER(FIND("SDO CTA/APL AUTOMATICAS",C172)),0,IF(ISNUMBER(FIND("TEC DEPOSITO",C172)),0,IF(ISNUMBER(FIND("APL APLIC AUT MAIS",C172)),E172,IF(E172&gt;0,E172,0))))))</f>
        <v>0</v>
      </c>
      <c r="H172" s="61" t="n">
        <v>44228</v>
      </c>
    </row>
    <row r="173" customFormat="false" ht="15.8" hidden="false" customHeight="false" outlineLevel="0" collapsed="false">
      <c r="A173" s="55" t="s">
        <v>59</v>
      </c>
      <c r="B173" s="27" t="s">
        <v>206</v>
      </c>
      <c r="C173" s="27" t="s">
        <v>166</v>
      </c>
      <c r="D173" s="57" t="s">
        <v>56</v>
      </c>
      <c r="E173" s="62" t="n">
        <v>-9.9</v>
      </c>
      <c r="F173" s="59" t="n">
        <f aca="false">IF(ISNUMBER(FIND("SALDO ANTERIOR",C173)),0,IF(ISNUMBER(FIND("SALDO DO DIA",C173)),0,IF(ISNUMBER(FIND("SALDO PARCIAL",C173)),0,IF(ISNUMBER(FIND("SDO CTA/APL AUTOMATICAS",C173)),0,IF(ISNUMBER(FIND("APL APLIC AUT MAIS",C173)),0,IF(ISNUMBER(FIND("TEC DEPOSITO",C173)),0,IF(E173&gt;0,0,E173*(-1))))))))</f>
        <v>9.9</v>
      </c>
      <c r="G173" s="60" t="n">
        <f aca="false">IF(ISNUMBER(FIND("SALDO ANTERIOR",C173)),0,IF(ISNUMBER(FIND("SALDO DO DIA",C173)),0,IF(ISNUMBER(FIND("SDO CTA/APL AUTOMATICAS",C173)),0,IF(ISNUMBER(FIND("TEC DEPOSITO",C173)),0,IF(ISNUMBER(FIND("APL APLIC AUT MAIS",C173)),E173,IF(E173&gt;0,E173,0))))))</f>
        <v>0</v>
      </c>
      <c r="H173" s="61" t="n">
        <v>44228</v>
      </c>
    </row>
    <row r="174" customFormat="false" ht="15.8" hidden="false" customHeight="false" outlineLevel="0" collapsed="false">
      <c r="A174" s="55" t="s">
        <v>59</v>
      </c>
      <c r="B174" s="27" t="s">
        <v>206</v>
      </c>
      <c r="C174" s="27" t="s">
        <v>214</v>
      </c>
      <c r="D174" s="57" t="s">
        <v>56</v>
      </c>
      <c r="E174" s="62" t="n">
        <v>-11</v>
      </c>
      <c r="F174" s="59" t="n">
        <f aca="false">IF(ISNUMBER(FIND("SALDO ANTERIOR",C174)),0,IF(ISNUMBER(FIND("SALDO DO DIA",C174)),0,IF(ISNUMBER(FIND("SALDO PARCIAL",C174)),0,IF(ISNUMBER(FIND("SDO CTA/APL AUTOMATICAS",C174)),0,IF(ISNUMBER(FIND("APL APLIC AUT MAIS",C174)),0,IF(ISNUMBER(FIND("TEC DEPOSITO",C174)),0,IF(E174&gt;0,0,E174*(-1))))))))</f>
        <v>11</v>
      </c>
      <c r="G174" s="60" t="n">
        <f aca="false">IF(ISNUMBER(FIND("SALDO ANTERIOR",C174)),0,IF(ISNUMBER(FIND("SALDO DO DIA",C174)),0,IF(ISNUMBER(FIND("SDO CTA/APL AUTOMATICAS",C174)),0,IF(ISNUMBER(FIND("TEC DEPOSITO",C174)),0,IF(ISNUMBER(FIND("APL APLIC AUT MAIS",C174)),E174,IF(E174&gt;0,E174,0))))))</f>
        <v>0</v>
      </c>
      <c r="H174" s="61" t="n">
        <v>44228</v>
      </c>
    </row>
    <row r="175" customFormat="false" ht="15.8" hidden="false" customHeight="false" outlineLevel="0" collapsed="false">
      <c r="A175" s="55" t="s">
        <v>57</v>
      </c>
      <c r="B175" s="27" t="s">
        <v>206</v>
      </c>
      <c r="C175" s="27" t="s">
        <v>162</v>
      </c>
      <c r="D175" s="57" t="s">
        <v>56</v>
      </c>
      <c r="E175" s="62" t="n">
        <v>-1.29</v>
      </c>
      <c r="F175" s="59" t="n">
        <f aca="false">IF(ISNUMBER(FIND("SALDO ANTERIOR",C175)),0,IF(ISNUMBER(FIND("SALDO DO DIA",C175)),0,IF(ISNUMBER(FIND("SALDO PARCIAL",C175)),0,IF(ISNUMBER(FIND("SDO CTA/APL AUTOMATICAS",C175)),0,IF(ISNUMBER(FIND("APL APLIC AUT MAIS",C175)),0,IF(ISNUMBER(FIND("TEC DEPOSITO",C175)),0,IF(E175&gt;0,0,E175*(-1))))))))</f>
        <v>1.29</v>
      </c>
      <c r="G175" s="60" t="n">
        <f aca="false">IF(ISNUMBER(FIND("SALDO ANTERIOR",C175)),0,IF(ISNUMBER(FIND("SALDO DO DIA",C175)),0,IF(ISNUMBER(FIND("SDO CTA/APL AUTOMATICAS",C175)),0,IF(ISNUMBER(FIND("TEC DEPOSITO",C175)),0,IF(ISNUMBER(FIND("APL APLIC AUT MAIS",C175)),E175,IF(E175&gt;0,E175,0))))))</f>
        <v>0</v>
      </c>
      <c r="H175" s="61" t="n">
        <v>44228</v>
      </c>
    </row>
    <row r="176" customFormat="false" ht="15.8" hidden="false" customHeight="false" outlineLevel="0" collapsed="false">
      <c r="A176" s="55" t="s">
        <v>57</v>
      </c>
      <c r="B176" s="27" t="s">
        <v>206</v>
      </c>
      <c r="C176" s="27" t="s">
        <v>162</v>
      </c>
      <c r="D176" s="57" t="s">
        <v>56</v>
      </c>
      <c r="E176" s="62" t="n">
        <v>-20.69</v>
      </c>
      <c r="F176" s="59" t="n">
        <f aca="false">IF(ISNUMBER(FIND("SALDO ANTERIOR",C176)),0,IF(ISNUMBER(FIND("SALDO DO DIA",C176)),0,IF(ISNUMBER(FIND("SALDO PARCIAL",C176)),0,IF(ISNUMBER(FIND("SDO CTA/APL AUTOMATICAS",C176)),0,IF(ISNUMBER(FIND("APL APLIC AUT MAIS",C176)),0,IF(ISNUMBER(FIND("TEC DEPOSITO",C176)),0,IF(E176&gt;0,0,E176*(-1))))))))</f>
        <v>20.69</v>
      </c>
      <c r="G176" s="60" t="n">
        <f aca="false">IF(ISNUMBER(FIND("SALDO ANTERIOR",C176)),0,IF(ISNUMBER(FIND("SALDO DO DIA",C176)),0,IF(ISNUMBER(FIND("SDO CTA/APL AUTOMATICAS",C176)),0,IF(ISNUMBER(FIND("TEC DEPOSITO",C176)),0,IF(ISNUMBER(FIND("APL APLIC AUT MAIS",C176)),E176,IF(E176&gt;0,E176,0))))))</f>
        <v>0</v>
      </c>
      <c r="H176" s="61" t="n">
        <v>44228</v>
      </c>
    </row>
    <row r="177" customFormat="false" ht="15.8" hidden="false" customHeight="false" outlineLevel="0" collapsed="false">
      <c r="A177" s="55" t="s">
        <v>64</v>
      </c>
      <c r="B177" s="27" t="s">
        <v>206</v>
      </c>
      <c r="C177" s="27" t="s">
        <v>65</v>
      </c>
      <c r="D177" s="57" t="s">
        <v>56</v>
      </c>
      <c r="E177" s="62" t="n">
        <v>-59.02</v>
      </c>
      <c r="F177" s="59" t="n">
        <f aca="false">IF(ISNUMBER(FIND("SALDO ANTERIOR",C177)),0,IF(ISNUMBER(FIND("SALDO DO DIA",C177)),0,IF(ISNUMBER(FIND("SALDO PARCIAL",C177)),0,IF(ISNUMBER(FIND("SDO CTA/APL AUTOMATICAS",C177)),0,IF(ISNUMBER(FIND("APL APLIC AUT MAIS",C177)),0,IF(ISNUMBER(FIND("TEC DEPOSITO",C177)),0,IF(E177&gt;0,0,E177*(-1))))))))</f>
        <v>59.02</v>
      </c>
      <c r="G177" s="60" t="n">
        <f aca="false">IF(ISNUMBER(FIND("SALDO ANTERIOR",C177)),0,IF(ISNUMBER(FIND("SALDO DO DIA",C177)),0,IF(ISNUMBER(FIND("SDO CTA/APL AUTOMATICAS",C177)),0,IF(ISNUMBER(FIND("TEC DEPOSITO",C177)),0,IF(ISNUMBER(FIND("APL APLIC AUT MAIS",C177)),E177,IF(E177&gt;0,E177,0))))))</f>
        <v>0</v>
      </c>
      <c r="H177" s="61" t="n">
        <v>44228</v>
      </c>
    </row>
    <row r="178" customFormat="false" ht="15.8" hidden="false" customHeight="false" outlineLevel="0" collapsed="false">
      <c r="A178" s="55" t="s">
        <v>64</v>
      </c>
      <c r="B178" s="27" t="s">
        <v>206</v>
      </c>
      <c r="C178" s="27" t="s">
        <v>65</v>
      </c>
      <c r="D178" s="57" t="s">
        <v>56</v>
      </c>
      <c r="E178" s="62" t="n">
        <v>-39.51</v>
      </c>
      <c r="F178" s="59" t="n">
        <f aca="false">IF(ISNUMBER(FIND("SALDO ANTERIOR",C178)),0,IF(ISNUMBER(FIND("SALDO DO DIA",C178)),0,IF(ISNUMBER(FIND("SALDO PARCIAL",C178)),0,IF(ISNUMBER(FIND("SDO CTA/APL AUTOMATICAS",C178)),0,IF(ISNUMBER(FIND("APL APLIC AUT MAIS",C178)),0,IF(ISNUMBER(FIND("TEC DEPOSITO",C178)),0,IF(E178&gt;0,0,E178*(-1))))))))</f>
        <v>39.51</v>
      </c>
      <c r="G178" s="60" t="n">
        <f aca="false">IF(ISNUMBER(FIND("SALDO ANTERIOR",C178)),0,IF(ISNUMBER(FIND("SALDO DO DIA",C178)),0,IF(ISNUMBER(FIND("SDO CTA/APL AUTOMATICAS",C178)),0,IF(ISNUMBER(FIND("TEC DEPOSITO",C178)),0,IF(ISNUMBER(FIND("APL APLIC AUT MAIS",C178)),E178,IF(E178&gt;0,E178,0))))))</f>
        <v>0</v>
      </c>
      <c r="H178" s="61" t="n">
        <v>44228</v>
      </c>
    </row>
    <row r="179" customFormat="false" ht="15.8" hidden="false" customHeight="false" outlineLevel="0" collapsed="false">
      <c r="A179" s="55" t="s">
        <v>64</v>
      </c>
      <c r="B179" s="27" t="s">
        <v>206</v>
      </c>
      <c r="C179" s="27" t="s">
        <v>65</v>
      </c>
      <c r="D179" s="57" t="s">
        <v>56</v>
      </c>
      <c r="E179" s="62" t="n">
        <v>-247.87</v>
      </c>
      <c r="F179" s="59" t="n">
        <f aca="false">IF(ISNUMBER(FIND("SALDO ANTERIOR",C179)),0,IF(ISNUMBER(FIND("SALDO DO DIA",C179)),0,IF(ISNUMBER(FIND("SALDO PARCIAL",C179)),0,IF(ISNUMBER(FIND("SDO CTA/APL AUTOMATICAS",C179)),0,IF(ISNUMBER(FIND("APL APLIC AUT MAIS",C179)),0,IF(ISNUMBER(FIND("TEC DEPOSITO",C179)),0,IF(E179&gt;0,0,E179*(-1))))))))</f>
        <v>247.87</v>
      </c>
      <c r="G179" s="60" t="n">
        <f aca="false">IF(ISNUMBER(FIND("SALDO ANTERIOR",C179)),0,IF(ISNUMBER(FIND("SALDO DO DIA",C179)),0,IF(ISNUMBER(FIND("SDO CTA/APL AUTOMATICAS",C179)),0,IF(ISNUMBER(FIND("TEC DEPOSITO",C179)),0,IF(ISNUMBER(FIND("APL APLIC AUT MAIS",C179)),E179,IF(E179&gt;0,E179,0))))))</f>
        <v>0</v>
      </c>
      <c r="H179" s="61" t="n">
        <v>44228</v>
      </c>
    </row>
    <row r="180" customFormat="false" ht="15.8" hidden="false" customHeight="false" outlineLevel="0" collapsed="false">
      <c r="A180" s="55" t="s">
        <v>134</v>
      </c>
      <c r="B180" s="27" t="s">
        <v>206</v>
      </c>
      <c r="C180" s="27" t="s">
        <v>135</v>
      </c>
      <c r="D180" s="57" t="s">
        <v>72</v>
      </c>
      <c r="E180" s="62" t="n">
        <v>-3626.45</v>
      </c>
      <c r="F180" s="59" t="n">
        <f aca="false">IF(ISNUMBER(FIND("SALDO ANTERIOR",C180)),0,IF(ISNUMBER(FIND("SALDO DO DIA",C180)),0,IF(ISNUMBER(FIND("SALDO PARCIAL",C180)),0,IF(ISNUMBER(FIND("SDO CTA/APL AUTOMATICAS",C180)),0,IF(ISNUMBER(FIND("APL APLIC AUT MAIS",C180)),0,IF(ISNUMBER(FIND("TEC DEPOSITO",C180)),0,IF(E180&gt;0,0,E180*(-1))))))))</f>
        <v>3626.45</v>
      </c>
      <c r="G180" s="60" t="n">
        <f aca="false">IF(ISNUMBER(FIND("SALDO ANTERIOR",C180)),0,IF(ISNUMBER(FIND("SALDO DO DIA",C180)),0,IF(ISNUMBER(FIND("SDO CTA/APL AUTOMATICAS",C180)),0,IF(ISNUMBER(FIND("TEC DEPOSITO",C180)),0,IF(ISNUMBER(FIND("APL APLIC AUT MAIS",C180)),E180,IF(E180&gt;0,E180,0))))))</f>
        <v>0</v>
      </c>
      <c r="H180" s="61" t="n">
        <v>44228</v>
      </c>
    </row>
    <row r="181" customFormat="false" ht="15.8" hidden="false" customHeight="false" outlineLevel="0" collapsed="false">
      <c r="A181" s="55" t="s">
        <v>215</v>
      </c>
      <c r="B181" s="27" t="s">
        <v>206</v>
      </c>
      <c r="C181" s="27" t="s">
        <v>38</v>
      </c>
      <c r="D181" s="57" t="s">
        <v>72</v>
      </c>
      <c r="E181" s="21" t="n">
        <v>1000</v>
      </c>
      <c r="F181" s="59" t="n">
        <f aca="false">IF(ISNUMBER(FIND("SALDO ANTERIOR",C181)),0,IF(ISNUMBER(FIND("SALDO DO DIA",C181)),0,IF(ISNUMBER(FIND("SALDO PARCIAL",C181)),0,IF(ISNUMBER(FIND("SDO CTA/APL AUTOMATICAS",C181)),0,IF(ISNUMBER(FIND("APL APLIC AUT MAIS",C181)),0,IF(ISNUMBER(FIND("TEC DEPOSITO",C181)),0,IF(E181&gt;0,0,E181*(-1))))))))</f>
        <v>0</v>
      </c>
      <c r="G181" s="60" t="n">
        <f aca="false">IF(ISNUMBER(FIND("SALDO ANTERIOR",C181)),0,IF(ISNUMBER(FIND("SALDO DO DIA",C181)),0,IF(ISNUMBER(FIND("SDO CTA/APL AUTOMATICAS",C181)),0,IF(ISNUMBER(FIND("TEC DEPOSITO",C181)),0,IF(ISNUMBER(FIND("APL APLIC AUT MAIS",C181)),E181,IF(E181&gt;0,E181,0))))))</f>
        <v>1000</v>
      </c>
      <c r="H181" s="61" t="n">
        <v>44228</v>
      </c>
    </row>
    <row r="182" customFormat="false" ht="15.8" hidden="false" customHeight="false" outlineLevel="0" collapsed="false">
      <c r="A182" s="55" t="s">
        <v>195</v>
      </c>
      <c r="B182" s="27" t="s">
        <v>206</v>
      </c>
      <c r="C182" s="27" t="s">
        <v>37</v>
      </c>
      <c r="D182" s="57" t="s">
        <v>216</v>
      </c>
      <c r="E182" s="21" t="n">
        <v>40</v>
      </c>
      <c r="F182" s="59" t="n">
        <f aca="false">IF(ISNUMBER(FIND("SALDO ANTERIOR",C182)),0,IF(ISNUMBER(FIND("SALDO DO DIA",C182)),0,IF(ISNUMBER(FIND("SALDO PARCIAL",C182)),0,IF(ISNUMBER(FIND("SDO CTA/APL AUTOMATICAS",C182)),0,IF(ISNUMBER(FIND("APL APLIC AUT MAIS",C182)),0,IF(ISNUMBER(FIND("TEC DEPOSITO",C182)),0,IF(E182&gt;0,0,E182*(-1))))))))</f>
        <v>0</v>
      </c>
      <c r="G182" s="60" t="n">
        <f aca="false">IF(ISNUMBER(FIND("SALDO ANTERIOR",C182)),0,IF(ISNUMBER(FIND("SALDO DO DIA",C182)),0,IF(ISNUMBER(FIND("SDO CTA/APL AUTOMATICAS",C182)),0,IF(ISNUMBER(FIND("TEC DEPOSITO",C182)),0,IF(ISNUMBER(FIND("APL APLIC AUT MAIS",C182)),E182,IF(E182&gt;0,E182,0))))))</f>
        <v>40</v>
      </c>
      <c r="H182" s="61" t="n">
        <v>44228</v>
      </c>
    </row>
    <row r="183" customFormat="false" ht="15.8" hidden="false" customHeight="false" outlineLevel="0" collapsed="false">
      <c r="A183" s="55" t="s">
        <v>85</v>
      </c>
      <c r="B183" s="27" t="s">
        <v>206</v>
      </c>
      <c r="C183" s="27" t="s">
        <v>217</v>
      </c>
      <c r="D183" s="57" t="s">
        <v>177</v>
      </c>
      <c r="E183" s="21" t="n">
        <v>5000</v>
      </c>
      <c r="F183" s="59" t="n">
        <f aca="false">IF(ISNUMBER(FIND("SALDO ANTERIOR",C183)),0,IF(ISNUMBER(FIND("SALDO DO DIA",C183)),0,IF(ISNUMBER(FIND("SALDO PARCIAL",C183)),0,IF(ISNUMBER(FIND("SDO CTA/APL AUTOMATICAS",C183)),0,IF(ISNUMBER(FIND("APL APLIC AUT MAIS",C183)),0,IF(ISNUMBER(FIND("TEC DEPOSITO",C183)),0,IF(E183&gt;0,0,E183*(-1))))))))</f>
        <v>0</v>
      </c>
      <c r="G183" s="60" t="n">
        <f aca="false">IF(ISNUMBER(FIND("SALDO ANTERIOR",C183)),0,IF(ISNUMBER(FIND("SALDO DO DIA",C183)),0,IF(ISNUMBER(FIND("SDO CTA/APL AUTOMATICAS",C183)),0,IF(ISNUMBER(FIND("TEC DEPOSITO",C183)),0,IF(ISNUMBER(FIND("APL APLIC AUT MAIS",C183)),E183,IF(E183&gt;0,E183,0))))))</f>
        <v>5000</v>
      </c>
      <c r="H183" s="61" t="n">
        <v>44228</v>
      </c>
    </row>
    <row r="184" customFormat="false" ht="17" hidden="false" customHeight="false" outlineLevel="0" collapsed="false">
      <c r="A184" s="55" t="s">
        <v>31</v>
      </c>
      <c r="B184" s="27" t="s">
        <v>206</v>
      </c>
      <c r="C184" s="56" t="s">
        <v>68</v>
      </c>
      <c r="D184" s="57"/>
      <c r="E184" s="58"/>
      <c r="F184" s="59" t="n">
        <f aca="false">IF(ISNUMBER(FIND("SALDO ANTERIOR",C184)),0,IF(ISNUMBER(FIND("SALDO DO DIA",C184)),0,IF(ISNUMBER(FIND("SALDO PARCIAL",C184)),0,IF(ISNUMBER(FIND("SDO CTA/APL AUTOMATICAS",C184)),0,IF(ISNUMBER(FIND("APL APLIC AUT MAIS",C184)),0,IF(ISNUMBER(FIND("TEC DEPOSITO",C184)),0,IF(E184&gt;0,0,E184*(-1))))))))</f>
        <v>0</v>
      </c>
      <c r="G184" s="60" t="n">
        <f aca="false">IF(ISNUMBER(FIND("SALDO ANTERIOR",C184)),0,IF(ISNUMBER(FIND("SALDO DO DIA",C184)),0,IF(ISNUMBER(FIND("SDO CTA/APL AUTOMATICAS",C184)),0,IF(ISNUMBER(FIND("TEC DEPOSITO",C184)),0,IF(ISNUMBER(FIND("APL APLIC AUT MAIS",C184)),E184,IF(E184&gt;0,E184,0))))))</f>
        <v>0</v>
      </c>
      <c r="H184" s="61" t="n">
        <v>44228</v>
      </c>
    </row>
    <row r="185" customFormat="false" ht="15.8" hidden="false" customHeight="false" outlineLevel="0" collapsed="false">
      <c r="A185" s="55" t="s">
        <v>64</v>
      </c>
      <c r="B185" s="27" t="s">
        <v>218</v>
      </c>
      <c r="C185" s="27" t="s">
        <v>65</v>
      </c>
      <c r="D185" s="57" t="s">
        <v>56</v>
      </c>
      <c r="E185" s="62" t="n">
        <v>-48.63</v>
      </c>
      <c r="F185" s="59" t="n">
        <f aca="false">IF(ISNUMBER(FIND("SALDO ANTERIOR",C185)),0,IF(ISNUMBER(FIND("SALDO DO DIA",C185)),0,IF(ISNUMBER(FIND("SALDO PARCIAL",C185)),0,IF(ISNUMBER(FIND("SDO CTA/APL AUTOMATICAS",C185)),0,IF(ISNUMBER(FIND("APL APLIC AUT MAIS",C185)),0,IF(ISNUMBER(FIND("TEC DEPOSITO",C185)),0,IF(E185&gt;0,0,E185*(-1))))))))</f>
        <v>48.63</v>
      </c>
      <c r="G185" s="60" t="n">
        <f aca="false">IF(ISNUMBER(FIND("SALDO ANTERIOR",C185)),0,IF(ISNUMBER(FIND("SALDO DO DIA",C185)),0,IF(ISNUMBER(FIND("SDO CTA/APL AUTOMATICAS",C185)),0,IF(ISNUMBER(FIND("TEC DEPOSITO",C185)),0,IF(ISNUMBER(FIND("APL APLIC AUT MAIS",C185)),E185,IF(E185&gt;0,E185,0))))))</f>
        <v>0</v>
      </c>
      <c r="H185" s="61" t="n">
        <v>44228</v>
      </c>
    </row>
    <row r="186" customFormat="false" ht="15.8" hidden="false" customHeight="false" outlineLevel="0" collapsed="false">
      <c r="A186" s="55" t="s">
        <v>151</v>
      </c>
      <c r="B186" s="27" t="s">
        <v>218</v>
      </c>
      <c r="C186" s="27" t="s">
        <v>219</v>
      </c>
      <c r="D186" s="57" t="s">
        <v>220</v>
      </c>
      <c r="E186" s="62" t="n">
        <v>-25</v>
      </c>
      <c r="F186" s="59" t="n">
        <f aca="false">IF(ISNUMBER(FIND("SALDO ANTERIOR",C186)),0,IF(ISNUMBER(FIND("SALDO DO DIA",C186)),0,IF(ISNUMBER(FIND("SALDO PARCIAL",C186)),0,IF(ISNUMBER(FIND("SDO CTA/APL AUTOMATICAS",C186)),0,IF(ISNUMBER(FIND("APL APLIC AUT MAIS",C186)),0,IF(ISNUMBER(FIND("TEC DEPOSITO",C186)),0,IF(E186&gt;0,0,E186*(-1))))))))</f>
        <v>25</v>
      </c>
      <c r="G186" s="60" t="n">
        <f aca="false">IF(ISNUMBER(FIND("SALDO ANTERIOR",C186)),0,IF(ISNUMBER(FIND("SALDO DO DIA",C186)),0,IF(ISNUMBER(FIND("SDO CTA/APL AUTOMATICAS",C186)),0,IF(ISNUMBER(FIND("TEC DEPOSITO",C186)),0,IF(ISNUMBER(FIND("APL APLIC AUT MAIS",C186)),E186,IF(E186&gt;0,E186,0))))))</f>
        <v>0</v>
      </c>
      <c r="H186" s="61" t="n">
        <v>44228</v>
      </c>
    </row>
    <row r="187" customFormat="false" ht="17" hidden="false" customHeight="false" outlineLevel="0" collapsed="false">
      <c r="A187" s="55" t="s">
        <v>31</v>
      </c>
      <c r="B187" s="27" t="s">
        <v>218</v>
      </c>
      <c r="C187" s="56" t="s">
        <v>68</v>
      </c>
      <c r="D187" s="57"/>
      <c r="E187" s="58"/>
      <c r="F187" s="59" t="n">
        <f aca="false">IF(ISNUMBER(FIND("SALDO ANTERIOR",C187)),0,IF(ISNUMBER(FIND("SALDO DO DIA",C187)),0,IF(ISNUMBER(FIND("SALDO PARCIAL",C187)),0,IF(ISNUMBER(FIND("SDO CTA/APL AUTOMATICAS",C187)),0,IF(ISNUMBER(FIND("APL APLIC AUT MAIS",C187)),0,IF(ISNUMBER(FIND("TEC DEPOSITO",C187)),0,IF(E187&gt;0,0,E187*(-1))))))))</f>
        <v>0</v>
      </c>
      <c r="G187" s="60" t="n">
        <f aca="false">IF(ISNUMBER(FIND("SALDO ANTERIOR",C187)),0,IF(ISNUMBER(FIND("SALDO DO DIA",C187)),0,IF(ISNUMBER(FIND("SDO CTA/APL AUTOMATICAS",C187)),0,IF(ISNUMBER(FIND("TEC DEPOSITO",C187)),0,IF(ISNUMBER(FIND("APL APLIC AUT MAIS",C187)),E187,IF(E187&gt;0,E187,0))))))</f>
        <v>0</v>
      </c>
      <c r="H187" s="61" t="n">
        <v>44228</v>
      </c>
    </row>
    <row r="188" customFormat="false" ht="15.8" hidden="false" customHeight="false" outlineLevel="0" collapsed="false">
      <c r="A188" s="55" t="s">
        <v>59</v>
      </c>
      <c r="B188" s="27" t="s">
        <v>221</v>
      </c>
      <c r="C188" s="27" t="s">
        <v>192</v>
      </c>
      <c r="D188" s="57" t="s">
        <v>56</v>
      </c>
      <c r="E188" s="62" t="n">
        <v>-18</v>
      </c>
      <c r="F188" s="59" t="n">
        <f aca="false">IF(ISNUMBER(FIND("SALDO ANTERIOR",C188)),0,IF(ISNUMBER(FIND("SALDO DO DIA",C188)),0,IF(ISNUMBER(FIND("SALDO PARCIAL",C188)),0,IF(ISNUMBER(FIND("SDO CTA/APL AUTOMATICAS",C188)),0,IF(ISNUMBER(FIND("APL APLIC AUT MAIS",C188)),0,IF(ISNUMBER(FIND("TEC DEPOSITO",C188)),0,IF(E188&gt;0,0,E188*(-1))))))))</f>
        <v>18</v>
      </c>
      <c r="G188" s="60" t="n">
        <f aca="false">IF(ISNUMBER(FIND("SALDO ANTERIOR",C188)),0,IF(ISNUMBER(FIND("SALDO DO DIA",C188)),0,IF(ISNUMBER(FIND("SDO CTA/APL AUTOMATICAS",C188)),0,IF(ISNUMBER(FIND("TEC DEPOSITO",C188)),0,IF(ISNUMBER(FIND("APL APLIC AUT MAIS",C188)),E188,IF(E188&gt;0,E188,0))))))</f>
        <v>0</v>
      </c>
      <c r="H188" s="61" t="n">
        <v>44228</v>
      </c>
    </row>
    <row r="189" customFormat="false" ht="15.8" hidden="false" customHeight="false" outlineLevel="0" collapsed="false">
      <c r="A189" s="55" t="s">
        <v>59</v>
      </c>
      <c r="B189" s="27" t="s">
        <v>221</v>
      </c>
      <c r="C189" s="27" t="s">
        <v>60</v>
      </c>
      <c r="D189" s="57" t="s">
        <v>56</v>
      </c>
      <c r="E189" s="62" t="n">
        <v>-45</v>
      </c>
      <c r="F189" s="59" t="n">
        <f aca="false">IF(ISNUMBER(FIND("SALDO ANTERIOR",C189)),0,IF(ISNUMBER(FIND("SALDO DO DIA",C189)),0,IF(ISNUMBER(FIND("SALDO PARCIAL",C189)),0,IF(ISNUMBER(FIND("SDO CTA/APL AUTOMATICAS",C189)),0,IF(ISNUMBER(FIND("APL APLIC AUT MAIS",C189)),0,IF(ISNUMBER(FIND("TEC DEPOSITO",C189)),0,IF(E189&gt;0,0,E189*(-1))))))))</f>
        <v>45</v>
      </c>
      <c r="G189" s="60" t="n">
        <f aca="false">IF(ISNUMBER(FIND("SALDO ANTERIOR",C189)),0,IF(ISNUMBER(FIND("SALDO DO DIA",C189)),0,IF(ISNUMBER(FIND("SDO CTA/APL AUTOMATICAS",C189)),0,IF(ISNUMBER(FIND("TEC DEPOSITO",C189)),0,IF(ISNUMBER(FIND("APL APLIC AUT MAIS",C189)),E189,IF(E189&gt;0,E189,0))))))</f>
        <v>0</v>
      </c>
      <c r="H189" s="61" t="n">
        <v>44228</v>
      </c>
    </row>
    <row r="190" customFormat="false" ht="15.8" hidden="false" customHeight="false" outlineLevel="0" collapsed="false">
      <c r="A190" s="55" t="s">
        <v>57</v>
      </c>
      <c r="B190" s="27" t="s">
        <v>221</v>
      </c>
      <c r="C190" s="27" t="s">
        <v>162</v>
      </c>
      <c r="D190" s="57" t="s">
        <v>56</v>
      </c>
      <c r="E190" s="62" t="n">
        <v>-40.78</v>
      </c>
      <c r="F190" s="59" t="n">
        <f aca="false">IF(ISNUMBER(FIND("SALDO ANTERIOR",C190)),0,IF(ISNUMBER(FIND("SALDO DO DIA",C190)),0,IF(ISNUMBER(FIND("SALDO PARCIAL",C190)),0,IF(ISNUMBER(FIND("SDO CTA/APL AUTOMATICAS",C190)),0,IF(ISNUMBER(FIND("APL APLIC AUT MAIS",C190)),0,IF(ISNUMBER(FIND("TEC DEPOSITO",C190)),0,IF(E190&gt;0,0,E190*(-1))))))))</f>
        <v>40.78</v>
      </c>
      <c r="G190" s="60" t="n">
        <f aca="false">IF(ISNUMBER(FIND("SALDO ANTERIOR",C190)),0,IF(ISNUMBER(FIND("SALDO DO DIA",C190)),0,IF(ISNUMBER(FIND("SDO CTA/APL AUTOMATICAS",C190)),0,IF(ISNUMBER(FIND("TEC DEPOSITO",C190)),0,IF(ISNUMBER(FIND("APL APLIC AUT MAIS",C190)),E190,IF(E190&gt;0,E190,0))))))</f>
        <v>0</v>
      </c>
      <c r="H190" s="61" t="n">
        <v>44228</v>
      </c>
    </row>
    <row r="191" customFormat="false" ht="15.8" hidden="false" customHeight="false" outlineLevel="0" collapsed="false">
      <c r="A191" s="55" t="s">
        <v>64</v>
      </c>
      <c r="B191" s="27" t="s">
        <v>221</v>
      </c>
      <c r="C191" s="27" t="s">
        <v>65</v>
      </c>
      <c r="D191" s="57" t="s">
        <v>56</v>
      </c>
      <c r="E191" s="62" t="n">
        <v>-31.63</v>
      </c>
      <c r="F191" s="59" t="n">
        <f aca="false">IF(ISNUMBER(FIND("SALDO ANTERIOR",C191)),0,IF(ISNUMBER(FIND("SALDO DO DIA",C191)),0,IF(ISNUMBER(FIND("SALDO PARCIAL",C191)),0,IF(ISNUMBER(FIND("SDO CTA/APL AUTOMATICAS",C191)),0,IF(ISNUMBER(FIND("APL APLIC AUT MAIS",C191)),0,IF(ISNUMBER(FIND("TEC DEPOSITO",C191)),0,IF(E191&gt;0,0,E191*(-1))))))))</f>
        <v>31.63</v>
      </c>
      <c r="G191" s="60" t="n">
        <f aca="false">IF(ISNUMBER(FIND("SALDO ANTERIOR",C191)),0,IF(ISNUMBER(FIND("SALDO DO DIA",C191)),0,IF(ISNUMBER(FIND("SDO CTA/APL AUTOMATICAS",C191)),0,IF(ISNUMBER(FIND("TEC DEPOSITO",C191)),0,IF(ISNUMBER(FIND("APL APLIC AUT MAIS",C191)),E191,IF(E191&gt;0,E191,0))))))</f>
        <v>0</v>
      </c>
      <c r="H191" s="61" t="n">
        <v>44228</v>
      </c>
    </row>
    <row r="192" customFormat="false" ht="17" hidden="false" customHeight="false" outlineLevel="0" collapsed="false">
      <c r="A192" s="55" t="s">
        <v>31</v>
      </c>
      <c r="B192" s="27" t="s">
        <v>221</v>
      </c>
      <c r="C192" s="56" t="s">
        <v>68</v>
      </c>
      <c r="D192" s="57"/>
      <c r="E192" s="58"/>
      <c r="F192" s="59" t="n">
        <f aca="false">IF(ISNUMBER(FIND("SALDO ANTERIOR",C192)),0,IF(ISNUMBER(FIND("SALDO DO DIA",C192)),0,IF(ISNUMBER(FIND("SALDO PARCIAL",C192)),0,IF(ISNUMBER(FIND("SDO CTA/APL AUTOMATICAS",C192)),0,IF(ISNUMBER(FIND("APL APLIC AUT MAIS",C192)),0,IF(ISNUMBER(FIND("TEC DEPOSITO",C192)),0,IF(E192&gt;0,0,E192*(-1))))))))</f>
        <v>0</v>
      </c>
      <c r="G192" s="60" t="n">
        <f aca="false">IF(ISNUMBER(FIND("SALDO ANTERIOR",C192)),0,IF(ISNUMBER(FIND("SALDO DO DIA",C192)),0,IF(ISNUMBER(FIND("SDO CTA/APL AUTOMATICAS",C192)),0,IF(ISNUMBER(FIND("TEC DEPOSITO",C192)),0,IF(ISNUMBER(FIND("APL APLIC AUT MAIS",C192)),E192,IF(E192&gt;0,E192,0))))))</f>
        <v>0</v>
      </c>
      <c r="H192" s="61" t="n">
        <v>44228</v>
      </c>
    </row>
    <row r="193" customFormat="false" ht="15.8" hidden="false" customHeight="false" outlineLevel="0" collapsed="false">
      <c r="A193" s="55" t="s">
        <v>121</v>
      </c>
      <c r="B193" s="27" t="s">
        <v>222</v>
      </c>
      <c r="C193" s="27" t="s">
        <v>223</v>
      </c>
      <c r="D193" s="57" t="s">
        <v>91</v>
      </c>
      <c r="E193" s="62" t="n">
        <v>-100</v>
      </c>
      <c r="F193" s="59" t="n">
        <f aca="false">IF(ISNUMBER(FIND("SALDO ANTERIOR",C193)),0,IF(ISNUMBER(FIND("SALDO DO DIA",C193)),0,IF(ISNUMBER(FIND("SALDO PARCIAL",C193)),0,IF(ISNUMBER(FIND("SDO CTA/APL AUTOMATICAS",C193)),0,IF(ISNUMBER(FIND("APL APLIC AUT MAIS",C193)),0,IF(ISNUMBER(FIND("TEC DEPOSITO",C193)),0,IF(E193&gt;0,0,E193*(-1))))))))</f>
        <v>100</v>
      </c>
      <c r="G193" s="60" t="n">
        <f aca="false">IF(ISNUMBER(FIND("SALDO ANTERIOR",C193)),0,IF(ISNUMBER(FIND("SALDO DO DIA",C193)),0,IF(ISNUMBER(FIND("SDO CTA/APL AUTOMATICAS",C193)),0,IF(ISNUMBER(FIND("TEC DEPOSITO",C193)),0,IF(ISNUMBER(FIND("APL APLIC AUT MAIS",C193)),E193,IF(E193&gt;0,E193,0))))))</f>
        <v>0</v>
      </c>
      <c r="H193" s="61" t="n">
        <v>44228</v>
      </c>
    </row>
    <row r="194" customFormat="false" ht="15.8" hidden="false" customHeight="false" outlineLevel="0" collapsed="false">
      <c r="A194" s="55" t="s">
        <v>59</v>
      </c>
      <c r="B194" s="27" t="s">
        <v>222</v>
      </c>
      <c r="C194" s="27" t="s">
        <v>94</v>
      </c>
      <c r="D194" s="57" t="s">
        <v>56</v>
      </c>
      <c r="E194" s="62" t="n">
        <v>-96</v>
      </c>
      <c r="F194" s="59" t="n">
        <f aca="false">IF(ISNUMBER(FIND("SALDO ANTERIOR",C194)),0,IF(ISNUMBER(FIND("SALDO DO DIA",C194)),0,IF(ISNUMBER(FIND("SALDO PARCIAL",C194)),0,IF(ISNUMBER(FIND("SDO CTA/APL AUTOMATICAS",C194)),0,IF(ISNUMBER(FIND("APL APLIC AUT MAIS",C194)),0,IF(ISNUMBER(FIND("TEC DEPOSITO",C194)),0,IF(E194&gt;0,0,E194*(-1))))))))</f>
        <v>96</v>
      </c>
      <c r="G194" s="60" t="n">
        <f aca="false">IF(ISNUMBER(FIND("SALDO ANTERIOR",C194)),0,IF(ISNUMBER(FIND("SALDO DO DIA",C194)),0,IF(ISNUMBER(FIND("SDO CTA/APL AUTOMATICAS",C194)),0,IF(ISNUMBER(FIND("TEC DEPOSITO",C194)),0,IF(ISNUMBER(FIND("APL APLIC AUT MAIS",C194)),E194,IF(E194&gt;0,E194,0))))))</f>
        <v>0</v>
      </c>
      <c r="H194" s="61" t="n">
        <v>44228</v>
      </c>
    </row>
    <row r="195" customFormat="false" ht="15.8" hidden="false" customHeight="false" outlineLevel="0" collapsed="false">
      <c r="A195" s="55" t="s">
        <v>62</v>
      </c>
      <c r="B195" s="27" t="s">
        <v>222</v>
      </c>
      <c r="C195" s="27" t="s">
        <v>224</v>
      </c>
      <c r="D195" s="57" t="s">
        <v>56</v>
      </c>
      <c r="E195" s="62" t="n">
        <v>-72.27</v>
      </c>
      <c r="F195" s="59" t="n">
        <f aca="false">IF(ISNUMBER(FIND("SALDO ANTERIOR",C195)),0,IF(ISNUMBER(FIND("SALDO DO DIA",C195)),0,IF(ISNUMBER(FIND("SALDO PARCIAL",C195)),0,IF(ISNUMBER(FIND("SDO CTA/APL AUTOMATICAS",C195)),0,IF(ISNUMBER(FIND("APL APLIC AUT MAIS",C195)),0,IF(ISNUMBER(FIND("TEC DEPOSITO",C195)),0,IF(E195&gt;0,0,E195*(-1))))))))</f>
        <v>72.27</v>
      </c>
      <c r="G195" s="60" t="n">
        <f aca="false">IF(ISNUMBER(FIND("SALDO ANTERIOR",C195)),0,IF(ISNUMBER(FIND("SALDO DO DIA",C195)),0,IF(ISNUMBER(FIND("SDO CTA/APL AUTOMATICAS",C195)),0,IF(ISNUMBER(FIND("TEC DEPOSITO",C195)),0,IF(ISNUMBER(FIND("APL APLIC AUT MAIS",C195)),E195,IF(E195&gt;0,E195,0))))))</f>
        <v>0</v>
      </c>
      <c r="H195" s="61" t="n">
        <v>44228</v>
      </c>
    </row>
    <row r="196" customFormat="false" ht="15.8" hidden="false" customHeight="false" outlineLevel="0" collapsed="false">
      <c r="A196" s="55" t="s">
        <v>62</v>
      </c>
      <c r="B196" s="27" t="s">
        <v>222</v>
      </c>
      <c r="C196" s="27" t="s">
        <v>225</v>
      </c>
      <c r="D196" s="57" t="s">
        <v>56</v>
      </c>
      <c r="E196" s="62" t="n">
        <v>-4.5</v>
      </c>
      <c r="F196" s="59" t="n">
        <f aca="false">IF(ISNUMBER(FIND("SALDO ANTERIOR",C196)),0,IF(ISNUMBER(FIND("SALDO DO DIA",C196)),0,IF(ISNUMBER(FIND("SALDO PARCIAL",C196)),0,IF(ISNUMBER(FIND("SDO CTA/APL AUTOMATICAS",C196)),0,IF(ISNUMBER(FIND("APL APLIC AUT MAIS",C196)),0,IF(ISNUMBER(FIND("TEC DEPOSITO",C196)),0,IF(E196&gt;0,0,E196*(-1))))))))</f>
        <v>4.5</v>
      </c>
      <c r="G196" s="60" t="n">
        <f aca="false">IF(ISNUMBER(FIND("SALDO ANTERIOR",C196)),0,IF(ISNUMBER(FIND("SALDO DO DIA",C196)),0,IF(ISNUMBER(FIND("SDO CTA/APL AUTOMATICAS",C196)),0,IF(ISNUMBER(FIND("TEC DEPOSITO",C196)),0,IF(ISNUMBER(FIND("APL APLIC AUT MAIS",C196)),E196,IF(E196&gt;0,E196,0))))))</f>
        <v>0</v>
      </c>
      <c r="H196" s="61" t="n">
        <v>44228</v>
      </c>
    </row>
    <row r="197" customFormat="false" ht="15.8" hidden="false" customHeight="false" outlineLevel="0" collapsed="false">
      <c r="A197" s="55" t="s">
        <v>103</v>
      </c>
      <c r="B197" s="27" t="s">
        <v>222</v>
      </c>
      <c r="C197" s="27" t="s">
        <v>130</v>
      </c>
      <c r="D197" s="57" t="s">
        <v>56</v>
      </c>
      <c r="E197" s="62" t="n">
        <v>-79</v>
      </c>
      <c r="F197" s="59" t="n">
        <f aca="false">IF(ISNUMBER(FIND("SALDO ANTERIOR",C197)),0,IF(ISNUMBER(FIND("SALDO DO DIA",C197)),0,IF(ISNUMBER(FIND("SALDO PARCIAL",C197)),0,IF(ISNUMBER(FIND("SDO CTA/APL AUTOMATICAS",C197)),0,IF(ISNUMBER(FIND("APL APLIC AUT MAIS",C197)),0,IF(ISNUMBER(FIND("TEC DEPOSITO",C197)),0,IF(E197&gt;0,0,E197*(-1))))))))</f>
        <v>79</v>
      </c>
      <c r="G197" s="60" t="n">
        <f aca="false">IF(ISNUMBER(FIND("SALDO ANTERIOR",C197)),0,IF(ISNUMBER(FIND("SALDO DO DIA",C197)),0,IF(ISNUMBER(FIND("SDO CTA/APL AUTOMATICAS",C197)),0,IF(ISNUMBER(FIND("TEC DEPOSITO",C197)),0,IF(ISNUMBER(FIND("APL APLIC AUT MAIS",C197)),E197,IF(E197&gt;0,E197,0))))))</f>
        <v>0</v>
      </c>
      <c r="H197" s="61" t="n">
        <v>44228</v>
      </c>
    </row>
    <row r="198" customFormat="false" ht="15.8" hidden="false" customHeight="false" outlineLevel="0" collapsed="false">
      <c r="A198" s="55" t="s">
        <v>57</v>
      </c>
      <c r="B198" s="27" t="s">
        <v>222</v>
      </c>
      <c r="C198" s="27" t="s">
        <v>226</v>
      </c>
      <c r="D198" s="57" t="s">
        <v>56</v>
      </c>
      <c r="E198" s="62" t="n">
        <v>-16.94</v>
      </c>
      <c r="F198" s="59" t="n">
        <f aca="false">IF(ISNUMBER(FIND("SALDO ANTERIOR",C198)),0,IF(ISNUMBER(FIND("SALDO DO DIA",C198)),0,IF(ISNUMBER(FIND("SALDO PARCIAL",C198)),0,IF(ISNUMBER(FIND("SDO CTA/APL AUTOMATICAS",C198)),0,IF(ISNUMBER(FIND("APL APLIC AUT MAIS",C198)),0,IF(ISNUMBER(FIND("TEC DEPOSITO",C198)),0,IF(E198&gt;0,0,E198*(-1))))))))</f>
        <v>16.94</v>
      </c>
      <c r="G198" s="60" t="n">
        <f aca="false">IF(ISNUMBER(FIND("SALDO ANTERIOR",C198)),0,IF(ISNUMBER(FIND("SALDO DO DIA",C198)),0,IF(ISNUMBER(FIND("SDO CTA/APL AUTOMATICAS",C198)),0,IF(ISNUMBER(FIND("TEC DEPOSITO",C198)),0,IF(ISNUMBER(FIND("APL APLIC AUT MAIS",C198)),E198,IF(E198&gt;0,E198,0))))))</f>
        <v>0</v>
      </c>
      <c r="H198" s="61" t="n">
        <v>44228</v>
      </c>
    </row>
    <row r="199" customFormat="false" ht="15.8" hidden="false" customHeight="false" outlineLevel="0" collapsed="false">
      <c r="A199" s="55" t="s">
        <v>59</v>
      </c>
      <c r="B199" s="27" t="s">
        <v>222</v>
      </c>
      <c r="C199" s="27" t="s">
        <v>132</v>
      </c>
      <c r="D199" s="57" t="s">
        <v>56</v>
      </c>
      <c r="E199" s="62" t="n">
        <v>-110.67</v>
      </c>
      <c r="F199" s="59" t="n">
        <f aca="false">IF(ISNUMBER(FIND("SALDO ANTERIOR",C199)),0,IF(ISNUMBER(FIND("SALDO DO DIA",C199)),0,IF(ISNUMBER(FIND("SALDO PARCIAL",C199)),0,IF(ISNUMBER(FIND("SDO CTA/APL AUTOMATICAS",C199)),0,IF(ISNUMBER(FIND("APL APLIC AUT MAIS",C199)),0,IF(ISNUMBER(FIND("TEC DEPOSITO",C199)),0,IF(E199&gt;0,0,E199*(-1))))))))</f>
        <v>110.67</v>
      </c>
      <c r="G199" s="60" t="n">
        <f aca="false">IF(ISNUMBER(FIND("SALDO ANTERIOR",C199)),0,IF(ISNUMBER(FIND("SALDO DO DIA",C199)),0,IF(ISNUMBER(FIND("SDO CTA/APL AUTOMATICAS",C199)),0,IF(ISNUMBER(FIND("TEC DEPOSITO",C199)),0,IF(ISNUMBER(FIND("APL APLIC AUT MAIS",C199)),E199,IF(E199&gt;0,E199,0))))))</f>
        <v>0</v>
      </c>
      <c r="H199" s="61" t="n">
        <v>44228</v>
      </c>
    </row>
    <row r="200" customFormat="false" ht="15.8" hidden="false" customHeight="false" outlineLevel="0" collapsed="false">
      <c r="A200" s="55" t="s">
        <v>59</v>
      </c>
      <c r="B200" s="27" t="s">
        <v>222</v>
      </c>
      <c r="C200" s="27" t="s">
        <v>227</v>
      </c>
      <c r="D200" s="57" t="s">
        <v>228</v>
      </c>
      <c r="E200" s="21" t="n">
        <v>392</v>
      </c>
      <c r="F200" s="59" t="n">
        <f aca="false">IF(ISNUMBER(FIND("SALDO ANTERIOR",C200)),0,IF(ISNUMBER(FIND("SALDO DO DIA",C200)),0,IF(ISNUMBER(FIND("SALDO PARCIAL",C200)),0,IF(ISNUMBER(FIND("SDO CTA/APL AUTOMATICAS",C200)),0,IF(ISNUMBER(FIND("APL APLIC AUT MAIS",C200)),0,IF(ISNUMBER(FIND("TEC DEPOSITO",C200)),0,IF(E200&gt;0,0,E200*(-1))))))))</f>
        <v>0</v>
      </c>
      <c r="G200" s="60" t="n">
        <f aca="false">IF(ISNUMBER(FIND("SALDO ANTERIOR",C200)),0,IF(ISNUMBER(FIND("SALDO DO DIA",C200)),0,IF(ISNUMBER(FIND("SDO CTA/APL AUTOMATICAS",C200)),0,IF(ISNUMBER(FIND("TEC DEPOSITO",C200)),0,IF(ISNUMBER(FIND("APL APLIC AUT MAIS",C200)),E200,IF(E200&gt;0,E200,0))))))</f>
        <v>392</v>
      </c>
      <c r="H200" s="61" t="n">
        <v>44228</v>
      </c>
    </row>
    <row r="201" customFormat="false" ht="17" hidden="false" customHeight="false" outlineLevel="0" collapsed="false">
      <c r="A201" s="55" t="s">
        <v>31</v>
      </c>
      <c r="B201" s="27" t="s">
        <v>222</v>
      </c>
      <c r="C201" s="56" t="s">
        <v>68</v>
      </c>
      <c r="D201" s="57"/>
      <c r="E201" s="58"/>
      <c r="F201" s="59" t="n">
        <f aca="false">IF(ISNUMBER(FIND("SALDO ANTERIOR",C201)),0,IF(ISNUMBER(FIND("SALDO DO DIA",C201)),0,IF(ISNUMBER(FIND("SALDO PARCIAL",C201)),0,IF(ISNUMBER(FIND("SDO CTA/APL AUTOMATICAS",C201)),0,IF(ISNUMBER(FIND("APL APLIC AUT MAIS",C201)),0,IF(ISNUMBER(FIND("TEC DEPOSITO",C201)),0,IF(E201&gt;0,0,E201*(-1))))))))</f>
        <v>0</v>
      </c>
      <c r="G201" s="60" t="n">
        <f aca="false">IF(ISNUMBER(FIND("SALDO ANTERIOR",C201)),0,IF(ISNUMBER(FIND("SALDO DO DIA",C201)),0,IF(ISNUMBER(FIND("SDO CTA/APL AUTOMATICAS",C201)),0,IF(ISNUMBER(FIND("TEC DEPOSITO",C201)),0,IF(ISNUMBER(FIND("APL APLIC AUT MAIS",C201)),E201,IF(E201&gt;0,E201,0))))))</f>
        <v>0</v>
      </c>
      <c r="H201" s="61" t="n">
        <v>44228</v>
      </c>
    </row>
    <row r="202" customFormat="false" ht="15.8" hidden="false" customHeight="false" outlineLevel="0" collapsed="false">
      <c r="A202" s="55" t="s">
        <v>64</v>
      </c>
      <c r="B202" s="27" t="s">
        <v>229</v>
      </c>
      <c r="C202" s="27" t="s">
        <v>205</v>
      </c>
      <c r="D202" s="57" t="s">
        <v>56</v>
      </c>
      <c r="E202" s="62" t="n">
        <v>-31.7</v>
      </c>
      <c r="F202" s="59" t="n">
        <f aca="false">IF(ISNUMBER(FIND("SALDO ANTERIOR",C202)),0,IF(ISNUMBER(FIND("SALDO DO DIA",C202)),0,IF(ISNUMBER(FIND("SALDO PARCIAL",C202)),0,IF(ISNUMBER(FIND("SDO CTA/APL AUTOMATICAS",C202)),0,IF(ISNUMBER(FIND("APL APLIC AUT MAIS",C202)),0,IF(ISNUMBER(FIND("TEC DEPOSITO",C202)),0,IF(E202&gt;0,0,E202*(-1))))))))</f>
        <v>31.7</v>
      </c>
      <c r="G202" s="60" t="n">
        <f aca="false">IF(ISNUMBER(FIND("SALDO ANTERIOR",C202)),0,IF(ISNUMBER(FIND("SALDO DO DIA",C202)),0,IF(ISNUMBER(FIND("SDO CTA/APL AUTOMATICAS",C202)),0,IF(ISNUMBER(FIND("TEC DEPOSITO",C202)),0,IF(ISNUMBER(FIND("APL APLIC AUT MAIS",C202)),E202,IF(E202&gt;0,E202,0))))))</f>
        <v>0</v>
      </c>
      <c r="H202" s="61" t="n">
        <v>44228</v>
      </c>
    </row>
    <row r="203" customFormat="false" ht="17" hidden="false" customHeight="false" outlineLevel="0" collapsed="false">
      <c r="A203" s="55" t="s">
        <v>31</v>
      </c>
      <c r="B203" s="27" t="s">
        <v>229</v>
      </c>
      <c r="C203" s="56" t="s">
        <v>68</v>
      </c>
      <c r="D203" s="57"/>
      <c r="E203" s="58"/>
      <c r="F203" s="59" t="n">
        <f aca="false">IF(ISNUMBER(FIND("SALDO ANTERIOR",C203)),0,IF(ISNUMBER(FIND("SALDO DO DIA",C203)),0,IF(ISNUMBER(FIND("SALDO PARCIAL",C203)),0,IF(ISNUMBER(FIND("SDO CTA/APL AUTOMATICAS",C203)),0,IF(ISNUMBER(FIND("APL APLIC AUT MAIS",C203)),0,IF(ISNUMBER(FIND("TEC DEPOSITO",C203)),0,IF(E203&gt;0,0,E203*(-1))))))))</f>
        <v>0</v>
      </c>
      <c r="G203" s="60" t="n">
        <f aca="false">IF(ISNUMBER(FIND("SALDO ANTERIOR",C203)),0,IF(ISNUMBER(FIND("SALDO DO DIA",C203)),0,IF(ISNUMBER(FIND("SDO CTA/APL AUTOMATICAS",C203)),0,IF(ISNUMBER(FIND("TEC DEPOSITO",C203)),0,IF(ISNUMBER(FIND("APL APLIC AUT MAIS",C203)),E203,IF(E203&gt;0,E203,0))))))</f>
        <v>0</v>
      </c>
      <c r="H203" s="61" t="n">
        <v>44228</v>
      </c>
    </row>
    <row r="204" customFormat="false" ht="15.8" hidden="false" customHeight="false" outlineLevel="0" collapsed="false">
      <c r="A204" s="55" t="s">
        <v>124</v>
      </c>
      <c r="B204" s="27" t="s">
        <v>230</v>
      </c>
      <c r="C204" s="27" t="s">
        <v>231</v>
      </c>
      <c r="D204" s="57" t="s">
        <v>56</v>
      </c>
      <c r="E204" s="62" t="n">
        <v>-5</v>
      </c>
      <c r="F204" s="59" t="n">
        <f aca="false">IF(ISNUMBER(FIND("SALDO ANTERIOR",C204)),0,IF(ISNUMBER(FIND("SALDO DO DIA",C204)),0,IF(ISNUMBER(FIND("SALDO PARCIAL",C204)),0,IF(ISNUMBER(FIND("SDO CTA/APL AUTOMATICAS",C204)),0,IF(ISNUMBER(FIND("APL APLIC AUT MAIS",C204)),0,IF(ISNUMBER(FIND("TEC DEPOSITO",C204)),0,IF(E204&gt;0,0,E204*(-1))))))))</f>
        <v>5</v>
      </c>
      <c r="G204" s="60" t="n">
        <f aca="false">IF(ISNUMBER(FIND("SALDO ANTERIOR",C204)),0,IF(ISNUMBER(FIND("SALDO DO DIA",C204)),0,IF(ISNUMBER(FIND("SDO CTA/APL AUTOMATICAS",C204)),0,IF(ISNUMBER(FIND("TEC DEPOSITO",C204)),0,IF(ISNUMBER(FIND("APL APLIC AUT MAIS",C204)),E204,IF(E204&gt;0,E204,0))))))</f>
        <v>0</v>
      </c>
      <c r="H204" s="61" t="n">
        <v>44228</v>
      </c>
    </row>
    <row r="205" customFormat="false" ht="15" hidden="false" customHeight="false" outlineLevel="0" collapsed="false">
      <c r="A205" s="55" t="s">
        <v>31</v>
      </c>
      <c r="B205" s="27" t="s">
        <v>230</v>
      </c>
      <c r="C205" s="56" t="s">
        <v>68</v>
      </c>
      <c r="D205" s="57"/>
      <c r="E205" s="58"/>
      <c r="F205" s="59" t="n">
        <f aca="false">IF(ISNUMBER(FIND("SALDO ANTERIOR",C205)),0,IF(ISNUMBER(FIND("SALDO DO DIA",C205)),0,IF(ISNUMBER(FIND("SALDO PARCIAL",C205)),0,IF(ISNUMBER(FIND("SDO CTA/APL AUTOMATICAS",C205)),0,IF(ISNUMBER(FIND("APL APLIC AUT MAIS",C205)),0,IF(ISNUMBER(FIND("TEC DEPOSITO",C205)),0,IF(E205&gt;0,0,E205*(-1))))))))</f>
        <v>0</v>
      </c>
      <c r="G205" s="60" t="n">
        <f aca="false">IF(ISNUMBER(FIND("SALDO ANTERIOR",C205)),0,IF(ISNUMBER(FIND("SALDO DO DIA",C205)),0,IF(ISNUMBER(FIND("SDO CTA/APL AUTOMATICAS",C205)),0,IF(ISNUMBER(FIND("TEC DEPOSITO",C205)),0,IF(ISNUMBER(FIND("APL APLIC AUT MAIS",C205)),E205,IF(E205&gt;0,E205,0))))))</f>
        <v>0</v>
      </c>
      <c r="H205" s="61" t="n">
        <v>44228</v>
      </c>
    </row>
    <row r="206" customFormat="false" ht="15.8" hidden="false" customHeight="false" outlineLevel="0" collapsed="false">
      <c r="A206" s="55" t="s">
        <v>59</v>
      </c>
      <c r="B206" s="27" t="s">
        <v>232</v>
      </c>
      <c r="C206" s="27" t="s">
        <v>233</v>
      </c>
      <c r="D206" s="57" t="s">
        <v>56</v>
      </c>
      <c r="E206" s="62" t="n">
        <v>-6</v>
      </c>
      <c r="F206" s="59" t="n">
        <f aca="false">IF(ISNUMBER(FIND("SALDO ANTERIOR",C206)),0,IF(ISNUMBER(FIND("SALDO DO DIA",C206)),0,IF(ISNUMBER(FIND("SALDO PARCIAL",C206)),0,IF(ISNUMBER(FIND("SDO CTA/APL AUTOMATICAS",C206)),0,IF(ISNUMBER(FIND("APL APLIC AUT MAIS",C206)),0,IF(ISNUMBER(FIND("TEC DEPOSITO",C206)),0,IF(E206&gt;0,0,E206*(-1))))))))</f>
        <v>6</v>
      </c>
      <c r="G206" s="60" t="n">
        <f aca="false">IF(ISNUMBER(FIND("SALDO ANTERIOR",C206)),0,IF(ISNUMBER(FIND("SALDO DO DIA",C206)),0,IF(ISNUMBER(FIND("SDO CTA/APL AUTOMATICAS",C206)),0,IF(ISNUMBER(FIND("TEC DEPOSITO",C206)),0,IF(ISNUMBER(FIND("APL APLIC AUT MAIS",C206)),E206,IF(E206&gt;0,E206,0))))))</f>
        <v>0</v>
      </c>
      <c r="H206" s="61" t="n">
        <v>44228</v>
      </c>
    </row>
    <row r="207" customFormat="false" ht="15.8" hidden="false" customHeight="false" outlineLevel="0" collapsed="false">
      <c r="A207" s="55" t="s">
        <v>59</v>
      </c>
      <c r="B207" s="27" t="s">
        <v>232</v>
      </c>
      <c r="C207" s="27" t="s">
        <v>99</v>
      </c>
      <c r="D207" s="57" t="s">
        <v>56</v>
      </c>
      <c r="E207" s="62" t="n">
        <v>-5</v>
      </c>
      <c r="F207" s="59" t="n">
        <f aca="false">IF(ISNUMBER(FIND("SALDO ANTERIOR",C207)),0,IF(ISNUMBER(FIND("SALDO DO DIA",C207)),0,IF(ISNUMBER(FIND("SALDO PARCIAL",C207)),0,IF(ISNUMBER(FIND("SDO CTA/APL AUTOMATICAS",C207)),0,IF(ISNUMBER(FIND("APL APLIC AUT MAIS",C207)),0,IF(ISNUMBER(FIND("TEC DEPOSITO",C207)),0,IF(E207&gt;0,0,E207*(-1))))))))</f>
        <v>5</v>
      </c>
      <c r="G207" s="60" t="n">
        <f aca="false">IF(ISNUMBER(FIND("SALDO ANTERIOR",C207)),0,IF(ISNUMBER(FIND("SALDO DO DIA",C207)),0,IF(ISNUMBER(FIND("SDO CTA/APL AUTOMATICAS",C207)),0,IF(ISNUMBER(FIND("TEC DEPOSITO",C207)),0,IF(ISNUMBER(FIND("APL APLIC AUT MAIS",C207)),E207,IF(E207&gt;0,E207,0))))))</f>
        <v>0</v>
      </c>
      <c r="H207" s="61" t="n">
        <v>44228</v>
      </c>
    </row>
    <row r="208" customFormat="false" ht="15.8" hidden="false" customHeight="false" outlineLevel="0" collapsed="false">
      <c r="A208" s="55" t="s">
        <v>59</v>
      </c>
      <c r="B208" s="27" t="s">
        <v>232</v>
      </c>
      <c r="C208" s="27" t="s">
        <v>234</v>
      </c>
      <c r="D208" s="57" t="s">
        <v>56</v>
      </c>
      <c r="E208" s="62" t="n">
        <v>-7</v>
      </c>
      <c r="F208" s="59" t="n">
        <f aca="false">IF(ISNUMBER(FIND("SALDO ANTERIOR",C208)),0,IF(ISNUMBER(FIND("SALDO DO DIA",C208)),0,IF(ISNUMBER(FIND("SALDO PARCIAL",C208)),0,IF(ISNUMBER(FIND("SDO CTA/APL AUTOMATICAS",C208)),0,IF(ISNUMBER(FIND("APL APLIC AUT MAIS",C208)),0,IF(ISNUMBER(FIND("TEC DEPOSITO",C208)),0,IF(E208&gt;0,0,E208*(-1))))))))</f>
        <v>7</v>
      </c>
      <c r="G208" s="60" t="n">
        <f aca="false">IF(ISNUMBER(FIND("SALDO ANTERIOR",C208)),0,IF(ISNUMBER(FIND("SALDO DO DIA",C208)),0,IF(ISNUMBER(FIND("SDO CTA/APL AUTOMATICAS",C208)),0,IF(ISNUMBER(FIND("TEC DEPOSITO",C208)),0,IF(ISNUMBER(FIND("APL APLIC AUT MAIS",C208)),E208,IF(E208&gt;0,E208,0))))))</f>
        <v>0</v>
      </c>
      <c r="H208" s="61" t="n">
        <v>44228</v>
      </c>
    </row>
    <row r="209" customFormat="false" ht="15.8" hidden="false" customHeight="false" outlineLevel="0" collapsed="false">
      <c r="A209" s="55" t="s">
        <v>59</v>
      </c>
      <c r="B209" s="27" t="s">
        <v>232</v>
      </c>
      <c r="C209" s="27" t="s">
        <v>235</v>
      </c>
      <c r="D209" s="57" t="s">
        <v>56</v>
      </c>
      <c r="E209" s="62" t="n">
        <v>-5</v>
      </c>
      <c r="F209" s="59" t="n">
        <f aca="false">IF(ISNUMBER(FIND("SALDO ANTERIOR",C209)),0,IF(ISNUMBER(FIND("SALDO DO DIA",C209)),0,IF(ISNUMBER(FIND("SALDO PARCIAL",C209)),0,IF(ISNUMBER(FIND("SDO CTA/APL AUTOMATICAS",C209)),0,IF(ISNUMBER(FIND("APL APLIC AUT MAIS",C209)),0,IF(ISNUMBER(FIND("TEC DEPOSITO",C209)),0,IF(E209&gt;0,0,E209*(-1))))))))</f>
        <v>5</v>
      </c>
      <c r="G209" s="60" t="n">
        <f aca="false">IF(ISNUMBER(FIND("SALDO ANTERIOR",C209)),0,IF(ISNUMBER(FIND("SALDO DO DIA",C209)),0,IF(ISNUMBER(FIND("SDO CTA/APL AUTOMATICAS",C209)),0,IF(ISNUMBER(FIND("TEC DEPOSITO",C209)),0,IF(ISNUMBER(FIND("APL APLIC AUT MAIS",C209)),E209,IF(E209&gt;0,E209,0))))))</f>
        <v>0</v>
      </c>
      <c r="H209" s="61" t="n">
        <v>44228</v>
      </c>
    </row>
    <row r="210" customFormat="false" ht="15.8" hidden="false" customHeight="false" outlineLevel="0" collapsed="false">
      <c r="A210" s="55" t="s">
        <v>64</v>
      </c>
      <c r="B210" s="27" t="s">
        <v>232</v>
      </c>
      <c r="C210" s="27" t="s">
        <v>65</v>
      </c>
      <c r="D210" s="57" t="s">
        <v>56</v>
      </c>
      <c r="E210" s="62" t="n">
        <v>-189.07</v>
      </c>
      <c r="F210" s="59" t="n">
        <f aca="false">IF(ISNUMBER(FIND("SALDO ANTERIOR",C210)),0,IF(ISNUMBER(FIND("SALDO DO DIA",C210)),0,IF(ISNUMBER(FIND("SALDO PARCIAL",C210)),0,IF(ISNUMBER(FIND("SDO CTA/APL AUTOMATICAS",C210)),0,IF(ISNUMBER(FIND("APL APLIC AUT MAIS",C210)),0,IF(ISNUMBER(FIND("TEC DEPOSITO",C210)),0,IF(E210&gt;0,0,E210*(-1))))))))</f>
        <v>189.07</v>
      </c>
      <c r="G210" s="60" t="n">
        <f aca="false">IF(ISNUMBER(FIND("SALDO ANTERIOR",C210)),0,IF(ISNUMBER(FIND("SALDO DO DIA",C210)),0,IF(ISNUMBER(FIND("SDO CTA/APL AUTOMATICAS",C210)),0,IF(ISNUMBER(FIND("TEC DEPOSITO",C210)),0,IF(ISNUMBER(FIND("APL APLIC AUT MAIS",C210)),E210,IF(E210&gt;0,E210,0))))))</f>
        <v>0</v>
      </c>
      <c r="H210" s="61" t="n">
        <v>44228</v>
      </c>
    </row>
    <row r="211" customFormat="false" ht="17" hidden="false" customHeight="false" outlineLevel="0" collapsed="false">
      <c r="A211" s="55" t="s">
        <v>31</v>
      </c>
      <c r="B211" s="27" t="s">
        <v>232</v>
      </c>
      <c r="C211" s="56" t="s">
        <v>68</v>
      </c>
      <c r="D211" s="57"/>
      <c r="E211" s="58"/>
      <c r="F211" s="59" t="n">
        <f aca="false">IF(ISNUMBER(FIND("SALDO ANTERIOR",C211)),0,IF(ISNUMBER(FIND("SALDO DO DIA",C211)),0,IF(ISNUMBER(FIND("SALDO PARCIAL",C211)),0,IF(ISNUMBER(FIND("SDO CTA/APL AUTOMATICAS",C211)),0,IF(ISNUMBER(FIND("APL APLIC AUT MAIS",C211)),0,IF(ISNUMBER(FIND("TEC DEPOSITO",C211)),0,IF(E211&gt;0,0,E211*(-1))))))))</f>
        <v>0</v>
      </c>
      <c r="G211" s="60" t="n">
        <f aca="false">IF(ISNUMBER(FIND("SALDO ANTERIOR",C211)),0,IF(ISNUMBER(FIND("SALDO DO DIA",C211)),0,IF(ISNUMBER(FIND("SDO CTA/APL AUTOMATICAS",C211)),0,IF(ISNUMBER(FIND("TEC DEPOSITO",C211)),0,IF(ISNUMBER(FIND("APL APLIC AUT MAIS",C211)),E211,IF(E211&gt;0,E211,0))))))</f>
        <v>0</v>
      </c>
      <c r="H211" s="61" t="n">
        <v>44228</v>
      </c>
    </row>
    <row r="212" customFormat="false" ht="15.8" hidden="false" customHeight="false" outlineLevel="0" collapsed="false">
      <c r="A212" s="55" t="s">
        <v>57</v>
      </c>
      <c r="B212" s="27" t="s">
        <v>236</v>
      </c>
      <c r="C212" s="27" t="s">
        <v>58</v>
      </c>
      <c r="D212" s="57" t="s">
        <v>56</v>
      </c>
      <c r="E212" s="62" t="n">
        <v>-52.86</v>
      </c>
      <c r="F212" s="59" t="n">
        <f aca="false">IF(ISNUMBER(FIND("SALDO ANTERIOR",C212)),0,IF(ISNUMBER(FIND("SALDO DO DIA",C212)),0,IF(ISNUMBER(FIND("SALDO PARCIAL",C212)),0,IF(ISNUMBER(FIND("SDO CTA/APL AUTOMATICAS",C212)),0,IF(ISNUMBER(FIND("APL APLIC AUT MAIS",C212)),0,IF(ISNUMBER(FIND("TEC DEPOSITO",C212)),0,IF(E212&gt;0,0,E212*(-1))))))))</f>
        <v>52.86</v>
      </c>
      <c r="G212" s="60" t="n">
        <f aca="false">IF(ISNUMBER(FIND("SALDO ANTERIOR",C212)),0,IF(ISNUMBER(FIND("SALDO DO DIA",C212)),0,IF(ISNUMBER(FIND("SDO CTA/APL AUTOMATICAS",C212)),0,IF(ISNUMBER(FIND("TEC DEPOSITO",C212)),0,IF(ISNUMBER(FIND("APL APLIC AUT MAIS",C212)),E212,IF(E212&gt;0,E212,0))))))</f>
        <v>0</v>
      </c>
      <c r="H212" s="61" t="n">
        <v>44228</v>
      </c>
    </row>
    <row r="213" customFormat="false" ht="13.8" hidden="false" customHeight="false" outlineLevel="0" collapsed="false">
      <c r="A213" s="55" t="s">
        <v>64</v>
      </c>
      <c r="B213" s="27" t="s">
        <v>236</v>
      </c>
      <c r="C213" s="27" t="s">
        <v>65</v>
      </c>
      <c r="D213" s="57" t="s">
        <v>56</v>
      </c>
      <c r="E213" s="62" t="n">
        <v>-97.53</v>
      </c>
      <c r="F213" s="59" t="n">
        <f aca="false">IF(ISNUMBER(FIND("SALDO ANTERIOR",C213)),0,IF(ISNUMBER(FIND("SALDO DO DIA",C213)),0,IF(ISNUMBER(FIND("SALDO PARCIAL",C213)),0,IF(ISNUMBER(FIND("SDO CTA/APL AUTOMATICAS",C213)),0,IF(ISNUMBER(FIND("APL APLIC AUT MAIS",C213)),0,IF(ISNUMBER(FIND("TEC DEPOSITO",C213)),0,IF(E213&gt;0,0,E213*(-1))))))))</f>
        <v>97.53</v>
      </c>
      <c r="G213" s="60" t="n">
        <f aca="false">IF(ISNUMBER(FIND("SALDO ANTERIOR",C213)),0,IF(ISNUMBER(FIND("SALDO DO DIA",C213)),0,IF(ISNUMBER(FIND("SDO CTA/APL AUTOMATICAS",C213)),0,IF(ISNUMBER(FIND("TEC DEPOSITO",C213)),0,IF(ISNUMBER(FIND("APL APLIC AUT MAIS",C213)),E213,IF(E213&gt;0,E213,0))))))</f>
        <v>0</v>
      </c>
      <c r="H213" s="61" t="n">
        <v>44228</v>
      </c>
    </row>
    <row r="214" customFormat="false" ht="15" hidden="false" customHeight="false" outlineLevel="0" collapsed="false">
      <c r="A214" s="55" t="s">
        <v>31</v>
      </c>
      <c r="B214" s="27" t="s">
        <v>237</v>
      </c>
      <c r="C214" s="56" t="s">
        <v>68</v>
      </c>
      <c r="D214" s="57"/>
      <c r="E214" s="58"/>
      <c r="F214" s="59" t="n">
        <f aca="false">IF(ISNUMBER(FIND("SALDO ANTERIOR",C214)),0,IF(ISNUMBER(FIND("SALDO DO DIA",C214)),0,IF(ISNUMBER(FIND("SALDO PARCIAL",C214)),0,IF(ISNUMBER(FIND("SDO CTA/APL AUTOMATICAS",C214)),0,IF(ISNUMBER(FIND("APL APLIC AUT MAIS",C214)),0,IF(ISNUMBER(FIND("TEC DEPOSITO",C214)),0,IF(E214&gt;0,0,E214*(-1))))))))</f>
        <v>0</v>
      </c>
      <c r="G214" s="60" t="n">
        <f aca="false">IF(ISNUMBER(FIND("SALDO ANTERIOR",C214)),0,IF(ISNUMBER(FIND("SALDO DO DIA",C214)),0,IF(ISNUMBER(FIND("SDO CTA/APL AUTOMATICAS",C214)),0,IF(ISNUMBER(FIND("TEC DEPOSITO",C214)),0,IF(ISNUMBER(FIND("APL APLIC AUT MAIS",C214)),E214,IF(E214&gt;0,E214,0))))))</f>
        <v>0</v>
      </c>
      <c r="H214" s="61" t="n">
        <v>44228</v>
      </c>
    </row>
    <row r="215" customFormat="false" ht="17" hidden="false" customHeight="false" outlineLevel="0" collapsed="false">
      <c r="A215" s="40" t="s">
        <v>31</v>
      </c>
      <c r="B215" s="41" t="s">
        <v>236</v>
      </c>
      <c r="C215" s="63" t="s">
        <v>52</v>
      </c>
      <c r="D215" s="43"/>
      <c r="E215" s="64"/>
      <c r="F215" s="45" t="n">
        <f aca="false">IF(ISNUMBER(FIND("SALDO ANTERIOR",C215)),0,IF(ISNUMBER(FIND("SALDO DO DIA",C215)),0,IF(ISNUMBER(FIND("SALDO PARCIAL",C215)),0,IF(ISNUMBER(FIND("SDO CTA/APL AUTOMATICAS",C215)),0,IF(ISNUMBER(FIND("APL APLIC AUT MAIS",C215)),0,IF(ISNUMBER(FIND("TEC DEPOSITO",C215)),0,IF(E215&gt;0,0,E215*(-1))))))))</f>
        <v>0</v>
      </c>
      <c r="G215" s="46" t="n">
        <f aca="false">IF(ISNUMBER(FIND("SALDO ANTERIOR",C215)),0,IF(ISNUMBER(FIND("SALDO DO DIA",C215)),0,IF(ISNUMBER(FIND("SDO CTA/APL AUTOMATICAS",C215)),0,IF(ISNUMBER(FIND("TEC DEPOSITO",C215)),0,IF(ISNUMBER(FIND("APL APLIC AUT MAIS",C215)),E215,IF(E215&gt;0,E215,0))))))</f>
        <v>0</v>
      </c>
      <c r="H215" s="65" t="n">
        <v>44256</v>
      </c>
    </row>
    <row r="216" customFormat="false" ht="15.8" hidden="false" customHeight="false" outlineLevel="0" collapsed="false">
      <c r="A216" s="40" t="s">
        <v>121</v>
      </c>
      <c r="B216" s="41" t="s">
        <v>238</v>
      </c>
      <c r="C216" s="41" t="s">
        <v>239</v>
      </c>
      <c r="D216" s="43" t="s">
        <v>91</v>
      </c>
      <c r="E216" s="66" t="n">
        <v>-100</v>
      </c>
      <c r="F216" s="45" t="n">
        <f aca="false">IF(ISNUMBER(FIND("SALDO ANTERIOR",C216)),0,IF(ISNUMBER(FIND("SALDO DO DIA",C216)),0,IF(ISNUMBER(FIND("SALDO PARCIAL",C216)),0,IF(ISNUMBER(FIND("SDO CTA/APL AUTOMATICAS",C216)),0,IF(ISNUMBER(FIND("APL APLIC AUT MAIS",C216)),0,IF(ISNUMBER(FIND("TEC DEPOSITO",C216)),0,IF(E216&gt;0,0,E216*(-1))))))))</f>
        <v>100</v>
      </c>
      <c r="G216" s="46" t="n">
        <f aca="false">IF(ISNUMBER(FIND("SALDO ANTERIOR",C216)),0,IF(ISNUMBER(FIND("SALDO DO DIA",C216)),0,IF(ISNUMBER(FIND("SDO CTA/APL AUTOMATICAS",C216)),0,IF(ISNUMBER(FIND("TEC DEPOSITO",C216)),0,IF(ISNUMBER(FIND("APL APLIC AUT MAIS",C216)),E216,IF(E216&gt;0,E216,0))))))</f>
        <v>0</v>
      </c>
      <c r="H216" s="65" t="n">
        <v>44256</v>
      </c>
    </row>
    <row r="217" customFormat="false" ht="15.8" hidden="false" customHeight="false" outlineLevel="0" collapsed="false">
      <c r="A217" s="40" t="s">
        <v>57</v>
      </c>
      <c r="B217" s="41" t="s">
        <v>238</v>
      </c>
      <c r="C217" s="41" t="s">
        <v>58</v>
      </c>
      <c r="D217" s="43" t="s">
        <v>56</v>
      </c>
      <c r="E217" s="66" t="n">
        <v>-75.9</v>
      </c>
      <c r="F217" s="45" t="n">
        <f aca="false">IF(ISNUMBER(FIND("SALDO ANTERIOR",C217)),0,IF(ISNUMBER(FIND("SALDO DO DIA",C217)),0,IF(ISNUMBER(FIND("SALDO PARCIAL",C217)),0,IF(ISNUMBER(FIND("SDO CTA/APL AUTOMATICAS",C217)),0,IF(ISNUMBER(FIND("APL APLIC AUT MAIS",C217)),0,IF(ISNUMBER(FIND("TEC DEPOSITO",C217)),0,IF(E217&gt;0,0,E217*(-1))))))))</f>
        <v>75.9</v>
      </c>
      <c r="G217" s="46" t="n">
        <f aca="false">IF(ISNUMBER(FIND("SALDO ANTERIOR",C217)),0,IF(ISNUMBER(FIND("SALDO DO DIA",C217)),0,IF(ISNUMBER(FIND("SDO CTA/APL AUTOMATICAS",C217)),0,IF(ISNUMBER(FIND("TEC DEPOSITO",C217)),0,IF(ISNUMBER(FIND("APL APLIC AUT MAIS",C217)),E217,IF(E217&gt;0,E217,0))))))</f>
        <v>0</v>
      </c>
      <c r="H217" s="65" t="n">
        <v>44256</v>
      </c>
    </row>
    <row r="218" customFormat="false" ht="15.8" hidden="false" customHeight="false" outlineLevel="0" collapsed="false">
      <c r="A218" s="40" t="s">
        <v>59</v>
      </c>
      <c r="B218" s="41" t="s">
        <v>238</v>
      </c>
      <c r="C218" s="41" t="s">
        <v>145</v>
      </c>
      <c r="D218" s="43" t="s">
        <v>56</v>
      </c>
      <c r="E218" s="66" t="n">
        <v>-35.8</v>
      </c>
      <c r="F218" s="45" t="n">
        <f aca="false">IF(ISNUMBER(FIND("SALDO ANTERIOR",C218)),0,IF(ISNUMBER(FIND("SALDO DO DIA",C218)),0,IF(ISNUMBER(FIND("SALDO PARCIAL",C218)),0,IF(ISNUMBER(FIND("SDO CTA/APL AUTOMATICAS",C218)),0,IF(ISNUMBER(FIND("APL APLIC AUT MAIS",C218)),0,IF(ISNUMBER(FIND("TEC DEPOSITO",C218)),0,IF(E218&gt;0,0,E218*(-1))))))))</f>
        <v>35.8</v>
      </c>
      <c r="G218" s="46" t="n">
        <f aca="false">IF(ISNUMBER(FIND("SALDO ANTERIOR",C218)),0,IF(ISNUMBER(FIND("SALDO DO DIA",C218)),0,IF(ISNUMBER(FIND("SDO CTA/APL AUTOMATICAS",C218)),0,IF(ISNUMBER(FIND("TEC DEPOSITO",C218)),0,IF(ISNUMBER(FIND("APL APLIC AUT MAIS",C218)),E218,IF(E218&gt;0,E218,0))))))</f>
        <v>0</v>
      </c>
      <c r="H218" s="65" t="n">
        <v>44256</v>
      </c>
    </row>
    <row r="219" customFormat="false" ht="15.8" hidden="false" customHeight="false" outlineLevel="0" collapsed="false">
      <c r="A219" s="40" t="s">
        <v>62</v>
      </c>
      <c r="B219" s="41" t="s">
        <v>238</v>
      </c>
      <c r="C219" s="41" t="s">
        <v>240</v>
      </c>
      <c r="D219" s="43" t="s">
        <v>56</v>
      </c>
      <c r="E219" s="66" t="n">
        <v>-63.6</v>
      </c>
      <c r="F219" s="45" t="n">
        <f aca="false">IF(ISNUMBER(FIND("SALDO ANTERIOR",C219)),0,IF(ISNUMBER(FIND("SALDO DO DIA",C219)),0,IF(ISNUMBER(FIND("SALDO PARCIAL",C219)),0,IF(ISNUMBER(FIND("SDO CTA/APL AUTOMATICAS",C219)),0,IF(ISNUMBER(FIND("APL APLIC AUT MAIS",C219)),0,IF(ISNUMBER(FIND("TEC DEPOSITO",C219)),0,IF(E219&gt;0,0,E219*(-1))))))))</f>
        <v>63.6</v>
      </c>
      <c r="G219" s="46" t="n">
        <f aca="false">IF(ISNUMBER(FIND("SALDO ANTERIOR",C219)),0,IF(ISNUMBER(FIND("SALDO DO DIA",C219)),0,IF(ISNUMBER(FIND("SDO CTA/APL AUTOMATICAS",C219)),0,IF(ISNUMBER(FIND("TEC DEPOSITO",C219)),0,IF(ISNUMBER(FIND("APL APLIC AUT MAIS",C219)),E219,IF(E219&gt;0,E219,0))))))</f>
        <v>0</v>
      </c>
      <c r="H219" s="65" t="n">
        <v>44256</v>
      </c>
    </row>
    <row r="220" customFormat="false" ht="15.8" hidden="false" customHeight="false" outlineLevel="0" collapsed="false">
      <c r="A220" s="40" t="s">
        <v>103</v>
      </c>
      <c r="B220" s="41" t="s">
        <v>238</v>
      </c>
      <c r="C220" s="41" t="s">
        <v>130</v>
      </c>
      <c r="D220" s="43" t="s">
        <v>56</v>
      </c>
      <c r="E220" s="66" t="n">
        <v>-59</v>
      </c>
      <c r="F220" s="45" t="n">
        <f aca="false">IF(ISNUMBER(FIND("SALDO ANTERIOR",C220)),0,IF(ISNUMBER(FIND("SALDO DO DIA",C220)),0,IF(ISNUMBER(FIND("SALDO PARCIAL",C220)),0,IF(ISNUMBER(FIND("SDO CTA/APL AUTOMATICAS",C220)),0,IF(ISNUMBER(FIND("APL APLIC AUT MAIS",C220)),0,IF(ISNUMBER(FIND("TEC DEPOSITO",C220)),0,IF(E220&gt;0,0,E220*(-1))))))))</f>
        <v>59</v>
      </c>
      <c r="G220" s="46" t="n">
        <f aca="false">IF(ISNUMBER(FIND("SALDO ANTERIOR",C220)),0,IF(ISNUMBER(FIND("SALDO DO DIA",C220)),0,IF(ISNUMBER(FIND("SDO CTA/APL AUTOMATICAS",C220)),0,IF(ISNUMBER(FIND("TEC DEPOSITO",C220)),0,IF(ISNUMBER(FIND("APL APLIC AUT MAIS",C220)),E220,IF(E220&gt;0,E220,0))))))</f>
        <v>0</v>
      </c>
      <c r="H220" s="65" t="n">
        <v>44256</v>
      </c>
    </row>
    <row r="221" customFormat="false" ht="15.8" hidden="false" customHeight="false" outlineLevel="0" collapsed="false">
      <c r="A221" s="40" t="s">
        <v>59</v>
      </c>
      <c r="B221" s="41" t="s">
        <v>238</v>
      </c>
      <c r="C221" s="41" t="s">
        <v>241</v>
      </c>
      <c r="D221" s="43" t="s">
        <v>56</v>
      </c>
      <c r="E221" s="66" t="n">
        <v>-6</v>
      </c>
      <c r="F221" s="45" t="n">
        <f aca="false">IF(ISNUMBER(FIND("SALDO ANTERIOR",C221)),0,IF(ISNUMBER(FIND("SALDO DO DIA",C221)),0,IF(ISNUMBER(FIND("SALDO PARCIAL",C221)),0,IF(ISNUMBER(FIND("SDO CTA/APL AUTOMATICAS",C221)),0,IF(ISNUMBER(FIND("APL APLIC AUT MAIS",C221)),0,IF(ISNUMBER(FIND("TEC DEPOSITO",C221)),0,IF(E221&gt;0,0,E221*(-1))))))))</f>
        <v>6</v>
      </c>
      <c r="G221" s="46" t="n">
        <f aca="false">IF(ISNUMBER(FIND("SALDO ANTERIOR",C221)),0,IF(ISNUMBER(FIND("SALDO DO DIA",C221)),0,IF(ISNUMBER(FIND("SDO CTA/APL AUTOMATICAS",C221)),0,IF(ISNUMBER(FIND("TEC DEPOSITO",C221)),0,IF(ISNUMBER(FIND("APL APLIC AUT MAIS",C221)),E221,IF(E221&gt;0,E221,0))))))</f>
        <v>0</v>
      </c>
      <c r="H221" s="65" t="n">
        <v>44256</v>
      </c>
    </row>
    <row r="222" customFormat="false" ht="15.8" hidden="false" customHeight="false" outlineLevel="0" collapsed="false">
      <c r="A222" s="40" t="s">
        <v>57</v>
      </c>
      <c r="B222" s="41" t="s">
        <v>238</v>
      </c>
      <c r="C222" s="41" t="s">
        <v>162</v>
      </c>
      <c r="D222" s="43" t="s">
        <v>56</v>
      </c>
      <c r="E222" s="66" t="n">
        <v>-37.29</v>
      </c>
      <c r="F222" s="45" t="n">
        <f aca="false">IF(ISNUMBER(FIND("SALDO ANTERIOR",C222)),0,IF(ISNUMBER(FIND("SALDO DO DIA",C222)),0,IF(ISNUMBER(FIND("SALDO PARCIAL",C222)),0,IF(ISNUMBER(FIND("SDO CTA/APL AUTOMATICAS",C222)),0,IF(ISNUMBER(FIND("APL APLIC AUT MAIS",C222)),0,IF(ISNUMBER(FIND("TEC DEPOSITO",C222)),0,IF(E222&gt;0,0,E222*(-1))))))))</f>
        <v>37.29</v>
      </c>
      <c r="G222" s="46" t="n">
        <f aca="false">IF(ISNUMBER(FIND("SALDO ANTERIOR",C222)),0,IF(ISNUMBER(FIND("SALDO DO DIA",C222)),0,IF(ISNUMBER(FIND("SDO CTA/APL AUTOMATICAS",C222)),0,IF(ISNUMBER(FIND("TEC DEPOSITO",C222)),0,IF(ISNUMBER(FIND("APL APLIC AUT MAIS",C222)),E222,IF(E222&gt;0,E222,0))))))</f>
        <v>0</v>
      </c>
      <c r="H222" s="65" t="n">
        <v>44256</v>
      </c>
    </row>
    <row r="223" customFormat="false" ht="15.8" hidden="false" customHeight="false" outlineLevel="0" collapsed="false">
      <c r="A223" s="40" t="s">
        <v>57</v>
      </c>
      <c r="B223" s="41" t="s">
        <v>238</v>
      </c>
      <c r="C223" s="41" t="s">
        <v>226</v>
      </c>
      <c r="D223" s="43" t="s">
        <v>56</v>
      </c>
      <c r="E223" s="66" t="n">
        <v>-90.68</v>
      </c>
      <c r="F223" s="45" t="n">
        <f aca="false">IF(ISNUMBER(FIND("SALDO ANTERIOR",C223)),0,IF(ISNUMBER(FIND("SALDO DO DIA",C223)),0,IF(ISNUMBER(FIND("SALDO PARCIAL",C223)),0,IF(ISNUMBER(FIND("SDO CTA/APL AUTOMATICAS",C223)),0,IF(ISNUMBER(FIND("APL APLIC AUT MAIS",C223)),0,IF(ISNUMBER(FIND("TEC DEPOSITO",C223)),0,IF(E223&gt;0,0,E223*(-1))))))))</f>
        <v>90.68</v>
      </c>
      <c r="G223" s="46" t="n">
        <f aca="false">IF(ISNUMBER(FIND("SALDO ANTERIOR",C223)),0,IF(ISNUMBER(FIND("SALDO DO DIA",C223)),0,IF(ISNUMBER(FIND("SDO CTA/APL AUTOMATICAS",C223)),0,IF(ISNUMBER(FIND("TEC DEPOSITO",C223)),0,IF(ISNUMBER(FIND("APL APLIC AUT MAIS",C223)),E223,IF(E223&gt;0,E223,0))))))</f>
        <v>0</v>
      </c>
      <c r="H223" s="65" t="n">
        <v>44256</v>
      </c>
    </row>
    <row r="224" customFormat="false" ht="15.8" hidden="false" customHeight="false" outlineLevel="0" collapsed="false">
      <c r="A224" s="40" t="s">
        <v>59</v>
      </c>
      <c r="B224" s="41" t="s">
        <v>238</v>
      </c>
      <c r="C224" s="41" t="s">
        <v>242</v>
      </c>
      <c r="D224" s="43" t="s">
        <v>56</v>
      </c>
      <c r="E224" s="66" t="n">
        <v>-21.1</v>
      </c>
      <c r="F224" s="45" t="n">
        <f aca="false">IF(ISNUMBER(FIND("SALDO ANTERIOR",C224)),0,IF(ISNUMBER(FIND("SALDO DO DIA",C224)),0,IF(ISNUMBER(FIND("SALDO PARCIAL",C224)),0,IF(ISNUMBER(FIND("SDO CTA/APL AUTOMATICAS",C224)),0,IF(ISNUMBER(FIND("APL APLIC AUT MAIS",C224)),0,IF(ISNUMBER(FIND("TEC DEPOSITO",C224)),0,IF(E224&gt;0,0,E224*(-1))))))))</f>
        <v>21.1</v>
      </c>
      <c r="G224" s="46" t="n">
        <f aca="false">IF(ISNUMBER(FIND("SALDO ANTERIOR",C224)),0,IF(ISNUMBER(FIND("SALDO DO DIA",C224)),0,IF(ISNUMBER(FIND("SDO CTA/APL AUTOMATICAS",C224)),0,IF(ISNUMBER(FIND("TEC DEPOSITO",C224)),0,IF(ISNUMBER(FIND("APL APLIC AUT MAIS",C224)),E224,IF(E224&gt;0,E224,0))))))</f>
        <v>0</v>
      </c>
      <c r="H224" s="65" t="n">
        <v>44256</v>
      </c>
    </row>
    <row r="225" customFormat="false" ht="15.8" hidden="false" customHeight="false" outlineLevel="0" collapsed="false">
      <c r="A225" s="40" t="s">
        <v>85</v>
      </c>
      <c r="B225" s="41" t="s">
        <v>238</v>
      </c>
      <c r="C225" s="41" t="s">
        <v>243</v>
      </c>
      <c r="D225" s="43" t="s">
        <v>244</v>
      </c>
      <c r="E225" s="67" t="n">
        <v>3926.79</v>
      </c>
      <c r="F225" s="45" t="n">
        <f aca="false">IF(ISNUMBER(FIND("SALDO ANTERIOR",C225)),0,IF(ISNUMBER(FIND("SALDO DO DIA",C225)),0,IF(ISNUMBER(FIND("SALDO PARCIAL",C225)),0,IF(ISNUMBER(FIND("SDO CTA/APL AUTOMATICAS",C225)),0,IF(ISNUMBER(FIND("APL APLIC AUT MAIS",C225)),0,IF(ISNUMBER(FIND("TEC DEPOSITO",C225)),0,IF(E225&gt;0,0,E225*(-1))))))))</f>
        <v>0</v>
      </c>
      <c r="G225" s="46" t="n">
        <f aca="false">IF(ISNUMBER(FIND("SALDO ANTERIOR",C225)),0,IF(ISNUMBER(FIND("SALDO DO DIA",C225)),0,IF(ISNUMBER(FIND("SDO CTA/APL AUTOMATICAS",C225)),0,IF(ISNUMBER(FIND("TEC DEPOSITO",C225)),0,IF(ISNUMBER(FIND("APL APLIC AUT MAIS",C225)),E225,IF(E225&gt;0,E225,0))))))</f>
        <v>3926.79</v>
      </c>
      <c r="H225" s="65" t="n">
        <v>44256</v>
      </c>
    </row>
    <row r="226" customFormat="false" ht="15.8" hidden="false" customHeight="false" outlineLevel="0" collapsed="false">
      <c r="A226" s="40" t="s">
        <v>66</v>
      </c>
      <c r="B226" s="41" t="s">
        <v>238</v>
      </c>
      <c r="C226" s="41" t="s">
        <v>67</v>
      </c>
      <c r="D226" s="43"/>
      <c r="E226" s="66" t="n">
        <v>-10.58</v>
      </c>
      <c r="F226" s="45" t="n">
        <f aca="false">IF(ISNUMBER(FIND("SALDO ANTERIOR",C226)),0,IF(ISNUMBER(FIND("SALDO DO DIA",C226)),0,IF(ISNUMBER(FIND("SALDO PARCIAL",C226)),0,IF(ISNUMBER(FIND("SDO CTA/APL AUTOMATICAS",C226)),0,IF(ISNUMBER(FIND("APL APLIC AUT MAIS",C226)),0,IF(ISNUMBER(FIND("TEC DEPOSITO",C226)),0,IF(E226&gt;0,0,E226*(-1))))))))</f>
        <v>10.58</v>
      </c>
      <c r="G226" s="46" t="n">
        <f aca="false">IF(ISNUMBER(FIND("SALDO ANTERIOR",C226)),0,IF(ISNUMBER(FIND("SALDO DO DIA",C226)),0,IF(ISNUMBER(FIND("SDO CTA/APL AUTOMATICAS",C226)),0,IF(ISNUMBER(FIND("TEC DEPOSITO",C226)),0,IF(ISNUMBER(FIND("APL APLIC AUT MAIS",C226)),E226,IF(E226&gt;0,E226,0))))))</f>
        <v>0</v>
      </c>
      <c r="H226" s="65" t="n">
        <v>44256</v>
      </c>
    </row>
    <row r="227" customFormat="false" ht="17" hidden="false" customHeight="false" outlineLevel="0" collapsed="false">
      <c r="A227" s="40" t="s">
        <v>31</v>
      </c>
      <c r="B227" s="41" t="s">
        <v>238</v>
      </c>
      <c r="C227" s="63" t="s">
        <v>120</v>
      </c>
      <c r="D227" s="43"/>
      <c r="E227" s="64"/>
      <c r="F227" s="45" t="n">
        <f aca="false">IF(ISNUMBER(FIND("SALDO ANTERIOR",C227)),0,IF(ISNUMBER(FIND("SALDO DO DIA",C227)),0,IF(ISNUMBER(FIND("SALDO PARCIAL",C227)),0,IF(ISNUMBER(FIND("SDO CTA/APL AUTOMATICAS",C227)),0,IF(ISNUMBER(FIND("APL APLIC AUT MAIS",C227)),0,IF(ISNUMBER(FIND("TEC DEPOSITO",C227)),0,IF(E227&gt;0,0,E227*(-1))))))))</f>
        <v>0</v>
      </c>
      <c r="G227" s="46" t="n">
        <f aca="false">IF(ISNUMBER(FIND("SALDO ANTERIOR",C227)),0,IF(ISNUMBER(FIND("SALDO DO DIA",C227)),0,IF(ISNUMBER(FIND("SDO CTA/APL AUTOMATICAS",C227)),0,IF(ISNUMBER(FIND("TEC DEPOSITO",C227)),0,IF(ISNUMBER(FIND("APL APLIC AUT MAIS",C227)),E227,IF(E227&gt;0,E227,0))))))</f>
        <v>0</v>
      </c>
      <c r="H227" s="65" t="n">
        <v>44256</v>
      </c>
    </row>
    <row r="228" customFormat="false" ht="15.8" hidden="false" customHeight="false" outlineLevel="0" collapsed="false">
      <c r="A228" s="40" t="s">
        <v>59</v>
      </c>
      <c r="B228" s="41" t="s">
        <v>245</v>
      </c>
      <c r="C228" s="41" t="s">
        <v>166</v>
      </c>
      <c r="D228" s="43" t="s">
        <v>56</v>
      </c>
      <c r="E228" s="66" t="n">
        <v>-11.9</v>
      </c>
      <c r="F228" s="45" t="n">
        <f aca="false">IF(ISNUMBER(FIND("SALDO ANTERIOR",C228)),0,IF(ISNUMBER(FIND("SALDO DO DIA",C228)),0,IF(ISNUMBER(FIND("SALDO PARCIAL",C228)),0,IF(ISNUMBER(FIND("SDO CTA/APL AUTOMATICAS",C228)),0,IF(ISNUMBER(FIND("APL APLIC AUT MAIS",C228)),0,IF(ISNUMBER(FIND("TEC DEPOSITO",C228)),0,IF(E228&gt;0,0,E228*(-1))))))))</f>
        <v>11.9</v>
      </c>
      <c r="G228" s="46" t="n">
        <f aca="false">IF(ISNUMBER(FIND("SALDO ANTERIOR",C228)),0,IF(ISNUMBER(FIND("SALDO DO DIA",C228)),0,IF(ISNUMBER(FIND("SDO CTA/APL AUTOMATICAS",C228)),0,IF(ISNUMBER(FIND("TEC DEPOSITO",C228)),0,IF(ISNUMBER(FIND("APL APLIC AUT MAIS",C228)),E228,IF(E228&gt;0,E228,0))))))</f>
        <v>0</v>
      </c>
      <c r="H228" s="65" t="n">
        <v>44256</v>
      </c>
    </row>
    <row r="229" customFormat="false" ht="15.8" hidden="false" customHeight="false" outlineLevel="0" collapsed="false">
      <c r="A229" s="40" t="s">
        <v>64</v>
      </c>
      <c r="B229" s="41" t="s">
        <v>245</v>
      </c>
      <c r="C229" s="41" t="s">
        <v>246</v>
      </c>
      <c r="D229" s="43" t="s">
        <v>56</v>
      </c>
      <c r="E229" s="66" t="n">
        <v>-104.22</v>
      </c>
      <c r="F229" s="45" t="n">
        <f aca="false">IF(ISNUMBER(FIND("SALDO ANTERIOR",C229)),0,IF(ISNUMBER(FIND("SALDO DO DIA",C229)),0,IF(ISNUMBER(FIND("SALDO PARCIAL",C229)),0,IF(ISNUMBER(FIND("SDO CTA/APL AUTOMATICAS",C229)),0,IF(ISNUMBER(FIND("APL APLIC AUT MAIS",C229)),0,IF(ISNUMBER(FIND("TEC DEPOSITO",C229)),0,IF(E229&gt;0,0,E229*(-1))))))))</f>
        <v>104.22</v>
      </c>
      <c r="G229" s="46" t="n">
        <f aca="false">IF(ISNUMBER(FIND("SALDO ANTERIOR",C229)),0,IF(ISNUMBER(FIND("SALDO DO DIA",C229)),0,IF(ISNUMBER(FIND("SDO CTA/APL AUTOMATICAS",C229)),0,IF(ISNUMBER(FIND("TEC DEPOSITO",C229)),0,IF(ISNUMBER(FIND("APL APLIC AUT MAIS",C229)),E229,IF(E229&gt;0,E229,0))))))</f>
        <v>0</v>
      </c>
      <c r="H229" s="65" t="n">
        <v>44256</v>
      </c>
    </row>
    <row r="230" customFormat="false" ht="15.8" hidden="false" customHeight="false" outlineLevel="0" collapsed="false">
      <c r="A230" s="40" t="s">
        <v>66</v>
      </c>
      <c r="B230" s="41" t="s">
        <v>245</v>
      </c>
      <c r="C230" s="41" t="s">
        <v>247</v>
      </c>
      <c r="D230" s="43" t="s">
        <v>76</v>
      </c>
      <c r="E230" s="66" t="n">
        <v>-79.5</v>
      </c>
      <c r="F230" s="45" t="n">
        <f aca="false">IF(ISNUMBER(FIND("SALDO ANTERIOR",C230)),0,IF(ISNUMBER(FIND("SALDO DO DIA",C230)),0,IF(ISNUMBER(FIND("SALDO PARCIAL",C230)),0,IF(ISNUMBER(FIND("SDO CTA/APL AUTOMATICAS",C230)),0,IF(ISNUMBER(FIND("APL APLIC AUT MAIS",C230)),0,IF(ISNUMBER(FIND("TEC DEPOSITO",C230)),0,IF(E230&gt;0,0,E230*(-1))))))))</f>
        <v>79.5</v>
      </c>
      <c r="G230" s="46" t="n">
        <f aca="false">IF(ISNUMBER(FIND("SALDO ANTERIOR",C230)),0,IF(ISNUMBER(FIND("SALDO DO DIA",C230)),0,IF(ISNUMBER(FIND("SDO CTA/APL AUTOMATICAS",C230)),0,IF(ISNUMBER(FIND("TEC DEPOSITO",C230)),0,IF(ISNUMBER(FIND("APL APLIC AUT MAIS",C230)),E230,IF(E230&gt;0,E230,0))))))</f>
        <v>0</v>
      </c>
      <c r="H230" s="65" t="n">
        <v>44256</v>
      </c>
    </row>
    <row r="231" customFormat="false" ht="17" hidden="false" customHeight="false" outlineLevel="0" collapsed="false">
      <c r="A231" s="40" t="s">
        <v>31</v>
      </c>
      <c r="B231" s="41" t="s">
        <v>245</v>
      </c>
      <c r="C231" s="63" t="s">
        <v>120</v>
      </c>
      <c r="D231" s="43"/>
      <c r="E231" s="64"/>
      <c r="F231" s="45" t="n">
        <f aca="false">IF(ISNUMBER(FIND("SALDO ANTERIOR",C231)),0,IF(ISNUMBER(FIND("SALDO DO DIA",C231)),0,IF(ISNUMBER(FIND("SALDO PARCIAL",C231)),0,IF(ISNUMBER(FIND("SDO CTA/APL AUTOMATICAS",C231)),0,IF(ISNUMBER(FIND("APL APLIC AUT MAIS",C231)),0,IF(ISNUMBER(FIND("TEC DEPOSITO",C231)),0,IF(E231&gt;0,0,E231*(-1))))))))</f>
        <v>0</v>
      </c>
      <c r="G231" s="46" t="n">
        <f aca="false">IF(ISNUMBER(FIND("SALDO ANTERIOR",C231)),0,IF(ISNUMBER(FIND("SALDO DO DIA",C231)),0,IF(ISNUMBER(FIND("SDO CTA/APL AUTOMATICAS",C231)),0,IF(ISNUMBER(FIND("TEC DEPOSITO",C231)),0,IF(ISNUMBER(FIND("APL APLIC AUT MAIS",C231)),E231,IF(E231&gt;0,E231,0))))))</f>
        <v>0</v>
      </c>
      <c r="H231" s="65" t="n">
        <v>44256</v>
      </c>
    </row>
    <row r="232" customFormat="false" ht="15.8" hidden="false" customHeight="false" outlineLevel="0" collapsed="false">
      <c r="A232" s="40" t="s">
        <v>200</v>
      </c>
      <c r="B232" s="41" t="s">
        <v>248</v>
      </c>
      <c r="C232" s="41" t="s">
        <v>249</v>
      </c>
      <c r="D232" s="43" t="s">
        <v>72</v>
      </c>
      <c r="E232" s="66" t="n">
        <v>-443.34</v>
      </c>
      <c r="F232" s="45" t="n">
        <f aca="false">IF(ISNUMBER(FIND("SALDO ANTERIOR",C232)),0,IF(ISNUMBER(FIND("SALDO DO DIA",C232)),0,IF(ISNUMBER(FIND("SALDO PARCIAL",C232)),0,IF(ISNUMBER(FIND("SDO CTA/APL AUTOMATICAS",C232)),0,IF(ISNUMBER(FIND("APL APLIC AUT MAIS",C232)),0,IF(ISNUMBER(FIND("TEC DEPOSITO",C232)),0,IF(E232&gt;0,0,E232*(-1))))))))</f>
        <v>443.34</v>
      </c>
      <c r="G232" s="46" t="n">
        <f aca="false">IF(ISNUMBER(FIND("SALDO ANTERIOR",C232)),0,IF(ISNUMBER(FIND("SALDO DO DIA",C232)),0,IF(ISNUMBER(FIND("SDO CTA/APL AUTOMATICAS",C232)),0,IF(ISNUMBER(FIND("TEC DEPOSITO",C232)),0,IF(ISNUMBER(FIND("APL APLIC AUT MAIS",C232)),E232,IF(E232&gt;0,E232,0))))))</f>
        <v>0</v>
      </c>
      <c r="H232" s="65" t="n">
        <v>44256</v>
      </c>
    </row>
    <row r="233" customFormat="false" ht="15.8" hidden="false" customHeight="false" outlineLevel="0" collapsed="false">
      <c r="A233" s="40" t="s">
        <v>87</v>
      </c>
      <c r="B233" s="41" t="s">
        <v>248</v>
      </c>
      <c r="C233" s="41" t="s">
        <v>250</v>
      </c>
      <c r="D233" s="43" t="s">
        <v>72</v>
      </c>
      <c r="E233" s="66" t="n">
        <v>-496.64</v>
      </c>
      <c r="F233" s="45" t="n">
        <f aca="false">IF(ISNUMBER(FIND("SALDO ANTERIOR",C233)),0,IF(ISNUMBER(FIND("SALDO DO DIA",C233)),0,IF(ISNUMBER(FIND("SALDO PARCIAL",C233)),0,IF(ISNUMBER(FIND("SDO CTA/APL AUTOMATICAS",C233)),0,IF(ISNUMBER(FIND("APL APLIC AUT MAIS",C233)),0,IF(ISNUMBER(FIND("TEC DEPOSITO",C233)),0,IF(E233&gt;0,0,E233*(-1))))))))</f>
        <v>496.64</v>
      </c>
      <c r="G233" s="46" t="n">
        <f aca="false">IF(ISNUMBER(FIND("SALDO ANTERIOR",C233)),0,IF(ISNUMBER(FIND("SALDO DO DIA",C233)),0,IF(ISNUMBER(FIND("SDO CTA/APL AUTOMATICAS",C233)),0,IF(ISNUMBER(FIND("TEC DEPOSITO",C233)),0,IF(ISNUMBER(FIND("APL APLIC AUT MAIS",C233)),E233,IF(E233&gt;0,E233,0))))))</f>
        <v>0</v>
      </c>
      <c r="H233" s="65" t="n">
        <v>44256</v>
      </c>
    </row>
    <row r="234" customFormat="false" ht="15.8" hidden="false" customHeight="false" outlineLevel="0" collapsed="false">
      <c r="A234" s="40" t="s">
        <v>59</v>
      </c>
      <c r="B234" s="41" t="s">
        <v>248</v>
      </c>
      <c r="C234" s="41" t="s">
        <v>251</v>
      </c>
      <c r="D234" s="43" t="s">
        <v>56</v>
      </c>
      <c r="E234" s="66" t="n">
        <v>-3</v>
      </c>
      <c r="F234" s="45" t="n">
        <f aca="false">IF(ISNUMBER(FIND("SALDO ANTERIOR",C234)),0,IF(ISNUMBER(FIND("SALDO DO DIA",C234)),0,IF(ISNUMBER(FIND("SALDO PARCIAL",C234)),0,IF(ISNUMBER(FIND("SDO CTA/APL AUTOMATICAS",C234)),0,IF(ISNUMBER(FIND("APL APLIC AUT MAIS",C234)),0,IF(ISNUMBER(FIND("TEC DEPOSITO",C234)),0,IF(E234&gt;0,0,E234*(-1))))))))</f>
        <v>3</v>
      </c>
      <c r="G234" s="46" t="n">
        <f aca="false">IF(ISNUMBER(FIND("SALDO ANTERIOR",C234)),0,IF(ISNUMBER(FIND("SALDO DO DIA",C234)),0,IF(ISNUMBER(FIND("SDO CTA/APL AUTOMATICAS",C234)),0,IF(ISNUMBER(FIND("TEC DEPOSITO",C234)),0,IF(ISNUMBER(FIND("APL APLIC AUT MAIS",C234)),E234,IF(E234&gt;0,E234,0))))))</f>
        <v>0</v>
      </c>
      <c r="H234" s="65" t="n">
        <v>44256</v>
      </c>
    </row>
    <row r="235" customFormat="false" ht="17" hidden="false" customHeight="false" outlineLevel="0" collapsed="false">
      <c r="A235" s="40" t="s">
        <v>31</v>
      </c>
      <c r="B235" s="41" t="s">
        <v>248</v>
      </c>
      <c r="C235" s="63" t="s">
        <v>120</v>
      </c>
      <c r="D235" s="43"/>
      <c r="E235" s="64"/>
      <c r="F235" s="45" t="n">
        <f aca="false">IF(ISNUMBER(FIND("SALDO ANTERIOR",C235)),0,IF(ISNUMBER(FIND("SALDO DO DIA",C235)),0,IF(ISNUMBER(FIND("SALDO PARCIAL",C235)),0,IF(ISNUMBER(FIND("SDO CTA/APL AUTOMATICAS",C235)),0,IF(ISNUMBER(FIND("APL APLIC AUT MAIS",C235)),0,IF(ISNUMBER(FIND("TEC DEPOSITO",C235)),0,IF(E235&gt;0,0,E235*(-1))))))))</f>
        <v>0</v>
      </c>
      <c r="G235" s="46" t="n">
        <f aca="false">IF(ISNUMBER(FIND("SALDO ANTERIOR",C235)),0,IF(ISNUMBER(FIND("SALDO DO DIA",C235)),0,IF(ISNUMBER(FIND("SDO CTA/APL AUTOMATICAS",C235)),0,IF(ISNUMBER(FIND("TEC DEPOSITO",C235)),0,IF(ISNUMBER(FIND("APL APLIC AUT MAIS",C235)),E235,IF(E235&gt;0,E235,0))))))</f>
        <v>0</v>
      </c>
      <c r="H235" s="65" t="n">
        <v>44256</v>
      </c>
    </row>
    <row r="236" customFormat="false" ht="15.8" hidden="false" customHeight="false" outlineLevel="0" collapsed="false">
      <c r="A236" s="40" t="s">
        <v>121</v>
      </c>
      <c r="B236" s="41" t="s">
        <v>252</v>
      </c>
      <c r="C236" s="41" t="s">
        <v>253</v>
      </c>
      <c r="D236" s="43" t="s">
        <v>91</v>
      </c>
      <c r="E236" s="66" t="n">
        <v>-20</v>
      </c>
      <c r="F236" s="45" t="n">
        <f aca="false">IF(ISNUMBER(FIND("SALDO ANTERIOR",C236)),0,IF(ISNUMBER(FIND("SALDO DO DIA",C236)),0,IF(ISNUMBER(FIND("SALDO PARCIAL",C236)),0,IF(ISNUMBER(FIND("SDO CTA/APL AUTOMATICAS",C236)),0,IF(ISNUMBER(FIND("APL APLIC AUT MAIS",C236)),0,IF(ISNUMBER(FIND("TEC DEPOSITO",C236)),0,IF(E236&gt;0,0,E236*(-1))))))))</f>
        <v>20</v>
      </c>
      <c r="G236" s="46" t="n">
        <f aca="false">IF(ISNUMBER(FIND("SALDO ANTERIOR",C236)),0,IF(ISNUMBER(FIND("SALDO DO DIA",C236)),0,IF(ISNUMBER(FIND("SDO CTA/APL AUTOMATICAS",C236)),0,IF(ISNUMBER(FIND("TEC DEPOSITO",C236)),0,IF(ISNUMBER(FIND("APL APLIC AUT MAIS",C236)),E236,IF(E236&gt;0,E236,0))))))</f>
        <v>0</v>
      </c>
      <c r="H236" s="65" t="n">
        <v>44256</v>
      </c>
    </row>
    <row r="237" customFormat="false" ht="15.8" hidden="false" customHeight="false" outlineLevel="0" collapsed="false">
      <c r="A237" s="40" t="s">
        <v>254</v>
      </c>
      <c r="B237" s="41" t="s">
        <v>252</v>
      </c>
      <c r="C237" s="41" t="s">
        <v>255</v>
      </c>
      <c r="D237" s="43" t="s">
        <v>56</v>
      </c>
      <c r="E237" s="66" t="n">
        <v>-49.99</v>
      </c>
      <c r="F237" s="45" t="n">
        <f aca="false">IF(ISNUMBER(FIND("SALDO ANTERIOR",C237)),0,IF(ISNUMBER(FIND("SALDO DO DIA",C237)),0,IF(ISNUMBER(FIND("SALDO PARCIAL",C237)),0,IF(ISNUMBER(FIND("SDO CTA/APL AUTOMATICAS",C237)),0,IF(ISNUMBER(FIND("APL APLIC AUT MAIS",C237)),0,IF(ISNUMBER(FIND("TEC DEPOSITO",C237)),0,IF(E237&gt;0,0,E237*(-1))))))))</f>
        <v>49.99</v>
      </c>
      <c r="G237" s="46" t="n">
        <f aca="false">IF(ISNUMBER(FIND("SALDO ANTERIOR",C237)),0,IF(ISNUMBER(FIND("SALDO DO DIA",C237)),0,IF(ISNUMBER(FIND("SDO CTA/APL AUTOMATICAS",C237)),0,IF(ISNUMBER(FIND("TEC DEPOSITO",C237)),0,IF(ISNUMBER(FIND("APL APLIC AUT MAIS",C237)),E237,IF(E237&gt;0,E237,0))))))</f>
        <v>0</v>
      </c>
      <c r="H237" s="65" t="n">
        <v>44256</v>
      </c>
    </row>
    <row r="238" customFormat="false" ht="15.8" hidden="false" customHeight="false" outlineLevel="0" collapsed="false">
      <c r="A238" s="40" t="s">
        <v>59</v>
      </c>
      <c r="B238" s="41" t="s">
        <v>252</v>
      </c>
      <c r="C238" s="41" t="s">
        <v>166</v>
      </c>
      <c r="D238" s="43" t="s">
        <v>56</v>
      </c>
      <c r="E238" s="66" t="n">
        <v>-18.4</v>
      </c>
      <c r="F238" s="45" t="n">
        <f aca="false">IF(ISNUMBER(FIND("SALDO ANTERIOR",C238)),0,IF(ISNUMBER(FIND("SALDO DO DIA",C238)),0,IF(ISNUMBER(FIND("SALDO PARCIAL",C238)),0,IF(ISNUMBER(FIND("SDO CTA/APL AUTOMATICAS",C238)),0,IF(ISNUMBER(FIND("APL APLIC AUT MAIS",C238)),0,IF(ISNUMBER(FIND("TEC DEPOSITO",C238)),0,IF(E238&gt;0,0,E238*(-1))))))))</f>
        <v>18.4</v>
      </c>
      <c r="G238" s="46" t="n">
        <f aca="false">IF(ISNUMBER(FIND("SALDO ANTERIOR",C238)),0,IF(ISNUMBER(FIND("SALDO DO DIA",C238)),0,IF(ISNUMBER(FIND("SDO CTA/APL AUTOMATICAS",C238)),0,IF(ISNUMBER(FIND("TEC DEPOSITO",C238)),0,IF(ISNUMBER(FIND("APL APLIC AUT MAIS",C238)),E238,IF(E238&gt;0,E238,0))))))</f>
        <v>0</v>
      </c>
      <c r="H238" s="65" t="n">
        <v>44256</v>
      </c>
    </row>
    <row r="239" customFormat="false" ht="15.8" hidden="false" customHeight="false" outlineLevel="0" collapsed="false">
      <c r="A239" s="40" t="s">
        <v>39</v>
      </c>
      <c r="B239" s="41" t="s">
        <v>252</v>
      </c>
      <c r="C239" s="41" t="s">
        <v>256</v>
      </c>
      <c r="D239" s="43" t="s">
        <v>257</v>
      </c>
      <c r="E239" s="67" t="n">
        <v>1000</v>
      </c>
      <c r="F239" s="45" t="n">
        <f aca="false">IF(ISNUMBER(FIND("SALDO ANTERIOR",C239)),0,IF(ISNUMBER(FIND("SALDO DO DIA",C239)),0,IF(ISNUMBER(FIND("SALDO PARCIAL",C239)),0,IF(ISNUMBER(FIND("SDO CTA/APL AUTOMATICAS",C239)),0,IF(ISNUMBER(FIND("APL APLIC AUT MAIS",C239)),0,IF(ISNUMBER(FIND("TEC DEPOSITO",C239)),0,IF(E239&gt;0,0,E239*(-1))))))))</f>
        <v>0</v>
      </c>
      <c r="G239" s="46" t="n">
        <f aca="false">IF(ISNUMBER(FIND("SALDO ANTERIOR",C239)),0,IF(ISNUMBER(FIND("SALDO DO DIA",C239)),0,IF(ISNUMBER(FIND("SDO CTA/APL AUTOMATICAS",C239)),0,IF(ISNUMBER(FIND("TEC DEPOSITO",C239)),0,IF(ISNUMBER(FIND("APL APLIC AUT MAIS",C239)),E239,IF(E239&gt;0,E239,0))))))</f>
        <v>1000</v>
      </c>
      <c r="H239" s="65" t="n">
        <v>44256</v>
      </c>
    </row>
    <row r="240" customFormat="false" ht="17" hidden="false" customHeight="false" outlineLevel="0" collapsed="false">
      <c r="A240" s="40" t="s">
        <v>31</v>
      </c>
      <c r="B240" s="41" t="s">
        <v>252</v>
      </c>
      <c r="C240" s="63" t="s">
        <v>120</v>
      </c>
      <c r="D240" s="43"/>
      <c r="E240" s="64"/>
      <c r="F240" s="45" t="n">
        <f aca="false">IF(ISNUMBER(FIND("SALDO ANTERIOR",C240)),0,IF(ISNUMBER(FIND("SALDO DO DIA",C240)),0,IF(ISNUMBER(FIND("SALDO PARCIAL",C240)),0,IF(ISNUMBER(FIND("SDO CTA/APL AUTOMATICAS",C240)),0,IF(ISNUMBER(FIND("APL APLIC AUT MAIS",C240)),0,IF(ISNUMBER(FIND("TEC DEPOSITO",C240)),0,IF(E240&gt;0,0,E240*(-1))))))))</f>
        <v>0</v>
      </c>
      <c r="G240" s="46" t="n">
        <f aca="false">IF(ISNUMBER(FIND("SALDO ANTERIOR",C240)),0,IF(ISNUMBER(FIND("SALDO DO DIA",C240)),0,IF(ISNUMBER(FIND("SDO CTA/APL AUTOMATICAS",C240)),0,IF(ISNUMBER(FIND("TEC DEPOSITO",C240)),0,IF(ISNUMBER(FIND("APL APLIC AUT MAIS",C240)),E240,IF(E240&gt;0,E240,0))))))</f>
        <v>0</v>
      </c>
      <c r="H240" s="65" t="n">
        <v>44256</v>
      </c>
    </row>
    <row r="241" customFormat="false" ht="15.8" hidden="false" customHeight="false" outlineLevel="0" collapsed="false">
      <c r="A241" s="40" t="s">
        <v>66</v>
      </c>
      <c r="B241" s="41" t="s">
        <v>258</v>
      </c>
      <c r="C241" s="41" t="s">
        <v>259</v>
      </c>
      <c r="D241" s="43"/>
      <c r="E241" s="66" t="n">
        <v>-36.96</v>
      </c>
      <c r="F241" s="45" t="n">
        <f aca="false">IF(ISNUMBER(FIND("SALDO ANTERIOR",C241)),0,IF(ISNUMBER(FIND("SALDO DO DIA",C241)),0,IF(ISNUMBER(FIND("SALDO PARCIAL",C241)),0,IF(ISNUMBER(FIND("SDO CTA/APL AUTOMATICAS",C241)),0,IF(ISNUMBER(FIND("APL APLIC AUT MAIS",C241)),0,IF(ISNUMBER(FIND("TEC DEPOSITO",C241)),0,IF(E241&gt;0,0,E241*(-1))))))))</f>
        <v>36.96</v>
      </c>
      <c r="G241" s="46" t="n">
        <f aca="false">IF(ISNUMBER(FIND("SALDO ANTERIOR",C241)),0,IF(ISNUMBER(FIND("SALDO DO DIA",C241)),0,IF(ISNUMBER(FIND("SDO CTA/APL AUTOMATICAS",C241)),0,IF(ISNUMBER(FIND("TEC DEPOSITO",C241)),0,IF(ISNUMBER(FIND("APL APLIC AUT MAIS",C241)),E241,IF(E241&gt;0,E241,0))))))</f>
        <v>0</v>
      </c>
      <c r="H241" s="65" t="n">
        <v>44256</v>
      </c>
    </row>
    <row r="242" customFormat="false" ht="17" hidden="false" customHeight="false" outlineLevel="0" collapsed="false">
      <c r="A242" s="40" t="s">
        <v>31</v>
      </c>
      <c r="B242" s="41" t="s">
        <v>258</v>
      </c>
      <c r="C242" s="63" t="s">
        <v>120</v>
      </c>
      <c r="D242" s="43"/>
      <c r="E242" s="64"/>
      <c r="F242" s="45" t="n">
        <f aca="false">IF(ISNUMBER(FIND("SALDO ANTERIOR",C242)),0,IF(ISNUMBER(FIND("SALDO DO DIA",C242)),0,IF(ISNUMBER(FIND("SALDO PARCIAL",C242)),0,IF(ISNUMBER(FIND("SDO CTA/APL AUTOMATICAS",C242)),0,IF(ISNUMBER(FIND("APL APLIC AUT MAIS",C242)),0,IF(ISNUMBER(FIND("TEC DEPOSITO",C242)),0,IF(E242&gt;0,0,E242*(-1))))))))</f>
        <v>0</v>
      </c>
      <c r="G242" s="46" t="n">
        <f aca="false">IF(ISNUMBER(FIND("SALDO ANTERIOR",C242)),0,IF(ISNUMBER(FIND("SALDO DO DIA",C242)),0,IF(ISNUMBER(FIND("SDO CTA/APL AUTOMATICAS",C242)),0,IF(ISNUMBER(FIND("TEC DEPOSITO",C242)),0,IF(ISNUMBER(FIND("APL APLIC AUT MAIS",C242)),E242,IF(E242&gt;0,E242,0))))))</f>
        <v>0</v>
      </c>
      <c r="H242" s="65" t="n">
        <v>44256</v>
      </c>
    </row>
    <row r="243" customFormat="false" ht="15.8" hidden="false" customHeight="false" outlineLevel="0" collapsed="false">
      <c r="A243" s="40" t="s">
        <v>121</v>
      </c>
      <c r="B243" s="41" t="s">
        <v>260</v>
      </c>
      <c r="C243" s="41" t="s">
        <v>261</v>
      </c>
      <c r="D243" s="43" t="s">
        <v>91</v>
      </c>
      <c r="E243" s="66" t="n">
        <v>-100</v>
      </c>
      <c r="F243" s="45" t="n">
        <f aca="false">IF(ISNUMBER(FIND("SALDO ANTERIOR",C243)),0,IF(ISNUMBER(FIND("SALDO DO DIA",C243)),0,IF(ISNUMBER(FIND("SALDO PARCIAL",C243)),0,IF(ISNUMBER(FIND("SDO CTA/APL AUTOMATICAS",C243)),0,IF(ISNUMBER(FIND("APL APLIC AUT MAIS",C243)),0,IF(ISNUMBER(FIND("TEC DEPOSITO",C243)),0,IF(E243&gt;0,0,E243*(-1))))))))</f>
        <v>100</v>
      </c>
      <c r="G243" s="46" t="n">
        <f aca="false">IF(ISNUMBER(FIND("SALDO ANTERIOR",C243)),0,IF(ISNUMBER(FIND("SALDO DO DIA",C243)),0,IF(ISNUMBER(FIND("SDO CTA/APL AUTOMATICAS",C243)),0,IF(ISNUMBER(FIND("TEC DEPOSITO",C243)),0,IF(ISNUMBER(FIND("APL APLIC AUT MAIS",C243)),E243,IF(E243&gt;0,E243,0))))))</f>
        <v>0</v>
      </c>
      <c r="H243" s="65" t="n">
        <v>44256</v>
      </c>
    </row>
    <row r="244" customFormat="false" ht="15.8" hidden="false" customHeight="false" outlineLevel="0" collapsed="false">
      <c r="A244" s="40" t="s">
        <v>59</v>
      </c>
      <c r="B244" s="41" t="s">
        <v>260</v>
      </c>
      <c r="C244" s="41" t="s">
        <v>79</v>
      </c>
      <c r="D244" s="43" t="s">
        <v>56</v>
      </c>
      <c r="E244" s="66" t="n">
        <v>-11</v>
      </c>
      <c r="F244" s="45" t="n">
        <f aca="false">IF(ISNUMBER(FIND("SALDO ANTERIOR",C244)),0,IF(ISNUMBER(FIND("SALDO DO DIA",C244)),0,IF(ISNUMBER(FIND("SALDO PARCIAL",C244)),0,IF(ISNUMBER(FIND("SDO CTA/APL AUTOMATICAS",C244)),0,IF(ISNUMBER(FIND("APL APLIC AUT MAIS",C244)),0,IF(ISNUMBER(FIND("TEC DEPOSITO",C244)),0,IF(E244&gt;0,0,E244*(-1))))))))</f>
        <v>11</v>
      </c>
      <c r="G244" s="46" t="n">
        <f aca="false">IF(ISNUMBER(FIND("SALDO ANTERIOR",C244)),0,IF(ISNUMBER(FIND("SALDO DO DIA",C244)),0,IF(ISNUMBER(FIND("SDO CTA/APL AUTOMATICAS",C244)),0,IF(ISNUMBER(FIND("TEC DEPOSITO",C244)),0,IF(ISNUMBER(FIND("APL APLIC AUT MAIS",C244)),E244,IF(E244&gt;0,E244,0))))))</f>
        <v>0</v>
      </c>
      <c r="H244" s="65" t="n">
        <v>44256</v>
      </c>
    </row>
    <row r="245" customFormat="false" ht="15.8" hidden="false" customHeight="false" outlineLevel="0" collapsed="false">
      <c r="A245" s="40" t="s">
        <v>59</v>
      </c>
      <c r="B245" s="41" t="s">
        <v>260</v>
      </c>
      <c r="C245" s="41" t="s">
        <v>126</v>
      </c>
      <c r="D245" s="43" t="s">
        <v>56</v>
      </c>
      <c r="E245" s="66" t="n">
        <v>-53</v>
      </c>
      <c r="F245" s="45" t="n">
        <f aca="false">IF(ISNUMBER(FIND("SALDO ANTERIOR",C245)),0,IF(ISNUMBER(FIND("SALDO DO DIA",C245)),0,IF(ISNUMBER(FIND("SALDO PARCIAL",C245)),0,IF(ISNUMBER(FIND("SDO CTA/APL AUTOMATICAS",C245)),0,IF(ISNUMBER(FIND("APL APLIC AUT MAIS",C245)),0,IF(ISNUMBER(FIND("TEC DEPOSITO",C245)),0,IF(E245&gt;0,0,E245*(-1))))))))</f>
        <v>53</v>
      </c>
      <c r="G245" s="46" t="n">
        <f aca="false">IF(ISNUMBER(FIND("SALDO ANTERIOR",C245)),0,IF(ISNUMBER(FIND("SALDO DO DIA",C245)),0,IF(ISNUMBER(FIND("SDO CTA/APL AUTOMATICAS",C245)),0,IF(ISNUMBER(FIND("TEC DEPOSITO",C245)),0,IF(ISNUMBER(FIND("APL APLIC AUT MAIS",C245)),E245,IF(E245&gt;0,E245,0))))))</f>
        <v>0</v>
      </c>
      <c r="H245" s="65" t="n">
        <v>44256</v>
      </c>
    </row>
    <row r="246" customFormat="false" ht="13.8" hidden="false" customHeight="false" outlineLevel="0" collapsed="false">
      <c r="A246" s="40" t="s">
        <v>62</v>
      </c>
      <c r="B246" s="41" t="s">
        <v>260</v>
      </c>
      <c r="C246" s="41" t="s">
        <v>128</v>
      </c>
      <c r="D246" s="43" t="s">
        <v>56</v>
      </c>
      <c r="E246" s="66" t="n">
        <v>-40</v>
      </c>
      <c r="F246" s="45" t="n">
        <f aca="false">IF(ISNUMBER(FIND("SALDO ANTERIOR",C246)),0,IF(ISNUMBER(FIND("SALDO DO DIA",C246)),0,IF(ISNUMBER(FIND("SALDO PARCIAL",C246)),0,IF(ISNUMBER(FIND("SDO CTA/APL AUTOMATICAS",C246)),0,IF(ISNUMBER(FIND("APL APLIC AUT MAIS",C246)),0,IF(ISNUMBER(FIND("TEC DEPOSITO",C246)),0,IF(E246&gt;0,0,E246*(-1))))))))</f>
        <v>40</v>
      </c>
      <c r="G246" s="46" t="n">
        <f aca="false">IF(ISNUMBER(FIND("SALDO ANTERIOR",C246)),0,IF(ISNUMBER(FIND("SALDO DO DIA",C246)),0,IF(ISNUMBER(FIND("SDO CTA/APL AUTOMATICAS",C246)),0,IF(ISNUMBER(FIND("TEC DEPOSITO",C246)),0,IF(ISNUMBER(FIND("APL APLIC AUT MAIS",C246)),E246,IF(E246&gt;0,E246,0))))))</f>
        <v>0</v>
      </c>
      <c r="H246" s="65" t="n">
        <v>44256</v>
      </c>
    </row>
    <row r="247" customFormat="false" ht="15.8" hidden="false" customHeight="false" outlineLevel="0" collapsed="false">
      <c r="A247" s="40" t="s">
        <v>103</v>
      </c>
      <c r="B247" s="41" t="s">
        <v>260</v>
      </c>
      <c r="C247" s="41" t="s">
        <v>130</v>
      </c>
      <c r="D247" s="43" t="s">
        <v>56</v>
      </c>
      <c r="E247" s="66" t="n">
        <v>-12.6</v>
      </c>
      <c r="F247" s="45" t="n">
        <f aca="false">IF(ISNUMBER(FIND("SALDO ANTERIOR",C247)),0,IF(ISNUMBER(FIND("SALDO DO DIA",C247)),0,IF(ISNUMBER(FIND("SALDO PARCIAL",C247)),0,IF(ISNUMBER(FIND("SDO CTA/APL AUTOMATICAS",C247)),0,IF(ISNUMBER(FIND("APL APLIC AUT MAIS",C247)),0,IF(ISNUMBER(FIND("TEC DEPOSITO",C247)),0,IF(E247&gt;0,0,E247*(-1))))))))</f>
        <v>12.6</v>
      </c>
      <c r="G247" s="46" t="n">
        <f aca="false">IF(ISNUMBER(FIND("SALDO ANTERIOR",C247)),0,IF(ISNUMBER(FIND("SALDO DO DIA",C247)),0,IF(ISNUMBER(FIND("SDO CTA/APL AUTOMATICAS",C247)),0,IF(ISNUMBER(FIND("TEC DEPOSITO",C247)),0,IF(ISNUMBER(FIND("APL APLIC AUT MAIS",C247)),E247,IF(E247&gt;0,E247,0))))))</f>
        <v>0</v>
      </c>
      <c r="H247" s="65" t="n">
        <v>44256</v>
      </c>
    </row>
    <row r="248" customFormat="false" ht="15.8" hidden="false" customHeight="false" outlineLevel="0" collapsed="false">
      <c r="A248" s="40" t="s">
        <v>64</v>
      </c>
      <c r="B248" s="41" t="s">
        <v>260</v>
      </c>
      <c r="C248" s="41" t="s">
        <v>106</v>
      </c>
      <c r="D248" s="43" t="s">
        <v>56</v>
      </c>
      <c r="E248" s="66" t="n">
        <v>-97.49</v>
      </c>
      <c r="F248" s="45" t="n">
        <f aca="false">IF(ISNUMBER(FIND("SALDO ANTERIOR",C248)),0,IF(ISNUMBER(FIND("SALDO DO DIA",C248)),0,IF(ISNUMBER(FIND("SALDO PARCIAL",C248)),0,IF(ISNUMBER(FIND("SDO CTA/APL AUTOMATICAS",C248)),0,IF(ISNUMBER(FIND("APL APLIC AUT MAIS",C248)),0,IF(ISNUMBER(FIND("TEC DEPOSITO",C248)),0,IF(E248&gt;0,0,E248*(-1))))))))</f>
        <v>97.49</v>
      </c>
      <c r="G248" s="46" t="n">
        <f aca="false">IF(ISNUMBER(FIND("SALDO ANTERIOR",C248)),0,IF(ISNUMBER(FIND("SALDO DO DIA",C248)),0,IF(ISNUMBER(FIND("SDO CTA/APL AUTOMATICAS",C248)),0,IF(ISNUMBER(FIND("TEC DEPOSITO",C248)),0,IF(ISNUMBER(FIND("APL APLIC AUT MAIS",C248)),E248,IF(E248&gt;0,E248,0))))))</f>
        <v>0</v>
      </c>
      <c r="H248" s="65" t="n">
        <v>44256</v>
      </c>
    </row>
    <row r="249" customFormat="false" ht="15.8" hidden="false" customHeight="false" outlineLevel="0" collapsed="false">
      <c r="A249" s="40" t="s">
        <v>64</v>
      </c>
      <c r="B249" s="41" t="s">
        <v>260</v>
      </c>
      <c r="C249" s="41" t="s">
        <v>246</v>
      </c>
      <c r="D249" s="43" t="s">
        <v>56</v>
      </c>
      <c r="E249" s="66" t="n">
        <v>-250.31</v>
      </c>
      <c r="F249" s="45" t="n">
        <f aca="false">IF(ISNUMBER(FIND("SALDO ANTERIOR",C249)),0,IF(ISNUMBER(FIND("SALDO DO DIA",C249)),0,IF(ISNUMBER(FIND("SALDO PARCIAL",C249)),0,IF(ISNUMBER(FIND("SDO CTA/APL AUTOMATICAS",C249)),0,IF(ISNUMBER(FIND("APL APLIC AUT MAIS",C249)),0,IF(ISNUMBER(FIND("TEC DEPOSITO",C249)),0,IF(E249&gt;0,0,E249*(-1))))))))</f>
        <v>250.31</v>
      </c>
      <c r="G249" s="46" t="n">
        <f aca="false">IF(ISNUMBER(FIND("SALDO ANTERIOR",C249)),0,IF(ISNUMBER(FIND("SALDO DO DIA",C249)),0,IF(ISNUMBER(FIND("SDO CTA/APL AUTOMATICAS",C249)),0,IF(ISNUMBER(FIND("TEC DEPOSITO",C249)),0,IF(ISNUMBER(FIND("APL APLIC AUT MAIS",C249)),E249,IF(E249&gt;0,E249,0))))))</f>
        <v>0</v>
      </c>
      <c r="H249" s="65" t="n">
        <v>44256</v>
      </c>
    </row>
    <row r="250" customFormat="false" ht="17" hidden="false" customHeight="false" outlineLevel="0" collapsed="false">
      <c r="A250" s="40" t="s">
        <v>31</v>
      </c>
      <c r="B250" s="41" t="s">
        <v>260</v>
      </c>
      <c r="C250" s="63" t="s">
        <v>120</v>
      </c>
      <c r="D250" s="43"/>
      <c r="E250" s="64"/>
      <c r="F250" s="45" t="n">
        <f aca="false">IF(ISNUMBER(FIND("SALDO ANTERIOR",C250)),0,IF(ISNUMBER(FIND("SALDO DO DIA",C250)),0,IF(ISNUMBER(FIND("SALDO PARCIAL",C250)),0,IF(ISNUMBER(FIND("SDO CTA/APL AUTOMATICAS",C250)),0,IF(ISNUMBER(FIND("APL APLIC AUT MAIS",C250)),0,IF(ISNUMBER(FIND("TEC DEPOSITO",C250)),0,IF(E250&gt;0,0,E250*(-1))))))))</f>
        <v>0</v>
      </c>
      <c r="G250" s="46" t="n">
        <f aca="false">IF(ISNUMBER(FIND("SALDO ANTERIOR",C250)),0,IF(ISNUMBER(FIND("SALDO DO DIA",C250)),0,IF(ISNUMBER(FIND("SDO CTA/APL AUTOMATICAS",C250)),0,IF(ISNUMBER(FIND("TEC DEPOSITO",C250)),0,IF(ISNUMBER(FIND("APL APLIC AUT MAIS",C250)),E250,IF(E250&gt;0,E250,0))))))</f>
        <v>0</v>
      </c>
      <c r="H250" s="65" t="n">
        <v>44256</v>
      </c>
    </row>
    <row r="251" customFormat="false" ht="17" hidden="false" customHeight="false" outlineLevel="0" collapsed="false">
      <c r="A251" s="40" t="s">
        <v>31</v>
      </c>
      <c r="B251" s="41" t="s">
        <v>262</v>
      </c>
      <c r="C251" s="63" t="s">
        <v>120</v>
      </c>
      <c r="D251" s="43"/>
      <c r="E251" s="64"/>
      <c r="F251" s="45" t="n">
        <f aca="false">IF(ISNUMBER(FIND("SALDO ANTERIOR",C251)),0,IF(ISNUMBER(FIND("SALDO DO DIA",C251)),0,IF(ISNUMBER(FIND("SALDO PARCIAL",C251)),0,IF(ISNUMBER(FIND("SDO CTA/APL AUTOMATICAS",C251)),0,IF(ISNUMBER(FIND("APL APLIC AUT MAIS",C251)),0,IF(ISNUMBER(FIND("TEC DEPOSITO",C251)),0,IF(E251&gt;0,0,E251*(-1))))))))</f>
        <v>0</v>
      </c>
      <c r="G251" s="46" t="n">
        <f aca="false">IF(ISNUMBER(FIND("SALDO ANTERIOR",C251)),0,IF(ISNUMBER(FIND("SALDO DO DIA",C251)),0,IF(ISNUMBER(FIND("SDO CTA/APL AUTOMATICAS",C251)),0,IF(ISNUMBER(FIND("TEC DEPOSITO",C251)),0,IF(ISNUMBER(FIND("APL APLIC AUT MAIS",C251)),E251,IF(E251&gt;0,E251,0))))))</f>
        <v>0</v>
      </c>
      <c r="H251" s="65" t="n">
        <v>44256</v>
      </c>
    </row>
    <row r="252" customFormat="false" ht="15.8" hidden="false" customHeight="false" outlineLevel="0" collapsed="false">
      <c r="A252" s="40" t="s">
        <v>66</v>
      </c>
      <c r="B252" s="41" t="s">
        <v>263</v>
      </c>
      <c r="C252" s="41" t="s">
        <v>107</v>
      </c>
      <c r="D252" s="43" t="s">
        <v>76</v>
      </c>
      <c r="E252" s="66" t="n">
        <v>-6.61</v>
      </c>
      <c r="F252" s="45" t="n">
        <f aca="false">IF(ISNUMBER(FIND("SALDO ANTERIOR",C252)),0,IF(ISNUMBER(FIND("SALDO DO DIA",C252)),0,IF(ISNUMBER(FIND("SALDO PARCIAL",C252)),0,IF(ISNUMBER(FIND("SDO CTA/APL AUTOMATICAS",C252)),0,IF(ISNUMBER(FIND("APL APLIC AUT MAIS",C252)),0,IF(ISNUMBER(FIND("TEC DEPOSITO",C252)),0,IF(E252&gt;0,0,E252*(-1))))))))</f>
        <v>6.61</v>
      </c>
      <c r="G252" s="46" t="n">
        <f aca="false">IF(ISNUMBER(FIND("SALDO ANTERIOR",C252)),0,IF(ISNUMBER(FIND("SALDO DO DIA",C252)),0,IF(ISNUMBER(FIND("SDO CTA/APL AUTOMATICAS",C252)),0,IF(ISNUMBER(FIND("TEC DEPOSITO",C252)),0,IF(ISNUMBER(FIND("APL APLIC AUT MAIS",C252)),E252,IF(E252&gt;0,E252,0))))))</f>
        <v>0</v>
      </c>
      <c r="H252" s="65" t="n">
        <v>44256</v>
      </c>
    </row>
    <row r="253" customFormat="false" ht="17" hidden="false" customHeight="false" outlineLevel="0" collapsed="false">
      <c r="A253" s="40" t="s">
        <v>31</v>
      </c>
      <c r="B253" s="41" t="s">
        <v>263</v>
      </c>
      <c r="C253" s="63" t="s">
        <v>120</v>
      </c>
      <c r="D253" s="43"/>
      <c r="E253" s="64"/>
      <c r="F253" s="45" t="n">
        <f aca="false">IF(ISNUMBER(FIND("SALDO ANTERIOR",C253)),0,IF(ISNUMBER(FIND("SALDO DO DIA",C253)),0,IF(ISNUMBER(FIND("SALDO PARCIAL",C253)),0,IF(ISNUMBER(FIND("SDO CTA/APL AUTOMATICAS",C253)),0,IF(ISNUMBER(FIND("APL APLIC AUT MAIS",C253)),0,IF(ISNUMBER(FIND("TEC DEPOSITO",C253)),0,IF(E253&gt;0,0,E253*(-1))))))))</f>
        <v>0</v>
      </c>
      <c r="G253" s="46" t="n">
        <f aca="false">IF(ISNUMBER(FIND("SALDO ANTERIOR",C253)),0,IF(ISNUMBER(FIND("SALDO DO DIA",C253)),0,IF(ISNUMBER(FIND("SDO CTA/APL AUTOMATICAS",C253)),0,IF(ISNUMBER(FIND("TEC DEPOSITO",C253)),0,IF(ISNUMBER(FIND("APL APLIC AUT MAIS",C253)),E253,IF(E253&gt;0,E253,0))))))</f>
        <v>0</v>
      </c>
      <c r="H253" s="65" t="n">
        <v>44256</v>
      </c>
    </row>
    <row r="254" customFormat="false" ht="15.8" hidden="false" customHeight="false" outlineLevel="0" collapsed="false">
      <c r="A254" s="40" t="s">
        <v>57</v>
      </c>
      <c r="B254" s="41" t="s">
        <v>264</v>
      </c>
      <c r="C254" s="41" t="s">
        <v>162</v>
      </c>
      <c r="D254" s="43" t="s">
        <v>56</v>
      </c>
      <c r="E254" s="66" t="n">
        <v>-12.69</v>
      </c>
      <c r="F254" s="45" t="n">
        <f aca="false">IF(ISNUMBER(FIND("SALDO ANTERIOR",C254)),0,IF(ISNUMBER(FIND("SALDO DO DIA",C254)),0,IF(ISNUMBER(FIND("SALDO PARCIAL",C254)),0,IF(ISNUMBER(FIND("SDO CTA/APL AUTOMATICAS",C254)),0,IF(ISNUMBER(FIND("APL APLIC AUT MAIS",C254)),0,IF(ISNUMBER(FIND("TEC DEPOSITO",C254)),0,IF(E254&gt;0,0,E254*(-1))))))))</f>
        <v>12.69</v>
      </c>
      <c r="G254" s="46" t="n">
        <f aca="false">IF(ISNUMBER(FIND("SALDO ANTERIOR",C254)),0,IF(ISNUMBER(FIND("SALDO DO DIA",C254)),0,IF(ISNUMBER(FIND("SDO CTA/APL AUTOMATICAS",C254)),0,IF(ISNUMBER(FIND("TEC DEPOSITO",C254)),0,IF(ISNUMBER(FIND("APL APLIC AUT MAIS",C254)),E254,IF(E254&gt;0,E254,0))))))</f>
        <v>0</v>
      </c>
      <c r="H254" s="65" t="n">
        <v>44256</v>
      </c>
    </row>
    <row r="255" customFormat="false" ht="15.8" hidden="false" customHeight="false" outlineLevel="0" collapsed="false">
      <c r="A255" s="40" t="s">
        <v>64</v>
      </c>
      <c r="B255" s="41" t="s">
        <v>264</v>
      </c>
      <c r="C255" s="41" t="s">
        <v>246</v>
      </c>
      <c r="D255" s="43" t="s">
        <v>56</v>
      </c>
      <c r="E255" s="66" t="n">
        <v>-65.21</v>
      </c>
      <c r="F255" s="45" t="n">
        <f aca="false">IF(ISNUMBER(FIND("SALDO ANTERIOR",C255)),0,IF(ISNUMBER(FIND("SALDO DO DIA",C255)),0,IF(ISNUMBER(FIND("SALDO PARCIAL",C255)),0,IF(ISNUMBER(FIND("SDO CTA/APL AUTOMATICAS",C255)),0,IF(ISNUMBER(FIND("APL APLIC AUT MAIS",C255)),0,IF(ISNUMBER(FIND("TEC DEPOSITO",C255)),0,IF(E255&gt;0,0,E255*(-1))))))))</f>
        <v>65.21</v>
      </c>
      <c r="G255" s="46" t="n">
        <f aca="false">IF(ISNUMBER(FIND("SALDO ANTERIOR",C255)),0,IF(ISNUMBER(FIND("SALDO DO DIA",C255)),0,IF(ISNUMBER(FIND("SDO CTA/APL AUTOMATICAS",C255)),0,IF(ISNUMBER(FIND("TEC DEPOSITO",C255)),0,IF(ISNUMBER(FIND("APL APLIC AUT MAIS",C255)),E255,IF(E255&gt;0,E255,0))))))</f>
        <v>0</v>
      </c>
      <c r="H255" s="65" t="n">
        <v>44256</v>
      </c>
    </row>
    <row r="256" customFormat="false" ht="15.8" hidden="false" customHeight="false" outlineLevel="0" collapsed="false">
      <c r="A256" s="40" t="s">
        <v>64</v>
      </c>
      <c r="B256" s="41" t="s">
        <v>264</v>
      </c>
      <c r="C256" s="41" t="s">
        <v>246</v>
      </c>
      <c r="D256" s="43" t="s">
        <v>56</v>
      </c>
      <c r="E256" s="66" t="n">
        <v>-192.66</v>
      </c>
      <c r="F256" s="45" t="n">
        <f aca="false">IF(ISNUMBER(FIND("SALDO ANTERIOR",C256)),0,IF(ISNUMBER(FIND("SALDO DO DIA",C256)),0,IF(ISNUMBER(FIND("SALDO PARCIAL",C256)),0,IF(ISNUMBER(FIND("SDO CTA/APL AUTOMATICAS",C256)),0,IF(ISNUMBER(FIND("APL APLIC AUT MAIS",C256)),0,IF(ISNUMBER(FIND("TEC DEPOSITO",C256)),0,IF(E256&gt;0,0,E256*(-1))))))))</f>
        <v>192.66</v>
      </c>
      <c r="G256" s="46" t="n">
        <f aca="false">IF(ISNUMBER(FIND("SALDO ANTERIOR",C256)),0,IF(ISNUMBER(FIND("SALDO DO DIA",C256)),0,IF(ISNUMBER(FIND("SDO CTA/APL AUTOMATICAS",C256)),0,IF(ISNUMBER(FIND("TEC DEPOSITO",C256)),0,IF(ISNUMBER(FIND("APL APLIC AUT MAIS",C256)),E256,IF(E256&gt;0,E256,0))))))</f>
        <v>0</v>
      </c>
      <c r="H256" s="65" t="n">
        <v>44256</v>
      </c>
    </row>
    <row r="257" customFormat="false" ht="17" hidden="false" customHeight="false" outlineLevel="0" collapsed="false">
      <c r="A257" s="40" t="s">
        <v>31</v>
      </c>
      <c r="B257" s="41" t="s">
        <v>264</v>
      </c>
      <c r="C257" s="63" t="s">
        <v>120</v>
      </c>
      <c r="D257" s="43"/>
      <c r="E257" s="64"/>
      <c r="F257" s="45" t="n">
        <f aca="false">IF(ISNUMBER(FIND("SALDO ANTERIOR",C257)),0,IF(ISNUMBER(FIND("SALDO DO DIA",C257)),0,IF(ISNUMBER(FIND("SALDO PARCIAL",C257)),0,IF(ISNUMBER(FIND("SDO CTA/APL AUTOMATICAS",C257)),0,IF(ISNUMBER(FIND("APL APLIC AUT MAIS",C257)),0,IF(ISNUMBER(FIND("TEC DEPOSITO",C257)),0,IF(E257&gt;0,0,E257*(-1))))))))</f>
        <v>0</v>
      </c>
      <c r="G257" s="46" t="n">
        <f aca="false">IF(ISNUMBER(FIND("SALDO ANTERIOR",C257)),0,IF(ISNUMBER(FIND("SALDO DO DIA",C257)),0,IF(ISNUMBER(FIND("SDO CTA/APL AUTOMATICAS",C257)),0,IF(ISNUMBER(FIND("TEC DEPOSITO",C257)),0,IF(ISNUMBER(FIND("APL APLIC AUT MAIS",C257)),E257,IF(E257&gt;0,E257,0))))))</f>
        <v>0</v>
      </c>
      <c r="H257" s="65" t="n">
        <v>44256</v>
      </c>
    </row>
    <row r="258" customFormat="false" ht="15.8" hidden="false" customHeight="false" outlineLevel="0" collapsed="false">
      <c r="A258" s="40" t="s">
        <v>80</v>
      </c>
      <c r="B258" s="41" t="s">
        <v>265</v>
      </c>
      <c r="C258" s="41" t="s">
        <v>266</v>
      </c>
      <c r="D258" s="43" t="s">
        <v>72</v>
      </c>
      <c r="E258" s="66" t="n">
        <v>-51</v>
      </c>
      <c r="F258" s="45" t="n">
        <f aca="false">IF(ISNUMBER(FIND("SALDO ANTERIOR",C258)),0,IF(ISNUMBER(FIND("SALDO DO DIA",C258)),0,IF(ISNUMBER(FIND("SALDO PARCIAL",C258)),0,IF(ISNUMBER(FIND("SDO CTA/APL AUTOMATICAS",C258)),0,IF(ISNUMBER(FIND("APL APLIC AUT MAIS",C258)),0,IF(ISNUMBER(FIND("TEC DEPOSITO",C258)),0,IF(E258&gt;0,0,E258*(-1))))))))</f>
        <v>51</v>
      </c>
      <c r="G258" s="46" t="n">
        <f aca="false">IF(ISNUMBER(FIND("SALDO ANTERIOR",C258)),0,IF(ISNUMBER(FIND("SALDO DO DIA",C258)),0,IF(ISNUMBER(FIND("SDO CTA/APL AUTOMATICAS",C258)),0,IF(ISNUMBER(FIND("TEC DEPOSITO",C258)),0,IF(ISNUMBER(FIND("APL APLIC AUT MAIS",C258)),E258,IF(E258&gt;0,E258,0))))))</f>
        <v>0</v>
      </c>
      <c r="H258" s="65" t="n">
        <v>44256</v>
      </c>
    </row>
    <row r="259" customFormat="false" ht="15.8" hidden="false" customHeight="false" outlineLevel="0" collapsed="false">
      <c r="A259" s="40" t="s">
        <v>80</v>
      </c>
      <c r="B259" s="41" t="s">
        <v>265</v>
      </c>
      <c r="C259" s="41" t="s">
        <v>267</v>
      </c>
      <c r="D259" s="43" t="s">
        <v>72</v>
      </c>
      <c r="E259" s="66" t="n">
        <v>-85</v>
      </c>
      <c r="F259" s="45" t="n">
        <f aca="false">IF(ISNUMBER(FIND("SALDO ANTERIOR",C259)),0,IF(ISNUMBER(FIND("SALDO DO DIA",C259)),0,IF(ISNUMBER(FIND("SALDO PARCIAL",C259)),0,IF(ISNUMBER(FIND("SDO CTA/APL AUTOMATICAS",C259)),0,IF(ISNUMBER(FIND("APL APLIC AUT MAIS",C259)),0,IF(ISNUMBER(FIND("TEC DEPOSITO",C259)),0,IF(E259&gt;0,0,E259*(-1))))))))</f>
        <v>85</v>
      </c>
      <c r="G259" s="46" t="n">
        <f aca="false">IF(ISNUMBER(FIND("SALDO ANTERIOR",C259)),0,IF(ISNUMBER(FIND("SALDO DO DIA",C259)),0,IF(ISNUMBER(FIND("SDO CTA/APL AUTOMATICAS",C259)),0,IF(ISNUMBER(FIND("TEC DEPOSITO",C259)),0,IF(ISNUMBER(FIND("APL APLIC AUT MAIS",C259)),E259,IF(E259&gt;0,E259,0))))))</f>
        <v>0</v>
      </c>
      <c r="H259" s="65" t="n">
        <v>44256</v>
      </c>
    </row>
    <row r="260" customFormat="false" ht="15.8" hidden="false" customHeight="false" outlineLevel="0" collapsed="false">
      <c r="A260" s="40" t="s">
        <v>183</v>
      </c>
      <c r="B260" s="41" t="s">
        <v>265</v>
      </c>
      <c r="C260" s="41" t="s">
        <v>268</v>
      </c>
      <c r="D260" s="43" t="s">
        <v>216</v>
      </c>
      <c r="E260" s="66" t="n">
        <v>-385.75</v>
      </c>
      <c r="F260" s="45" t="n">
        <f aca="false">IF(ISNUMBER(FIND("SALDO ANTERIOR",C260)),0,IF(ISNUMBER(FIND("SALDO DO DIA",C260)),0,IF(ISNUMBER(FIND("SALDO PARCIAL",C260)),0,IF(ISNUMBER(FIND("SDO CTA/APL AUTOMATICAS",C260)),0,IF(ISNUMBER(FIND("APL APLIC AUT MAIS",C260)),0,IF(ISNUMBER(FIND("TEC DEPOSITO",C260)),0,IF(E260&gt;0,0,E260*(-1))))))))</f>
        <v>385.75</v>
      </c>
      <c r="G260" s="46" t="n">
        <f aca="false">IF(ISNUMBER(FIND("SALDO ANTERIOR",C260)),0,IF(ISNUMBER(FIND("SALDO DO DIA",C260)),0,IF(ISNUMBER(FIND("SDO CTA/APL AUTOMATICAS",C260)),0,IF(ISNUMBER(FIND("TEC DEPOSITO",C260)),0,IF(ISNUMBER(FIND("APL APLIC AUT MAIS",C260)),E260,IF(E260&gt;0,E260,0))))))</f>
        <v>0</v>
      </c>
      <c r="H260" s="65" t="n">
        <v>44256</v>
      </c>
    </row>
    <row r="261" customFormat="false" ht="15.8" hidden="false" customHeight="false" outlineLevel="0" collapsed="false">
      <c r="A261" s="40" t="s">
        <v>175</v>
      </c>
      <c r="B261" s="41" t="s">
        <v>265</v>
      </c>
      <c r="C261" s="41" t="s">
        <v>109</v>
      </c>
      <c r="D261" s="43" t="s">
        <v>76</v>
      </c>
      <c r="E261" s="66" t="n">
        <v>-75</v>
      </c>
      <c r="F261" s="45" t="n">
        <f aca="false">IF(ISNUMBER(FIND("SALDO ANTERIOR",C261)),0,IF(ISNUMBER(FIND("SALDO DO DIA",C261)),0,IF(ISNUMBER(FIND("SALDO PARCIAL",C261)),0,IF(ISNUMBER(FIND("SDO CTA/APL AUTOMATICAS",C261)),0,IF(ISNUMBER(FIND("APL APLIC AUT MAIS",C261)),0,IF(ISNUMBER(FIND("TEC DEPOSITO",C261)),0,IF(E261&gt;0,0,E261*(-1))))))))</f>
        <v>75</v>
      </c>
      <c r="G261" s="46" t="n">
        <f aca="false">IF(ISNUMBER(FIND("SALDO ANTERIOR",C261)),0,IF(ISNUMBER(FIND("SALDO DO DIA",C261)),0,IF(ISNUMBER(FIND("SDO CTA/APL AUTOMATICAS",C261)),0,IF(ISNUMBER(FIND("TEC DEPOSITO",C261)),0,IF(ISNUMBER(FIND("APL APLIC AUT MAIS",C261)),E261,IF(E261&gt;0,E261,0))))))</f>
        <v>0</v>
      </c>
      <c r="H261" s="65" t="n">
        <v>44256</v>
      </c>
    </row>
    <row r="262" customFormat="false" ht="17" hidden="false" customHeight="false" outlineLevel="0" collapsed="false">
      <c r="A262" s="40" t="s">
        <v>31</v>
      </c>
      <c r="B262" s="41" t="s">
        <v>265</v>
      </c>
      <c r="C262" s="63" t="s">
        <v>120</v>
      </c>
      <c r="D262" s="43"/>
      <c r="E262" s="64"/>
      <c r="F262" s="45" t="n">
        <f aca="false">IF(ISNUMBER(FIND("SALDO ANTERIOR",C262)),0,IF(ISNUMBER(FIND("SALDO DO DIA",C262)),0,IF(ISNUMBER(FIND("SALDO PARCIAL",C262)),0,IF(ISNUMBER(FIND("SDO CTA/APL AUTOMATICAS",C262)),0,IF(ISNUMBER(FIND("APL APLIC AUT MAIS",C262)),0,IF(ISNUMBER(FIND("TEC DEPOSITO",C262)),0,IF(E262&gt;0,0,E262*(-1))))))))</f>
        <v>0</v>
      </c>
      <c r="G262" s="46" t="n">
        <f aca="false">IF(ISNUMBER(FIND("SALDO ANTERIOR",C262)),0,IF(ISNUMBER(FIND("SALDO DO DIA",C262)),0,IF(ISNUMBER(FIND("SDO CTA/APL AUTOMATICAS",C262)),0,IF(ISNUMBER(FIND("TEC DEPOSITO",C262)),0,IF(ISNUMBER(FIND("APL APLIC AUT MAIS",C262)),E262,IF(E262&gt;0,E262,0))))))</f>
        <v>0</v>
      </c>
      <c r="H262" s="65" t="n">
        <v>44256</v>
      </c>
    </row>
    <row r="263" customFormat="false" ht="15.8" hidden="false" customHeight="false" outlineLevel="0" collapsed="false">
      <c r="A263" s="40" t="s">
        <v>53</v>
      </c>
      <c r="B263" s="41" t="s">
        <v>269</v>
      </c>
      <c r="C263" s="41" t="s">
        <v>55</v>
      </c>
      <c r="D263" s="43" t="s">
        <v>56</v>
      </c>
      <c r="E263" s="66" t="n">
        <v>-3.76</v>
      </c>
      <c r="F263" s="45" t="n">
        <f aca="false">IF(ISNUMBER(FIND("SALDO ANTERIOR",C263)),0,IF(ISNUMBER(FIND("SALDO DO DIA",C263)),0,IF(ISNUMBER(FIND("SALDO PARCIAL",C263)),0,IF(ISNUMBER(FIND("SDO CTA/APL AUTOMATICAS",C263)),0,IF(ISNUMBER(FIND("APL APLIC AUT MAIS",C263)),0,IF(ISNUMBER(FIND("TEC DEPOSITO",C263)),0,IF(E263&gt;0,0,E263*(-1))))))))</f>
        <v>3.76</v>
      </c>
      <c r="G263" s="46" t="n">
        <f aca="false">IF(ISNUMBER(FIND("SALDO ANTERIOR",C263)),0,IF(ISNUMBER(FIND("SALDO DO DIA",C263)),0,IF(ISNUMBER(FIND("SDO CTA/APL AUTOMATICAS",C263)),0,IF(ISNUMBER(FIND("TEC DEPOSITO",C263)),0,IF(ISNUMBER(FIND("APL APLIC AUT MAIS",C263)),E263,IF(E263&gt;0,E263,0))))))</f>
        <v>0</v>
      </c>
      <c r="H263" s="65" t="n">
        <v>44256</v>
      </c>
    </row>
    <row r="264" customFormat="false" ht="15.8" hidden="false" customHeight="false" outlineLevel="0" collapsed="false">
      <c r="A264" s="40" t="s">
        <v>77</v>
      </c>
      <c r="B264" s="41" t="s">
        <v>269</v>
      </c>
      <c r="C264" s="41" t="s">
        <v>79</v>
      </c>
      <c r="D264" s="43" t="s">
        <v>56</v>
      </c>
      <c r="E264" s="66" t="n">
        <v>-11</v>
      </c>
      <c r="F264" s="45" t="n">
        <f aca="false">IF(ISNUMBER(FIND("SALDO ANTERIOR",C264)),0,IF(ISNUMBER(FIND("SALDO DO DIA",C264)),0,IF(ISNUMBER(FIND("SALDO PARCIAL",C264)),0,IF(ISNUMBER(FIND("SDO CTA/APL AUTOMATICAS",C264)),0,IF(ISNUMBER(FIND("APL APLIC AUT MAIS",C264)),0,IF(ISNUMBER(FIND("TEC DEPOSITO",C264)),0,IF(E264&gt;0,0,E264*(-1))))))))</f>
        <v>11</v>
      </c>
      <c r="G264" s="46" t="n">
        <f aca="false">IF(ISNUMBER(FIND("SALDO ANTERIOR",C264)),0,IF(ISNUMBER(FIND("SALDO DO DIA",C264)),0,IF(ISNUMBER(FIND("SDO CTA/APL AUTOMATICAS",C264)),0,IF(ISNUMBER(FIND("TEC DEPOSITO",C264)),0,IF(ISNUMBER(FIND("APL APLIC AUT MAIS",C264)),E264,IF(E264&gt;0,E264,0))))))</f>
        <v>0</v>
      </c>
      <c r="H264" s="65" t="n">
        <v>44256</v>
      </c>
    </row>
    <row r="265" customFormat="false" ht="15.8" hidden="false" customHeight="false" outlineLevel="0" collapsed="false">
      <c r="A265" s="40" t="s">
        <v>59</v>
      </c>
      <c r="B265" s="41" t="s">
        <v>269</v>
      </c>
      <c r="C265" s="41" t="s">
        <v>170</v>
      </c>
      <c r="D265" s="43" t="s">
        <v>56</v>
      </c>
      <c r="E265" s="66" t="n">
        <v>-29</v>
      </c>
      <c r="F265" s="45" t="n">
        <f aca="false">IF(ISNUMBER(FIND("SALDO ANTERIOR",C265)),0,IF(ISNUMBER(FIND("SALDO DO DIA",C265)),0,IF(ISNUMBER(FIND("SALDO PARCIAL",C265)),0,IF(ISNUMBER(FIND("SDO CTA/APL AUTOMATICAS",C265)),0,IF(ISNUMBER(FIND("APL APLIC AUT MAIS",C265)),0,IF(ISNUMBER(FIND("TEC DEPOSITO",C265)),0,IF(E265&gt;0,0,E265*(-1))))))))</f>
        <v>29</v>
      </c>
      <c r="G265" s="46" t="n">
        <f aca="false">IF(ISNUMBER(FIND("SALDO ANTERIOR",C265)),0,IF(ISNUMBER(FIND("SALDO DO DIA",C265)),0,IF(ISNUMBER(FIND("SDO CTA/APL AUTOMATICAS",C265)),0,IF(ISNUMBER(FIND("TEC DEPOSITO",C265)),0,IF(ISNUMBER(FIND("APL APLIC AUT MAIS",C265)),E265,IF(E265&gt;0,E265,0))))))</f>
        <v>0</v>
      </c>
      <c r="H265" s="65" t="n">
        <v>44256</v>
      </c>
    </row>
    <row r="266" customFormat="false" ht="15.8" hidden="false" customHeight="false" outlineLevel="0" collapsed="false">
      <c r="A266" s="40" t="s">
        <v>59</v>
      </c>
      <c r="B266" s="41" t="s">
        <v>269</v>
      </c>
      <c r="C266" s="41" t="s">
        <v>128</v>
      </c>
      <c r="D266" s="43" t="s">
        <v>56</v>
      </c>
      <c r="E266" s="66" t="n">
        <v>-60</v>
      </c>
      <c r="F266" s="45" t="n">
        <f aca="false">IF(ISNUMBER(FIND("SALDO ANTERIOR",C266)),0,IF(ISNUMBER(FIND("SALDO DO DIA",C266)),0,IF(ISNUMBER(FIND("SALDO PARCIAL",C266)),0,IF(ISNUMBER(FIND("SDO CTA/APL AUTOMATICAS",C266)),0,IF(ISNUMBER(FIND("APL APLIC AUT MAIS",C266)),0,IF(ISNUMBER(FIND("TEC DEPOSITO",C266)),0,IF(E266&gt;0,0,E266*(-1))))))))</f>
        <v>60</v>
      </c>
      <c r="G266" s="46" t="n">
        <f aca="false">IF(ISNUMBER(FIND("SALDO ANTERIOR",C266)),0,IF(ISNUMBER(FIND("SALDO DO DIA",C266)),0,IF(ISNUMBER(FIND("SDO CTA/APL AUTOMATICAS",C266)),0,IF(ISNUMBER(FIND("TEC DEPOSITO",C266)),0,IF(ISNUMBER(FIND("APL APLIC AUT MAIS",C266)),E266,IF(E266&gt;0,E266,0))))))</f>
        <v>0</v>
      </c>
      <c r="H266" s="65" t="n">
        <v>44256</v>
      </c>
    </row>
    <row r="267" customFormat="false" ht="15.8" hidden="false" customHeight="false" outlineLevel="0" collapsed="false">
      <c r="A267" s="40" t="s">
        <v>64</v>
      </c>
      <c r="B267" s="41" t="s">
        <v>269</v>
      </c>
      <c r="C267" s="41" t="s">
        <v>246</v>
      </c>
      <c r="D267" s="43" t="s">
        <v>56</v>
      </c>
      <c r="E267" s="66" t="n">
        <v>-107.71</v>
      </c>
      <c r="F267" s="45" t="n">
        <f aca="false">IF(ISNUMBER(FIND("SALDO ANTERIOR",C267)),0,IF(ISNUMBER(FIND("SALDO DO DIA",C267)),0,IF(ISNUMBER(FIND("SALDO PARCIAL",C267)),0,IF(ISNUMBER(FIND("SDO CTA/APL AUTOMATICAS",C267)),0,IF(ISNUMBER(FIND("APL APLIC AUT MAIS",C267)),0,IF(ISNUMBER(FIND("TEC DEPOSITO",C267)),0,IF(E267&gt;0,0,E267*(-1))))))))</f>
        <v>107.71</v>
      </c>
      <c r="G267" s="46" t="n">
        <f aca="false">IF(ISNUMBER(FIND("SALDO ANTERIOR",C267)),0,IF(ISNUMBER(FIND("SALDO DO DIA",C267)),0,IF(ISNUMBER(FIND("SDO CTA/APL AUTOMATICAS",C267)),0,IF(ISNUMBER(FIND("TEC DEPOSITO",C267)),0,IF(ISNUMBER(FIND("APL APLIC AUT MAIS",C267)),E267,IF(E267&gt;0,E267,0))))))</f>
        <v>0</v>
      </c>
      <c r="H267" s="65" t="n">
        <v>44256</v>
      </c>
    </row>
    <row r="268" customFormat="false" ht="15.8" hidden="false" customHeight="false" outlineLevel="0" collapsed="false">
      <c r="A268" s="40" t="s">
        <v>134</v>
      </c>
      <c r="B268" s="41" t="s">
        <v>269</v>
      </c>
      <c r="C268" s="41" t="s">
        <v>135</v>
      </c>
      <c r="D268" s="43" t="s">
        <v>72</v>
      </c>
      <c r="E268" s="66" t="n">
        <v>-3876.74</v>
      </c>
      <c r="F268" s="45" t="n">
        <f aca="false">IF(ISNUMBER(FIND("SALDO ANTERIOR",C268)),0,IF(ISNUMBER(FIND("SALDO DO DIA",C268)),0,IF(ISNUMBER(FIND("SALDO PARCIAL",C268)),0,IF(ISNUMBER(FIND("SDO CTA/APL AUTOMATICAS",C268)),0,IF(ISNUMBER(FIND("APL APLIC AUT MAIS",C268)),0,IF(ISNUMBER(FIND("TEC DEPOSITO",C268)),0,IF(E268&gt;0,0,E268*(-1))))))))</f>
        <v>3876.74</v>
      </c>
      <c r="G268" s="46" t="n">
        <f aca="false">IF(ISNUMBER(FIND("SALDO ANTERIOR",C268)),0,IF(ISNUMBER(FIND("SALDO DO DIA",C268)),0,IF(ISNUMBER(FIND("SDO CTA/APL AUTOMATICAS",C268)),0,IF(ISNUMBER(FIND("TEC DEPOSITO",C268)),0,IF(ISNUMBER(FIND("APL APLIC AUT MAIS",C268)),E268,IF(E268&gt;0,E268,0))))))</f>
        <v>0</v>
      </c>
      <c r="H268" s="65" t="n">
        <v>44256</v>
      </c>
    </row>
    <row r="269" customFormat="false" ht="15.8" hidden="false" customHeight="false" outlineLevel="0" collapsed="false">
      <c r="A269" s="40" t="s">
        <v>85</v>
      </c>
      <c r="B269" s="41" t="s">
        <v>269</v>
      </c>
      <c r="C269" s="41" t="s">
        <v>270</v>
      </c>
      <c r="D269" s="43" t="s">
        <v>172</v>
      </c>
      <c r="E269" s="67" t="n">
        <v>5392</v>
      </c>
      <c r="F269" s="45" t="n">
        <f aca="false">IF(ISNUMBER(FIND("SALDO ANTERIOR",C269)),0,IF(ISNUMBER(FIND("SALDO DO DIA",C269)),0,IF(ISNUMBER(FIND("SALDO PARCIAL",C269)),0,IF(ISNUMBER(FIND("SDO CTA/APL AUTOMATICAS",C269)),0,IF(ISNUMBER(FIND("APL APLIC AUT MAIS",C269)),0,IF(ISNUMBER(FIND("TEC DEPOSITO",C269)),0,IF(E269&gt;0,0,E269*(-1))))))))</f>
        <v>0</v>
      </c>
      <c r="G269" s="46" t="n">
        <f aca="false">IF(ISNUMBER(FIND("SALDO ANTERIOR",C269)),0,IF(ISNUMBER(FIND("SALDO DO DIA",C269)),0,IF(ISNUMBER(FIND("SDO CTA/APL AUTOMATICAS",C269)),0,IF(ISNUMBER(FIND("TEC DEPOSITO",C269)),0,IF(ISNUMBER(FIND("APL APLIC AUT MAIS",C269)),E269,IF(E269&gt;0,E269,0))))))</f>
        <v>5392</v>
      </c>
      <c r="H269" s="65" t="n">
        <v>44256</v>
      </c>
    </row>
    <row r="270" customFormat="false" ht="17" hidden="false" customHeight="false" outlineLevel="0" collapsed="false">
      <c r="A270" s="40" t="s">
        <v>31</v>
      </c>
      <c r="B270" s="41" t="s">
        <v>269</v>
      </c>
      <c r="C270" s="63" t="s">
        <v>120</v>
      </c>
      <c r="D270" s="43"/>
      <c r="E270" s="64"/>
      <c r="F270" s="45" t="n">
        <f aca="false">IF(ISNUMBER(FIND("SALDO ANTERIOR",C270)),0,IF(ISNUMBER(FIND("SALDO DO DIA",C270)),0,IF(ISNUMBER(FIND("SALDO PARCIAL",C270)),0,IF(ISNUMBER(FIND("SDO CTA/APL AUTOMATICAS",C270)),0,IF(ISNUMBER(FIND("APL APLIC AUT MAIS",C270)),0,IF(ISNUMBER(FIND("TEC DEPOSITO",C270)),0,IF(E270&gt;0,0,E270*(-1))))))))</f>
        <v>0</v>
      </c>
      <c r="G270" s="46" t="n">
        <f aca="false">IF(ISNUMBER(FIND("SALDO ANTERIOR",C270)),0,IF(ISNUMBER(FIND("SALDO DO DIA",C270)),0,IF(ISNUMBER(FIND("SDO CTA/APL AUTOMATICAS",C270)),0,IF(ISNUMBER(FIND("TEC DEPOSITO",C270)),0,IF(ISNUMBER(FIND("APL APLIC AUT MAIS",C270)),E270,IF(E270&gt;0,E270,0))))))</f>
        <v>0</v>
      </c>
      <c r="H270" s="65" t="n">
        <v>44256</v>
      </c>
    </row>
    <row r="271" customFormat="false" ht="15.8" hidden="false" customHeight="false" outlineLevel="0" collapsed="false">
      <c r="A271" s="40" t="s">
        <v>271</v>
      </c>
      <c r="B271" s="41" t="s">
        <v>272</v>
      </c>
      <c r="C271" s="41" t="s">
        <v>273</v>
      </c>
      <c r="D271" s="43" t="s">
        <v>274</v>
      </c>
      <c r="E271" s="66" t="n">
        <v>-539.2</v>
      </c>
      <c r="F271" s="45" t="n">
        <f aca="false">IF(ISNUMBER(FIND("SALDO ANTERIOR",C271)),0,IF(ISNUMBER(FIND("SALDO DO DIA",C271)),0,IF(ISNUMBER(FIND("SALDO PARCIAL",C271)),0,IF(ISNUMBER(FIND("SDO CTA/APL AUTOMATICAS",C271)),0,IF(ISNUMBER(FIND("APL APLIC AUT MAIS",C271)),0,IF(ISNUMBER(FIND("TEC DEPOSITO",C271)),0,IF(E271&gt;0,0,E271*(-1))))))))</f>
        <v>539.2</v>
      </c>
      <c r="G271" s="46" t="n">
        <f aca="false">IF(ISNUMBER(FIND("SALDO ANTERIOR",C271)),0,IF(ISNUMBER(FIND("SALDO DO DIA",C271)),0,IF(ISNUMBER(FIND("SDO CTA/APL AUTOMATICAS",C271)),0,IF(ISNUMBER(FIND("TEC DEPOSITO",C271)),0,IF(ISNUMBER(FIND("APL APLIC AUT MAIS",C271)),E271,IF(E271&gt;0,E271,0))))))</f>
        <v>0</v>
      </c>
      <c r="H271" s="65" t="n">
        <v>44256</v>
      </c>
    </row>
    <row r="272" customFormat="false" ht="17" hidden="false" customHeight="false" outlineLevel="0" collapsed="false">
      <c r="A272" s="40" t="s">
        <v>31</v>
      </c>
      <c r="B272" s="41" t="s">
        <v>272</v>
      </c>
      <c r="C272" s="63" t="s">
        <v>120</v>
      </c>
      <c r="D272" s="43"/>
      <c r="E272" s="64"/>
      <c r="F272" s="45" t="n">
        <f aca="false">IF(ISNUMBER(FIND("SALDO ANTERIOR",C272)),0,IF(ISNUMBER(FIND("SALDO DO DIA",C272)),0,IF(ISNUMBER(FIND("SALDO PARCIAL",C272)),0,IF(ISNUMBER(FIND("SDO CTA/APL AUTOMATICAS",C272)),0,IF(ISNUMBER(FIND("APL APLIC AUT MAIS",C272)),0,IF(ISNUMBER(FIND("TEC DEPOSITO",C272)),0,IF(E272&gt;0,0,E272*(-1))))))))</f>
        <v>0</v>
      </c>
      <c r="G272" s="46" t="n">
        <f aca="false">IF(ISNUMBER(FIND("SALDO ANTERIOR",C272)),0,IF(ISNUMBER(FIND("SALDO DO DIA",C272)),0,IF(ISNUMBER(FIND("SDO CTA/APL AUTOMATICAS",C272)),0,IF(ISNUMBER(FIND("TEC DEPOSITO",C272)),0,IF(ISNUMBER(FIND("APL APLIC AUT MAIS",C272)),E272,IF(E272&gt;0,E272,0))))))</f>
        <v>0</v>
      </c>
      <c r="H272" s="65" t="n">
        <v>44256</v>
      </c>
    </row>
    <row r="273" customFormat="false" ht="15.8" hidden="false" customHeight="false" outlineLevel="0" collapsed="false">
      <c r="A273" s="40" t="s">
        <v>159</v>
      </c>
      <c r="B273" s="41" t="s">
        <v>275</v>
      </c>
      <c r="C273" s="41" t="s">
        <v>161</v>
      </c>
      <c r="D273" s="43" t="s">
        <v>56</v>
      </c>
      <c r="E273" s="66" t="n">
        <v>-14.22</v>
      </c>
      <c r="F273" s="45" t="n">
        <f aca="false">IF(ISNUMBER(FIND("SALDO ANTERIOR",C273)),0,IF(ISNUMBER(FIND("SALDO DO DIA",C273)),0,IF(ISNUMBER(FIND("SALDO PARCIAL",C273)),0,IF(ISNUMBER(FIND("SDO CTA/APL AUTOMATICAS",C273)),0,IF(ISNUMBER(FIND("APL APLIC AUT MAIS",C273)),0,IF(ISNUMBER(FIND("TEC DEPOSITO",C273)),0,IF(E273&gt;0,0,E273*(-1))))))))</f>
        <v>14.22</v>
      </c>
      <c r="G273" s="46" t="n">
        <f aca="false">IF(ISNUMBER(FIND("SALDO ANTERIOR",C273)),0,IF(ISNUMBER(FIND("SALDO DO DIA",C273)),0,IF(ISNUMBER(FIND("SDO CTA/APL AUTOMATICAS",C273)),0,IF(ISNUMBER(FIND("TEC DEPOSITO",C273)),0,IF(ISNUMBER(FIND("APL APLIC AUT MAIS",C273)),E273,IF(E273&gt;0,E273,0))))))</f>
        <v>0</v>
      </c>
      <c r="H273" s="65" t="n">
        <v>44256</v>
      </c>
    </row>
    <row r="274" customFormat="false" ht="15.8" hidden="false" customHeight="false" outlineLevel="0" collapsed="false">
      <c r="A274" s="40" t="s">
        <v>271</v>
      </c>
      <c r="B274" s="41" t="s">
        <v>275</v>
      </c>
      <c r="C274" s="41" t="s">
        <v>276</v>
      </c>
      <c r="D274" s="43" t="s">
        <v>56</v>
      </c>
      <c r="E274" s="66" t="n">
        <v>-46</v>
      </c>
      <c r="F274" s="45" t="n">
        <f aca="false">IF(ISNUMBER(FIND("SALDO ANTERIOR",C274)),0,IF(ISNUMBER(FIND("SALDO DO DIA",C274)),0,IF(ISNUMBER(FIND("SALDO PARCIAL",C274)),0,IF(ISNUMBER(FIND("SDO CTA/APL AUTOMATICAS",C274)),0,IF(ISNUMBER(FIND("APL APLIC AUT MAIS",C274)),0,IF(ISNUMBER(FIND("TEC DEPOSITO",C274)),0,IF(E274&gt;0,0,E274*(-1))))))))</f>
        <v>46</v>
      </c>
      <c r="G274" s="46" t="n">
        <f aca="false">IF(ISNUMBER(FIND("SALDO ANTERIOR",C274)),0,IF(ISNUMBER(FIND("SALDO DO DIA",C274)),0,IF(ISNUMBER(FIND("SDO CTA/APL AUTOMATICAS",C274)),0,IF(ISNUMBER(FIND("TEC DEPOSITO",C274)),0,IF(ISNUMBER(FIND("APL APLIC AUT MAIS",C274)),E274,IF(E274&gt;0,E274,0))))))</f>
        <v>0</v>
      </c>
      <c r="H274" s="65" t="n">
        <v>44256</v>
      </c>
    </row>
    <row r="275" customFormat="false" ht="17" hidden="false" customHeight="false" outlineLevel="0" collapsed="false">
      <c r="A275" s="40" t="s">
        <v>31</v>
      </c>
      <c r="B275" s="41" t="s">
        <v>275</v>
      </c>
      <c r="C275" s="63" t="s">
        <v>120</v>
      </c>
      <c r="D275" s="43"/>
      <c r="E275" s="64"/>
      <c r="F275" s="45" t="n">
        <f aca="false">IF(ISNUMBER(FIND("SALDO ANTERIOR",C275)),0,IF(ISNUMBER(FIND("SALDO DO DIA",C275)),0,IF(ISNUMBER(FIND("SALDO PARCIAL",C275)),0,IF(ISNUMBER(FIND("SDO CTA/APL AUTOMATICAS",C275)),0,IF(ISNUMBER(FIND("APL APLIC AUT MAIS",C275)),0,IF(ISNUMBER(FIND("TEC DEPOSITO",C275)),0,IF(E275&gt;0,0,E275*(-1))))))))</f>
        <v>0</v>
      </c>
      <c r="G275" s="46" t="n">
        <f aca="false">IF(ISNUMBER(FIND("SALDO ANTERIOR",C275)),0,IF(ISNUMBER(FIND("SALDO DO DIA",C275)),0,IF(ISNUMBER(FIND("SDO CTA/APL AUTOMATICAS",C275)),0,IF(ISNUMBER(FIND("TEC DEPOSITO",C275)),0,IF(ISNUMBER(FIND("APL APLIC AUT MAIS",C275)),E275,IF(E275&gt;0,E275,0))))))</f>
        <v>0</v>
      </c>
      <c r="H275" s="65" t="n">
        <v>44256</v>
      </c>
    </row>
    <row r="276" customFormat="false" ht="15.8" hidden="false" customHeight="false" outlineLevel="0" collapsed="false">
      <c r="A276" s="40" t="s">
        <v>57</v>
      </c>
      <c r="B276" s="41" t="s">
        <v>277</v>
      </c>
      <c r="C276" s="41" t="s">
        <v>58</v>
      </c>
      <c r="D276" s="43" t="s">
        <v>56</v>
      </c>
      <c r="E276" s="66" t="n">
        <v>-23.99</v>
      </c>
      <c r="F276" s="45" t="n">
        <f aca="false">IF(ISNUMBER(FIND("SALDO ANTERIOR",C276)),0,IF(ISNUMBER(FIND("SALDO DO DIA",C276)),0,IF(ISNUMBER(FIND("SALDO PARCIAL",C276)),0,IF(ISNUMBER(FIND("SDO CTA/APL AUTOMATICAS",C276)),0,IF(ISNUMBER(FIND("APL APLIC AUT MAIS",C276)),0,IF(ISNUMBER(FIND("TEC DEPOSITO",C276)),0,IF(E276&gt;0,0,E276*(-1))))))))</f>
        <v>23.99</v>
      </c>
      <c r="G276" s="46" t="n">
        <f aca="false">IF(ISNUMBER(FIND("SALDO ANTERIOR",C276)),0,IF(ISNUMBER(FIND("SALDO DO DIA",C276)),0,IF(ISNUMBER(FIND("SDO CTA/APL AUTOMATICAS",C276)),0,IF(ISNUMBER(FIND("TEC DEPOSITO",C276)),0,IF(ISNUMBER(FIND("APL APLIC AUT MAIS",C276)),E276,IF(E276&gt;0,E276,0))))))</f>
        <v>0</v>
      </c>
      <c r="H276" s="65" t="n">
        <v>44256</v>
      </c>
    </row>
    <row r="277" customFormat="false" ht="17" hidden="false" customHeight="false" outlineLevel="0" collapsed="false">
      <c r="A277" s="40" t="s">
        <v>31</v>
      </c>
      <c r="B277" s="41" t="s">
        <v>277</v>
      </c>
      <c r="C277" s="63" t="s">
        <v>120</v>
      </c>
      <c r="D277" s="43"/>
      <c r="E277" s="64"/>
      <c r="F277" s="45" t="n">
        <f aca="false">IF(ISNUMBER(FIND("SALDO ANTERIOR",C277)),0,IF(ISNUMBER(FIND("SALDO DO DIA",C277)),0,IF(ISNUMBER(FIND("SALDO PARCIAL",C277)),0,IF(ISNUMBER(FIND("SDO CTA/APL AUTOMATICAS",C277)),0,IF(ISNUMBER(FIND("APL APLIC AUT MAIS",C277)),0,IF(ISNUMBER(FIND("TEC DEPOSITO",C277)),0,IF(E277&gt;0,0,E277*(-1))))))))</f>
        <v>0</v>
      </c>
      <c r="G277" s="46" t="n">
        <f aca="false">IF(ISNUMBER(FIND("SALDO ANTERIOR",C277)),0,IF(ISNUMBER(FIND("SALDO DO DIA",C277)),0,IF(ISNUMBER(FIND("SDO CTA/APL AUTOMATICAS",C277)),0,IF(ISNUMBER(FIND("TEC DEPOSITO",C277)),0,IF(ISNUMBER(FIND("APL APLIC AUT MAIS",C277)),E277,IF(E277&gt;0,E277,0))))))</f>
        <v>0</v>
      </c>
      <c r="H277" s="65" t="n">
        <v>44256</v>
      </c>
    </row>
    <row r="278" customFormat="false" ht="15.8" hidden="false" customHeight="false" outlineLevel="0" collapsed="false">
      <c r="A278" s="40" t="s">
        <v>59</v>
      </c>
      <c r="B278" s="41" t="s">
        <v>278</v>
      </c>
      <c r="C278" s="41" t="s">
        <v>279</v>
      </c>
      <c r="D278" s="43" t="s">
        <v>56</v>
      </c>
      <c r="E278" s="66" t="n">
        <v>-4.4</v>
      </c>
      <c r="F278" s="45" t="n">
        <f aca="false">IF(ISNUMBER(FIND("SALDO ANTERIOR",C278)),0,IF(ISNUMBER(FIND("SALDO DO DIA",C278)),0,IF(ISNUMBER(FIND("SALDO PARCIAL",C278)),0,IF(ISNUMBER(FIND("SDO CTA/APL AUTOMATICAS",C278)),0,IF(ISNUMBER(FIND("APL APLIC AUT MAIS",C278)),0,IF(ISNUMBER(FIND("TEC DEPOSITO",C278)),0,IF(E278&gt;0,0,E278*(-1))))))))</f>
        <v>4.4</v>
      </c>
      <c r="G278" s="46" t="n">
        <f aca="false">IF(ISNUMBER(FIND("SALDO ANTERIOR",C278)),0,IF(ISNUMBER(FIND("SALDO DO DIA",C278)),0,IF(ISNUMBER(FIND("SDO CTA/APL AUTOMATICAS",C278)),0,IF(ISNUMBER(FIND("TEC DEPOSITO",C278)),0,IF(ISNUMBER(FIND("APL APLIC AUT MAIS",C278)),E278,IF(E278&gt;0,E278,0))))))</f>
        <v>0</v>
      </c>
      <c r="H278" s="65" t="n">
        <v>44256</v>
      </c>
    </row>
    <row r="279" customFormat="false" ht="13.8" hidden="false" customHeight="false" outlineLevel="0" collapsed="false">
      <c r="A279" s="40" t="s">
        <v>62</v>
      </c>
      <c r="B279" s="41" t="s">
        <v>278</v>
      </c>
      <c r="C279" s="41" t="s">
        <v>280</v>
      </c>
      <c r="D279" s="43" t="s">
        <v>56</v>
      </c>
      <c r="E279" s="66" t="n">
        <v>-19.98</v>
      </c>
      <c r="F279" s="45" t="n">
        <f aca="false">IF(ISNUMBER(FIND("SALDO ANTERIOR",C279)),0,IF(ISNUMBER(FIND("SALDO DO DIA",C279)),0,IF(ISNUMBER(FIND("SALDO PARCIAL",C279)),0,IF(ISNUMBER(FIND("SDO CTA/APL AUTOMATICAS",C279)),0,IF(ISNUMBER(FIND("APL APLIC AUT MAIS",C279)),0,IF(ISNUMBER(FIND("TEC DEPOSITO",C279)),0,IF(E279&gt;0,0,E279*(-1))))))))</f>
        <v>19.98</v>
      </c>
      <c r="G279" s="46" t="n">
        <f aca="false">IF(ISNUMBER(FIND("SALDO ANTERIOR",C279)),0,IF(ISNUMBER(FIND("SALDO DO DIA",C279)),0,IF(ISNUMBER(FIND("SDO CTA/APL AUTOMATICAS",C279)),0,IF(ISNUMBER(FIND("TEC DEPOSITO",C279)),0,IF(ISNUMBER(FIND("APL APLIC AUT MAIS",C279)),E279,IF(E279&gt;0,E279,0))))))</f>
        <v>0</v>
      </c>
      <c r="H279" s="65" t="n">
        <v>44256</v>
      </c>
    </row>
    <row r="280" customFormat="false" ht="13.8" hidden="false" customHeight="false" outlineLevel="0" collapsed="false">
      <c r="A280" s="40" t="s">
        <v>62</v>
      </c>
      <c r="B280" s="41" t="s">
        <v>278</v>
      </c>
      <c r="C280" s="41" t="s">
        <v>280</v>
      </c>
      <c r="D280" s="43" t="s">
        <v>56</v>
      </c>
      <c r="E280" s="66" t="n">
        <v>-32.97</v>
      </c>
      <c r="F280" s="45" t="n">
        <f aca="false">IF(ISNUMBER(FIND("SALDO ANTERIOR",C280)),0,IF(ISNUMBER(FIND("SALDO DO DIA",C280)),0,IF(ISNUMBER(FIND("SALDO PARCIAL",C280)),0,IF(ISNUMBER(FIND("SDO CTA/APL AUTOMATICAS",C280)),0,IF(ISNUMBER(FIND("APL APLIC AUT MAIS",C280)),0,IF(ISNUMBER(FIND("TEC DEPOSITO",C280)),0,IF(E280&gt;0,0,E280*(-1))))))))</f>
        <v>32.97</v>
      </c>
      <c r="G280" s="46" t="n">
        <f aca="false">IF(ISNUMBER(FIND("SALDO ANTERIOR",C280)),0,IF(ISNUMBER(FIND("SALDO DO DIA",C280)),0,IF(ISNUMBER(FIND("SDO CTA/APL AUTOMATICAS",C280)),0,IF(ISNUMBER(FIND("TEC DEPOSITO",C280)),0,IF(ISNUMBER(FIND("APL APLIC AUT MAIS",C280)),E280,IF(E280&gt;0,E280,0))))))</f>
        <v>0</v>
      </c>
      <c r="H280" s="65" t="n">
        <v>44256</v>
      </c>
    </row>
    <row r="281" customFormat="false" ht="17" hidden="false" customHeight="false" outlineLevel="0" collapsed="false">
      <c r="A281" s="40" t="s">
        <v>31</v>
      </c>
      <c r="B281" s="41" t="s">
        <v>278</v>
      </c>
      <c r="C281" s="63" t="s">
        <v>120</v>
      </c>
      <c r="D281" s="43"/>
      <c r="E281" s="64"/>
      <c r="F281" s="45" t="n">
        <f aca="false">IF(ISNUMBER(FIND("SALDO ANTERIOR",C281)),0,IF(ISNUMBER(FIND("SALDO DO DIA",C281)),0,IF(ISNUMBER(FIND("SALDO PARCIAL",C281)),0,IF(ISNUMBER(FIND("SDO CTA/APL AUTOMATICAS",C281)),0,IF(ISNUMBER(FIND("APL APLIC AUT MAIS",C281)),0,IF(ISNUMBER(FIND("TEC DEPOSITO",C281)),0,IF(E281&gt;0,0,E281*(-1))))))))</f>
        <v>0</v>
      </c>
      <c r="G281" s="46" t="n">
        <f aca="false">IF(ISNUMBER(FIND("SALDO ANTERIOR",C281)),0,IF(ISNUMBER(FIND("SALDO DO DIA",C281)),0,IF(ISNUMBER(FIND("SDO CTA/APL AUTOMATICAS",C281)),0,IF(ISNUMBER(FIND("TEC DEPOSITO",C281)),0,IF(ISNUMBER(FIND("APL APLIC AUT MAIS",C281)),E281,IF(E281&gt;0,E281,0))))))</f>
        <v>0</v>
      </c>
      <c r="H281" s="65" t="n">
        <v>44256</v>
      </c>
    </row>
    <row r="282" customFormat="false" ht="15.8" hidden="false" customHeight="false" outlineLevel="0" collapsed="false">
      <c r="A282" s="40" t="s">
        <v>281</v>
      </c>
      <c r="B282" s="41" t="s">
        <v>282</v>
      </c>
      <c r="C282" s="41" t="s">
        <v>283</v>
      </c>
      <c r="D282" s="43" t="s">
        <v>72</v>
      </c>
      <c r="E282" s="66" t="n">
        <v>-240.13</v>
      </c>
      <c r="F282" s="45" t="n">
        <f aca="false">IF(ISNUMBER(FIND("SALDO ANTERIOR",C282)),0,IF(ISNUMBER(FIND("SALDO DO DIA",C282)),0,IF(ISNUMBER(FIND("SALDO PARCIAL",C282)),0,IF(ISNUMBER(FIND("SDO CTA/APL AUTOMATICAS",C282)),0,IF(ISNUMBER(FIND("APL APLIC AUT MAIS",C282)),0,IF(ISNUMBER(FIND("TEC DEPOSITO",C282)),0,IF(E282&gt;0,0,E282*(-1))))))))</f>
        <v>240.13</v>
      </c>
      <c r="G282" s="46" t="n">
        <f aca="false">IF(ISNUMBER(FIND("SALDO ANTERIOR",C282)),0,IF(ISNUMBER(FIND("SALDO DO DIA",C282)),0,IF(ISNUMBER(FIND("SDO CTA/APL AUTOMATICAS",C282)),0,IF(ISNUMBER(FIND("TEC DEPOSITO",C282)),0,IF(ISNUMBER(FIND("APL APLIC AUT MAIS",C282)),E282,IF(E282&gt;0,E282,0))))))</f>
        <v>0</v>
      </c>
      <c r="H282" s="65" t="n">
        <v>44256</v>
      </c>
    </row>
    <row r="283" customFormat="false" ht="15.8" hidden="false" customHeight="false" outlineLevel="0" collapsed="false">
      <c r="A283" s="40" t="s">
        <v>77</v>
      </c>
      <c r="B283" s="41" t="s">
        <v>282</v>
      </c>
      <c r="C283" s="41" t="s">
        <v>79</v>
      </c>
      <c r="D283" s="43" t="s">
        <v>56</v>
      </c>
      <c r="E283" s="66" t="n">
        <v>-11</v>
      </c>
      <c r="F283" s="45" t="n">
        <f aca="false">IF(ISNUMBER(FIND("SALDO ANTERIOR",C283)),0,IF(ISNUMBER(FIND("SALDO DO DIA",C283)),0,IF(ISNUMBER(FIND("SALDO PARCIAL",C283)),0,IF(ISNUMBER(FIND("SDO CTA/APL AUTOMATICAS",C283)),0,IF(ISNUMBER(FIND("APL APLIC AUT MAIS",C283)),0,IF(ISNUMBER(FIND("TEC DEPOSITO",C283)),0,IF(E283&gt;0,0,E283*(-1))))))))</f>
        <v>11</v>
      </c>
      <c r="G283" s="46" t="n">
        <f aca="false">IF(ISNUMBER(FIND("SALDO ANTERIOR",C283)),0,IF(ISNUMBER(FIND("SALDO DO DIA",C283)),0,IF(ISNUMBER(FIND("SDO CTA/APL AUTOMATICAS",C283)),0,IF(ISNUMBER(FIND("TEC DEPOSITO",C283)),0,IF(ISNUMBER(FIND("APL APLIC AUT MAIS",C283)),E283,IF(E283&gt;0,E283,0))))))</f>
        <v>0</v>
      </c>
      <c r="H283" s="65" t="n">
        <v>44256</v>
      </c>
    </row>
    <row r="284" customFormat="false" ht="15.8" hidden="false" customHeight="false" outlineLevel="0" collapsed="false">
      <c r="A284" s="40" t="s">
        <v>59</v>
      </c>
      <c r="B284" s="41" t="s">
        <v>282</v>
      </c>
      <c r="C284" s="41" t="s">
        <v>96</v>
      </c>
      <c r="D284" s="43" t="s">
        <v>56</v>
      </c>
      <c r="E284" s="66" t="n">
        <v>-27</v>
      </c>
      <c r="F284" s="45" t="n">
        <f aca="false">IF(ISNUMBER(FIND("SALDO ANTERIOR",C284)),0,IF(ISNUMBER(FIND("SALDO DO DIA",C284)),0,IF(ISNUMBER(FIND("SALDO PARCIAL",C284)),0,IF(ISNUMBER(FIND("SDO CTA/APL AUTOMATICAS",C284)),0,IF(ISNUMBER(FIND("APL APLIC AUT MAIS",C284)),0,IF(ISNUMBER(FIND("TEC DEPOSITO",C284)),0,IF(E284&gt;0,0,E284*(-1))))))))</f>
        <v>27</v>
      </c>
      <c r="G284" s="46" t="n">
        <f aca="false">IF(ISNUMBER(FIND("SALDO ANTERIOR",C284)),0,IF(ISNUMBER(FIND("SALDO DO DIA",C284)),0,IF(ISNUMBER(FIND("SDO CTA/APL AUTOMATICAS",C284)),0,IF(ISNUMBER(FIND("TEC DEPOSITO",C284)),0,IF(ISNUMBER(FIND("APL APLIC AUT MAIS",C284)),E284,IF(E284&gt;0,E284,0))))))</f>
        <v>0</v>
      </c>
      <c r="H284" s="65" t="n">
        <v>44256</v>
      </c>
    </row>
    <row r="285" customFormat="false" ht="15.8" hidden="false" customHeight="false" outlineLevel="0" collapsed="false">
      <c r="A285" s="40" t="s">
        <v>98</v>
      </c>
      <c r="B285" s="41" t="s">
        <v>282</v>
      </c>
      <c r="C285" s="41" t="s">
        <v>284</v>
      </c>
      <c r="D285" s="43" t="s">
        <v>56</v>
      </c>
      <c r="E285" s="66" t="n">
        <v>-15</v>
      </c>
      <c r="F285" s="45" t="n">
        <f aca="false">IF(ISNUMBER(FIND("SALDO ANTERIOR",C285)),0,IF(ISNUMBER(FIND("SALDO DO DIA",C285)),0,IF(ISNUMBER(FIND("SALDO PARCIAL",C285)),0,IF(ISNUMBER(FIND("SDO CTA/APL AUTOMATICAS",C285)),0,IF(ISNUMBER(FIND("APL APLIC AUT MAIS",C285)),0,IF(ISNUMBER(FIND("TEC DEPOSITO",C285)),0,IF(E285&gt;0,0,E285*(-1))))))))</f>
        <v>15</v>
      </c>
      <c r="G285" s="46" t="n">
        <f aca="false">IF(ISNUMBER(FIND("SALDO ANTERIOR",C285)),0,IF(ISNUMBER(FIND("SALDO DO DIA",C285)),0,IF(ISNUMBER(FIND("SDO CTA/APL AUTOMATICAS",C285)),0,IF(ISNUMBER(FIND("TEC DEPOSITO",C285)),0,IF(ISNUMBER(FIND("APL APLIC AUT MAIS",C285)),E285,IF(E285&gt;0,E285,0))))))</f>
        <v>0</v>
      </c>
      <c r="H285" s="65" t="n">
        <v>44256</v>
      </c>
    </row>
    <row r="286" customFormat="false" ht="13.8" hidden="false" customHeight="false" outlineLevel="0" collapsed="false">
      <c r="A286" s="40" t="s">
        <v>62</v>
      </c>
      <c r="B286" s="41" t="s">
        <v>282</v>
      </c>
      <c r="C286" s="41" t="s">
        <v>285</v>
      </c>
      <c r="D286" s="43" t="s">
        <v>56</v>
      </c>
      <c r="E286" s="66" t="n">
        <v>-16</v>
      </c>
      <c r="F286" s="45" t="n">
        <f aca="false">IF(ISNUMBER(FIND("SALDO ANTERIOR",C286)),0,IF(ISNUMBER(FIND("SALDO DO DIA",C286)),0,IF(ISNUMBER(FIND("SALDO PARCIAL",C286)),0,IF(ISNUMBER(FIND("SDO CTA/APL AUTOMATICAS",C286)),0,IF(ISNUMBER(FIND("APL APLIC AUT MAIS",C286)),0,IF(ISNUMBER(FIND("TEC DEPOSITO",C286)),0,IF(E286&gt;0,0,E286*(-1))))))))</f>
        <v>16</v>
      </c>
      <c r="G286" s="46" t="n">
        <f aca="false">IF(ISNUMBER(FIND("SALDO ANTERIOR",C286)),0,IF(ISNUMBER(FIND("SALDO DO DIA",C286)),0,IF(ISNUMBER(FIND("SDO CTA/APL AUTOMATICAS",C286)),0,IF(ISNUMBER(FIND("TEC DEPOSITO",C286)),0,IF(ISNUMBER(FIND("APL APLIC AUT MAIS",C286)),E286,IF(E286&gt;0,E286,0))))))</f>
        <v>0</v>
      </c>
      <c r="H286" s="65" t="n">
        <v>44256</v>
      </c>
    </row>
    <row r="287" customFormat="false" ht="15.8" hidden="false" customHeight="false" outlineLevel="0" collapsed="false">
      <c r="A287" s="40" t="s">
        <v>59</v>
      </c>
      <c r="B287" s="41" t="s">
        <v>282</v>
      </c>
      <c r="C287" s="41" t="s">
        <v>286</v>
      </c>
      <c r="D287" s="43" t="s">
        <v>56</v>
      </c>
      <c r="E287" s="66" t="n">
        <v>-23</v>
      </c>
      <c r="F287" s="45" t="n">
        <f aca="false">IF(ISNUMBER(FIND("SALDO ANTERIOR",C287)),0,IF(ISNUMBER(FIND("SALDO DO DIA",C287)),0,IF(ISNUMBER(FIND("SALDO PARCIAL",C287)),0,IF(ISNUMBER(FIND("SDO CTA/APL AUTOMATICAS",C287)),0,IF(ISNUMBER(FIND("APL APLIC AUT MAIS",C287)),0,IF(ISNUMBER(FIND("TEC DEPOSITO",C287)),0,IF(E287&gt;0,0,E287*(-1))))))))</f>
        <v>23</v>
      </c>
      <c r="G287" s="46" t="n">
        <f aca="false">IF(ISNUMBER(FIND("SALDO ANTERIOR",C287)),0,IF(ISNUMBER(FIND("SALDO DO DIA",C287)),0,IF(ISNUMBER(FIND("SDO CTA/APL AUTOMATICAS",C287)),0,IF(ISNUMBER(FIND("TEC DEPOSITO",C287)),0,IF(ISNUMBER(FIND("APL APLIC AUT MAIS",C287)),E287,IF(E287&gt;0,E287,0))))))</f>
        <v>0</v>
      </c>
      <c r="H287" s="65" t="n">
        <v>44256</v>
      </c>
    </row>
    <row r="288" customFormat="false" ht="15.8" hidden="false" customHeight="false" outlineLevel="0" collapsed="false">
      <c r="A288" s="40" t="s">
        <v>103</v>
      </c>
      <c r="B288" s="41" t="s">
        <v>282</v>
      </c>
      <c r="C288" s="41" t="s">
        <v>130</v>
      </c>
      <c r="D288" s="43" t="s">
        <v>56</v>
      </c>
      <c r="E288" s="66" t="n">
        <v>-50</v>
      </c>
      <c r="F288" s="45" t="n">
        <f aca="false">IF(ISNUMBER(FIND("SALDO ANTERIOR",C288)),0,IF(ISNUMBER(FIND("SALDO DO DIA",C288)),0,IF(ISNUMBER(FIND("SALDO PARCIAL",C288)),0,IF(ISNUMBER(FIND("SDO CTA/APL AUTOMATICAS",C288)),0,IF(ISNUMBER(FIND("APL APLIC AUT MAIS",C288)),0,IF(ISNUMBER(FIND("TEC DEPOSITO",C288)),0,IF(E288&gt;0,0,E288*(-1))))))))</f>
        <v>50</v>
      </c>
      <c r="G288" s="46" t="n">
        <f aca="false">IF(ISNUMBER(FIND("SALDO ANTERIOR",C288)),0,IF(ISNUMBER(FIND("SALDO DO DIA",C288)),0,IF(ISNUMBER(FIND("SDO CTA/APL AUTOMATICAS",C288)),0,IF(ISNUMBER(FIND("TEC DEPOSITO",C288)),0,IF(ISNUMBER(FIND("APL APLIC AUT MAIS",C288)),E288,IF(E288&gt;0,E288,0))))))</f>
        <v>0</v>
      </c>
      <c r="H288" s="65" t="n">
        <v>44256</v>
      </c>
    </row>
    <row r="289" customFormat="false" ht="15.8" hidden="false" customHeight="false" outlineLevel="0" collapsed="false">
      <c r="A289" s="40" t="s">
        <v>59</v>
      </c>
      <c r="B289" s="41" t="s">
        <v>282</v>
      </c>
      <c r="C289" s="41" t="s">
        <v>287</v>
      </c>
      <c r="D289" s="43" t="s">
        <v>56</v>
      </c>
      <c r="E289" s="66" t="n">
        <v>-12</v>
      </c>
      <c r="F289" s="45" t="n">
        <f aca="false">IF(ISNUMBER(FIND("SALDO ANTERIOR",C289)),0,IF(ISNUMBER(FIND("SALDO DO DIA",C289)),0,IF(ISNUMBER(FIND("SALDO PARCIAL",C289)),0,IF(ISNUMBER(FIND("SDO CTA/APL AUTOMATICAS",C289)),0,IF(ISNUMBER(FIND("APL APLIC AUT MAIS",C289)),0,IF(ISNUMBER(FIND("TEC DEPOSITO",C289)),0,IF(E289&gt;0,0,E289*(-1))))))))</f>
        <v>12</v>
      </c>
      <c r="G289" s="46" t="n">
        <f aca="false">IF(ISNUMBER(FIND("SALDO ANTERIOR",C289)),0,IF(ISNUMBER(FIND("SALDO DO DIA",C289)),0,IF(ISNUMBER(FIND("SDO CTA/APL AUTOMATICAS",C289)),0,IF(ISNUMBER(FIND("TEC DEPOSITO",C289)),0,IF(ISNUMBER(FIND("APL APLIC AUT MAIS",C289)),E289,IF(E289&gt;0,E289,0))))))</f>
        <v>0</v>
      </c>
      <c r="H289" s="65" t="n">
        <v>44256</v>
      </c>
    </row>
    <row r="290" customFormat="false" ht="15.8" hidden="false" customHeight="false" outlineLevel="0" collapsed="false">
      <c r="A290" s="40" t="s">
        <v>64</v>
      </c>
      <c r="B290" s="41" t="s">
        <v>282</v>
      </c>
      <c r="C290" s="41" t="s">
        <v>246</v>
      </c>
      <c r="D290" s="43" t="s">
        <v>56</v>
      </c>
      <c r="E290" s="66" t="n">
        <v>-44.18</v>
      </c>
      <c r="F290" s="45" t="n">
        <f aca="false">IF(ISNUMBER(FIND("SALDO ANTERIOR",C290)),0,IF(ISNUMBER(FIND("SALDO DO DIA",C290)),0,IF(ISNUMBER(FIND("SALDO PARCIAL",C290)),0,IF(ISNUMBER(FIND("SDO CTA/APL AUTOMATICAS",C290)),0,IF(ISNUMBER(FIND("APL APLIC AUT MAIS",C290)),0,IF(ISNUMBER(FIND("TEC DEPOSITO",C290)),0,IF(E290&gt;0,0,E290*(-1))))))))</f>
        <v>44.18</v>
      </c>
      <c r="G290" s="46" t="n">
        <f aca="false">IF(ISNUMBER(FIND("SALDO ANTERIOR",C290)),0,IF(ISNUMBER(FIND("SALDO DO DIA",C290)),0,IF(ISNUMBER(FIND("SDO CTA/APL AUTOMATICAS",C290)),0,IF(ISNUMBER(FIND("TEC DEPOSITO",C290)),0,IF(ISNUMBER(FIND("APL APLIC AUT MAIS",C290)),E290,IF(E290&gt;0,E290,0))))))</f>
        <v>0</v>
      </c>
      <c r="H290" s="65" t="n">
        <v>44256</v>
      </c>
    </row>
    <row r="291" customFormat="false" ht="15.8" hidden="false" customHeight="false" outlineLevel="0" collapsed="false">
      <c r="A291" s="40" t="s">
        <v>178</v>
      </c>
      <c r="B291" s="41" t="s">
        <v>282</v>
      </c>
      <c r="C291" s="41" t="s">
        <v>288</v>
      </c>
      <c r="D291" s="43" t="s">
        <v>220</v>
      </c>
      <c r="E291" s="66" t="n">
        <v>-326.5</v>
      </c>
      <c r="F291" s="45" t="n">
        <f aca="false">IF(ISNUMBER(FIND("SALDO ANTERIOR",C291)),0,IF(ISNUMBER(FIND("SALDO DO DIA",C291)),0,IF(ISNUMBER(FIND("SALDO PARCIAL",C291)),0,IF(ISNUMBER(FIND("SDO CTA/APL AUTOMATICAS",C291)),0,IF(ISNUMBER(FIND("APL APLIC AUT MAIS",C291)),0,IF(ISNUMBER(FIND("TEC DEPOSITO",C291)),0,IF(E291&gt;0,0,E291*(-1))))))))</f>
        <v>326.5</v>
      </c>
      <c r="G291" s="46" t="n">
        <f aca="false">IF(ISNUMBER(FIND("SALDO ANTERIOR",C291)),0,IF(ISNUMBER(FIND("SALDO DO DIA",C291)),0,IF(ISNUMBER(FIND("SDO CTA/APL AUTOMATICAS",C291)),0,IF(ISNUMBER(FIND("TEC DEPOSITO",C291)),0,IF(ISNUMBER(FIND("APL APLIC AUT MAIS",C291)),E291,IF(E291&gt;0,E291,0))))))</f>
        <v>0</v>
      </c>
      <c r="H291" s="65" t="n">
        <v>44256</v>
      </c>
    </row>
    <row r="292" customFormat="false" ht="17" hidden="false" customHeight="false" outlineLevel="0" collapsed="false">
      <c r="A292" s="40" t="s">
        <v>31</v>
      </c>
      <c r="B292" s="41" t="s">
        <v>282</v>
      </c>
      <c r="C292" s="63" t="s">
        <v>120</v>
      </c>
      <c r="D292" s="43"/>
      <c r="E292" s="64"/>
      <c r="F292" s="45" t="n">
        <f aca="false">IF(ISNUMBER(FIND("SALDO ANTERIOR",C292)),0,IF(ISNUMBER(FIND("SALDO DO DIA",C292)),0,IF(ISNUMBER(FIND("SALDO PARCIAL",C292)),0,IF(ISNUMBER(FIND("SDO CTA/APL AUTOMATICAS",C292)),0,IF(ISNUMBER(FIND("APL APLIC AUT MAIS",C292)),0,IF(ISNUMBER(FIND("TEC DEPOSITO",C292)),0,IF(E292&gt;0,0,E292*(-1))))))))</f>
        <v>0</v>
      </c>
      <c r="G292" s="46" t="n">
        <f aca="false">IF(ISNUMBER(FIND("SALDO ANTERIOR",C292)),0,IF(ISNUMBER(FIND("SALDO DO DIA",C292)),0,IF(ISNUMBER(FIND("SDO CTA/APL AUTOMATICAS",C292)),0,IF(ISNUMBER(FIND("TEC DEPOSITO",C292)),0,IF(ISNUMBER(FIND("APL APLIC AUT MAIS",C292)),E292,IF(E292&gt;0,E292,0))))))</f>
        <v>0</v>
      </c>
      <c r="H292" s="65" t="n">
        <v>44256</v>
      </c>
    </row>
    <row r="293" customFormat="false" ht="17" hidden="false" customHeight="false" outlineLevel="0" collapsed="false">
      <c r="A293" s="40" t="s">
        <v>31</v>
      </c>
      <c r="B293" s="41" t="s">
        <v>289</v>
      </c>
      <c r="C293" s="63" t="s">
        <v>120</v>
      </c>
      <c r="D293" s="43"/>
      <c r="E293" s="64"/>
      <c r="F293" s="45" t="n">
        <f aca="false">IF(ISNUMBER(FIND("SALDO ANTERIOR",C293)),0,IF(ISNUMBER(FIND("SALDO DO DIA",C293)),0,IF(ISNUMBER(FIND("SALDO PARCIAL",C293)),0,IF(ISNUMBER(FIND("SDO CTA/APL AUTOMATICAS",C293)),0,IF(ISNUMBER(FIND("APL APLIC AUT MAIS",C293)),0,IF(ISNUMBER(FIND("TEC DEPOSITO",C293)),0,IF(E293&gt;0,0,E293*(-1))))))))</f>
        <v>0</v>
      </c>
      <c r="G293" s="46" t="n">
        <f aca="false">IF(ISNUMBER(FIND("SALDO ANTERIOR",C293)),0,IF(ISNUMBER(FIND("SALDO DO DIA",C293)),0,IF(ISNUMBER(FIND("SDO CTA/APL AUTOMATICAS",C293)),0,IF(ISNUMBER(FIND("TEC DEPOSITO",C293)),0,IF(ISNUMBER(FIND("APL APLIC AUT MAIS",C293)),E293,IF(E293&gt;0,E293,0))))))</f>
        <v>0</v>
      </c>
      <c r="H293" s="65" t="n">
        <v>44256</v>
      </c>
    </row>
    <row r="294" customFormat="false" ht="17" hidden="false" customHeight="false" outlineLevel="0" collapsed="false">
      <c r="A294" s="40" t="s">
        <v>31</v>
      </c>
      <c r="B294" s="41" t="s">
        <v>290</v>
      </c>
      <c r="C294" s="63" t="s">
        <v>120</v>
      </c>
      <c r="D294" s="43"/>
      <c r="E294" s="64"/>
      <c r="F294" s="45" t="n">
        <f aca="false">IF(ISNUMBER(FIND("SALDO ANTERIOR",C294)),0,IF(ISNUMBER(FIND("SALDO DO DIA",C294)),0,IF(ISNUMBER(FIND("SALDO PARCIAL",C294)),0,IF(ISNUMBER(FIND("SDO CTA/APL AUTOMATICAS",C294)),0,IF(ISNUMBER(FIND("APL APLIC AUT MAIS",C294)),0,IF(ISNUMBER(FIND("TEC DEPOSITO",C294)),0,IF(E294&gt;0,0,E294*(-1))))))))</f>
        <v>0</v>
      </c>
      <c r="G294" s="46" t="n">
        <f aca="false">IF(ISNUMBER(FIND("SALDO ANTERIOR",C294)),0,IF(ISNUMBER(FIND("SALDO DO DIA",C294)),0,IF(ISNUMBER(FIND("SDO CTA/APL AUTOMATICAS",C294)),0,IF(ISNUMBER(FIND("TEC DEPOSITO",C294)),0,IF(ISNUMBER(FIND("APL APLIC AUT MAIS",C294)),E294,IF(E294&gt;0,E294,0))))))</f>
        <v>0</v>
      </c>
      <c r="H294" s="65" t="n">
        <v>44256</v>
      </c>
    </row>
    <row r="295" customFormat="false" ht="15.8" hidden="false" customHeight="false" outlineLevel="0" collapsed="false">
      <c r="A295" s="40" t="s">
        <v>59</v>
      </c>
      <c r="B295" s="41" t="s">
        <v>291</v>
      </c>
      <c r="C295" s="41" t="s">
        <v>127</v>
      </c>
      <c r="D295" s="43" t="s">
        <v>56</v>
      </c>
      <c r="E295" s="66" t="n">
        <v>-56.18</v>
      </c>
      <c r="F295" s="45" t="n">
        <f aca="false">IF(ISNUMBER(FIND("SALDO ANTERIOR",C295)),0,IF(ISNUMBER(FIND("SALDO DO DIA",C295)),0,IF(ISNUMBER(FIND("SALDO PARCIAL",C295)),0,IF(ISNUMBER(FIND("SDO CTA/APL AUTOMATICAS",C295)),0,IF(ISNUMBER(FIND("APL APLIC AUT MAIS",C295)),0,IF(ISNUMBER(FIND("TEC DEPOSITO",C295)),0,IF(E295&gt;0,0,E295*(-1))))))))</f>
        <v>56.18</v>
      </c>
      <c r="G295" s="46" t="n">
        <f aca="false">IF(ISNUMBER(FIND("SALDO ANTERIOR",C295)),0,IF(ISNUMBER(FIND("SALDO DO DIA",C295)),0,IF(ISNUMBER(FIND("SDO CTA/APL AUTOMATICAS",C295)),0,IF(ISNUMBER(FIND("TEC DEPOSITO",C295)),0,IF(ISNUMBER(FIND("APL APLIC AUT MAIS",C295)),E295,IF(E295&gt;0,E295,0))))))</f>
        <v>0</v>
      </c>
      <c r="H295" s="65" t="n">
        <v>44256</v>
      </c>
    </row>
    <row r="296" customFormat="false" ht="17" hidden="false" customHeight="false" outlineLevel="0" collapsed="false">
      <c r="A296" s="40" t="s">
        <v>31</v>
      </c>
      <c r="B296" s="41" t="s">
        <v>291</v>
      </c>
      <c r="C296" s="63" t="s">
        <v>120</v>
      </c>
      <c r="D296" s="43"/>
      <c r="E296" s="64"/>
      <c r="F296" s="45" t="n">
        <f aca="false">IF(ISNUMBER(FIND("SALDO ANTERIOR",C296)),0,IF(ISNUMBER(FIND("SALDO DO DIA",C296)),0,IF(ISNUMBER(FIND("SALDO PARCIAL",C296)),0,IF(ISNUMBER(FIND("SDO CTA/APL AUTOMATICAS",C296)),0,IF(ISNUMBER(FIND("APL APLIC AUT MAIS",C296)),0,IF(ISNUMBER(FIND("TEC DEPOSITO",C296)),0,IF(E296&gt;0,0,E296*(-1))))))))</f>
        <v>0</v>
      </c>
      <c r="G296" s="46" t="n">
        <f aca="false">IF(ISNUMBER(FIND("SALDO ANTERIOR",C296)),0,IF(ISNUMBER(FIND("SALDO DO DIA",C296)),0,IF(ISNUMBER(FIND("SDO CTA/APL AUTOMATICAS",C296)),0,IF(ISNUMBER(FIND("TEC DEPOSITO",C296)),0,IF(ISNUMBER(FIND("APL APLIC AUT MAIS",C296)),E296,IF(E296&gt;0,E296,0))))))</f>
        <v>0</v>
      </c>
      <c r="H296" s="65" t="n">
        <v>44256</v>
      </c>
    </row>
    <row r="297" customFormat="false" ht="17" hidden="false" customHeight="false" outlineLevel="0" collapsed="false">
      <c r="A297" s="40" t="s">
        <v>31</v>
      </c>
      <c r="B297" s="41" t="s">
        <v>292</v>
      </c>
      <c r="C297" s="63" t="s">
        <v>120</v>
      </c>
      <c r="D297" s="43"/>
      <c r="E297" s="64"/>
      <c r="F297" s="45" t="n">
        <f aca="false">IF(ISNUMBER(FIND("SALDO ANTERIOR",C297)),0,IF(ISNUMBER(FIND("SALDO DO DIA",C297)),0,IF(ISNUMBER(FIND("SALDO PARCIAL",C297)),0,IF(ISNUMBER(FIND("SDO CTA/APL AUTOMATICAS",C297)),0,IF(ISNUMBER(FIND("APL APLIC AUT MAIS",C297)),0,IF(ISNUMBER(FIND("TEC DEPOSITO",C297)),0,IF(E297&gt;0,0,E297*(-1))))))))</f>
        <v>0</v>
      </c>
      <c r="G297" s="46" t="n">
        <f aca="false">IF(ISNUMBER(FIND("SALDO ANTERIOR",C297)),0,IF(ISNUMBER(FIND("SALDO DO DIA",C297)),0,IF(ISNUMBER(FIND("SDO CTA/APL AUTOMATICAS",C297)),0,IF(ISNUMBER(FIND("TEC DEPOSITO",C297)),0,IF(ISNUMBER(FIND("APL APLIC AUT MAIS",C297)),E297,IF(E297&gt;0,E297,0))))))</f>
        <v>0</v>
      </c>
      <c r="H297" s="65" t="n">
        <v>44256</v>
      </c>
    </row>
    <row r="298" customFormat="false" ht="15.8" hidden="false" customHeight="false" outlineLevel="0" collapsed="false">
      <c r="A298" s="40" t="s">
        <v>121</v>
      </c>
      <c r="B298" s="41" t="s">
        <v>293</v>
      </c>
      <c r="C298" s="41" t="s">
        <v>294</v>
      </c>
      <c r="D298" s="43" t="s">
        <v>91</v>
      </c>
      <c r="E298" s="66" t="n">
        <v>-100</v>
      </c>
      <c r="F298" s="45" t="n">
        <f aca="false">IF(ISNUMBER(FIND("SALDO ANTERIOR",C298)),0,IF(ISNUMBER(FIND("SALDO DO DIA",C298)),0,IF(ISNUMBER(FIND("SALDO PARCIAL",C298)),0,IF(ISNUMBER(FIND("SDO CTA/APL AUTOMATICAS",C298)),0,IF(ISNUMBER(FIND("APL APLIC AUT MAIS",C298)),0,IF(ISNUMBER(FIND("TEC DEPOSITO",C298)),0,IF(E298&gt;0,0,E298*(-1))))))))</f>
        <v>100</v>
      </c>
      <c r="G298" s="46" t="n">
        <f aca="false">IF(ISNUMBER(FIND("SALDO ANTERIOR",C298)),0,IF(ISNUMBER(FIND("SALDO DO DIA",C298)),0,IF(ISNUMBER(FIND("SDO CTA/APL AUTOMATICAS",C298)),0,IF(ISNUMBER(FIND("TEC DEPOSITO",C298)),0,IF(ISNUMBER(FIND("APL APLIC AUT MAIS",C298)),E298,IF(E298&gt;0,E298,0))))))</f>
        <v>0</v>
      </c>
      <c r="H298" s="65" t="n">
        <v>44256</v>
      </c>
    </row>
    <row r="299" customFormat="false" ht="15.8" hidden="false" customHeight="false" outlineLevel="0" collapsed="false">
      <c r="A299" s="40" t="s">
        <v>59</v>
      </c>
      <c r="B299" s="41" t="s">
        <v>293</v>
      </c>
      <c r="C299" s="41" t="s">
        <v>79</v>
      </c>
      <c r="D299" s="43" t="s">
        <v>56</v>
      </c>
      <c r="E299" s="66" t="n">
        <v>-11</v>
      </c>
      <c r="F299" s="45" t="n">
        <f aca="false">IF(ISNUMBER(FIND("SALDO ANTERIOR",C299)),0,IF(ISNUMBER(FIND("SALDO DO DIA",C299)),0,IF(ISNUMBER(FIND("SALDO PARCIAL",C299)),0,IF(ISNUMBER(FIND("SDO CTA/APL AUTOMATICAS",C299)),0,IF(ISNUMBER(FIND("APL APLIC AUT MAIS",C299)),0,IF(ISNUMBER(FIND("TEC DEPOSITO",C299)),0,IF(E299&gt;0,0,E299*(-1))))))))</f>
        <v>11</v>
      </c>
      <c r="G299" s="46" t="n">
        <f aca="false">IF(ISNUMBER(FIND("SALDO ANTERIOR",C299)),0,IF(ISNUMBER(FIND("SALDO DO DIA",C299)),0,IF(ISNUMBER(FIND("SDO CTA/APL AUTOMATICAS",C299)),0,IF(ISNUMBER(FIND("TEC DEPOSITO",C299)),0,IF(ISNUMBER(FIND("APL APLIC AUT MAIS",C299)),E299,IF(E299&gt;0,E299,0))))))</f>
        <v>0</v>
      </c>
      <c r="H299" s="65" t="n">
        <v>44256</v>
      </c>
    </row>
    <row r="300" customFormat="false" ht="15.8" hidden="false" customHeight="false" outlineLevel="0" collapsed="false">
      <c r="A300" s="40" t="s">
        <v>59</v>
      </c>
      <c r="B300" s="41" t="s">
        <v>293</v>
      </c>
      <c r="C300" s="41" t="s">
        <v>126</v>
      </c>
      <c r="D300" s="43" t="s">
        <v>56</v>
      </c>
      <c r="E300" s="66" t="n">
        <v>-68</v>
      </c>
      <c r="F300" s="45" t="n">
        <f aca="false">IF(ISNUMBER(FIND("SALDO ANTERIOR",C300)),0,IF(ISNUMBER(FIND("SALDO DO DIA",C300)),0,IF(ISNUMBER(FIND("SALDO PARCIAL",C300)),0,IF(ISNUMBER(FIND("SDO CTA/APL AUTOMATICAS",C300)),0,IF(ISNUMBER(FIND("APL APLIC AUT MAIS",C300)),0,IF(ISNUMBER(FIND("TEC DEPOSITO",C300)),0,IF(E300&gt;0,0,E300*(-1))))))))</f>
        <v>68</v>
      </c>
      <c r="G300" s="46" t="n">
        <f aca="false">IF(ISNUMBER(FIND("SALDO ANTERIOR",C300)),0,IF(ISNUMBER(FIND("SALDO DO DIA",C300)),0,IF(ISNUMBER(FIND("SDO CTA/APL AUTOMATICAS",C300)),0,IF(ISNUMBER(FIND("TEC DEPOSITO",C300)),0,IF(ISNUMBER(FIND("APL APLIC AUT MAIS",C300)),E300,IF(E300&gt;0,E300,0))))))</f>
        <v>0</v>
      </c>
      <c r="H300" s="65" t="n">
        <v>44256</v>
      </c>
    </row>
    <row r="301" customFormat="false" ht="15.8" hidden="false" customHeight="false" outlineLevel="0" collapsed="false">
      <c r="A301" s="40" t="s">
        <v>103</v>
      </c>
      <c r="B301" s="41" t="s">
        <v>293</v>
      </c>
      <c r="C301" s="41" t="s">
        <v>130</v>
      </c>
      <c r="D301" s="43" t="s">
        <v>56</v>
      </c>
      <c r="E301" s="66" t="n">
        <v>-50</v>
      </c>
      <c r="F301" s="45" t="n">
        <f aca="false">IF(ISNUMBER(FIND("SALDO ANTERIOR",C301)),0,IF(ISNUMBER(FIND("SALDO DO DIA",C301)),0,IF(ISNUMBER(FIND("SALDO PARCIAL",C301)),0,IF(ISNUMBER(FIND("SDO CTA/APL AUTOMATICAS",C301)),0,IF(ISNUMBER(FIND("APL APLIC AUT MAIS",C301)),0,IF(ISNUMBER(FIND("TEC DEPOSITO",C301)),0,IF(E301&gt;0,0,E301*(-1))))))))</f>
        <v>50</v>
      </c>
      <c r="G301" s="46" t="n">
        <f aca="false">IF(ISNUMBER(FIND("SALDO ANTERIOR",C301)),0,IF(ISNUMBER(FIND("SALDO DO DIA",C301)),0,IF(ISNUMBER(FIND("SDO CTA/APL AUTOMATICAS",C301)),0,IF(ISNUMBER(FIND("TEC DEPOSITO",C301)),0,IF(ISNUMBER(FIND("APL APLIC AUT MAIS",C301)),E301,IF(E301&gt;0,E301,0))))))</f>
        <v>0</v>
      </c>
      <c r="H301" s="65" t="n">
        <v>44256</v>
      </c>
    </row>
    <row r="302" customFormat="false" ht="17" hidden="false" customHeight="false" outlineLevel="0" collapsed="false">
      <c r="A302" s="40" t="s">
        <v>31</v>
      </c>
      <c r="B302" s="41" t="s">
        <v>293</v>
      </c>
      <c r="C302" s="63" t="s">
        <v>120</v>
      </c>
      <c r="D302" s="43"/>
      <c r="E302" s="64"/>
      <c r="F302" s="45" t="n">
        <f aca="false">IF(ISNUMBER(FIND("SALDO ANTERIOR",C302)),0,IF(ISNUMBER(FIND("SALDO DO DIA",C302)),0,IF(ISNUMBER(FIND("SALDO PARCIAL",C302)),0,IF(ISNUMBER(FIND("SDO CTA/APL AUTOMATICAS",C302)),0,IF(ISNUMBER(FIND("APL APLIC AUT MAIS",C302)),0,IF(ISNUMBER(FIND("TEC DEPOSITO",C302)),0,IF(E302&gt;0,0,E302*(-1))))))))</f>
        <v>0</v>
      </c>
      <c r="G302" s="46" t="n">
        <f aca="false">IF(ISNUMBER(FIND("SALDO ANTERIOR",C302)),0,IF(ISNUMBER(FIND("SALDO DO DIA",C302)),0,IF(ISNUMBER(FIND("SDO CTA/APL AUTOMATICAS",C302)),0,IF(ISNUMBER(FIND("TEC DEPOSITO",C302)),0,IF(ISNUMBER(FIND("APL APLIC AUT MAIS",C302)),E302,IF(E302&gt;0,E302,0))))))</f>
        <v>0</v>
      </c>
      <c r="H302" s="65" t="n">
        <v>44256</v>
      </c>
    </row>
    <row r="303" customFormat="false" ht="17" hidden="false" customHeight="false" outlineLevel="0" collapsed="false">
      <c r="A303" s="40" t="s">
        <v>31</v>
      </c>
      <c r="B303" s="41" t="s">
        <v>295</v>
      </c>
      <c r="C303" s="63" t="s">
        <v>120</v>
      </c>
      <c r="D303" s="43"/>
      <c r="E303" s="64"/>
      <c r="F303" s="45" t="n">
        <f aca="false">IF(ISNUMBER(FIND("SALDO ANTERIOR",C303)),0,IF(ISNUMBER(FIND("SALDO DO DIA",C303)),0,IF(ISNUMBER(FIND("SALDO PARCIAL",C303)),0,IF(ISNUMBER(FIND("SDO CTA/APL AUTOMATICAS",C303)),0,IF(ISNUMBER(FIND("APL APLIC AUT MAIS",C303)),0,IF(ISNUMBER(FIND("TEC DEPOSITO",C303)),0,IF(E303&gt;0,0,E303*(-1))))))))</f>
        <v>0</v>
      </c>
      <c r="G303" s="46" t="n">
        <f aca="false">IF(ISNUMBER(FIND("SALDO ANTERIOR",C303)),0,IF(ISNUMBER(FIND("SALDO DO DIA",C303)),0,IF(ISNUMBER(FIND("SDO CTA/APL AUTOMATICAS",C303)),0,IF(ISNUMBER(FIND("TEC DEPOSITO",C303)),0,IF(ISNUMBER(FIND("APL APLIC AUT MAIS",C303)),E303,IF(E303&gt;0,E303,0))))))</f>
        <v>0</v>
      </c>
      <c r="H303" s="65" t="n">
        <v>44256</v>
      </c>
    </row>
    <row r="304" customFormat="false" ht="15.8" hidden="false" customHeight="false" outlineLevel="0" collapsed="false">
      <c r="A304" s="40" t="s">
        <v>271</v>
      </c>
      <c r="B304" s="41" t="s">
        <v>296</v>
      </c>
      <c r="C304" s="41" t="s">
        <v>297</v>
      </c>
      <c r="D304" s="43" t="s">
        <v>196</v>
      </c>
      <c r="E304" s="66" t="n">
        <v>-362.4</v>
      </c>
      <c r="F304" s="45" t="n">
        <f aca="false">IF(ISNUMBER(FIND("SALDO ANTERIOR",C304)),0,IF(ISNUMBER(FIND("SALDO DO DIA",C304)),0,IF(ISNUMBER(FIND("SALDO PARCIAL",C304)),0,IF(ISNUMBER(FIND("SDO CTA/APL AUTOMATICAS",C304)),0,IF(ISNUMBER(FIND("APL APLIC AUT MAIS",C304)),0,IF(ISNUMBER(FIND("TEC DEPOSITO",C304)),0,IF(E304&gt;0,0,E304*(-1))))))))</f>
        <v>362.4</v>
      </c>
      <c r="G304" s="46" t="n">
        <f aca="false">IF(ISNUMBER(FIND("SALDO ANTERIOR",C304)),0,IF(ISNUMBER(FIND("SALDO DO DIA",C304)),0,IF(ISNUMBER(FIND("SDO CTA/APL AUTOMATICAS",C304)),0,IF(ISNUMBER(FIND("TEC DEPOSITO",C304)),0,IF(ISNUMBER(FIND("APL APLIC AUT MAIS",C304)),E304,IF(E304&gt;0,E304,0))))))</f>
        <v>0</v>
      </c>
      <c r="H304" s="65" t="n">
        <v>44256</v>
      </c>
    </row>
    <row r="305" customFormat="false" ht="15.8" hidden="false" customHeight="false" outlineLevel="0" collapsed="false">
      <c r="A305" s="40" t="s">
        <v>59</v>
      </c>
      <c r="B305" s="41" t="s">
        <v>296</v>
      </c>
      <c r="C305" s="41" t="s">
        <v>298</v>
      </c>
      <c r="D305" s="43" t="s">
        <v>173</v>
      </c>
      <c r="E305" s="67" t="n">
        <v>3624.01</v>
      </c>
      <c r="F305" s="45" t="n">
        <f aca="false">IF(ISNUMBER(FIND("SALDO ANTERIOR",C305)),0,IF(ISNUMBER(FIND("SALDO DO DIA",C305)),0,IF(ISNUMBER(FIND("SALDO PARCIAL",C305)),0,IF(ISNUMBER(FIND("SDO CTA/APL AUTOMATICAS",C305)),0,IF(ISNUMBER(FIND("APL APLIC AUT MAIS",C305)),0,IF(ISNUMBER(FIND("TEC DEPOSITO",C305)),0,IF(E305&gt;0,0,E305*(-1))))))))</f>
        <v>0</v>
      </c>
      <c r="G305" s="46" t="n">
        <f aca="false">IF(ISNUMBER(FIND("SALDO ANTERIOR",C305)),0,IF(ISNUMBER(FIND("SALDO DO DIA",C305)),0,IF(ISNUMBER(FIND("SDO CTA/APL AUTOMATICAS",C305)),0,IF(ISNUMBER(FIND("TEC DEPOSITO",C305)),0,IF(ISNUMBER(FIND("APL APLIC AUT MAIS",C305)),E305,IF(E305&gt;0,E305,0))))))</f>
        <v>3624.01</v>
      </c>
      <c r="H305" s="65" t="n">
        <v>44256</v>
      </c>
    </row>
    <row r="306" customFormat="false" ht="17" hidden="false" customHeight="false" outlineLevel="0" collapsed="false">
      <c r="A306" s="40" t="s">
        <v>31</v>
      </c>
      <c r="B306" s="41" t="s">
        <v>296</v>
      </c>
      <c r="C306" s="63" t="s">
        <v>120</v>
      </c>
      <c r="D306" s="43"/>
      <c r="E306" s="64"/>
      <c r="F306" s="45" t="n">
        <f aca="false">IF(ISNUMBER(FIND("SALDO ANTERIOR",C306)),0,IF(ISNUMBER(FIND("SALDO DO DIA",C306)),0,IF(ISNUMBER(FIND("SALDO PARCIAL",C306)),0,IF(ISNUMBER(FIND("SDO CTA/APL AUTOMATICAS",C306)),0,IF(ISNUMBER(FIND("APL APLIC AUT MAIS",C306)),0,IF(ISNUMBER(FIND("TEC DEPOSITO",C306)),0,IF(E306&gt;0,0,E306*(-1))))))))</f>
        <v>0</v>
      </c>
      <c r="G306" s="46" t="n">
        <f aca="false">IF(ISNUMBER(FIND("SALDO ANTERIOR",C306)),0,IF(ISNUMBER(FIND("SALDO DO DIA",C306)),0,IF(ISNUMBER(FIND("SDO CTA/APL AUTOMATICAS",C306)),0,IF(ISNUMBER(FIND("TEC DEPOSITO",C306)),0,IF(ISNUMBER(FIND("APL APLIC AUT MAIS",C306)),E306,IF(E306&gt;0,E306,0))))))</f>
        <v>0</v>
      </c>
      <c r="H306" s="65" t="n">
        <v>44256</v>
      </c>
    </row>
    <row r="307" customFormat="false" ht="17" hidden="false" customHeight="false" outlineLevel="0" collapsed="false">
      <c r="A307" s="55" t="s">
        <v>31</v>
      </c>
      <c r="B307" s="27" t="s">
        <v>296</v>
      </c>
      <c r="C307" s="56" t="s">
        <v>52</v>
      </c>
      <c r="D307" s="57"/>
      <c r="E307" s="58"/>
      <c r="F307" s="59" t="n">
        <f aca="false">IF(ISNUMBER(FIND("SALDO ANTERIOR",C307)),0,IF(ISNUMBER(FIND("SALDO DO DIA",C307)),0,IF(ISNUMBER(FIND("SALDO PARCIAL",C307)),0,IF(ISNUMBER(FIND("SDO CTA/APL AUTOMATICAS",C307)),0,IF(ISNUMBER(FIND("APL APLIC AUT MAIS",C307)),0,IF(ISNUMBER(FIND("TEC DEPOSITO",C307)),0,IF(E307&gt;0,0,E307*(-1))))))))</f>
        <v>0</v>
      </c>
      <c r="G307" s="60" t="n">
        <f aca="false">IF(ISNUMBER(FIND("SALDO ANTERIOR",C307)),0,IF(ISNUMBER(FIND("SALDO DO DIA",C307)),0,IF(ISNUMBER(FIND("SDO CTA/APL AUTOMATICAS",C307)),0,IF(ISNUMBER(FIND("TEC DEPOSITO",C307)),0,IF(ISNUMBER(FIND("APL APLIC AUT MAIS",C307)),E307,IF(E307&gt;0,E307,0))))))</f>
        <v>0</v>
      </c>
      <c r="H307" s="61" t="n">
        <v>44287</v>
      </c>
    </row>
    <row r="308" customFormat="false" ht="15.8" hidden="false" customHeight="false" outlineLevel="0" collapsed="false">
      <c r="A308" s="55" t="s">
        <v>53</v>
      </c>
      <c r="B308" s="27" t="s">
        <v>299</v>
      </c>
      <c r="C308" s="27" t="s">
        <v>55</v>
      </c>
      <c r="D308" s="57" t="s">
        <v>56</v>
      </c>
      <c r="E308" s="62" t="n">
        <v>-59</v>
      </c>
      <c r="F308" s="59" t="n">
        <f aca="false">IF(ISNUMBER(FIND("SALDO ANTERIOR",C308)),0,IF(ISNUMBER(FIND("SALDO DO DIA",C308)),0,IF(ISNUMBER(FIND("SALDO PARCIAL",C308)),0,IF(ISNUMBER(FIND("SDO CTA/APL AUTOMATICAS",C308)),0,IF(ISNUMBER(FIND("APL APLIC AUT MAIS",C308)),0,IF(ISNUMBER(FIND("TEC DEPOSITO",C308)),0,IF(E308&gt;0,0,E308*(-1))))))))</f>
        <v>59</v>
      </c>
      <c r="G308" s="60" t="n">
        <f aca="false">IF(ISNUMBER(FIND("SALDO ANTERIOR",C308)),0,IF(ISNUMBER(FIND("SALDO DO DIA",C308)),0,IF(ISNUMBER(FIND("SDO CTA/APL AUTOMATICAS",C308)),0,IF(ISNUMBER(FIND("TEC DEPOSITO",C308)),0,IF(ISNUMBER(FIND("APL APLIC AUT MAIS",C308)),E308,IF(E308&gt;0,E308,0))))))</f>
        <v>0</v>
      </c>
      <c r="H308" s="61" t="n">
        <v>44287</v>
      </c>
    </row>
    <row r="309" customFormat="false" ht="15.8" hidden="false" customHeight="false" outlineLevel="0" collapsed="false">
      <c r="A309" s="55" t="s">
        <v>59</v>
      </c>
      <c r="B309" s="27" t="s">
        <v>299</v>
      </c>
      <c r="C309" s="27" t="s">
        <v>127</v>
      </c>
      <c r="D309" s="57" t="s">
        <v>56</v>
      </c>
      <c r="E309" s="62" t="n">
        <v>-124.43</v>
      </c>
      <c r="F309" s="59" t="n">
        <f aca="false">IF(ISNUMBER(FIND("SALDO ANTERIOR",C309)),0,IF(ISNUMBER(FIND("SALDO DO DIA",C309)),0,IF(ISNUMBER(FIND("SALDO PARCIAL",C309)),0,IF(ISNUMBER(FIND("SDO CTA/APL AUTOMATICAS",C309)),0,IF(ISNUMBER(FIND("APL APLIC AUT MAIS",C309)),0,IF(ISNUMBER(FIND("TEC DEPOSITO",C309)),0,IF(E309&gt;0,0,E309*(-1))))))))</f>
        <v>124.43</v>
      </c>
      <c r="G309" s="60" t="n">
        <f aca="false">IF(ISNUMBER(FIND("SALDO ANTERIOR",C309)),0,IF(ISNUMBER(FIND("SALDO DO DIA",C309)),0,IF(ISNUMBER(FIND("SDO CTA/APL AUTOMATICAS",C309)),0,IF(ISNUMBER(FIND("TEC DEPOSITO",C309)),0,IF(ISNUMBER(FIND("APL APLIC AUT MAIS",C309)),E309,IF(E309&gt;0,E309,0))))))</f>
        <v>0</v>
      </c>
      <c r="H309" s="61" t="n">
        <v>44287</v>
      </c>
    </row>
    <row r="310" customFormat="false" ht="17" hidden="false" customHeight="false" outlineLevel="0" collapsed="false">
      <c r="A310" s="55" t="s">
        <v>31</v>
      </c>
      <c r="B310" s="27" t="s">
        <v>299</v>
      </c>
      <c r="C310" s="56" t="s">
        <v>120</v>
      </c>
      <c r="D310" s="57"/>
      <c r="E310" s="58"/>
      <c r="F310" s="59" t="n">
        <f aca="false">IF(ISNUMBER(FIND("SALDO ANTERIOR",C310)),0,IF(ISNUMBER(FIND("SALDO DO DIA",C310)),0,IF(ISNUMBER(FIND("SALDO PARCIAL",C310)),0,IF(ISNUMBER(FIND("SDO CTA/APL AUTOMATICAS",C310)),0,IF(ISNUMBER(FIND("APL APLIC AUT MAIS",C310)),0,IF(ISNUMBER(FIND("TEC DEPOSITO",C310)),0,IF(E310&gt;0,0,E310*(-1))))))))</f>
        <v>0</v>
      </c>
      <c r="G310" s="60" t="n">
        <f aca="false">IF(ISNUMBER(FIND("SALDO ANTERIOR",C310)),0,IF(ISNUMBER(FIND("SALDO DO DIA",C310)),0,IF(ISNUMBER(FIND("SDO CTA/APL AUTOMATICAS",C310)),0,IF(ISNUMBER(FIND("TEC DEPOSITO",C310)),0,IF(ISNUMBER(FIND("APL APLIC AUT MAIS",C310)),E310,IF(E310&gt;0,E310,0))))))</f>
        <v>0</v>
      </c>
      <c r="H310" s="61" t="n">
        <v>44287</v>
      </c>
    </row>
    <row r="311" customFormat="false" ht="15.8" hidden="false" customHeight="false" outlineLevel="0" collapsed="false">
      <c r="A311" s="55" t="s">
        <v>87</v>
      </c>
      <c r="B311" s="27" t="s">
        <v>300</v>
      </c>
      <c r="C311" s="27" t="s">
        <v>301</v>
      </c>
      <c r="D311" s="57" t="s">
        <v>72</v>
      </c>
      <c r="E311" s="62" t="n">
        <v>-485.42</v>
      </c>
      <c r="F311" s="59" t="n">
        <f aca="false">IF(ISNUMBER(FIND("SALDO ANTERIOR",C311)),0,IF(ISNUMBER(FIND("SALDO DO DIA",C311)),0,IF(ISNUMBER(FIND("SALDO PARCIAL",C311)),0,IF(ISNUMBER(FIND("SDO CTA/APL AUTOMATICAS",C311)),0,IF(ISNUMBER(FIND("APL APLIC AUT MAIS",C311)),0,IF(ISNUMBER(FIND("TEC DEPOSITO",C311)),0,IF(E311&gt;0,0,E311*(-1))))))))</f>
        <v>485.42</v>
      </c>
      <c r="G311" s="60" t="n">
        <f aca="false">IF(ISNUMBER(FIND("SALDO ANTERIOR",C311)),0,IF(ISNUMBER(FIND("SALDO DO DIA",C311)),0,IF(ISNUMBER(FIND("SDO CTA/APL AUTOMATICAS",C311)),0,IF(ISNUMBER(FIND("TEC DEPOSITO",C311)),0,IF(ISNUMBER(FIND("APL APLIC AUT MAIS",C311)),E311,IF(E311&gt;0,E311,0))))))</f>
        <v>0</v>
      </c>
      <c r="H311" s="61" t="n">
        <v>44287</v>
      </c>
    </row>
    <row r="312" customFormat="false" ht="15.8" hidden="false" customHeight="false" outlineLevel="0" collapsed="false">
      <c r="A312" s="55" t="s">
        <v>136</v>
      </c>
      <c r="B312" s="27" t="s">
        <v>300</v>
      </c>
      <c r="C312" s="27" t="s">
        <v>38</v>
      </c>
      <c r="D312" s="57" t="s">
        <v>72</v>
      </c>
      <c r="E312" s="62" t="n">
        <v>-2000</v>
      </c>
      <c r="F312" s="59" t="n">
        <f aca="false">IF(ISNUMBER(FIND("SALDO ANTERIOR",C312)),0,IF(ISNUMBER(FIND("SALDO DO DIA",C312)),0,IF(ISNUMBER(FIND("SALDO PARCIAL",C312)),0,IF(ISNUMBER(FIND("SDO CTA/APL AUTOMATICAS",C312)),0,IF(ISNUMBER(FIND("APL APLIC AUT MAIS",C312)),0,IF(ISNUMBER(FIND("TEC DEPOSITO",C312)),0,IF(E312&gt;0,0,E312*(-1))))))))</f>
        <v>2000</v>
      </c>
      <c r="G312" s="60" t="n">
        <f aca="false">IF(ISNUMBER(FIND("SALDO ANTERIOR",C312)),0,IF(ISNUMBER(FIND("SALDO DO DIA",C312)),0,IF(ISNUMBER(FIND("SDO CTA/APL AUTOMATICAS",C312)),0,IF(ISNUMBER(FIND("TEC DEPOSITO",C312)),0,IF(ISNUMBER(FIND("APL APLIC AUT MAIS",C312)),E312,IF(E312&gt;0,E312,0))))))</f>
        <v>0</v>
      </c>
      <c r="H312" s="61" t="n">
        <v>44287</v>
      </c>
    </row>
    <row r="313" customFormat="false" ht="15.8" hidden="false" customHeight="false" outlineLevel="0" collapsed="false">
      <c r="A313" s="55" t="s">
        <v>80</v>
      </c>
      <c r="B313" s="27" t="s">
        <v>300</v>
      </c>
      <c r="C313" s="27" t="s">
        <v>302</v>
      </c>
      <c r="D313" s="57" t="s">
        <v>72</v>
      </c>
      <c r="E313" s="62" t="n">
        <v>-86.87</v>
      </c>
      <c r="F313" s="59" t="n">
        <f aca="false">IF(ISNUMBER(FIND("SALDO ANTERIOR",C313)),0,IF(ISNUMBER(FIND("SALDO DO DIA",C313)),0,IF(ISNUMBER(FIND("SALDO PARCIAL",C313)),0,IF(ISNUMBER(FIND("SDO CTA/APL AUTOMATICAS",C313)),0,IF(ISNUMBER(FIND("APL APLIC AUT MAIS",C313)),0,IF(ISNUMBER(FIND("TEC DEPOSITO",C313)),0,IF(E313&gt;0,0,E313*(-1))))))))</f>
        <v>86.87</v>
      </c>
      <c r="G313" s="60" t="n">
        <f aca="false">IF(ISNUMBER(FIND("SALDO ANTERIOR",C313)),0,IF(ISNUMBER(FIND("SALDO DO DIA",C313)),0,IF(ISNUMBER(FIND("SDO CTA/APL AUTOMATICAS",C313)),0,IF(ISNUMBER(FIND("TEC DEPOSITO",C313)),0,IF(ISNUMBER(FIND("APL APLIC AUT MAIS",C313)),E313,IF(E313&gt;0,E313,0))))))</f>
        <v>0</v>
      </c>
      <c r="H313" s="61" t="n">
        <v>44287</v>
      </c>
    </row>
    <row r="314" customFormat="false" ht="15.8" hidden="false" customHeight="false" outlineLevel="0" collapsed="false">
      <c r="A314" s="55" t="s">
        <v>80</v>
      </c>
      <c r="B314" s="27" t="s">
        <v>300</v>
      </c>
      <c r="C314" s="27" t="s">
        <v>303</v>
      </c>
      <c r="D314" s="57" t="s">
        <v>72</v>
      </c>
      <c r="E314" s="62" t="n">
        <v>-52.14</v>
      </c>
      <c r="F314" s="59" t="n">
        <f aca="false">IF(ISNUMBER(FIND("SALDO ANTERIOR",C314)),0,IF(ISNUMBER(FIND("SALDO DO DIA",C314)),0,IF(ISNUMBER(FIND("SALDO PARCIAL",C314)),0,IF(ISNUMBER(FIND("SDO CTA/APL AUTOMATICAS",C314)),0,IF(ISNUMBER(FIND("APL APLIC AUT MAIS",C314)),0,IF(ISNUMBER(FIND("TEC DEPOSITO",C314)),0,IF(E314&gt;0,0,E314*(-1))))))))</f>
        <v>52.14</v>
      </c>
      <c r="G314" s="60" t="n">
        <f aca="false">IF(ISNUMBER(FIND("SALDO ANTERIOR",C314)),0,IF(ISNUMBER(FIND("SALDO DO DIA",C314)),0,IF(ISNUMBER(FIND("SDO CTA/APL AUTOMATICAS",C314)),0,IF(ISNUMBER(FIND("TEC DEPOSITO",C314)),0,IF(ISNUMBER(FIND("APL APLIC AUT MAIS",C314)),E314,IF(E314&gt;0,E314,0))))))</f>
        <v>0</v>
      </c>
      <c r="H314" s="61" t="n">
        <v>44287</v>
      </c>
    </row>
    <row r="315" customFormat="false" ht="15.8" hidden="false" customHeight="false" outlineLevel="0" collapsed="false">
      <c r="A315" s="55" t="s">
        <v>151</v>
      </c>
      <c r="B315" s="27" t="s">
        <v>300</v>
      </c>
      <c r="C315" s="27" t="s">
        <v>304</v>
      </c>
      <c r="D315" s="57" t="s">
        <v>274</v>
      </c>
      <c r="E315" s="62" t="n">
        <v>-25</v>
      </c>
      <c r="F315" s="59" t="n">
        <f aca="false">IF(ISNUMBER(FIND("SALDO ANTERIOR",C315)),0,IF(ISNUMBER(FIND("SALDO DO DIA",C315)),0,IF(ISNUMBER(FIND("SALDO PARCIAL",C315)),0,IF(ISNUMBER(FIND("SDO CTA/APL AUTOMATICAS",C315)),0,IF(ISNUMBER(FIND("APL APLIC AUT MAIS",C315)),0,IF(ISNUMBER(FIND("TEC DEPOSITO",C315)),0,IF(E315&gt;0,0,E315*(-1))))))))</f>
        <v>25</v>
      </c>
      <c r="G315" s="60" t="n">
        <f aca="false">IF(ISNUMBER(FIND("SALDO ANTERIOR",C315)),0,IF(ISNUMBER(FIND("SALDO DO DIA",C315)),0,IF(ISNUMBER(FIND("SDO CTA/APL AUTOMATICAS",C315)),0,IF(ISNUMBER(FIND("TEC DEPOSITO",C315)),0,IF(ISNUMBER(FIND("APL APLIC AUT MAIS",C315)),E315,IF(E315&gt;0,E315,0))))))</f>
        <v>0</v>
      </c>
      <c r="H315" s="61" t="n">
        <v>44287</v>
      </c>
    </row>
    <row r="316" customFormat="false" ht="15.8" hidden="false" customHeight="false" outlineLevel="0" collapsed="false">
      <c r="A316" s="55" t="s">
        <v>108</v>
      </c>
      <c r="B316" s="27" t="s">
        <v>300</v>
      </c>
      <c r="C316" s="27" t="s">
        <v>305</v>
      </c>
      <c r="D316" s="57" t="s">
        <v>306</v>
      </c>
      <c r="E316" s="62" t="n">
        <v>-100</v>
      </c>
      <c r="F316" s="59" t="n">
        <f aca="false">IF(ISNUMBER(FIND("SALDO ANTERIOR",C316)),0,IF(ISNUMBER(FIND("SALDO DO DIA",C316)),0,IF(ISNUMBER(FIND("SALDO PARCIAL",C316)),0,IF(ISNUMBER(FIND("SDO CTA/APL AUTOMATICAS",C316)),0,IF(ISNUMBER(FIND("APL APLIC AUT MAIS",C316)),0,IF(ISNUMBER(FIND("TEC DEPOSITO",C316)),0,IF(E316&gt;0,0,E316*(-1))))))))</f>
        <v>100</v>
      </c>
      <c r="G316" s="60" t="n">
        <f aca="false">IF(ISNUMBER(FIND("SALDO ANTERIOR",C316)),0,IF(ISNUMBER(FIND("SALDO DO DIA",C316)),0,IF(ISNUMBER(FIND("SDO CTA/APL AUTOMATICAS",C316)),0,IF(ISNUMBER(FIND("TEC DEPOSITO",C316)),0,IF(ISNUMBER(FIND("APL APLIC AUT MAIS",C316)),E316,IF(E316&gt;0,E316,0))))))</f>
        <v>0</v>
      </c>
      <c r="H316" s="61" t="n">
        <v>44287</v>
      </c>
    </row>
    <row r="317" customFormat="false" ht="13.8" hidden="false" customHeight="false" outlineLevel="0" collapsed="false">
      <c r="A317" s="55" t="s">
        <v>62</v>
      </c>
      <c r="B317" s="27" t="s">
        <v>300</v>
      </c>
      <c r="C317" s="27" t="s">
        <v>307</v>
      </c>
      <c r="D317" s="57" t="s">
        <v>308</v>
      </c>
      <c r="E317" s="62" t="n">
        <v>-45</v>
      </c>
      <c r="F317" s="59" t="n">
        <f aca="false">IF(ISNUMBER(FIND("SALDO ANTERIOR",C317)),0,IF(ISNUMBER(FIND("SALDO DO DIA",C317)),0,IF(ISNUMBER(FIND("SALDO PARCIAL",C317)),0,IF(ISNUMBER(FIND("SDO CTA/APL AUTOMATICAS",C317)),0,IF(ISNUMBER(FIND("APL APLIC AUT MAIS",C317)),0,IF(ISNUMBER(FIND("TEC DEPOSITO",C317)),0,IF(E317&gt;0,0,E317*(-1))))))))</f>
        <v>45</v>
      </c>
      <c r="G317" s="60" t="n">
        <f aca="false">IF(ISNUMBER(FIND("SALDO ANTERIOR",C317)),0,IF(ISNUMBER(FIND("SALDO DO DIA",C317)),0,IF(ISNUMBER(FIND("SDO CTA/APL AUTOMATICAS",C317)),0,IF(ISNUMBER(FIND("TEC DEPOSITO",C317)),0,IF(ISNUMBER(FIND("APL APLIC AUT MAIS",C317)),E317,IF(E317&gt;0,E317,0))))))</f>
        <v>0</v>
      </c>
      <c r="H317" s="61" t="n">
        <v>44287</v>
      </c>
    </row>
    <row r="318" customFormat="false" ht="15.8" hidden="false" customHeight="false" outlineLevel="0" collapsed="false">
      <c r="A318" s="55" t="s">
        <v>66</v>
      </c>
      <c r="B318" s="27" t="s">
        <v>300</v>
      </c>
      <c r="C318" s="27" t="s">
        <v>309</v>
      </c>
      <c r="D318" s="57" t="s">
        <v>76</v>
      </c>
      <c r="E318" s="62" t="n">
        <v>-79.5</v>
      </c>
      <c r="F318" s="59" t="n">
        <f aca="false">IF(ISNUMBER(FIND("SALDO ANTERIOR",C318)),0,IF(ISNUMBER(FIND("SALDO DO DIA",C318)),0,IF(ISNUMBER(FIND("SALDO PARCIAL",C318)),0,IF(ISNUMBER(FIND("SDO CTA/APL AUTOMATICAS",C318)),0,IF(ISNUMBER(FIND("APL APLIC AUT MAIS",C318)),0,IF(ISNUMBER(FIND("TEC DEPOSITO",C318)),0,IF(E318&gt;0,0,E318*(-1))))))))</f>
        <v>79.5</v>
      </c>
      <c r="G318" s="60" t="n">
        <f aca="false">IF(ISNUMBER(FIND("SALDO ANTERIOR",C318)),0,IF(ISNUMBER(FIND("SALDO DO DIA",C318)),0,IF(ISNUMBER(FIND("SDO CTA/APL AUTOMATICAS",C318)),0,IF(ISNUMBER(FIND("TEC DEPOSITO",C318)),0,IF(ISNUMBER(FIND("APL APLIC AUT MAIS",C318)),E318,IF(E318&gt;0,E318,0))))))</f>
        <v>0</v>
      </c>
      <c r="H318" s="61" t="n">
        <v>44287</v>
      </c>
    </row>
    <row r="319" customFormat="false" ht="15.8" hidden="false" customHeight="false" outlineLevel="0" collapsed="false">
      <c r="A319" s="55" t="s">
        <v>31</v>
      </c>
      <c r="B319" s="27" t="s">
        <v>300</v>
      </c>
      <c r="C319" s="27" t="s">
        <v>310</v>
      </c>
      <c r="D319" s="57"/>
      <c r="E319" s="21" t="n">
        <v>0.01</v>
      </c>
      <c r="F319" s="59" t="n">
        <f aca="false">IF(ISNUMBER(FIND("SALDO ANTERIOR",C319)),0,IF(ISNUMBER(FIND("SALDO DO DIA",C319)),0,IF(ISNUMBER(FIND("SALDO PARCIAL",C319)),0,IF(ISNUMBER(FIND("SDO CTA/APL AUTOMATICAS",C319)),0,IF(ISNUMBER(FIND("APL APLIC AUT MAIS",C319)),0,IF(ISNUMBER(FIND("TEC DEPOSITO",C319)),0,IF(E319&gt;0,0,E319*(-1))))))))</f>
        <v>0</v>
      </c>
      <c r="G319" s="60" t="n">
        <f aca="false">IF(ISNUMBER(FIND("SALDO ANTERIOR",C319)),0,IF(ISNUMBER(FIND("SALDO DO DIA",C319)),0,IF(ISNUMBER(FIND("SDO CTA/APL AUTOMATICAS",C319)),0,IF(ISNUMBER(FIND("TEC DEPOSITO",C319)),0,IF(ISNUMBER(FIND("APL APLIC AUT MAIS",C319)),E319,IF(E319&gt;0,E319,0))))))</f>
        <v>0.01</v>
      </c>
      <c r="H319" s="61" t="n">
        <v>44287</v>
      </c>
    </row>
    <row r="320" customFormat="false" ht="17" hidden="false" customHeight="false" outlineLevel="0" collapsed="false">
      <c r="A320" s="55" t="s">
        <v>31</v>
      </c>
      <c r="B320" s="27" t="s">
        <v>300</v>
      </c>
      <c r="C320" s="56" t="s">
        <v>120</v>
      </c>
      <c r="D320" s="57"/>
      <c r="E320" s="58"/>
      <c r="F320" s="59" t="n">
        <f aca="false">IF(ISNUMBER(FIND("SALDO ANTERIOR",C320)),0,IF(ISNUMBER(FIND("SALDO DO DIA",C320)),0,IF(ISNUMBER(FIND("SALDO PARCIAL",C320)),0,IF(ISNUMBER(FIND("SDO CTA/APL AUTOMATICAS",C320)),0,IF(ISNUMBER(FIND("APL APLIC AUT MAIS",C320)),0,IF(ISNUMBER(FIND("TEC DEPOSITO",C320)),0,IF(E320&gt;0,0,E320*(-1))))))))</f>
        <v>0</v>
      </c>
      <c r="G320" s="60" t="n">
        <f aca="false">IF(ISNUMBER(FIND("SALDO ANTERIOR",C320)),0,IF(ISNUMBER(FIND("SALDO DO DIA",C320)),0,IF(ISNUMBER(FIND("SDO CTA/APL AUTOMATICAS",C320)),0,IF(ISNUMBER(FIND("TEC DEPOSITO",C320)),0,IF(ISNUMBER(FIND("APL APLIC AUT MAIS",C320)),E320,IF(E320&gt;0,E320,0))))))</f>
        <v>0</v>
      </c>
      <c r="H320" s="61" t="n">
        <v>44287</v>
      </c>
    </row>
    <row r="321" customFormat="false" ht="17" hidden="false" customHeight="false" outlineLevel="0" collapsed="false">
      <c r="A321" s="55" t="s">
        <v>31</v>
      </c>
      <c r="B321" s="27" t="s">
        <v>311</v>
      </c>
      <c r="C321" s="56" t="s">
        <v>120</v>
      </c>
      <c r="D321" s="57"/>
      <c r="E321" s="58"/>
      <c r="F321" s="59" t="n">
        <f aca="false">IF(ISNUMBER(FIND("SALDO ANTERIOR",C321)),0,IF(ISNUMBER(FIND("SALDO DO DIA",C321)),0,IF(ISNUMBER(FIND("SALDO PARCIAL",C321)),0,IF(ISNUMBER(FIND("SDO CTA/APL AUTOMATICAS",C321)),0,IF(ISNUMBER(FIND("APL APLIC AUT MAIS",C321)),0,IF(ISNUMBER(FIND("TEC DEPOSITO",C321)),0,IF(E321&gt;0,0,E321*(-1))))))))</f>
        <v>0</v>
      </c>
      <c r="G321" s="60" t="n">
        <f aca="false">IF(ISNUMBER(FIND("SALDO ANTERIOR",C321)),0,IF(ISNUMBER(FIND("SALDO DO DIA",C321)),0,IF(ISNUMBER(FIND("SDO CTA/APL AUTOMATICAS",C321)),0,IF(ISNUMBER(FIND("TEC DEPOSITO",C321)),0,IF(ISNUMBER(FIND("APL APLIC AUT MAIS",C321)),E321,IF(E321&gt;0,E321,0))))))</f>
        <v>0</v>
      </c>
      <c r="H321" s="61" t="n">
        <v>44287</v>
      </c>
    </row>
    <row r="322" customFormat="false" ht="17" hidden="false" customHeight="false" outlineLevel="0" collapsed="false">
      <c r="A322" s="55" t="s">
        <v>31</v>
      </c>
      <c r="B322" s="27" t="s">
        <v>312</v>
      </c>
      <c r="C322" s="56" t="s">
        <v>120</v>
      </c>
      <c r="D322" s="57"/>
      <c r="E322" s="58"/>
      <c r="F322" s="59" t="n">
        <f aca="false">IF(ISNUMBER(FIND("SALDO ANTERIOR",C322)),0,IF(ISNUMBER(FIND("SALDO DO DIA",C322)),0,IF(ISNUMBER(FIND("SALDO PARCIAL",C322)),0,IF(ISNUMBER(FIND("SDO CTA/APL AUTOMATICAS",C322)),0,IF(ISNUMBER(FIND("APL APLIC AUT MAIS",C322)),0,IF(ISNUMBER(FIND("TEC DEPOSITO",C322)),0,IF(E322&gt;0,0,E322*(-1))))))))</f>
        <v>0</v>
      </c>
      <c r="G322" s="60" t="n">
        <f aca="false">IF(ISNUMBER(FIND("SALDO ANTERIOR",C322)),0,IF(ISNUMBER(FIND("SALDO DO DIA",C322)),0,IF(ISNUMBER(FIND("SDO CTA/APL AUTOMATICAS",C322)),0,IF(ISNUMBER(FIND("TEC DEPOSITO",C322)),0,IF(ISNUMBER(FIND("APL APLIC AUT MAIS",C322)),E322,IF(E322&gt;0,E322,0))))))</f>
        <v>0</v>
      </c>
      <c r="H322" s="61" t="n">
        <v>44287</v>
      </c>
    </row>
    <row r="323" customFormat="false" ht="15.8" hidden="false" customHeight="false" outlineLevel="0" collapsed="false">
      <c r="A323" s="55" t="s">
        <v>200</v>
      </c>
      <c r="B323" s="27" t="s">
        <v>313</v>
      </c>
      <c r="C323" s="27" t="s">
        <v>314</v>
      </c>
      <c r="D323" s="57" t="s">
        <v>72</v>
      </c>
      <c r="E323" s="62" t="n">
        <v>-471.06</v>
      </c>
      <c r="F323" s="59" t="n">
        <f aca="false">IF(ISNUMBER(FIND("SALDO ANTERIOR",C323)),0,IF(ISNUMBER(FIND("SALDO DO DIA",C323)),0,IF(ISNUMBER(FIND("SALDO PARCIAL",C323)),0,IF(ISNUMBER(FIND("SDO CTA/APL AUTOMATICAS",C323)),0,IF(ISNUMBER(FIND("APL APLIC AUT MAIS",C323)),0,IF(ISNUMBER(FIND("TEC DEPOSITO",C323)),0,IF(E323&gt;0,0,E323*(-1))))))))</f>
        <v>471.06</v>
      </c>
      <c r="G323" s="60" t="n">
        <f aca="false">IF(ISNUMBER(FIND("SALDO ANTERIOR",C323)),0,IF(ISNUMBER(FIND("SALDO DO DIA",C323)),0,IF(ISNUMBER(FIND("SDO CTA/APL AUTOMATICAS",C323)),0,IF(ISNUMBER(FIND("TEC DEPOSITO",C323)),0,IF(ISNUMBER(FIND("APL APLIC AUT MAIS",C323)),E323,IF(E323&gt;0,E323,0))))))</f>
        <v>0</v>
      </c>
      <c r="H323" s="61" t="n">
        <v>44287</v>
      </c>
    </row>
    <row r="324" customFormat="false" ht="15.8" hidden="false" customHeight="false" outlineLevel="0" collapsed="false">
      <c r="A324" s="55" t="s">
        <v>64</v>
      </c>
      <c r="B324" s="27" t="s">
        <v>313</v>
      </c>
      <c r="C324" s="27" t="s">
        <v>246</v>
      </c>
      <c r="D324" s="57" t="s">
        <v>56</v>
      </c>
      <c r="E324" s="62" t="n">
        <v>-92.09</v>
      </c>
      <c r="F324" s="59" t="n">
        <f aca="false">IF(ISNUMBER(FIND("SALDO ANTERIOR",C324)),0,IF(ISNUMBER(FIND("SALDO DO DIA",C324)),0,IF(ISNUMBER(FIND("SALDO PARCIAL",C324)),0,IF(ISNUMBER(FIND("SDO CTA/APL AUTOMATICAS",C324)),0,IF(ISNUMBER(FIND("APL APLIC AUT MAIS",C324)),0,IF(ISNUMBER(FIND("TEC DEPOSITO",C324)),0,IF(E324&gt;0,0,E324*(-1))))))))</f>
        <v>92.09</v>
      </c>
      <c r="G324" s="60" t="n">
        <f aca="false">IF(ISNUMBER(FIND("SALDO ANTERIOR",C324)),0,IF(ISNUMBER(FIND("SALDO DO DIA",C324)),0,IF(ISNUMBER(FIND("SDO CTA/APL AUTOMATICAS",C324)),0,IF(ISNUMBER(FIND("TEC DEPOSITO",C324)),0,IF(ISNUMBER(FIND("APL APLIC AUT MAIS",C324)),E324,IF(E324&gt;0,E324,0))))))</f>
        <v>0</v>
      </c>
      <c r="H324" s="61" t="n">
        <v>44287</v>
      </c>
    </row>
    <row r="325" customFormat="false" ht="17" hidden="false" customHeight="false" outlineLevel="0" collapsed="false">
      <c r="A325" s="55" t="s">
        <v>31</v>
      </c>
      <c r="B325" s="27" t="s">
        <v>313</v>
      </c>
      <c r="C325" s="56" t="s">
        <v>120</v>
      </c>
      <c r="D325" s="57"/>
      <c r="E325" s="58"/>
      <c r="F325" s="59" t="n">
        <f aca="false">IF(ISNUMBER(FIND("SALDO ANTERIOR",C325)),0,IF(ISNUMBER(FIND("SALDO DO DIA",C325)),0,IF(ISNUMBER(FIND("SALDO PARCIAL",C325)),0,IF(ISNUMBER(FIND("SDO CTA/APL AUTOMATICAS",C325)),0,IF(ISNUMBER(FIND("APL APLIC AUT MAIS",C325)),0,IF(ISNUMBER(FIND("TEC DEPOSITO",C325)),0,IF(E325&gt;0,0,E325*(-1))))))))</f>
        <v>0</v>
      </c>
      <c r="G325" s="60" t="n">
        <f aca="false">IF(ISNUMBER(FIND("SALDO ANTERIOR",C325)),0,IF(ISNUMBER(FIND("SALDO DO DIA",C325)),0,IF(ISNUMBER(FIND("SDO CTA/APL AUTOMATICAS",C325)),0,IF(ISNUMBER(FIND("TEC DEPOSITO",C325)),0,IF(ISNUMBER(FIND("APL APLIC AUT MAIS",C325)),E325,IF(E325&gt;0,E325,0))))))</f>
        <v>0</v>
      </c>
      <c r="H325" s="61" t="n">
        <v>44287</v>
      </c>
    </row>
    <row r="326" customFormat="false" ht="17" hidden="false" customHeight="false" outlineLevel="0" collapsed="false">
      <c r="A326" s="55" t="s">
        <v>31</v>
      </c>
      <c r="B326" s="27" t="s">
        <v>315</v>
      </c>
      <c r="C326" s="56" t="s">
        <v>120</v>
      </c>
      <c r="D326" s="57"/>
      <c r="E326" s="58"/>
      <c r="F326" s="59" t="n">
        <f aca="false">IF(ISNUMBER(FIND("SALDO ANTERIOR",C326)),0,IF(ISNUMBER(FIND("SALDO DO DIA",C326)),0,IF(ISNUMBER(FIND("SALDO PARCIAL",C326)),0,IF(ISNUMBER(FIND("SDO CTA/APL AUTOMATICAS",C326)),0,IF(ISNUMBER(FIND("APL APLIC AUT MAIS",C326)),0,IF(ISNUMBER(FIND("TEC DEPOSITO",C326)),0,IF(E326&gt;0,0,E326*(-1))))))))</f>
        <v>0</v>
      </c>
      <c r="G326" s="60" t="n">
        <f aca="false">IF(ISNUMBER(FIND("SALDO ANTERIOR",C326)),0,IF(ISNUMBER(FIND("SALDO DO DIA",C326)),0,IF(ISNUMBER(FIND("SDO CTA/APL AUTOMATICAS",C326)),0,IF(ISNUMBER(FIND("TEC DEPOSITO",C326)),0,IF(ISNUMBER(FIND("APL APLIC AUT MAIS",C326)),E326,IF(E326&gt;0,E326,0))))))</f>
        <v>0</v>
      </c>
      <c r="H326" s="61" t="n">
        <v>44287</v>
      </c>
    </row>
    <row r="327" customFormat="false" ht="15.8" hidden="false" customHeight="false" outlineLevel="0" collapsed="false">
      <c r="A327" s="55" t="s">
        <v>121</v>
      </c>
      <c r="B327" s="27" t="s">
        <v>316</v>
      </c>
      <c r="C327" s="27" t="s">
        <v>317</v>
      </c>
      <c r="D327" s="57" t="s">
        <v>91</v>
      </c>
      <c r="E327" s="62" t="n">
        <v>-100</v>
      </c>
      <c r="F327" s="59" t="n">
        <f aca="false">IF(ISNUMBER(FIND("SALDO ANTERIOR",C327)),0,IF(ISNUMBER(FIND("SALDO DO DIA",C327)),0,IF(ISNUMBER(FIND("SALDO PARCIAL",C327)),0,IF(ISNUMBER(FIND("SDO CTA/APL AUTOMATICAS",C327)),0,IF(ISNUMBER(FIND("APL APLIC AUT MAIS",C327)),0,IF(ISNUMBER(FIND("TEC DEPOSITO",C327)),0,IF(E327&gt;0,0,E327*(-1))))))))</f>
        <v>100</v>
      </c>
      <c r="G327" s="60" t="n">
        <f aca="false">IF(ISNUMBER(FIND("SALDO ANTERIOR",C327)),0,IF(ISNUMBER(FIND("SALDO DO DIA",C327)),0,IF(ISNUMBER(FIND("SDO CTA/APL AUTOMATICAS",C327)),0,IF(ISNUMBER(FIND("TEC DEPOSITO",C327)),0,IF(ISNUMBER(FIND("APL APLIC AUT MAIS",C327)),E327,IF(E327&gt;0,E327,0))))))</f>
        <v>0</v>
      </c>
      <c r="H327" s="61" t="n">
        <v>44287</v>
      </c>
    </row>
    <row r="328" customFormat="false" ht="15.8" hidden="false" customHeight="false" outlineLevel="0" collapsed="false">
      <c r="A328" s="55" t="s">
        <v>121</v>
      </c>
      <c r="B328" s="27" t="s">
        <v>316</v>
      </c>
      <c r="C328" s="27" t="s">
        <v>318</v>
      </c>
      <c r="D328" s="57" t="s">
        <v>91</v>
      </c>
      <c r="E328" s="62" t="n">
        <v>-40</v>
      </c>
      <c r="F328" s="59" t="n">
        <f aca="false">IF(ISNUMBER(FIND("SALDO ANTERIOR",C328)),0,IF(ISNUMBER(FIND("SALDO DO DIA",C328)),0,IF(ISNUMBER(FIND("SALDO PARCIAL",C328)),0,IF(ISNUMBER(FIND("SDO CTA/APL AUTOMATICAS",C328)),0,IF(ISNUMBER(FIND("APL APLIC AUT MAIS",C328)),0,IF(ISNUMBER(FIND("TEC DEPOSITO",C328)),0,IF(E328&gt;0,0,E328*(-1))))))))</f>
        <v>40</v>
      </c>
      <c r="G328" s="60" t="n">
        <f aca="false">IF(ISNUMBER(FIND("SALDO ANTERIOR",C328)),0,IF(ISNUMBER(FIND("SALDO DO DIA",C328)),0,IF(ISNUMBER(FIND("SDO CTA/APL AUTOMATICAS",C328)),0,IF(ISNUMBER(FIND("TEC DEPOSITO",C328)),0,IF(ISNUMBER(FIND("APL APLIC AUT MAIS",C328)),E328,IF(E328&gt;0,E328,0))))))</f>
        <v>0</v>
      </c>
      <c r="H328" s="61" t="n">
        <v>44287</v>
      </c>
    </row>
    <row r="329" customFormat="false" ht="15.8" hidden="false" customHeight="false" outlineLevel="0" collapsed="false">
      <c r="A329" s="55" t="s">
        <v>159</v>
      </c>
      <c r="B329" s="27" t="s">
        <v>316</v>
      </c>
      <c r="C329" s="27" t="s">
        <v>161</v>
      </c>
      <c r="D329" s="57" t="s">
        <v>56</v>
      </c>
      <c r="E329" s="62" t="n">
        <v>-12.98</v>
      </c>
      <c r="F329" s="59" t="n">
        <f aca="false">IF(ISNUMBER(FIND("SALDO ANTERIOR",C329)),0,IF(ISNUMBER(FIND("SALDO DO DIA",C329)),0,IF(ISNUMBER(FIND("SALDO PARCIAL",C329)),0,IF(ISNUMBER(FIND("SDO CTA/APL AUTOMATICAS",C329)),0,IF(ISNUMBER(FIND("APL APLIC AUT MAIS",C329)),0,IF(ISNUMBER(FIND("TEC DEPOSITO",C329)),0,IF(E329&gt;0,0,E329*(-1))))))))</f>
        <v>12.98</v>
      </c>
      <c r="G329" s="60" t="n">
        <f aca="false">IF(ISNUMBER(FIND("SALDO ANTERIOR",C329)),0,IF(ISNUMBER(FIND("SALDO DO DIA",C329)),0,IF(ISNUMBER(FIND("SDO CTA/APL AUTOMATICAS",C329)),0,IF(ISNUMBER(FIND("TEC DEPOSITO",C329)),0,IF(ISNUMBER(FIND("APL APLIC AUT MAIS",C329)),E329,IF(E329&gt;0,E329,0))))))</f>
        <v>0</v>
      </c>
      <c r="H329" s="61" t="n">
        <v>44287</v>
      </c>
    </row>
    <row r="330" customFormat="false" ht="15.8" hidden="false" customHeight="false" outlineLevel="0" collapsed="false">
      <c r="A330" s="55" t="s">
        <v>103</v>
      </c>
      <c r="B330" s="27" t="s">
        <v>316</v>
      </c>
      <c r="C330" s="27" t="s">
        <v>130</v>
      </c>
      <c r="D330" s="57" t="s">
        <v>56</v>
      </c>
      <c r="E330" s="62" t="n">
        <v>-50</v>
      </c>
      <c r="F330" s="59" t="n">
        <f aca="false">IF(ISNUMBER(FIND("SALDO ANTERIOR",C330)),0,IF(ISNUMBER(FIND("SALDO DO DIA",C330)),0,IF(ISNUMBER(FIND("SALDO PARCIAL",C330)),0,IF(ISNUMBER(FIND("SDO CTA/APL AUTOMATICAS",C330)),0,IF(ISNUMBER(FIND("APL APLIC AUT MAIS",C330)),0,IF(ISNUMBER(FIND("TEC DEPOSITO",C330)),0,IF(E330&gt;0,0,E330*(-1))))))))</f>
        <v>50</v>
      </c>
      <c r="G330" s="60" t="n">
        <f aca="false">IF(ISNUMBER(FIND("SALDO ANTERIOR",C330)),0,IF(ISNUMBER(FIND("SALDO DO DIA",C330)),0,IF(ISNUMBER(FIND("SDO CTA/APL AUTOMATICAS",C330)),0,IF(ISNUMBER(FIND("TEC DEPOSITO",C330)),0,IF(ISNUMBER(FIND("APL APLIC AUT MAIS",C330)),E330,IF(E330&gt;0,E330,0))))))</f>
        <v>0</v>
      </c>
      <c r="H330" s="61" t="n">
        <v>44287</v>
      </c>
    </row>
    <row r="331" customFormat="false" ht="13.8" hidden="false" customHeight="false" outlineLevel="0" collapsed="false">
      <c r="A331" s="55" t="s">
        <v>62</v>
      </c>
      <c r="B331" s="27" t="s">
        <v>316</v>
      </c>
      <c r="C331" s="27" t="s">
        <v>113</v>
      </c>
      <c r="D331" s="57" t="s">
        <v>56</v>
      </c>
      <c r="E331" s="62" t="n">
        <v>-15</v>
      </c>
      <c r="F331" s="59" t="n">
        <f aca="false">IF(ISNUMBER(FIND("SALDO ANTERIOR",C331)),0,IF(ISNUMBER(FIND("SALDO DO DIA",C331)),0,IF(ISNUMBER(FIND("SALDO PARCIAL",C331)),0,IF(ISNUMBER(FIND("SDO CTA/APL AUTOMATICAS",C331)),0,IF(ISNUMBER(FIND("APL APLIC AUT MAIS",C331)),0,IF(ISNUMBER(FIND("TEC DEPOSITO",C331)),0,IF(E331&gt;0,0,E331*(-1))))))))</f>
        <v>15</v>
      </c>
      <c r="G331" s="60" t="n">
        <f aca="false">IF(ISNUMBER(FIND("SALDO ANTERIOR",C331)),0,IF(ISNUMBER(FIND("SALDO DO DIA",C331)),0,IF(ISNUMBER(FIND("SDO CTA/APL AUTOMATICAS",C331)),0,IF(ISNUMBER(FIND("TEC DEPOSITO",C331)),0,IF(ISNUMBER(FIND("APL APLIC AUT MAIS",C331)),E331,IF(E331&gt;0,E331,0))))))</f>
        <v>0</v>
      </c>
      <c r="H331" s="61" t="n">
        <v>44287</v>
      </c>
    </row>
    <row r="332" customFormat="false" ht="15.8" hidden="false" customHeight="false" outlineLevel="0" collapsed="false">
      <c r="A332" s="55" t="s">
        <v>66</v>
      </c>
      <c r="B332" s="27" t="s">
        <v>316</v>
      </c>
      <c r="C332" s="27" t="s">
        <v>107</v>
      </c>
      <c r="D332" s="57" t="s">
        <v>76</v>
      </c>
      <c r="E332" s="62" t="n">
        <v>-6.94</v>
      </c>
      <c r="F332" s="59" t="n">
        <f aca="false">IF(ISNUMBER(FIND("SALDO ANTERIOR",C332)),0,IF(ISNUMBER(FIND("SALDO DO DIA",C332)),0,IF(ISNUMBER(FIND("SALDO PARCIAL",C332)),0,IF(ISNUMBER(FIND("SDO CTA/APL AUTOMATICAS",C332)),0,IF(ISNUMBER(FIND("APL APLIC AUT MAIS",C332)),0,IF(ISNUMBER(FIND("TEC DEPOSITO",C332)),0,IF(E332&gt;0,0,E332*(-1))))))))</f>
        <v>6.94</v>
      </c>
      <c r="G332" s="60" t="n">
        <f aca="false">IF(ISNUMBER(FIND("SALDO ANTERIOR",C332)),0,IF(ISNUMBER(FIND("SALDO DO DIA",C332)),0,IF(ISNUMBER(FIND("SDO CTA/APL AUTOMATICAS",C332)),0,IF(ISNUMBER(FIND("TEC DEPOSITO",C332)),0,IF(ISNUMBER(FIND("APL APLIC AUT MAIS",C332)),E332,IF(E332&gt;0,E332,0))))))</f>
        <v>0</v>
      </c>
      <c r="H332" s="61" t="n">
        <v>44287</v>
      </c>
    </row>
    <row r="333" customFormat="false" ht="15.8" hidden="false" customHeight="false" outlineLevel="0" collapsed="false">
      <c r="A333" s="55" t="s">
        <v>108</v>
      </c>
      <c r="B333" s="27" t="s">
        <v>316</v>
      </c>
      <c r="C333" s="27" t="s">
        <v>109</v>
      </c>
      <c r="D333" s="57" t="s">
        <v>76</v>
      </c>
      <c r="E333" s="62" t="n">
        <v>-75</v>
      </c>
      <c r="F333" s="59" t="n">
        <f aca="false">IF(ISNUMBER(FIND("SALDO ANTERIOR",C333)),0,IF(ISNUMBER(FIND("SALDO DO DIA",C333)),0,IF(ISNUMBER(FIND("SALDO PARCIAL",C333)),0,IF(ISNUMBER(FIND("SDO CTA/APL AUTOMATICAS",C333)),0,IF(ISNUMBER(FIND("APL APLIC AUT MAIS",C333)),0,IF(ISNUMBER(FIND("TEC DEPOSITO",C333)),0,IF(E333&gt;0,0,E333*(-1))))))))</f>
        <v>75</v>
      </c>
      <c r="G333" s="60" t="n">
        <f aca="false">IF(ISNUMBER(FIND("SALDO ANTERIOR",C333)),0,IF(ISNUMBER(FIND("SALDO DO DIA",C333)),0,IF(ISNUMBER(FIND("SDO CTA/APL AUTOMATICAS",C333)),0,IF(ISNUMBER(FIND("TEC DEPOSITO",C333)),0,IF(ISNUMBER(FIND("APL APLIC AUT MAIS",C333)),E333,IF(E333&gt;0,E333,0))))))</f>
        <v>0</v>
      </c>
      <c r="H333" s="61" t="n">
        <v>44287</v>
      </c>
    </row>
    <row r="334" customFormat="false" ht="17" hidden="false" customHeight="false" outlineLevel="0" collapsed="false">
      <c r="A334" s="55" t="s">
        <v>31</v>
      </c>
      <c r="B334" s="27" t="s">
        <v>316</v>
      </c>
      <c r="C334" s="56" t="s">
        <v>68</v>
      </c>
      <c r="D334" s="57"/>
      <c r="E334" s="58"/>
      <c r="F334" s="59" t="n">
        <f aca="false">IF(ISNUMBER(FIND("SALDO ANTERIOR",C334)),0,IF(ISNUMBER(FIND("SALDO DO DIA",C334)),0,IF(ISNUMBER(FIND("SALDO PARCIAL",C334)),0,IF(ISNUMBER(FIND("SDO CTA/APL AUTOMATICAS",C334)),0,IF(ISNUMBER(FIND("APL APLIC AUT MAIS",C334)),0,IF(ISNUMBER(FIND("TEC DEPOSITO",C334)),0,IF(E334&gt;0,0,E334*(-1))))))))</f>
        <v>0</v>
      </c>
      <c r="G334" s="60" t="n">
        <f aca="false">IF(ISNUMBER(FIND("SALDO ANTERIOR",C334)),0,IF(ISNUMBER(FIND("SALDO DO DIA",C334)),0,IF(ISNUMBER(FIND("SDO CTA/APL AUTOMATICAS",C334)),0,IF(ISNUMBER(FIND("TEC DEPOSITO",C334)),0,IF(ISNUMBER(FIND("APL APLIC AUT MAIS",C334)),E334,IF(E334&gt;0,E334,0))))))</f>
        <v>0</v>
      </c>
      <c r="H334" s="61" t="n">
        <v>44287</v>
      </c>
    </row>
    <row r="335" customFormat="false" ht="15.8" hidden="false" customHeight="false" outlineLevel="0" collapsed="false">
      <c r="A335" s="55" t="s">
        <v>53</v>
      </c>
      <c r="B335" s="27" t="s">
        <v>319</v>
      </c>
      <c r="C335" s="27" t="s">
        <v>55</v>
      </c>
      <c r="D335" s="57" t="s">
        <v>56</v>
      </c>
      <c r="E335" s="62" t="n">
        <v>-28.76</v>
      </c>
      <c r="F335" s="59" t="n">
        <f aca="false">IF(ISNUMBER(FIND("SALDO ANTERIOR",C335)),0,IF(ISNUMBER(FIND("SALDO DO DIA",C335)),0,IF(ISNUMBER(FIND("SALDO PARCIAL",C335)),0,IF(ISNUMBER(FIND("SDO CTA/APL AUTOMATICAS",C335)),0,IF(ISNUMBER(FIND("APL APLIC AUT MAIS",C335)),0,IF(ISNUMBER(FIND("TEC DEPOSITO",C335)),0,IF(E335&gt;0,0,E335*(-1))))))))</f>
        <v>28.76</v>
      </c>
      <c r="G335" s="60" t="n">
        <f aca="false">IF(ISNUMBER(FIND("SALDO ANTERIOR",C335)),0,IF(ISNUMBER(FIND("SALDO DO DIA",C335)),0,IF(ISNUMBER(FIND("SDO CTA/APL AUTOMATICAS",C335)),0,IF(ISNUMBER(FIND("TEC DEPOSITO",C335)),0,IF(ISNUMBER(FIND("APL APLIC AUT MAIS",C335)),E335,IF(E335&gt;0,E335,0))))))</f>
        <v>0</v>
      </c>
      <c r="H335" s="61" t="n">
        <v>44287</v>
      </c>
    </row>
    <row r="336" customFormat="false" ht="15.8" hidden="false" customHeight="false" outlineLevel="0" collapsed="false">
      <c r="A336" s="55" t="s">
        <v>69</v>
      </c>
      <c r="B336" s="27" t="s">
        <v>319</v>
      </c>
      <c r="C336" s="27" t="s">
        <v>320</v>
      </c>
      <c r="D336" s="57" t="s">
        <v>306</v>
      </c>
      <c r="E336" s="62" t="n">
        <v>-422</v>
      </c>
      <c r="F336" s="59" t="n">
        <f aca="false">IF(ISNUMBER(FIND("SALDO ANTERIOR",C336)),0,IF(ISNUMBER(FIND("SALDO DO DIA",C336)),0,IF(ISNUMBER(FIND("SALDO PARCIAL",C336)),0,IF(ISNUMBER(FIND("SDO CTA/APL AUTOMATICAS",C336)),0,IF(ISNUMBER(FIND("APL APLIC AUT MAIS",C336)),0,IF(ISNUMBER(FIND("TEC DEPOSITO",C336)),0,IF(E336&gt;0,0,E336*(-1))))))))</f>
        <v>422</v>
      </c>
      <c r="G336" s="60" t="n">
        <f aca="false">IF(ISNUMBER(FIND("SALDO ANTERIOR",C336)),0,IF(ISNUMBER(FIND("SALDO DO DIA",C336)),0,IF(ISNUMBER(FIND("SDO CTA/APL AUTOMATICAS",C336)),0,IF(ISNUMBER(FIND("TEC DEPOSITO",C336)),0,IF(ISNUMBER(FIND("APL APLIC AUT MAIS",C336)),E336,IF(E336&gt;0,E336,0))))))</f>
        <v>0</v>
      </c>
      <c r="H336" s="61" t="n">
        <v>44287</v>
      </c>
    </row>
    <row r="337" customFormat="false" ht="17" hidden="false" customHeight="false" outlineLevel="0" collapsed="false">
      <c r="A337" s="55" t="s">
        <v>31</v>
      </c>
      <c r="B337" s="27" t="s">
        <v>319</v>
      </c>
      <c r="C337" s="56" t="s">
        <v>68</v>
      </c>
      <c r="D337" s="57"/>
      <c r="E337" s="58"/>
      <c r="F337" s="59" t="n">
        <f aca="false">IF(ISNUMBER(FIND("SALDO ANTERIOR",C337)),0,IF(ISNUMBER(FIND("SALDO DO DIA",C337)),0,IF(ISNUMBER(FIND("SALDO PARCIAL",C337)),0,IF(ISNUMBER(FIND("SDO CTA/APL AUTOMATICAS",C337)),0,IF(ISNUMBER(FIND("APL APLIC AUT MAIS",C337)),0,IF(ISNUMBER(FIND("TEC DEPOSITO",C337)),0,IF(E337&gt;0,0,E337*(-1))))))))</f>
        <v>0</v>
      </c>
      <c r="G337" s="60" t="n">
        <f aca="false">IF(ISNUMBER(FIND("SALDO ANTERIOR",C337)),0,IF(ISNUMBER(FIND("SALDO DO DIA",C337)),0,IF(ISNUMBER(FIND("SDO CTA/APL AUTOMATICAS",C337)),0,IF(ISNUMBER(FIND("TEC DEPOSITO",C337)),0,IF(ISNUMBER(FIND("APL APLIC AUT MAIS",C337)),E337,IF(E337&gt;0,E337,0))))))</f>
        <v>0</v>
      </c>
      <c r="H337" s="61" t="n">
        <v>44287</v>
      </c>
    </row>
    <row r="338" customFormat="false" ht="15.8" hidden="false" customHeight="false" outlineLevel="0" collapsed="false">
      <c r="A338" s="55" t="s">
        <v>271</v>
      </c>
      <c r="B338" s="27" t="s">
        <v>321</v>
      </c>
      <c r="C338" s="27" t="s">
        <v>322</v>
      </c>
      <c r="D338" s="57" t="s">
        <v>308</v>
      </c>
      <c r="E338" s="62" t="n">
        <v>-539.2</v>
      </c>
      <c r="F338" s="59" t="n">
        <f aca="false">IF(ISNUMBER(FIND("SALDO ANTERIOR",C338)),0,IF(ISNUMBER(FIND("SALDO DO DIA",C338)),0,IF(ISNUMBER(FIND("SALDO PARCIAL",C338)),0,IF(ISNUMBER(FIND("SDO CTA/APL AUTOMATICAS",C338)),0,IF(ISNUMBER(FIND("APL APLIC AUT MAIS",C338)),0,IF(ISNUMBER(FIND("TEC DEPOSITO",C338)),0,IF(E338&gt;0,0,E338*(-1))))))))</f>
        <v>539.2</v>
      </c>
      <c r="G338" s="60" t="n">
        <f aca="false">IF(ISNUMBER(FIND("SALDO ANTERIOR",C338)),0,IF(ISNUMBER(FIND("SALDO DO DIA",C338)),0,IF(ISNUMBER(FIND("SDO CTA/APL AUTOMATICAS",C338)),0,IF(ISNUMBER(FIND("TEC DEPOSITO",C338)),0,IF(ISNUMBER(FIND("APL APLIC AUT MAIS",C338)),E338,IF(E338&gt;0,E338,0))))))</f>
        <v>0</v>
      </c>
      <c r="H338" s="61" t="n">
        <v>44287</v>
      </c>
    </row>
    <row r="339" customFormat="false" ht="15.8" hidden="false" customHeight="false" outlineLevel="0" collapsed="false">
      <c r="A339" s="55" t="s">
        <v>194</v>
      </c>
      <c r="B339" s="27" t="s">
        <v>321</v>
      </c>
      <c r="C339" s="27" t="s">
        <v>35</v>
      </c>
      <c r="D339" s="57"/>
      <c r="E339" s="21" t="n">
        <v>150</v>
      </c>
      <c r="F339" s="59" t="n">
        <f aca="false">IF(ISNUMBER(FIND("SALDO ANTERIOR",C339)),0,IF(ISNUMBER(FIND("SALDO DO DIA",C339)),0,IF(ISNUMBER(FIND("SALDO PARCIAL",C339)),0,IF(ISNUMBER(FIND("SDO CTA/APL AUTOMATICAS",C339)),0,IF(ISNUMBER(FIND("APL APLIC AUT MAIS",C339)),0,IF(ISNUMBER(FIND("TEC DEPOSITO",C339)),0,IF(E339&gt;0,0,E339*(-1))))))))</f>
        <v>0</v>
      </c>
      <c r="G339" s="60" t="n">
        <f aca="false">IF(ISNUMBER(FIND("SALDO ANTERIOR",C339)),0,IF(ISNUMBER(FIND("SALDO DO DIA",C339)),0,IF(ISNUMBER(FIND("SDO CTA/APL AUTOMATICAS",C339)),0,IF(ISNUMBER(FIND("TEC DEPOSITO",C339)),0,IF(ISNUMBER(FIND("APL APLIC AUT MAIS",C339)),E339,IF(E339&gt;0,E339,0))))))</f>
        <v>150</v>
      </c>
      <c r="H339" s="61" t="n">
        <v>44287</v>
      </c>
    </row>
    <row r="340" customFormat="false" ht="15.8" hidden="false" customHeight="false" outlineLevel="0" collapsed="false">
      <c r="A340" s="55" t="s">
        <v>59</v>
      </c>
      <c r="B340" s="27" t="s">
        <v>321</v>
      </c>
      <c r="C340" s="27" t="s">
        <v>323</v>
      </c>
      <c r="D340" s="57" t="s">
        <v>257</v>
      </c>
      <c r="E340" s="21" t="n">
        <v>5392</v>
      </c>
      <c r="F340" s="59" t="n">
        <f aca="false">IF(ISNUMBER(FIND("SALDO ANTERIOR",C340)),0,IF(ISNUMBER(FIND("SALDO DO DIA",C340)),0,IF(ISNUMBER(FIND("SALDO PARCIAL",C340)),0,IF(ISNUMBER(FIND("SDO CTA/APL AUTOMATICAS",C340)),0,IF(ISNUMBER(FIND("APL APLIC AUT MAIS",C340)),0,IF(ISNUMBER(FIND("TEC DEPOSITO",C340)),0,IF(E340&gt;0,0,E340*(-1))))))))</f>
        <v>0</v>
      </c>
      <c r="G340" s="60" t="n">
        <f aca="false">IF(ISNUMBER(FIND("SALDO ANTERIOR",C340)),0,IF(ISNUMBER(FIND("SALDO DO DIA",C340)),0,IF(ISNUMBER(FIND("SDO CTA/APL AUTOMATICAS",C340)),0,IF(ISNUMBER(FIND("TEC DEPOSITO",C340)),0,IF(ISNUMBER(FIND("APL APLIC AUT MAIS",C340)),E340,IF(E340&gt;0,E340,0))))))</f>
        <v>5392</v>
      </c>
      <c r="H340" s="61" t="n">
        <v>44287</v>
      </c>
    </row>
    <row r="341" customFormat="false" ht="17" hidden="false" customHeight="false" outlineLevel="0" collapsed="false">
      <c r="A341" s="55" t="s">
        <v>31</v>
      </c>
      <c r="B341" s="27" t="s">
        <v>321</v>
      </c>
      <c r="C341" s="56" t="s">
        <v>120</v>
      </c>
      <c r="D341" s="57"/>
      <c r="E341" s="58"/>
      <c r="F341" s="59" t="n">
        <f aca="false">IF(ISNUMBER(FIND("SALDO ANTERIOR",C341)),0,IF(ISNUMBER(FIND("SALDO DO DIA",C341)),0,IF(ISNUMBER(FIND("SALDO PARCIAL",C341)),0,IF(ISNUMBER(FIND("SDO CTA/APL AUTOMATICAS",C341)),0,IF(ISNUMBER(FIND("APL APLIC AUT MAIS",C341)),0,IF(ISNUMBER(FIND("TEC DEPOSITO",C341)),0,IF(E341&gt;0,0,E341*(-1))))))))</f>
        <v>0</v>
      </c>
      <c r="G341" s="60" t="n">
        <f aca="false">IF(ISNUMBER(FIND("SALDO ANTERIOR",C341)),0,IF(ISNUMBER(FIND("SALDO DO DIA",C341)),0,IF(ISNUMBER(FIND("SDO CTA/APL AUTOMATICAS",C341)),0,IF(ISNUMBER(FIND("TEC DEPOSITO",C341)),0,IF(ISNUMBER(FIND("APL APLIC AUT MAIS",C341)),E341,IF(E341&gt;0,E341,0))))))</f>
        <v>0</v>
      </c>
      <c r="H341" s="61" t="n">
        <v>44287</v>
      </c>
    </row>
    <row r="342" customFormat="false" ht="15.8" hidden="false" customHeight="false" outlineLevel="0" collapsed="false">
      <c r="A342" s="55" t="s">
        <v>64</v>
      </c>
      <c r="B342" s="27" t="s">
        <v>324</v>
      </c>
      <c r="C342" s="27" t="s">
        <v>246</v>
      </c>
      <c r="D342" s="57" t="s">
        <v>56</v>
      </c>
      <c r="E342" s="62" t="n">
        <v>-60.08</v>
      </c>
      <c r="F342" s="59" t="n">
        <f aca="false">IF(ISNUMBER(FIND("SALDO ANTERIOR",C342)),0,IF(ISNUMBER(FIND("SALDO DO DIA",C342)),0,IF(ISNUMBER(FIND("SALDO PARCIAL",C342)),0,IF(ISNUMBER(FIND("SDO CTA/APL AUTOMATICAS",C342)),0,IF(ISNUMBER(FIND("APL APLIC AUT MAIS",C342)),0,IF(ISNUMBER(FIND("TEC DEPOSITO",C342)),0,IF(E342&gt;0,0,E342*(-1))))))))</f>
        <v>60.08</v>
      </c>
      <c r="G342" s="60" t="n">
        <f aca="false">IF(ISNUMBER(FIND("SALDO ANTERIOR",C342)),0,IF(ISNUMBER(FIND("SALDO DO DIA",C342)),0,IF(ISNUMBER(FIND("SDO CTA/APL AUTOMATICAS",C342)),0,IF(ISNUMBER(FIND("TEC DEPOSITO",C342)),0,IF(ISNUMBER(FIND("APL APLIC AUT MAIS",C342)),E342,IF(E342&gt;0,E342,0))))))</f>
        <v>0</v>
      </c>
      <c r="H342" s="61" t="n">
        <v>44287</v>
      </c>
    </row>
    <row r="343" customFormat="false" ht="15.8" hidden="false" customHeight="false" outlineLevel="0" collapsed="false">
      <c r="A343" s="55" t="s">
        <v>134</v>
      </c>
      <c r="B343" s="27" t="s">
        <v>324</v>
      </c>
      <c r="C343" s="27" t="s">
        <v>135</v>
      </c>
      <c r="D343" s="57" t="s">
        <v>72</v>
      </c>
      <c r="E343" s="62" t="n">
        <v>-5465.37</v>
      </c>
      <c r="F343" s="59" t="n">
        <f aca="false">IF(ISNUMBER(FIND("SALDO ANTERIOR",C343)),0,IF(ISNUMBER(FIND("SALDO DO DIA",C343)),0,IF(ISNUMBER(FIND("SALDO PARCIAL",C343)),0,IF(ISNUMBER(FIND("SDO CTA/APL AUTOMATICAS",C343)),0,IF(ISNUMBER(FIND("APL APLIC AUT MAIS",C343)),0,IF(ISNUMBER(FIND("TEC DEPOSITO",C343)),0,IF(E343&gt;0,0,E343*(-1))))))))</f>
        <v>5465.37</v>
      </c>
      <c r="G343" s="60" t="n">
        <f aca="false">IF(ISNUMBER(FIND("SALDO ANTERIOR",C343)),0,IF(ISNUMBER(FIND("SALDO DO DIA",C343)),0,IF(ISNUMBER(FIND("SDO CTA/APL AUTOMATICAS",C343)),0,IF(ISNUMBER(FIND("TEC DEPOSITO",C343)),0,IF(ISNUMBER(FIND("APL APLIC AUT MAIS",C343)),E343,IF(E343&gt;0,E343,0))))))</f>
        <v>0</v>
      </c>
      <c r="H343" s="61" t="n">
        <v>44287</v>
      </c>
    </row>
    <row r="344" customFormat="false" ht="17" hidden="false" customHeight="false" outlineLevel="0" collapsed="false">
      <c r="A344" s="55" t="s">
        <v>31</v>
      </c>
      <c r="B344" s="27" t="s">
        <v>324</v>
      </c>
      <c r="C344" s="56" t="s">
        <v>68</v>
      </c>
      <c r="D344" s="57"/>
      <c r="E344" s="58"/>
      <c r="F344" s="59" t="n">
        <f aca="false">IF(ISNUMBER(FIND("SALDO ANTERIOR",C344)),0,IF(ISNUMBER(FIND("SALDO DO DIA",C344)),0,IF(ISNUMBER(FIND("SALDO PARCIAL",C344)),0,IF(ISNUMBER(FIND("SDO CTA/APL AUTOMATICAS",C344)),0,IF(ISNUMBER(FIND("APL APLIC AUT MAIS",C344)),0,IF(ISNUMBER(FIND("TEC DEPOSITO",C344)),0,IF(E344&gt;0,0,E344*(-1))))))))</f>
        <v>0</v>
      </c>
      <c r="G344" s="60" t="n">
        <f aca="false">IF(ISNUMBER(FIND("SALDO ANTERIOR",C344)),0,IF(ISNUMBER(FIND("SALDO DO DIA",C344)),0,IF(ISNUMBER(FIND("SDO CTA/APL AUTOMATICAS",C344)),0,IF(ISNUMBER(FIND("TEC DEPOSITO",C344)),0,IF(ISNUMBER(FIND("APL APLIC AUT MAIS",C344)),E344,IF(E344&gt;0,E344,0))))))</f>
        <v>0</v>
      </c>
      <c r="H344" s="61" t="n">
        <v>44287</v>
      </c>
    </row>
    <row r="345" customFormat="false" ht="15.8" hidden="false" customHeight="false" outlineLevel="0" collapsed="false">
      <c r="A345" s="55" t="s">
        <v>53</v>
      </c>
      <c r="B345" s="27" t="s">
        <v>325</v>
      </c>
      <c r="C345" s="27" t="s">
        <v>55</v>
      </c>
      <c r="D345" s="57" t="s">
        <v>56</v>
      </c>
      <c r="E345" s="62" t="n">
        <v>-14.66</v>
      </c>
      <c r="F345" s="59" t="n">
        <f aca="false">IF(ISNUMBER(FIND("SALDO ANTERIOR",C345)),0,IF(ISNUMBER(FIND("SALDO DO DIA",C345)),0,IF(ISNUMBER(FIND("SALDO PARCIAL",C345)),0,IF(ISNUMBER(FIND("SDO CTA/APL AUTOMATICAS",C345)),0,IF(ISNUMBER(FIND("APL APLIC AUT MAIS",C345)),0,IF(ISNUMBER(FIND("TEC DEPOSITO",C345)),0,IF(E345&gt;0,0,E345*(-1))))))))</f>
        <v>14.66</v>
      </c>
      <c r="G345" s="60" t="n">
        <f aca="false">IF(ISNUMBER(FIND("SALDO ANTERIOR",C345)),0,IF(ISNUMBER(FIND("SALDO DO DIA",C345)),0,IF(ISNUMBER(FIND("SDO CTA/APL AUTOMATICAS",C345)),0,IF(ISNUMBER(FIND("TEC DEPOSITO",C345)),0,IF(ISNUMBER(FIND("APL APLIC AUT MAIS",C345)),E345,IF(E345&gt;0,E345,0))))))</f>
        <v>0</v>
      </c>
      <c r="H345" s="61" t="n">
        <v>44287</v>
      </c>
    </row>
    <row r="346" customFormat="false" ht="15.8" hidden="false" customHeight="false" outlineLevel="0" collapsed="false">
      <c r="A346" s="55" t="s">
        <v>59</v>
      </c>
      <c r="B346" s="27" t="s">
        <v>325</v>
      </c>
      <c r="C346" s="27" t="s">
        <v>326</v>
      </c>
      <c r="D346" s="57" t="s">
        <v>56</v>
      </c>
      <c r="E346" s="62" t="n">
        <v>-35</v>
      </c>
      <c r="F346" s="59" t="n">
        <f aca="false">IF(ISNUMBER(FIND("SALDO ANTERIOR",C346)),0,IF(ISNUMBER(FIND("SALDO DO DIA",C346)),0,IF(ISNUMBER(FIND("SALDO PARCIAL",C346)),0,IF(ISNUMBER(FIND("SDO CTA/APL AUTOMATICAS",C346)),0,IF(ISNUMBER(FIND("APL APLIC AUT MAIS",C346)),0,IF(ISNUMBER(FIND("TEC DEPOSITO",C346)),0,IF(E346&gt;0,0,E346*(-1))))))))</f>
        <v>35</v>
      </c>
      <c r="G346" s="60" t="n">
        <f aca="false">IF(ISNUMBER(FIND("SALDO ANTERIOR",C346)),0,IF(ISNUMBER(FIND("SALDO DO DIA",C346)),0,IF(ISNUMBER(FIND("SDO CTA/APL AUTOMATICAS",C346)),0,IF(ISNUMBER(FIND("TEC DEPOSITO",C346)),0,IF(ISNUMBER(FIND("APL APLIC AUT MAIS",C346)),E346,IF(E346&gt;0,E346,0))))))</f>
        <v>0</v>
      </c>
      <c r="H346" s="61" t="n">
        <v>44287</v>
      </c>
    </row>
    <row r="347" customFormat="false" ht="15.8" hidden="false" customHeight="false" outlineLevel="0" collapsed="false">
      <c r="A347" s="55" t="s">
        <v>59</v>
      </c>
      <c r="B347" s="27" t="s">
        <v>325</v>
      </c>
      <c r="C347" s="27" t="s">
        <v>327</v>
      </c>
      <c r="D347" s="57" t="s">
        <v>56</v>
      </c>
      <c r="E347" s="62" t="n">
        <v>-10</v>
      </c>
      <c r="F347" s="59" t="n">
        <f aca="false">IF(ISNUMBER(FIND("SALDO ANTERIOR",C347)),0,IF(ISNUMBER(FIND("SALDO DO DIA",C347)),0,IF(ISNUMBER(FIND("SALDO PARCIAL",C347)),0,IF(ISNUMBER(FIND("SDO CTA/APL AUTOMATICAS",C347)),0,IF(ISNUMBER(FIND("APL APLIC AUT MAIS",C347)),0,IF(ISNUMBER(FIND("TEC DEPOSITO",C347)),0,IF(E347&gt;0,0,E347*(-1))))))))</f>
        <v>10</v>
      </c>
      <c r="G347" s="60" t="n">
        <f aca="false">IF(ISNUMBER(FIND("SALDO ANTERIOR",C347)),0,IF(ISNUMBER(FIND("SALDO DO DIA",C347)),0,IF(ISNUMBER(FIND("SDO CTA/APL AUTOMATICAS",C347)),0,IF(ISNUMBER(FIND("TEC DEPOSITO",C347)),0,IF(ISNUMBER(FIND("APL APLIC AUT MAIS",C347)),E347,IF(E347&gt;0,E347,0))))))</f>
        <v>0</v>
      </c>
      <c r="H347" s="61" t="n">
        <v>44287</v>
      </c>
    </row>
    <row r="348" customFormat="false" ht="15.8" hidden="false" customHeight="false" outlineLevel="0" collapsed="false">
      <c r="A348" s="55" t="s">
        <v>62</v>
      </c>
      <c r="B348" s="27" t="s">
        <v>325</v>
      </c>
      <c r="C348" s="27" t="s">
        <v>328</v>
      </c>
      <c r="D348" s="57" t="s">
        <v>56</v>
      </c>
      <c r="E348" s="62" t="n">
        <v>-8</v>
      </c>
      <c r="F348" s="59" t="n">
        <f aca="false">IF(ISNUMBER(FIND("SALDO ANTERIOR",C348)),0,IF(ISNUMBER(FIND("SALDO DO DIA",C348)),0,IF(ISNUMBER(FIND("SALDO PARCIAL",C348)),0,IF(ISNUMBER(FIND("SDO CTA/APL AUTOMATICAS",C348)),0,IF(ISNUMBER(FIND("APL APLIC AUT MAIS",C348)),0,IF(ISNUMBER(FIND("TEC DEPOSITO",C348)),0,IF(E348&gt;0,0,E348*(-1))))))))</f>
        <v>8</v>
      </c>
      <c r="G348" s="60" t="n">
        <f aca="false">IF(ISNUMBER(FIND("SALDO ANTERIOR",C348)),0,IF(ISNUMBER(FIND("SALDO DO DIA",C348)),0,IF(ISNUMBER(FIND("SDO CTA/APL AUTOMATICAS",C348)),0,IF(ISNUMBER(FIND("TEC DEPOSITO",C348)),0,IF(ISNUMBER(FIND("APL APLIC AUT MAIS",C348)),E348,IF(E348&gt;0,E348,0))))))</f>
        <v>0</v>
      </c>
      <c r="H348" s="61" t="n">
        <v>44287</v>
      </c>
    </row>
    <row r="349" customFormat="false" ht="15.8" hidden="false" customHeight="false" outlineLevel="0" collapsed="false">
      <c r="A349" s="55" t="s">
        <v>59</v>
      </c>
      <c r="B349" s="27" t="s">
        <v>325</v>
      </c>
      <c r="C349" s="27" t="s">
        <v>329</v>
      </c>
      <c r="D349" s="57" t="s">
        <v>56</v>
      </c>
      <c r="E349" s="62" t="n">
        <v>-15</v>
      </c>
      <c r="F349" s="59" t="n">
        <f aca="false">IF(ISNUMBER(FIND("SALDO ANTERIOR",C349)),0,IF(ISNUMBER(FIND("SALDO DO DIA",C349)),0,IF(ISNUMBER(FIND("SALDO PARCIAL",C349)),0,IF(ISNUMBER(FIND("SDO CTA/APL AUTOMATICAS",C349)),0,IF(ISNUMBER(FIND("APL APLIC AUT MAIS",C349)),0,IF(ISNUMBER(FIND("TEC DEPOSITO",C349)),0,IF(E349&gt;0,0,E349*(-1))))))))</f>
        <v>15</v>
      </c>
      <c r="G349" s="60" t="n">
        <f aca="false">IF(ISNUMBER(FIND("SALDO ANTERIOR",C349)),0,IF(ISNUMBER(FIND("SALDO DO DIA",C349)),0,IF(ISNUMBER(FIND("SDO CTA/APL AUTOMATICAS",C349)),0,IF(ISNUMBER(FIND("TEC DEPOSITO",C349)),0,IF(ISNUMBER(FIND("APL APLIC AUT MAIS",C349)),E349,IF(E349&gt;0,E349,0))))))</f>
        <v>0</v>
      </c>
      <c r="H349" s="61" t="n">
        <v>44287</v>
      </c>
    </row>
    <row r="350" customFormat="false" ht="15.8" hidden="false" customHeight="false" outlineLevel="0" collapsed="false">
      <c r="A350" s="55" t="s">
        <v>64</v>
      </c>
      <c r="B350" s="27" t="s">
        <v>325</v>
      </c>
      <c r="C350" s="27" t="s">
        <v>246</v>
      </c>
      <c r="D350" s="57" t="s">
        <v>56</v>
      </c>
      <c r="E350" s="62" t="n">
        <v>-148.19</v>
      </c>
      <c r="F350" s="59" t="n">
        <f aca="false">IF(ISNUMBER(FIND("SALDO ANTERIOR",C350)),0,IF(ISNUMBER(FIND("SALDO DO DIA",C350)),0,IF(ISNUMBER(FIND("SALDO PARCIAL",C350)),0,IF(ISNUMBER(FIND("SDO CTA/APL AUTOMATICAS",C350)),0,IF(ISNUMBER(FIND("APL APLIC AUT MAIS",C350)),0,IF(ISNUMBER(FIND("TEC DEPOSITO",C350)),0,IF(E350&gt;0,0,E350*(-1))))))))</f>
        <v>148.19</v>
      </c>
      <c r="G350" s="60" t="n">
        <f aca="false">IF(ISNUMBER(FIND("SALDO ANTERIOR",C350)),0,IF(ISNUMBER(FIND("SALDO DO DIA",C350)),0,IF(ISNUMBER(FIND("SDO CTA/APL AUTOMATICAS",C350)),0,IF(ISNUMBER(FIND("TEC DEPOSITO",C350)),0,IF(ISNUMBER(FIND("APL APLIC AUT MAIS",C350)),E350,IF(E350&gt;0,E350,0))))))</f>
        <v>0</v>
      </c>
      <c r="H350" s="61" t="n">
        <v>44287</v>
      </c>
    </row>
    <row r="351" customFormat="false" ht="17" hidden="false" customHeight="false" outlineLevel="0" collapsed="false">
      <c r="A351" s="55" t="s">
        <v>31</v>
      </c>
      <c r="B351" s="27" t="s">
        <v>325</v>
      </c>
      <c r="C351" s="56" t="s">
        <v>68</v>
      </c>
      <c r="D351" s="57"/>
      <c r="E351" s="58"/>
      <c r="F351" s="59" t="n">
        <f aca="false">IF(ISNUMBER(FIND("SALDO ANTERIOR",C351)),0,IF(ISNUMBER(FIND("SALDO DO DIA",C351)),0,IF(ISNUMBER(FIND("SALDO PARCIAL",C351)),0,IF(ISNUMBER(FIND("SDO CTA/APL AUTOMATICAS",C351)),0,IF(ISNUMBER(FIND("APL APLIC AUT MAIS",C351)),0,IF(ISNUMBER(FIND("TEC DEPOSITO",C351)),0,IF(E351&gt;0,0,E351*(-1))))))))</f>
        <v>0</v>
      </c>
      <c r="G351" s="60" t="n">
        <f aca="false">IF(ISNUMBER(FIND("SALDO ANTERIOR",C351)),0,IF(ISNUMBER(FIND("SALDO DO DIA",C351)),0,IF(ISNUMBER(FIND("SDO CTA/APL AUTOMATICAS",C351)),0,IF(ISNUMBER(FIND("TEC DEPOSITO",C351)),0,IF(ISNUMBER(FIND("APL APLIC AUT MAIS",C351)),E351,IF(E351&gt;0,E351,0))))))</f>
        <v>0</v>
      </c>
      <c r="H351" s="61" t="n">
        <v>44287</v>
      </c>
    </row>
    <row r="352" customFormat="false" ht="15.8" hidden="false" customHeight="false" outlineLevel="0" collapsed="false">
      <c r="A352" s="55" t="s">
        <v>59</v>
      </c>
      <c r="B352" s="27" t="s">
        <v>330</v>
      </c>
      <c r="C352" s="27" t="s">
        <v>331</v>
      </c>
      <c r="D352" s="57" t="s">
        <v>56</v>
      </c>
      <c r="E352" s="62" t="n">
        <v>-33</v>
      </c>
      <c r="F352" s="59" t="n">
        <f aca="false">IF(ISNUMBER(FIND("SALDO ANTERIOR",C352)),0,IF(ISNUMBER(FIND("SALDO DO DIA",C352)),0,IF(ISNUMBER(FIND("SALDO PARCIAL",C352)),0,IF(ISNUMBER(FIND("SDO CTA/APL AUTOMATICAS",C352)),0,IF(ISNUMBER(FIND("APL APLIC AUT MAIS",C352)),0,IF(ISNUMBER(FIND("TEC DEPOSITO",C352)),0,IF(E352&gt;0,0,E352*(-1))))))))</f>
        <v>33</v>
      </c>
      <c r="G352" s="60" t="n">
        <f aca="false">IF(ISNUMBER(FIND("SALDO ANTERIOR",C352)),0,IF(ISNUMBER(FIND("SALDO DO DIA",C352)),0,IF(ISNUMBER(FIND("SDO CTA/APL AUTOMATICAS",C352)),0,IF(ISNUMBER(FIND("TEC DEPOSITO",C352)),0,IF(ISNUMBER(FIND("APL APLIC AUT MAIS",C352)),E352,IF(E352&gt;0,E352,0))))))</f>
        <v>0</v>
      </c>
      <c r="H352" s="61" t="n">
        <v>44287</v>
      </c>
    </row>
    <row r="353" customFormat="false" ht="15.8" hidden="false" customHeight="false" outlineLevel="0" collapsed="false">
      <c r="A353" s="55" t="s">
        <v>59</v>
      </c>
      <c r="B353" s="27" t="s">
        <v>330</v>
      </c>
      <c r="C353" s="27" t="s">
        <v>332</v>
      </c>
      <c r="D353" s="57" t="s">
        <v>56</v>
      </c>
      <c r="E353" s="62" t="n">
        <v>-33</v>
      </c>
      <c r="F353" s="59" t="n">
        <f aca="false">IF(ISNUMBER(FIND("SALDO ANTERIOR",C353)),0,IF(ISNUMBER(FIND("SALDO DO DIA",C353)),0,IF(ISNUMBER(FIND("SALDO PARCIAL",C353)),0,IF(ISNUMBER(FIND("SDO CTA/APL AUTOMATICAS",C353)),0,IF(ISNUMBER(FIND("APL APLIC AUT MAIS",C353)),0,IF(ISNUMBER(FIND("TEC DEPOSITO",C353)),0,IF(E353&gt;0,0,E353*(-1))))))))</f>
        <v>33</v>
      </c>
      <c r="G353" s="60" t="n">
        <f aca="false">IF(ISNUMBER(FIND("SALDO ANTERIOR",C353)),0,IF(ISNUMBER(FIND("SALDO DO DIA",C353)),0,IF(ISNUMBER(FIND("SDO CTA/APL AUTOMATICAS",C353)),0,IF(ISNUMBER(FIND("TEC DEPOSITO",C353)),0,IF(ISNUMBER(FIND("APL APLIC AUT MAIS",C353)),E353,IF(E353&gt;0,E353,0))))))</f>
        <v>0</v>
      </c>
      <c r="H353" s="61" t="n">
        <v>44287</v>
      </c>
    </row>
    <row r="354" customFormat="false" ht="15.8" hidden="false" customHeight="false" outlineLevel="0" collapsed="false">
      <c r="A354" s="55" t="s">
        <v>64</v>
      </c>
      <c r="B354" s="27" t="s">
        <v>330</v>
      </c>
      <c r="C354" s="27" t="s">
        <v>246</v>
      </c>
      <c r="D354" s="57" t="s">
        <v>56</v>
      </c>
      <c r="E354" s="62" t="n">
        <v>-40.62</v>
      </c>
      <c r="F354" s="59" t="n">
        <f aca="false">IF(ISNUMBER(FIND("SALDO ANTERIOR",C354)),0,IF(ISNUMBER(FIND("SALDO DO DIA",C354)),0,IF(ISNUMBER(FIND("SALDO PARCIAL",C354)),0,IF(ISNUMBER(FIND("SDO CTA/APL AUTOMATICAS",C354)),0,IF(ISNUMBER(FIND("APL APLIC AUT MAIS",C354)),0,IF(ISNUMBER(FIND("TEC DEPOSITO",C354)),0,IF(E354&gt;0,0,E354*(-1))))))))</f>
        <v>40.62</v>
      </c>
      <c r="G354" s="60" t="n">
        <f aca="false">IF(ISNUMBER(FIND("SALDO ANTERIOR",C354)),0,IF(ISNUMBER(FIND("SALDO DO DIA",C354)),0,IF(ISNUMBER(FIND("SDO CTA/APL AUTOMATICAS",C354)),0,IF(ISNUMBER(FIND("TEC DEPOSITO",C354)),0,IF(ISNUMBER(FIND("APL APLIC AUT MAIS",C354)),E354,IF(E354&gt;0,E354,0))))))</f>
        <v>0</v>
      </c>
      <c r="H354" s="61" t="n">
        <v>44287</v>
      </c>
    </row>
    <row r="355" customFormat="false" ht="15.8" hidden="false" customHeight="false" outlineLevel="0" collapsed="false">
      <c r="A355" s="55" t="s">
        <v>281</v>
      </c>
      <c r="B355" s="27" t="s">
        <v>330</v>
      </c>
      <c r="C355" s="27" t="s">
        <v>333</v>
      </c>
      <c r="D355" s="57" t="s">
        <v>76</v>
      </c>
      <c r="E355" s="62" t="n">
        <v>-238.78</v>
      </c>
      <c r="F355" s="59" t="n">
        <f aca="false">IF(ISNUMBER(FIND("SALDO ANTERIOR",C355)),0,IF(ISNUMBER(FIND("SALDO DO DIA",C355)),0,IF(ISNUMBER(FIND("SALDO PARCIAL",C355)),0,IF(ISNUMBER(FIND("SDO CTA/APL AUTOMATICAS",C355)),0,IF(ISNUMBER(FIND("APL APLIC AUT MAIS",C355)),0,IF(ISNUMBER(FIND("TEC DEPOSITO",C355)),0,IF(E355&gt;0,0,E355*(-1))))))))</f>
        <v>238.78</v>
      </c>
      <c r="G355" s="60" t="n">
        <f aca="false">IF(ISNUMBER(FIND("SALDO ANTERIOR",C355)),0,IF(ISNUMBER(FIND("SALDO DO DIA",C355)),0,IF(ISNUMBER(FIND("SDO CTA/APL AUTOMATICAS",C355)),0,IF(ISNUMBER(FIND("TEC DEPOSITO",C355)),0,IF(ISNUMBER(FIND("APL APLIC AUT MAIS",C355)),E355,IF(E355&gt;0,E355,0))))))</f>
        <v>0</v>
      </c>
      <c r="H355" s="61" t="n">
        <v>44287</v>
      </c>
    </row>
    <row r="356" customFormat="false" ht="15.8" hidden="false" customHeight="false" outlineLevel="0" collapsed="false">
      <c r="A356" s="55" t="s">
        <v>59</v>
      </c>
      <c r="B356" s="27" t="s">
        <v>330</v>
      </c>
      <c r="C356" s="27" t="s">
        <v>40</v>
      </c>
      <c r="D356" s="57" t="s">
        <v>56</v>
      </c>
      <c r="E356" s="21" t="n">
        <v>33</v>
      </c>
      <c r="F356" s="59" t="n">
        <f aca="false">IF(ISNUMBER(FIND("SALDO ANTERIOR",C356)),0,IF(ISNUMBER(FIND("SALDO DO DIA",C356)),0,IF(ISNUMBER(FIND("SALDO PARCIAL",C356)),0,IF(ISNUMBER(FIND("SDO CTA/APL AUTOMATICAS",C356)),0,IF(ISNUMBER(FIND("APL APLIC AUT MAIS",C356)),0,IF(ISNUMBER(FIND("TEC DEPOSITO",C356)),0,IF(E356&gt;0,0,E356*(-1))))))))</f>
        <v>0</v>
      </c>
      <c r="G356" s="60" t="n">
        <f aca="false">IF(ISNUMBER(FIND("SALDO ANTERIOR",C356)),0,IF(ISNUMBER(FIND("SALDO DO DIA",C356)),0,IF(ISNUMBER(FIND("SDO CTA/APL AUTOMATICAS",C356)),0,IF(ISNUMBER(FIND("TEC DEPOSITO",C356)),0,IF(ISNUMBER(FIND("APL APLIC AUT MAIS",C356)),E356,IF(E356&gt;0,E356,0))))))</f>
        <v>33</v>
      </c>
      <c r="H356" s="61" t="n">
        <v>44287</v>
      </c>
    </row>
    <row r="357" customFormat="false" ht="17" hidden="false" customHeight="false" outlineLevel="0" collapsed="false">
      <c r="A357" s="55" t="s">
        <v>31</v>
      </c>
      <c r="B357" s="27" t="s">
        <v>330</v>
      </c>
      <c r="C357" s="56" t="s">
        <v>68</v>
      </c>
      <c r="D357" s="57"/>
      <c r="E357" s="58"/>
      <c r="F357" s="59" t="n">
        <f aca="false">IF(ISNUMBER(FIND("SALDO ANTERIOR",C357)),0,IF(ISNUMBER(FIND("SALDO DO DIA",C357)),0,IF(ISNUMBER(FIND("SALDO PARCIAL",C357)),0,IF(ISNUMBER(FIND("SDO CTA/APL AUTOMATICAS",C357)),0,IF(ISNUMBER(FIND("APL APLIC AUT MAIS",C357)),0,IF(ISNUMBER(FIND("TEC DEPOSITO",C357)),0,IF(E357&gt;0,0,E357*(-1))))))))</f>
        <v>0</v>
      </c>
      <c r="G357" s="60" t="n">
        <f aca="false">IF(ISNUMBER(FIND("SALDO ANTERIOR",C357)),0,IF(ISNUMBER(FIND("SALDO DO DIA",C357)),0,IF(ISNUMBER(FIND("SDO CTA/APL AUTOMATICAS",C357)),0,IF(ISNUMBER(FIND("TEC DEPOSITO",C357)),0,IF(ISNUMBER(FIND("APL APLIC AUT MAIS",C357)),E357,IF(E357&gt;0,E357,0))))))</f>
        <v>0</v>
      </c>
      <c r="H357" s="61" t="n">
        <v>44287</v>
      </c>
    </row>
    <row r="358" customFormat="false" ht="15.8" hidden="false" customHeight="false" outlineLevel="0" collapsed="false">
      <c r="A358" s="55" t="s">
        <v>62</v>
      </c>
      <c r="B358" s="27" t="s">
        <v>334</v>
      </c>
      <c r="C358" s="27" t="s">
        <v>224</v>
      </c>
      <c r="D358" s="57" t="s">
        <v>56</v>
      </c>
      <c r="E358" s="62" t="n">
        <v>-7.8</v>
      </c>
      <c r="F358" s="59" t="n">
        <f aca="false">IF(ISNUMBER(FIND("SALDO ANTERIOR",C358)),0,IF(ISNUMBER(FIND("SALDO DO DIA",C358)),0,IF(ISNUMBER(FIND("SALDO PARCIAL",C358)),0,IF(ISNUMBER(FIND("SDO CTA/APL AUTOMATICAS",C358)),0,IF(ISNUMBER(FIND("APL APLIC AUT MAIS",C358)),0,IF(ISNUMBER(FIND("TEC DEPOSITO",C358)),0,IF(E358&gt;0,0,E358*(-1))))))))</f>
        <v>7.8</v>
      </c>
      <c r="G358" s="60" t="n">
        <f aca="false">IF(ISNUMBER(FIND("SALDO ANTERIOR",C358)),0,IF(ISNUMBER(FIND("SALDO DO DIA",C358)),0,IF(ISNUMBER(FIND("SDO CTA/APL AUTOMATICAS",C358)),0,IF(ISNUMBER(FIND("TEC DEPOSITO",C358)),0,IF(ISNUMBER(FIND("APL APLIC AUT MAIS",C358)),E358,IF(E358&gt;0,E358,0))))))</f>
        <v>0</v>
      </c>
      <c r="H358" s="61" t="n">
        <v>44287</v>
      </c>
    </row>
    <row r="359" customFormat="false" ht="15" hidden="false" customHeight="false" outlineLevel="0" collapsed="false">
      <c r="A359" s="55" t="s">
        <v>31</v>
      </c>
      <c r="B359" s="27" t="s">
        <v>334</v>
      </c>
      <c r="C359" s="56" t="s">
        <v>68</v>
      </c>
      <c r="D359" s="57"/>
      <c r="E359" s="58"/>
      <c r="F359" s="59" t="n">
        <f aca="false">IF(ISNUMBER(FIND("SALDO ANTERIOR",C359)),0,IF(ISNUMBER(FIND("SALDO DO DIA",C359)),0,IF(ISNUMBER(FIND("SALDO PARCIAL",C359)),0,IF(ISNUMBER(FIND("SDO CTA/APL AUTOMATICAS",C359)),0,IF(ISNUMBER(FIND("APL APLIC AUT MAIS",C359)),0,IF(ISNUMBER(FIND("TEC DEPOSITO",C359)),0,IF(E359&gt;0,0,E359*(-1))))))))</f>
        <v>0</v>
      </c>
      <c r="G359" s="60" t="n">
        <f aca="false">IF(ISNUMBER(FIND("SALDO ANTERIOR",C359)),0,IF(ISNUMBER(FIND("SALDO DO DIA",C359)),0,IF(ISNUMBER(FIND("SDO CTA/APL AUTOMATICAS",C359)),0,IF(ISNUMBER(FIND("TEC DEPOSITO",C359)),0,IF(ISNUMBER(FIND("APL APLIC AUT MAIS",C359)),E359,IF(E359&gt;0,E359,0))))))</f>
        <v>0</v>
      </c>
      <c r="H359" s="61" t="n">
        <v>44287</v>
      </c>
    </row>
    <row r="360" customFormat="false" ht="15.8" hidden="false" customHeight="false" outlineLevel="0" collapsed="false">
      <c r="A360" s="55" t="s">
        <v>39</v>
      </c>
      <c r="B360" s="27" t="s">
        <v>335</v>
      </c>
      <c r="C360" s="27" t="s">
        <v>336</v>
      </c>
      <c r="D360" s="57" t="s">
        <v>72</v>
      </c>
      <c r="E360" s="62" t="n">
        <v>-6000</v>
      </c>
      <c r="F360" s="59" t="n">
        <f aca="false">IF(ISNUMBER(FIND("SALDO ANTERIOR",C360)),0,IF(ISNUMBER(FIND("SALDO DO DIA",C360)),0,IF(ISNUMBER(FIND("SALDO PARCIAL",C360)),0,IF(ISNUMBER(FIND("SDO CTA/APL AUTOMATICAS",C360)),0,IF(ISNUMBER(FIND("APL APLIC AUT MAIS",C360)),0,IF(ISNUMBER(FIND("TEC DEPOSITO",C360)),0,IF(E360&gt;0,0,E360*(-1))))))))</f>
        <v>6000</v>
      </c>
      <c r="G360" s="60" t="n">
        <f aca="false">IF(ISNUMBER(FIND("SALDO ANTERIOR",C360)),0,IF(ISNUMBER(FIND("SALDO DO DIA",C360)),0,IF(ISNUMBER(FIND("SDO CTA/APL AUTOMATICAS",C360)),0,IF(ISNUMBER(FIND("TEC DEPOSITO",C360)),0,IF(ISNUMBER(FIND("APL APLIC AUT MAIS",C360)),E360,IF(E360&gt;0,E360,0))))))</f>
        <v>0</v>
      </c>
      <c r="H360" s="61" t="n">
        <v>44287</v>
      </c>
    </row>
    <row r="361" customFormat="false" ht="15.8" hidden="false" customHeight="false" outlineLevel="0" collapsed="false">
      <c r="A361" s="55" t="s">
        <v>53</v>
      </c>
      <c r="B361" s="27" t="s">
        <v>335</v>
      </c>
      <c r="C361" s="27" t="s">
        <v>55</v>
      </c>
      <c r="D361" s="57" t="s">
        <v>56</v>
      </c>
      <c r="E361" s="62" t="n">
        <v>-16.89</v>
      </c>
      <c r="F361" s="59" t="n">
        <f aca="false">IF(ISNUMBER(FIND("SALDO ANTERIOR",C361)),0,IF(ISNUMBER(FIND("SALDO DO DIA",C361)),0,IF(ISNUMBER(FIND("SALDO PARCIAL",C361)),0,IF(ISNUMBER(FIND("SDO CTA/APL AUTOMATICAS",C361)),0,IF(ISNUMBER(FIND("APL APLIC AUT MAIS",C361)),0,IF(ISNUMBER(FIND("TEC DEPOSITO",C361)),0,IF(E361&gt;0,0,E361*(-1))))))))</f>
        <v>16.89</v>
      </c>
      <c r="G361" s="60" t="n">
        <f aca="false">IF(ISNUMBER(FIND("SALDO ANTERIOR",C361)),0,IF(ISNUMBER(FIND("SALDO DO DIA",C361)),0,IF(ISNUMBER(FIND("SDO CTA/APL AUTOMATICAS",C361)),0,IF(ISNUMBER(FIND("TEC DEPOSITO",C361)),0,IF(ISNUMBER(FIND("APL APLIC AUT MAIS",C361)),E361,IF(E361&gt;0,E361,0))))))</f>
        <v>0</v>
      </c>
      <c r="H361" s="61" t="n">
        <v>44287</v>
      </c>
    </row>
    <row r="362" customFormat="false" ht="15.8" hidden="false" customHeight="false" outlineLevel="0" collapsed="false">
      <c r="A362" s="55" t="s">
        <v>59</v>
      </c>
      <c r="B362" s="27" t="s">
        <v>335</v>
      </c>
      <c r="C362" s="27" t="s">
        <v>79</v>
      </c>
      <c r="D362" s="57" t="s">
        <v>56</v>
      </c>
      <c r="E362" s="62" t="n">
        <v>-11</v>
      </c>
      <c r="F362" s="59" t="n">
        <f aca="false">IF(ISNUMBER(FIND("SALDO ANTERIOR",C362)),0,IF(ISNUMBER(FIND("SALDO DO DIA",C362)),0,IF(ISNUMBER(FIND("SALDO PARCIAL",C362)),0,IF(ISNUMBER(FIND("SDO CTA/APL AUTOMATICAS",C362)),0,IF(ISNUMBER(FIND("APL APLIC AUT MAIS",C362)),0,IF(ISNUMBER(FIND("TEC DEPOSITO",C362)),0,IF(E362&gt;0,0,E362*(-1))))))))</f>
        <v>11</v>
      </c>
      <c r="G362" s="60" t="n">
        <f aca="false">IF(ISNUMBER(FIND("SALDO ANTERIOR",C362)),0,IF(ISNUMBER(FIND("SALDO DO DIA",C362)),0,IF(ISNUMBER(FIND("SDO CTA/APL AUTOMATICAS",C362)),0,IF(ISNUMBER(FIND("TEC DEPOSITO",C362)),0,IF(ISNUMBER(FIND("APL APLIC AUT MAIS",C362)),E362,IF(E362&gt;0,E362,0))))))</f>
        <v>0</v>
      </c>
      <c r="H362" s="61" t="n">
        <v>44287</v>
      </c>
    </row>
    <row r="363" customFormat="false" ht="15.8" hidden="false" customHeight="false" outlineLevel="0" collapsed="false">
      <c r="A363" s="55" t="s">
        <v>59</v>
      </c>
      <c r="B363" s="27" t="s">
        <v>335</v>
      </c>
      <c r="C363" s="27" t="s">
        <v>128</v>
      </c>
      <c r="D363" s="57" t="s">
        <v>56</v>
      </c>
      <c r="E363" s="62" t="n">
        <v>-50</v>
      </c>
      <c r="F363" s="59" t="n">
        <f aca="false">IF(ISNUMBER(FIND("SALDO ANTERIOR",C363)),0,IF(ISNUMBER(FIND("SALDO DO DIA",C363)),0,IF(ISNUMBER(FIND("SALDO PARCIAL",C363)),0,IF(ISNUMBER(FIND("SDO CTA/APL AUTOMATICAS",C363)),0,IF(ISNUMBER(FIND("APL APLIC AUT MAIS",C363)),0,IF(ISNUMBER(FIND("TEC DEPOSITO",C363)),0,IF(E363&gt;0,0,E363*(-1))))))))</f>
        <v>50</v>
      </c>
      <c r="G363" s="60" t="n">
        <f aca="false">IF(ISNUMBER(FIND("SALDO ANTERIOR",C363)),0,IF(ISNUMBER(FIND("SALDO DO DIA",C363)),0,IF(ISNUMBER(FIND("SDO CTA/APL AUTOMATICAS",C363)),0,IF(ISNUMBER(FIND("TEC DEPOSITO",C363)),0,IF(ISNUMBER(FIND("APL APLIC AUT MAIS",C363)),E363,IF(E363&gt;0,E363,0))))))</f>
        <v>0</v>
      </c>
      <c r="H363" s="61" t="n">
        <v>44287</v>
      </c>
    </row>
    <row r="364" customFormat="false" ht="15.8" hidden="false" customHeight="false" outlineLevel="0" collapsed="false">
      <c r="A364" s="55" t="s">
        <v>64</v>
      </c>
      <c r="B364" s="27" t="s">
        <v>335</v>
      </c>
      <c r="C364" s="27" t="s">
        <v>246</v>
      </c>
      <c r="D364" s="57" t="s">
        <v>56</v>
      </c>
      <c r="E364" s="62" t="n">
        <v>-80.38</v>
      </c>
      <c r="F364" s="59" t="n">
        <f aca="false">IF(ISNUMBER(FIND("SALDO ANTERIOR",C364)),0,IF(ISNUMBER(FIND("SALDO DO DIA",C364)),0,IF(ISNUMBER(FIND("SALDO PARCIAL",C364)),0,IF(ISNUMBER(FIND("SDO CTA/APL AUTOMATICAS",C364)),0,IF(ISNUMBER(FIND("APL APLIC AUT MAIS",C364)),0,IF(ISNUMBER(FIND("TEC DEPOSITO",C364)),0,IF(E364&gt;0,0,E364*(-1))))))))</f>
        <v>80.38</v>
      </c>
      <c r="G364" s="60" t="n">
        <f aca="false">IF(ISNUMBER(FIND("SALDO ANTERIOR",C364)),0,IF(ISNUMBER(FIND("SALDO DO DIA",C364)),0,IF(ISNUMBER(FIND("SDO CTA/APL AUTOMATICAS",C364)),0,IF(ISNUMBER(FIND("TEC DEPOSITO",C364)),0,IF(ISNUMBER(FIND("APL APLIC AUT MAIS",C364)),E364,IF(E364&gt;0,E364,0))))))</f>
        <v>0</v>
      </c>
      <c r="H364" s="61" t="n">
        <v>44287</v>
      </c>
    </row>
    <row r="365" customFormat="false" ht="15.8" hidden="false" customHeight="false" outlineLevel="0" collapsed="false">
      <c r="A365" s="55" t="s">
        <v>136</v>
      </c>
      <c r="B365" s="27" t="s">
        <v>335</v>
      </c>
      <c r="C365" s="27" t="s">
        <v>38</v>
      </c>
      <c r="D365" s="57" t="s">
        <v>72</v>
      </c>
      <c r="E365" s="21" t="n">
        <v>8000</v>
      </c>
      <c r="F365" s="59" t="n">
        <f aca="false">IF(ISNUMBER(FIND("SALDO ANTERIOR",C365)),0,IF(ISNUMBER(FIND("SALDO DO DIA",C365)),0,IF(ISNUMBER(FIND("SALDO PARCIAL",C365)),0,IF(ISNUMBER(FIND("SDO CTA/APL AUTOMATICAS",C365)),0,IF(ISNUMBER(FIND("APL APLIC AUT MAIS",C365)),0,IF(ISNUMBER(FIND("TEC DEPOSITO",C365)),0,IF(E365&gt;0,0,E365*(-1))))))))</f>
        <v>0</v>
      </c>
      <c r="G365" s="60" t="n">
        <f aca="false">IF(ISNUMBER(FIND("SALDO ANTERIOR",C365)),0,IF(ISNUMBER(FIND("SALDO DO DIA",C365)),0,IF(ISNUMBER(FIND("SDO CTA/APL AUTOMATICAS",C365)),0,IF(ISNUMBER(FIND("TEC DEPOSITO",C365)),0,IF(ISNUMBER(FIND("APL APLIC AUT MAIS",C365)),E365,IF(E365&gt;0,E365,0))))))</f>
        <v>8000</v>
      </c>
      <c r="H365" s="61" t="n">
        <v>44287</v>
      </c>
    </row>
    <row r="366" customFormat="false" ht="17" hidden="false" customHeight="false" outlineLevel="0" collapsed="false">
      <c r="A366" s="55" t="s">
        <v>31</v>
      </c>
      <c r="B366" s="27" t="s">
        <v>335</v>
      </c>
      <c r="C366" s="56" t="s">
        <v>68</v>
      </c>
      <c r="D366" s="57"/>
      <c r="E366" s="58"/>
      <c r="F366" s="59" t="n">
        <f aca="false">IF(ISNUMBER(FIND("SALDO ANTERIOR",C366)),0,IF(ISNUMBER(FIND("SALDO DO DIA",C366)),0,IF(ISNUMBER(FIND("SALDO PARCIAL",C366)),0,IF(ISNUMBER(FIND("SDO CTA/APL AUTOMATICAS",C366)),0,IF(ISNUMBER(FIND("APL APLIC AUT MAIS",C366)),0,IF(ISNUMBER(FIND("TEC DEPOSITO",C366)),0,IF(E366&gt;0,0,E366*(-1))))))))</f>
        <v>0</v>
      </c>
      <c r="G366" s="60" t="n">
        <f aca="false">IF(ISNUMBER(FIND("SALDO ANTERIOR",C366)),0,IF(ISNUMBER(FIND("SALDO DO DIA",C366)),0,IF(ISNUMBER(FIND("SDO CTA/APL AUTOMATICAS",C366)),0,IF(ISNUMBER(FIND("TEC DEPOSITO",C366)),0,IF(ISNUMBER(FIND("APL APLIC AUT MAIS",C366)),E366,IF(E366&gt;0,E366,0))))))</f>
        <v>0</v>
      </c>
      <c r="H366" s="61" t="n">
        <v>44287</v>
      </c>
    </row>
    <row r="367" customFormat="false" ht="15.8" hidden="false" customHeight="false" outlineLevel="0" collapsed="false">
      <c r="A367" s="55" t="s">
        <v>53</v>
      </c>
      <c r="B367" s="27" t="s">
        <v>337</v>
      </c>
      <c r="C367" s="27" t="s">
        <v>55</v>
      </c>
      <c r="D367" s="57" t="s">
        <v>56</v>
      </c>
      <c r="E367" s="62" t="n">
        <v>-3.04</v>
      </c>
      <c r="F367" s="59" t="n">
        <f aca="false">IF(ISNUMBER(FIND("SALDO ANTERIOR",C367)),0,IF(ISNUMBER(FIND("SALDO DO DIA",C367)),0,IF(ISNUMBER(FIND("SALDO PARCIAL",C367)),0,IF(ISNUMBER(FIND("SDO CTA/APL AUTOMATICAS",C367)),0,IF(ISNUMBER(FIND("APL APLIC AUT MAIS",C367)),0,IF(ISNUMBER(FIND("TEC DEPOSITO",C367)),0,IF(E367&gt;0,0,E367*(-1))))))))</f>
        <v>3.04</v>
      </c>
      <c r="G367" s="60" t="n">
        <f aca="false">IF(ISNUMBER(FIND("SALDO ANTERIOR",C367)),0,IF(ISNUMBER(FIND("SALDO DO DIA",C367)),0,IF(ISNUMBER(FIND("SDO CTA/APL AUTOMATICAS",C367)),0,IF(ISNUMBER(FIND("TEC DEPOSITO",C367)),0,IF(ISNUMBER(FIND("APL APLIC AUT MAIS",C367)),E367,IF(E367&gt;0,E367,0))))))</f>
        <v>0</v>
      </c>
      <c r="H367" s="61" t="n">
        <v>44287</v>
      </c>
    </row>
    <row r="368" customFormat="false" ht="15.8" hidden="false" customHeight="false" outlineLevel="0" collapsed="false">
      <c r="A368" s="55" t="s">
        <v>57</v>
      </c>
      <c r="B368" s="27" t="s">
        <v>337</v>
      </c>
      <c r="C368" s="27" t="s">
        <v>58</v>
      </c>
      <c r="D368" s="57" t="s">
        <v>56</v>
      </c>
      <c r="E368" s="62" t="n">
        <v>-45.44</v>
      </c>
      <c r="F368" s="59" t="n">
        <f aca="false">IF(ISNUMBER(FIND("SALDO ANTERIOR",C368)),0,IF(ISNUMBER(FIND("SALDO DO DIA",C368)),0,IF(ISNUMBER(FIND("SALDO PARCIAL",C368)),0,IF(ISNUMBER(FIND("SDO CTA/APL AUTOMATICAS",C368)),0,IF(ISNUMBER(FIND("APL APLIC AUT MAIS",C368)),0,IF(ISNUMBER(FIND("TEC DEPOSITO",C368)),0,IF(E368&gt;0,0,E368*(-1))))))))</f>
        <v>45.44</v>
      </c>
      <c r="G368" s="60" t="n">
        <f aca="false">IF(ISNUMBER(FIND("SALDO ANTERIOR",C368)),0,IF(ISNUMBER(FIND("SALDO DO DIA",C368)),0,IF(ISNUMBER(FIND("SDO CTA/APL AUTOMATICAS",C368)),0,IF(ISNUMBER(FIND("TEC DEPOSITO",C368)),0,IF(ISNUMBER(FIND("APL APLIC AUT MAIS",C368)),E368,IF(E368&gt;0,E368,0))))))</f>
        <v>0</v>
      </c>
      <c r="H368" s="61" t="n">
        <v>44287</v>
      </c>
    </row>
    <row r="369" customFormat="false" ht="17" hidden="false" customHeight="false" outlineLevel="0" collapsed="false">
      <c r="A369" s="55" t="s">
        <v>31</v>
      </c>
      <c r="B369" s="27" t="s">
        <v>337</v>
      </c>
      <c r="C369" s="56" t="s">
        <v>68</v>
      </c>
      <c r="D369" s="57"/>
      <c r="E369" s="58"/>
      <c r="F369" s="59" t="n">
        <f aca="false">IF(ISNUMBER(FIND("SALDO ANTERIOR",C369)),0,IF(ISNUMBER(FIND("SALDO DO DIA",C369)),0,IF(ISNUMBER(FIND("SALDO PARCIAL",C369)),0,IF(ISNUMBER(FIND("SDO CTA/APL AUTOMATICAS",C369)),0,IF(ISNUMBER(FIND("APL APLIC AUT MAIS",C369)),0,IF(ISNUMBER(FIND("TEC DEPOSITO",C369)),0,IF(E369&gt;0,0,E369*(-1))))))))</f>
        <v>0</v>
      </c>
      <c r="G369" s="60" t="n">
        <f aca="false">IF(ISNUMBER(FIND("SALDO ANTERIOR",C369)),0,IF(ISNUMBER(FIND("SALDO DO DIA",C369)),0,IF(ISNUMBER(FIND("SDO CTA/APL AUTOMATICAS",C369)),0,IF(ISNUMBER(FIND("TEC DEPOSITO",C369)),0,IF(ISNUMBER(FIND("APL APLIC AUT MAIS",C369)),E369,IF(E369&gt;0,E369,0))))))</f>
        <v>0</v>
      </c>
      <c r="H369" s="61" t="n">
        <v>44287</v>
      </c>
    </row>
    <row r="370" customFormat="false" ht="15.8" hidden="false" customHeight="false" outlineLevel="0" collapsed="false">
      <c r="A370" s="55" t="s">
        <v>53</v>
      </c>
      <c r="B370" s="27" t="s">
        <v>338</v>
      </c>
      <c r="C370" s="27" t="s">
        <v>55</v>
      </c>
      <c r="D370" s="57" t="s">
        <v>56</v>
      </c>
      <c r="E370" s="62" t="n">
        <v>-30.76</v>
      </c>
      <c r="F370" s="59" t="n">
        <f aca="false">IF(ISNUMBER(FIND("SALDO ANTERIOR",C370)),0,IF(ISNUMBER(FIND("SALDO DO DIA",C370)),0,IF(ISNUMBER(FIND("SALDO PARCIAL",C370)),0,IF(ISNUMBER(FIND("SDO CTA/APL AUTOMATICAS",C370)),0,IF(ISNUMBER(FIND("APL APLIC AUT MAIS",C370)),0,IF(ISNUMBER(FIND("TEC DEPOSITO",C370)),0,IF(E370&gt;0,0,E370*(-1))))))))</f>
        <v>30.76</v>
      </c>
      <c r="G370" s="60" t="n">
        <f aca="false">IF(ISNUMBER(FIND("SALDO ANTERIOR",C370)),0,IF(ISNUMBER(FIND("SALDO DO DIA",C370)),0,IF(ISNUMBER(FIND("SDO CTA/APL AUTOMATICAS",C370)),0,IF(ISNUMBER(FIND("TEC DEPOSITO",C370)),0,IF(ISNUMBER(FIND("APL APLIC AUT MAIS",C370)),E370,IF(E370&gt;0,E370,0))))))</f>
        <v>0</v>
      </c>
      <c r="H370" s="61" t="n">
        <v>44287</v>
      </c>
    </row>
    <row r="371" customFormat="false" ht="15.8" hidden="false" customHeight="false" outlineLevel="0" collapsed="false">
      <c r="A371" s="55" t="s">
        <v>64</v>
      </c>
      <c r="B371" s="27" t="s">
        <v>338</v>
      </c>
      <c r="C371" s="27" t="s">
        <v>246</v>
      </c>
      <c r="D371" s="57" t="s">
        <v>56</v>
      </c>
      <c r="E371" s="62" t="n">
        <v>-83.92</v>
      </c>
      <c r="F371" s="59" t="n">
        <f aca="false">IF(ISNUMBER(FIND("SALDO ANTERIOR",C371)),0,IF(ISNUMBER(FIND("SALDO DO DIA",C371)),0,IF(ISNUMBER(FIND("SALDO PARCIAL",C371)),0,IF(ISNUMBER(FIND("SDO CTA/APL AUTOMATICAS",C371)),0,IF(ISNUMBER(FIND("APL APLIC AUT MAIS",C371)),0,IF(ISNUMBER(FIND("TEC DEPOSITO",C371)),0,IF(E371&gt;0,0,E371*(-1))))))))</f>
        <v>83.92</v>
      </c>
      <c r="G371" s="60" t="n">
        <f aca="false">IF(ISNUMBER(FIND("SALDO ANTERIOR",C371)),0,IF(ISNUMBER(FIND("SALDO DO DIA",C371)),0,IF(ISNUMBER(FIND("SDO CTA/APL AUTOMATICAS",C371)),0,IF(ISNUMBER(FIND("TEC DEPOSITO",C371)),0,IF(ISNUMBER(FIND("APL APLIC AUT MAIS",C371)),E371,IF(E371&gt;0,E371,0))))))</f>
        <v>0</v>
      </c>
      <c r="H371" s="61" t="n">
        <v>44287</v>
      </c>
    </row>
    <row r="372" customFormat="false" ht="17" hidden="false" customHeight="false" outlineLevel="0" collapsed="false">
      <c r="A372" s="55" t="s">
        <v>59</v>
      </c>
      <c r="B372" s="27" t="s">
        <v>338</v>
      </c>
      <c r="C372" s="56" t="s">
        <v>68</v>
      </c>
      <c r="D372" s="57"/>
      <c r="E372" s="58"/>
      <c r="F372" s="59" t="n">
        <f aca="false">IF(ISNUMBER(FIND("SALDO ANTERIOR",C372)),0,IF(ISNUMBER(FIND("SALDO DO DIA",C372)),0,IF(ISNUMBER(FIND("SALDO PARCIAL",C372)),0,IF(ISNUMBER(FIND("SDO CTA/APL AUTOMATICAS",C372)),0,IF(ISNUMBER(FIND("APL APLIC AUT MAIS",C372)),0,IF(ISNUMBER(FIND("TEC DEPOSITO",C372)),0,IF(E372&gt;0,0,E372*(-1))))))))</f>
        <v>0</v>
      </c>
      <c r="G372" s="60" t="n">
        <f aca="false">IF(ISNUMBER(FIND("SALDO ANTERIOR",C372)),0,IF(ISNUMBER(FIND("SALDO DO DIA",C372)),0,IF(ISNUMBER(FIND("SDO CTA/APL AUTOMATICAS",C372)),0,IF(ISNUMBER(FIND("TEC DEPOSITO",C372)),0,IF(ISNUMBER(FIND("APL APLIC AUT MAIS",C372)),E372,IF(E372&gt;0,E372,0))))))</f>
        <v>0</v>
      </c>
      <c r="H372" s="61" t="n">
        <v>44287</v>
      </c>
    </row>
    <row r="373" customFormat="false" ht="15.8" hidden="false" customHeight="false" outlineLevel="0" collapsed="false">
      <c r="A373" s="55" t="s">
        <v>64</v>
      </c>
      <c r="B373" s="27" t="s">
        <v>339</v>
      </c>
      <c r="C373" s="27" t="s">
        <v>246</v>
      </c>
      <c r="D373" s="57" t="s">
        <v>56</v>
      </c>
      <c r="E373" s="62" t="n">
        <v>-15.13</v>
      </c>
      <c r="F373" s="59" t="n">
        <f aca="false">IF(ISNUMBER(FIND("SALDO ANTERIOR",C373)),0,IF(ISNUMBER(FIND("SALDO DO DIA",C373)),0,IF(ISNUMBER(FIND("SALDO PARCIAL",C373)),0,IF(ISNUMBER(FIND("SDO CTA/APL AUTOMATICAS",C373)),0,IF(ISNUMBER(FIND("APL APLIC AUT MAIS",C373)),0,IF(ISNUMBER(FIND("TEC DEPOSITO",C373)),0,IF(E373&gt;0,0,E373*(-1))))))))</f>
        <v>15.13</v>
      </c>
      <c r="G373" s="60" t="n">
        <f aca="false">IF(ISNUMBER(FIND("SALDO ANTERIOR",C373)),0,IF(ISNUMBER(FIND("SALDO DO DIA",C373)),0,IF(ISNUMBER(FIND("SDO CTA/APL AUTOMATICAS",C373)),0,IF(ISNUMBER(FIND("TEC DEPOSITO",C373)),0,IF(ISNUMBER(FIND("APL APLIC AUT MAIS",C373)),E373,IF(E373&gt;0,E373,0))))))</f>
        <v>0</v>
      </c>
      <c r="H373" s="61" t="n">
        <v>44287</v>
      </c>
    </row>
    <row r="374" customFormat="false" ht="17" hidden="false" customHeight="false" outlineLevel="0" collapsed="false">
      <c r="A374" s="55" t="s">
        <v>31</v>
      </c>
      <c r="B374" s="27" t="s">
        <v>339</v>
      </c>
      <c r="C374" s="56" t="s">
        <v>68</v>
      </c>
      <c r="D374" s="57" t="s">
        <v>56</v>
      </c>
      <c r="E374" s="62" t="n">
        <v>-15.13</v>
      </c>
      <c r="F374" s="59" t="n">
        <f aca="false">IF(ISNUMBER(FIND("SALDO ANTERIOR",C374)),0,IF(ISNUMBER(FIND("SALDO DO DIA",C374)),0,IF(ISNUMBER(FIND("SALDO PARCIAL",C374)),0,IF(ISNUMBER(FIND("SDO CTA/APL AUTOMATICAS",C374)),0,IF(ISNUMBER(FIND("APL APLIC AUT MAIS",C374)),0,IF(ISNUMBER(FIND("TEC DEPOSITO",C374)),0,IF(E374&gt;0,0,E374*(-1))))))))</f>
        <v>0</v>
      </c>
      <c r="G374" s="60" t="n">
        <f aca="false">IF(ISNUMBER(FIND("SALDO ANTERIOR",C374)),0,IF(ISNUMBER(FIND("SALDO DO DIA",C374)),0,IF(ISNUMBER(FIND("SDO CTA/APL AUTOMATICAS",C374)),0,IF(ISNUMBER(FIND("TEC DEPOSITO",C374)),0,IF(ISNUMBER(FIND("APL APLIC AUT MAIS",C374)),E374,IF(E374&gt;0,E374,0))))))</f>
        <v>0</v>
      </c>
      <c r="H374" s="61" t="n">
        <v>44287</v>
      </c>
    </row>
    <row r="375" customFormat="false" ht="17" hidden="false" customHeight="false" outlineLevel="0" collapsed="false">
      <c r="A375" s="40" t="s">
        <v>31</v>
      </c>
      <c r="B375" s="41" t="s">
        <v>339</v>
      </c>
      <c r="C375" s="63" t="s">
        <v>52</v>
      </c>
      <c r="D375" s="43"/>
      <c r="E375" s="64"/>
      <c r="F375" s="45" t="n">
        <f aca="false">IF(ISNUMBER(FIND("SALDO ANTERIOR",C375)),0,IF(ISNUMBER(FIND("SALDO DO DIA",C375)),0,IF(ISNUMBER(FIND("SALDO PARCIAL",C375)),0,IF(ISNUMBER(FIND("SDO CTA/APL AUTOMATICAS",C375)),0,IF(ISNUMBER(FIND("APL APLIC AUT MAIS",C375)),0,IF(ISNUMBER(FIND("TEC DEPOSITO",C375)),0,IF(E375&gt;0,0,E375*(-1))))))))</f>
        <v>0</v>
      </c>
      <c r="G375" s="46" t="n">
        <f aca="false">IF(ISNUMBER(FIND("SALDO ANTERIOR",C375)),0,IF(ISNUMBER(FIND("SALDO DO DIA",C375)),0,IF(ISNUMBER(FIND("SDO CTA/APL AUTOMATICAS",C375)),0,IF(ISNUMBER(FIND("TEC DEPOSITO",C375)),0,IF(ISNUMBER(FIND("APL APLIC AUT MAIS",C375)),E375,IF(E375&gt;0,E375,0))))))</f>
        <v>0</v>
      </c>
      <c r="H375" s="65" t="n">
        <v>44317</v>
      </c>
    </row>
    <row r="376" customFormat="false" ht="15.8" hidden="false" customHeight="false" outlineLevel="0" collapsed="false">
      <c r="A376" s="40" t="s">
        <v>200</v>
      </c>
      <c r="B376" s="41" t="s">
        <v>340</v>
      </c>
      <c r="C376" s="41" t="s">
        <v>341</v>
      </c>
      <c r="D376" s="43" t="s">
        <v>72</v>
      </c>
      <c r="E376" s="66" t="n">
        <v>-471.06</v>
      </c>
      <c r="F376" s="45" t="n">
        <f aca="false">IF(ISNUMBER(FIND("SALDO ANTERIOR",C376)),0,IF(ISNUMBER(FIND("SALDO DO DIA",C376)),0,IF(ISNUMBER(FIND("SALDO PARCIAL",C376)),0,IF(ISNUMBER(FIND("SDO CTA/APL AUTOMATICAS",C376)),0,IF(ISNUMBER(FIND("APL APLIC AUT MAIS",C376)),0,IF(ISNUMBER(FIND("TEC DEPOSITO",C376)),0,IF(E376&gt;0,0,E376*(-1))))))))</f>
        <v>471.06</v>
      </c>
      <c r="G376" s="46" t="n">
        <f aca="false">IF(ISNUMBER(FIND("SALDO ANTERIOR",C376)),0,IF(ISNUMBER(FIND("SALDO DO DIA",C376)),0,IF(ISNUMBER(FIND("SDO CTA/APL AUTOMATICAS",C376)),0,IF(ISNUMBER(FIND("TEC DEPOSITO",C376)),0,IF(ISNUMBER(FIND("APL APLIC AUT MAIS",C376)),E376,IF(E376&gt;0,E376,0))))))</f>
        <v>0</v>
      </c>
      <c r="H376" s="65" t="n">
        <v>44317</v>
      </c>
    </row>
    <row r="377" customFormat="false" ht="15.8" hidden="false" customHeight="false" outlineLevel="0" collapsed="false">
      <c r="A377" s="40" t="s">
        <v>87</v>
      </c>
      <c r="B377" s="41" t="s">
        <v>340</v>
      </c>
      <c r="C377" s="41" t="s">
        <v>342</v>
      </c>
      <c r="D377" s="43" t="s">
        <v>72</v>
      </c>
      <c r="E377" s="66" t="n">
        <v>-491.85</v>
      </c>
      <c r="F377" s="45" t="n">
        <f aca="false">IF(ISNUMBER(FIND("SALDO ANTERIOR",C377)),0,IF(ISNUMBER(FIND("SALDO DO DIA",C377)),0,IF(ISNUMBER(FIND("SALDO PARCIAL",C377)),0,IF(ISNUMBER(FIND("SDO CTA/APL AUTOMATICAS",C377)),0,IF(ISNUMBER(FIND("APL APLIC AUT MAIS",C377)),0,IF(ISNUMBER(FIND("TEC DEPOSITO",C377)),0,IF(E377&gt;0,0,E377*(-1))))))))</f>
        <v>491.85</v>
      </c>
      <c r="G377" s="46" t="n">
        <f aca="false">IF(ISNUMBER(FIND("SALDO ANTERIOR",C377)),0,IF(ISNUMBER(FIND("SALDO DO DIA",C377)),0,IF(ISNUMBER(FIND("SDO CTA/APL AUTOMATICAS",C377)),0,IF(ISNUMBER(FIND("TEC DEPOSITO",C377)),0,IF(ISNUMBER(FIND("APL APLIC AUT MAIS",C377)),E377,IF(E377&gt;0,E377,0))))))</f>
        <v>0</v>
      </c>
      <c r="H377" s="65" t="n">
        <v>44317</v>
      </c>
    </row>
    <row r="378" customFormat="false" ht="15.8" hidden="false" customHeight="false" outlineLevel="0" collapsed="false">
      <c r="A378" s="40" t="s">
        <v>121</v>
      </c>
      <c r="B378" s="41" t="s">
        <v>340</v>
      </c>
      <c r="C378" s="41" t="s">
        <v>343</v>
      </c>
      <c r="D378" s="43" t="s">
        <v>91</v>
      </c>
      <c r="E378" s="66" t="n">
        <v>-100</v>
      </c>
      <c r="F378" s="45" t="n">
        <f aca="false">IF(ISNUMBER(FIND("SALDO ANTERIOR",C378)),0,IF(ISNUMBER(FIND("SALDO DO DIA",C378)),0,IF(ISNUMBER(FIND("SALDO PARCIAL",C378)),0,IF(ISNUMBER(FIND("SDO CTA/APL AUTOMATICAS",C378)),0,IF(ISNUMBER(FIND("APL APLIC AUT MAIS",C378)),0,IF(ISNUMBER(FIND("TEC DEPOSITO",C378)),0,IF(E378&gt;0,0,E378*(-1))))))))</f>
        <v>100</v>
      </c>
      <c r="G378" s="46" t="n">
        <f aca="false">IF(ISNUMBER(FIND("SALDO ANTERIOR",C378)),0,IF(ISNUMBER(FIND("SALDO DO DIA",C378)),0,IF(ISNUMBER(FIND("SDO CTA/APL AUTOMATICAS",C378)),0,IF(ISNUMBER(FIND("TEC DEPOSITO",C378)),0,IF(ISNUMBER(FIND("APL APLIC AUT MAIS",C378)),E378,IF(E378&gt;0,E378,0))))))</f>
        <v>0</v>
      </c>
      <c r="H378" s="65" t="n">
        <v>44317</v>
      </c>
    </row>
    <row r="379" customFormat="false" ht="15.8" hidden="false" customHeight="false" outlineLevel="0" collapsed="false">
      <c r="A379" s="40" t="s">
        <v>80</v>
      </c>
      <c r="B379" s="41" t="s">
        <v>340</v>
      </c>
      <c r="C379" s="41" t="s">
        <v>344</v>
      </c>
      <c r="D379" s="43" t="s">
        <v>72</v>
      </c>
      <c r="E379" s="66" t="n">
        <v>-51</v>
      </c>
      <c r="F379" s="45" t="n">
        <f aca="false">IF(ISNUMBER(FIND("SALDO ANTERIOR",C379)),0,IF(ISNUMBER(FIND("SALDO DO DIA",C379)),0,IF(ISNUMBER(FIND("SALDO PARCIAL",C379)),0,IF(ISNUMBER(FIND("SDO CTA/APL AUTOMATICAS",C379)),0,IF(ISNUMBER(FIND("APL APLIC AUT MAIS",C379)),0,IF(ISNUMBER(FIND("TEC DEPOSITO",C379)),0,IF(E379&gt;0,0,E379*(-1))))))))</f>
        <v>51</v>
      </c>
      <c r="G379" s="46" t="n">
        <f aca="false">IF(ISNUMBER(FIND("SALDO ANTERIOR",C379)),0,IF(ISNUMBER(FIND("SALDO DO DIA",C379)),0,IF(ISNUMBER(FIND("SDO CTA/APL AUTOMATICAS",C379)),0,IF(ISNUMBER(FIND("TEC DEPOSITO",C379)),0,IF(ISNUMBER(FIND("APL APLIC AUT MAIS",C379)),E379,IF(E379&gt;0,E379,0))))))</f>
        <v>0</v>
      </c>
      <c r="H379" s="65" t="n">
        <v>44317</v>
      </c>
    </row>
    <row r="380" customFormat="false" ht="15.8" hidden="false" customHeight="false" outlineLevel="0" collapsed="false">
      <c r="A380" s="40" t="s">
        <v>80</v>
      </c>
      <c r="B380" s="41" t="s">
        <v>340</v>
      </c>
      <c r="C380" s="41" t="s">
        <v>345</v>
      </c>
      <c r="D380" s="43" t="s">
        <v>72</v>
      </c>
      <c r="E380" s="66" t="n">
        <v>-85</v>
      </c>
      <c r="F380" s="45" t="n">
        <f aca="false">IF(ISNUMBER(FIND("SALDO ANTERIOR",C380)),0,IF(ISNUMBER(FIND("SALDO DO DIA",C380)),0,IF(ISNUMBER(FIND("SALDO PARCIAL",C380)),0,IF(ISNUMBER(FIND("SDO CTA/APL AUTOMATICAS",C380)),0,IF(ISNUMBER(FIND("APL APLIC AUT MAIS",C380)),0,IF(ISNUMBER(FIND("TEC DEPOSITO",C380)),0,IF(E380&gt;0,0,E380*(-1))))))))</f>
        <v>85</v>
      </c>
      <c r="G380" s="46" t="n">
        <f aca="false">IF(ISNUMBER(FIND("SALDO ANTERIOR",C380)),0,IF(ISNUMBER(FIND("SALDO DO DIA",C380)),0,IF(ISNUMBER(FIND("SDO CTA/APL AUTOMATICAS",C380)),0,IF(ISNUMBER(FIND("TEC DEPOSITO",C380)),0,IF(ISNUMBER(FIND("APL APLIC AUT MAIS",C380)),E380,IF(E380&gt;0,E380,0))))))</f>
        <v>0</v>
      </c>
      <c r="H380" s="65" t="n">
        <v>44317</v>
      </c>
    </row>
    <row r="381" customFormat="false" ht="15.8" hidden="false" customHeight="false" outlineLevel="0" collapsed="false">
      <c r="A381" s="40" t="s">
        <v>53</v>
      </c>
      <c r="B381" s="41" t="s">
        <v>340</v>
      </c>
      <c r="C381" s="41" t="s">
        <v>55</v>
      </c>
      <c r="D381" s="43" t="s">
        <v>56</v>
      </c>
      <c r="E381" s="66" t="n">
        <v>-82.48</v>
      </c>
      <c r="F381" s="45" t="n">
        <f aca="false">IF(ISNUMBER(FIND("SALDO ANTERIOR",C381)),0,IF(ISNUMBER(FIND("SALDO DO DIA",C381)),0,IF(ISNUMBER(FIND("SALDO PARCIAL",C381)),0,IF(ISNUMBER(FIND("SDO CTA/APL AUTOMATICAS",C381)),0,IF(ISNUMBER(FIND("APL APLIC AUT MAIS",C381)),0,IF(ISNUMBER(FIND("TEC DEPOSITO",C381)),0,IF(E381&gt;0,0,E381*(-1))))))))</f>
        <v>82.48</v>
      </c>
      <c r="G381" s="46" t="n">
        <f aca="false">IF(ISNUMBER(FIND("SALDO ANTERIOR",C381)),0,IF(ISNUMBER(FIND("SALDO DO DIA",C381)),0,IF(ISNUMBER(FIND("SDO CTA/APL AUTOMATICAS",C381)),0,IF(ISNUMBER(FIND("TEC DEPOSITO",C381)),0,IF(ISNUMBER(FIND("APL APLIC AUT MAIS",C381)),E381,IF(E381&gt;0,E381,0))))))</f>
        <v>0</v>
      </c>
      <c r="H381" s="65" t="n">
        <v>44317</v>
      </c>
    </row>
    <row r="382" customFormat="false" ht="15.8" hidden="false" customHeight="false" outlineLevel="0" collapsed="false">
      <c r="A382" s="40" t="s">
        <v>53</v>
      </c>
      <c r="B382" s="41" t="s">
        <v>340</v>
      </c>
      <c r="C382" s="41" t="s">
        <v>55</v>
      </c>
      <c r="D382" s="43" t="s">
        <v>56</v>
      </c>
      <c r="E382" s="66" t="n">
        <v>-4.03</v>
      </c>
      <c r="F382" s="45" t="n">
        <f aca="false">IF(ISNUMBER(FIND("SALDO ANTERIOR",C382)),0,IF(ISNUMBER(FIND("SALDO DO DIA",C382)),0,IF(ISNUMBER(FIND("SALDO PARCIAL",C382)),0,IF(ISNUMBER(FIND("SDO CTA/APL AUTOMATICAS",C382)),0,IF(ISNUMBER(FIND("APL APLIC AUT MAIS",C382)),0,IF(ISNUMBER(FIND("TEC DEPOSITO",C382)),0,IF(E382&gt;0,0,E382*(-1))))))))</f>
        <v>4.03</v>
      </c>
      <c r="G382" s="46" t="n">
        <f aca="false">IF(ISNUMBER(FIND("SALDO ANTERIOR",C382)),0,IF(ISNUMBER(FIND("SALDO DO DIA",C382)),0,IF(ISNUMBER(FIND("SDO CTA/APL AUTOMATICAS",C382)),0,IF(ISNUMBER(FIND("TEC DEPOSITO",C382)),0,IF(ISNUMBER(FIND("APL APLIC AUT MAIS",C382)),E382,IF(E382&gt;0,E382,0))))))</f>
        <v>0</v>
      </c>
      <c r="H382" s="65" t="n">
        <v>44317</v>
      </c>
    </row>
    <row r="383" customFormat="false" ht="15.8" hidden="false" customHeight="false" outlineLevel="0" collapsed="false">
      <c r="A383" s="40" t="s">
        <v>77</v>
      </c>
      <c r="B383" s="41" t="s">
        <v>340</v>
      </c>
      <c r="C383" s="41" t="s">
        <v>79</v>
      </c>
      <c r="D383" s="43" t="s">
        <v>56</v>
      </c>
      <c r="E383" s="66" t="n">
        <v>-11</v>
      </c>
      <c r="F383" s="45" t="n">
        <f aca="false">IF(ISNUMBER(FIND("SALDO ANTERIOR",C383)),0,IF(ISNUMBER(FIND("SALDO DO DIA",C383)),0,IF(ISNUMBER(FIND("SALDO PARCIAL",C383)),0,IF(ISNUMBER(FIND("SDO CTA/APL AUTOMATICAS",C383)),0,IF(ISNUMBER(FIND("APL APLIC AUT MAIS",C383)),0,IF(ISNUMBER(FIND("TEC DEPOSITO",C383)),0,IF(E383&gt;0,0,E383*(-1))))))))</f>
        <v>11</v>
      </c>
      <c r="G383" s="46" t="n">
        <f aca="false">IF(ISNUMBER(FIND("SALDO ANTERIOR",C383)),0,IF(ISNUMBER(FIND("SALDO DO DIA",C383)),0,IF(ISNUMBER(FIND("SDO CTA/APL AUTOMATICAS",C383)),0,IF(ISNUMBER(FIND("TEC DEPOSITO",C383)),0,IF(ISNUMBER(FIND("APL APLIC AUT MAIS",C383)),E383,IF(E383&gt;0,E383,0))))))</f>
        <v>0</v>
      </c>
      <c r="H383" s="65" t="n">
        <v>44317</v>
      </c>
    </row>
    <row r="384" customFormat="false" ht="15.8" hidden="false" customHeight="false" outlineLevel="0" collapsed="false">
      <c r="A384" s="40" t="s">
        <v>59</v>
      </c>
      <c r="B384" s="41" t="s">
        <v>340</v>
      </c>
      <c r="C384" s="41" t="s">
        <v>346</v>
      </c>
      <c r="D384" s="43" t="s">
        <v>56</v>
      </c>
      <c r="E384" s="66" t="n">
        <v>-19.9</v>
      </c>
      <c r="F384" s="45" t="n">
        <f aca="false">IF(ISNUMBER(FIND("SALDO ANTERIOR",C384)),0,IF(ISNUMBER(FIND("SALDO DO DIA",C384)),0,IF(ISNUMBER(FIND("SALDO PARCIAL",C384)),0,IF(ISNUMBER(FIND("SDO CTA/APL AUTOMATICAS",C384)),0,IF(ISNUMBER(FIND("APL APLIC AUT MAIS",C384)),0,IF(ISNUMBER(FIND("TEC DEPOSITO",C384)),0,IF(E384&gt;0,0,E384*(-1))))))))</f>
        <v>19.9</v>
      </c>
      <c r="G384" s="46" t="n">
        <f aca="false">IF(ISNUMBER(FIND("SALDO ANTERIOR",C384)),0,IF(ISNUMBER(FIND("SALDO DO DIA",C384)),0,IF(ISNUMBER(FIND("SDO CTA/APL AUTOMATICAS",C384)),0,IF(ISNUMBER(FIND("TEC DEPOSITO",C384)),0,IF(ISNUMBER(FIND("APL APLIC AUT MAIS",C384)),E384,IF(E384&gt;0,E384,0))))))</f>
        <v>0</v>
      </c>
      <c r="H384" s="65" t="n">
        <v>44317</v>
      </c>
    </row>
    <row r="385" customFormat="false" ht="15.8" hidden="false" customHeight="false" outlineLevel="0" collapsed="false">
      <c r="A385" s="40" t="s">
        <v>103</v>
      </c>
      <c r="B385" s="41" t="s">
        <v>340</v>
      </c>
      <c r="C385" s="41" t="s">
        <v>130</v>
      </c>
      <c r="D385" s="43" t="s">
        <v>56</v>
      </c>
      <c r="E385" s="66" t="n">
        <v>-50</v>
      </c>
      <c r="F385" s="45" t="n">
        <f aca="false">IF(ISNUMBER(FIND("SALDO ANTERIOR",C385)),0,IF(ISNUMBER(FIND("SALDO DO DIA",C385)),0,IF(ISNUMBER(FIND("SALDO PARCIAL",C385)),0,IF(ISNUMBER(FIND("SDO CTA/APL AUTOMATICAS",C385)),0,IF(ISNUMBER(FIND("APL APLIC AUT MAIS",C385)),0,IF(ISNUMBER(FIND("TEC DEPOSITO",C385)),0,IF(E385&gt;0,0,E385*(-1))))))))</f>
        <v>50</v>
      </c>
      <c r="G385" s="46" t="n">
        <f aca="false">IF(ISNUMBER(FIND("SALDO ANTERIOR",C385)),0,IF(ISNUMBER(FIND("SALDO DO DIA",C385)),0,IF(ISNUMBER(FIND("SDO CTA/APL AUTOMATICAS",C385)),0,IF(ISNUMBER(FIND("TEC DEPOSITO",C385)),0,IF(ISNUMBER(FIND("APL APLIC AUT MAIS",C385)),E385,IF(E385&gt;0,E385,0))))))</f>
        <v>0</v>
      </c>
      <c r="H385" s="65" t="n">
        <v>44317</v>
      </c>
    </row>
    <row r="386" customFormat="false" ht="15.8" hidden="false" customHeight="false" outlineLevel="0" collapsed="false">
      <c r="A386" s="40" t="s">
        <v>98</v>
      </c>
      <c r="B386" s="41" t="s">
        <v>340</v>
      </c>
      <c r="C386" s="41" t="s">
        <v>101</v>
      </c>
      <c r="D386" s="43" t="s">
        <v>56</v>
      </c>
      <c r="E386" s="66" t="n">
        <v>-13</v>
      </c>
      <c r="F386" s="45" t="n">
        <f aca="false">IF(ISNUMBER(FIND("SALDO ANTERIOR",C386)),0,IF(ISNUMBER(FIND("SALDO DO DIA",C386)),0,IF(ISNUMBER(FIND("SALDO PARCIAL",C386)),0,IF(ISNUMBER(FIND("SDO CTA/APL AUTOMATICAS",C386)),0,IF(ISNUMBER(FIND("APL APLIC AUT MAIS",C386)),0,IF(ISNUMBER(FIND("TEC DEPOSITO",C386)),0,IF(E386&gt;0,0,E386*(-1))))))))</f>
        <v>13</v>
      </c>
      <c r="G386" s="46" t="n">
        <f aca="false">IF(ISNUMBER(FIND("SALDO ANTERIOR",C386)),0,IF(ISNUMBER(FIND("SALDO DO DIA",C386)),0,IF(ISNUMBER(FIND("SDO CTA/APL AUTOMATICAS",C386)),0,IF(ISNUMBER(FIND("TEC DEPOSITO",C386)),0,IF(ISNUMBER(FIND("APL APLIC AUT MAIS",C386)),E386,IF(E386&gt;0,E386,0))))))</f>
        <v>0</v>
      </c>
      <c r="H386" s="65" t="n">
        <v>44317</v>
      </c>
    </row>
    <row r="387" customFormat="false" ht="15.8" hidden="false" customHeight="false" outlineLevel="0" collapsed="false">
      <c r="A387" s="40" t="s">
        <v>57</v>
      </c>
      <c r="B387" s="41" t="s">
        <v>340</v>
      </c>
      <c r="C387" s="41" t="s">
        <v>162</v>
      </c>
      <c r="D387" s="43" t="s">
        <v>56</v>
      </c>
      <c r="E387" s="66" t="n">
        <v>-28.09</v>
      </c>
      <c r="F387" s="45" t="n">
        <f aca="false">IF(ISNUMBER(FIND("SALDO ANTERIOR",C387)),0,IF(ISNUMBER(FIND("SALDO DO DIA",C387)),0,IF(ISNUMBER(FIND("SALDO PARCIAL",C387)),0,IF(ISNUMBER(FIND("SDO CTA/APL AUTOMATICAS",C387)),0,IF(ISNUMBER(FIND("APL APLIC AUT MAIS",C387)),0,IF(ISNUMBER(FIND("TEC DEPOSITO",C387)),0,IF(E387&gt;0,0,E387*(-1))))))))</f>
        <v>28.09</v>
      </c>
      <c r="G387" s="46" t="n">
        <f aca="false">IF(ISNUMBER(FIND("SALDO ANTERIOR",C387)),0,IF(ISNUMBER(FIND("SALDO DO DIA",C387)),0,IF(ISNUMBER(FIND("SDO CTA/APL AUTOMATICAS",C387)),0,IF(ISNUMBER(FIND("TEC DEPOSITO",C387)),0,IF(ISNUMBER(FIND("APL APLIC AUT MAIS",C387)),E387,IF(E387&gt;0,E387,0))))))</f>
        <v>0</v>
      </c>
      <c r="H387" s="65" t="n">
        <v>44317</v>
      </c>
    </row>
    <row r="388" customFormat="false" ht="15.8" hidden="false" customHeight="false" outlineLevel="0" collapsed="false">
      <c r="A388" s="40" t="s">
        <v>57</v>
      </c>
      <c r="B388" s="41" t="s">
        <v>340</v>
      </c>
      <c r="C388" s="41" t="s">
        <v>162</v>
      </c>
      <c r="D388" s="43" t="s">
        <v>56</v>
      </c>
      <c r="E388" s="66" t="n">
        <v>-30.89</v>
      </c>
      <c r="F388" s="45" t="n">
        <f aca="false">IF(ISNUMBER(FIND("SALDO ANTERIOR",C388)),0,IF(ISNUMBER(FIND("SALDO DO DIA",C388)),0,IF(ISNUMBER(FIND("SALDO PARCIAL",C388)),0,IF(ISNUMBER(FIND("SDO CTA/APL AUTOMATICAS",C388)),0,IF(ISNUMBER(FIND("APL APLIC AUT MAIS",C388)),0,IF(ISNUMBER(FIND("TEC DEPOSITO",C388)),0,IF(E388&gt;0,0,E388*(-1))))))))</f>
        <v>30.89</v>
      </c>
      <c r="G388" s="46" t="n">
        <f aca="false">IF(ISNUMBER(FIND("SALDO ANTERIOR",C388)),0,IF(ISNUMBER(FIND("SALDO DO DIA",C388)),0,IF(ISNUMBER(FIND("SDO CTA/APL AUTOMATICAS",C388)),0,IF(ISNUMBER(FIND("TEC DEPOSITO",C388)),0,IF(ISNUMBER(FIND("APL APLIC AUT MAIS",C388)),E388,IF(E388&gt;0,E388,0))))))</f>
        <v>0</v>
      </c>
      <c r="H388" s="65" t="n">
        <v>44317</v>
      </c>
    </row>
    <row r="389" customFormat="false" ht="15.8" hidden="false" customHeight="false" outlineLevel="0" collapsed="false">
      <c r="A389" s="40" t="s">
        <v>57</v>
      </c>
      <c r="B389" s="41" t="s">
        <v>340</v>
      </c>
      <c r="C389" s="41" t="s">
        <v>163</v>
      </c>
      <c r="D389" s="43" t="s">
        <v>56</v>
      </c>
      <c r="E389" s="66" t="n">
        <v>-16.99</v>
      </c>
      <c r="F389" s="45" t="n">
        <f aca="false">IF(ISNUMBER(FIND("SALDO ANTERIOR",C389)),0,IF(ISNUMBER(FIND("SALDO DO DIA",C389)),0,IF(ISNUMBER(FIND("SALDO PARCIAL",C389)),0,IF(ISNUMBER(FIND("SDO CTA/APL AUTOMATICAS",C389)),0,IF(ISNUMBER(FIND("APL APLIC AUT MAIS",C389)),0,IF(ISNUMBER(FIND("TEC DEPOSITO",C389)),0,IF(E389&gt;0,0,E389*(-1))))))))</f>
        <v>16.99</v>
      </c>
      <c r="G389" s="46" t="n">
        <f aca="false">IF(ISNUMBER(FIND("SALDO ANTERIOR",C389)),0,IF(ISNUMBER(FIND("SALDO DO DIA",C389)),0,IF(ISNUMBER(FIND("SDO CTA/APL AUTOMATICAS",C389)),0,IF(ISNUMBER(FIND("TEC DEPOSITO",C389)),0,IF(ISNUMBER(FIND("APL APLIC AUT MAIS",C389)),E389,IF(E389&gt;0,E389,0))))))</f>
        <v>0</v>
      </c>
      <c r="H389" s="65" t="n">
        <v>44317</v>
      </c>
    </row>
    <row r="390" customFormat="false" ht="15.8" hidden="false" customHeight="false" outlineLevel="0" collapsed="false">
      <c r="A390" s="40" t="s">
        <v>64</v>
      </c>
      <c r="B390" s="41" t="s">
        <v>340</v>
      </c>
      <c r="C390" s="41" t="s">
        <v>246</v>
      </c>
      <c r="D390" s="43" t="s">
        <v>56</v>
      </c>
      <c r="E390" s="66" t="n">
        <v>-22.8</v>
      </c>
      <c r="F390" s="45" t="n">
        <f aca="false">IF(ISNUMBER(FIND("SALDO ANTERIOR",C390)),0,IF(ISNUMBER(FIND("SALDO DO DIA",C390)),0,IF(ISNUMBER(FIND("SALDO PARCIAL",C390)),0,IF(ISNUMBER(FIND("SDO CTA/APL AUTOMATICAS",C390)),0,IF(ISNUMBER(FIND("APL APLIC AUT MAIS",C390)),0,IF(ISNUMBER(FIND("TEC DEPOSITO",C390)),0,IF(E390&gt;0,0,E390*(-1))))))))</f>
        <v>22.8</v>
      </c>
      <c r="G390" s="46" t="n">
        <f aca="false">IF(ISNUMBER(FIND("SALDO ANTERIOR",C390)),0,IF(ISNUMBER(FIND("SALDO DO DIA",C390)),0,IF(ISNUMBER(FIND("SDO CTA/APL AUTOMATICAS",C390)),0,IF(ISNUMBER(FIND("TEC DEPOSITO",C390)),0,IF(ISNUMBER(FIND("APL APLIC AUT MAIS",C390)),E390,IF(E390&gt;0,E390,0))))))</f>
        <v>0</v>
      </c>
      <c r="H390" s="65" t="n">
        <v>44317</v>
      </c>
    </row>
    <row r="391" customFormat="false" ht="15.8" hidden="false" customHeight="false" outlineLevel="0" collapsed="false">
      <c r="A391" s="40" t="s">
        <v>175</v>
      </c>
      <c r="B391" s="41" t="s">
        <v>340</v>
      </c>
      <c r="C391" s="41" t="s">
        <v>347</v>
      </c>
      <c r="D391" s="43" t="s">
        <v>308</v>
      </c>
      <c r="E391" s="66" t="n">
        <v>-50</v>
      </c>
      <c r="F391" s="45" t="n">
        <f aca="false">IF(ISNUMBER(FIND("SALDO ANTERIOR",C391)),0,IF(ISNUMBER(FIND("SALDO DO DIA",C391)),0,IF(ISNUMBER(FIND("SALDO PARCIAL",C391)),0,IF(ISNUMBER(FIND("SDO CTA/APL AUTOMATICAS",C391)),0,IF(ISNUMBER(FIND("APL APLIC AUT MAIS",C391)),0,IF(ISNUMBER(FIND("TEC DEPOSITO",C391)),0,IF(E391&gt;0,0,E391*(-1))))))))</f>
        <v>50</v>
      </c>
      <c r="G391" s="46" t="n">
        <f aca="false">IF(ISNUMBER(FIND("SALDO ANTERIOR",C391)),0,IF(ISNUMBER(FIND("SALDO DO DIA",C391)),0,IF(ISNUMBER(FIND("SDO CTA/APL AUTOMATICAS",C391)),0,IF(ISNUMBER(FIND("TEC DEPOSITO",C391)),0,IF(ISNUMBER(FIND("APL APLIC AUT MAIS",C391)),E391,IF(E391&gt;0,E391,0))))))</f>
        <v>0</v>
      </c>
      <c r="H391" s="65" t="n">
        <v>44317</v>
      </c>
    </row>
    <row r="392" customFormat="false" ht="15.8" hidden="false" customHeight="false" outlineLevel="0" collapsed="false">
      <c r="A392" s="40" t="s">
        <v>183</v>
      </c>
      <c r="B392" s="41" t="s">
        <v>340</v>
      </c>
      <c r="C392" s="41" t="s">
        <v>348</v>
      </c>
      <c r="D392" s="43" t="s">
        <v>349</v>
      </c>
      <c r="E392" s="66" t="n">
        <v>-255</v>
      </c>
      <c r="F392" s="45" t="n">
        <f aca="false">IF(ISNUMBER(FIND("SALDO ANTERIOR",C392)),0,IF(ISNUMBER(FIND("SALDO DO DIA",C392)),0,IF(ISNUMBER(FIND("SALDO PARCIAL",C392)),0,IF(ISNUMBER(FIND("SDO CTA/APL AUTOMATICAS",C392)),0,IF(ISNUMBER(FIND("APL APLIC AUT MAIS",C392)),0,IF(ISNUMBER(FIND("TEC DEPOSITO",C392)),0,IF(E392&gt;0,0,E392*(-1))))))))</f>
        <v>255</v>
      </c>
      <c r="G392" s="46" t="n">
        <f aca="false">IF(ISNUMBER(FIND("SALDO ANTERIOR",C392)),0,IF(ISNUMBER(FIND("SALDO DO DIA",C392)),0,IF(ISNUMBER(FIND("SDO CTA/APL AUTOMATICAS",C392)),0,IF(ISNUMBER(FIND("TEC DEPOSITO",C392)),0,IF(ISNUMBER(FIND("APL APLIC AUT MAIS",C392)),E392,IF(E392&gt;0,E392,0))))))</f>
        <v>0</v>
      </c>
      <c r="H392" s="65" t="n">
        <v>44317</v>
      </c>
    </row>
    <row r="393" customFormat="false" ht="15.8" hidden="false" customHeight="false" outlineLevel="0" collapsed="false">
      <c r="A393" s="40" t="s">
        <v>271</v>
      </c>
      <c r="B393" s="41" t="s">
        <v>340</v>
      </c>
      <c r="C393" s="41" t="s">
        <v>350</v>
      </c>
      <c r="D393" s="43" t="s">
        <v>351</v>
      </c>
      <c r="E393" s="66" t="n">
        <v>-394.33</v>
      </c>
      <c r="F393" s="45" t="n">
        <f aca="false">IF(ISNUMBER(FIND("SALDO ANTERIOR",C393)),0,IF(ISNUMBER(FIND("SALDO DO DIA",C393)),0,IF(ISNUMBER(FIND("SALDO PARCIAL",C393)),0,IF(ISNUMBER(FIND("SDO CTA/APL AUTOMATICAS",C393)),0,IF(ISNUMBER(FIND("APL APLIC AUT MAIS",C393)),0,IF(ISNUMBER(FIND("TEC DEPOSITO",C393)),0,IF(E393&gt;0,0,E393*(-1))))))))</f>
        <v>394.33</v>
      </c>
      <c r="G393" s="46" t="n">
        <f aca="false">IF(ISNUMBER(FIND("SALDO ANTERIOR",C393)),0,IF(ISNUMBER(FIND("SALDO DO DIA",C393)),0,IF(ISNUMBER(FIND("SDO CTA/APL AUTOMATICAS",C393)),0,IF(ISNUMBER(FIND("TEC DEPOSITO",C393)),0,IF(ISNUMBER(FIND("APL APLIC AUT MAIS",C393)),E393,IF(E393&gt;0,E393,0))))))</f>
        <v>0</v>
      </c>
      <c r="H393" s="65" t="n">
        <v>44317</v>
      </c>
    </row>
    <row r="394" customFormat="false" ht="15.8" hidden="false" customHeight="false" outlineLevel="0" collapsed="false">
      <c r="A394" s="40" t="s">
        <v>352</v>
      </c>
      <c r="B394" s="41" t="s">
        <v>340</v>
      </c>
      <c r="C394" s="41" t="s">
        <v>353</v>
      </c>
      <c r="D394" s="43" t="s">
        <v>354</v>
      </c>
      <c r="E394" s="67" t="n">
        <v>3943.38</v>
      </c>
      <c r="F394" s="45" t="n">
        <f aca="false">IF(ISNUMBER(FIND("SALDO ANTERIOR",C394)),0,IF(ISNUMBER(FIND("SALDO DO DIA",C394)),0,IF(ISNUMBER(FIND("SALDO PARCIAL",C394)),0,IF(ISNUMBER(FIND("SDO CTA/APL AUTOMATICAS",C394)),0,IF(ISNUMBER(FIND("APL APLIC AUT MAIS",C394)),0,IF(ISNUMBER(FIND("TEC DEPOSITO",C394)),0,IF(E394&gt;0,0,E394*(-1))))))))</f>
        <v>0</v>
      </c>
      <c r="G394" s="46" t="n">
        <f aca="false">IF(ISNUMBER(FIND("SALDO ANTERIOR",C394)),0,IF(ISNUMBER(FIND("SALDO DO DIA",C394)),0,IF(ISNUMBER(FIND("SDO CTA/APL AUTOMATICAS",C394)),0,IF(ISNUMBER(FIND("TEC DEPOSITO",C394)),0,IF(ISNUMBER(FIND("APL APLIC AUT MAIS",C394)),E394,IF(E394&gt;0,E394,0))))))</f>
        <v>3943.38</v>
      </c>
      <c r="H394" s="65" t="n">
        <v>44317</v>
      </c>
    </row>
    <row r="395" customFormat="false" ht="15.8" hidden="false" customHeight="false" outlineLevel="0" collapsed="false">
      <c r="A395" s="40" t="s">
        <v>66</v>
      </c>
      <c r="B395" s="41" t="s">
        <v>340</v>
      </c>
      <c r="C395" s="41" t="s">
        <v>67</v>
      </c>
      <c r="D395" s="43"/>
      <c r="E395" s="66" t="n">
        <v>-9.81</v>
      </c>
      <c r="F395" s="45" t="n">
        <f aca="false">IF(ISNUMBER(FIND("SALDO ANTERIOR",C395)),0,IF(ISNUMBER(FIND("SALDO DO DIA",C395)),0,IF(ISNUMBER(FIND("SALDO PARCIAL",C395)),0,IF(ISNUMBER(FIND("SDO CTA/APL AUTOMATICAS",C395)),0,IF(ISNUMBER(FIND("APL APLIC AUT MAIS",C395)),0,IF(ISNUMBER(FIND("TEC DEPOSITO",C395)),0,IF(E395&gt;0,0,E395*(-1))))))))</f>
        <v>9.81</v>
      </c>
      <c r="G395" s="46" t="n">
        <f aca="false">IF(ISNUMBER(FIND("SALDO ANTERIOR",C395)),0,IF(ISNUMBER(FIND("SALDO DO DIA",C395)),0,IF(ISNUMBER(FIND("SDO CTA/APL AUTOMATICAS",C395)),0,IF(ISNUMBER(FIND("TEC DEPOSITO",C395)),0,IF(ISNUMBER(FIND("APL APLIC AUT MAIS",C395)),E395,IF(E395&gt;0,E395,0))))))</f>
        <v>0</v>
      </c>
      <c r="H395" s="65" t="n">
        <v>44317</v>
      </c>
    </row>
    <row r="396" customFormat="false" ht="17" hidden="false" customHeight="false" outlineLevel="0" collapsed="false">
      <c r="A396" s="40" t="s">
        <v>31</v>
      </c>
      <c r="B396" s="41" t="s">
        <v>340</v>
      </c>
      <c r="C396" s="63" t="s">
        <v>120</v>
      </c>
      <c r="D396" s="43"/>
      <c r="E396" s="64"/>
      <c r="F396" s="45" t="n">
        <f aca="false">IF(ISNUMBER(FIND("SALDO ANTERIOR",C396)),0,IF(ISNUMBER(FIND("SALDO DO DIA",C396)),0,IF(ISNUMBER(FIND("SALDO PARCIAL",C396)),0,IF(ISNUMBER(FIND("SDO CTA/APL AUTOMATICAS",C396)),0,IF(ISNUMBER(FIND("APL APLIC AUT MAIS",C396)),0,IF(ISNUMBER(FIND("TEC DEPOSITO",C396)),0,IF(E396&gt;0,0,E396*(-1))))))))</f>
        <v>0</v>
      </c>
      <c r="G396" s="46" t="n">
        <f aca="false">IF(ISNUMBER(FIND("SALDO ANTERIOR",C396)),0,IF(ISNUMBER(FIND("SALDO DO DIA",C396)),0,IF(ISNUMBER(FIND("SDO CTA/APL AUTOMATICAS",C396)),0,IF(ISNUMBER(FIND("TEC DEPOSITO",C396)),0,IF(ISNUMBER(FIND("APL APLIC AUT MAIS",C396)),E396,IF(E396&gt;0,E396,0))))))</f>
        <v>0</v>
      </c>
      <c r="H396" s="65" t="n">
        <v>44317</v>
      </c>
    </row>
    <row r="397" customFormat="false" ht="15.8" hidden="false" customHeight="false" outlineLevel="0" collapsed="false">
      <c r="A397" s="40" t="s">
        <v>59</v>
      </c>
      <c r="B397" s="41" t="s">
        <v>355</v>
      </c>
      <c r="C397" s="41" t="s">
        <v>356</v>
      </c>
      <c r="D397" s="43" t="s">
        <v>56</v>
      </c>
      <c r="E397" s="66" t="n">
        <v>-32</v>
      </c>
      <c r="F397" s="45" t="n">
        <f aca="false">IF(ISNUMBER(FIND("SALDO ANTERIOR",C397)),0,IF(ISNUMBER(FIND("SALDO DO DIA",C397)),0,IF(ISNUMBER(FIND("SALDO PARCIAL",C397)),0,IF(ISNUMBER(FIND("SDO CTA/APL AUTOMATICAS",C397)),0,IF(ISNUMBER(FIND("APL APLIC AUT MAIS",C397)),0,IF(ISNUMBER(FIND("TEC DEPOSITO",C397)),0,IF(E397&gt;0,0,E397*(-1))))))))</f>
        <v>32</v>
      </c>
      <c r="G397" s="46" t="n">
        <f aca="false">IF(ISNUMBER(FIND("SALDO ANTERIOR",C397)),0,IF(ISNUMBER(FIND("SALDO DO DIA",C397)),0,IF(ISNUMBER(FIND("SDO CTA/APL AUTOMATICAS",C397)),0,IF(ISNUMBER(FIND("TEC DEPOSITO",C397)),0,IF(ISNUMBER(FIND("APL APLIC AUT MAIS",C397)),E397,IF(E397&gt;0,E397,0))))))</f>
        <v>0</v>
      </c>
      <c r="H397" s="65" t="n">
        <v>44317</v>
      </c>
    </row>
    <row r="398" customFormat="false" ht="15.8" hidden="false" customHeight="false" outlineLevel="0" collapsed="false">
      <c r="A398" s="40" t="s">
        <v>66</v>
      </c>
      <c r="B398" s="41" t="s">
        <v>355</v>
      </c>
      <c r="C398" s="41" t="s">
        <v>357</v>
      </c>
      <c r="D398" s="43" t="s">
        <v>76</v>
      </c>
      <c r="E398" s="66" t="n">
        <v>-82.9</v>
      </c>
      <c r="F398" s="45" t="n">
        <f aca="false">IF(ISNUMBER(FIND("SALDO ANTERIOR",C398)),0,IF(ISNUMBER(FIND("SALDO DO DIA",C398)),0,IF(ISNUMBER(FIND("SALDO PARCIAL",C398)),0,IF(ISNUMBER(FIND("SDO CTA/APL AUTOMATICAS",C398)),0,IF(ISNUMBER(FIND("APL APLIC AUT MAIS",C398)),0,IF(ISNUMBER(FIND("TEC DEPOSITO",C398)),0,IF(E398&gt;0,0,E398*(-1))))))))</f>
        <v>82.9</v>
      </c>
      <c r="G398" s="46" t="n">
        <f aca="false">IF(ISNUMBER(FIND("SALDO ANTERIOR",C398)),0,IF(ISNUMBER(FIND("SALDO DO DIA",C398)),0,IF(ISNUMBER(FIND("SDO CTA/APL AUTOMATICAS",C398)),0,IF(ISNUMBER(FIND("TEC DEPOSITO",C398)),0,IF(ISNUMBER(FIND("APL APLIC AUT MAIS",C398)),E398,IF(E398&gt;0,E398,0))))))</f>
        <v>0</v>
      </c>
      <c r="H398" s="65" t="n">
        <v>44317</v>
      </c>
    </row>
    <row r="399" customFormat="false" ht="17" hidden="false" customHeight="false" outlineLevel="0" collapsed="false">
      <c r="A399" s="40" t="s">
        <v>31</v>
      </c>
      <c r="B399" s="41" t="s">
        <v>355</v>
      </c>
      <c r="C399" s="63" t="s">
        <v>120</v>
      </c>
      <c r="D399" s="43"/>
      <c r="E399" s="64"/>
      <c r="F399" s="45" t="n">
        <f aca="false">IF(ISNUMBER(FIND("SALDO ANTERIOR",C399)),0,IF(ISNUMBER(FIND("SALDO DO DIA",C399)),0,IF(ISNUMBER(FIND("SALDO PARCIAL",C399)),0,IF(ISNUMBER(FIND("SDO CTA/APL AUTOMATICAS",C399)),0,IF(ISNUMBER(FIND("APL APLIC AUT MAIS",C399)),0,IF(ISNUMBER(FIND("TEC DEPOSITO",C399)),0,IF(E399&gt;0,0,E399*(-1))))))))</f>
        <v>0</v>
      </c>
      <c r="G399" s="46" t="n">
        <f aca="false">IF(ISNUMBER(FIND("SALDO ANTERIOR",C399)),0,IF(ISNUMBER(FIND("SALDO DO DIA",C399)),0,IF(ISNUMBER(FIND("SDO CTA/APL AUTOMATICAS",C399)),0,IF(ISNUMBER(FIND("TEC DEPOSITO",C399)),0,IF(ISNUMBER(FIND("APL APLIC AUT MAIS",C399)),E399,IF(E399&gt;0,E399,0))))))</f>
        <v>0</v>
      </c>
      <c r="H399" s="65" t="n">
        <v>44317</v>
      </c>
    </row>
    <row r="400" customFormat="false" ht="15.8" hidden="false" customHeight="false" outlineLevel="0" collapsed="false">
      <c r="A400" s="40" t="s">
        <v>175</v>
      </c>
      <c r="B400" s="41" t="s">
        <v>358</v>
      </c>
      <c r="C400" s="41" t="s">
        <v>359</v>
      </c>
      <c r="D400" s="43" t="s">
        <v>306</v>
      </c>
      <c r="E400" s="66" t="n">
        <v>-100</v>
      </c>
      <c r="F400" s="45" t="n">
        <f aca="false">IF(ISNUMBER(FIND("SALDO ANTERIOR",C400)),0,IF(ISNUMBER(FIND("SALDO DO DIA",C400)),0,IF(ISNUMBER(FIND("SALDO PARCIAL",C400)),0,IF(ISNUMBER(FIND("SDO CTA/APL AUTOMATICAS",C400)),0,IF(ISNUMBER(FIND("APL APLIC AUT MAIS",C400)),0,IF(ISNUMBER(FIND("TEC DEPOSITO",C400)),0,IF(E400&gt;0,0,E400*(-1))))))))</f>
        <v>100</v>
      </c>
      <c r="G400" s="46" t="n">
        <f aca="false">IF(ISNUMBER(FIND("SALDO ANTERIOR",C400)),0,IF(ISNUMBER(FIND("SALDO DO DIA",C400)),0,IF(ISNUMBER(FIND("SDO CTA/APL AUTOMATICAS",C400)),0,IF(ISNUMBER(FIND("TEC DEPOSITO",C400)),0,IF(ISNUMBER(FIND("APL APLIC AUT MAIS",C400)),E400,IF(E400&gt;0,E400,0))))))</f>
        <v>0</v>
      </c>
      <c r="H400" s="65" t="n">
        <v>44317</v>
      </c>
    </row>
    <row r="401" customFormat="false" ht="15.8" hidden="false" customHeight="false" outlineLevel="0" collapsed="false">
      <c r="A401" s="40" t="s">
        <v>66</v>
      </c>
      <c r="B401" s="41" t="s">
        <v>358</v>
      </c>
      <c r="C401" s="41" t="s">
        <v>360</v>
      </c>
      <c r="D401" s="43"/>
      <c r="E401" s="66" t="n">
        <v>-31.58</v>
      </c>
      <c r="F401" s="45" t="n">
        <f aca="false">IF(ISNUMBER(FIND("SALDO ANTERIOR",C401)),0,IF(ISNUMBER(FIND("SALDO DO DIA",C401)),0,IF(ISNUMBER(FIND("SALDO PARCIAL",C401)),0,IF(ISNUMBER(FIND("SDO CTA/APL AUTOMATICAS",C401)),0,IF(ISNUMBER(FIND("APL APLIC AUT MAIS",C401)),0,IF(ISNUMBER(FIND("TEC DEPOSITO",C401)),0,IF(E401&gt;0,0,E401*(-1))))))))</f>
        <v>31.58</v>
      </c>
      <c r="G401" s="46" t="n">
        <f aca="false">IF(ISNUMBER(FIND("SALDO ANTERIOR",C401)),0,IF(ISNUMBER(FIND("SALDO DO DIA",C401)),0,IF(ISNUMBER(FIND("SDO CTA/APL AUTOMATICAS",C401)),0,IF(ISNUMBER(FIND("TEC DEPOSITO",C401)),0,IF(ISNUMBER(FIND("APL APLIC AUT MAIS",C401)),E401,IF(E401&gt;0,E401,0))))))</f>
        <v>0</v>
      </c>
      <c r="H401" s="65" t="n">
        <v>44317</v>
      </c>
    </row>
    <row r="402" customFormat="false" ht="17" hidden="false" customHeight="false" outlineLevel="0" collapsed="false">
      <c r="A402" s="40" t="s">
        <v>31</v>
      </c>
      <c r="B402" s="41" t="s">
        <v>358</v>
      </c>
      <c r="C402" s="63" t="s">
        <v>120</v>
      </c>
      <c r="D402" s="43"/>
      <c r="E402" s="64"/>
      <c r="F402" s="45" t="n">
        <f aca="false">IF(ISNUMBER(FIND("SALDO ANTERIOR",C402)),0,IF(ISNUMBER(FIND("SALDO DO DIA",C402)),0,IF(ISNUMBER(FIND("SALDO PARCIAL",C402)),0,IF(ISNUMBER(FIND("SDO CTA/APL AUTOMATICAS",C402)),0,IF(ISNUMBER(FIND("APL APLIC AUT MAIS",C402)),0,IF(ISNUMBER(FIND("TEC DEPOSITO",C402)),0,IF(E402&gt;0,0,E402*(-1))))))))</f>
        <v>0</v>
      </c>
      <c r="G402" s="46" t="n">
        <f aca="false">IF(ISNUMBER(FIND("SALDO ANTERIOR",C402)),0,IF(ISNUMBER(FIND("SALDO DO DIA",C402)),0,IF(ISNUMBER(FIND("SDO CTA/APL AUTOMATICAS",C402)),0,IF(ISNUMBER(FIND("TEC DEPOSITO",C402)),0,IF(ISNUMBER(FIND("APL APLIC AUT MAIS",C402)),E402,IF(E402&gt;0,E402,0))))))</f>
        <v>0</v>
      </c>
      <c r="H402" s="65" t="n">
        <v>44317</v>
      </c>
    </row>
    <row r="403" customFormat="false" ht="15.8" hidden="false" customHeight="false" outlineLevel="0" collapsed="false">
      <c r="A403" s="40" t="s">
        <v>59</v>
      </c>
      <c r="B403" s="41" t="s">
        <v>361</v>
      </c>
      <c r="C403" s="41" t="s">
        <v>362</v>
      </c>
      <c r="D403" s="43" t="s">
        <v>56</v>
      </c>
      <c r="E403" s="66" t="n">
        <v>-65</v>
      </c>
      <c r="F403" s="45" t="n">
        <f aca="false">IF(ISNUMBER(FIND("SALDO ANTERIOR",C403)),0,IF(ISNUMBER(FIND("SALDO DO DIA",C403)),0,IF(ISNUMBER(FIND("SALDO PARCIAL",C403)),0,IF(ISNUMBER(FIND("SDO CTA/APL AUTOMATICAS",C403)),0,IF(ISNUMBER(FIND("APL APLIC AUT MAIS",C403)),0,IF(ISNUMBER(FIND("TEC DEPOSITO",C403)),0,IF(E403&gt;0,0,E403*(-1))))))))</f>
        <v>65</v>
      </c>
      <c r="G403" s="46" t="n">
        <f aca="false">IF(ISNUMBER(FIND("SALDO ANTERIOR",C403)),0,IF(ISNUMBER(FIND("SALDO DO DIA",C403)),0,IF(ISNUMBER(FIND("SDO CTA/APL AUTOMATICAS",C403)),0,IF(ISNUMBER(FIND("TEC DEPOSITO",C403)),0,IF(ISNUMBER(FIND("APL APLIC AUT MAIS",C403)),E403,IF(E403&gt;0,E403,0))))))</f>
        <v>0</v>
      </c>
      <c r="H403" s="65" t="n">
        <v>44317</v>
      </c>
    </row>
    <row r="404" customFormat="false" ht="17" hidden="false" customHeight="false" outlineLevel="0" collapsed="false">
      <c r="A404" s="40" t="s">
        <v>31</v>
      </c>
      <c r="B404" s="41" t="s">
        <v>361</v>
      </c>
      <c r="C404" s="63" t="s">
        <v>120</v>
      </c>
      <c r="D404" s="43"/>
      <c r="E404" s="64"/>
      <c r="F404" s="45" t="n">
        <f aca="false">IF(ISNUMBER(FIND("SALDO ANTERIOR",C404)),0,IF(ISNUMBER(FIND("SALDO DO DIA",C404)),0,IF(ISNUMBER(FIND("SALDO PARCIAL",C404)),0,IF(ISNUMBER(FIND("SDO CTA/APL AUTOMATICAS",C404)),0,IF(ISNUMBER(FIND("APL APLIC AUT MAIS",C404)),0,IF(ISNUMBER(FIND("TEC DEPOSITO",C404)),0,IF(E404&gt;0,0,E404*(-1))))))))</f>
        <v>0</v>
      </c>
      <c r="G404" s="46" t="n">
        <f aca="false">IF(ISNUMBER(FIND("SALDO ANTERIOR",C404)),0,IF(ISNUMBER(FIND("SALDO DO DIA",C404)),0,IF(ISNUMBER(FIND("SDO CTA/APL AUTOMATICAS",C404)),0,IF(ISNUMBER(FIND("TEC DEPOSITO",C404)),0,IF(ISNUMBER(FIND("APL APLIC AUT MAIS",C404)),E404,IF(E404&gt;0,E404,0))))))</f>
        <v>0</v>
      </c>
      <c r="H404" s="65" t="n">
        <v>44317</v>
      </c>
    </row>
    <row r="405" customFormat="false" ht="15.8" hidden="false" customHeight="false" outlineLevel="0" collapsed="false">
      <c r="A405" s="40" t="s">
        <v>151</v>
      </c>
      <c r="B405" s="41" t="s">
        <v>363</v>
      </c>
      <c r="C405" s="41" t="s">
        <v>364</v>
      </c>
      <c r="D405" s="43" t="s">
        <v>228</v>
      </c>
      <c r="E405" s="66" t="n">
        <v>-25</v>
      </c>
      <c r="F405" s="45" t="n">
        <f aca="false">IF(ISNUMBER(FIND("SALDO ANTERIOR",C405)),0,IF(ISNUMBER(FIND("SALDO DO DIA",C405)),0,IF(ISNUMBER(FIND("SALDO PARCIAL",C405)),0,IF(ISNUMBER(FIND("SDO CTA/APL AUTOMATICAS",C405)),0,IF(ISNUMBER(FIND("APL APLIC AUT MAIS",C405)),0,IF(ISNUMBER(FIND("TEC DEPOSITO",C405)),0,IF(E405&gt;0,0,E405*(-1))))))))</f>
        <v>25</v>
      </c>
      <c r="G405" s="46" t="n">
        <f aca="false">IF(ISNUMBER(FIND("SALDO ANTERIOR",C405)),0,IF(ISNUMBER(FIND("SALDO DO DIA",C405)),0,IF(ISNUMBER(FIND("SDO CTA/APL AUTOMATICAS",C405)),0,IF(ISNUMBER(FIND("TEC DEPOSITO",C405)),0,IF(ISNUMBER(FIND("APL APLIC AUT MAIS",C405)),E405,IF(E405&gt;0,E405,0))))))</f>
        <v>0</v>
      </c>
      <c r="H405" s="65" t="n">
        <v>44317</v>
      </c>
    </row>
    <row r="406" customFormat="false" ht="15.8" hidden="false" customHeight="false" outlineLevel="0" collapsed="false">
      <c r="A406" s="40" t="s">
        <v>178</v>
      </c>
      <c r="B406" s="41" t="s">
        <v>363</v>
      </c>
      <c r="C406" s="41" t="s">
        <v>365</v>
      </c>
      <c r="D406" s="43" t="s">
        <v>172</v>
      </c>
      <c r="E406" s="66" t="n">
        <v>-150</v>
      </c>
      <c r="F406" s="45" t="n">
        <f aca="false">IF(ISNUMBER(FIND("SALDO ANTERIOR",C406)),0,IF(ISNUMBER(FIND("SALDO DO DIA",C406)),0,IF(ISNUMBER(FIND("SALDO PARCIAL",C406)),0,IF(ISNUMBER(FIND("SDO CTA/APL AUTOMATICAS",C406)),0,IF(ISNUMBER(FIND("APL APLIC AUT MAIS",C406)),0,IF(ISNUMBER(FIND("TEC DEPOSITO",C406)),0,IF(E406&gt;0,0,E406*(-1))))))))</f>
        <v>150</v>
      </c>
      <c r="G406" s="46" t="n">
        <f aca="false">IF(ISNUMBER(FIND("SALDO ANTERIOR",C406)),0,IF(ISNUMBER(FIND("SALDO DO DIA",C406)),0,IF(ISNUMBER(FIND("SDO CTA/APL AUTOMATICAS",C406)),0,IF(ISNUMBER(FIND("TEC DEPOSITO",C406)),0,IF(ISNUMBER(FIND("APL APLIC AUT MAIS",C406)),E406,IF(E406&gt;0,E406,0))))))</f>
        <v>0</v>
      </c>
      <c r="H406" s="65" t="n">
        <v>44317</v>
      </c>
    </row>
    <row r="407" customFormat="false" ht="17" hidden="false" customHeight="false" outlineLevel="0" collapsed="false">
      <c r="A407" s="40" t="s">
        <v>31</v>
      </c>
      <c r="B407" s="41" t="s">
        <v>363</v>
      </c>
      <c r="C407" s="63" t="s">
        <v>120</v>
      </c>
      <c r="D407" s="43"/>
      <c r="E407" s="64"/>
      <c r="F407" s="45" t="n">
        <f aca="false">IF(ISNUMBER(FIND("SALDO ANTERIOR",C407)),0,IF(ISNUMBER(FIND("SALDO DO DIA",C407)),0,IF(ISNUMBER(FIND("SALDO PARCIAL",C407)),0,IF(ISNUMBER(FIND("SDO CTA/APL AUTOMATICAS",C407)),0,IF(ISNUMBER(FIND("APL APLIC AUT MAIS",C407)),0,IF(ISNUMBER(FIND("TEC DEPOSITO",C407)),0,IF(E407&gt;0,0,E407*(-1))))))))</f>
        <v>0</v>
      </c>
      <c r="G407" s="46" t="n">
        <f aca="false">IF(ISNUMBER(FIND("SALDO ANTERIOR",C407)),0,IF(ISNUMBER(FIND("SALDO DO DIA",C407)),0,IF(ISNUMBER(FIND("SDO CTA/APL AUTOMATICAS",C407)),0,IF(ISNUMBER(FIND("TEC DEPOSITO",C407)),0,IF(ISNUMBER(FIND("APL APLIC AUT MAIS",C407)),E407,IF(E407&gt;0,E407,0))))))</f>
        <v>0</v>
      </c>
      <c r="H407" s="65" t="n">
        <v>44317</v>
      </c>
    </row>
    <row r="408" customFormat="false" ht="15.8" hidden="false" customHeight="false" outlineLevel="0" collapsed="false">
      <c r="A408" s="40" t="s">
        <v>121</v>
      </c>
      <c r="B408" s="41" t="s">
        <v>366</v>
      </c>
      <c r="C408" s="41" t="s">
        <v>367</v>
      </c>
      <c r="D408" s="43" t="s">
        <v>91</v>
      </c>
      <c r="E408" s="66" t="n">
        <v>-100</v>
      </c>
      <c r="F408" s="45" t="n">
        <f aca="false">IF(ISNUMBER(FIND("SALDO ANTERIOR",C408)),0,IF(ISNUMBER(FIND("SALDO DO DIA",C408)),0,IF(ISNUMBER(FIND("SALDO PARCIAL",C408)),0,IF(ISNUMBER(FIND("SDO CTA/APL AUTOMATICAS",C408)),0,IF(ISNUMBER(FIND("APL APLIC AUT MAIS",C408)),0,IF(ISNUMBER(FIND("TEC DEPOSITO",C408)),0,IF(E408&gt;0,0,E408*(-1))))))))</f>
        <v>100</v>
      </c>
      <c r="G408" s="46" t="n">
        <f aca="false">IF(ISNUMBER(FIND("SALDO ANTERIOR",C408)),0,IF(ISNUMBER(FIND("SALDO DO DIA",C408)),0,IF(ISNUMBER(FIND("SDO CTA/APL AUTOMATICAS",C408)),0,IF(ISNUMBER(FIND("TEC DEPOSITO",C408)),0,IF(ISNUMBER(FIND("APL APLIC AUT MAIS",C408)),E408,IF(E408&gt;0,E408,0))))))</f>
        <v>0</v>
      </c>
      <c r="H408" s="65" t="n">
        <v>44317</v>
      </c>
    </row>
    <row r="409" customFormat="false" ht="15.8" hidden="false" customHeight="false" outlineLevel="0" collapsed="false">
      <c r="A409" s="40" t="s">
        <v>57</v>
      </c>
      <c r="B409" s="41" t="s">
        <v>366</v>
      </c>
      <c r="C409" s="41" t="s">
        <v>58</v>
      </c>
      <c r="D409" s="43" t="s">
        <v>56</v>
      </c>
      <c r="E409" s="66" t="n">
        <v>-55.17</v>
      </c>
      <c r="F409" s="45" t="n">
        <f aca="false">IF(ISNUMBER(FIND("SALDO ANTERIOR",C409)),0,IF(ISNUMBER(FIND("SALDO DO DIA",C409)),0,IF(ISNUMBER(FIND("SALDO PARCIAL",C409)),0,IF(ISNUMBER(FIND("SDO CTA/APL AUTOMATICAS",C409)),0,IF(ISNUMBER(FIND("APL APLIC AUT MAIS",C409)),0,IF(ISNUMBER(FIND("TEC DEPOSITO",C409)),0,IF(E409&gt;0,0,E409*(-1))))))))</f>
        <v>55.17</v>
      </c>
      <c r="G409" s="46" t="n">
        <f aca="false">IF(ISNUMBER(FIND("SALDO ANTERIOR",C409)),0,IF(ISNUMBER(FIND("SALDO DO DIA",C409)),0,IF(ISNUMBER(FIND("SDO CTA/APL AUTOMATICAS",C409)),0,IF(ISNUMBER(FIND("TEC DEPOSITO",C409)),0,IF(ISNUMBER(FIND("APL APLIC AUT MAIS",C409)),E409,IF(E409&gt;0,E409,0))))))</f>
        <v>0</v>
      </c>
      <c r="H409" s="65" t="n">
        <v>44317</v>
      </c>
    </row>
    <row r="410" customFormat="false" ht="15.8" hidden="false" customHeight="false" outlineLevel="0" collapsed="false">
      <c r="A410" s="40" t="s">
        <v>59</v>
      </c>
      <c r="B410" s="41" t="s">
        <v>366</v>
      </c>
      <c r="C410" s="41" t="s">
        <v>368</v>
      </c>
      <c r="D410" s="43" t="s">
        <v>56</v>
      </c>
      <c r="E410" s="66" t="n">
        <v>-2</v>
      </c>
      <c r="F410" s="45" t="n">
        <f aca="false">IF(ISNUMBER(FIND("SALDO ANTERIOR",C410)),0,IF(ISNUMBER(FIND("SALDO DO DIA",C410)),0,IF(ISNUMBER(FIND("SALDO PARCIAL",C410)),0,IF(ISNUMBER(FIND("SDO CTA/APL AUTOMATICAS",C410)),0,IF(ISNUMBER(FIND("APL APLIC AUT MAIS",C410)),0,IF(ISNUMBER(FIND("TEC DEPOSITO",C410)),0,IF(E410&gt;0,0,E410*(-1))))))))</f>
        <v>2</v>
      </c>
      <c r="G410" s="46" t="n">
        <f aca="false">IF(ISNUMBER(FIND("SALDO ANTERIOR",C410)),0,IF(ISNUMBER(FIND("SALDO DO DIA",C410)),0,IF(ISNUMBER(FIND("SDO CTA/APL AUTOMATICAS",C410)),0,IF(ISNUMBER(FIND("TEC DEPOSITO",C410)),0,IF(ISNUMBER(FIND("APL APLIC AUT MAIS",C410)),E410,IF(E410&gt;0,E410,0))))))</f>
        <v>0</v>
      </c>
      <c r="H410" s="65" t="n">
        <v>44317</v>
      </c>
    </row>
    <row r="411" customFormat="false" ht="15.8" hidden="false" customHeight="false" outlineLevel="0" collapsed="false">
      <c r="A411" s="40" t="s">
        <v>66</v>
      </c>
      <c r="B411" s="41" t="s">
        <v>366</v>
      </c>
      <c r="C411" s="41" t="s">
        <v>107</v>
      </c>
      <c r="D411" s="43" t="s">
        <v>76</v>
      </c>
      <c r="E411" s="66" t="n">
        <v>-6.94</v>
      </c>
      <c r="F411" s="45" t="n">
        <f aca="false">IF(ISNUMBER(FIND("SALDO ANTERIOR",C411)),0,IF(ISNUMBER(FIND("SALDO DO DIA",C411)),0,IF(ISNUMBER(FIND("SALDO PARCIAL",C411)),0,IF(ISNUMBER(FIND("SDO CTA/APL AUTOMATICAS",C411)),0,IF(ISNUMBER(FIND("APL APLIC AUT MAIS",C411)),0,IF(ISNUMBER(FIND("TEC DEPOSITO",C411)),0,IF(E411&gt;0,0,E411*(-1))))))))</f>
        <v>6.94</v>
      </c>
      <c r="G411" s="46" t="n">
        <f aca="false">IF(ISNUMBER(FIND("SALDO ANTERIOR",C411)),0,IF(ISNUMBER(FIND("SALDO DO DIA",C411)),0,IF(ISNUMBER(FIND("SDO CTA/APL AUTOMATICAS",C411)),0,IF(ISNUMBER(FIND("TEC DEPOSITO",C411)),0,IF(ISNUMBER(FIND("APL APLIC AUT MAIS",C411)),E411,IF(E411&gt;0,E411,0))))))</f>
        <v>0</v>
      </c>
      <c r="H411" s="65" t="n">
        <v>44317</v>
      </c>
    </row>
    <row r="412" customFormat="false" ht="17" hidden="false" customHeight="false" outlineLevel="0" collapsed="false">
      <c r="A412" s="40" t="s">
        <v>31</v>
      </c>
      <c r="B412" s="41" t="s">
        <v>366</v>
      </c>
      <c r="C412" s="63" t="s">
        <v>120</v>
      </c>
      <c r="D412" s="43"/>
      <c r="E412" s="64"/>
      <c r="F412" s="45" t="n">
        <f aca="false">IF(ISNUMBER(FIND("SALDO ANTERIOR",C412)),0,IF(ISNUMBER(FIND("SALDO DO DIA",C412)),0,IF(ISNUMBER(FIND("SALDO PARCIAL",C412)),0,IF(ISNUMBER(FIND("SDO CTA/APL AUTOMATICAS",C412)),0,IF(ISNUMBER(FIND("APL APLIC AUT MAIS",C412)),0,IF(ISNUMBER(FIND("TEC DEPOSITO",C412)),0,IF(E412&gt;0,0,E412*(-1))))))))</f>
        <v>0</v>
      </c>
      <c r="G412" s="46" t="n">
        <f aca="false">IF(ISNUMBER(FIND("SALDO ANTERIOR",C412)),0,IF(ISNUMBER(FIND("SALDO DO DIA",C412)),0,IF(ISNUMBER(FIND("SDO CTA/APL AUTOMATICAS",C412)),0,IF(ISNUMBER(FIND("TEC DEPOSITO",C412)),0,IF(ISNUMBER(FIND("APL APLIC AUT MAIS",C412)),E412,IF(E412&gt;0,E412,0))))))</f>
        <v>0</v>
      </c>
      <c r="H412" s="65" t="n">
        <v>44317</v>
      </c>
    </row>
    <row r="413" customFormat="false" ht="17" hidden="false" customHeight="false" outlineLevel="0" collapsed="false">
      <c r="A413" s="40" t="s">
        <v>31</v>
      </c>
      <c r="B413" s="41" t="s">
        <v>369</v>
      </c>
      <c r="C413" s="63" t="s">
        <v>120</v>
      </c>
      <c r="D413" s="43"/>
      <c r="E413" s="64"/>
      <c r="F413" s="45" t="n">
        <f aca="false">IF(ISNUMBER(FIND("SALDO ANTERIOR",C413)),0,IF(ISNUMBER(FIND("SALDO DO DIA",C413)),0,IF(ISNUMBER(FIND("SALDO PARCIAL",C413)),0,IF(ISNUMBER(FIND("SDO CTA/APL AUTOMATICAS",C413)),0,IF(ISNUMBER(FIND("APL APLIC AUT MAIS",C413)),0,IF(ISNUMBER(FIND("TEC DEPOSITO",C413)),0,IF(E413&gt;0,0,E413*(-1))))))))</f>
        <v>0</v>
      </c>
      <c r="G413" s="46" t="n">
        <f aca="false">IF(ISNUMBER(FIND("SALDO ANTERIOR",C413)),0,IF(ISNUMBER(FIND("SALDO DO DIA",C413)),0,IF(ISNUMBER(FIND("SDO CTA/APL AUTOMATICAS",C413)),0,IF(ISNUMBER(FIND("TEC DEPOSITO",C413)),0,IF(ISNUMBER(FIND("APL APLIC AUT MAIS",C413)),E413,IF(E413&gt;0,E413,0))))))</f>
        <v>0</v>
      </c>
      <c r="H413" s="65" t="n">
        <v>44317</v>
      </c>
    </row>
    <row r="414" customFormat="false" ht="15.8" hidden="false" customHeight="false" outlineLevel="0" collapsed="false">
      <c r="A414" s="40" t="s">
        <v>59</v>
      </c>
      <c r="B414" s="41" t="s">
        <v>370</v>
      </c>
      <c r="C414" s="41" t="s">
        <v>166</v>
      </c>
      <c r="D414" s="43" t="s">
        <v>56</v>
      </c>
      <c r="E414" s="66" t="n">
        <v>-10</v>
      </c>
      <c r="F414" s="45" t="n">
        <f aca="false">IF(ISNUMBER(FIND("SALDO ANTERIOR",C414)),0,IF(ISNUMBER(FIND("SALDO DO DIA",C414)),0,IF(ISNUMBER(FIND("SALDO PARCIAL",C414)),0,IF(ISNUMBER(FIND("SDO CTA/APL AUTOMATICAS",C414)),0,IF(ISNUMBER(FIND("APL APLIC AUT MAIS",C414)),0,IF(ISNUMBER(FIND("TEC DEPOSITO",C414)),0,IF(E414&gt;0,0,E414*(-1))))))))</f>
        <v>10</v>
      </c>
      <c r="G414" s="46" t="n">
        <f aca="false">IF(ISNUMBER(FIND("SALDO ANTERIOR",C414)),0,IF(ISNUMBER(FIND("SALDO DO DIA",C414)),0,IF(ISNUMBER(FIND("SDO CTA/APL AUTOMATICAS",C414)),0,IF(ISNUMBER(FIND("TEC DEPOSITO",C414)),0,IF(ISNUMBER(FIND("APL APLIC AUT MAIS",C414)),E414,IF(E414&gt;0,E414,0))))))</f>
        <v>0</v>
      </c>
      <c r="H414" s="65" t="n">
        <v>44317</v>
      </c>
    </row>
    <row r="415" customFormat="false" ht="15.8" hidden="false" customHeight="false" outlineLevel="0" collapsed="false">
      <c r="A415" s="40" t="s">
        <v>69</v>
      </c>
      <c r="B415" s="41" t="s">
        <v>370</v>
      </c>
      <c r="C415" s="41" t="s">
        <v>371</v>
      </c>
      <c r="D415" s="43" t="s">
        <v>153</v>
      </c>
      <c r="E415" s="66" t="n">
        <v>-422</v>
      </c>
      <c r="F415" s="45" t="n">
        <f aca="false">IF(ISNUMBER(FIND("SALDO ANTERIOR",C415)),0,IF(ISNUMBER(FIND("SALDO DO DIA",C415)),0,IF(ISNUMBER(FIND("SALDO PARCIAL",C415)),0,IF(ISNUMBER(FIND("SDO CTA/APL AUTOMATICAS",C415)),0,IF(ISNUMBER(FIND("APL APLIC AUT MAIS",C415)),0,IF(ISNUMBER(FIND("TEC DEPOSITO",C415)),0,IF(E415&gt;0,0,E415*(-1))))))))</f>
        <v>422</v>
      </c>
      <c r="G415" s="46" t="n">
        <f aca="false">IF(ISNUMBER(FIND("SALDO ANTERIOR",C415)),0,IF(ISNUMBER(FIND("SALDO DO DIA",C415)),0,IF(ISNUMBER(FIND("SDO CTA/APL AUTOMATICAS",C415)),0,IF(ISNUMBER(FIND("TEC DEPOSITO",C415)),0,IF(ISNUMBER(FIND("APL APLIC AUT MAIS",C415)),E415,IF(E415&gt;0,E415,0))))))</f>
        <v>0</v>
      </c>
      <c r="H415" s="65" t="n">
        <v>44317</v>
      </c>
    </row>
    <row r="416" customFormat="false" ht="15.8" hidden="false" customHeight="false" outlineLevel="0" collapsed="false">
      <c r="A416" s="40" t="s">
        <v>108</v>
      </c>
      <c r="B416" s="41" t="s">
        <v>370</v>
      </c>
      <c r="C416" s="41" t="s">
        <v>109</v>
      </c>
      <c r="D416" s="43" t="s">
        <v>76</v>
      </c>
      <c r="E416" s="66" t="n">
        <v>-75</v>
      </c>
      <c r="F416" s="45" t="n">
        <f aca="false">IF(ISNUMBER(FIND("SALDO ANTERIOR",C416)),0,IF(ISNUMBER(FIND("SALDO DO DIA",C416)),0,IF(ISNUMBER(FIND("SALDO PARCIAL",C416)),0,IF(ISNUMBER(FIND("SDO CTA/APL AUTOMATICAS",C416)),0,IF(ISNUMBER(FIND("APL APLIC AUT MAIS",C416)),0,IF(ISNUMBER(FIND("TEC DEPOSITO",C416)),0,IF(E416&gt;0,0,E416*(-1))))))))</f>
        <v>75</v>
      </c>
      <c r="G416" s="46" t="n">
        <f aca="false">IF(ISNUMBER(FIND("SALDO ANTERIOR",C416)),0,IF(ISNUMBER(FIND("SALDO DO DIA",C416)),0,IF(ISNUMBER(FIND("SDO CTA/APL AUTOMATICAS",C416)),0,IF(ISNUMBER(FIND("TEC DEPOSITO",C416)),0,IF(ISNUMBER(FIND("APL APLIC AUT MAIS",C416)),E416,IF(E416&gt;0,E416,0))))))</f>
        <v>0</v>
      </c>
      <c r="H416" s="65" t="n">
        <v>44317</v>
      </c>
    </row>
    <row r="417" customFormat="false" ht="17" hidden="false" customHeight="false" outlineLevel="0" collapsed="false">
      <c r="A417" s="40" t="s">
        <v>31</v>
      </c>
      <c r="B417" s="41" t="s">
        <v>370</v>
      </c>
      <c r="C417" s="63" t="s">
        <v>120</v>
      </c>
      <c r="D417" s="43"/>
      <c r="E417" s="64"/>
      <c r="F417" s="45" t="n">
        <f aca="false">IF(ISNUMBER(FIND("SALDO ANTERIOR",C417)),0,IF(ISNUMBER(FIND("SALDO DO DIA",C417)),0,IF(ISNUMBER(FIND("SALDO PARCIAL",C417)),0,IF(ISNUMBER(FIND("SDO CTA/APL AUTOMATICAS",C417)),0,IF(ISNUMBER(FIND("APL APLIC AUT MAIS",C417)),0,IF(ISNUMBER(FIND("TEC DEPOSITO",C417)),0,IF(E417&gt;0,0,E417*(-1))))))))</f>
        <v>0</v>
      </c>
      <c r="G417" s="46" t="n">
        <f aca="false">IF(ISNUMBER(FIND("SALDO ANTERIOR",C417)),0,IF(ISNUMBER(FIND("SALDO DO DIA",C417)),0,IF(ISNUMBER(FIND("SDO CTA/APL AUTOMATICAS",C417)),0,IF(ISNUMBER(FIND("TEC DEPOSITO",C417)),0,IF(ISNUMBER(FIND("APL APLIC AUT MAIS",C417)),E417,IF(E417&gt;0,E417,0))))))</f>
        <v>0</v>
      </c>
      <c r="H417" s="65" t="n">
        <v>44317</v>
      </c>
    </row>
    <row r="418" customFormat="false" ht="17" hidden="false" customHeight="false" outlineLevel="0" collapsed="false">
      <c r="A418" s="40" t="s">
        <v>31</v>
      </c>
      <c r="B418" s="41" t="s">
        <v>372</v>
      </c>
      <c r="C418" s="63" t="s">
        <v>120</v>
      </c>
      <c r="D418" s="43"/>
      <c r="E418" s="64"/>
      <c r="F418" s="45" t="n">
        <f aca="false">IF(ISNUMBER(FIND("SALDO ANTERIOR",C418)),0,IF(ISNUMBER(FIND("SALDO DO DIA",C418)),0,IF(ISNUMBER(FIND("SALDO PARCIAL",C418)),0,IF(ISNUMBER(FIND("SDO CTA/APL AUTOMATICAS",C418)),0,IF(ISNUMBER(FIND("APL APLIC AUT MAIS",C418)),0,IF(ISNUMBER(FIND("TEC DEPOSITO",C418)),0,IF(E418&gt;0,0,E418*(-1))))))))</f>
        <v>0</v>
      </c>
      <c r="G418" s="46" t="n">
        <f aca="false">IF(ISNUMBER(FIND("SALDO ANTERIOR",C418)),0,IF(ISNUMBER(FIND("SALDO DO DIA",C418)),0,IF(ISNUMBER(FIND("SDO CTA/APL AUTOMATICAS",C418)),0,IF(ISNUMBER(FIND("TEC DEPOSITO",C418)),0,IF(ISNUMBER(FIND("APL APLIC AUT MAIS",C418)),E418,IF(E418&gt;0,E418,0))))))</f>
        <v>0</v>
      </c>
      <c r="H418" s="65" t="n">
        <v>44317</v>
      </c>
    </row>
    <row r="419" customFormat="false" ht="15.8" hidden="false" customHeight="false" outlineLevel="0" collapsed="false">
      <c r="A419" s="40" t="s">
        <v>77</v>
      </c>
      <c r="B419" s="41" t="s">
        <v>373</v>
      </c>
      <c r="C419" s="41" t="s">
        <v>79</v>
      </c>
      <c r="D419" s="43" t="s">
        <v>56</v>
      </c>
      <c r="E419" s="66" t="n">
        <v>-11</v>
      </c>
      <c r="F419" s="45" t="n">
        <f aca="false">IF(ISNUMBER(FIND("SALDO ANTERIOR",C419)),0,IF(ISNUMBER(FIND("SALDO DO DIA",C419)),0,IF(ISNUMBER(FIND("SALDO PARCIAL",C419)),0,IF(ISNUMBER(FIND("SDO CTA/APL AUTOMATICAS",C419)),0,IF(ISNUMBER(FIND("APL APLIC AUT MAIS",C419)),0,IF(ISNUMBER(FIND("TEC DEPOSITO",C419)),0,IF(E419&gt;0,0,E419*(-1))))))))</f>
        <v>11</v>
      </c>
      <c r="G419" s="46" t="n">
        <f aca="false">IF(ISNUMBER(FIND("SALDO ANTERIOR",C419)),0,IF(ISNUMBER(FIND("SALDO DO DIA",C419)),0,IF(ISNUMBER(FIND("SDO CTA/APL AUTOMATICAS",C419)),0,IF(ISNUMBER(FIND("TEC DEPOSITO",C419)),0,IF(ISNUMBER(FIND("APL APLIC AUT MAIS",C419)),E419,IF(E419&gt;0,E419,0))))))</f>
        <v>0</v>
      </c>
      <c r="H419" s="65" t="n">
        <v>44317</v>
      </c>
    </row>
    <row r="420" customFormat="false" ht="15.8" hidden="false" customHeight="false" outlineLevel="0" collapsed="false">
      <c r="A420" s="40" t="s">
        <v>59</v>
      </c>
      <c r="B420" s="41" t="s">
        <v>373</v>
      </c>
      <c r="C420" s="41" t="s">
        <v>374</v>
      </c>
      <c r="D420" s="43" t="s">
        <v>56</v>
      </c>
      <c r="E420" s="66" t="n">
        <v>-28.5</v>
      </c>
      <c r="F420" s="45" t="n">
        <f aca="false">IF(ISNUMBER(FIND("SALDO ANTERIOR",C420)),0,IF(ISNUMBER(FIND("SALDO DO DIA",C420)),0,IF(ISNUMBER(FIND("SALDO PARCIAL",C420)),0,IF(ISNUMBER(FIND("SDO CTA/APL AUTOMATICAS",C420)),0,IF(ISNUMBER(FIND("APL APLIC AUT MAIS",C420)),0,IF(ISNUMBER(FIND("TEC DEPOSITO",C420)),0,IF(E420&gt;0,0,E420*(-1))))))))</f>
        <v>28.5</v>
      </c>
      <c r="G420" s="46" t="n">
        <f aca="false">IF(ISNUMBER(FIND("SALDO ANTERIOR",C420)),0,IF(ISNUMBER(FIND("SALDO DO DIA",C420)),0,IF(ISNUMBER(FIND("SDO CTA/APL AUTOMATICAS",C420)),0,IF(ISNUMBER(FIND("TEC DEPOSITO",C420)),0,IF(ISNUMBER(FIND("APL APLIC AUT MAIS",C420)),E420,IF(E420&gt;0,E420,0))))))</f>
        <v>0</v>
      </c>
      <c r="H420" s="65" t="n">
        <v>44317</v>
      </c>
    </row>
    <row r="421" customFormat="false" ht="15.8" hidden="false" customHeight="false" outlineLevel="0" collapsed="false">
      <c r="A421" s="40" t="s">
        <v>59</v>
      </c>
      <c r="B421" s="41" t="s">
        <v>373</v>
      </c>
      <c r="C421" s="41" t="s">
        <v>166</v>
      </c>
      <c r="D421" s="43" t="s">
        <v>56</v>
      </c>
      <c r="E421" s="66" t="n">
        <v>-12.2</v>
      </c>
      <c r="F421" s="45" t="n">
        <f aca="false">IF(ISNUMBER(FIND("SALDO ANTERIOR",C421)),0,IF(ISNUMBER(FIND("SALDO DO DIA",C421)),0,IF(ISNUMBER(FIND("SALDO PARCIAL",C421)),0,IF(ISNUMBER(FIND("SDO CTA/APL AUTOMATICAS",C421)),0,IF(ISNUMBER(FIND("APL APLIC AUT MAIS",C421)),0,IF(ISNUMBER(FIND("TEC DEPOSITO",C421)),0,IF(E421&gt;0,0,E421*(-1))))))))</f>
        <v>12.2</v>
      </c>
      <c r="G421" s="46" t="n">
        <f aca="false">IF(ISNUMBER(FIND("SALDO ANTERIOR",C421)),0,IF(ISNUMBER(FIND("SALDO DO DIA",C421)),0,IF(ISNUMBER(FIND("SDO CTA/APL AUTOMATICAS",C421)),0,IF(ISNUMBER(FIND("TEC DEPOSITO",C421)),0,IF(ISNUMBER(FIND("APL APLIC AUT MAIS",C421)),E421,IF(E421&gt;0,E421,0))))))</f>
        <v>0</v>
      </c>
      <c r="H421" s="65" t="n">
        <v>44317</v>
      </c>
    </row>
    <row r="422" customFormat="false" ht="17" hidden="false" customHeight="false" outlineLevel="0" collapsed="false">
      <c r="A422" s="40" t="s">
        <v>31</v>
      </c>
      <c r="B422" s="41" t="s">
        <v>373</v>
      </c>
      <c r="C422" s="63" t="s">
        <v>120</v>
      </c>
      <c r="D422" s="43"/>
      <c r="E422" s="64"/>
      <c r="F422" s="45" t="n">
        <f aca="false">IF(ISNUMBER(FIND("SALDO ANTERIOR",C422)),0,IF(ISNUMBER(FIND("SALDO DO DIA",C422)),0,IF(ISNUMBER(FIND("SALDO PARCIAL",C422)),0,IF(ISNUMBER(FIND("SDO CTA/APL AUTOMATICAS",C422)),0,IF(ISNUMBER(FIND("APL APLIC AUT MAIS",C422)),0,IF(ISNUMBER(FIND("TEC DEPOSITO",C422)),0,IF(E422&gt;0,0,E422*(-1))))))))</f>
        <v>0</v>
      </c>
      <c r="G422" s="46" t="n">
        <f aca="false">IF(ISNUMBER(FIND("SALDO ANTERIOR",C422)),0,IF(ISNUMBER(FIND("SALDO DO DIA",C422)),0,IF(ISNUMBER(FIND("SDO CTA/APL AUTOMATICAS",C422)),0,IF(ISNUMBER(FIND("TEC DEPOSITO",C422)),0,IF(ISNUMBER(FIND("APL APLIC AUT MAIS",C422)),E422,IF(E422&gt;0,E422,0))))))</f>
        <v>0</v>
      </c>
      <c r="H422" s="65" t="n">
        <v>44317</v>
      </c>
    </row>
    <row r="423" customFormat="false" ht="15.8" hidden="false" customHeight="false" outlineLevel="0" collapsed="false">
      <c r="A423" s="40" t="s">
        <v>121</v>
      </c>
      <c r="B423" s="41" t="s">
        <v>375</v>
      </c>
      <c r="C423" s="41" t="s">
        <v>376</v>
      </c>
      <c r="D423" s="43" t="s">
        <v>91</v>
      </c>
      <c r="E423" s="66" t="n">
        <v>-20</v>
      </c>
      <c r="F423" s="45" t="n">
        <f aca="false">IF(ISNUMBER(FIND("SALDO ANTERIOR",C423)),0,IF(ISNUMBER(FIND("SALDO DO DIA",C423)),0,IF(ISNUMBER(FIND("SALDO PARCIAL",C423)),0,IF(ISNUMBER(FIND("SDO CTA/APL AUTOMATICAS",C423)),0,IF(ISNUMBER(FIND("APL APLIC AUT MAIS",C423)),0,IF(ISNUMBER(FIND("TEC DEPOSITO",C423)),0,IF(E423&gt;0,0,E423*(-1))))))))</f>
        <v>20</v>
      </c>
      <c r="G423" s="46" t="n">
        <f aca="false">IF(ISNUMBER(FIND("SALDO ANTERIOR",C423)),0,IF(ISNUMBER(FIND("SALDO DO DIA",C423)),0,IF(ISNUMBER(FIND("SDO CTA/APL AUTOMATICAS",C423)),0,IF(ISNUMBER(FIND("TEC DEPOSITO",C423)),0,IF(ISNUMBER(FIND("APL APLIC AUT MAIS",C423)),E423,IF(E423&gt;0,E423,0))))))</f>
        <v>0</v>
      </c>
      <c r="H423" s="65" t="n">
        <v>44317</v>
      </c>
    </row>
    <row r="424" customFormat="false" ht="15.8" hidden="false" customHeight="false" outlineLevel="0" collapsed="false">
      <c r="A424" s="40" t="s">
        <v>121</v>
      </c>
      <c r="B424" s="41" t="s">
        <v>375</v>
      </c>
      <c r="C424" s="41" t="s">
        <v>377</v>
      </c>
      <c r="D424" s="43" t="s">
        <v>91</v>
      </c>
      <c r="E424" s="66" t="n">
        <v>-100</v>
      </c>
      <c r="F424" s="45" t="n">
        <f aca="false">IF(ISNUMBER(FIND("SALDO ANTERIOR",C424)),0,IF(ISNUMBER(FIND("SALDO DO DIA",C424)),0,IF(ISNUMBER(FIND("SALDO PARCIAL",C424)),0,IF(ISNUMBER(FIND("SDO CTA/APL AUTOMATICAS",C424)),0,IF(ISNUMBER(FIND("APL APLIC AUT MAIS",C424)),0,IF(ISNUMBER(FIND("TEC DEPOSITO",C424)),0,IF(E424&gt;0,0,E424*(-1))))))))</f>
        <v>100</v>
      </c>
      <c r="G424" s="46" t="n">
        <f aca="false">IF(ISNUMBER(FIND("SALDO ANTERIOR",C424)),0,IF(ISNUMBER(FIND("SALDO DO DIA",C424)),0,IF(ISNUMBER(FIND("SDO CTA/APL AUTOMATICAS",C424)),0,IF(ISNUMBER(FIND("TEC DEPOSITO",C424)),0,IF(ISNUMBER(FIND("APL APLIC AUT MAIS",C424)),E424,IF(E424&gt;0,E424,0))))))</f>
        <v>0</v>
      </c>
      <c r="H424" s="65" t="n">
        <v>44317</v>
      </c>
    </row>
    <row r="425" customFormat="false" ht="15.8" hidden="false" customHeight="false" outlineLevel="0" collapsed="false">
      <c r="A425" s="40" t="s">
        <v>53</v>
      </c>
      <c r="B425" s="41" t="s">
        <v>375</v>
      </c>
      <c r="C425" s="41" t="s">
        <v>55</v>
      </c>
      <c r="D425" s="43" t="s">
        <v>56</v>
      </c>
      <c r="E425" s="66" t="n">
        <v>-16.4</v>
      </c>
      <c r="F425" s="45" t="n">
        <f aca="false">IF(ISNUMBER(FIND("SALDO ANTERIOR",C425)),0,IF(ISNUMBER(FIND("SALDO DO DIA",C425)),0,IF(ISNUMBER(FIND("SALDO PARCIAL",C425)),0,IF(ISNUMBER(FIND("SDO CTA/APL AUTOMATICAS",C425)),0,IF(ISNUMBER(FIND("APL APLIC AUT MAIS",C425)),0,IF(ISNUMBER(FIND("TEC DEPOSITO",C425)),0,IF(E425&gt;0,0,E425*(-1))))))))</f>
        <v>16.4</v>
      </c>
      <c r="G425" s="46" t="n">
        <f aca="false">IF(ISNUMBER(FIND("SALDO ANTERIOR",C425)),0,IF(ISNUMBER(FIND("SALDO DO DIA",C425)),0,IF(ISNUMBER(FIND("SDO CTA/APL AUTOMATICAS",C425)),0,IF(ISNUMBER(FIND("TEC DEPOSITO",C425)),0,IF(ISNUMBER(FIND("APL APLIC AUT MAIS",C425)),E425,IF(E425&gt;0,E425,0))))))</f>
        <v>0</v>
      </c>
      <c r="H425" s="65" t="n">
        <v>44317</v>
      </c>
    </row>
    <row r="426" customFormat="false" ht="15.8" hidden="false" customHeight="false" outlineLevel="0" collapsed="false">
      <c r="A426" s="40" t="s">
        <v>53</v>
      </c>
      <c r="B426" s="41" t="s">
        <v>375</v>
      </c>
      <c r="C426" s="41" t="s">
        <v>55</v>
      </c>
      <c r="D426" s="43" t="s">
        <v>56</v>
      </c>
      <c r="E426" s="66" t="n">
        <v>-24.66</v>
      </c>
      <c r="F426" s="45" t="n">
        <f aca="false">IF(ISNUMBER(FIND("SALDO ANTERIOR",C426)),0,IF(ISNUMBER(FIND("SALDO DO DIA",C426)),0,IF(ISNUMBER(FIND("SALDO PARCIAL",C426)),0,IF(ISNUMBER(FIND("SDO CTA/APL AUTOMATICAS",C426)),0,IF(ISNUMBER(FIND("APL APLIC AUT MAIS",C426)),0,IF(ISNUMBER(FIND("TEC DEPOSITO",C426)),0,IF(E426&gt;0,0,E426*(-1))))))))</f>
        <v>24.66</v>
      </c>
      <c r="G426" s="46" t="n">
        <f aca="false">IF(ISNUMBER(FIND("SALDO ANTERIOR",C426)),0,IF(ISNUMBER(FIND("SALDO DO DIA",C426)),0,IF(ISNUMBER(FIND("SDO CTA/APL AUTOMATICAS",C426)),0,IF(ISNUMBER(FIND("TEC DEPOSITO",C426)),0,IF(ISNUMBER(FIND("APL APLIC AUT MAIS",C426)),E426,IF(E426&gt;0,E426,0))))))</f>
        <v>0</v>
      </c>
      <c r="H426" s="65" t="n">
        <v>44317</v>
      </c>
    </row>
    <row r="427" customFormat="false" ht="15.8" hidden="false" customHeight="false" outlineLevel="0" collapsed="false">
      <c r="A427" s="40" t="s">
        <v>57</v>
      </c>
      <c r="B427" s="41" t="s">
        <v>375</v>
      </c>
      <c r="C427" s="41" t="s">
        <v>58</v>
      </c>
      <c r="D427" s="43" t="s">
        <v>56</v>
      </c>
      <c r="E427" s="66" t="n">
        <v>-62.57</v>
      </c>
      <c r="F427" s="45" t="n">
        <f aca="false">IF(ISNUMBER(FIND("SALDO ANTERIOR",C427)),0,IF(ISNUMBER(FIND("SALDO DO DIA",C427)),0,IF(ISNUMBER(FIND("SALDO PARCIAL",C427)),0,IF(ISNUMBER(FIND("SDO CTA/APL AUTOMATICAS",C427)),0,IF(ISNUMBER(FIND("APL APLIC AUT MAIS",C427)),0,IF(ISNUMBER(FIND("TEC DEPOSITO",C427)),0,IF(E427&gt;0,0,E427*(-1))))))))</f>
        <v>62.57</v>
      </c>
      <c r="G427" s="46" t="n">
        <f aca="false">IF(ISNUMBER(FIND("SALDO ANTERIOR",C427)),0,IF(ISNUMBER(FIND("SALDO DO DIA",C427)),0,IF(ISNUMBER(FIND("SDO CTA/APL AUTOMATICAS",C427)),0,IF(ISNUMBER(FIND("TEC DEPOSITO",C427)),0,IF(ISNUMBER(FIND("APL APLIC AUT MAIS",C427)),E427,IF(E427&gt;0,E427,0))))))</f>
        <v>0</v>
      </c>
      <c r="H427" s="65" t="n">
        <v>44317</v>
      </c>
    </row>
    <row r="428" customFormat="false" ht="15.8" hidden="false" customHeight="false" outlineLevel="0" collapsed="false">
      <c r="A428" s="40" t="s">
        <v>103</v>
      </c>
      <c r="B428" s="41" t="s">
        <v>375</v>
      </c>
      <c r="C428" s="41" t="s">
        <v>130</v>
      </c>
      <c r="D428" s="43" t="s">
        <v>56</v>
      </c>
      <c r="E428" s="66" t="n">
        <v>-50</v>
      </c>
      <c r="F428" s="45" t="n">
        <f aca="false">IF(ISNUMBER(FIND("SALDO ANTERIOR",C428)),0,IF(ISNUMBER(FIND("SALDO DO DIA",C428)),0,IF(ISNUMBER(FIND("SALDO PARCIAL",C428)),0,IF(ISNUMBER(FIND("SDO CTA/APL AUTOMATICAS",C428)),0,IF(ISNUMBER(FIND("APL APLIC AUT MAIS",C428)),0,IF(ISNUMBER(FIND("TEC DEPOSITO",C428)),0,IF(E428&gt;0,0,E428*(-1))))))))</f>
        <v>50</v>
      </c>
      <c r="G428" s="46" t="n">
        <f aca="false">IF(ISNUMBER(FIND("SALDO ANTERIOR",C428)),0,IF(ISNUMBER(FIND("SALDO DO DIA",C428)),0,IF(ISNUMBER(FIND("SDO CTA/APL AUTOMATICAS",C428)),0,IF(ISNUMBER(FIND("TEC DEPOSITO",C428)),0,IF(ISNUMBER(FIND("APL APLIC AUT MAIS",C428)),E428,IF(E428&gt;0,E428,0))))))</f>
        <v>0</v>
      </c>
      <c r="H428" s="65" t="n">
        <v>44317</v>
      </c>
    </row>
    <row r="429" customFormat="false" ht="15.8" hidden="false" customHeight="false" outlineLevel="0" collapsed="false">
      <c r="A429" s="40" t="s">
        <v>352</v>
      </c>
      <c r="B429" s="41" t="s">
        <v>375</v>
      </c>
      <c r="C429" s="41" t="s">
        <v>378</v>
      </c>
      <c r="D429" s="43" t="s">
        <v>196</v>
      </c>
      <c r="E429" s="66" t="n">
        <v>-50</v>
      </c>
      <c r="F429" s="45" t="n">
        <f aca="false">IF(ISNUMBER(FIND("SALDO ANTERIOR",C429)),0,IF(ISNUMBER(FIND("SALDO DO DIA",C429)),0,IF(ISNUMBER(FIND("SALDO PARCIAL",C429)),0,IF(ISNUMBER(FIND("SDO CTA/APL AUTOMATICAS",C429)),0,IF(ISNUMBER(FIND("APL APLIC AUT MAIS",C429)),0,IF(ISNUMBER(FIND("TEC DEPOSITO",C429)),0,IF(E429&gt;0,0,E429*(-1))))))))</f>
        <v>50</v>
      </c>
      <c r="G429" s="46" t="n">
        <f aca="false">IF(ISNUMBER(FIND("SALDO ANTERIOR",C429)),0,IF(ISNUMBER(FIND("SALDO DO DIA",C429)),0,IF(ISNUMBER(FIND("SDO CTA/APL AUTOMATICAS",C429)),0,IF(ISNUMBER(FIND("TEC DEPOSITO",C429)),0,IF(ISNUMBER(FIND("APL APLIC AUT MAIS",C429)),E429,IF(E429&gt;0,E429,0))))))</f>
        <v>0</v>
      </c>
      <c r="H429" s="65" t="n">
        <v>44317</v>
      </c>
    </row>
    <row r="430" customFormat="false" ht="15.8" hidden="false" customHeight="false" outlineLevel="0" collapsed="false">
      <c r="A430" s="40" t="s">
        <v>271</v>
      </c>
      <c r="B430" s="41" t="s">
        <v>375</v>
      </c>
      <c r="C430" s="41" t="s">
        <v>379</v>
      </c>
      <c r="D430" s="43" t="s">
        <v>153</v>
      </c>
      <c r="E430" s="66" t="n">
        <v>-539.2</v>
      </c>
      <c r="F430" s="45" t="n">
        <f aca="false">IF(ISNUMBER(FIND("SALDO ANTERIOR",C430)),0,IF(ISNUMBER(FIND("SALDO DO DIA",C430)),0,IF(ISNUMBER(FIND("SALDO PARCIAL",C430)),0,IF(ISNUMBER(FIND("SDO CTA/APL AUTOMATICAS",C430)),0,IF(ISNUMBER(FIND("APL APLIC AUT MAIS",C430)),0,IF(ISNUMBER(FIND("TEC DEPOSITO",C430)),0,IF(E430&gt;0,0,E430*(-1))))))))</f>
        <v>539.2</v>
      </c>
      <c r="G430" s="46" t="n">
        <f aca="false">IF(ISNUMBER(FIND("SALDO ANTERIOR",C430)),0,IF(ISNUMBER(FIND("SALDO DO DIA",C430)),0,IF(ISNUMBER(FIND("SDO CTA/APL AUTOMATICAS",C430)),0,IF(ISNUMBER(FIND("TEC DEPOSITO",C430)),0,IF(ISNUMBER(FIND("APL APLIC AUT MAIS",C430)),E430,IF(E430&gt;0,E430,0))))))</f>
        <v>0</v>
      </c>
      <c r="H430" s="65" t="n">
        <v>44317</v>
      </c>
    </row>
    <row r="431" customFormat="false" ht="15.8" hidden="false" customHeight="false" outlineLevel="0" collapsed="false">
      <c r="A431" s="40" t="s">
        <v>134</v>
      </c>
      <c r="B431" s="41" t="s">
        <v>375</v>
      </c>
      <c r="C431" s="41" t="s">
        <v>135</v>
      </c>
      <c r="D431" s="43" t="s">
        <v>72</v>
      </c>
      <c r="E431" s="66" t="n">
        <v>-5527.93</v>
      </c>
      <c r="F431" s="45" t="n">
        <f aca="false">IF(ISNUMBER(FIND("SALDO ANTERIOR",C431)),0,IF(ISNUMBER(FIND("SALDO DO DIA",C431)),0,IF(ISNUMBER(FIND("SALDO PARCIAL",C431)),0,IF(ISNUMBER(FIND("SDO CTA/APL AUTOMATICAS",C431)),0,IF(ISNUMBER(FIND("APL APLIC AUT MAIS",C431)),0,IF(ISNUMBER(FIND("TEC DEPOSITO",C431)),0,IF(E431&gt;0,0,E431*(-1))))))))</f>
        <v>5527.93</v>
      </c>
      <c r="G431" s="46" t="n">
        <f aca="false">IF(ISNUMBER(FIND("SALDO ANTERIOR",C431)),0,IF(ISNUMBER(FIND("SALDO DO DIA",C431)),0,IF(ISNUMBER(FIND("SDO CTA/APL AUTOMATICAS",C431)),0,IF(ISNUMBER(FIND("TEC DEPOSITO",C431)),0,IF(ISNUMBER(FIND("APL APLIC AUT MAIS",C431)),E431,IF(E431&gt;0,E431,0))))))</f>
        <v>0</v>
      </c>
      <c r="H431" s="65" t="n">
        <v>44317</v>
      </c>
    </row>
    <row r="432" customFormat="false" ht="15.8" hidden="false" customHeight="false" outlineLevel="0" collapsed="false">
      <c r="A432" s="40" t="s">
        <v>136</v>
      </c>
      <c r="B432" s="41" t="s">
        <v>375</v>
      </c>
      <c r="C432" s="41" t="s">
        <v>38</v>
      </c>
      <c r="D432" s="43" t="s">
        <v>72</v>
      </c>
      <c r="E432" s="67" t="n">
        <v>1000</v>
      </c>
      <c r="F432" s="45" t="n">
        <f aca="false">IF(ISNUMBER(FIND("SALDO ANTERIOR",C432)),0,IF(ISNUMBER(FIND("SALDO DO DIA",C432)),0,IF(ISNUMBER(FIND("SALDO PARCIAL",C432)),0,IF(ISNUMBER(FIND("SDO CTA/APL AUTOMATICAS",C432)),0,IF(ISNUMBER(FIND("APL APLIC AUT MAIS",C432)),0,IF(ISNUMBER(FIND("TEC DEPOSITO",C432)),0,IF(E432&gt;0,0,E432*(-1))))))))</f>
        <v>0</v>
      </c>
      <c r="G432" s="46" t="n">
        <f aca="false">IF(ISNUMBER(FIND("SALDO ANTERIOR",C432)),0,IF(ISNUMBER(FIND("SALDO DO DIA",C432)),0,IF(ISNUMBER(FIND("SDO CTA/APL AUTOMATICAS",C432)),0,IF(ISNUMBER(FIND("TEC DEPOSITO",C432)),0,IF(ISNUMBER(FIND("APL APLIC AUT MAIS",C432)),E432,IF(E432&gt;0,E432,0))))))</f>
        <v>1000</v>
      </c>
      <c r="H432" s="65" t="n">
        <v>44317</v>
      </c>
    </row>
    <row r="433" customFormat="false" ht="15.8" hidden="false" customHeight="false" outlineLevel="0" collapsed="false">
      <c r="A433" s="40" t="s">
        <v>352</v>
      </c>
      <c r="B433" s="41" t="s">
        <v>375</v>
      </c>
      <c r="C433" s="41" t="s">
        <v>380</v>
      </c>
      <c r="D433" s="43" t="s">
        <v>172</v>
      </c>
      <c r="E433" s="67" t="n">
        <v>5392</v>
      </c>
      <c r="F433" s="45" t="n">
        <f aca="false">IF(ISNUMBER(FIND("SALDO ANTERIOR",C433)),0,IF(ISNUMBER(FIND("SALDO DO DIA",C433)),0,IF(ISNUMBER(FIND("SALDO PARCIAL",C433)),0,IF(ISNUMBER(FIND("SDO CTA/APL AUTOMATICAS",C433)),0,IF(ISNUMBER(FIND("APL APLIC AUT MAIS",C433)),0,IF(ISNUMBER(FIND("TEC DEPOSITO",C433)),0,IF(E433&gt;0,0,E433*(-1))))))))</f>
        <v>0</v>
      </c>
      <c r="G433" s="46" t="n">
        <f aca="false">IF(ISNUMBER(FIND("SALDO ANTERIOR",C433)),0,IF(ISNUMBER(FIND("SALDO DO DIA",C433)),0,IF(ISNUMBER(FIND("SDO CTA/APL AUTOMATICAS",C433)),0,IF(ISNUMBER(FIND("TEC DEPOSITO",C433)),0,IF(ISNUMBER(FIND("APL APLIC AUT MAIS",C433)),E433,IF(E433&gt;0,E433,0))))))</f>
        <v>5392</v>
      </c>
      <c r="H433" s="65" t="n">
        <v>44317</v>
      </c>
    </row>
    <row r="434" customFormat="false" ht="17" hidden="false" customHeight="false" outlineLevel="0" collapsed="false">
      <c r="A434" s="40" t="s">
        <v>31</v>
      </c>
      <c r="B434" s="41" t="s">
        <v>375</v>
      </c>
      <c r="C434" s="63" t="s">
        <v>120</v>
      </c>
      <c r="D434" s="43"/>
      <c r="E434" s="64"/>
      <c r="F434" s="45" t="n">
        <f aca="false">IF(ISNUMBER(FIND("SALDO ANTERIOR",C434)),0,IF(ISNUMBER(FIND("SALDO DO DIA",C434)),0,IF(ISNUMBER(FIND("SALDO PARCIAL",C434)),0,IF(ISNUMBER(FIND("SDO CTA/APL AUTOMATICAS",C434)),0,IF(ISNUMBER(FIND("APL APLIC AUT MAIS",C434)),0,IF(ISNUMBER(FIND("TEC DEPOSITO",C434)),0,IF(E434&gt;0,0,E434*(-1))))))))</f>
        <v>0</v>
      </c>
      <c r="G434" s="46" t="n">
        <f aca="false">IF(ISNUMBER(FIND("SALDO ANTERIOR",C434)),0,IF(ISNUMBER(FIND("SALDO DO DIA",C434)),0,IF(ISNUMBER(FIND("SDO CTA/APL AUTOMATICAS",C434)),0,IF(ISNUMBER(FIND("TEC DEPOSITO",C434)),0,IF(ISNUMBER(FIND("APL APLIC AUT MAIS",C434)),E434,IF(E434&gt;0,E434,0))))))</f>
        <v>0</v>
      </c>
      <c r="H434" s="65" t="n">
        <v>44317</v>
      </c>
    </row>
    <row r="435" customFormat="false" ht="17" hidden="false" customHeight="false" outlineLevel="0" collapsed="false">
      <c r="A435" s="40" t="s">
        <v>31</v>
      </c>
      <c r="B435" s="41" t="s">
        <v>381</v>
      </c>
      <c r="C435" s="63" t="s">
        <v>120</v>
      </c>
      <c r="D435" s="43"/>
      <c r="E435" s="64"/>
      <c r="F435" s="45" t="n">
        <f aca="false">IF(ISNUMBER(FIND("SALDO ANTERIOR",C435)),0,IF(ISNUMBER(FIND("SALDO DO DIA",C435)),0,IF(ISNUMBER(FIND("SALDO PARCIAL",C435)),0,IF(ISNUMBER(FIND("SDO CTA/APL AUTOMATICAS",C435)),0,IF(ISNUMBER(FIND("APL APLIC AUT MAIS",C435)),0,IF(ISNUMBER(FIND("TEC DEPOSITO",C435)),0,IF(E435&gt;0,0,E435*(-1))))))))</f>
        <v>0</v>
      </c>
      <c r="G435" s="46" t="n">
        <f aca="false">IF(ISNUMBER(FIND("SALDO ANTERIOR",C435)),0,IF(ISNUMBER(FIND("SALDO DO DIA",C435)),0,IF(ISNUMBER(FIND("SDO CTA/APL AUTOMATICAS",C435)),0,IF(ISNUMBER(FIND("TEC DEPOSITO",C435)),0,IF(ISNUMBER(FIND("APL APLIC AUT MAIS",C435)),E435,IF(E435&gt;0,E435,0))))))</f>
        <v>0</v>
      </c>
      <c r="H435" s="65" t="n">
        <v>44317</v>
      </c>
    </row>
    <row r="436" customFormat="false" ht="15.8" hidden="false" customHeight="false" outlineLevel="0" collapsed="false">
      <c r="A436" s="40" t="s">
        <v>59</v>
      </c>
      <c r="B436" s="41" t="s">
        <v>382</v>
      </c>
      <c r="C436" s="41" t="s">
        <v>166</v>
      </c>
      <c r="D436" s="43" t="s">
        <v>56</v>
      </c>
      <c r="E436" s="66" t="n">
        <v>-20.2</v>
      </c>
      <c r="F436" s="45" t="n">
        <f aca="false">IF(ISNUMBER(FIND("SALDO ANTERIOR",C436)),0,IF(ISNUMBER(FIND("SALDO DO DIA",C436)),0,IF(ISNUMBER(FIND("SALDO PARCIAL",C436)),0,IF(ISNUMBER(FIND("SDO CTA/APL AUTOMATICAS",C436)),0,IF(ISNUMBER(FIND("APL APLIC AUT MAIS",C436)),0,IF(ISNUMBER(FIND("TEC DEPOSITO",C436)),0,IF(E436&gt;0,0,E436*(-1))))))))</f>
        <v>20.2</v>
      </c>
      <c r="G436" s="46" t="n">
        <f aca="false">IF(ISNUMBER(FIND("SALDO ANTERIOR",C436)),0,IF(ISNUMBER(FIND("SALDO DO DIA",C436)),0,IF(ISNUMBER(FIND("SDO CTA/APL AUTOMATICAS",C436)),0,IF(ISNUMBER(FIND("TEC DEPOSITO",C436)),0,IF(ISNUMBER(FIND("APL APLIC AUT MAIS",C436)),E436,IF(E436&gt;0,E436,0))))))</f>
        <v>0</v>
      </c>
      <c r="H436" s="65" t="n">
        <v>44317</v>
      </c>
    </row>
    <row r="437" customFormat="false" ht="17" hidden="false" customHeight="false" outlineLevel="0" collapsed="false">
      <c r="A437" s="40" t="s">
        <v>31</v>
      </c>
      <c r="B437" s="41" t="s">
        <v>382</v>
      </c>
      <c r="C437" s="63" t="s">
        <v>120</v>
      </c>
      <c r="D437" s="43"/>
      <c r="E437" s="64"/>
      <c r="F437" s="45" t="n">
        <f aca="false">IF(ISNUMBER(FIND("SALDO ANTERIOR",C437)),0,IF(ISNUMBER(FIND("SALDO DO DIA",C437)),0,IF(ISNUMBER(FIND("SALDO PARCIAL",C437)),0,IF(ISNUMBER(FIND("SDO CTA/APL AUTOMATICAS",C437)),0,IF(ISNUMBER(FIND("APL APLIC AUT MAIS",C437)),0,IF(ISNUMBER(FIND("TEC DEPOSITO",C437)),0,IF(E437&gt;0,0,E437*(-1))))))))</f>
        <v>0</v>
      </c>
      <c r="G437" s="46" t="n">
        <f aca="false">IF(ISNUMBER(FIND("SALDO ANTERIOR",C437)),0,IF(ISNUMBER(FIND("SALDO DO DIA",C437)),0,IF(ISNUMBER(FIND("SDO CTA/APL AUTOMATICAS",C437)),0,IF(ISNUMBER(FIND("TEC DEPOSITO",C437)),0,IF(ISNUMBER(FIND("APL APLIC AUT MAIS",C437)),E437,IF(E437&gt;0,E437,0))))))</f>
        <v>0</v>
      </c>
      <c r="H437" s="65" t="n">
        <v>44317</v>
      </c>
    </row>
    <row r="438" customFormat="false" ht="17" hidden="false" customHeight="false" outlineLevel="0" collapsed="false">
      <c r="A438" s="40" t="s">
        <v>31</v>
      </c>
      <c r="B438" s="41" t="s">
        <v>383</v>
      </c>
      <c r="C438" s="63" t="s">
        <v>120</v>
      </c>
      <c r="D438" s="43"/>
      <c r="E438" s="64"/>
      <c r="F438" s="45" t="n">
        <f aca="false">IF(ISNUMBER(FIND("SALDO ANTERIOR",C438)),0,IF(ISNUMBER(FIND("SALDO DO DIA",C438)),0,IF(ISNUMBER(FIND("SALDO PARCIAL",C438)),0,IF(ISNUMBER(FIND("SDO CTA/APL AUTOMATICAS",C438)),0,IF(ISNUMBER(FIND("APL APLIC AUT MAIS",C438)),0,IF(ISNUMBER(FIND("TEC DEPOSITO",C438)),0,IF(E438&gt;0,0,E438*(-1))))))))</f>
        <v>0</v>
      </c>
      <c r="G438" s="46" t="n">
        <f aca="false">IF(ISNUMBER(FIND("SALDO ANTERIOR",C438)),0,IF(ISNUMBER(FIND("SALDO DO DIA",C438)),0,IF(ISNUMBER(FIND("SDO CTA/APL AUTOMATICAS",C438)),0,IF(ISNUMBER(FIND("TEC DEPOSITO",C438)),0,IF(ISNUMBER(FIND("APL APLIC AUT MAIS",C438)),E438,IF(E438&gt;0,E438,0))))))</f>
        <v>0</v>
      </c>
      <c r="H438" s="65" t="n">
        <v>44317</v>
      </c>
    </row>
    <row r="439" customFormat="false" ht="15.8" hidden="false" customHeight="false" outlineLevel="0" collapsed="false">
      <c r="A439" s="40" t="s">
        <v>59</v>
      </c>
      <c r="B439" s="41" t="s">
        <v>384</v>
      </c>
      <c r="C439" s="41" t="s">
        <v>385</v>
      </c>
      <c r="D439" s="43" t="s">
        <v>56</v>
      </c>
      <c r="E439" s="66" t="n">
        <v>-16</v>
      </c>
      <c r="F439" s="45" t="n">
        <f aca="false">IF(ISNUMBER(FIND("SALDO ANTERIOR",C439)),0,IF(ISNUMBER(FIND("SALDO DO DIA",C439)),0,IF(ISNUMBER(FIND("SALDO PARCIAL",C439)),0,IF(ISNUMBER(FIND("SDO CTA/APL AUTOMATICAS",C439)),0,IF(ISNUMBER(FIND("APL APLIC AUT MAIS",C439)),0,IF(ISNUMBER(FIND("TEC DEPOSITO",C439)),0,IF(E439&gt;0,0,E439*(-1))))))))</f>
        <v>16</v>
      </c>
      <c r="G439" s="46" t="n">
        <f aca="false">IF(ISNUMBER(FIND("SALDO ANTERIOR",C439)),0,IF(ISNUMBER(FIND("SALDO DO DIA",C439)),0,IF(ISNUMBER(FIND("SDO CTA/APL AUTOMATICAS",C439)),0,IF(ISNUMBER(FIND("TEC DEPOSITO",C439)),0,IF(ISNUMBER(FIND("APL APLIC AUT MAIS",C439)),E439,IF(E439&gt;0,E439,0))))))</f>
        <v>0</v>
      </c>
      <c r="H439" s="65" t="n">
        <v>44317</v>
      </c>
    </row>
    <row r="440" customFormat="false" ht="15.8" hidden="false" customHeight="false" outlineLevel="0" collapsed="false">
      <c r="A440" s="40" t="s">
        <v>59</v>
      </c>
      <c r="B440" s="41" t="s">
        <v>384</v>
      </c>
      <c r="C440" s="41" t="s">
        <v>166</v>
      </c>
      <c r="D440" s="43" t="s">
        <v>56</v>
      </c>
      <c r="E440" s="66" t="n">
        <v>-14.7</v>
      </c>
      <c r="F440" s="45" t="n">
        <f aca="false">IF(ISNUMBER(FIND("SALDO ANTERIOR",C440)),0,IF(ISNUMBER(FIND("SALDO DO DIA",C440)),0,IF(ISNUMBER(FIND("SALDO PARCIAL",C440)),0,IF(ISNUMBER(FIND("SDO CTA/APL AUTOMATICAS",C440)),0,IF(ISNUMBER(FIND("APL APLIC AUT MAIS",C440)),0,IF(ISNUMBER(FIND("TEC DEPOSITO",C440)),0,IF(E440&gt;0,0,E440*(-1))))))))</f>
        <v>14.7</v>
      </c>
      <c r="G440" s="46" t="n">
        <f aca="false">IF(ISNUMBER(FIND("SALDO ANTERIOR",C440)),0,IF(ISNUMBER(FIND("SALDO DO DIA",C440)),0,IF(ISNUMBER(FIND("SDO CTA/APL AUTOMATICAS",C440)),0,IF(ISNUMBER(FIND("TEC DEPOSITO",C440)),0,IF(ISNUMBER(FIND("APL APLIC AUT MAIS",C440)),E440,IF(E440&gt;0,E440,0))))))</f>
        <v>0</v>
      </c>
      <c r="H440" s="65" t="n">
        <v>44317</v>
      </c>
    </row>
    <row r="441" customFormat="false" ht="17" hidden="false" customHeight="false" outlineLevel="0" collapsed="false">
      <c r="A441" s="40" t="s">
        <v>31</v>
      </c>
      <c r="B441" s="41" t="s">
        <v>384</v>
      </c>
      <c r="C441" s="63" t="s">
        <v>120</v>
      </c>
      <c r="D441" s="43"/>
      <c r="E441" s="64"/>
      <c r="F441" s="45" t="n">
        <f aca="false">IF(ISNUMBER(FIND("SALDO ANTERIOR",C441)),0,IF(ISNUMBER(FIND("SALDO DO DIA",C441)),0,IF(ISNUMBER(FIND("SALDO PARCIAL",C441)),0,IF(ISNUMBER(FIND("SDO CTA/APL AUTOMATICAS",C441)),0,IF(ISNUMBER(FIND("APL APLIC AUT MAIS",C441)),0,IF(ISNUMBER(FIND("TEC DEPOSITO",C441)),0,IF(E441&gt;0,0,E441*(-1))))))))</f>
        <v>0</v>
      </c>
      <c r="G441" s="46" t="n">
        <f aca="false">IF(ISNUMBER(FIND("SALDO ANTERIOR",C441)),0,IF(ISNUMBER(FIND("SALDO DO DIA",C441)),0,IF(ISNUMBER(FIND("SDO CTA/APL AUTOMATICAS",C441)),0,IF(ISNUMBER(FIND("TEC DEPOSITO",C441)),0,IF(ISNUMBER(FIND("APL APLIC AUT MAIS",C441)),E441,IF(E441&gt;0,E441,0))))))</f>
        <v>0</v>
      </c>
      <c r="H441" s="65" t="n">
        <v>44317</v>
      </c>
    </row>
    <row r="442" customFormat="false" ht="15.8" hidden="false" customHeight="false" outlineLevel="0" collapsed="false">
      <c r="A442" s="40" t="s">
        <v>121</v>
      </c>
      <c r="B442" s="41" t="s">
        <v>386</v>
      </c>
      <c r="C442" s="41" t="s">
        <v>387</v>
      </c>
      <c r="D442" s="43" t="s">
        <v>91</v>
      </c>
      <c r="E442" s="66" t="n">
        <v>-100</v>
      </c>
      <c r="F442" s="45" t="n">
        <f aca="false">IF(ISNUMBER(FIND("SALDO ANTERIOR",C442)),0,IF(ISNUMBER(FIND("SALDO DO DIA",C442)),0,IF(ISNUMBER(FIND("SALDO PARCIAL",C442)),0,IF(ISNUMBER(FIND("SDO CTA/APL AUTOMATICAS",C442)),0,IF(ISNUMBER(FIND("APL APLIC AUT MAIS",C442)),0,IF(ISNUMBER(FIND("TEC DEPOSITO",C442)),0,IF(E442&gt;0,0,E442*(-1))))))))</f>
        <v>100</v>
      </c>
      <c r="G442" s="46" t="n">
        <f aca="false">IF(ISNUMBER(FIND("SALDO ANTERIOR",C442)),0,IF(ISNUMBER(FIND("SALDO DO DIA",C442)),0,IF(ISNUMBER(FIND("SDO CTA/APL AUTOMATICAS",C442)),0,IF(ISNUMBER(FIND("TEC DEPOSITO",C442)),0,IF(ISNUMBER(FIND("APL APLIC AUT MAIS",C442)),E442,IF(E442&gt;0,E442,0))))))</f>
        <v>0</v>
      </c>
      <c r="H442" s="65" t="n">
        <v>44317</v>
      </c>
    </row>
    <row r="443" customFormat="false" ht="15.8" hidden="false" customHeight="false" outlineLevel="0" collapsed="false">
      <c r="A443" s="40" t="s">
        <v>53</v>
      </c>
      <c r="B443" s="41" t="s">
        <v>386</v>
      </c>
      <c r="C443" s="41" t="s">
        <v>55</v>
      </c>
      <c r="D443" s="43" t="s">
        <v>56</v>
      </c>
      <c r="E443" s="66" t="n">
        <v>-40.32</v>
      </c>
      <c r="F443" s="45" t="n">
        <f aca="false">IF(ISNUMBER(FIND("SALDO ANTERIOR",C443)),0,IF(ISNUMBER(FIND("SALDO DO DIA",C443)),0,IF(ISNUMBER(FIND("SALDO PARCIAL",C443)),0,IF(ISNUMBER(FIND("SDO CTA/APL AUTOMATICAS",C443)),0,IF(ISNUMBER(FIND("APL APLIC AUT MAIS",C443)),0,IF(ISNUMBER(FIND("TEC DEPOSITO",C443)),0,IF(E443&gt;0,0,E443*(-1))))))))</f>
        <v>40.32</v>
      </c>
      <c r="G443" s="46" t="n">
        <f aca="false">IF(ISNUMBER(FIND("SALDO ANTERIOR",C443)),0,IF(ISNUMBER(FIND("SALDO DO DIA",C443)),0,IF(ISNUMBER(FIND("SDO CTA/APL AUTOMATICAS",C443)),0,IF(ISNUMBER(FIND("TEC DEPOSITO",C443)),0,IF(ISNUMBER(FIND("APL APLIC AUT MAIS",C443)),E443,IF(E443&gt;0,E443,0))))))</f>
        <v>0</v>
      </c>
      <c r="H443" s="65" t="n">
        <v>44317</v>
      </c>
    </row>
    <row r="444" customFormat="false" ht="15.8" hidden="false" customHeight="false" outlineLevel="0" collapsed="false">
      <c r="A444" s="40" t="s">
        <v>59</v>
      </c>
      <c r="B444" s="41" t="s">
        <v>386</v>
      </c>
      <c r="C444" s="41" t="s">
        <v>388</v>
      </c>
      <c r="D444" s="43" t="s">
        <v>56</v>
      </c>
      <c r="E444" s="66" t="n">
        <v>-20</v>
      </c>
      <c r="F444" s="45" t="n">
        <f aca="false">IF(ISNUMBER(FIND("SALDO ANTERIOR",C444)),0,IF(ISNUMBER(FIND("SALDO DO DIA",C444)),0,IF(ISNUMBER(FIND("SALDO PARCIAL",C444)),0,IF(ISNUMBER(FIND("SDO CTA/APL AUTOMATICAS",C444)),0,IF(ISNUMBER(FIND("APL APLIC AUT MAIS",C444)),0,IF(ISNUMBER(FIND("TEC DEPOSITO",C444)),0,IF(E444&gt;0,0,E444*(-1))))))))</f>
        <v>20</v>
      </c>
      <c r="G444" s="46" t="n">
        <f aca="false">IF(ISNUMBER(FIND("SALDO ANTERIOR",C444)),0,IF(ISNUMBER(FIND("SALDO DO DIA",C444)),0,IF(ISNUMBER(FIND("SDO CTA/APL AUTOMATICAS",C444)),0,IF(ISNUMBER(FIND("TEC DEPOSITO",C444)),0,IF(ISNUMBER(FIND("APL APLIC AUT MAIS",C444)),E444,IF(E444&gt;0,E444,0))))))</f>
        <v>0</v>
      </c>
      <c r="H444" s="65" t="n">
        <v>44317</v>
      </c>
    </row>
    <row r="445" customFormat="false" ht="15.8" hidden="false" customHeight="false" outlineLevel="0" collapsed="false">
      <c r="A445" s="40" t="s">
        <v>77</v>
      </c>
      <c r="B445" s="41" t="s">
        <v>386</v>
      </c>
      <c r="C445" s="41" t="s">
        <v>79</v>
      </c>
      <c r="D445" s="43" t="s">
        <v>56</v>
      </c>
      <c r="E445" s="66" t="n">
        <v>-11</v>
      </c>
      <c r="F445" s="45" t="n">
        <f aca="false">IF(ISNUMBER(FIND("SALDO ANTERIOR",C445)),0,IF(ISNUMBER(FIND("SALDO DO DIA",C445)),0,IF(ISNUMBER(FIND("SALDO PARCIAL",C445)),0,IF(ISNUMBER(FIND("SDO CTA/APL AUTOMATICAS",C445)),0,IF(ISNUMBER(FIND("APL APLIC AUT MAIS",C445)),0,IF(ISNUMBER(FIND("TEC DEPOSITO",C445)),0,IF(E445&gt;0,0,E445*(-1))))))))</f>
        <v>11</v>
      </c>
      <c r="G445" s="46" t="n">
        <f aca="false">IF(ISNUMBER(FIND("SALDO ANTERIOR",C445)),0,IF(ISNUMBER(FIND("SALDO DO DIA",C445)),0,IF(ISNUMBER(FIND("SDO CTA/APL AUTOMATICAS",C445)),0,IF(ISNUMBER(FIND("TEC DEPOSITO",C445)),0,IF(ISNUMBER(FIND("APL APLIC AUT MAIS",C445)),E445,IF(E445&gt;0,E445,0))))))</f>
        <v>0</v>
      </c>
      <c r="H445" s="65" t="n">
        <v>44317</v>
      </c>
    </row>
    <row r="446" customFormat="false" ht="15.8" hidden="false" customHeight="false" outlineLevel="0" collapsed="false">
      <c r="A446" s="40" t="s">
        <v>64</v>
      </c>
      <c r="B446" s="41" t="s">
        <v>386</v>
      </c>
      <c r="C446" s="41" t="s">
        <v>112</v>
      </c>
      <c r="D446" s="43" t="s">
        <v>56</v>
      </c>
      <c r="E446" s="66" t="n">
        <v>-15</v>
      </c>
      <c r="F446" s="45" t="n">
        <f aca="false">IF(ISNUMBER(FIND("SALDO ANTERIOR",C446)),0,IF(ISNUMBER(FIND("SALDO DO DIA",C446)),0,IF(ISNUMBER(FIND("SALDO PARCIAL",C446)),0,IF(ISNUMBER(FIND("SDO CTA/APL AUTOMATICAS",C446)),0,IF(ISNUMBER(FIND("APL APLIC AUT MAIS",C446)),0,IF(ISNUMBER(FIND("TEC DEPOSITO",C446)),0,IF(E446&gt;0,0,E446*(-1))))))))</f>
        <v>15</v>
      </c>
      <c r="G446" s="46" t="n">
        <f aca="false">IF(ISNUMBER(FIND("SALDO ANTERIOR",C446)),0,IF(ISNUMBER(FIND("SALDO DO DIA",C446)),0,IF(ISNUMBER(FIND("SDO CTA/APL AUTOMATICAS",C446)),0,IF(ISNUMBER(FIND("TEC DEPOSITO",C446)),0,IF(ISNUMBER(FIND("APL APLIC AUT MAIS",C446)),E446,IF(E446&gt;0,E446,0))))))</f>
        <v>0</v>
      </c>
      <c r="H446" s="65" t="n">
        <v>44317</v>
      </c>
    </row>
    <row r="447" customFormat="false" ht="15.8" hidden="false" customHeight="false" outlineLevel="0" collapsed="false">
      <c r="A447" s="40" t="s">
        <v>103</v>
      </c>
      <c r="B447" s="41" t="s">
        <v>386</v>
      </c>
      <c r="C447" s="41" t="s">
        <v>130</v>
      </c>
      <c r="D447" s="43" t="s">
        <v>56</v>
      </c>
      <c r="E447" s="66" t="n">
        <v>-50</v>
      </c>
      <c r="F447" s="45" t="n">
        <f aca="false">IF(ISNUMBER(FIND("SALDO ANTERIOR",C447)),0,IF(ISNUMBER(FIND("SALDO DO DIA",C447)),0,IF(ISNUMBER(FIND("SALDO PARCIAL",C447)),0,IF(ISNUMBER(FIND("SDO CTA/APL AUTOMATICAS",C447)),0,IF(ISNUMBER(FIND("APL APLIC AUT MAIS",C447)),0,IF(ISNUMBER(FIND("TEC DEPOSITO",C447)),0,IF(E447&gt;0,0,E447*(-1))))))))</f>
        <v>50</v>
      </c>
      <c r="G447" s="46" t="n">
        <f aca="false">IF(ISNUMBER(FIND("SALDO ANTERIOR",C447)),0,IF(ISNUMBER(FIND("SALDO DO DIA",C447)),0,IF(ISNUMBER(FIND("SDO CTA/APL AUTOMATICAS",C447)),0,IF(ISNUMBER(FIND("TEC DEPOSITO",C447)),0,IF(ISNUMBER(FIND("APL APLIC AUT MAIS",C447)),E447,IF(E447&gt;0,E447,0))))))</f>
        <v>0</v>
      </c>
      <c r="H447" s="65" t="n">
        <v>44317</v>
      </c>
    </row>
    <row r="448" customFormat="false" ht="15.8" hidden="false" customHeight="false" outlineLevel="0" collapsed="false">
      <c r="A448" s="40" t="s">
        <v>59</v>
      </c>
      <c r="B448" s="41" t="s">
        <v>386</v>
      </c>
      <c r="C448" s="41" t="s">
        <v>132</v>
      </c>
      <c r="D448" s="43" t="s">
        <v>56</v>
      </c>
      <c r="E448" s="66" t="n">
        <v>-27.9</v>
      </c>
      <c r="F448" s="45" t="n">
        <f aca="false">IF(ISNUMBER(FIND("SALDO ANTERIOR",C448)),0,IF(ISNUMBER(FIND("SALDO DO DIA",C448)),0,IF(ISNUMBER(FIND("SALDO PARCIAL",C448)),0,IF(ISNUMBER(FIND("SDO CTA/APL AUTOMATICAS",C448)),0,IF(ISNUMBER(FIND("APL APLIC AUT MAIS",C448)),0,IF(ISNUMBER(FIND("TEC DEPOSITO",C448)),0,IF(E448&gt;0,0,E448*(-1))))))))</f>
        <v>27.9</v>
      </c>
      <c r="G448" s="46" t="n">
        <f aca="false">IF(ISNUMBER(FIND("SALDO ANTERIOR",C448)),0,IF(ISNUMBER(FIND("SALDO DO DIA",C448)),0,IF(ISNUMBER(FIND("SDO CTA/APL AUTOMATICAS",C448)),0,IF(ISNUMBER(FIND("TEC DEPOSITO",C448)),0,IF(ISNUMBER(FIND("APL APLIC AUT MAIS",C448)),E448,IF(E448&gt;0,E448,0))))))</f>
        <v>0</v>
      </c>
      <c r="H448" s="65" t="n">
        <v>44317</v>
      </c>
    </row>
    <row r="449" customFormat="false" ht="15.8" hidden="false" customHeight="false" outlineLevel="0" collapsed="false">
      <c r="A449" s="40" t="s">
        <v>64</v>
      </c>
      <c r="B449" s="41" t="s">
        <v>386</v>
      </c>
      <c r="C449" s="41" t="s">
        <v>246</v>
      </c>
      <c r="D449" s="43" t="s">
        <v>56</v>
      </c>
      <c r="E449" s="66" t="n">
        <v>-64.72</v>
      </c>
      <c r="F449" s="45" t="n">
        <f aca="false">IF(ISNUMBER(FIND("SALDO ANTERIOR",C449)),0,IF(ISNUMBER(FIND("SALDO DO DIA",C449)),0,IF(ISNUMBER(FIND("SALDO PARCIAL",C449)),0,IF(ISNUMBER(FIND("SDO CTA/APL AUTOMATICAS",C449)),0,IF(ISNUMBER(FIND("APL APLIC AUT MAIS",C449)),0,IF(ISNUMBER(FIND("TEC DEPOSITO",C449)),0,IF(E449&gt;0,0,E449*(-1))))))))</f>
        <v>64.72</v>
      </c>
      <c r="G449" s="46" t="n">
        <f aca="false">IF(ISNUMBER(FIND("SALDO ANTERIOR",C449)),0,IF(ISNUMBER(FIND("SALDO DO DIA",C449)),0,IF(ISNUMBER(FIND("SDO CTA/APL AUTOMATICAS",C449)),0,IF(ISNUMBER(FIND("TEC DEPOSITO",C449)),0,IF(ISNUMBER(FIND("APL APLIC AUT MAIS",C449)),E449,IF(E449&gt;0,E449,0))))))</f>
        <v>0</v>
      </c>
      <c r="H449" s="65" t="n">
        <v>44317</v>
      </c>
    </row>
    <row r="450" customFormat="false" ht="15.8" hidden="false" customHeight="false" outlineLevel="0" collapsed="false">
      <c r="A450" s="40" t="s">
        <v>64</v>
      </c>
      <c r="B450" s="41" t="s">
        <v>386</v>
      </c>
      <c r="C450" s="41" t="s">
        <v>246</v>
      </c>
      <c r="D450" s="43" t="s">
        <v>56</v>
      </c>
      <c r="E450" s="66" t="n">
        <v>-140.24</v>
      </c>
      <c r="F450" s="45" t="n">
        <f aca="false">IF(ISNUMBER(FIND("SALDO ANTERIOR",C450)),0,IF(ISNUMBER(FIND("SALDO DO DIA",C450)),0,IF(ISNUMBER(FIND("SALDO PARCIAL",C450)),0,IF(ISNUMBER(FIND("SDO CTA/APL AUTOMATICAS",C450)),0,IF(ISNUMBER(FIND("APL APLIC AUT MAIS",C450)),0,IF(ISNUMBER(FIND("TEC DEPOSITO",C450)),0,IF(E450&gt;0,0,E450*(-1))))))))</f>
        <v>140.24</v>
      </c>
      <c r="G450" s="46" t="n">
        <f aca="false">IF(ISNUMBER(FIND("SALDO ANTERIOR",C450)),0,IF(ISNUMBER(FIND("SALDO DO DIA",C450)),0,IF(ISNUMBER(FIND("SDO CTA/APL AUTOMATICAS",C450)),0,IF(ISNUMBER(FIND("TEC DEPOSITO",C450)),0,IF(ISNUMBER(FIND("APL APLIC AUT MAIS",C450)),E450,IF(E450&gt;0,E450,0))))))</f>
        <v>0</v>
      </c>
      <c r="H450" s="65" t="n">
        <v>44317</v>
      </c>
    </row>
    <row r="451" customFormat="false" ht="15.8" hidden="false" customHeight="false" outlineLevel="0" collapsed="false">
      <c r="A451" s="40" t="s">
        <v>31</v>
      </c>
      <c r="B451" s="41" t="s">
        <v>386</v>
      </c>
      <c r="C451" s="41" t="s">
        <v>310</v>
      </c>
      <c r="D451" s="43"/>
      <c r="E451" s="67" t="n">
        <v>0.01</v>
      </c>
      <c r="F451" s="45" t="n">
        <f aca="false">IF(ISNUMBER(FIND("SALDO ANTERIOR",C451)),0,IF(ISNUMBER(FIND("SALDO DO DIA",C451)),0,IF(ISNUMBER(FIND("SALDO PARCIAL",C451)),0,IF(ISNUMBER(FIND("SDO CTA/APL AUTOMATICAS",C451)),0,IF(ISNUMBER(FIND("APL APLIC AUT MAIS",C451)),0,IF(ISNUMBER(FIND("TEC DEPOSITO",C451)),0,IF(E451&gt;0,0,E451*(-1))))))))</f>
        <v>0</v>
      </c>
      <c r="G451" s="46" t="n">
        <f aca="false">IF(ISNUMBER(FIND("SALDO ANTERIOR",C451)),0,IF(ISNUMBER(FIND("SALDO DO DIA",C451)),0,IF(ISNUMBER(FIND("SDO CTA/APL AUTOMATICAS",C451)),0,IF(ISNUMBER(FIND("TEC DEPOSITO",C451)),0,IF(ISNUMBER(FIND("APL APLIC AUT MAIS",C451)),E451,IF(E451&gt;0,E451,0))))))</f>
        <v>0.01</v>
      </c>
      <c r="H451" s="65" t="n">
        <v>44317</v>
      </c>
    </row>
    <row r="452" customFormat="false" ht="17" hidden="false" customHeight="false" outlineLevel="0" collapsed="false">
      <c r="A452" s="40" t="s">
        <v>31</v>
      </c>
      <c r="B452" s="41" t="s">
        <v>386</v>
      </c>
      <c r="C452" s="63" t="s">
        <v>68</v>
      </c>
      <c r="D452" s="43"/>
      <c r="E452" s="64"/>
      <c r="F452" s="45" t="n">
        <f aca="false">IF(ISNUMBER(FIND("SALDO ANTERIOR",C452)),0,IF(ISNUMBER(FIND("SALDO DO DIA",C452)),0,IF(ISNUMBER(FIND("SALDO PARCIAL",C452)),0,IF(ISNUMBER(FIND("SDO CTA/APL AUTOMATICAS",C452)),0,IF(ISNUMBER(FIND("APL APLIC AUT MAIS",C452)),0,IF(ISNUMBER(FIND("TEC DEPOSITO",C452)),0,IF(E452&gt;0,0,E452*(-1))))))))</f>
        <v>0</v>
      </c>
      <c r="G452" s="46" t="n">
        <f aca="false">IF(ISNUMBER(FIND("SALDO ANTERIOR",C452)),0,IF(ISNUMBER(FIND("SALDO DO DIA",C452)),0,IF(ISNUMBER(FIND("SDO CTA/APL AUTOMATICAS",C452)),0,IF(ISNUMBER(FIND("TEC DEPOSITO",C452)),0,IF(ISNUMBER(FIND("APL APLIC AUT MAIS",C452)),E452,IF(E452&gt;0,E452,0))))))</f>
        <v>0</v>
      </c>
      <c r="H452" s="65" t="n">
        <v>44317</v>
      </c>
    </row>
    <row r="453" customFormat="false" ht="15.8" hidden="false" customHeight="false" outlineLevel="0" collapsed="false">
      <c r="A453" s="40" t="s">
        <v>57</v>
      </c>
      <c r="B453" s="41" t="s">
        <v>389</v>
      </c>
      <c r="C453" s="41" t="s">
        <v>145</v>
      </c>
      <c r="D453" s="43" t="s">
        <v>56</v>
      </c>
      <c r="E453" s="66" t="n">
        <v>-5.99</v>
      </c>
      <c r="F453" s="45" t="n">
        <f aca="false">IF(ISNUMBER(FIND("SALDO ANTERIOR",C453)),0,IF(ISNUMBER(FIND("SALDO DO DIA",C453)),0,IF(ISNUMBER(FIND("SALDO PARCIAL",C453)),0,IF(ISNUMBER(FIND("SDO CTA/APL AUTOMATICAS",C453)),0,IF(ISNUMBER(FIND("APL APLIC AUT MAIS",C453)),0,IF(ISNUMBER(FIND("TEC DEPOSITO",C453)),0,IF(E453&gt;0,0,E453*(-1))))))))</f>
        <v>5.99</v>
      </c>
      <c r="G453" s="46" t="n">
        <f aca="false">IF(ISNUMBER(FIND("SALDO ANTERIOR",C453)),0,IF(ISNUMBER(FIND("SALDO DO DIA",C453)),0,IF(ISNUMBER(FIND("SDO CTA/APL AUTOMATICAS",C453)),0,IF(ISNUMBER(FIND("TEC DEPOSITO",C453)),0,IF(ISNUMBER(FIND("APL APLIC AUT MAIS",C453)),E453,IF(E453&gt;0,E453,0))))))</f>
        <v>0</v>
      </c>
      <c r="H453" s="65" t="n">
        <v>44317</v>
      </c>
    </row>
    <row r="454" customFormat="false" ht="17" hidden="false" customHeight="false" outlineLevel="0" collapsed="false">
      <c r="A454" s="40" t="s">
        <v>31</v>
      </c>
      <c r="B454" s="41" t="s">
        <v>389</v>
      </c>
      <c r="C454" s="63" t="s">
        <v>68</v>
      </c>
      <c r="D454" s="43"/>
      <c r="E454" s="64"/>
      <c r="F454" s="45" t="n">
        <f aca="false">IF(ISNUMBER(FIND("SALDO ANTERIOR",C454)),0,IF(ISNUMBER(FIND("SALDO DO DIA",C454)),0,IF(ISNUMBER(FIND("SALDO PARCIAL",C454)),0,IF(ISNUMBER(FIND("SDO CTA/APL AUTOMATICAS",C454)),0,IF(ISNUMBER(FIND("APL APLIC AUT MAIS",C454)),0,IF(ISNUMBER(FIND("TEC DEPOSITO",C454)),0,IF(E454&gt;0,0,E454*(-1))))))))</f>
        <v>0</v>
      </c>
      <c r="G454" s="46" t="n">
        <f aca="false">IF(ISNUMBER(FIND("SALDO ANTERIOR",C454)),0,IF(ISNUMBER(FIND("SALDO DO DIA",C454)),0,IF(ISNUMBER(FIND("SDO CTA/APL AUTOMATICAS",C454)),0,IF(ISNUMBER(FIND("TEC DEPOSITO",C454)),0,IF(ISNUMBER(FIND("APL APLIC AUT MAIS",C454)),E454,IF(E454&gt;0,E454,0))))))</f>
        <v>0</v>
      </c>
      <c r="H454" s="65" t="n">
        <v>44317</v>
      </c>
    </row>
    <row r="455" customFormat="false" ht="15.8" hidden="false" customHeight="false" outlineLevel="0" collapsed="false">
      <c r="A455" s="40" t="s">
        <v>59</v>
      </c>
      <c r="B455" s="41" t="s">
        <v>390</v>
      </c>
      <c r="C455" s="41" t="s">
        <v>166</v>
      </c>
      <c r="D455" s="43" t="s">
        <v>56</v>
      </c>
      <c r="E455" s="66" t="n">
        <v>-16.7</v>
      </c>
      <c r="F455" s="45" t="n">
        <f aca="false">IF(ISNUMBER(FIND("SALDO ANTERIOR",C455)),0,IF(ISNUMBER(FIND("SALDO DO DIA",C455)),0,IF(ISNUMBER(FIND("SALDO PARCIAL",C455)),0,IF(ISNUMBER(FIND("SDO CTA/APL AUTOMATICAS",C455)),0,IF(ISNUMBER(FIND("APL APLIC AUT MAIS",C455)),0,IF(ISNUMBER(FIND("TEC DEPOSITO",C455)),0,IF(E455&gt;0,0,E455*(-1))))))))</f>
        <v>16.7</v>
      </c>
      <c r="G455" s="46" t="n">
        <f aca="false">IF(ISNUMBER(FIND("SALDO ANTERIOR",C455)),0,IF(ISNUMBER(FIND("SALDO DO DIA",C455)),0,IF(ISNUMBER(FIND("SDO CTA/APL AUTOMATICAS",C455)),0,IF(ISNUMBER(FIND("TEC DEPOSITO",C455)),0,IF(ISNUMBER(FIND("APL APLIC AUT MAIS",C455)),E455,IF(E455&gt;0,E455,0))))))</f>
        <v>0</v>
      </c>
      <c r="H455" s="65" t="n">
        <v>44317</v>
      </c>
    </row>
    <row r="456" customFormat="false" ht="17" hidden="false" customHeight="false" outlineLevel="0" collapsed="false">
      <c r="A456" s="40" t="s">
        <v>31</v>
      </c>
      <c r="B456" s="41" t="s">
        <v>390</v>
      </c>
      <c r="C456" s="63" t="s">
        <v>68</v>
      </c>
      <c r="D456" s="43"/>
      <c r="E456" s="64"/>
      <c r="F456" s="45" t="n">
        <f aca="false">IF(ISNUMBER(FIND("SALDO ANTERIOR",C456)),0,IF(ISNUMBER(FIND("SALDO DO DIA",C456)),0,IF(ISNUMBER(FIND("SALDO PARCIAL",C456)),0,IF(ISNUMBER(FIND("SDO CTA/APL AUTOMATICAS",C456)),0,IF(ISNUMBER(FIND("APL APLIC AUT MAIS",C456)),0,IF(ISNUMBER(FIND("TEC DEPOSITO",C456)),0,IF(E456&gt;0,0,E456*(-1))))))))</f>
        <v>0</v>
      </c>
      <c r="G456" s="46" t="n">
        <f aca="false">IF(ISNUMBER(FIND("SALDO ANTERIOR",C456)),0,IF(ISNUMBER(FIND("SALDO DO DIA",C456)),0,IF(ISNUMBER(FIND("SDO CTA/APL AUTOMATICAS",C456)),0,IF(ISNUMBER(FIND("TEC DEPOSITO",C456)),0,IF(ISNUMBER(FIND("APL APLIC AUT MAIS",C456)),E456,IF(E456&gt;0,E456,0))))))</f>
        <v>0</v>
      </c>
      <c r="H456" s="65" t="n">
        <v>44317</v>
      </c>
    </row>
    <row r="457" customFormat="false" ht="15.8" hidden="false" customHeight="false" outlineLevel="0" collapsed="false">
      <c r="A457" s="40" t="s">
        <v>391</v>
      </c>
      <c r="B457" s="41" t="s">
        <v>392</v>
      </c>
      <c r="C457" s="41" t="s">
        <v>283</v>
      </c>
      <c r="D457" s="43" t="s">
        <v>72</v>
      </c>
      <c r="E457" s="66" t="n">
        <v>-244.51</v>
      </c>
      <c r="F457" s="45" t="n">
        <f aca="false">IF(ISNUMBER(FIND("SALDO ANTERIOR",C457)),0,IF(ISNUMBER(FIND("SALDO DO DIA",C457)),0,IF(ISNUMBER(FIND("SALDO PARCIAL",C457)),0,IF(ISNUMBER(FIND("SDO CTA/APL AUTOMATICAS",C457)),0,IF(ISNUMBER(FIND("APL APLIC AUT MAIS",C457)),0,IF(ISNUMBER(FIND("TEC DEPOSITO",C457)),0,IF(E457&gt;0,0,E457*(-1))))))))</f>
        <v>244.51</v>
      </c>
      <c r="G457" s="46" t="n">
        <f aca="false">IF(ISNUMBER(FIND("SALDO ANTERIOR",C457)),0,IF(ISNUMBER(FIND("SALDO DO DIA",C457)),0,IF(ISNUMBER(FIND("SDO CTA/APL AUTOMATICAS",C457)),0,IF(ISNUMBER(FIND("TEC DEPOSITO",C457)),0,IF(ISNUMBER(FIND("APL APLIC AUT MAIS",C457)),E457,IF(E457&gt;0,E457,0))))))</f>
        <v>0</v>
      </c>
      <c r="H457" s="65" t="n">
        <v>44317</v>
      </c>
    </row>
    <row r="458" customFormat="false" ht="15.8" hidden="false" customHeight="false" outlineLevel="0" collapsed="false">
      <c r="A458" s="40" t="s">
        <v>31</v>
      </c>
      <c r="B458" s="41" t="s">
        <v>392</v>
      </c>
      <c r="C458" s="41" t="s">
        <v>393</v>
      </c>
      <c r="D458" s="43" t="s">
        <v>56</v>
      </c>
      <c r="E458" s="66" t="n">
        <v>-16.2</v>
      </c>
      <c r="F458" s="45" t="n">
        <f aca="false">IF(ISNUMBER(FIND("SALDO ANTERIOR",C458)),0,IF(ISNUMBER(FIND("SALDO DO DIA",C458)),0,IF(ISNUMBER(FIND("SALDO PARCIAL",C458)),0,IF(ISNUMBER(FIND("SDO CTA/APL AUTOMATICAS",C458)),0,IF(ISNUMBER(FIND("APL APLIC AUT MAIS",C458)),0,IF(ISNUMBER(FIND("TEC DEPOSITO",C458)),0,IF(E458&gt;0,0,E458*(-1))))))))</f>
        <v>16.2</v>
      </c>
      <c r="G458" s="46" t="n">
        <f aca="false">IF(ISNUMBER(FIND("SALDO ANTERIOR",C458)),0,IF(ISNUMBER(FIND("SALDO DO DIA",C458)),0,IF(ISNUMBER(FIND("SDO CTA/APL AUTOMATICAS",C458)),0,IF(ISNUMBER(FIND("TEC DEPOSITO",C458)),0,IF(ISNUMBER(FIND("APL APLIC AUT MAIS",C458)),E458,IF(E458&gt;0,E458,0))))))</f>
        <v>0</v>
      </c>
      <c r="H458" s="65" t="n">
        <v>44317</v>
      </c>
    </row>
    <row r="459" customFormat="false" ht="17" hidden="false" customHeight="false" outlineLevel="0" collapsed="false">
      <c r="A459" s="40" t="s">
        <v>31</v>
      </c>
      <c r="B459" s="41" t="s">
        <v>392</v>
      </c>
      <c r="C459" s="63" t="s">
        <v>68</v>
      </c>
      <c r="D459" s="43"/>
      <c r="E459" s="64"/>
      <c r="F459" s="45" t="n">
        <f aca="false">IF(ISNUMBER(FIND("SALDO ANTERIOR",C459)),0,IF(ISNUMBER(FIND("SALDO DO DIA",C459)),0,IF(ISNUMBER(FIND("SALDO PARCIAL",C459)),0,IF(ISNUMBER(FIND("SDO CTA/APL AUTOMATICAS",C459)),0,IF(ISNUMBER(FIND("APL APLIC AUT MAIS",C459)),0,IF(ISNUMBER(FIND("TEC DEPOSITO",C459)),0,IF(E459&gt;0,0,E459*(-1))))))))</f>
        <v>0</v>
      </c>
      <c r="G459" s="46" t="n">
        <f aca="false">IF(ISNUMBER(FIND("SALDO ANTERIOR",C459)),0,IF(ISNUMBER(FIND("SALDO DO DIA",C459)),0,IF(ISNUMBER(FIND("SDO CTA/APL AUTOMATICAS",C459)),0,IF(ISNUMBER(FIND("TEC DEPOSITO",C459)),0,IF(ISNUMBER(FIND("APL APLIC AUT MAIS",C459)),E459,IF(E459&gt;0,E459,0))))))</f>
        <v>0</v>
      </c>
      <c r="H459" s="65" t="n">
        <v>44317</v>
      </c>
    </row>
    <row r="460" customFormat="false" ht="15.8" hidden="false" customHeight="false" outlineLevel="0" collapsed="false">
      <c r="A460" s="40" t="s">
        <v>53</v>
      </c>
      <c r="B460" s="41" t="s">
        <v>394</v>
      </c>
      <c r="C460" s="41" t="s">
        <v>55</v>
      </c>
      <c r="D460" s="43" t="s">
        <v>56</v>
      </c>
      <c r="E460" s="66" t="n">
        <v>-29.17</v>
      </c>
      <c r="F460" s="45" t="n">
        <f aca="false">IF(ISNUMBER(FIND("SALDO ANTERIOR",C460)),0,IF(ISNUMBER(FIND("SALDO DO DIA",C460)),0,IF(ISNUMBER(FIND("SALDO PARCIAL",C460)),0,IF(ISNUMBER(FIND("SDO CTA/APL AUTOMATICAS",C460)),0,IF(ISNUMBER(FIND("APL APLIC AUT MAIS",C460)),0,IF(ISNUMBER(FIND("TEC DEPOSITO",C460)),0,IF(E460&gt;0,0,E460*(-1))))))))</f>
        <v>29.17</v>
      </c>
      <c r="G460" s="46" t="n">
        <f aca="false">IF(ISNUMBER(FIND("SALDO ANTERIOR",C460)),0,IF(ISNUMBER(FIND("SALDO DO DIA",C460)),0,IF(ISNUMBER(FIND("SDO CTA/APL AUTOMATICAS",C460)),0,IF(ISNUMBER(FIND("TEC DEPOSITO",C460)),0,IF(ISNUMBER(FIND("APL APLIC AUT MAIS",C460)),E460,IF(E460&gt;0,E460,0))))))</f>
        <v>0</v>
      </c>
      <c r="H460" s="65" t="n">
        <v>44317</v>
      </c>
    </row>
    <row r="461" customFormat="false" ht="15.8" hidden="false" customHeight="false" outlineLevel="0" collapsed="false">
      <c r="A461" s="40" t="s">
        <v>57</v>
      </c>
      <c r="B461" s="41" t="s">
        <v>394</v>
      </c>
      <c r="C461" s="41" t="s">
        <v>145</v>
      </c>
      <c r="D461" s="43" t="s">
        <v>56</v>
      </c>
      <c r="E461" s="66" t="n">
        <v>-5.99</v>
      </c>
      <c r="F461" s="45" t="n">
        <f aca="false">IF(ISNUMBER(FIND("SALDO ANTERIOR",C461)),0,IF(ISNUMBER(FIND("SALDO DO DIA",C461)),0,IF(ISNUMBER(FIND("SALDO PARCIAL",C461)),0,IF(ISNUMBER(FIND("SDO CTA/APL AUTOMATICAS",C461)),0,IF(ISNUMBER(FIND("APL APLIC AUT MAIS",C461)),0,IF(ISNUMBER(FIND("TEC DEPOSITO",C461)),0,IF(E461&gt;0,0,E461*(-1))))))))</f>
        <v>5.99</v>
      </c>
      <c r="G461" s="46" t="n">
        <f aca="false">IF(ISNUMBER(FIND("SALDO ANTERIOR",C461)),0,IF(ISNUMBER(FIND("SALDO DO DIA",C461)),0,IF(ISNUMBER(FIND("SDO CTA/APL AUTOMATICAS",C461)),0,IF(ISNUMBER(FIND("TEC DEPOSITO",C461)),0,IF(ISNUMBER(FIND("APL APLIC AUT MAIS",C461)),E461,IF(E461&gt;0,E461,0))))))</f>
        <v>0</v>
      </c>
      <c r="H461" s="65" t="n">
        <v>44317</v>
      </c>
    </row>
    <row r="462" customFormat="false" ht="15.8" hidden="false" customHeight="false" outlineLevel="0" collapsed="false">
      <c r="A462" s="40" t="s">
        <v>59</v>
      </c>
      <c r="B462" s="41" t="s">
        <v>394</v>
      </c>
      <c r="C462" s="41" t="s">
        <v>127</v>
      </c>
      <c r="D462" s="43" t="s">
        <v>56</v>
      </c>
      <c r="E462" s="66" t="n">
        <v>-16.98</v>
      </c>
      <c r="F462" s="45" t="n">
        <f aca="false">IF(ISNUMBER(FIND("SALDO ANTERIOR",C462)),0,IF(ISNUMBER(FIND("SALDO DO DIA",C462)),0,IF(ISNUMBER(FIND("SALDO PARCIAL",C462)),0,IF(ISNUMBER(FIND("SDO CTA/APL AUTOMATICAS",C462)),0,IF(ISNUMBER(FIND("APL APLIC AUT MAIS",C462)),0,IF(ISNUMBER(FIND("TEC DEPOSITO",C462)),0,IF(E462&gt;0,0,E462*(-1))))))))</f>
        <v>16.98</v>
      </c>
      <c r="G462" s="46" t="n">
        <f aca="false">IF(ISNUMBER(FIND("SALDO ANTERIOR",C462)),0,IF(ISNUMBER(FIND("SALDO DO DIA",C462)),0,IF(ISNUMBER(FIND("SDO CTA/APL AUTOMATICAS",C462)),0,IF(ISNUMBER(FIND("TEC DEPOSITO",C462)),0,IF(ISNUMBER(FIND("APL APLIC AUT MAIS",C462)),E462,IF(E462&gt;0,E462,0))))))</f>
        <v>0</v>
      </c>
      <c r="H462" s="65" t="n">
        <v>44317</v>
      </c>
    </row>
    <row r="463" customFormat="false" ht="15.8" hidden="false" customHeight="false" outlineLevel="0" collapsed="false">
      <c r="A463" s="40" t="s">
        <v>57</v>
      </c>
      <c r="B463" s="41" t="s">
        <v>394</v>
      </c>
      <c r="C463" s="41" t="s">
        <v>162</v>
      </c>
      <c r="D463" s="43" t="s">
        <v>56</v>
      </c>
      <c r="E463" s="66" t="n">
        <v>-24.51</v>
      </c>
      <c r="F463" s="45" t="n">
        <f aca="false">IF(ISNUMBER(FIND("SALDO ANTERIOR",C463)),0,IF(ISNUMBER(FIND("SALDO DO DIA",C463)),0,IF(ISNUMBER(FIND("SALDO PARCIAL",C463)),0,IF(ISNUMBER(FIND("SDO CTA/APL AUTOMATICAS",C463)),0,IF(ISNUMBER(FIND("APL APLIC AUT MAIS",C463)),0,IF(ISNUMBER(FIND("TEC DEPOSITO",C463)),0,IF(E463&gt;0,0,E463*(-1))))))))</f>
        <v>24.51</v>
      </c>
      <c r="G463" s="46" t="n">
        <f aca="false">IF(ISNUMBER(FIND("SALDO ANTERIOR",C463)),0,IF(ISNUMBER(FIND("SALDO DO DIA",C463)),0,IF(ISNUMBER(FIND("SDO CTA/APL AUTOMATICAS",C463)),0,IF(ISNUMBER(FIND("TEC DEPOSITO",C463)),0,IF(ISNUMBER(FIND("APL APLIC AUT MAIS",C463)),E463,IF(E463&gt;0,E463,0))))))</f>
        <v>0</v>
      </c>
      <c r="H463" s="65" t="n">
        <v>44317</v>
      </c>
    </row>
    <row r="464" customFormat="false" ht="15.8" hidden="false" customHeight="false" outlineLevel="0" collapsed="false">
      <c r="A464" s="40" t="s">
        <v>59</v>
      </c>
      <c r="B464" s="41" t="s">
        <v>394</v>
      </c>
      <c r="C464" s="41" t="s">
        <v>132</v>
      </c>
      <c r="D464" s="43" t="s">
        <v>56</v>
      </c>
      <c r="E464" s="66" t="n">
        <v>-31.25</v>
      </c>
      <c r="F464" s="45" t="n">
        <f aca="false">IF(ISNUMBER(FIND("SALDO ANTERIOR",C464)),0,IF(ISNUMBER(FIND("SALDO DO DIA",C464)),0,IF(ISNUMBER(FIND("SALDO PARCIAL",C464)),0,IF(ISNUMBER(FIND("SDO CTA/APL AUTOMATICAS",C464)),0,IF(ISNUMBER(FIND("APL APLIC AUT MAIS",C464)),0,IF(ISNUMBER(FIND("TEC DEPOSITO",C464)),0,IF(E464&gt;0,0,E464*(-1))))))))</f>
        <v>31.25</v>
      </c>
      <c r="G464" s="46" t="n">
        <f aca="false">IF(ISNUMBER(FIND("SALDO ANTERIOR",C464)),0,IF(ISNUMBER(FIND("SALDO DO DIA",C464)),0,IF(ISNUMBER(FIND("SDO CTA/APL AUTOMATICAS",C464)),0,IF(ISNUMBER(FIND("TEC DEPOSITO",C464)),0,IF(ISNUMBER(FIND("APL APLIC AUT MAIS",C464)),E464,IF(E464&gt;0,E464,0))))))</f>
        <v>0</v>
      </c>
      <c r="H464" s="65" t="n">
        <v>44317</v>
      </c>
    </row>
    <row r="465" customFormat="false" ht="15.8" hidden="false" customHeight="false" outlineLevel="0" collapsed="false">
      <c r="A465" s="40" t="s">
        <v>64</v>
      </c>
      <c r="B465" s="41" t="s">
        <v>394</v>
      </c>
      <c r="C465" s="41" t="s">
        <v>133</v>
      </c>
      <c r="D465" s="43" t="s">
        <v>56</v>
      </c>
      <c r="E465" s="66" t="n">
        <v>-25</v>
      </c>
      <c r="F465" s="45" t="n">
        <f aca="false">IF(ISNUMBER(FIND("SALDO ANTERIOR",C465)),0,IF(ISNUMBER(FIND("SALDO DO DIA",C465)),0,IF(ISNUMBER(FIND("SALDO PARCIAL",C465)),0,IF(ISNUMBER(FIND("SDO CTA/APL AUTOMATICAS",C465)),0,IF(ISNUMBER(FIND("APL APLIC AUT MAIS",C465)),0,IF(ISNUMBER(FIND("TEC DEPOSITO",C465)),0,IF(E465&gt;0,0,E465*(-1))))))))</f>
        <v>25</v>
      </c>
      <c r="G465" s="46" t="n">
        <f aca="false">IF(ISNUMBER(FIND("SALDO ANTERIOR",C465)),0,IF(ISNUMBER(FIND("SALDO DO DIA",C465)),0,IF(ISNUMBER(FIND("SDO CTA/APL AUTOMATICAS",C465)),0,IF(ISNUMBER(FIND("TEC DEPOSITO",C465)),0,IF(ISNUMBER(FIND("APL APLIC AUT MAIS",C465)),E465,IF(E465&gt;0,E465,0))))))</f>
        <v>0</v>
      </c>
      <c r="H465" s="65" t="n">
        <v>44317</v>
      </c>
    </row>
    <row r="466" customFormat="false" ht="15.8" hidden="false" customHeight="false" outlineLevel="0" collapsed="false">
      <c r="A466" s="40" t="s">
        <v>64</v>
      </c>
      <c r="B466" s="41" t="s">
        <v>394</v>
      </c>
      <c r="C466" s="41" t="s">
        <v>133</v>
      </c>
      <c r="D466" s="43" t="s">
        <v>56</v>
      </c>
      <c r="E466" s="66" t="n">
        <v>-12</v>
      </c>
      <c r="F466" s="45" t="n">
        <f aca="false">IF(ISNUMBER(FIND("SALDO ANTERIOR",C466)),0,IF(ISNUMBER(FIND("SALDO DO DIA",C466)),0,IF(ISNUMBER(FIND("SALDO PARCIAL",C466)),0,IF(ISNUMBER(FIND("SDO CTA/APL AUTOMATICAS",C466)),0,IF(ISNUMBER(FIND("APL APLIC AUT MAIS",C466)),0,IF(ISNUMBER(FIND("TEC DEPOSITO",C466)),0,IF(E466&gt;0,0,E466*(-1))))))))</f>
        <v>12</v>
      </c>
      <c r="G466" s="46" t="n">
        <f aca="false">IF(ISNUMBER(FIND("SALDO ANTERIOR",C466)),0,IF(ISNUMBER(FIND("SALDO DO DIA",C466)),0,IF(ISNUMBER(FIND("SDO CTA/APL AUTOMATICAS",C466)),0,IF(ISNUMBER(FIND("TEC DEPOSITO",C466)),0,IF(ISNUMBER(FIND("APL APLIC AUT MAIS",C466)),E466,IF(E466&gt;0,E466,0))))))</f>
        <v>0</v>
      </c>
      <c r="H466" s="65" t="n">
        <v>44317</v>
      </c>
    </row>
    <row r="467" customFormat="false" ht="15.8" hidden="false" customHeight="false" outlineLevel="0" collapsed="false">
      <c r="A467" s="40" t="s">
        <v>271</v>
      </c>
      <c r="B467" s="41" t="s">
        <v>394</v>
      </c>
      <c r="C467" s="41" t="s">
        <v>395</v>
      </c>
      <c r="D467" s="43" t="s">
        <v>274</v>
      </c>
      <c r="E467" s="66" t="n">
        <v>-411.12</v>
      </c>
      <c r="F467" s="45" t="n">
        <f aca="false">IF(ISNUMBER(FIND("SALDO ANTERIOR",C467)),0,IF(ISNUMBER(FIND("SALDO DO DIA",C467)),0,IF(ISNUMBER(FIND("SALDO PARCIAL",C467)),0,IF(ISNUMBER(FIND("SDO CTA/APL AUTOMATICAS",C467)),0,IF(ISNUMBER(FIND("APL APLIC AUT MAIS",C467)),0,IF(ISNUMBER(FIND("TEC DEPOSITO",C467)),0,IF(E467&gt;0,0,E467*(-1))))))))</f>
        <v>411.12</v>
      </c>
      <c r="G467" s="46" t="n">
        <f aca="false">IF(ISNUMBER(FIND("SALDO ANTERIOR",C467)),0,IF(ISNUMBER(FIND("SALDO DO DIA",C467)),0,IF(ISNUMBER(FIND("SDO CTA/APL AUTOMATICAS",C467)),0,IF(ISNUMBER(FIND("TEC DEPOSITO",C467)),0,IF(ISNUMBER(FIND("APL APLIC AUT MAIS",C467)),E467,IF(E467&gt;0,E467,0))))))</f>
        <v>0</v>
      </c>
      <c r="H467" s="65" t="n">
        <v>44317</v>
      </c>
    </row>
    <row r="468" customFormat="false" ht="15.8" hidden="false" customHeight="false" outlineLevel="0" collapsed="false">
      <c r="A468" s="40" t="s">
        <v>352</v>
      </c>
      <c r="B468" s="41" t="s">
        <v>394</v>
      </c>
      <c r="C468" s="41" t="s">
        <v>396</v>
      </c>
      <c r="D468" s="43" t="s">
        <v>244</v>
      </c>
      <c r="E468" s="67" t="n">
        <v>4111.2</v>
      </c>
      <c r="F468" s="45" t="n">
        <f aca="false">IF(ISNUMBER(FIND("SALDO ANTERIOR",C468)),0,IF(ISNUMBER(FIND("SALDO DO DIA",C468)),0,IF(ISNUMBER(FIND("SALDO PARCIAL",C468)),0,IF(ISNUMBER(FIND("SDO CTA/APL AUTOMATICAS",C468)),0,IF(ISNUMBER(FIND("APL APLIC AUT MAIS",C468)),0,IF(ISNUMBER(FIND("TEC DEPOSITO",C468)),0,IF(E468&gt;0,0,E468*(-1))))))))</f>
        <v>0</v>
      </c>
      <c r="G468" s="46" t="n">
        <f aca="false">IF(ISNUMBER(FIND("SALDO ANTERIOR",C468)),0,IF(ISNUMBER(FIND("SALDO DO DIA",C468)),0,IF(ISNUMBER(FIND("SDO CTA/APL AUTOMATICAS",C468)),0,IF(ISNUMBER(FIND("TEC DEPOSITO",C468)),0,IF(ISNUMBER(FIND("APL APLIC AUT MAIS",C468)),E468,IF(E468&gt;0,E468,0))))))</f>
        <v>4111.2</v>
      </c>
      <c r="H468" s="65" t="n">
        <v>44317</v>
      </c>
    </row>
    <row r="469" customFormat="false" ht="17" hidden="false" customHeight="false" outlineLevel="0" collapsed="false">
      <c r="A469" s="40" t="s">
        <v>31</v>
      </c>
      <c r="B469" s="41" t="s">
        <v>394</v>
      </c>
      <c r="C469" s="63" t="s">
        <v>120</v>
      </c>
      <c r="D469" s="43"/>
      <c r="E469" s="64"/>
      <c r="F469" s="45" t="n">
        <f aca="false">IF(ISNUMBER(FIND("SALDO ANTERIOR",C469)),0,IF(ISNUMBER(FIND("SALDO DO DIA",C469)),0,IF(ISNUMBER(FIND("SALDO PARCIAL",C469)),0,IF(ISNUMBER(FIND("SDO CTA/APL AUTOMATICAS",C469)),0,IF(ISNUMBER(FIND("APL APLIC AUT MAIS",C469)),0,IF(ISNUMBER(FIND("TEC DEPOSITO",C469)),0,IF(E469&gt;0,0,E469*(-1))))))))</f>
        <v>0</v>
      </c>
      <c r="G469" s="46" t="n">
        <f aca="false">IF(ISNUMBER(FIND("SALDO ANTERIOR",C469)),0,IF(ISNUMBER(FIND("SALDO DO DIA",C469)),0,IF(ISNUMBER(FIND("SDO CTA/APL AUTOMATICAS",C469)),0,IF(ISNUMBER(FIND("TEC DEPOSITO",C469)),0,IF(ISNUMBER(FIND("APL APLIC AUT MAIS",C469)),E469,IF(E469&gt;0,E469,0))))))</f>
        <v>0</v>
      </c>
      <c r="H469" s="65" t="n">
        <v>44317</v>
      </c>
    </row>
    <row r="470" customFormat="false" ht="17" hidden="false" customHeight="false" outlineLevel="0" collapsed="false">
      <c r="A470" s="40" t="s">
        <v>31</v>
      </c>
      <c r="B470" s="41" t="s">
        <v>394</v>
      </c>
      <c r="C470" s="63" t="s">
        <v>68</v>
      </c>
      <c r="D470" s="43"/>
      <c r="E470" s="64"/>
      <c r="F470" s="45" t="n">
        <f aca="false">IF(ISNUMBER(FIND("SALDO ANTERIOR",C470)),0,IF(ISNUMBER(FIND("SALDO DO DIA",C470)),0,IF(ISNUMBER(FIND("SALDO PARCIAL",C470)),0,IF(ISNUMBER(FIND("SDO CTA/APL AUTOMATICAS",C470)),0,IF(ISNUMBER(FIND("APL APLIC AUT MAIS",C470)),0,IF(ISNUMBER(FIND("TEC DEPOSITO",C470)),0,IF(E470&gt;0,0,E470*(-1))))))))</f>
        <v>0</v>
      </c>
      <c r="G470" s="46" t="n">
        <f aca="false">IF(ISNUMBER(FIND("SALDO ANTERIOR",C470)),0,IF(ISNUMBER(FIND("SALDO DO DIA",C470)),0,IF(ISNUMBER(FIND("SDO CTA/APL AUTOMATICAS",C470)),0,IF(ISNUMBER(FIND("TEC DEPOSITO",C470)),0,IF(ISNUMBER(FIND("APL APLIC AUT MAIS",C470)),E470,IF(E470&gt;0,E470,0))))))</f>
        <v>0</v>
      </c>
      <c r="H470" s="65" t="n">
        <v>44317</v>
      </c>
    </row>
    <row r="471" customFormat="false" ht="17" hidden="false" customHeight="false" outlineLevel="0" collapsed="false">
      <c r="A471" s="30" t="s">
        <v>31</v>
      </c>
      <c r="B471" s="22" t="s">
        <v>394</v>
      </c>
      <c r="C471" s="68" t="s">
        <v>52</v>
      </c>
      <c r="D471" s="69"/>
      <c r="E471" s="70"/>
      <c r="F471" s="59" t="n">
        <f aca="false">IF(ISNUMBER(FIND("SALDO ANTERIOR",C471)),0,IF(ISNUMBER(FIND("SALDO DO DIA",C471)),0,IF(ISNUMBER(FIND("SALDO PARCIAL",C471)),0,IF(ISNUMBER(FIND("SDO CTA/APL AUTOMATICAS",C471)),0,IF(ISNUMBER(FIND("APL APLIC AUT MAIS",C471)),0,IF(ISNUMBER(FIND("TEC DEPOSITO",C471)),0,IF(E471&gt;0,0,E471*(-1))))))))</f>
        <v>0</v>
      </c>
      <c r="G471" s="60" t="n">
        <f aca="false">IF(ISNUMBER(FIND("SALDO ANTERIOR",C471)),0,IF(ISNUMBER(FIND("SALDO DO DIA",C471)),0,IF(ISNUMBER(FIND("SDO CTA/APL AUTOMATICAS",C471)),0,IF(ISNUMBER(FIND("TEC DEPOSITO",C471)),0,IF(ISNUMBER(FIND("APL APLIC AUT MAIS",C471)),E471,IF(E471&gt;0,E471,0))))))</f>
        <v>0</v>
      </c>
      <c r="H471" s="33" t="n">
        <v>44348</v>
      </c>
    </row>
    <row r="472" customFormat="false" ht="15.8" hidden="false" customHeight="false" outlineLevel="0" collapsed="false">
      <c r="A472" s="30" t="s">
        <v>66</v>
      </c>
      <c r="B472" s="22" t="s">
        <v>397</v>
      </c>
      <c r="C472" s="22" t="s">
        <v>67</v>
      </c>
      <c r="D472" s="69"/>
      <c r="E472" s="71" t="n">
        <v>-1.02</v>
      </c>
      <c r="F472" s="59" t="n">
        <f aca="false">IF(ISNUMBER(FIND("SALDO ANTERIOR",C472)),0,IF(ISNUMBER(FIND("SALDO DO DIA",C472)),0,IF(ISNUMBER(FIND("SALDO PARCIAL",C472)),0,IF(ISNUMBER(FIND("SDO CTA/APL AUTOMATICAS",C472)),0,IF(ISNUMBER(FIND("APL APLIC AUT MAIS",C472)),0,IF(ISNUMBER(FIND("TEC DEPOSITO",C472)),0,IF(E472&gt;0,0,E472*(-1))))))))</f>
        <v>1.02</v>
      </c>
      <c r="G472" s="60" t="n">
        <f aca="false">IF(ISNUMBER(FIND("SALDO ANTERIOR",C472)),0,IF(ISNUMBER(FIND("SALDO DO DIA",C472)),0,IF(ISNUMBER(FIND("SDO CTA/APL AUTOMATICAS",C472)),0,IF(ISNUMBER(FIND("TEC DEPOSITO",C472)),0,IF(ISNUMBER(FIND("APL APLIC AUT MAIS",C472)),E472,IF(E472&gt;0,E472,0))))))</f>
        <v>0</v>
      </c>
      <c r="H472" s="33" t="n">
        <v>44348</v>
      </c>
    </row>
    <row r="473" customFormat="false" ht="17" hidden="false" customHeight="false" outlineLevel="0" collapsed="false">
      <c r="A473" s="30" t="s">
        <v>31</v>
      </c>
      <c r="B473" s="22" t="s">
        <v>397</v>
      </c>
      <c r="C473" s="68" t="s">
        <v>120</v>
      </c>
      <c r="D473" s="69"/>
      <c r="E473" s="70"/>
      <c r="F473" s="59" t="n">
        <f aca="false">IF(ISNUMBER(FIND("SALDO ANTERIOR",C473)),0,IF(ISNUMBER(FIND("SALDO DO DIA",C473)),0,IF(ISNUMBER(FIND("SALDO PARCIAL",C473)),0,IF(ISNUMBER(FIND("SDO CTA/APL AUTOMATICAS",C473)),0,IF(ISNUMBER(FIND("APL APLIC AUT MAIS",C473)),0,IF(ISNUMBER(FIND("TEC DEPOSITO",C473)),0,IF(E473&gt;0,0,E473*(-1))))))))</f>
        <v>0</v>
      </c>
      <c r="G473" s="60" t="n">
        <f aca="false">IF(ISNUMBER(FIND("SALDO ANTERIOR",C473)),0,IF(ISNUMBER(FIND("SALDO DO DIA",C473)),0,IF(ISNUMBER(FIND("SDO CTA/APL AUTOMATICAS",C473)),0,IF(ISNUMBER(FIND("TEC DEPOSITO",C473)),0,IF(ISNUMBER(FIND("APL APLIC AUT MAIS",C473)),E473,IF(E473&gt;0,E473,0))))))</f>
        <v>0</v>
      </c>
      <c r="H473" s="33" t="n">
        <v>44348</v>
      </c>
    </row>
    <row r="474" customFormat="false" ht="15.8" hidden="false" customHeight="false" outlineLevel="0" collapsed="false">
      <c r="A474" s="30" t="s">
        <v>59</v>
      </c>
      <c r="B474" s="22" t="s">
        <v>398</v>
      </c>
      <c r="C474" s="22" t="s">
        <v>393</v>
      </c>
      <c r="D474" s="69" t="s">
        <v>56</v>
      </c>
      <c r="E474" s="71" t="n">
        <v>-11.5</v>
      </c>
      <c r="F474" s="59" t="n">
        <f aca="false">IF(ISNUMBER(FIND("SALDO ANTERIOR",C474)),0,IF(ISNUMBER(FIND("SALDO DO DIA",C474)),0,IF(ISNUMBER(FIND("SALDO PARCIAL",C474)),0,IF(ISNUMBER(FIND("SDO CTA/APL AUTOMATICAS",C474)),0,IF(ISNUMBER(FIND("APL APLIC AUT MAIS",C474)),0,IF(ISNUMBER(FIND("TEC DEPOSITO",C474)),0,IF(E474&gt;0,0,E474*(-1))))))))</f>
        <v>11.5</v>
      </c>
      <c r="G474" s="60" t="n">
        <f aca="false">IF(ISNUMBER(FIND("SALDO ANTERIOR",C474)),0,IF(ISNUMBER(FIND("SALDO DO DIA",C474)),0,IF(ISNUMBER(FIND("SDO CTA/APL AUTOMATICAS",C474)),0,IF(ISNUMBER(FIND("TEC DEPOSITO",C474)),0,IF(ISNUMBER(FIND("APL APLIC AUT MAIS",C474)),E474,IF(E474&gt;0,E474,0))))))</f>
        <v>0</v>
      </c>
      <c r="H474" s="33" t="n">
        <v>44348</v>
      </c>
    </row>
    <row r="475" customFormat="false" ht="15.8" hidden="false" customHeight="false" outlineLevel="0" collapsed="false">
      <c r="A475" s="30" t="s">
        <v>59</v>
      </c>
      <c r="B475" s="22" t="s">
        <v>398</v>
      </c>
      <c r="C475" s="22" t="s">
        <v>399</v>
      </c>
      <c r="D475" s="69" t="s">
        <v>76</v>
      </c>
      <c r="E475" s="71" t="n">
        <v>-82.9</v>
      </c>
      <c r="F475" s="59" t="n">
        <f aca="false">IF(ISNUMBER(FIND("SALDO ANTERIOR",C475)),0,IF(ISNUMBER(FIND("SALDO DO DIA",C475)),0,IF(ISNUMBER(FIND("SALDO PARCIAL",C475)),0,IF(ISNUMBER(FIND("SDO CTA/APL AUTOMATICAS",C475)),0,IF(ISNUMBER(FIND("APL APLIC AUT MAIS",C475)),0,IF(ISNUMBER(FIND("TEC DEPOSITO",C475)),0,IF(E475&gt;0,0,E475*(-1))))))))</f>
        <v>82.9</v>
      </c>
      <c r="G475" s="60" t="n">
        <f aca="false">IF(ISNUMBER(FIND("SALDO ANTERIOR",C475)),0,IF(ISNUMBER(FIND("SALDO DO DIA",C475)),0,IF(ISNUMBER(FIND("SDO CTA/APL AUTOMATICAS",C475)),0,IF(ISNUMBER(FIND("TEC DEPOSITO",C475)),0,IF(ISNUMBER(FIND("APL APLIC AUT MAIS",C475)),E475,IF(E475&gt;0,E475,0))))))</f>
        <v>0</v>
      </c>
      <c r="H475" s="33" t="n">
        <v>44348</v>
      </c>
    </row>
    <row r="476" customFormat="false" ht="17" hidden="false" customHeight="false" outlineLevel="0" collapsed="false">
      <c r="A476" s="30" t="s">
        <v>31</v>
      </c>
      <c r="B476" s="22" t="s">
        <v>398</v>
      </c>
      <c r="C476" s="68" t="s">
        <v>120</v>
      </c>
      <c r="D476" s="69"/>
      <c r="E476" s="70"/>
      <c r="F476" s="59" t="n">
        <f aca="false">IF(ISNUMBER(FIND("SALDO ANTERIOR",C476)),0,IF(ISNUMBER(FIND("SALDO DO DIA",C476)),0,IF(ISNUMBER(FIND("SALDO PARCIAL",C476)),0,IF(ISNUMBER(FIND("SDO CTA/APL AUTOMATICAS",C476)),0,IF(ISNUMBER(FIND("APL APLIC AUT MAIS",C476)),0,IF(ISNUMBER(FIND("TEC DEPOSITO",C476)),0,IF(E476&gt;0,0,E476*(-1))))))))</f>
        <v>0</v>
      </c>
      <c r="G476" s="60" t="n">
        <f aca="false">IF(ISNUMBER(FIND("SALDO ANTERIOR",C476)),0,IF(ISNUMBER(FIND("SALDO DO DIA",C476)),0,IF(ISNUMBER(FIND("SDO CTA/APL AUTOMATICAS",C476)),0,IF(ISNUMBER(FIND("TEC DEPOSITO",C476)),0,IF(ISNUMBER(FIND("APL APLIC AUT MAIS",C476)),E476,IF(E476&gt;0,E476,0))))))</f>
        <v>0</v>
      </c>
      <c r="H476" s="33" t="n">
        <v>44348</v>
      </c>
    </row>
    <row r="477" customFormat="false" ht="15.8" hidden="false" customHeight="false" outlineLevel="0" collapsed="false">
      <c r="A477" s="30" t="s">
        <v>87</v>
      </c>
      <c r="B477" s="22" t="s">
        <v>400</v>
      </c>
      <c r="C477" s="22" t="s">
        <v>401</v>
      </c>
      <c r="D477" s="69" t="s">
        <v>72</v>
      </c>
      <c r="E477" s="71" t="n">
        <v>-552.32</v>
      </c>
      <c r="F477" s="59" t="n">
        <f aca="false">IF(ISNUMBER(FIND("SALDO ANTERIOR",C477)),0,IF(ISNUMBER(FIND("SALDO DO DIA",C477)),0,IF(ISNUMBER(FIND("SALDO PARCIAL",C477)),0,IF(ISNUMBER(FIND("SDO CTA/APL AUTOMATICAS",C477)),0,IF(ISNUMBER(FIND("APL APLIC AUT MAIS",C477)),0,IF(ISNUMBER(FIND("TEC DEPOSITO",C477)),0,IF(E477&gt;0,0,E477*(-1))))))))</f>
        <v>552.32</v>
      </c>
      <c r="G477" s="60" t="n">
        <f aca="false">IF(ISNUMBER(FIND("SALDO ANTERIOR",C477)),0,IF(ISNUMBER(FIND("SALDO DO DIA",C477)),0,IF(ISNUMBER(FIND("SDO CTA/APL AUTOMATICAS",C477)),0,IF(ISNUMBER(FIND("TEC DEPOSITO",C477)),0,IF(ISNUMBER(FIND("APL APLIC AUT MAIS",C477)),E477,IF(E477&gt;0,E477,0))))))</f>
        <v>0</v>
      </c>
      <c r="H477" s="33" t="n">
        <v>44348</v>
      </c>
    </row>
    <row r="478" customFormat="false" ht="15.8" hidden="false" customHeight="false" outlineLevel="0" collapsed="false">
      <c r="A478" s="30" t="s">
        <v>57</v>
      </c>
      <c r="B478" s="22" t="s">
        <v>400</v>
      </c>
      <c r="C478" s="22" t="s">
        <v>145</v>
      </c>
      <c r="D478" s="69" t="s">
        <v>56</v>
      </c>
      <c r="E478" s="71" t="n">
        <v>-75.44</v>
      </c>
      <c r="F478" s="59" t="n">
        <f aca="false">IF(ISNUMBER(FIND("SALDO ANTERIOR",C478)),0,IF(ISNUMBER(FIND("SALDO DO DIA",C478)),0,IF(ISNUMBER(FIND("SALDO PARCIAL",C478)),0,IF(ISNUMBER(FIND("SDO CTA/APL AUTOMATICAS",C478)),0,IF(ISNUMBER(FIND("APL APLIC AUT MAIS",C478)),0,IF(ISNUMBER(FIND("TEC DEPOSITO",C478)),0,IF(E478&gt;0,0,E478*(-1))))))))</f>
        <v>75.44</v>
      </c>
      <c r="G478" s="60" t="n">
        <f aca="false">IF(ISNUMBER(FIND("SALDO ANTERIOR",C478)),0,IF(ISNUMBER(FIND("SALDO DO DIA",C478)),0,IF(ISNUMBER(FIND("SDO CTA/APL AUTOMATICAS",C478)),0,IF(ISNUMBER(FIND("TEC DEPOSITO",C478)),0,IF(ISNUMBER(FIND("APL APLIC AUT MAIS",C478)),E478,IF(E478&gt;0,E478,0))))))</f>
        <v>0</v>
      </c>
      <c r="H478" s="33" t="n">
        <v>44348</v>
      </c>
    </row>
    <row r="479" customFormat="false" ht="15.8" hidden="false" customHeight="false" outlineLevel="0" collapsed="false">
      <c r="A479" s="30" t="s">
        <v>57</v>
      </c>
      <c r="B479" s="22" t="s">
        <v>400</v>
      </c>
      <c r="C479" s="22" t="s">
        <v>145</v>
      </c>
      <c r="D479" s="69" t="s">
        <v>56</v>
      </c>
      <c r="E479" s="71" t="n">
        <v>-7.95</v>
      </c>
      <c r="F479" s="59" t="n">
        <f aca="false">IF(ISNUMBER(FIND("SALDO ANTERIOR",C479)),0,IF(ISNUMBER(FIND("SALDO DO DIA",C479)),0,IF(ISNUMBER(FIND("SALDO PARCIAL",C479)),0,IF(ISNUMBER(FIND("SDO CTA/APL AUTOMATICAS",C479)),0,IF(ISNUMBER(FIND("APL APLIC AUT MAIS",C479)),0,IF(ISNUMBER(FIND("TEC DEPOSITO",C479)),0,IF(E479&gt;0,0,E479*(-1))))))))</f>
        <v>7.95</v>
      </c>
      <c r="G479" s="60" t="n">
        <f aca="false">IF(ISNUMBER(FIND("SALDO ANTERIOR",C479)),0,IF(ISNUMBER(FIND("SALDO DO DIA",C479)),0,IF(ISNUMBER(FIND("SDO CTA/APL AUTOMATICAS",C479)),0,IF(ISNUMBER(FIND("TEC DEPOSITO",C479)),0,IF(ISNUMBER(FIND("APL APLIC AUT MAIS",C479)),E479,IF(E479&gt;0,E479,0))))))</f>
        <v>0</v>
      </c>
      <c r="H479" s="33" t="n">
        <v>44348</v>
      </c>
    </row>
    <row r="480" customFormat="false" ht="15.8" hidden="false" customHeight="false" outlineLevel="0" collapsed="false">
      <c r="A480" s="30" t="s">
        <v>59</v>
      </c>
      <c r="B480" s="22" t="s">
        <v>400</v>
      </c>
      <c r="C480" s="22" t="s">
        <v>393</v>
      </c>
      <c r="D480" s="69" t="s">
        <v>56</v>
      </c>
      <c r="E480" s="71" t="n">
        <v>-11.7</v>
      </c>
      <c r="F480" s="59" t="n">
        <f aca="false">IF(ISNUMBER(FIND("SALDO ANTERIOR",C480)),0,IF(ISNUMBER(FIND("SALDO DO DIA",C480)),0,IF(ISNUMBER(FIND("SALDO PARCIAL",C480)),0,IF(ISNUMBER(FIND("SDO CTA/APL AUTOMATICAS",C480)),0,IF(ISNUMBER(FIND("APL APLIC AUT MAIS",C480)),0,IF(ISNUMBER(FIND("TEC DEPOSITO",C480)),0,IF(E480&gt;0,0,E480*(-1))))))))</f>
        <v>11.7</v>
      </c>
      <c r="G480" s="60" t="n">
        <f aca="false">IF(ISNUMBER(FIND("SALDO ANTERIOR",C480)),0,IF(ISNUMBER(FIND("SALDO DO DIA",C480)),0,IF(ISNUMBER(FIND("SDO CTA/APL AUTOMATICAS",C480)),0,IF(ISNUMBER(FIND("TEC DEPOSITO",C480)),0,IF(ISNUMBER(FIND("APL APLIC AUT MAIS",C480)),E480,IF(E480&gt;0,E480,0))))))</f>
        <v>0</v>
      </c>
      <c r="H480" s="33" t="n">
        <v>44348</v>
      </c>
    </row>
    <row r="481" customFormat="false" ht="15.8" hidden="false" customHeight="false" outlineLevel="0" collapsed="false">
      <c r="A481" s="30" t="s">
        <v>62</v>
      </c>
      <c r="B481" s="22" t="s">
        <v>400</v>
      </c>
      <c r="C481" s="22" t="s">
        <v>402</v>
      </c>
      <c r="D481" s="69" t="s">
        <v>56</v>
      </c>
      <c r="E481" s="71" t="n">
        <v>-6</v>
      </c>
      <c r="F481" s="59" t="n">
        <f aca="false">IF(ISNUMBER(FIND("SALDO ANTERIOR",C481)),0,IF(ISNUMBER(FIND("SALDO DO DIA",C481)),0,IF(ISNUMBER(FIND("SALDO PARCIAL",C481)),0,IF(ISNUMBER(FIND("SDO CTA/APL AUTOMATICAS",C481)),0,IF(ISNUMBER(FIND("APL APLIC AUT MAIS",C481)),0,IF(ISNUMBER(FIND("TEC DEPOSITO",C481)),0,IF(E481&gt;0,0,E481*(-1))))))))</f>
        <v>6</v>
      </c>
      <c r="G481" s="60" t="n">
        <f aca="false">IF(ISNUMBER(FIND("SALDO ANTERIOR",C481)),0,IF(ISNUMBER(FIND("SALDO DO DIA",C481)),0,IF(ISNUMBER(FIND("SDO CTA/APL AUTOMATICAS",C481)),0,IF(ISNUMBER(FIND("TEC DEPOSITO",C481)),0,IF(ISNUMBER(FIND("APL APLIC AUT MAIS",C481)),E481,IF(E481&gt;0,E481,0))))))</f>
        <v>0</v>
      </c>
      <c r="H481" s="33" t="n">
        <v>44348</v>
      </c>
    </row>
    <row r="482" customFormat="false" ht="15.8" hidden="false" customHeight="false" outlineLevel="0" collapsed="false">
      <c r="A482" s="30" t="s">
        <v>59</v>
      </c>
      <c r="B482" s="22" t="s">
        <v>400</v>
      </c>
      <c r="C482" s="22" t="s">
        <v>403</v>
      </c>
      <c r="D482" s="69" t="s">
        <v>56</v>
      </c>
      <c r="E482" s="71" t="n">
        <v>-27.21</v>
      </c>
      <c r="F482" s="59" t="n">
        <f aca="false">IF(ISNUMBER(FIND("SALDO ANTERIOR",C482)),0,IF(ISNUMBER(FIND("SALDO DO DIA",C482)),0,IF(ISNUMBER(FIND("SALDO PARCIAL",C482)),0,IF(ISNUMBER(FIND("SDO CTA/APL AUTOMATICAS",C482)),0,IF(ISNUMBER(FIND("APL APLIC AUT MAIS",C482)),0,IF(ISNUMBER(FIND("TEC DEPOSITO",C482)),0,IF(E482&gt;0,0,E482*(-1))))))))</f>
        <v>27.21</v>
      </c>
      <c r="G482" s="60" t="n">
        <f aca="false">IF(ISNUMBER(FIND("SALDO ANTERIOR",C482)),0,IF(ISNUMBER(FIND("SALDO DO DIA",C482)),0,IF(ISNUMBER(FIND("SDO CTA/APL AUTOMATICAS",C482)),0,IF(ISNUMBER(FIND("TEC DEPOSITO",C482)),0,IF(ISNUMBER(FIND("APL APLIC AUT MAIS",C482)),E482,IF(E482&gt;0,E482,0))))))</f>
        <v>0</v>
      </c>
      <c r="H482" s="33" t="n">
        <v>44348</v>
      </c>
    </row>
    <row r="483" customFormat="false" ht="15.8" hidden="false" customHeight="false" outlineLevel="0" collapsed="false">
      <c r="A483" s="30" t="s">
        <v>59</v>
      </c>
      <c r="B483" s="22" t="s">
        <v>400</v>
      </c>
      <c r="C483" s="22" t="s">
        <v>404</v>
      </c>
      <c r="D483" s="69" t="s">
        <v>56</v>
      </c>
      <c r="E483" s="71" t="n">
        <v>-9.75</v>
      </c>
      <c r="F483" s="59" t="n">
        <f aca="false">IF(ISNUMBER(FIND("SALDO ANTERIOR",C483)),0,IF(ISNUMBER(FIND("SALDO DO DIA",C483)),0,IF(ISNUMBER(FIND("SALDO PARCIAL",C483)),0,IF(ISNUMBER(FIND("SDO CTA/APL AUTOMATICAS",C483)),0,IF(ISNUMBER(FIND("APL APLIC AUT MAIS",C483)),0,IF(ISNUMBER(FIND("TEC DEPOSITO",C483)),0,IF(E483&gt;0,0,E483*(-1))))))))</f>
        <v>9.75</v>
      </c>
      <c r="G483" s="60" t="n">
        <f aca="false">IF(ISNUMBER(FIND("SALDO ANTERIOR",C483)),0,IF(ISNUMBER(FIND("SALDO DO DIA",C483)),0,IF(ISNUMBER(FIND("SDO CTA/APL AUTOMATICAS",C483)),0,IF(ISNUMBER(FIND("TEC DEPOSITO",C483)),0,IF(ISNUMBER(FIND("APL APLIC AUT MAIS",C483)),E483,IF(E483&gt;0,E483,0))))))</f>
        <v>0</v>
      </c>
      <c r="H483" s="33" t="n">
        <v>44348</v>
      </c>
    </row>
    <row r="484" customFormat="false" ht="15.8" hidden="false" customHeight="false" outlineLevel="0" collapsed="false">
      <c r="A484" s="30" t="s">
        <v>64</v>
      </c>
      <c r="B484" s="22" t="s">
        <v>400</v>
      </c>
      <c r="C484" s="22" t="s">
        <v>246</v>
      </c>
      <c r="D484" s="69" t="s">
        <v>56</v>
      </c>
      <c r="E484" s="71" t="n">
        <v>-132.13</v>
      </c>
      <c r="F484" s="59" t="n">
        <f aca="false">IF(ISNUMBER(FIND("SALDO ANTERIOR",C484)),0,IF(ISNUMBER(FIND("SALDO DO DIA",C484)),0,IF(ISNUMBER(FIND("SALDO PARCIAL",C484)),0,IF(ISNUMBER(FIND("SDO CTA/APL AUTOMATICAS",C484)),0,IF(ISNUMBER(FIND("APL APLIC AUT MAIS",C484)),0,IF(ISNUMBER(FIND("TEC DEPOSITO",C484)),0,IF(E484&gt;0,0,E484*(-1))))))))</f>
        <v>132.13</v>
      </c>
      <c r="G484" s="60" t="n">
        <f aca="false">IF(ISNUMBER(FIND("SALDO ANTERIOR",C484)),0,IF(ISNUMBER(FIND("SALDO DO DIA",C484)),0,IF(ISNUMBER(FIND("SDO CTA/APL AUTOMATICAS",C484)),0,IF(ISNUMBER(FIND("TEC DEPOSITO",C484)),0,IF(ISNUMBER(FIND("APL APLIC AUT MAIS",C484)),E484,IF(E484&gt;0,E484,0))))))</f>
        <v>0</v>
      </c>
      <c r="H484" s="33" t="n">
        <v>44348</v>
      </c>
    </row>
    <row r="485" customFormat="false" ht="15.8" hidden="false" customHeight="false" outlineLevel="0" collapsed="false">
      <c r="A485" s="30" t="s">
        <v>352</v>
      </c>
      <c r="B485" s="22" t="s">
        <v>400</v>
      </c>
      <c r="C485" s="22" t="s">
        <v>405</v>
      </c>
      <c r="D485" s="69" t="s">
        <v>172</v>
      </c>
      <c r="E485" s="71" t="n">
        <v>-100</v>
      </c>
      <c r="F485" s="59" t="n">
        <f aca="false">IF(ISNUMBER(FIND("SALDO ANTERIOR",C485)),0,IF(ISNUMBER(FIND("SALDO DO DIA",C485)),0,IF(ISNUMBER(FIND("SALDO PARCIAL",C485)),0,IF(ISNUMBER(FIND("SDO CTA/APL AUTOMATICAS",C485)),0,IF(ISNUMBER(FIND("APL APLIC AUT MAIS",C485)),0,IF(ISNUMBER(FIND("TEC DEPOSITO",C485)),0,IF(E485&gt;0,0,E485*(-1))))))))</f>
        <v>100</v>
      </c>
      <c r="G485" s="60" t="n">
        <f aca="false">IF(ISNUMBER(FIND("SALDO ANTERIOR",C485)),0,IF(ISNUMBER(FIND("SALDO DO DIA",C485)),0,IF(ISNUMBER(FIND("SDO CTA/APL AUTOMATICAS",C485)),0,IF(ISNUMBER(FIND("TEC DEPOSITO",C485)),0,IF(ISNUMBER(FIND("APL APLIC AUT MAIS",C485)),E485,IF(E485&gt;0,E485,0))))))</f>
        <v>0</v>
      </c>
      <c r="H485" s="33" t="n">
        <v>44348</v>
      </c>
    </row>
    <row r="486" customFormat="false" ht="15.8" hidden="false" customHeight="false" outlineLevel="0" collapsed="false">
      <c r="A486" s="30" t="s">
        <v>5</v>
      </c>
      <c r="B486" s="22" t="s">
        <v>400</v>
      </c>
      <c r="C486" s="22" t="s">
        <v>42</v>
      </c>
      <c r="D486" s="69" t="s">
        <v>172</v>
      </c>
      <c r="E486" s="23" t="n">
        <v>30</v>
      </c>
      <c r="F486" s="59" t="n">
        <f aca="false">IF(ISNUMBER(FIND("SALDO ANTERIOR",C486)),0,IF(ISNUMBER(FIND("SALDO DO DIA",C486)),0,IF(ISNUMBER(FIND("SALDO PARCIAL",C486)),0,IF(ISNUMBER(FIND("SDO CTA/APL AUTOMATICAS",C486)),0,IF(ISNUMBER(FIND("APL APLIC AUT MAIS",C486)),0,IF(ISNUMBER(FIND("TEC DEPOSITO",C486)),0,IF(E486&gt;0,0,E486*(-1))))))))</f>
        <v>0</v>
      </c>
      <c r="G486" s="60" t="n">
        <f aca="false">IF(ISNUMBER(FIND("SALDO ANTERIOR",C486)),0,IF(ISNUMBER(FIND("SALDO DO DIA",C486)),0,IF(ISNUMBER(FIND("SDO CTA/APL AUTOMATICAS",C486)),0,IF(ISNUMBER(FIND("TEC DEPOSITO",C486)),0,IF(ISNUMBER(FIND("APL APLIC AUT MAIS",C486)),E486,IF(E486&gt;0,E486,0))))))</f>
        <v>30</v>
      </c>
      <c r="H486" s="33" t="n">
        <v>44348</v>
      </c>
    </row>
    <row r="487" customFormat="false" ht="17" hidden="false" customHeight="false" outlineLevel="0" collapsed="false">
      <c r="A487" s="30" t="s">
        <v>31</v>
      </c>
      <c r="B487" s="22" t="s">
        <v>400</v>
      </c>
      <c r="C487" s="68" t="s">
        <v>120</v>
      </c>
      <c r="D487" s="69"/>
      <c r="E487" s="70"/>
      <c r="F487" s="59" t="n">
        <f aca="false">IF(ISNUMBER(FIND("SALDO ANTERIOR",C487)),0,IF(ISNUMBER(FIND("SALDO DO DIA",C487)),0,IF(ISNUMBER(FIND("SALDO PARCIAL",C487)),0,IF(ISNUMBER(FIND("SDO CTA/APL AUTOMATICAS",C487)),0,IF(ISNUMBER(FIND("APL APLIC AUT MAIS",C487)),0,IF(ISNUMBER(FIND("TEC DEPOSITO",C487)),0,IF(E487&gt;0,0,E487*(-1))))))))</f>
        <v>0</v>
      </c>
      <c r="G487" s="60" t="n">
        <f aca="false">IF(ISNUMBER(FIND("SALDO ANTERIOR",C487)),0,IF(ISNUMBER(FIND("SALDO DO DIA",C487)),0,IF(ISNUMBER(FIND("SDO CTA/APL AUTOMATICAS",C487)),0,IF(ISNUMBER(FIND("TEC DEPOSITO",C487)),0,IF(ISNUMBER(FIND("APL APLIC AUT MAIS",C487)),E487,IF(E487&gt;0,E487,0))))))</f>
        <v>0</v>
      </c>
      <c r="H487" s="33" t="n">
        <v>44348</v>
      </c>
    </row>
    <row r="488" customFormat="false" ht="15.8" hidden="false" customHeight="false" outlineLevel="0" collapsed="false">
      <c r="A488" s="30" t="s">
        <v>121</v>
      </c>
      <c r="B488" s="22" t="s">
        <v>406</v>
      </c>
      <c r="C488" s="22" t="s">
        <v>407</v>
      </c>
      <c r="D488" s="69" t="s">
        <v>91</v>
      </c>
      <c r="E488" s="71" t="n">
        <v>-100</v>
      </c>
      <c r="F488" s="59" t="n">
        <f aca="false">IF(ISNUMBER(FIND("SALDO ANTERIOR",C488)),0,IF(ISNUMBER(FIND("SALDO DO DIA",C488)),0,IF(ISNUMBER(FIND("SALDO PARCIAL",C488)),0,IF(ISNUMBER(FIND("SDO CTA/APL AUTOMATICAS",C488)),0,IF(ISNUMBER(FIND("APL APLIC AUT MAIS",C488)),0,IF(ISNUMBER(FIND("TEC DEPOSITO",C488)),0,IF(E488&gt;0,0,E488*(-1))))))))</f>
        <v>100</v>
      </c>
      <c r="G488" s="60" t="n">
        <f aca="false">IF(ISNUMBER(FIND("SALDO ANTERIOR",C488)),0,IF(ISNUMBER(FIND("SALDO DO DIA",C488)),0,IF(ISNUMBER(FIND("SDO CTA/APL AUTOMATICAS",C488)),0,IF(ISNUMBER(FIND("TEC DEPOSITO",C488)),0,IF(ISNUMBER(FIND("APL APLIC AUT MAIS",C488)),E488,IF(E488&gt;0,E488,0))))))</f>
        <v>0</v>
      </c>
      <c r="H488" s="33" t="n">
        <v>44348</v>
      </c>
    </row>
    <row r="489" customFormat="false" ht="15.8" hidden="false" customHeight="false" outlineLevel="0" collapsed="false">
      <c r="A489" s="30" t="s">
        <v>53</v>
      </c>
      <c r="B489" s="22" t="s">
        <v>406</v>
      </c>
      <c r="C489" s="22" t="s">
        <v>55</v>
      </c>
      <c r="D489" s="69" t="s">
        <v>56</v>
      </c>
      <c r="E489" s="71" t="n">
        <v>-26.75</v>
      </c>
      <c r="F489" s="59" t="n">
        <f aca="false">IF(ISNUMBER(FIND("SALDO ANTERIOR",C489)),0,IF(ISNUMBER(FIND("SALDO DO DIA",C489)),0,IF(ISNUMBER(FIND("SALDO PARCIAL",C489)),0,IF(ISNUMBER(FIND("SDO CTA/APL AUTOMATICAS",C489)),0,IF(ISNUMBER(FIND("APL APLIC AUT MAIS",C489)),0,IF(ISNUMBER(FIND("TEC DEPOSITO",C489)),0,IF(E489&gt;0,0,E489*(-1))))))))</f>
        <v>26.75</v>
      </c>
      <c r="G489" s="60" t="n">
        <f aca="false">IF(ISNUMBER(FIND("SALDO ANTERIOR",C489)),0,IF(ISNUMBER(FIND("SALDO DO DIA",C489)),0,IF(ISNUMBER(FIND("SDO CTA/APL AUTOMATICAS",C489)),0,IF(ISNUMBER(FIND("TEC DEPOSITO",C489)),0,IF(ISNUMBER(FIND("APL APLIC AUT MAIS",C489)),E489,IF(E489&gt;0,E489,0))))))</f>
        <v>0</v>
      </c>
      <c r="H489" s="33" t="n">
        <v>44348</v>
      </c>
    </row>
    <row r="490" customFormat="false" ht="15.8" hidden="false" customHeight="false" outlineLevel="0" collapsed="false">
      <c r="A490" s="30" t="s">
        <v>59</v>
      </c>
      <c r="B490" s="22" t="s">
        <v>406</v>
      </c>
      <c r="C490" s="22" t="s">
        <v>79</v>
      </c>
      <c r="D490" s="69" t="s">
        <v>56</v>
      </c>
      <c r="E490" s="71" t="n">
        <v>-11</v>
      </c>
      <c r="F490" s="59" t="n">
        <f aca="false">IF(ISNUMBER(FIND("SALDO ANTERIOR",C490)),0,IF(ISNUMBER(FIND("SALDO DO DIA",C490)),0,IF(ISNUMBER(FIND("SALDO PARCIAL",C490)),0,IF(ISNUMBER(FIND("SDO CTA/APL AUTOMATICAS",C490)),0,IF(ISNUMBER(FIND("APL APLIC AUT MAIS",C490)),0,IF(ISNUMBER(FIND("TEC DEPOSITO",C490)),0,IF(E490&gt;0,0,E490*(-1))))))))</f>
        <v>11</v>
      </c>
      <c r="G490" s="60" t="n">
        <f aca="false">IF(ISNUMBER(FIND("SALDO ANTERIOR",C490)),0,IF(ISNUMBER(FIND("SALDO DO DIA",C490)),0,IF(ISNUMBER(FIND("SDO CTA/APL AUTOMATICAS",C490)),0,IF(ISNUMBER(FIND("TEC DEPOSITO",C490)),0,IF(ISNUMBER(FIND("APL APLIC AUT MAIS",C490)),E490,IF(E490&gt;0,E490,0))))))</f>
        <v>0</v>
      </c>
      <c r="H490" s="33" t="n">
        <v>44348</v>
      </c>
    </row>
    <row r="491" customFormat="false" ht="15.8" hidden="false" customHeight="false" outlineLevel="0" collapsed="false">
      <c r="A491" s="30" t="s">
        <v>59</v>
      </c>
      <c r="B491" s="22" t="s">
        <v>406</v>
      </c>
      <c r="C491" s="22" t="s">
        <v>408</v>
      </c>
      <c r="D491" s="69" t="s">
        <v>56</v>
      </c>
      <c r="E491" s="71" t="n">
        <v>-28</v>
      </c>
      <c r="F491" s="59" t="n">
        <f aca="false">IF(ISNUMBER(FIND("SALDO ANTERIOR",C491)),0,IF(ISNUMBER(FIND("SALDO DO DIA",C491)),0,IF(ISNUMBER(FIND("SALDO PARCIAL",C491)),0,IF(ISNUMBER(FIND("SDO CTA/APL AUTOMATICAS",C491)),0,IF(ISNUMBER(FIND("APL APLIC AUT MAIS",C491)),0,IF(ISNUMBER(FIND("TEC DEPOSITO",C491)),0,IF(E491&gt;0,0,E491*(-1))))))))</f>
        <v>28</v>
      </c>
      <c r="G491" s="60" t="n">
        <f aca="false">IF(ISNUMBER(FIND("SALDO ANTERIOR",C491)),0,IF(ISNUMBER(FIND("SALDO DO DIA",C491)),0,IF(ISNUMBER(FIND("SDO CTA/APL AUTOMATICAS",C491)),0,IF(ISNUMBER(FIND("TEC DEPOSITO",C491)),0,IF(ISNUMBER(FIND("APL APLIC AUT MAIS",C491)),E491,IF(E491&gt;0,E491,0))))))</f>
        <v>0</v>
      </c>
      <c r="H491" s="33" t="n">
        <v>44348</v>
      </c>
    </row>
    <row r="492" customFormat="false" ht="15.8" hidden="false" customHeight="false" outlineLevel="0" collapsed="false">
      <c r="A492" s="30" t="s">
        <v>59</v>
      </c>
      <c r="B492" s="22" t="s">
        <v>406</v>
      </c>
      <c r="C492" s="22" t="s">
        <v>127</v>
      </c>
      <c r="D492" s="69" t="s">
        <v>56</v>
      </c>
      <c r="E492" s="71" t="n">
        <v>-10.99</v>
      </c>
      <c r="F492" s="59" t="n">
        <f aca="false">IF(ISNUMBER(FIND("SALDO ANTERIOR",C492)),0,IF(ISNUMBER(FIND("SALDO DO DIA",C492)),0,IF(ISNUMBER(FIND("SALDO PARCIAL",C492)),0,IF(ISNUMBER(FIND("SDO CTA/APL AUTOMATICAS",C492)),0,IF(ISNUMBER(FIND("APL APLIC AUT MAIS",C492)),0,IF(ISNUMBER(FIND("TEC DEPOSITO",C492)),0,IF(E492&gt;0,0,E492*(-1))))))))</f>
        <v>10.99</v>
      </c>
      <c r="G492" s="60" t="n">
        <f aca="false">IF(ISNUMBER(FIND("SALDO ANTERIOR",C492)),0,IF(ISNUMBER(FIND("SALDO DO DIA",C492)),0,IF(ISNUMBER(FIND("SDO CTA/APL AUTOMATICAS",C492)),0,IF(ISNUMBER(FIND("TEC DEPOSITO",C492)),0,IF(ISNUMBER(FIND("APL APLIC AUT MAIS",C492)),E492,IF(E492&gt;0,E492,0))))))</f>
        <v>0</v>
      </c>
      <c r="H492" s="33" t="n">
        <v>44348</v>
      </c>
    </row>
    <row r="493" customFormat="false" ht="15.8" hidden="false" customHeight="false" outlineLevel="0" collapsed="false">
      <c r="A493" s="30" t="s">
        <v>103</v>
      </c>
      <c r="B493" s="22" t="s">
        <v>406</v>
      </c>
      <c r="C493" s="22" t="s">
        <v>130</v>
      </c>
      <c r="D493" s="69" t="s">
        <v>56</v>
      </c>
      <c r="E493" s="71" t="n">
        <v>-50</v>
      </c>
      <c r="F493" s="59" t="n">
        <f aca="false">IF(ISNUMBER(FIND("SALDO ANTERIOR",C493)),0,IF(ISNUMBER(FIND("SALDO DO DIA",C493)),0,IF(ISNUMBER(FIND("SALDO PARCIAL",C493)),0,IF(ISNUMBER(FIND("SDO CTA/APL AUTOMATICAS",C493)),0,IF(ISNUMBER(FIND("APL APLIC AUT MAIS",C493)),0,IF(ISNUMBER(FIND("TEC DEPOSITO",C493)),0,IF(E493&gt;0,0,E493*(-1))))))))</f>
        <v>50</v>
      </c>
      <c r="G493" s="60" t="n">
        <f aca="false">IF(ISNUMBER(FIND("SALDO ANTERIOR",C493)),0,IF(ISNUMBER(FIND("SALDO DO DIA",C493)),0,IF(ISNUMBER(FIND("SDO CTA/APL AUTOMATICAS",C493)),0,IF(ISNUMBER(FIND("TEC DEPOSITO",C493)),0,IF(ISNUMBER(FIND("APL APLIC AUT MAIS",C493)),E493,IF(E493&gt;0,E493,0))))))</f>
        <v>0</v>
      </c>
      <c r="H493" s="33" t="n">
        <v>44348</v>
      </c>
    </row>
    <row r="494" customFormat="false" ht="15.8" hidden="false" customHeight="false" outlineLevel="0" collapsed="false">
      <c r="A494" s="30" t="s">
        <v>59</v>
      </c>
      <c r="B494" s="22" t="s">
        <v>406</v>
      </c>
      <c r="C494" s="22" t="s">
        <v>409</v>
      </c>
      <c r="D494" s="69" t="s">
        <v>56</v>
      </c>
      <c r="E494" s="71" t="n">
        <v>-13</v>
      </c>
      <c r="F494" s="59" t="n">
        <f aca="false">IF(ISNUMBER(FIND("SALDO ANTERIOR",C494)),0,IF(ISNUMBER(FIND("SALDO DO DIA",C494)),0,IF(ISNUMBER(FIND("SALDO PARCIAL",C494)),0,IF(ISNUMBER(FIND("SDO CTA/APL AUTOMATICAS",C494)),0,IF(ISNUMBER(FIND("APL APLIC AUT MAIS",C494)),0,IF(ISNUMBER(FIND("TEC DEPOSITO",C494)),0,IF(E494&gt;0,0,E494*(-1))))))))</f>
        <v>13</v>
      </c>
      <c r="G494" s="60" t="n">
        <f aca="false">IF(ISNUMBER(FIND("SALDO ANTERIOR",C494)),0,IF(ISNUMBER(FIND("SALDO DO DIA",C494)),0,IF(ISNUMBER(FIND("SDO CTA/APL AUTOMATICAS",C494)),0,IF(ISNUMBER(FIND("TEC DEPOSITO",C494)),0,IF(ISNUMBER(FIND("APL APLIC AUT MAIS",C494)),E494,IF(E494&gt;0,E494,0))))))</f>
        <v>0</v>
      </c>
      <c r="H494" s="33" t="n">
        <v>44348</v>
      </c>
    </row>
    <row r="495" customFormat="false" ht="15.8" hidden="false" customHeight="false" outlineLevel="0" collapsed="false">
      <c r="A495" s="30" t="s">
        <v>64</v>
      </c>
      <c r="B495" s="22" t="s">
        <v>406</v>
      </c>
      <c r="C495" s="22" t="s">
        <v>246</v>
      </c>
      <c r="D495" s="69" t="s">
        <v>56</v>
      </c>
      <c r="E495" s="71" t="n">
        <v>-190.33</v>
      </c>
      <c r="F495" s="59" t="n">
        <f aca="false">IF(ISNUMBER(FIND("SALDO ANTERIOR",C495)),0,IF(ISNUMBER(FIND("SALDO DO DIA",C495)),0,IF(ISNUMBER(FIND("SALDO PARCIAL",C495)),0,IF(ISNUMBER(FIND("SDO CTA/APL AUTOMATICAS",C495)),0,IF(ISNUMBER(FIND("APL APLIC AUT MAIS",C495)),0,IF(ISNUMBER(FIND("TEC DEPOSITO",C495)),0,IF(E495&gt;0,0,E495*(-1))))))))</f>
        <v>190.33</v>
      </c>
      <c r="G495" s="60" t="n">
        <f aca="false">IF(ISNUMBER(FIND("SALDO ANTERIOR",C495)),0,IF(ISNUMBER(FIND("SALDO DO DIA",C495)),0,IF(ISNUMBER(FIND("SDO CTA/APL AUTOMATICAS",C495)),0,IF(ISNUMBER(FIND("TEC DEPOSITO",C495)),0,IF(ISNUMBER(FIND("APL APLIC AUT MAIS",C495)),E495,IF(E495&gt;0,E495,0))))))</f>
        <v>0</v>
      </c>
      <c r="H495" s="33" t="n">
        <v>44348</v>
      </c>
    </row>
    <row r="496" customFormat="false" ht="17" hidden="false" customHeight="false" outlineLevel="0" collapsed="false">
      <c r="A496" s="30" t="s">
        <v>31</v>
      </c>
      <c r="B496" s="22" t="s">
        <v>406</v>
      </c>
      <c r="C496" s="68" t="s">
        <v>120</v>
      </c>
      <c r="D496" s="69"/>
      <c r="E496" s="70"/>
      <c r="F496" s="59" t="n">
        <f aca="false">IF(ISNUMBER(FIND("SALDO ANTERIOR",C496)),0,IF(ISNUMBER(FIND("SALDO DO DIA",C496)),0,IF(ISNUMBER(FIND("SALDO PARCIAL",C496)),0,IF(ISNUMBER(FIND("SDO CTA/APL AUTOMATICAS",C496)),0,IF(ISNUMBER(FIND("APL APLIC AUT MAIS",C496)),0,IF(ISNUMBER(FIND("TEC DEPOSITO",C496)),0,IF(E496&gt;0,0,E496*(-1))))))))</f>
        <v>0</v>
      </c>
      <c r="G496" s="60" t="n">
        <f aca="false">IF(ISNUMBER(FIND("SALDO ANTERIOR",C496)),0,IF(ISNUMBER(FIND("SALDO DO DIA",C496)),0,IF(ISNUMBER(FIND("SDO CTA/APL AUTOMATICAS",C496)),0,IF(ISNUMBER(FIND("TEC DEPOSITO",C496)),0,IF(ISNUMBER(FIND("APL APLIC AUT MAIS",C496)),E496,IF(E496&gt;0,E496,0))))))</f>
        <v>0</v>
      </c>
      <c r="H496" s="33" t="n">
        <v>44348</v>
      </c>
    </row>
    <row r="497" customFormat="false" ht="15.8" hidden="false" customHeight="false" outlineLevel="0" collapsed="false">
      <c r="A497" s="30" t="s">
        <v>59</v>
      </c>
      <c r="B497" s="22" t="s">
        <v>410</v>
      </c>
      <c r="C497" s="22" t="s">
        <v>411</v>
      </c>
      <c r="D497" s="69" t="s">
        <v>56</v>
      </c>
      <c r="E497" s="71" t="n">
        <v>-49.98</v>
      </c>
      <c r="F497" s="59" t="n">
        <f aca="false">IF(ISNUMBER(FIND("SALDO ANTERIOR",C497)),0,IF(ISNUMBER(FIND("SALDO DO DIA",C497)),0,IF(ISNUMBER(FIND("SALDO PARCIAL",C497)),0,IF(ISNUMBER(FIND("SDO CTA/APL AUTOMATICAS",C497)),0,IF(ISNUMBER(FIND("APL APLIC AUT MAIS",C497)),0,IF(ISNUMBER(FIND("TEC DEPOSITO",C497)),0,IF(E497&gt;0,0,E497*(-1))))))))</f>
        <v>49.98</v>
      </c>
      <c r="G497" s="60" t="n">
        <f aca="false">IF(ISNUMBER(FIND("SALDO ANTERIOR",C497)),0,IF(ISNUMBER(FIND("SALDO DO DIA",C497)),0,IF(ISNUMBER(FIND("SDO CTA/APL AUTOMATICAS",C497)),0,IF(ISNUMBER(FIND("TEC DEPOSITO",C497)),0,IF(ISNUMBER(FIND("APL APLIC AUT MAIS",C497)),E497,IF(E497&gt;0,E497,0))))))</f>
        <v>0</v>
      </c>
      <c r="H497" s="33" t="n">
        <v>44348</v>
      </c>
    </row>
    <row r="498" customFormat="false" ht="15.8" hidden="false" customHeight="false" outlineLevel="0" collapsed="false">
      <c r="A498" s="30" t="s">
        <v>59</v>
      </c>
      <c r="B498" s="22" t="s">
        <v>410</v>
      </c>
      <c r="C498" s="22" t="s">
        <v>411</v>
      </c>
      <c r="D498" s="69" t="s">
        <v>56</v>
      </c>
      <c r="E498" s="71" t="n">
        <v>-24.99</v>
      </c>
      <c r="F498" s="59" t="n">
        <f aca="false">IF(ISNUMBER(FIND("SALDO ANTERIOR",C498)),0,IF(ISNUMBER(FIND("SALDO DO DIA",C498)),0,IF(ISNUMBER(FIND("SALDO PARCIAL",C498)),0,IF(ISNUMBER(FIND("SDO CTA/APL AUTOMATICAS",C498)),0,IF(ISNUMBER(FIND("APL APLIC AUT MAIS",C498)),0,IF(ISNUMBER(FIND("TEC DEPOSITO",C498)),0,IF(E498&gt;0,0,E498*(-1))))))))</f>
        <v>24.99</v>
      </c>
      <c r="G498" s="60" t="n">
        <f aca="false">IF(ISNUMBER(FIND("SALDO ANTERIOR",C498)),0,IF(ISNUMBER(FIND("SALDO DO DIA",C498)),0,IF(ISNUMBER(FIND("SDO CTA/APL AUTOMATICAS",C498)),0,IF(ISNUMBER(FIND("TEC DEPOSITO",C498)),0,IF(ISNUMBER(FIND("APL APLIC AUT MAIS",C498)),E498,IF(E498&gt;0,E498,0))))))</f>
        <v>0</v>
      </c>
      <c r="H498" s="33" t="n">
        <v>44348</v>
      </c>
    </row>
    <row r="499" customFormat="false" ht="15.8" hidden="false" customHeight="false" outlineLevel="0" collapsed="false">
      <c r="A499" s="30" t="s">
        <v>211</v>
      </c>
      <c r="B499" s="22" t="s">
        <v>410</v>
      </c>
      <c r="C499" s="22" t="s">
        <v>412</v>
      </c>
      <c r="D499" s="69" t="s">
        <v>56</v>
      </c>
      <c r="E499" s="71" t="n">
        <v>-263.93</v>
      </c>
      <c r="F499" s="59" t="n">
        <f aca="false">IF(ISNUMBER(FIND("SALDO ANTERIOR",C499)),0,IF(ISNUMBER(FIND("SALDO DO DIA",C499)),0,IF(ISNUMBER(FIND("SALDO PARCIAL",C499)),0,IF(ISNUMBER(FIND("SDO CTA/APL AUTOMATICAS",C499)),0,IF(ISNUMBER(FIND("APL APLIC AUT MAIS",C499)),0,IF(ISNUMBER(FIND("TEC DEPOSITO",C499)),0,IF(E499&gt;0,0,E499*(-1))))))))</f>
        <v>263.93</v>
      </c>
      <c r="G499" s="60" t="n">
        <f aca="false">IF(ISNUMBER(FIND("SALDO ANTERIOR",C499)),0,IF(ISNUMBER(FIND("SALDO DO DIA",C499)),0,IF(ISNUMBER(FIND("SDO CTA/APL AUTOMATICAS",C499)),0,IF(ISNUMBER(FIND("TEC DEPOSITO",C499)),0,IF(ISNUMBER(FIND("APL APLIC AUT MAIS",C499)),E499,IF(E499&gt;0,E499,0))))))</f>
        <v>0</v>
      </c>
      <c r="H499" s="33" t="n">
        <v>44348</v>
      </c>
    </row>
    <row r="500" customFormat="false" ht="17" hidden="false" customHeight="false" outlineLevel="0" collapsed="false">
      <c r="A500" s="30" t="s">
        <v>31</v>
      </c>
      <c r="B500" s="22" t="s">
        <v>410</v>
      </c>
      <c r="C500" s="68" t="s">
        <v>120</v>
      </c>
      <c r="D500" s="69"/>
      <c r="E500" s="70"/>
      <c r="F500" s="59" t="n">
        <f aca="false">IF(ISNUMBER(FIND("SALDO ANTERIOR",C500)),0,IF(ISNUMBER(FIND("SALDO DO DIA",C500)),0,IF(ISNUMBER(FIND("SALDO PARCIAL",C500)),0,IF(ISNUMBER(FIND("SDO CTA/APL AUTOMATICAS",C500)),0,IF(ISNUMBER(FIND("APL APLIC AUT MAIS",C500)),0,IF(ISNUMBER(FIND("TEC DEPOSITO",C500)),0,IF(E500&gt;0,0,E500*(-1))))))))</f>
        <v>0</v>
      </c>
      <c r="G500" s="60" t="n">
        <f aca="false">IF(ISNUMBER(FIND("SALDO ANTERIOR",C500)),0,IF(ISNUMBER(FIND("SALDO DO DIA",C500)),0,IF(ISNUMBER(FIND("SDO CTA/APL AUTOMATICAS",C500)),0,IF(ISNUMBER(FIND("TEC DEPOSITO",C500)),0,IF(ISNUMBER(FIND("APL APLIC AUT MAIS",C500)),E500,IF(E500&gt;0,E500,0))))))</f>
        <v>0</v>
      </c>
      <c r="H500" s="33" t="n">
        <v>44348</v>
      </c>
    </row>
    <row r="501" customFormat="false" ht="15.8" hidden="false" customHeight="false" outlineLevel="0" collapsed="false">
      <c r="A501" s="30" t="s">
        <v>80</v>
      </c>
      <c r="B501" s="22" t="s">
        <v>413</v>
      </c>
      <c r="C501" s="22" t="s">
        <v>414</v>
      </c>
      <c r="D501" s="69" t="s">
        <v>72</v>
      </c>
      <c r="E501" s="71" t="n">
        <v>-51</v>
      </c>
      <c r="F501" s="59" t="n">
        <f aca="false">IF(ISNUMBER(FIND("SALDO ANTERIOR",C501)),0,IF(ISNUMBER(FIND("SALDO DO DIA",C501)),0,IF(ISNUMBER(FIND("SALDO PARCIAL",C501)),0,IF(ISNUMBER(FIND("SDO CTA/APL AUTOMATICAS",C501)),0,IF(ISNUMBER(FIND("APL APLIC AUT MAIS",C501)),0,IF(ISNUMBER(FIND("TEC DEPOSITO",C501)),0,IF(E501&gt;0,0,E501*(-1))))))))</f>
        <v>51</v>
      </c>
      <c r="G501" s="60" t="n">
        <f aca="false">IF(ISNUMBER(FIND("SALDO ANTERIOR",C501)),0,IF(ISNUMBER(FIND("SALDO DO DIA",C501)),0,IF(ISNUMBER(FIND("SDO CTA/APL AUTOMATICAS",C501)),0,IF(ISNUMBER(FIND("TEC DEPOSITO",C501)),0,IF(ISNUMBER(FIND("APL APLIC AUT MAIS",C501)),E501,IF(E501&gt;0,E501,0))))))</f>
        <v>0</v>
      </c>
      <c r="H501" s="33" t="n">
        <v>44348</v>
      </c>
    </row>
    <row r="502" customFormat="false" ht="15.8" hidden="false" customHeight="false" outlineLevel="0" collapsed="false">
      <c r="A502" s="30" t="s">
        <v>59</v>
      </c>
      <c r="B502" s="22" t="s">
        <v>413</v>
      </c>
      <c r="C502" s="22" t="s">
        <v>393</v>
      </c>
      <c r="D502" s="69" t="s">
        <v>56</v>
      </c>
      <c r="E502" s="71" t="n">
        <v>-13.7</v>
      </c>
      <c r="F502" s="59" t="n">
        <f aca="false">IF(ISNUMBER(FIND("SALDO ANTERIOR",C502)),0,IF(ISNUMBER(FIND("SALDO DO DIA",C502)),0,IF(ISNUMBER(FIND("SALDO PARCIAL",C502)),0,IF(ISNUMBER(FIND("SDO CTA/APL AUTOMATICAS",C502)),0,IF(ISNUMBER(FIND("APL APLIC AUT MAIS",C502)),0,IF(ISNUMBER(FIND("TEC DEPOSITO",C502)),0,IF(E502&gt;0,0,E502*(-1))))))))</f>
        <v>13.7</v>
      </c>
      <c r="G502" s="60" t="n">
        <f aca="false">IF(ISNUMBER(FIND("SALDO ANTERIOR",C502)),0,IF(ISNUMBER(FIND("SALDO DO DIA",C502)),0,IF(ISNUMBER(FIND("SDO CTA/APL AUTOMATICAS",C502)),0,IF(ISNUMBER(FIND("TEC DEPOSITO",C502)),0,IF(ISNUMBER(FIND("APL APLIC AUT MAIS",C502)),E502,IF(E502&gt;0,E502,0))))))</f>
        <v>0</v>
      </c>
      <c r="H502" s="33" t="n">
        <v>44348</v>
      </c>
    </row>
    <row r="503" customFormat="false" ht="15.8" hidden="false" customHeight="false" outlineLevel="0" collapsed="false">
      <c r="A503" s="30" t="s">
        <v>64</v>
      </c>
      <c r="B503" s="22" t="s">
        <v>413</v>
      </c>
      <c r="C503" s="22" t="s">
        <v>205</v>
      </c>
      <c r="D503" s="69" t="s">
        <v>56</v>
      </c>
      <c r="E503" s="71" t="n">
        <v>-68.48</v>
      </c>
      <c r="F503" s="59" t="n">
        <f aca="false">IF(ISNUMBER(FIND("SALDO ANTERIOR",C503)),0,IF(ISNUMBER(FIND("SALDO DO DIA",C503)),0,IF(ISNUMBER(FIND("SALDO PARCIAL",C503)),0,IF(ISNUMBER(FIND("SDO CTA/APL AUTOMATICAS",C503)),0,IF(ISNUMBER(FIND("APL APLIC AUT MAIS",C503)),0,IF(ISNUMBER(FIND("TEC DEPOSITO",C503)),0,IF(E503&gt;0,0,E503*(-1))))))))</f>
        <v>68.48</v>
      </c>
      <c r="G503" s="60" t="n">
        <f aca="false">IF(ISNUMBER(FIND("SALDO ANTERIOR",C503)),0,IF(ISNUMBER(FIND("SALDO DO DIA",C503)),0,IF(ISNUMBER(FIND("SDO CTA/APL AUTOMATICAS",C503)),0,IF(ISNUMBER(FIND("TEC DEPOSITO",C503)),0,IF(ISNUMBER(FIND("APL APLIC AUT MAIS",C503)),E503,IF(E503&gt;0,E503,0))))))</f>
        <v>0</v>
      </c>
      <c r="H503" s="33" t="n">
        <v>44348</v>
      </c>
    </row>
    <row r="504" customFormat="false" ht="15.8" hidden="false" customHeight="false" outlineLevel="0" collapsed="false">
      <c r="A504" s="30" t="s">
        <v>151</v>
      </c>
      <c r="B504" s="22" t="s">
        <v>413</v>
      </c>
      <c r="C504" s="22" t="s">
        <v>415</v>
      </c>
      <c r="D504" s="69" t="s">
        <v>216</v>
      </c>
      <c r="E504" s="71" t="n">
        <v>-25</v>
      </c>
      <c r="F504" s="59" t="n">
        <f aca="false">IF(ISNUMBER(FIND("SALDO ANTERIOR",C504)),0,IF(ISNUMBER(FIND("SALDO DO DIA",C504)),0,IF(ISNUMBER(FIND("SALDO PARCIAL",C504)),0,IF(ISNUMBER(FIND("SDO CTA/APL AUTOMATICAS",C504)),0,IF(ISNUMBER(FIND("APL APLIC AUT MAIS",C504)),0,IF(ISNUMBER(FIND("TEC DEPOSITO",C504)),0,IF(E504&gt;0,0,E504*(-1))))))))</f>
        <v>25</v>
      </c>
      <c r="G504" s="60" t="n">
        <f aca="false">IF(ISNUMBER(FIND("SALDO ANTERIOR",C504)),0,IF(ISNUMBER(FIND("SALDO DO DIA",C504)),0,IF(ISNUMBER(FIND("SDO CTA/APL AUTOMATICAS",C504)),0,IF(ISNUMBER(FIND("TEC DEPOSITO",C504)),0,IF(ISNUMBER(FIND("APL APLIC AUT MAIS",C504)),E504,IF(E504&gt;0,E504,0))))))</f>
        <v>0</v>
      </c>
      <c r="H504" s="33" t="n">
        <v>44348</v>
      </c>
    </row>
    <row r="505" customFormat="false" ht="15.8" hidden="false" customHeight="false" outlineLevel="0" collapsed="false">
      <c r="A505" s="30" t="s">
        <v>69</v>
      </c>
      <c r="B505" s="22" t="s">
        <v>413</v>
      </c>
      <c r="C505" s="22" t="s">
        <v>416</v>
      </c>
      <c r="D505" s="69" t="s">
        <v>417</v>
      </c>
      <c r="E505" s="71" t="n">
        <v>-422</v>
      </c>
      <c r="F505" s="59" t="n">
        <f aca="false">IF(ISNUMBER(FIND("SALDO ANTERIOR",C505)),0,IF(ISNUMBER(FIND("SALDO DO DIA",C505)),0,IF(ISNUMBER(FIND("SALDO PARCIAL",C505)),0,IF(ISNUMBER(FIND("SDO CTA/APL AUTOMATICAS",C505)),0,IF(ISNUMBER(FIND("APL APLIC AUT MAIS",C505)),0,IF(ISNUMBER(FIND("TEC DEPOSITO",C505)),0,IF(E505&gt;0,0,E505*(-1))))))))</f>
        <v>422</v>
      </c>
      <c r="G505" s="60" t="n">
        <f aca="false">IF(ISNUMBER(FIND("SALDO ANTERIOR",C505)),0,IF(ISNUMBER(FIND("SALDO DO DIA",C505)),0,IF(ISNUMBER(FIND("SDO CTA/APL AUTOMATICAS",C505)),0,IF(ISNUMBER(FIND("TEC DEPOSITO",C505)),0,IF(ISNUMBER(FIND("APL APLIC AUT MAIS",C505)),E505,IF(E505&gt;0,E505,0))))))</f>
        <v>0</v>
      </c>
      <c r="H505" s="33" t="n">
        <v>44348</v>
      </c>
    </row>
    <row r="506" customFormat="false" ht="17" hidden="false" customHeight="false" outlineLevel="0" collapsed="false">
      <c r="A506" s="30" t="s">
        <v>31</v>
      </c>
      <c r="B506" s="22" t="s">
        <v>413</v>
      </c>
      <c r="C506" s="68" t="s">
        <v>120</v>
      </c>
      <c r="D506" s="69"/>
      <c r="E506" s="70"/>
      <c r="F506" s="59" t="n">
        <f aca="false">IF(ISNUMBER(FIND("SALDO ANTERIOR",C506)),0,IF(ISNUMBER(FIND("SALDO DO DIA",C506)),0,IF(ISNUMBER(FIND("SALDO PARCIAL",C506)),0,IF(ISNUMBER(FIND("SDO CTA/APL AUTOMATICAS",C506)),0,IF(ISNUMBER(FIND("APL APLIC AUT MAIS",C506)),0,IF(ISNUMBER(FIND("TEC DEPOSITO",C506)),0,IF(E506&gt;0,0,E506*(-1))))))))</f>
        <v>0</v>
      </c>
      <c r="G506" s="60" t="n">
        <f aca="false">IF(ISNUMBER(FIND("SALDO ANTERIOR",C506)),0,IF(ISNUMBER(FIND("SALDO DO DIA",C506)),0,IF(ISNUMBER(FIND("SDO CTA/APL AUTOMATICAS",C506)),0,IF(ISNUMBER(FIND("TEC DEPOSITO",C506)),0,IF(ISNUMBER(FIND("APL APLIC AUT MAIS",C506)),E506,IF(E506&gt;0,E506,0))))))</f>
        <v>0</v>
      </c>
      <c r="H506" s="33" t="n">
        <v>44348</v>
      </c>
    </row>
    <row r="507" customFormat="false" ht="15.8" hidden="false" customHeight="false" outlineLevel="0" collapsed="false">
      <c r="A507" s="30" t="s">
        <v>66</v>
      </c>
      <c r="B507" s="22" t="s">
        <v>418</v>
      </c>
      <c r="C507" s="22" t="s">
        <v>107</v>
      </c>
      <c r="D507" s="69" t="s">
        <v>76</v>
      </c>
      <c r="E507" s="71" t="n">
        <v>-6.94</v>
      </c>
      <c r="F507" s="59" t="n">
        <f aca="false">IF(ISNUMBER(FIND("SALDO ANTERIOR",C507)),0,IF(ISNUMBER(FIND("SALDO DO DIA",C507)),0,IF(ISNUMBER(FIND("SALDO PARCIAL",C507)),0,IF(ISNUMBER(FIND("SDO CTA/APL AUTOMATICAS",C507)),0,IF(ISNUMBER(FIND("APL APLIC AUT MAIS",C507)),0,IF(ISNUMBER(FIND("TEC DEPOSITO",C507)),0,IF(E507&gt;0,0,E507*(-1))))))))</f>
        <v>6.94</v>
      </c>
      <c r="G507" s="60" t="n">
        <f aca="false">IF(ISNUMBER(FIND("SALDO ANTERIOR",C507)),0,IF(ISNUMBER(FIND("SALDO DO DIA",C507)),0,IF(ISNUMBER(FIND("SDO CTA/APL AUTOMATICAS",C507)),0,IF(ISNUMBER(FIND("TEC DEPOSITO",C507)),0,IF(ISNUMBER(FIND("APL APLIC AUT MAIS",C507)),E507,IF(E507&gt;0,E507,0))))))</f>
        <v>0</v>
      </c>
      <c r="H507" s="33" t="n">
        <v>44348</v>
      </c>
    </row>
    <row r="508" customFormat="false" ht="17" hidden="false" customHeight="false" outlineLevel="0" collapsed="false">
      <c r="A508" s="30" t="s">
        <v>31</v>
      </c>
      <c r="B508" s="22" t="s">
        <v>418</v>
      </c>
      <c r="C508" s="68" t="s">
        <v>120</v>
      </c>
      <c r="D508" s="69"/>
      <c r="E508" s="70"/>
      <c r="F508" s="59" t="n">
        <f aca="false">IF(ISNUMBER(FIND("SALDO ANTERIOR",C508)),0,IF(ISNUMBER(FIND("SALDO DO DIA",C508)),0,IF(ISNUMBER(FIND("SALDO PARCIAL",C508)),0,IF(ISNUMBER(FIND("SDO CTA/APL AUTOMATICAS",C508)),0,IF(ISNUMBER(FIND("APL APLIC AUT MAIS",C508)),0,IF(ISNUMBER(FIND("TEC DEPOSITO",C508)),0,IF(E508&gt;0,0,E508*(-1))))))))</f>
        <v>0</v>
      </c>
      <c r="G508" s="60" t="n">
        <f aca="false">IF(ISNUMBER(FIND("SALDO ANTERIOR",C508)),0,IF(ISNUMBER(FIND("SALDO DO DIA",C508)),0,IF(ISNUMBER(FIND("SDO CTA/APL AUTOMATICAS",C508)),0,IF(ISNUMBER(FIND("TEC DEPOSITO",C508)),0,IF(ISNUMBER(FIND("APL APLIC AUT MAIS",C508)),E508,IF(E508&gt;0,E508,0))))))</f>
        <v>0</v>
      </c>
      <c r="H508" s="33" t="n">
        <v>44348</v>
      </c>
    </row>
    <row r="509" customFormat="false" ht="15.8" hidden="false" customHeight="false" outlineLevel="0" collapsed="false">
      <c r="A509" s="30" t="s">
        <v>57</v>
      </c>
      <c r="B509" s="22" t="s">
        <v>419</v>
      </c>
      <c r="C509" s="22" t="s">
        <v>162</v>
      </c>
      <c r="D509" s="69" t="s">
        <v>56</v>
      </c>
      <c r="E509" s="71" t="n">
        <v>-45.58</v>
      </c>
      <c r="F509" s="59" t="n">
        <f aca="false">IF(ISNUMBER(FIND("SALDO ANTERIOR",C509)),0,IF(ISNUMBER(FIND("SALDO DO DIA",C509)),0,IF(ISNUMBER(FIND("SALDO PARCIAL",C509)),0,IF(ISNUMBER(FIND("SDO CTA/APL AUTOMATICAS",C509)),0,IF(ISNUMBER(FIND("APL APLIC AUT MAIS",C509)),0,IF(ISNUMBER(FIND("TEC DEPOSITO",C509)),0,IF(E509&gt;0,0,E509*(-1))))))))</f>
        <v>45.58</v>
      </c>
      <c r="G509" s="60" t="n">
        <f aca="false">IF(ISNUMBER(FIND("SALDO ANTERIOR",C509)),0,IF(ISNUMBER(FIND("SALDO DO DIA",C509)),0,IF(ISNUMBER(FIND("SDO CTA/APL AUTOMATICAS",C509)),0,IF(ISNUMBER(FIND("TEC DEPOSITO",C509)),0,IF(ISNUMBER(FIND("APL APLIC AUT MAIS",C509)),E509,IF(E509&gt;0,E509,0))))))</f>
        <v>0</v>
      </c>
      <c r="H509" s="33" t="n">
        <v>44348</v>
      </c>
    </row>
    <row r="510" customFormat="false" ht="15.8" hidden="false" customHeight="false" outlineLevel="0" collapsed="false">
      <c r="A510" s="30" t="s">
        <v>64</v>
      </c>
      <c r="B510" s="22" t="s">
        <v>419</v>
      </c>
      <c r="C510" s="22" t="s">
        <v>246</v>
      </c>
      <c r="D510" s="69" t="s">
        <v>56</v>
      </c>
      <c r="E510" s="71" t="n">
        <v>-66.9</v>
      </c>
      <c r="F510" s="59" t="n">
        <f aca="false">IF(ISNUMBER(FIND("SALDO ANTERIOR",C510)),0,IF(ISNUMBER(FIND("SALDO DO DIA",C510)),0,IF(ISNUMBER(FIND("SALDO PARCIAL",C510)),0,IF(ISNUMBER(FIND("SDO CTA/APL AUTOMATICAS",C510)),0,IF(ISNUMBER(FIND("APL APLIC AUT MAIS",C510)),0,IF(ISNUMBER(FIND("TEC DEPOSITO",C510)),0,IF(E510&gt;0,0,E510*(-1))))))))</f>
        <v>66.9</v>
      </c>
      <c r="G510" s="60" t="n">
        <f aca="false">IF(ISNUMBER(FIND("SALDO ANTERIOR",C510)),0,IF(ISNUMBER(FIND("SALDO DO DIA",C510)),0,IF(ISNUMBER(FIND("SDO CTA/APL AUTOMATICAS",C510)),0,IF(ISNUMBER(FIND("TEC DEPOSITO",C510)),0,IF(ISNUMBER(FIND("APL APLIC AUT MAIS",C510)),E510,IF(E510&gt;0,E510,0))))))</f>
        <v>0</v>
      </c>
      <c r="H510" s="33" t="n">
        <v>44348</v>
      </c>
    </row>
    <row r="511" customFormat="false" ht="15.8" hidden="false" customHeight="false" outlineLevel="0" collapsed="false">
      <c r="A511" s="30" t="s">
        <v>64</v>
      </c>
      <c r="B511" s="22" t="s">
        <v>419</v>
      </c>
      <c r="C511" s="22" t="s">
        <v>246</v>
      </c>
      <c r="D511" s="69" t="s">
        <v>56</v>
      </c>
      <c r="E511" s="71" t="n">
        <v>-7.38</v>
      </c>
      <c r="F511" s="59" t="n">
        <f aca="false">IF(ISNUMBER(FIND("SALDO ANTERIOR",C511)),0,IF(ISNUMBER(FIND("SALDO DO DIA",C511)),0,IF(ISNUMBER(FIND("SALDO PARCIAL",C511)),0,IF(ISNUMBER(FIND("SDO CTA/APL AUTOMATICAS",C511)),0,IF(ISNUMBER(FIND("APL APLIC AUT MAIS",C511)),0,IF(ISNUMBER(FIND("TEC DEPOSITO",C511)),0,IF(E511&gt;0,0,E511*(-1))))))))</f>
        <v>7.38</v>
      </c>
      <c r="G511" s="60" t="n">
        <f aca="false">IF(ISNUMBER(FIND("SALDO ANTERIOR",C511)),0,IF(ISNUMBER(FIND("SALDO DO DIA",C511)),0,IF(ISNUMBER(FIND("SDO CTA/APL AUTOMATICAS",C511)),0,IF(ISNUMBER(FIND("TEC DEPOSITO",C511)),0,IF(ISNUMBER(FIND("APL APLIC AUT MAIS",C511)),E511,IF(E511&gt;0,E511,0))))))</f>
        <v>0</v>
      </c>
      <c r="H511" s="33" t="n">
        <v>44348</v>
      </c>
    </row>
    <row r="512" customFormat="false" ht="15.8" hidden="false" customHeight="false" outlineLevel="0" collapsed="false">
      <c r="A512" s="30" t="s">
        <v>352</v>
      </c>
      <c r="B512" s="22" t="s">
        <v>419</v>
      </c>
      <c r="C512" s="22" t="s">
        <v>420</v>
      </c>
      <c r="D512" s="69" t="s">
        <v>351</v>
      </c>
      <c r="E512" s="23" t="n">
        <v>5492</v>
      </c>
      <c r="F512" s="59" t="n">
        <f aca="false">IF(ISNUMBER(FIND("SALDO ANTERIOR",C512)),0,IF(ISNUMBER(FIND("SALDO DO DIA",C512)),0,IF(ISNUMBER(FIND("SALDO PARCIAL",C512)),0,IF(ISNUMBER(FIND("SDO CTA/APL AUTOMATICAS",C512)),0,IF(ISNUMBER(FIND("APL APLIC AUT MAIS",C512)),0,IF(ISNUMBER(FIND("TEC DEPOSITO",C512)),0,IF(E512&gt;0,0,E512*(-1))))))))</f>
        <v>0</v>
      </c>
      <c r="G512" s="60" t="n">
        <f aca="false">IF(ISNUMBER(FIND("SALDO ANTERIOR",C512)),0,IF(ISNUMBER(FIND("SALDO DO DIA",C512)),0,IF(ISNUMBER(FIND("SDO CTA/APL AUTOMATICAS",C512)),0,IF(ISNUMBER(FIND("TEC DEPOSITO",C512)),0,IF(ISNUMBER(FIND("APL APLIC AUT MAIS",C512)),E512,IF(E512&gt;0,E512,0))))))</f>
        <v>5492</v>
      </c>
      <c r="H512" s="33" t="n">
        <v>44348</v>
      </c>
    </row>
    <row r="513" customFormat="false" ht="15.8" hidden="false" customHeight="false" outlineLevel="0" collapsed="false">
      <c r="A513" s="30" t="s">
        <v>108</v>
      </c>
      <c r="B513" s="22" t="s">
        <v>419</v>
      </c>
      <c r="C513" s="22" t="s">
        <v>109</v>
      </c>
      <c r="D513" s="69" t="s">
        <v>76</v>
      </c>
      <c r="E513" s="71" t="n">
        <v>-75</v>
      </c>
      <c r="F513" s="59" t="n">
        <f aca="false">IF(ISNUMBER(FIND("SALDO ANTERIOR",C513)),0,IF(ISNUMBER(FIND("SALDO DO DIA",C513)),0,IF(ISNUMBER(FIND("SALDO PARCIAL",C513)),0,IF(ISNUMBER(FIND("SDO CTA/APL AUTOMATICAS",C513)),0,IF(ISNUMBER(FIND("APL APLIC AUT MAIS",C513)),0,IF(ISNUMBER(FIND("TEC DEPOSITO",C513)),0,IF(E513&gt;0,0,E513*(-1))))))))</f>
        <v>75</v>
      </c>
      <c r="G513" s="60" t="n">
        <f aca="false">IF(ISNUMBER(FIND("SALDO ANTERIOR",C513)),0,IF(ISNUMBER(FIND("SALDO DO DIA",C513)),0,IF(ISNUMBER(FIND("SDO CTA/APL AUTOMATICAS",C513)),0,IF(ISNUMBER(FIND("TEC DEPOSITO",C513)),0,IF(ISNUMBER(FIND("APL APLIC AUT MAIS",C513)),E513,IF(E513&gt;0,E513,0))))))</f>
        <v>0</v>
      </c>
      <c r="H513" s="33" t="n">
        <v>44348</v>
      </c>
    </row>
    <row r="514" customFormat="false" ht="17" hidden="false" customHeight="false" outlineLevel="0" collapsed="false">
      <c r="A514" s="30" t="s">
        <v>31</v>
      </c>
      <c r="B514" s="22" t="s">
        <v>419</v>
      </c>
      <c r="C514" s="68" t="s">
        <v>120</v>
      </c>
      <c r="D514" s="69"/>
      <c r="E514" s="70"/>
      <c r="F514" s="59" t="n">
        <f aca="false">IF(ISNUMBER(FIND("SALDO ANTERIOR",C514)),0,IF(ISNUMBER(FIND("SALDO DO DIA",C514)),0,IF(ISNUMBER(FIND("SALDO PARCIAL",C514)),0,IF(ISNUMBER(FIND("SDO CTA/APL AUTOMATICAS",C514)),0,IF(ISNUMBER(FIND("APL APLIC AUT MAIS",C514)),0,IF(ISNUMBER(FIND("TEC DEPOSITO",C514)),0,IF(E514&gt;0,0,E514*(-1))))))))</f>
        <v>0</v>
      </c>
      <c r="G514" s="60" t="n">
        <f aca="false">IF(ISNUMBER(FIND("SALDO ANTERIOR",C514)),0,IF(ISNUMBER(FIND("SALDO DO DIA",C514)),0,IF(ISNUMBER(FIND("SDO CTA/APL AUTOMATICAS",C514)),0,IF(ISNUMBER(FIND("TEC DEPOSITO",C514)),0,IF(ISNUMBER(FIND("APL APLIC AUT MAIS",C514)),E514,IF(E514&gt;0,E514,0))))))</f>
        <v>0</v>
      </c>
      <c r="H514" s="33" t="n">
        <v>44348</v>
      </c>
    </row>
    <row r="515" customFormat="false" ht="15.8" hidden="false" customHeight="false" outlineLevel="0" collapsed="false">
      <c r="A515" s="30" t="s">
        <v>200</v>
      </c>
      <c r="B515" s="22" t="s">
        <v>421</v>
      </c>
      <c r="C515" s="22" t="s">
        <v>422</v>
      </c>
      <c r="D515" s="69" t="s">
        <v>72</v>
      </c>
      <c r="E515" s="71" t="n">
        <v>-471.06</v>
      </c>
      <c r="F515" s="59" t="n">
        <f aca="false">IF(ISNUMBER(FIND("SALDO ANTERIOR",C515)),0,IF(ISNUMBER(FIND("SALDO DO DIA",C515)),0,IF(ISNUMBER(FIND("SALDO PARCIAL",C515)),0,IF(ISNUMBER(FIND("SDO CTA/APL AUTOMATICAS",C515)),0,IF(ISNUMBER(FIND("APL APLIC AUT MAIS",C515)),0,IF(ISNUMBER(FIND("TEC DEPOSITO",C515)),0,IF(E515&gt;0,0,E515*(-1))))))))</f>
        <v>471.06</v>
      </c>
      <c r="G515" s="60" t="n">
        <f aca="false">IF(ISNUMBER(FIND("SALDO ANTERIOR",C515)),0,IF(ISNUMBER(FIND("SALDO DO DIA",C515)),0,IF(ISNUMBER(FIND("SDO CTA/APL AUTOMATICAS",C515)),0,IF(ISNUMBER(FIND("TEC DEPOSITO",C515)),0,IF(ISNUMBER(FIND("APL APLIC AUT MAIS",C515)),E515,IF(E515&gt;0,E515,0))))))</f>
        <v>0</v>
      </c>
      <c r="H515" s="33" t="n">
        <v>44348</v>
      </c>
    </row>
    <row r="516" customFormat="false" ht="15.8" hidden="false" customHeight="false" outlineLevel="0" collapsed="false">
      <c r="A516" s="30" t="s">
        <v>103</v>
      </c>
      <c r="B516" s="22" t="s">
        <v>421</v>
      </c>
      <c r="C516" s="22" t="s">
        <v>423</v>
      </c>
      <c r="D516" s="69" t="s">
        <v>56</v>
      </c>
      <c r="E516" s="71" t="n">
        <v>-26</v>
      </c>
      <c r="F516" s="59" t="n">
        <f aca="false">IF(ISNUMBER(FIND("SALDO ANTERIOR",C516)),0,IF(ISNUMBER(FIND("SALDO DO DIA",C516)),0,IF(ISNUMBER(FIND("SALDO PARCIAL",C516)),0,IF(ISNUMBER(FIND("SDO CTA/APL AUTOMATICAS",C516)),0,IF(ISNUMBER(FIND("APL APLIC AUT MAIS",C516)),0,IF(ISNUMBER(FIND("TEC DEPOSITO",C516)),0,IF(E516&gt;0,0,E516*(-1))))))))</f>
        <v>26</v>
      </c>
      <c r="G516" s="60" t="n">
        <f aca="false">IF(ISNUMBER(FIND("SALDO ANTERIOR",C516)),0,IF(ISNUMBER(FIND("SALDO DO DIA",C516)),0,IF(ISNUMBER(FIND("SDO CTA/APL AUTOMATICAS",C516)),0,IF(ISNUMBER(FIND("TEC DEPOSITO",C516)),0,IF(ISNUMBER(FIND("APL APLIC AUT MAIS",C516)),E516,IF(E516&gt;0,E516,0))))))</f>
        <v>0</v>
      </c>
      <c r="H516" s="33" t="n">
        <v>44348</v>
      </c>
    </row>
    <row r="517" customFormat="false" ht="15.8" hidden="false" customHeight="false" outlineLevel="0" collapsed="false">
      <c r="A517" s="30" t="s">
        <v>59</v>
      </c>
      <c r="B517" s="22" t="s">
        <v>421</v>
      </c>
      <c r="C517" s="22" t="s">
        <v>424</v>
      </c>
      <c r="D517" s="69" t="s">
        <v>56</v>
      </c>
      <c r="E517" s="71" t="n">
        <v>-5</v>
      </c>
      <c r="F517" s="59" t="n">
        <f aca="false">IF(ISNUMBER(FIND("SALDO ANTERIOR",C517)),0,IF(ISNUMBER(FIND("SALDO DO DIA",C517)),0,IF(ISNUMBER(FIND("SALDO PARCIAL",C517)),0,IF(ISNUMBER(FIND("SDO CTA/APL AUTOMATICAS",C517)),0,IF(ISNUMBER(FIND("APL APLIC AUT MAIS",C517)),0,IF(ISNUMBER(FIND("TEC DEPOSITO",C517)),0,IF(E517&gt;0,0,E517*(-1))))))))</f>
        <v>5</v>
      </c>
      <c r="G517" s="60" t="n">
        <f aca="false">IF(ISNUMBER(FIND("SALDO ANTERIOR",C517)),0,IF(ISNUMBER(FIND("SALDO DO DIA",C517)),0,IF(ISNUMBER(FIND("SDO CTA/APL AUTOMATICAS",C517)),0,IF(ISNUMBER(FIND("TEC DEPOSITO",C517)),0,IF(ISNUMBER(FIND("APL APLIC AUT MAIS",C517)),E517,IF(E517&gt;0,E517,0))))))</f>
        <v>0</v>
      </c>
      <c r="H517" s="33" t="n">
        <v>44348</v>
      </c>
    </row>
    <row r="518" customFormat="false" ht="15.8" hidden="false" customHeight="false" outlineLevel="0" collapsed="false">
      <c r="A518" s="30" t="s">
        <v>59</v>
      </c>
      <c r="B518" s="22" t="s">
        <v>421</v>
      </c>
      <c r="C518" s="22" t="s">
        <v>425</v>
      </c>
      <c r="D518" s="69" t="s">
        <v>56</v>
      </c>
      <c r="E518" s="71" t="n">
        <v>-4</v>
      </c>
      <c r="F518" s="59" t="n">
        <f aca="false">IF(ISNUMBER(FIND("SALDO ANTERIOR",C518)),0,IF(ISNUMBER(FIND("SALDO DO DIA",C518)),0,IF(ISNUMBER(FIND("SALDO PARCIAL",C518)),0,IF(ISNUMBER(FIND("SDO CTA/APL AUTOMATICAS",C518)),0,IF(ISNUMBER(FIND("APL APLIC AUT MAIS",C518)),0,IF(ISNUMBER(FIND("TEC DEPOSITO",C518)),0,IF(E518&gt;0,0,E518*(-1))))))))</f>
        <v>4</v>
      </c>
      <c r="G518" s="60" t="n">
        <f aca="false">IF(ISNUMBER(FIND("SALDO ANTERIOR",C518)),0,IF(ISNUMBER(FIND("SALDO DO DIA",C518)),0,IF(ISNUMBER(FIND("SDO CTA/APL AUTOMATICAS",C518)),0,IF(ISNUMBER(FIND("TEC DEPOSITO",C518)),0,IF(ISNUMBER(FIND("APL APLIC AUT MAIS",C518)),E518,IF(E518&gt;0,E518,0))))))</f>
        <v>0</v>
      </c>
      <c r="H518" s="33" t="n">
        <v>44348</v>
      </c>
    </row>
    <row r="519" customFormat="false" ht="15.8" hidden="false" customHeight="false" outlineLevel="0" collapsed="false">
      <c r="A519" s="30" t="s">
        <v>59</v>
      </c>
      <c r="B519" s="22" t="s">
        <v>421</v>
      </c>
      <c r="C519" s="22" t="s">
        <v>127</v>
      </c>
      <c r="D519" s="69" t="s">
        <v>56</v>
      </c>
      <c r="E519" s="71" t="n">
        <v>-24.97</v>
      </c>
      <c r="F519" s="59" t="n">
        <f aca="false">IF(ISNUMBER(FIND("SALDO ANTERIOR",C519)),0,IF(ISNUMBER(FIND("SALDO DO DIA",C519)),0,IF(ISNUMBER(FIND("SALDO PARCIAL",C519)),0,IF(ISNUMBER(FIND("SDO CTA/APL AUTOMATICAS",C519)),0,IF(ISNUMBER(FIND("APL APLIC AUT MAIS",C519)),0,IF(ISNUMBER(FIND("TEC DEPOSITO",C519)),0,IF(E519&gt;0,0,E519*(-1))))))))</f>
        <v>24.97</v>
      </c>
      <c r="G519" s="60" t="n">
        <f aca="false">IF(ISNUMBER(FIND("SALDO ANTERIOR",C519)),0,IF(ISNUMBER(FIND("SALDO DO DIA",C519)),0,IF(ISNUMBER(FIND("SDO CTA/APL AUTOMATICAS",C519)),0,IF(ISNUMBER(FIND("TEC DEPOSITO",C519)),0,IF(ISNUMBER(FIND("APL APLIC AUT MAIS",C519)),E519,IF(E519&gt;0,E519,0))))))</f>
        <v>0</v>
      </c>
      <c r="H519" s="33" t="n">
        <v>44348</v>
      </c>
    </row>
    <row r="520" customFormat="false" ht="15.8" hidden="false" customHeight="false" outlineLevel="0" collapsed="false">
      <c r="A520" s="30" t="s">
        <v>59</v>
      </c>
      <c r="B520" s="22" t="s">
        <v>421</v>
      </c>
      <c r="C520" s="22" t="s">
        <v>426</v>
      </c>
      <c r="D520" s="69" t="s">
        <v>56</v>
      </c>
      <c r="E520" s="71" t="n">
        <v>-3</v>
      </c>
      <c r="F520" s="59" t="n">
        <f aca="false">IF(ISNUMBER(FIND("SALDO ANTERIOR",C520)),0,IF(ISNUMBER(FIND("SALDO DO DIA",C520)),0,IF(ISNUMBER(FIND("SALDO PARCIAL",C520)),0,IF(ISNUMBER(FIND("SDO CTA/APL AUTOMATICAS",C520)),0,IF(ISNUMBER(FIND("APL APLIC AUT MAIS",C520)),0,IF(ISNUMBER(FIND("TEC DEPOSITO",C520)),0,IF(E520&gt;0,0,E520*(-1))))))))</f>
        <v>3</v>
      </c>
      <c r="G520" s="60" t="n">
        <f aca="false">IF(ISNUMBER(FIND("SALDO ANTERIOR",C520)),0,IF(ISNUMBER(FIND("SALDO DO DIA",C520)),0,IF(ISNUMBER(FIND("SDO CTA/APL AUTOMATICAS",C520)),0,IF(ISNUMBER(FIND("TEC DEPOSITO",C520)),0,IF(ISNUMBER(FIND("APL APLIC AUT MAIS",C520)),E520,IF(E520&gt;0,E520,0))))))</f>
        <v>0</v>
      </c>
      <c r="H520" s="33" t="n">
        <v>44348</v>
      </c>
    </row>
    <row r="521" customFormat="false" ht="15.8" hidden="false" customHeight="false" outlineLevel="0" collapsed="false">
      <c r="A521" s="30" t="s">
        <v>59</v>
      </c>
      <c r="B521" s="22" t="s">
        <v>421</v>
      </c>
      <c r="C521" s="22" t="s">
        <v>427</v>
      </c>
      <c r="D521" s="69" t="s">
        <v>56</v>
      </c>
      <c r="E521" s="71" t="n">
        <v>-10</v>
      </c>
      <c r="F521" s="59" t="n">
        <f aca="false">IF(ISNUMBER(FIND("SALDO ANTERIOR",C521)),0,IF(ISNUMBER(FIND("SALDO DO DIA",C521)),0,IF(ISNUMBER(FIND("SALDO PARCIAL",C521)),0,IF(ISNUMBER(FIND("SDO CTA/APL AUTOMATICAS",C521)),0,IF(ISNUMBER(FIND("APL APLIC AUT MAIS",C521)),0,IF(ISNUMBER(FIND("TEC DEPOSITO",C521)),0,IF(E521&gt;0,0,E521*(-1))))))))</f>
        <v>10</v>
      </c>
      <c r="G521" s="60" t="n">
        <f aca="false">IF(ISNUMBER(FIND("SALDO ANTERIOR",C521)),0,IF(ISNUMBER(FIND("SALDO DO DIA",C521)),0,IF(ISNUMBER(FIND("SDO CTA/APL AUTOMATICAS",C521)),0,IF(ISNUMBER(FIND("TEC DEPOSITO",C521)),0,IF(ISNUMBER(FIND("APL APLIC AUT MAIS",C521)),E521,IF(E521&gt;0,E521,0))))))</f>
        <v>0</v>
      </c>
      <c r="H521" s="33" t="n">
        <v>44348</v>
      </c>
    </row>
    <row r="522" customFormat="false" ht="15.8" hidden="false" customHeight="false" outlineLevel="0" collapsed="false">
      <c r="A522" s="30" t="s">
        <v>59</v>
      </c>
      <c r="B522" s="22" t="s">
        <v>421</v>
      </c>
      <c r="C522" s="22" t="s">
        <v>428</v>
      </c>
      <c r="D522" s="69" t="s">
        <v>56</v>
      </c>
      <c r="E522" s="71" t="n">
        <v>-6</v>
      </c>
      <c r="F522" s="59" t="n">
        <f aca="false">IF(ISNUMBER(FIND("SALDO ANTERIOR",C522)),0,IF(ISNUMBER(FIND("SALDO DO DIA",C522)),0,IF(ISNUMBER(FIND("SALDO PARCIAL",C522)),0,IF(ISNUMBER(FIND("SDO CTA/APL AUTOMATICAS",C522)),0,IF(ISNUMBER(FIND("APL APLIC AUT MAIS",C522)),0,IF(ISNUMBER(FIND("TEC DEPOSITO",C522)),0,IF(E522&gt;0,0,E522*(-1))))))))</f>
        <v>6</v>
      </c>
      <c r="G522" s="60" t="n">
        <f aca="false">IF(ISNUMBER(FIND("SALDO ANTERIOR",C522)),0,IF(ISNUMBER(FIND("SALDO DO DIA",C522)),0,IF(ISNUMBER(FIND("SDO CTA/APL AUTOMATICAS",C522)),0,IF(ISNUMBER(FIND("TEC DEPOSITO",C522)),0,IF(ISNUMBER(FIND("APL APLIC AUT MAIS",C522)),E522,IF(E522&gt;0,E522,0))))))</f>
        <v>0</v>
      </c>
      <c r="H522" s="33" t="n">
        <v>44348</v>
      </c>
    </row>
    <row r="523" customFormat="false" ht="15.8" hidden="false" customHeight="false" outlineLevel="0" collapsed="false">
      <c r="A523" s="30" t="s">
        <v>59</v>
      </c>
      <c r="B523" s="22" t="s">
        <v>421</v>
      </c>
      <c r="C523" s="22" t="s">
        <v>429</v>
      </c>
      <c r="D523" s="69" t="s">
        <v>56</v>
      </c>
      <c r="E523" s="71" t="n">
        <v>-5</v>
      </c>
      <c r="F523" s="59" t="n">
        <f aca="false">IF(ISNUMBER(FIND("SALDO ANTERIOR",C523)),0,IF(ISNUMBER(FIND("SALDO DO DIA",C523)),0,IF(ISNUMBER(FIND("SALDO PARCIAL",C523)),0,IF(ISNUMBER(FIND("SDO CTA/APL AUTOMATICAS",C523)),0,IF(ISNUMBER(FIND("APL APLIC AUT MAIS",C523)),0,IF(ISNUMBER(FIND("TEC DEPOSITO",C523)),0,IF(E523&gt;0,0,E523*(-1))))))))</f>
        <v>5</v>
      </c>
      <c r="G523" s="60" t="n">
        <f aca="false">IF(ISNUMBER(FIND("SALDO ANTERIOR",C523)),0,IF(ISNUMBER(FIND("SALDO DO DIA",C523)),0,IF(ISNUMBER(FIND("SDO CTA/APL AUTOMATICAS",C523)),0,IF(ISNUMBER(FIND("TEC DEPOSITO",C523)),0,IF(ISNUMBER(FIND("APL APLIC AUT MAIS",C523)),E523,IF(E523&gt;0,E523,0))))))</f>
        <v>0</v>
      </c>
      <c r="H523" s="33" t="n">
        <v>44348</v>
      </c>
    </row>
    <row r="524" customFormat="false" ht="15.8" hidden="false" customHeight="false" outlineLevel="0" collapsed="false">
      <c r="A524" s="30" t="s">
        <v>59</v>
      </c>
      <c r="B524" s="22" t="s">
        <v>421</v>
      </c>
      <c r="C524" s="22" t="s">
        <v>241</v>
      </c>
      <c r="D524" s="69" t="s">
        <v>56</v>
      </c>
      <c r="E524" s="71" t="n">
        <v>-32</v>
      </c>
      <c r="F524" s="59" t="n">
        <f aca="false">IF(ISNUMBER(FIND("SALDO ANTERIOR",C524)),0,IF(ISNUMBER(FIND("SALDO DO DIA",C524)),0,IF(ISNUMBER(FIND("SALDO PARCIAL",C524)),0,IF(ISNUMBER(FIND("SDO CTA/APL AUTOMATICAS",C524)),0,IF(ISNUMBER(FIND("APL APLIC AUT MAIS",C524)),0,IF(ISNUMBER(FIND("TEC DEPOSITO",C524)),0,IF(E524&gt;0,0,E524*(-1))))))))</f>
        <v>32</v>
      </c>
      <c r="G524" s="60" t="n">
        <f aca="false">IF(ISNUMBER(FIND("SALDO ANTERIOR",C524)),0,IF(ISNUMBER(FIND("SALDO DO DIA",C524)),0,IF(ISNUMBER(FIND("SDO CTA/APL AUTOMATICAS",C524)),0,IF(ISNUMBER(FIND("TEC DEPOSITO",C524)),0,IF(ISNUMBER(FIND("APL APLIC AUT MAIS",C524)),E524,IF(E524&gt;0,E524,0))))))</f>
        <v>0</v>
      </c>
      <c r="H524" s="33" t="n">
        <v>44348</v>
      </c>
    </row>
    <row r="525" customFormat="false" ht="15.8" hidden="false" customHeight="false" outlineLevel="0" collapsed="false">
      <c r="A525" s="30" t="s">
        <v>59</v>
      </c>
      <c r="B525" s="22" t="s">
        <v>421</v>
      </c>
      <c r="C525" s="22" t="s">
        <v>430</v>
      </c>
      <c r="D525" s="69" t="s">
        <v>56</v>
      </c>
      <c r="E525" s="71" t="n">
        <v>-3</v>
      </c>
      <c r="F525" s="59" t="n">
        <f aca="false">IF(ISNUMBER(FIND("SALDO ANTERIOR",C525)),0,IF(ISNUMBER(FIND("SALDO DO DIA",C525)),0,IF(ISNUMBER(FIND("SALDO PARCIAL",C525)),0,IF(ISNUMBER(FIND("SDO CTA/APL AUTOMATICAS",C525)),0,IF(ISNUMBER(FIND("APL APLIC AUT MAIS",C525)),0,IF(ISNUMBER(FIND("TEC DEPOSITO",C525)),0,IF(E525&gt;0,0,E525*(-1))))))))</f>
        <v>3</v>
      </c>
      <c r="G525" s="60" t="n">
        <f aca="false">IF(ISNUMBER(FIND("SALDO ANTERIOR",C525)),0,IF(ISNUMBER(FIND("SALDO DO DIA",C525)),0,IF(ISNUMBER(FIND("SDO CTA/APL AUTOMATICAS",C525)),0,IF(ISNUMBER(FIND("TEC DEPOSITO",C525)),0,IF(ISNUMBER(FIND("APL APLIC AUT MAIS",C525)),E525,IF(E525&gt;0,E525,0))))))</f>
        <v>0</v>
      </c>
      <c r="H525" s="33" t="n">
        <v>44348</v>
      </c>
    </row>
    <row r="526" customFormat="false" ht="15.8" hidden="false" customHeight="false" outlineLevel="0" collapsed="false">
      <c r="A526" s="30" t="s">
        <v>59</v>
      </c>
      <c r="B526" s="22" t="s">
        <v>421</v>
      </c>
      <c r="C526" s="22" t="s">
        <v>431</v>
      </c>
      <c r="D526" s="69" t="s">
        <v>56</v>
      </c>
      <c r="E526" s="71" t="n">
        <v>-10</v>
      </c>
      <c r="F526" s="59" t="n">
        <f aca="false">IF(ISNUMBER(FIND("SALDO ANTERIOR",C526)),0,IF(ISNUMBER(FIND("SALDO DO DIA",C526)),0,IF(ISNUMBER(FIND("SALDO PARCIAL",C526)),0,IF(ISNUMBER(FIND("SDO CTA/APL AUTOMATICAS",C526)),0,IF(ISNUMBER(FIND("APL APLIC AUT MAIS",C526)),0,IF(ISNUMBER(FIND("TEC DEPOSITO",C526)),0,IF(E526&gt;0,0,E526*(-1))))))))</f>
        <v>10</v>
      </c>
      <c r="G526" s="60" t="n">
        <f aca="false">IF(ISNUMBER(FIND("SALDO ANTERIOR",C526)),0,IF(ISNUMBER(FIND("SALDO DO DIA",C526)),0,IF(ISNUMBER(FIND("SDO CTA/APL AUTOMATICAS",C526)),0,IF(ISNUMBER(FIND("TEC DEPOSITO",C526)),0,IF(ISNUMBER(FIND("APL APLIC AUT MAIS",C526)),E526,IF(E526&gt;0,E526,0))))))</f>
        <v>0</v>
      </c>
      <c r="H526" s="33" t="n">
        <v>44348</v>
      </c>
    </row>
    <row r="527" customFormat="false" ht="15.8" hidden="false" customHeight="false" outlineLevel="0" collapsed="false">
      <c r="A527" s="30" t="s">
        <v>59</v>
      </c>
      <c r="B527" s="22" t="s">
        <v>421</v>
      </c>
      <c r="C527" s="22" t="s">
        <v>432</v>
      </c>
      <c r="D527" s="69" t="s">
        <v>56</v>
      </c>
      <c r="E527" s="71" t="n">
        <v>-5</v>
      </c>
      <c r="F527" s="59" t="n">
        <f aca="false">IF(ISNUMBER(FIND("SALDO ANTERIOR",C527)),0,IF(ISNUMBER(FIND("SALDO DO DIA",C527)),0,IF(ISNUMBER(FIND("SALDO PARCIAL",C527)),0,IF(ISNUMBER(FIND("SDO CTA/APL AUTOMATICAS",C527)),0,IF(ISNUMBER(FIND("APL APLIC AUT MAIS",C527)),0,IF(ISNUMBER(FIND("TEC DEPOSITO",C527)),0,IF(E527&gt;0,0,E527*(-1))))))))</f>
        <v>5</v>
      </c>
      <c r="G527" s="60" t="n">
        <f aca="false">IF(ISNUMBER(FIND("SALDO ANTERIOR",C527)),0,IF(ISNUMBER(FIND("SALDO DO DIA",C527)),0,IF(ISNUMBER(FIND("SDO CTA/APL AUTOMATICAS",C527)),0,IF(ISNUMBER(FIND("TEC DEPOSITO",C527)),0,IF(ISNUMBER(FIND("APL APLIC AUT MAIS",C527)),E527,IF(E527&gt;0,E527,0))))))</f>
        <v>0</v>
      </c>
      <c r="H527" s="33" t="n">
        <v>44348</v>
      </c>
    </row>
    <row r="528" customFormat="false" ht="15.8" hidden="false" customHeight="false" outlineLevel="0" collapsed="false">
      <c r="A528" s="30" t="s">
        <v>57</v>
      </c>
      <c r="B528" s="22" t="s">
        <v>421</v>
      </c>
      <c r="C528" s="22" t="s">
        <v>162</v>
      </c>
      <c r="D528" s="69" t="s">
        <v>56</v>
      </c>
      <c r="E528" s="71" t="n">
        <v>-19.9</v>
      </c>
      <c r="F528" s="59" t="n">
        <f aca="false">IF(ISNUMBER(FIND("SALDO ANTERIOR",C528)),0,IF(ISNUMBER(FIND("SALDO DO DIA",C528)),0,IF(ISNUMBER(FIND("SALDO PARCIAL",C528)),0,IF(ISNUMBER(FIND("SDO CTA/APL AUTOMATICAS",C528)),0,IF(ISNUMBER(FIND("APL APLIC AUT MAIS",C528)),0,IF(ISNUMBER(FIND("TEC DEPOSITO",C528)),0,IF(E528&gt;0,0,E528*(-1))))))))</f>
        <v>19.9</v>
      </c>
      <c r="G528" s="60" t="n">
        <f aca="false">IF(ISNUMBER(FIND("SALDO ANTERIOR",C528)),0,IF(ISNUMBER(FIND("SALDO DO DIA",C528)),0,IF(ISNUMBER(FIND("SDO CTA/APL AUTOMATICAS",C528)),0,IF(ISNUMBER(FIND("TEC DEPOSITO",C528)),0,IF(ISNUMBER(FIND("APL APLIC AUT MAIS",C528)),E528,IF(E528&gt;0,E528,0))))))</f>
        <v>0</v>
      </c>
      <c r="H528" s="33" t="n">
        <v>44348</v>
      </c>
    </row>
    <row r="529" customFormat="false" ht="15.8" hidden="false" customHeight="false" outlineLevel="0" collapsed="false">
      <c r="A529" s="30" t="s">
        <v>59</v>
      </c>
      <c r="B529" s="22" t="s">
        <v>421</v>
      </c>
      <c r="C529" s="22" t="s">
        <v>433</v>
      </c>
      <c r="D529" s="69" t="s">
        <v>56</v>
      </c>
      <c r="E529" s="71" t="n">
        <v>-15.9</v>
      </c>
      <c r="F529" s="59" t="n">
        <f aca="false">IF(ISNUMBER(FIND("SALDO ANTERIOR",C529)),0,IF(ISNUMBER(FIND("SALDO DO DIA",C529)),0,IF(ISNUMBER(FIND("SALDO PARCIAL",C529)),0,IF(ISNUMBER(FIND("SDO CTA/APL AUTOMATICAS",C529)),0,IF(ISNUMBER(FIND("APL APLIC AUT MAIS",C529)),0,IF(ISNUMBER(FIND("TEC DEPOSITO",C529)),0,IF(E529&gt;0,0,E529*(-1))))))))</f>
        <v>15.9</v>
      </c>
      <c r="G529" s="60" t="n">
        <f aca="false">IF(ISNUMBER(FIND("SALDO ANTERIOR",C529)),0,IF(ISNUMBER(FIND("SALDO DO DIA",C529)),0,IF(ISNUMBER(FIND("SDO CTA/APL AUTOMATICAS",C529)),0,IF(ISNUMBER(FIND("TEC DEPOSITO",C529)),0,IF(ISNUMBER(FIND("APL APLIC AUT MAIS",C529)),E529,IF(E529&gt;0,E529,0))))))</f>
        <v>0</v>
      </c>
      <c r="H529" s="33" t="n">
        <v>44348</v>
      </c>
    </row>
    <row r="530" customFormat="false" ht="15.8" hidden="false" customHeight="false" outlineLevel="0" collapsed="false">
      <c r="A530" s="30" t="s">
        <v>59</v>
      </c>
      <c r="B530" s="22" t="s">
        <v>421</v>
      </c>
      <c r="C530" s="22" t="s">
        <v>433</v>
      </c>
      <c r="D530" s="69" t="s">
        <v>56</v>
      </c>
      <c r="E530" s="71" t="n">
        <v>-21.89</v>
      </c>
      <c r="F530" s="59" t="n">
        <f aca="false">IF(ISNUMBER(FIND("SALDO ANTERIOR",C530)),0,IF(ISNUMBER(FIND("SALDO DO DIA",C530)),0,IF(ISNUMBER(FIND("SALDO PARCIAL",C530)),0,IF(ISNUMBER(FIND("SDO CTA/APL AUTOMATICAS",C530)),0,IF(ISNUMBER(FIND("APL APLIC AUT MAIS",C530)),0,IF(ISNUMBER(FIND("TEC DEPOSITO",C530)),0,IF(E530&gt;0,0,E530*(-1))))))))</f>
        <v>21.89</v>
      </c>
      <c r="G530" s="60" t="n">
        <f aca="false">IF(ISNUMBER(FIND("SALDO ANTERIOR",C530)),0,IF(ISNUMBER(FIND("SALDO DO DIA",C530)),0,IF(ISNUMBER(FIND("SDO CTA/APL AUTOMATICAS",C530)),0,IF(ISNUMBER(FIND("TEC DEPOSITO",C530)),0,IF(ISNUMBER(FIND("APL APLIC AUT MAIS",C530)),E530,IF(E530&gt;0,E530,0))))))</f>
        <v>0</v>
      </c>
      <c r="H530" s="33" t="n">
        <v>44348</v>
      </c>
    </row>
    <row r="531" customFormat="false" ht="15.8" hidden="false" customHeight="false" outlineLevel="0" collapsed="false">
      <c r="A531" s="30" t="s">
        <v>64</v>
      </c>
      <c r="B531" s="22" t="s">
        <v>421</v>
      </c>
      <c r="C531" s="22" t="s">
        <v>246</v>
      </c>
      <c r="D531" s="69" t="s">
        <v>56</v>
      </c>
      <c r="E531" s="71" t="n">
        <v>-197.51</v>
      </c>
      <c r="F531" s="59" t="n">
        <f aca="false">IF(ISNUMBER(FIND("SALDO ANTERIOR",C531)),0,IF(ISNUMBER(FIND("SALDO DO DIA",C531)),0,IF(ISNUMBER(FIND("SALDO PARCIAL",C531)),0,IF(ISNUMBER(FIND("SDO CTA/APL AUTOMATICAS",C531)),0,IF(ISNUMBER(FIND("APL APLIC AUT MAIS",C531)),0,IF(ISNUMBER(FIND("TEC DEPOSITO",C531)),0,IF(E531&gt;0,0,E531*(-1))))))))</f>
        <v>197.51</v>
      </c>
      <c r="G531" s="60" t="n">
        <f aca="false">IF(ISNUMBER(FIND("SALDO ANTERIOR",C531)),0,IF(ISNUMBER(FIND("SALDO DO DIA",C531)),0,IF(ISNUMBER(FIND("SDO CTA/APL AUTOMATICAS",C531)),0,IF(ISNUMBER(FIND("TEC DEPOSITO",C531)),0,IF(ISNUMBER(FIND("APL APLIC AUT MAIS",C531)),E531,IF(E531&gt;0,E531,0))))))</f>
        <v>0</v>
      </c>
      <c r="H531" s="33" t="n">
        <v>44348</v>
      </c>
    </row>
    <row r="532" customFormat="false" ht="15.8" hidden="false" customHeight="false" outlineLevel="0" collapsed="false">
      <c r="A532" s="30" t="s">
        <v>271</v>
      </c>
      <c r="B532" s="22" t="s">
        <v>421</v>
      </c>
      <c r="C532" s="22" t="s">
        <v>434</v>
      </c>
      <c r="D532" s="69" t="s">
        <v>349</v>
      </c>
      <c r="E532" s="71" t="n">
        <v>-549.2</v>
      </c>
      <c r="F532" s="59" t="n">
        <f aca="false">IF(ISNUMBER(FIND("SALDO ANTERIOR",C532)),0,IF(ISNUMBER(FIND("SALDO DO DIA",C532)),0,IF(ISNUMBER(FIND("SALDO PARCIAL",C532)),0,IF(ISNUMBER(FIND("SDO CTA/APL AUTOMATICAS",C532)),0,IF(ISNUMBER(FIND("APL APLIC AUT MAIS",C532)),0,IF(ISNUMBER(FIND("TEC DEPOSITO",C532)),0,IF(E532&gt;0,0,E532*(-1))))))))</f>
        <v>549.2</v>
      </c>
      <c r="G532" s="60" t="n">
        <f aca="false">IF(ISNUMBER(FIND("SALDO ANTERIOR",C532)),0,IF(ISNUMBER(FIND("SALDO DO DIA",C532)),0,IF(ISNUMBER(FIND("SDO CTA/APL AUTOMATICAS",C532)),0,IF(ISNUMBER(FIND("TEC DEPOSITO",C532)),0,IF(ISNUMBER(FIND("APL APLIC AUT MAIS",C532)),E532,IF(E532&gt;0,E532,0))))))</f>
        <v>0</v>
      </c>
      <c r="H532" s="33" t="n">
        <v>44348</v>
      </c>
    </row>
    <row r="533" customFormat="false" ht="15.8" hidden="false" customHeight="false" outlineLevel="0" collapsed="false">
      <c r="A533" s="30" t="s">
        <v>134</v>
      </c>
      <c r="B533" s="22" t="s">
        <v>421</v>
      </c>
      <c r="C533" s="22" t="s">
        <v>135</v>
      </c>
      <c r="D533" s="69" t="s">
        <v>72</v>
      </c>
      <c r="E533" s="71" t="n">
        <v>-4000</v>
      </c>
      <c r="F533" s="59" t="n">
        <f aca="false">IF(ISNUMBER(FIND("SALDO ANTERIOR",C533)),0,IF(ISNUMBER(FIND("SALDO DO DIA",C533)),0,IF(ISNUMBER(FIND("SALDO PARCIAL",C533)),0,IF(ISNUMBER(FIND("SDO CTA/APL AUTOMATICAS",C533)),0,IF(ISNUMBER(FIND("APL APLIC AUT MAIS",C533)),0,IF(ISNUMBER(FIND("TEC DEPOSITO",C533)),0,IF(E533&gt;0,0,E533*(-1))))))))</f>
        <v>4000</v>
      </c>
      <c r="G533" s="60" t="n">
        <f aca="false">IF(ISNUMBER(FIND("SALDO ANTERIOR",C533)),0,IF(ISNUMBER(FIND("SALDO DO DIA",C533)),0,IF(ISNUMBER(FIND("SDO CTA/APL AUTOMATICAS",C533)),0,IF(ISNUMBER(FIND("TEC DEPOSITO",C533)),0,IF(ISNUMBER(FIND("APL APLIC AUT MAIS",C533)),E533,IF(E533&gt;0,E533,0))))))</f>
        <v>0</v>
      </c>
      <c r="H533" s="33" t="n">
        <v>44348</v>
      </c>
    </row>
    <row r="534" customFormat="false" ht="15.8" hidden="false" customHeight="false" outlineLevel="0" collapsed="false">
      <c r="A534" s="30" t="s">
        <v>31</v>
      </c>
      <c r="B534" s="22" t="s">
        <v>421</v>
      </c>
      <c r="C534" s="22" t="s">
        <v>310</v>
      </c>
      <c r="D534" s="69"/>
      <c r="E534" s="23" t="n">
        <v>0.01</v>
      </c>
      <c r="F534" s="59" t="n">
        <f aca="false">IF(ISNUMBER(FIND("SALDO ANTERIOR",C534)),0,IF(ISNUMBER(FIND("SALDO DO DIA",C534)),0,IF(ISNUMBER(FIND("SALDO PARCIAL",C534)),0,IF(ISNUMBER(FIND("SDO CTA/APL AUTOMATICAS",C534)),0,IF(ISNUMBER(FIND("APL APLIC AUT MAIS",C534)),0,IF(ISNUMBER(FIND("TEC DEPOSITO",C534)),0,IF(E534&gt;0,0,E534*(-1))))))))</f>
        <v>0</v>
      </c>
      <c r="G534" s="60" t="n">
        <f aca="false">IF(ISNUMBER(FIND("SALDO ANTERIOR",C534)),0,IF(ISNUMBER(FIND("SALDO DO DIA",C534)),0,IF(ISNUMBER(FIND("SDO CTA/APL AUTOMATICAS",C534)),0,IF(ISNUMBER(FIND("TEC DEPOSITO",C534)),0,IF(ISNUMBER(FIND("APL APLIC AUT MAIS",C534)),E534,IF(E534&gt;0,E534,0))))))</f>
        <v>0.01</v>
      </c>
      <c r="H534" s="33" t="n">
        <v>44348</v>
      </c>
    </row>
    <row r="535" customFormat="false" ht="17" hidden="false" customHeight="false" outlineLevel="0" collapsed="false">
      <c r="A535" s="30" t="s">
        <v>31</v>
      </c>
      <c r="B535" s="22" t="s">
        <v>421</v>
      </c>
      <c r="C535" s="68" t="s">
        <v>120</v>
      </c>
      <c r="D535" s="69"/>
      <c r="E535" s="70"/>
      <c r="F535" s="59" t="n">
        <f aca="false">IF(ISNUMBER(FIND("SALDO ANTERIOR",C535)),0,IF(ISNUMBER(FIND("SALDO DO DIA",C535)),0,IF(ISNUMBER(FIND("SALDO PARCIAL",C535)),0,IF(ISNUMBER(FIND("SDO CTA/APL AUTOMATICAS",C535)),0,IF(ISNUMBER(FIND("APL APLIC AUT MAIS",C535)),0,IF(ISNUMBER(FIND("TEC DEPOSITO",C535)),0,IF(E535&gt;0,0,E535*(-1))))))))</f>
        <v>0</v>
      </c>
      <c r="G535" s="60" t="n">
        <f aca="false">IF(ISNUMBER(FIND("SALDO ANTERIOR",C535)),0,IF(ISNUMBER(FIND("SALDO DO DIA",C535)),0,IF(ISNUMBER(FIND("SDO CTA/APL AUTOMATICAS",C535)),0,IF(ISNUMBER(FIND("TEC DEPOSITO",C535)),0,IF(ISNUMBER(FIND("APL APLIC AUT MAIS",C535)),E535,IF(E535&gt;0,E535,0))))))</f>
        <v>0</v>
      </c>
      <c r="H535" s="33" t="n">
        <v>44348</v>
      </c>
    </row>
    <row r="536" customFormat="false" ht="15.8" hidden="false" customHeight="false" outlineLevel="0" collapsed="false">
      <c r="A536" s="30" t="s">
        <v>53</v>
      </c>
      <c r="B536" s="22" t="s">
        <v>435</v>
      </c>
      <c r="C536" s="22" t="s">
        <v>55</v>
      </c>
      <c r="D536" s="69" t="s">
        <v>56</v>
      </c>
      <c r="E536" s="71" t="n">
        <v>-12.56</v>
      </c>
      <c r="F536" s="59" t="n">
        <f aca="false">IF(ISNUMBER(FIND("SALDO ANTERIOR",C536)),0,IF(ISNUMBER(FIND("SALDO DO DIA",C536)),0,IF(ISNUMBER(FIND("SALDO PARCIAL",C536)),0,IF(ISNUMBER(FIND("SDO CTA/APL AUTOMATICAS",C536)),0,IF(ISNUMBER(FIND("APL APLIC AUT MAIS",C536)),0,IF(ISNUMBER(FIND("TEC DEPOSITO",C536)),0,IF(E536&gt;0,0,E536*(-1))))))))</f>
        <v>12.56</v>
      </c>
      <c r="G536" s="60" t="n">
        <f aca="false">IF(ISNUMBER(FIND("SALDO ANTERIOR",C536)),0,IF(ISNUMBER(FIND("SALDO DO DIA",C536)),0,IF(ISNUMBER(FIND("SDO CTA/APL AUTOMATICAS",C536)),0,IF(ISNUMBER(FIND("TEC DEPOSITO",C536)),0,IF(ISNUMBER(FIND("APL APLIC AUT MAIS",C536)),E536,IF(E536&gt;0,E536,0))))))</f>
        <v>0</v>
      </c>
      <c r="H536" s="33" t="n">
        <v>44348</v>
      </c>
    </row>
    <row r="537" customFormat="false" ht="17" hidden="false" customHeight="false" outlineLevel="0" collapsed="false">
      <c r="A537" s="30" t="s">
        <v>31</v>
      </c>
      <c r="B537" s="22" t="s">
        <v>435</v>
      </c>
      <c r="C537" s="68" t="s">
        <v>120</v>
      </c>
      <c r="D537" s="69"/>
      <c r="E537" s="70"/>
      <c r="F537" s="59" t="n">
        <f aca="false">IF(ISNUMBER(FIND("SALDO ANTERIOR",C537)),0,IF(ISNUMBER(FIND("SALDO DO DIA",C537)),0,IF(ISNUMBER(FIND("SALDO PARCIAL",C537)),0,IF(ISNUMBER(FIND("SDO CTA/APL AUTOMATICAS",C537)),0,IF(ISNUMBER(FIND("APL APLIC AUT MAIS",C537)),0,IF(ISNUMBER(FIND("TEC DEPOSITO",C537)),0,IF(E537&gt;0,0,E537*(-1))))))))</f>
        <v>0</v>
      </c>
      <c r="G537" s="60" t="n">
        <f aca="false">IF(ISNUMBER(FIND("SALDO ANTERIOR",C537)),0,IF(ISNUMBER(FIND("SALDO DO DIA",C537)),0,IF(ISNUMBER(FIND("SDO CTA/APL AUTOMATICAS",C537)),0,IF(ISNUMBER(FIND("TEC DEPOSITO",C537)),0,IF(ISNUMBER(FIND("APL APLIC AUT MAIS",C537)),E537,IF(E537&gt;0,E537,0))))))</f>
        <v>0</v>
      </c>
      <c r="H537" s="33" t="n">
        <v>44348</v>
      </c>
    </row>
    <row r="538" customFormat="false" ht="15.8" hidden="false" customHeight="false" outlineLevel="0" collapsed="false">
      <c r="A538" s="30" t="s">
        <v>59</v>
      </c>
      <c r="B538" s="22" t="s">
        <v>436</v>
      </c>
      <c r="C538" s="22" t="s">
        <v>393</v>
      </c>
      <c r="D538" s="69" t="s">
        <v>56</v>
      </c>
      <c r="E538" s="71" t="n">
        <v>-24.7</v>
      </c>
      <c r="F538" s="59" t="n">
        <f aca="false">IF(ISNUMBER(FIND("SALDO ANTERIOR",C538)),0,IF(ISNUMBER(FIND("SALDO DO DIA",C538)),0,IF(ISNUMBER(FIND("SALDO PARCIAL",C538)),0,IF(ISNUMBER(FIND("SDO CTA/APL AUTOMATICAS",C538)),0,IF(ISNUMBER(FIND("APL APLIC AUT MAIS",C538)),0,IF(ISNUMBER(FIND("TEC DEPOSITO",C538)),0,IF(E538&gt;0,0,E538*(-1))))))))</f>
        <v>24.7</v>
      </c>
      <c r="G538" s="60" t="n">
        <f aca="false">IF(ISNUMBER(FIND("SALDO ANTERIOR",C538)),0,IF(ISNUMBER(FIND("SALDO DO DIA",C538)),0,IF(ISNUMBER(FIND("SDO CTA/APL AUTOMATICAS",C538)),0,IF(ISNUMBER(FIND("TEC DEPOSITO",C538)),0,IF(ISNUMBER(FIND("APL APLIC AUT MAIS",C538)),E538,IF(E538&gt;0,E538,0))))))</f>
        <v>0</v>
      </c>
      <c r="H538" s="33" t="n">
        <v>44348</v>
      </c>
    </row>
    <row r="539" customFormat="false" ht="15.8" hidden="false" customHeight="false" outlineLevel="0" collapsed="false">
      <c r="A539" s="30" t="s">
        <v>64</v>
      </c>
      <c r="B539" s="22" t="s">
        <v>436</v>
      </c>
      <c r="C539" s="22" t="s">
        <v>246</v>
      </c>
      <c r="D539" s="69" t="s">
        <v>56</v>
      </c>
      <c r="E539" s="71" t="n">
        <v>-112.71</v>
      </c>
      <c r="F539" s="59" t="n">
        <f aca="false">IF(ISNUMBER(FIND("SALDO ANTERIOR",C539)),0,IF(ISNUMBER(FIND("SALDO DO DIA",C539)),0,IF(ISNUMBER(FIND("SALDO PARCIAL",C539)),0,IF(ISNUMBER(FIND("SDO CTA/APL AUTOMATICAS",C539)),0,IF(ISNUMBER(FIND("APL APLIC AUT MAIS",C539)),0,IF(ISNUMBER(FIND("TEC DEPOSITO",C539)),0,IF(E539&gt;0,0,E539*(-1))))))))</f>
        <v>112.71</v>
      </c>
      <c r="G539" s="60" t="n">
        <f aca="false">IF(ISNUMBER(FIND("SALDO ANTERIOR",C539)),0,IF(ISNUMBER(FIND("SALDO DO DIA",C539)),0,IF(ISNUMBER(FIND("SDO CTA/APL AUTOMATICAS",C539)),0,IF(ISNUMBER(FIND("TEC DEPOSITO",C539)),0,IF(ISNUMBER(FIND("APL APLIC AUT MAIS",C539)),E539,IF(E539&gt;0,E539,0))))))</f>
        <v>0</v>
      </c>
      <c r="H539" s="33" t="n">
        <v>44348</v>
      </c>
    </row>
    <row r="540" customFormat="false" ht="17" hidden="false" customHeight="false" outlineLevel="0" collapsed="false">
      <c r="A540" s="30" t="s">
        <v>31</v>
      </c>
      <c r="B540" s="22" t="s">
        <v>436</v>
      </c>
      <c r="C540" s="68" t="s">
        <v>120</v>
      </c>
      <c r="D540" s="69"/>
      <c r="E540" s="70"/>
      <c r="F540" s="59" t="n">
        <f aca="false">IF(ISNUMBER(FIND("SALDO ANTERIOR",C540)),0,IF(ISNUMBER(FIND("SALDO DO DIA",C540)),0,IF(ISNUMBER(FIND("SALDO PARCIAL",C540)),0,IF(ISNUMBER(FIND("SDO CTA/APL AUTOMATICAS",C540)),0,IF(ISNUMBER(FIND("APL APLIC AUT MAIS",C540)),0,IF(ISNUMBER(FIND("TEC DEPOSITO",C540)),0,IF(E540&gt;0,0,E540*(-1))))))))</f>
        <v>0</v>
      </c>
      <c r="G540" s="60" t="n">
        <f aca="false">IF(ISNUMBER(FIND("SALDO ANTERIOR",C540)),0,IF(ISNUMBER(FIND("SALDO DO DIA",C540)),0,IF(ISNUMBER(FIND("SDO CTA/APL AUTOMATICAS",C540)),0,IF(ISNUMBER(FIND("TEC DEPOSITO",C540)),0,IF(ISNUMBER(FIND("APL APLIC AUT MAIS",C540)),E540,IF(E540&gt;0,E540,0))))))</f>
        <v>0</v>
      </c>
      <c r="H540" s="33" t="n">
        <v>44348</v>
      </c>
    </row>
    <row r="541" customFormat="false" ht="15.8" hidden="false" customHeight="false" outlineLevel="0" collapsed="false">
      <c r="A541" s="30" t="s">
        <v>80</v>
      </c>
      <c r="B541" s="22" t="s">
        <v>437</v>
      </c>
      <c r="C541" s="22" t="s">
        <v>438</v>
      </c>
      <c r="D541" s="69" t="s">
        <v>72</v>
      </c>
      <c r="E541" s="71" t="n">
        <v>-85</v>
      </c>
      <c r="F541" s="59" t="n">
        <f aca="false">IF(ISNUMBER(FIND("SALDO ANTERIOR",C541)),0,IF(ISNUMBER(FIND("SALDO DO DIA",C541)),0,IF(ISNUMBER(FIND("SALDO PARCIAL",C541)),0,IF(ISNUMBER(FIND("SDO CTA/APL AUTOMATICAS",C541)),0,IF(ISNUMBER(FIND("APL APLIC AUT MAIS",C541)),0,IF(ISNUMBER(FIND("TEC DEPOSITO",C541)),0,IF(E541&gt;0,0,E541*(-1))))))))</f>
        <v>85</v>
      </c>
      <c r="G541" s="60" t="n">
        <f aca="false">IF(ISNUMBER(FIND("SALDO ANTERIOR",C541)),0,IF(ISNUMBER(FIND("SALDO DO DIA",C541)),0,IF(ISNUMBER(FIND("SDO CTA/APL AUTOMATICAS",C541)),0,IF(ISNUMBER(FIND("TEC DEPOSITO",C541)),0,IF(ISNUMBER(FIND("APL APLIC AUT MAIS",C541)),E541,IF(E541&gt;0,E541,0))))))</f>
        <v>0</v>
      </c>
      <c r="H541" s="33" t="n">
        <v>44348</v>
      </c>
    </row>
    <row r="542" customFormat="false" ht="15.8" hidden="false" customHeight="false" outlineLevel="0" collapsed="false">
      <c r="A542" s="30" t="s">
        <v>53</v>
      </c>
      <c r="B542" s="22" t="s">
        <v>437</v>
      </c>
      <c r="C542" s="22" t="s">
        <v>55</v>
      </c>
      <c r="D542" s="69" t="s">
        <v>56</v>
      </c>
      <c r="E542" s="71" t="n">
        <v>-4.21</v>
      </c>
      <c r="F542" s="59" t="n">
        <f aca="false">IF(ISNUMBER(FIND("SALDO ANTERIOR",C542)),0,IF(ISNUMBER(FIND("SALDO DO DIA",C542)),0,IF(ISNUMBER(FIND("SALDO PARCIAL",C542)),0,IF(ISNUMBER(FIND("SDO CTA/APL AUTOMATICAS",C542)),0,IF(ISNUMBER(FIND("APL APLIC AUT MAIS",C542)),0,IF(ISNUMBER(FIND("TEC DEPOSITO",C542)),0,IF(E542&gt;0,0,E542*(-1))))))))</f>
        <v>4.21</v>
      </c>
      <c r="G542" s="60" t="n">
        <f aca="false">IF(ISNUMBER(FIND("SALDO ANTERIOR",C542)),0,IF(ISNUMBER(FIND("SALDO DO DIA",C542)),0,IF(ISNUMBER(FIND("SDO CTA/APL AUTOMATICAS",C542)),0,IF(ISNUMBER(FIND("TEC DEPOSITO",C542)),0,IF(ISNUMBER(FIND("APL APLIC AUT MAIS",C542)),E542,IF(E542&gt;0,E542,0))))))</f>
        <v>0</v>
      </c>
      <c r="H542" s="33" t="n">
        <v>44348</v>
      </c>
    </row>
    <row r="543" customFormat="false" ht="15.8" hidden="false" customHeight="false" outlineLevel="0" collapsed="false">
      <c r="A543" s="30" t="s">
        <v>57</v>
      </c>
      <c r="B543" s="22" t="s">
        <v>437</v>
      </c>
      <c r="C543" s="22" t="s">
        <v>58</v>
      </c>
      <c r="D543" s="69" t="s">
        <v>56</v>
      </c>
      <c r="E543" s="71" t="n">
        <v>-43.98</v>
      </c>
      <c r="F543" s="59" t="n">
        <f aca="false">IF(ISNUMBER(FIND("SALDO ANTERIOR",C543)),0,IF(ISNUMBER(FIND("SALDO DO DIA",C543)),0,IF(ISNUMBER(FIND("SALDO PARCIAL",C543)),0,IF(ISNUMBER(FIND("SDO CTA/APL AUTOMATICAS",C543)),0,IF(ISNUMBER(FIND("APL APLIC AUT MAIS",C543)),0,IF(ISNUMBER(FIND("TEC DEPOSITO",C543)),0,IF(E543&gt;0,0,E543*(-1))))))))</f>
        <v>43.98</v>
      </c>
      <c r="G543" s="60" t="n">
        <f aca="false">IF(ISNUMBER(FIND("SALDO ANTERIOR",C543)),0,IF(ISNUMBER(FIND("SALDO DO DIA",C543)),0,IF(ISNUMBER(FIND("SDO CTA/APL AUTOMATICAS",C543)),0,IF(ISNUMBER(FIND("TEC DEPOSITO",C543)),0,IF(ISNUMBER(FIND("APL APLIC AUT MAIS",C543)),E543,IF(E543&gt;0,E543,0))))))</f>
        <v>0</v>
      </c>
      <c r="H543" s="33" t="n">
        <v>44348</v>
      </c>
    </row>
    <row r="544" customFormat="false" ht="15.8" hidden="false" customHeight="false" outlineLevel="0" collapsed="false">
      <c r="A544" s="30" t="s">
        <v>57</v>
      </c>
      <c r="B544" s="22" t="s">
        <v>437</v>
      </c>
      <c r="C544" s="22" t="s">
        <v>162</v>
      </c>
      <c r="D544" s="69" t="s">
        <v>56</v>
      </c>
      <c r="E544" s="71" t="n">
        <v>-9.98</v>
      </c>
      <c r="F544" s="59" t="n">
        <f aca="false">IF(ISNUMBER(FIND("SALDO ANTERIOR",C544)),0,IF(ISNUMBER(FIND("SALDO DO DIA",C544)),0,IF(ISNUMBER(FIND("SALDO PARCIAL",C544)),0,IF(ISNUMBER(FIND("SDO CTA/APL AUTOMATICAS",C544)),0,IF(ISNUMBER(FIND("APL APLIC AUT MAIS",C544)),0,IF(ISNUMBER(FIND("TEC DEPOSITO",C544)),0,IF(E544&gt;0,0,E544*(-1))))))))</f>
        <v>9.98</v>
      </c>
      <c r="G544" s="60" t="n">
        <f aca="false">IF(ISNUMBER(FIND("SALDO ANTERIOR",C544)),0,IF(ISNUMBER(FIND("SALDO DO DIA",C544)),0,IF(ISNUMBER(FIND("SDO CTA/APL AUTOMATICAS",C544)),0,IF(ISNUMBER(FIND("TEC DEPOSITO",C544)),0,IF(ISNUMBER(FIND("APL APLIC AUT MAIS",C544)),E544,IF(E544&gt;0,E544,0))))))</f>
        <v>0</v>
      </c>
      <c r="H544" s="33" t="n">
        <v>44348</v>
      </c>
    </row>
    <row r="545" customFormat="false" ht="15.8" hidden="false" customHeight="false" outlineLevel="0" collapsed="false">
      <c r="A545" s="30" t="s">
        <v>64</v>
      </c>
      <c r="B545" s="22" t="s">
        <v>437</v>
      </c>
      <c r="C545" s="22" t="s">
        <v>246</v>
      </c>
      <c r="D545" s="69" t="s">
        <v>56</v>
      </c>
      <c r="E545" s="71" t="n">
        <v>-22.89</v>
      </c>
      <c r="F545" s="59" t="n">
        <f aca="false">IF(ISNUMBER(FIND("SALDO ANTERIOR",C545)),0,IF(ISNUMBER(FIND("SALDO DO DIA",C545)),0,IF(ISNUMBER(FIND("SALDO PARCIAL",C545)),0,IF(ISNUMBER(FIND("SDO CTA/APL AUTOMATICAS",C545)),0,IF(ISNUMBER(FIND("APL APLIC AUT MAIS",C545)),0,IF(ISNUMBER(FIND("TEC DEPOSITO",C545)),0,IF(E545&gt;0,0,E545*(-1))))))))</f>
        <v>22.89</v>
      </c>
      <c r="G545" s="60" t="n">
        <f aca="false">IF(ISNUMBER(FIND("SALDO ANTERIOR",C545)),0,IF(ISNUMBER(FIND("SALDO DO DIA",C545)),0,IF(ISNUMBER(FIND("SDO CTA/APL AUTOMATICAS",C545)),0,IF(ISNUMBER(FIND("TEC DEPOSITO",C545)),0,IF(ISNUMBER(FIND("APL APLIC AUT MAIS",C545)),E545,IF(E545&gt;0,E545,0))))))</f>
        <v>0</v>
      </c>
      <c r="H545" s="33" t="n">
        <v>44348</v>
      </c>
    </row>
    <row r="546" customFormat="false" ht="15.8" hidden="false" customHeight="false" outlineLevel="0" collapsed="false">
      <c r="A546" s="30" t="s">
        <v>64</v>
      </c>
      <c r="B546" s="22" t="s">
        <v>437</v>
      </c>
      <c r="C546" s="22" t="s">
        <v>246</v>
      </c>
      <c r="D546" s="69" t="s">
        <v>56</v>
      </c>
      <c r="E546" s="71" t="n">
        <v>-157.53</v>
      </c>
      <c r="F546" s="59" t="n">
        <f aca="false">IF(ISNUMBER(FIND("SALDO ANTERIOR",C546)),0,IF(ISNUMBER(FIND("SALDO DO DIA",C546)),0,IF(ISNUMBER(FIND("SALDO PARCIAL",C546)),0,IF(ISNUMBER(FIND("SDO CTA/APL AUTOMATICAS",C546)),0,IF(ISNUMBER(FIND("APL APLIC AUT MAIS",C546)),0,IF(ISNUMBER(FIND("TEC DEPOSITO",C546)),0,IF(E546&gt;0,0,E546*(-1))))))))</f>
        <v>157.53</v>
      </c>
      <c r="G546" s="60" t="n">
        <f aca="false">IF(ISNUMBER(FIND("SALDO ANTERIOR",C546)),0,IF(ISNUMBER(FIND("SALDO DO DIA",C546)),0,IF(ISNUMBER(FIND("SDO CTA/APL AUTOMATICAS",C546)),0,IF(ISNUMBER(FIND("TEC DEPOSITO",C546)),0,IF(ISNUMBER(FIND("APL APLIC AUT MAIS",C546)),E546,IF(E546&gt;0,E546,0))))))</f>
        <v>0</v>
      </c>
      <c r="H546" s="33" t="n">
        <v>44348</v>
      </c>
    </row>
    <row r="547" customFormat="false" ht="15.8" hidden="false" customHeight="false" outlineLevel="0" collapsed="false">
      <c r="A547" s="30" t="s">
        <v>59</v>
      </c>
      <c r="B547" s="22" t="s">
        <v>437</v>
      </c>
      <c r="C547" s="22" t="s">
        <v>439</v>
      </c>
      <c r="D547" s="69" t="s">
        <v>91</v>
      </c>
      <c r="E547" s="71" t="n">
        <v>-20</v>
      </c>
      <c r="F547" s="59" t="n">
        <f aca="false">IF(ISNUMBER(FIND("SALDO ANTERIOR",C547)),0,IF(ISNUMBER(FIND("SALDO DO DIA",C547)),0,IF(ISNUMBER(FIND("SALDO PARCIAL",C547)),0,IF(ISNUMBER(FIND("SDO CTA/APL AUTOMATICAS",C547)),0,IF(ISNUMBER(FIND("APL APLIC AUT MAIS",C547)),0,IF(ISNUMBER(FIND("TEC DEPOSITO",C547)),0,IF(E547&gt;0,0,E547*(-1))))))))</f>
        <v>20</v>
      </c>
      <c r="G547" s="60" t="n">
        <f aca="false">IF(ISNUMBER(FIND("SALDO ANTERIOR",C547)),0,IF(ISNUMBER(FIND("SALDO DO DIA",C547)),0,IF(ISNUMBER(FIND("SDO CTA/APL AUTOMATICAS",C547)),0,IF(ISNUMBER(FIND("TEC DEPOSITO",C547)),0,IF(ISNUMBER(FIND("APL APLIC AUT MAIS",C547)),E547,IF(E547&gt;0,E547,0))))))</f>
        <v>0</v>
      </c>
      <c r="H547" s="33" t="n">
        <v>44348</v>
      </c>
    </row>
    <row r="548" customFormat="false" ht="17" hidden="false" customHeight="false" outlineLevel="0" collapsed="false">
      <c r="A548" s="30" t="s">
        <v>31</v>
      </c>
      <c r="B548" s="22" t="s">
        <v>437</v>
      </c>
      <c r="C548" s="68" t="s">
        <v>120</v>
      </c>
      <c r="D548" s="69"/>
      <c r="E548" s="70"/>
      <c r="F548" s="59" t="n">
        <f aca="false">IF(ISNUMBER(FIND("SALDO ANTERIOR",C548)),0,IF(ISNUMBER(FIND("SALDO DO DIA",C548)),0,IF(ISNUMBER(FIND("SALDO PARCIAL",C548)),0,IF(ISNUMBER(FIND("SDO CTA/APL AUTOMATICAS",C548)),0,IF(ISNUMBER(FIND("APL APLIC AUT MAIS",C548)),0,IF(ISNUMBER(FIND("TEC DEPOSITO",C548)),0,IF(E548&gt;0,0,E548*(-1))))))))</f>
        <v>0</v>
      </c>
      <c r="G548" s="60" t="n">
        <f aca="false">IF(ISNUMBER(FIND("SALDO ANTERIOR",C548)),0,IF(ISNUMBER(FIND("SALDO DO DIA",C548)),0,IF(ISNUMBER(FIND("SDO CTA/APL AUTOMATICAS",C548)),0,IF(ISNUMBER(FIND("TEC DEPOSITO",C548)),0,IF(ISNUMBER(FIND("APL APLIC AUT MAIS",C548)),E548,IF(E548&gt;0,E548,0))))))</f>
        <v>0</v>
      </c>
      <c r="H548" s="33" t="n">
        <v>44348</v>
      </c>
    </row>
    <row r="549" customFormat="false" ht="15.8" hidden="false" customHeight="false" outlineLevel="0" collapsed="false">
      <c r="A549" s="30" t="s">
        <v>53</v>
      </c>
      <c r="B549" s="22" t="s">
        <v>440</v>
      </c>
      <c r="C549" s="22" t="s">
        <v>55</v>
      </c>
      <c r="D549" s="69" t="s">
        <v>56</v>
      </c>
      <c r="E549" s="71" t="n">
        <v>-24.71</v>
      </c>
      <c r="F549" s="59" t="n">
        <f aca="false">IF(ISNUMBER(FIND("SALDO ANTERIOR",C549)),0,IF(ISNUMBER(FIND("SALDO DO DIA",C549)),0,IF(ISNUMBER(FIND("SALDO PARCIAL",C549)),0,IF(ISNUMBER(FIND("SDO CTA/APL AUTOMATICAS",C549)),0,IF(ISNUMBER(FIND("APL APLIC AUT MAIS",C549)),0,IF(ISNUMBER(FIND("TEC DEPOSITO",C549)),0,IF(E549&gt;0,0,E549*(-1))))))))</f>
        <v>24.71</v>
      </c>
      <c r="G549" s="60" t="n">
        <f aca="false">IF(ISNUMBER(FIND("SALDO ANTERIOR",C549)),0,IF(ISNUMBER(FIND("SALDO DO DIA",C549)),0,IF(ISNUMBER(FIND("SDO CTA/APL AUTOMATICAS",C549)),0,IF(ISNUMBER(FIND("TEC DEPOSITO",C549)),0,IF(ISNUMBER(FIND("APL APLIC AUT MAIS",C549)),E549,IF(E549&gt;0,E549,0))))))</f>
        <v>0</v>
      </c>
      <c r="H549" s="33" t="n">
        <v>44348</v>
      </c>
    </row>
    <row r="550" customFormat="false" ht="15.8" hidden="false" customHeight="false" outlineLevel="0" collapsed="false">
      <c r="A550" s="30" t="s">
        <v>59</v>
      </c>
      <c r="B550" s="22" t="s">
        <v>440</v>
      </c>
      <c r="C550" s="22" t="s">
        <v>393</v>
      </c>
      <c r="D550" s="69" t="s">
        <v>56</v>
      </c>
      <c r="E550" s="71" t="n">
        <v>-14.7</v>
      </c>
      <c r="F550" s="59" t="n">
        <f aca="false">IF(ISNUMBER(FIND("SALDO ANTERIOR",C550)),0,IF(ISNUMBER(FIND("SALDO DO DIA",C550)),0,IF(ISNUMBER(FIND("SALDO PARCIAL",C550)),0,IF(ISNUMBER(FIND("SDO CTA/APL AUTOMATICAS",C550)),0,IF(ISNUMBER(FIND("APL APLIC AUT MAIS",C550)),0,IF(ISNUMBER(FIND("TEC DEPOSITO",C550)),0,IF(E550&gt;0,0,E550*(-1))))))))</f>
        <v>14.7</v>
      </c>
      <c r="G550" s="60" t="n">
        <f aca="false">IF(ISNUMBER(FIND("SALDO ANTERIOR",C550)),0,IF(ISNUMBER(FIND("SALDO DO DIA",C550)),0,IF(ISNUMBER(FIND("SDO CTA/APL AUTOMATICAS",C550)),0,IF(ISNUMBER(FIND("TEC DEPOSITO",C550)),0,IF(ISNUMBER(FIND("APL APLIC AUT MAIS",C550)),E550,IF(E550&gt;0,E550,0))))))</f>
        <v>0</v>
      </c>
      <c r="H550" s="33" t="n">
        <v>44348</v>
      </c>
    </row>
    <row r="551" customFormat="false" ht="15.8" hidden="false" customHeight="false" outlineLevel="0" collapsed="false">
      <c r="A551" s="30" t="s">
        <v>271</v>
      </c>
      <c r="B551" s="22" t="s">
        <v>440</v>
      </c>
      <c r="C551" s="22" t="s">
        <v>441</v>
      </c>
      <c r="D551" s="69" t="s">
        <v>442</v>
      </c>
      <c r="E551" s="71" t="n">
        <v>-178.33</v>
      </c>
      <c r="F551" s="59" t="n">
        <f aca="false">IF(ISNUMBER(FIND("SALDO ANTERIOR",C551)),0,IF(ISNUMBER(FIND("SALDO DO DIA",C551)),0,IF(ISNUMBER(FIND("SALDO PARCIAL",C551)),0,IF(ISNUMBER(FIND("SDO CTA/APL AUTOMATICAS",C551)),0,IF(ISNUMBER(FIND("APL APLIC AUT MAIS",C551)),0,IF(ISNUMBER(FIND("TEC DEPOSITO",C551)),0,IF(E551&gt;0,0,E551*(-1))))))))</f>
        <v>178.33</v>
      </c>
      <c r="G551" s="60" t="n">
        <f aca="false">IF(ISNUMBER(FIND("SALDO ANTERIOR",C551)),0,IF(ISNUMBER(FIND("SALDO DO DIA",C551)),0,IF(ISNUMBER(FIND("SDO CTA/APL AUTOMATICAS",C551)),0,IF(ISNUMBER(FIND("TEC DEPOSITO",C551)),0,IF(ISNUMBER(FIND("APL APLIC AUT MAIS",C551)),E551,IF(E551&gt;0,E551,0))))))</f>
        <v>0</v>
      </c>
      <c r="H551" s="33" t="n">
        <v>44348</v>
      </c>
    </row>
    <row r="552" customFormat="false" ht="17" hidden="false" customHeight="false" outlineLevel="0" collapsed="false">
      <c r="A552" s="30" t="s">
        <v>31</v>
      </c>
      <c r="B552" s="22" t="s">
        <v>440</v>
      </c>
      <c r="C552" s="68" t="s">
        <v>120</v>
      </c>
      <c r="D552" s="69"/>
      <c r="E552" s="70"/>
      <c r="F552" s="59" t="n">
        <f aca="false">IF(ISNUMBER(FIND("SALDO ANTERIOR",C552)),0,IF(ISNUMBER(FIND("SALDO DO DIA",C552)),0,IF(ISNUMBER(FIND("SALDO PARCIAL",C552)),0,IF(ISNUMBER(FIND("SDO CTA/APL AUTOMATICAS",C552)),0,IF(ISNUMBER(FIND("APL APLIC AUT MAIS",C552)),0,IF(ISNUMBER(FIND("TEC DEPOSITO",C552)),0,IF(E552&gt;0,0,E552*(-1))))))))</f>
        <v>0</v>
      </c>
      <c r="G552" s="60" t="n">
        <f aca="false">IF(ISNUMBER(FIND("SALDO ANTERIOR",C552)),0,IF(ISNUMBER(FIND("SALDO DO DIA",C552)),0,IF(ISNUMBER(FIND("SDO CTA/APL AUTOMATICAS",C552)),0,IF(ISNUMBER(FIND("TEC DEPOSITO",C552)),0,IF(ISNUMBER(FIND("APL APLIC AUT MAIS",C552)),E552,IF(E552&gt;0,E552,0))))))</f>
        <v>0</v>
      </c>
      <c r="H552" s="33" t="n">
        <v>44348</v>
      </c>
    </row>
    <row r="553" customFormat="false" ht="15.8" hidden="false" customHeight="false" outlineLevel="0" collapsed="false">
      <c r="A553" s="30" t="s">
        <v>121</v>
      </c>
      <c r="B553" s="22" t="s">
        <v>443</v>
      </c>
      <c r="C553" s="22" t="s">
        <v>444</v>
      </c>
      <c r="D553" s="69" t="s">
        <v>91</v>
      </c>
      <c r="E553" s="71" t="n">
        <v>-100</v>
      </c>
      <c r="F553" s="59" t="n">
        <f aca="false">IF(ISNUMBER(FIND("SALDO ANTERIOR",C553)),0,IF(ISNUMBER(FIND("SALDO DO DIA",C553)),0,IF(ISNUMBER(FIND("SALDO PARCIAL",C553)),0,IF(ISNUMBER(FIND("SDO CTA/APL AUTOMATICAS",C553)),0,IF(ISNUMBER(FIND("APL APLIC AUT MAIS",C553)),0,IF(ISNUMBER(FIND("TEC DEPOSITO",C553)),0,IF(E553&gt;0,0,E553*(-1))))))))</f>
        <v>100</v>
      </c>
      <c r="G553" s="60" t="n">
        <f aca="false">IF(ISNUMBER(FIND("SALDO ANTERIOR",C553)),0,IF(ISNUMBER(FIND("SALDO DO DIA",C553)),0,IF(ISNUMBER(FIND("SDO CTA/APL AUTOMATICAS",C553)),0,IF(ISNUMBER(FIND("TEC DEPOSITO",C553)),0,IF(ISNUMBER(FIND("APL APLIC AUT MAIS",C553)),E553,IF(E553&gt;0,E553,0))))))</f>
        <v>0</v>
      </c>
      <c r="H553" s="33" t="n">
        <v>44348</v>
      </c>
    </row>
    <row r="554" customFormat="false" ht="15.8" hidden="false" customHeight="false" outlineLevel="0" collapsed="false">
      <c r="A554" s="30" t="s">
        <v>59</v>
      </c>
      <c r="B554" s="22" t="s">
        <v>443</v>
      </c>
      <c r="C554" s="22" t="s">
        <v>79</v>
      </c>
      <c r="D554" s="69" t="s">
        <v>56</v>
      </c>
      <c r="E554" s="71" t="n">
        <v>-11</v>
      </c>
      <c r="F554" s="59" t="n">
        <f aca="false">IF(ISNUMBER(FIND("SALDO ANTERIOR",C554)),0,IF(ISNUMBER(FIND("SALDO DO DIA",C554)),0,IF(ISNUMBER(FIND("SALDO PARCIAL",C554)),0,IF(ISNUMBER(FIND("SDO CTA/APL AUTOMATICAS",C554)),0,IF(ISNUMBER(FIND("APL APLIC AUT MAIS",C554)),0,IF(ISNUMBER(FIND("TEC DEPOSITO",C554)),0,IF(E554&gt;0,0,E554*(-1))))))))</f>
        <v>11</v>
      </c>
      <c r="G554" s="60" t="n">
        <f aca="false">IF(ISNUMBER(FIND("SALDO ANTERIOR",C554)),0,IF(ISNUMBER(FIND("SALDO DO DIA",C554)),0,IF(ISNUMBER(FIND("SDO CTA/APL AUTOMATICAS",C554)),0,IF(ISNUMBER(FIND("TEC DEPOSITO",C554)),0,IF(ISNUMBER(FIND("APL APLIC AUT MAIS",C554)),E554,IF(E554&gt;0,E554,0))))))</f>
        <v>0</v>
      </c>
      <c r="H554" s="33" t="n">
        <v>44348</v>
      </c>
    </row>
    <row r="555" customFormat="false" ht="15.8" hidden="false" customHeight="false" outlineLevel="0" collapsed="false">
      <c r="A555" s="30" t="s">
        <v>59</v>
      </c>
      <c r="B555" s="22" t="s">
        <v>443</v>
      </c>
      <c r="C555" s="22" t="s">
        <v>445</v>
      </c>
      <c r="D555" s="69" t="s">
        <v>56</v>
      </c>
      <c r="E555" s="71" t="n">
        <v>-10</v>
      </c>
      <c r="F555" s="59" t="n">
        <f aca="false">IF(ISNUMBER(FIND("SALDO ANTERIOR",C555)),0,IF(ISNUMBER(FIND("SALDO DO DIA",C555)),0,IF(ISNUMBER(FIND("SALDO PARCIAL",C555)),0,IF(ISNUMBER(FIND("SDO CTA/APL AUTOMATICAS",C555)),0,IF(ISNUMBER(FIND("APL APLIC AUT MAIS",C555)),0,IF(ISNUMBER(FIND("TEC DEPOSITO",C555)),0,IF(E555&gt;0,0,E555*(-1))))))))</f>
        <v>10</v>
      </c>
      <c r="G555" s="60" t="n">
        <f aca="false">IF(ISNUMBER(FIND("SALDO ANTERIOR",C555)),0,IF(ISNUMBER(FIND("SALDO DO DIA",C555)),0,IF(ISNUMBER(FIND("SDO CTA/APL AUTOMATICAS",C555)),0,IF(ISNUMBER(FIND("TEC DEPOSITO",C555)),0,IF(ISNUMBER(FIND("APL APLIC AUT MAIS",C555)),E555,IF(E555&gt;0,E555,0))))))</f>
        <v>0</v>
      </c>
      <c r="H555" s="33" t="n">
        <v>44348</v>
      </c>
    </row>
    <row r="556" customFormat="false" ht="15.8" hidden="false" customHeight="false" outlineLevel="0" collapsed="false">
      <c r="A556" s="30" t="s">
        <v>103</v>
      </c>
      <c r="B556" s="22" t="s">
        <v>443</v>
      </c>
      <c r="C556" s="22" t="s">
        <v>130</v>
      </c>
      <c r="D556" s="69" t="s">
        <v>56</v>
      </c>
      <c r="E556" s="71" t="n">
        <v>-100</v>
      </c>
      <c r="F556" s="59" t="n">
        <f aca="false">IF(ISNUMBER(FIND("SALDO ANTERIOR",C556)),0,IF(ISNUMBER(FIND("SALDO DO DIA",C556)),0,IF(ISNUMBER(FIND("SALDO PARCIAL",C556)),0,IF(ISNUMBER(FIND("SDO CTA/APL AUTOMATICAS",C556)),0,IF(ISNUMBER(FIND("APL APLIC AUT MAIS",C556)),0,IF(ISNUMBER(FIND("TEC DEPOSITO",C556)),0,IF(E556&gt;0,0,E556*(-1))))))))</f>
        <v>100</v>
      </c>
      <c r="G556" s="60" t="n">
        <f aca="false">IF(ISNUMBER(FIND("SALDO ANTERIOR",C556)),0,IF(ISNUMBER(FIND("SALDO DO DIA",C556)),0,IF(ISNUMBER(FIND("SDO CTA/APL AUTOMATICAS",C556)),0,IF(ISNUMBER(FIND("TEC DEPOSITO",C556)),0,IF(ISNUMBER(FIND("APL APLIC AUT MAIS",C556)),E556,IF(E556&gt;0,E556,0))))))</f>
        <v>0</v>
      </c>
      <c r="H556" s="33" t="n">
        <v>44348</v>
      </c>
    </row>
    <row r="557" customFormat="false" ht="15.8" hidden="false" customHeight="false" outlineLevel="0" collapsed="false">
      <c r="A557" s="30" t="s">
        <v>59</v>
      </c>
      <c r="B557" s="22" t="s">
        <v>443</v>
      </c>
      <c r="C557" s="22" t="s">
        <v>446</v>
      </c>
      <c r="D557" s="69" t="s">
        <v>56</v>
      </c>
      <c r="E557" s="71" t="n">
        <v>-4</v>
      </c>
      <c r="F557" s="59" t="n">
        <f aca="false">IF(ISNUMBER(FIND("SALDO ANTERIOR",C557)),0,IF(ISNUMBER(FIND("SALDO DO DIA",C557)),0,IF(ISNUMBER(FIND("SALDO PARCIAL",C557)),0,IF(ISNUMBER(FIND("SDO CTA/APL AUTOMATICAS",C557)),0,IF(ISNUMBER(FIND("APL APLIC AUT MAIS",C557)),0,IF(ISNUMBER(FIND("TEC DEPOSITO",C557)),0,IF(E557&gt;0,0,E557*(-1))))))))</f>
        <v>4</v>
      </c>
      <c r="G557" s="60" t="n">
        <f aca="false">IF(ISNUMBER(FIND("SALDO ANTERIOR",C557)),0,IF(ISNUMBER(FIND("SALDO DO DIA",C557)),0,IF(ISNUMBER(FIND("SDO CTA/APL AUTOMATICAS",C557)),0,IF(ISNUMBER(FIND("TEC DEPOSITO",C557)),0,IF(ISNUMBER(FIND("APL APLIC AUT MAIS",C557)),E557,IF(E557&gt;0,E557,0))))))</f>
        <v>0</v>
      </c>
      <c r="H557" s="33" t="n">
        <v>44348</v>
      </c>
    </row>
    <row r="558" customFormat="false" ht="15.8" hidden="false" customHeight="false" outlineLevel="0" collapsed="false">
      <c r="A558" s="30" t="s">
        <v>57</v>
      </c>
      <c r="B558" s="22" t="s">
        <v>443</v>
      </c>
      <c r="C558" s="22" t="s">
        <v>162</v>
      </c>
      <c r="D558" s="69" t="s">
        <v>56</v>
      </c>
      <c r="E558" s="71" t="n">
        <v>-51.69</v>
      </c>
      <c r="F558" s="59" t="n">
        <f aca="false">IF(ISNUMBER(FIND("SALDO ANTERIOR",C558)),0,IF(ISNUMBER(FIND("SALDO DO DIA",C558)),0,IF(ISNUMBER(FIND("SALDO PARCIAL",C558)),0,IF(ISNUMBER(FIND("SDO CTA/APL AUTOMATICAS",C558)),0,IF(ISNUMBER(FIND("APL APLIC AUT MAIS",C558)),0,IF(ISNUMBER(FIND("TEC DEPOSITO",C558)),0,IF(E558&gt;0,0,E558*(-1))))))))</f>
        <v>51.69</v>
      </c>
      <c r="G558" s="60" t="n">
        <f aca="false">IF(ISNUMBER(FIND("SALDO ANTERIOR",C558)),0,IF(ISNUMBER(FIND("SALDO DO DIA",C558)),0,IF(ISNUMBER(FIND("SDO CTA/APL AUTOMATICAS",C558)),0,IF(ISNUMBER(FIND("TEC DEPOSITO",C558)),0,IF(ISNUMBER(FIND("APL APLIC AUT MAIS",C558)),E558,IF(E558&gt;0,E558,0))))))</f>
        <v>0</v>
      </c>
      <c r="H558" s="33" t="n">
        <v>44348</v>
      </c>
    </row>
    <row r="559" customFormat="false" ht="15.8" hidden="false" customHeight="false" outlineLevel="0" collapsed="false">
      <c r="A559" s="30" t="s">
        <v>64</v>
      </c>
      <c r="B559" s="22" t="s">
        <v>443</v>
      </c>
      <c r="C559" s="22" t="s">
        <v>106</v>
      </c>
      <c r="D559" s="69" t="s">
        <v>56</v>
      </c>
      <c r="E559" s="71" t="n">
        <v>-73.8</v>
      </c>
      <c r="F559" s="59" t="n">
        <f aca="false">IF(ISNUMBER(FIND("SALDO ANTERIOR",C559)),0,IF(ISNUMBER(FIND("SALDO DO DIA",C559)),0,IF(ISNUMBER(FIND("SALDO PARCIAL",C559)),0,IF(ISNUMBER(FIND("SDO CTA/APL AUTOMATICAS",C559)),0,IF(ISNUMBER(FIND("APL APLIC AUT MAIS",C559)),0,IF(ISNUMBER(FIND("TEC DEPOSITO",C559)),0,IF(E559&gt;0,0,E559*(-1))))))))</f>
        <v>73.8</v>
      </c>
      <c r="G559" s="60" t="n">
        <f aca="false">IF(ISNUMBER(FIND("SALDO ANTERIOR",C559)),0,IF(ISNUMBER(FIND("SALDO DO DIA",C559)),0,IF(ISNUMBER(FIND("SDO CTA/APL AUTOMATICAS",C559)),0,IF(ISNUMBER(FIND("TEC DEPOSITO",C559)),0,IF(ISNUMBER(FIND("APL APLIC AUT MAIS",C559)),E559,IF(E559&gt;0,E559,0))))))</f>
        <v>0</v>
      </c>
      <c r="H559" s="33" t="n">
        <v>44348</v>
      </c>
    </row>
    <row r="560" customFormat="false" ht="15.8" hidden="false" customHeight="false" outlineLevel="0" collapsed="false">
      <c r="A560" s="30" t="s">
        <v>64</v>
      </c>
      <c r="B560" s="22" t="s">
        <v>443</v>
      </c>
      <c r="C560" s="22" t="s">
        <v>246</v>
      </c>
      <c r="D560" s="69" t="s">
        <v>56</v>
      </c>
      <c r="E560" s="71" t="n">
        <v>-140.75</v>
      </c>
      <c r="F560" s="59" t="n">
        <f aca="false">IF(ISNUMBER(FIND("SALDO ANTERIOR",C560)),0,IF(ISNUMBER(FIND("SALDO DO DIA",C560)),0,IF(ISNUMBER(FIND("SALDO PARCIAL",C560)),0,IF(ISNUMBER(FIND("SDO CTA/APL AUTOMATICAS",C560)),0,IF(ISNUMBER(FIND("APL APLIC AUT MAIS",C560)),0,IF(ISNUMBER(FIND("TEC DEPOSITO",C560)),0,IF(E560&gt;0,0,E560*(-1))))))))</f>
        <v>140.75</v>
      </c>
      <c r="G560" s="60" t="n">
        <f aca="false">IF(ISNUMBER(FIND("SALDO ANTERIOR",C560)),0,IF(ISNUMBER(FIND("SALDO DO DIA",C560)),0,IF(ISNUMBER(FIND("SDO CTA/APL AUTOMATICAS",C560)),0,IF(ISNUMBER(FIND("TEC DEPOSITO",C560)),0,IF(ISNUMBER(FIND("APL APLIC AUT MAIS",C560)),E560,IF(E560&gt;0,E560,0))))))</f>
        <v>0</v>
      </c>
      <c r="H560" s="33" t="n">
        <v>44348</v>
      </c>
    </row>
    <row r="561" customFormat="false" ht="17" hidden="false" customHeight="false" outlineLevel="0" collapsed="false">
      <c r="A561" s="30" t="s">
        <v>31</v>
      </c>
      <c r="B561" s="22" t="s">
        <v>443</v>
      </c>
      <c r="C561" s="68" t="s">
        <v>68</v>
      </c>
      <c r="D561" s="69"/>
      <c r="E561" s="70"/>
      <c r="F561" s="59" t="n">
        <f aca="false">IF(ISNUMBER(FIND("SALDO ANTERIOR",C561)),0,IF(ISNUMBER(FIND("SALDO DO DIA",C561)),0,IF(ISNUMBER(FIND("SALDO PARCIAL",C561)),0,IF(ISNUMBER(FIND("SDO CTA/APL AUTOMATICAS",C561)),0,IF(ISNUMBER(FIND("APL APLIC AUT MAIS",C561)),0,IF(ISNUMBER(FIND("TEC DEPOSITO",C561)),0,IF(E561&gt;0,0,E561*(-1))))))))</f>
        <v>0</v>
      </c>
      <c r="G561" s="60" t="n">
        <f aca="false">IF(ISNUMBER(FIND("SALDO ANTERIOR",C561)),0,IF(ISNUMBER(FIND("SALDO DO DIA",C561)),0,IF(ISNUMBER(FIND("SDO CTA/APL AUTOMATICAS",C561)),0,IF(ISNUMBER(FIND("TEC DEPOSITO",C561)),0,IF(ISNUMBER(FIND("APL APLIC AUT MAIS",C561)),E561,IF(E561&gt;0,E561,0))))))</f>
        <v>0</v>
      </c>
      <c r="H561" s="33" t="n">
        <v>44348</v>
      </c>
    </row>
    <row r="562" customFormat="false" ht="15.8" hidden="false" customHeight="false" outlineLevel="0" collapsed="false">
      <c r="A562" s="30" t="s">
        <v>59</v>
      </c>
      <c r="B562" s="22" t="s">
        <v>447</v>
      </c>
      <c r="C562" s="22" t="s">
        <v>333</v>
      </c>
      <c r="D562" s="69" t="s">
        <v>76</v>
      </c>
      <c r="E562" s="71" t="n">
        <v>-238.78</v>
      </c>
      <c r="F562" s="59" t="n">
        <f aca="false">IF(ISNUMBER(FIND("SALDO ANTERIOR",C562)),0,IF(ISNUMBER(FIND("SALDO DO DIA",C562)),0,IF(ISNUMBER(FIND("SALDO PARCIAL",C562)),0,IF(ISNUMBER(FIND("SDO CTA/APL AUTOMATICAS",C562)),0,IF(ISNUMBER(FIND("APL APLIC AUT MAIS",C562)),0,IF(ISNUMBER(FIND("TEC DEPOSITO",C562)),0,IF(E562&gt;0,0,E562*(-1))))))))</f>
        <v>238.78</v>
      </c>
      <c r="G562" s="60" t="n">
        <f aca="false">IF(ISNUMBER(FIND("SALDO ANTERIOR",C562)),0,IF(ISNUMBER(FIND("SALDO DO DIA",C562)),0,IF(ISNUMBER(FIND("SDO CTA/APL AUTOMATICAS",C562)),0,IF(ISNUMBER(FIND("TEC DEPOSITO",C562)),0,IF(ISNUMBER(FIND("APL APLIC AUT MAIS",C562)),E562,IF(E562&gt;0,E562,0))))))</f>
        <v>0</v>
      </c>
      <c r="H562" s="33" t="n">
        <v>44348</v>
      </c>
    </row>
    <row r="563" customFormat="false" ht="17" hidden="false" customHeight="false" outlineLevel="0" collapsed="false">
      <c r="A563" s="30" t="s">
        <v>31</v>
      </c>
      <c r="B563" s="22" t="s">
        <v>447</v>
      </c>
      <c r="C563" s="68" t="s">
        <v>68</v>
      </c>
      <c r="D563" s="69"/>
      <c r="E563" s="70"/>
      <c r="F563" s="59" t="n">
        <f aca="false">IF(ISNUMBER(FIND("SALDO ANTERIOR",C563)),0,IF(ISNUMBER(FIND("SALDO DO DIA",C563)),0,IF(ISNUMBER(FIND("SALDO PARCIAL",C563)),0,IF(ISNUMBER(FIND("SDO CTA/APL AUTOMATICAS",C563)),0,IF(ISNUMBER(FIND("APL APLIC AUT MAIS",C563)),0,IF(ISNUMBER(FIND("TEC DEPOSITO",C563)),0,IF(E563&gt;0,0,E563*(-1))))))))</f>
        <v>0</v>
      </c>
      <c r="G563" s="60" t="n">
        <f aca="false">IF(ISNUMBER(FIND("SALDO ANTERIOR",C563)),0,IF(ISNUMBER(FIND("SALDO DO DIA",C563)),0,IF(ISNUMBER(FIND("SDO CTA/APL AUTOMATICAS",C563)),0,IF(ISNUMBER(FIND("TEC DEPOSITO",C563)),0,IF(ISNUMBER(FIND("APL APLIC AUT MAIS",C563)),E563,IF(E563&gt;0,E563,0))))))</f>
        <v>0</v>
      </c>
      <c r="H563" s="33" t="n">
        <v>44348</v>
      </c>
    </row>
    <row r="564" customFormat="false" ht="15.8" hidden="false" customHeight="false" outlineLevel="0" collapsed="false">
      <c r="A564" s="30" t="s">
        <v>62</v>
      </c>
      <c r="B564" s="22" t="s">
        <v>448</v>
      </c>
      <c r="C564" s="22" t="s">
        <v>449</v>
      </c>
      <c r="D564" s="69" t="s">
        <v>56</v>
      </c>
      <c r="E564" s="71" t="n">
        <v>-29.6</v>
      </c>
      <c r="F564" s="59" t="n">
        <f aca="false">IF(ISNUMBER(FIND("SALDO ANTERIOR",C564)),0,IF(ISNUMBER(FIND("SALDO DO DIA",C564)),0,IF(ISNUMBER(FIND("SALDO PARCIAL",C564)),0,IF(ISNUMBER(FIND("SDO CTA/APL AUTOMATICAS",C564)),0,IF(ISNUMBER(FIND("APL APLIC AUT MAIS",C564)),0,IF(ISNUMBER(FIND("TEC DEPOSITO",C564)),0,IF(E564&gt;0,0,E564*(-1))))))))</f>
        <v>29.6</v>
      </c>
      <c r="G564" s="60" t="n">
        <f aca="false">IF(ISNUMBER(FIND("SALDO ANTERIOR",C564)),0,IF(ISNUMBER(FIND("SALDO DO DIA",C564)),0,IF(ISNUMBER(FIND("SDO CTA/APL AUTOMATICAS",C564)),0,IF(ISNUMBER(FIND("TEC DEPOSITO",C564)),0,IF(ISNUMBER(FIND("APL APLIC AUT MAIS",C564)),E564,IF(E564&gt;0,E564,0))))))</f>
        <v>0</v>
      </c>
      <c r="H564" s="33" t="n">
        <v>44348</v>
      </c>
    </row>
    <row r="565" customFormat="false" ht="15.8" hidden="false" customHeight="false" outlineLevel="0" collapsed="false">
      <c r="A565" s="30" t="s">
        <v>59</v>
      </c>
      <c r="B565" s="22" t="s">
        <v>448</v>
      </c>
      <c r="C565" s="22" t="s">
        <v>393</v>
      </c>
      <c r="D565" s="69" t="s">
        <v>56</v>
      </c>
      <c r="E565" s="71" t="n">
        <v>-14.2</v>
      </c>
      <c r="F565" s="59" t="n">
        <f aca="false">IF(ISNUMBER(FIND("SALDO ANTERIOR",C565)),0,IF(ISNUMBER(FIND("SALDO DO DIA",C565)),0,IF(ISNUMBER(FIND("SALDO PARCIAL",C565)),0,IF(ISNUMBER(FIND("SDO CTA/APL AUTOMATICAS",C565)),0,IF(ISNUMBER(FIND("APL APLIC AUT MAIS",C565)),0,IF(ISNUMBER(FIND("TEC DEPOSITO",C565)),0,IF(E565&gt;0,0,E565*(-1))))))))</f>
        <v>14.2</v>
      </c>
      <c r="G565" s="60" t="n">
        <f aca="false">IF(ISNUMBER(FIND("SALDO ANTERIOR",C565)),0,IF(ISNUMBER(FIND("SALDO DO DIA",C565)),0,IF(ISNUMBER(FIND("SDO CTA/APL AUTOMATICAS",C565)),0,IF(ISNUMBER(FIND("TEC DEPOSITO",C565)),0,IF(ISNUMBER(FIND("APL APLIC AUT MAIS",C565)),E565,IF(E565&gt;0,E565,0))))))</f>
        <v>0</v>
      </c>
      <c r="H565" s="33" t="n">
        <v>44348</v>
      </c>
    </row>
    <row r="566" customFormat="false" ht="15.8" hidden="false" customHeight="false" outlineLevel="0" collapsed="false">
      <c r="A566" s="30" t="s">
        <v>64</v>
      </c>
      <c r="B566" s="22" t="s">
        <v>448</v>
      </c>
      <c r="C566" s="22" t="s">
        <v>246</v>
      </c>
      <c r="D566" s="69" t="s">
        <v>56</v>
      </c>
      <c r="E566" s="71" t="n">
        <v>-72.92</v>
      </c>
      <c r="F566" s="59" t="n">
        <f aca="false">IF(ISNUMBER(FIND("SALDO ANTERIOR",C566)),0,IF(ISNUMBER(FIND("SALDO DO DIA",C566)),0,IF(ISNUMBER(FIND("SALDO PARCIAL",C566)),0,IF(ISNUMBER(FIND("SDO CTA/APL AUTOMATICAS",C566)),0,IF(ISNUMBER(FIND("APL APLIC AUT MAIS",C566)),0,IF(ISNUMBER(FIND("TEC DEPOSITO",C566)),0,IF(E566&gt;0,0,E566*(-1))))))))</f>
        <v>72.92</v>
      </c>
      <c r="G566" s="60" t="n">
        <f aca="false">IF(ISNUMBER(FIND("SALDO ANTERIOR",C566)),0,IF(ISNUMBER(FIND("SALDO DO DIA",C566)),0,IF(ISNUMBER(FIND("SDO CTA/APL AUTOMATICAS",C566)),0,IF(ISNUMBER(FIND("TEC DEPOSITO",C566)),0,IF(ISNUMBER(FIND("APL APLIC AUT MAIS",C566)),E566,IF(E566&gt;0,E566,0))))))</f>
        <v>0</v>
      </c>
      <c r="H566" s="33" t="n">
        <v>44348</v>
      </c>
    </row>
    <row r="567" customFormat="false" ht="17" hidden="false" customHeight="false" outlineLevel="0" collapsed="false">
      <c r="A567" s="30" t="s">
        <v>31</v>
      </c>
      <c r="B567" s="22" t="s">
        <v>448</v>
      </c>
      <c r="C567" s="68" t="s">
        <v>68</v>
      </c>
      <c r="D567" s="69"/>
      <c r="E567" s="70"/>
      <c r="F567" s="59" t="n">
        <f aca="false">IF(ISNUMBER(FIND("SALDO ANTERIOR",C567)),0,IF(ISNUMBER(FIND("SALDO DO DIA",C567)),0,IF(ISNUMBER(FIND("SALDO PARCIAL",C567)),0,IF(ISNUMBER(FIND("SDO CTA/APL AUTOMATICAS",C567)),0,IF(ISNUMBER(FIND("APL APLIC AUT MAIS",C567)),0,IF(ISNUMBER(FIND("TEC DEPOSITO",C567)),0,IF(E567&gt;0,0,E567*(-1))))))))</f>
        <v>0</v>
      </c>
      <c r="G567" s="60" t="n">
        <f aca="false">IF(ISNUMBER(FIND("SALDO ANTERIOR",C567)),0,IF(ISNUMBER(FIND("SALDO DO DIA",C567)),0,IF(ISNUMBER(FIND("SDO CTA/APL AUTOMATICAS",C567)),0,IF(ISNUMBER(FIND("TEC DEPOSITO",C567)),0,IF(ISNUMBER(FIND("APL APLIC AUT MAIS",C567)),E567,IF(E567&gt;0,E567,0))))))</f>
        <v>0</v>
      </c>
      <c r="H567" s="33" t="n">
        <v>44348</v>
      </c>
    </row>
    <row r="568" customFormat="false" ht="15.8" hidden="false" customHeight="false" outlineLevel="0" collapsed="false">
      <c r="A568" s="30" t="s">
        <v>59</v>
      </c>
      <c r="B568" s="22" t="s">
        <v>450</v>
      </c>
      <c r="C568" s="22" t="s">
        <v>451</v>
      </c>
      <c r="D568" s="69" t="s">
        <v>56</v>
      </c>
      <c r="E568" s="71" t="n">
        <v>-32.89</v>
      </c>
      <c r="F568" s="59" t="n">
        <f aca="false">IF(ISNUMBER(FIND("SALDO ANTERIOR",C568)),0,IF(ISNUMBER(FIND("SALDO DO DIA",C568)),0,IF(ISNUMBER(FIND("SALDO PARCIAL",C568)),0,IF(ISNUMBER(FIND("SDO CTA/APL AUTOMATICAS",C568)),0,IF(ISNUMBER(FIND("APL APLIC AUT MAIS",C568)),0,IF(ISNUMBER(FIND("TEC DEPOSITO",C568)),0,IF(E568&gt;0,0,E568*(-1))))))))</f>
        <v>32.89</v>
      </c>
      <c r="G568" s="60" t="n">
        <f aca="false">IF(ISNUMBER(FIND("SALDO ANTERIOR",C568)),0,IF(ISNUMBER(FIND("SALDO DO DIA",C568)),0,IF(ISNUMBER(FIND("SDO CTA/APL AUTOMATICAS",C568)),0,IF(ISNUMBER(FIND("TEC DEPOSITO",C568)),0,IF(ISNUMBER(FIND("APL APLIC AUT MAIS",C568)),E568,IF(E568&gt;0,E568,0))))))</f>
        <v>0</v>
      </c>
      <c r="H568" s="33" t="n">
        <v>44348</v>
      </c>
    </row>
    <row r="569" customFormat="false" ht="15.8" hidden="false" customHeight="false" outlineLevel="0" collapsed="false">
      <c r="A569" s="30" t="s">
        <v>53</v>
      </c>
      <c r="B569" s="22" t="s">
        <v>450</v>
      </c>
      <c r="C569" s="22" t="s">
        <v>55</v>
      </c>
      <c r="D569" s="69" t="s">
        <v>56</v>
      </c>
      <c r="E569" s="71" t="n">
        <v>-36.84</v>
      </c>
      <c r="F569" s="59" t="n">
        <f aca="false">IF(ISNUMBER(FIND("SALDO ANTERIOR",C569)),0,IF(ISNUMBER(FIND("SALDO DO DIA",C569)),0,IF(ISNUMBER(FIND("SALDO PARCIAL",C569)),0,IF(ISNUMBER(FIND("SDO CTA/APL AUTOMATICAS",C569)),0,IF(ISNUMBER(FIND("APL APLIC AUT MAIS",C569)),0,IF(ISNUMBER(FIND("TEC DEPOSITO",C569)),0,IF(E569&gt;0,0,E569*(-1))))))))</f>
        <v>36.84</v>
      </c>
      <c r="G569" s="60" t="n">
        <f aca="false">IF(ISNUMBER(FIND("SALDO ANTERIOR",C569)),0,IF(ISNUMBER(FIND("SALDO DO DIA",C569)),0,IF(ISNUMBER(FIND("SDO CTA/APL AUTOMATICAS",C569)),0,IF(ISNUMBER(FIND("TEC DEPOSITO",C569)),0,IF(ISNUMBER(FIND("APL APLIC AUT MAIS",C569)),E569,IF(E569&gt;0,E569,0))))))</f>
        <v>0</v>
      </c>
      <c r="H569" s="33" t="n">
        <v>44348</v>
      </c>
    </row>
    <row r="570" customFormat="false" ht="15.8" hidden="false" customHeight="false" outlineLevel="0" collapsed="false">
      <c r="A570" s="30" t="s">
        <v>159</v>
      </c>
      <c r="B570" s="22" t="s">
        <v>450</v>
      </c>
      <c r="C570" s="22" t="s">
        <v>161</v>
      </c>
      <c r="D570" s="69" t="s">
        <v>56</v>
      </c>
      <c r="E570" s="71" t="n">
        <v>-9.98</v>
      </c>
      <c r="F570" s="59" t="n">
        <f aca="false">IF(ISNUMBER(FIND("SALDO ANTERIOR",C570)),0,IF(ISNUMBER(FIND("SALDO DO DIA",C570)),0,IF(ISNUMBER(FIND("SALDO PARCIAL",C570)),0,IF(ISNUMBER(FIND("SDO CTA/APL AUTOMATICAS",C570)),0,IF(ISNUMBER(FIND("APL APLIC AUT MAIS",C570)),0,IF(ISNUMBER(FIND("TEC DEPOSITO",C570)),0,IF(E570&gt;0,0,E570*(-1))))))))</f>
        <v>9.98</v>
      </c>
      <c r="G570" s="60" t="n">
        <f aca="false">IF(ISNUMBER(FIND("SALDO ANTERIOR",C570)),0,IF(ISNUMBER(FIND("SALDO DO DIA",C570)),0,IF(ISNUMBER(FIND("SDO CTA/APL AUTOMATICAS",C570)),0,IF(ISNUMBER(FIND("TEC DEPOSITO",C570)),0,IF(ISNUMBER(FIND("APL APLIC AUT MAIS",C570)),E570,IF(E570&gt;0,E570,0))))))</f>
        <v>0</v>
      </c>
      <c r="H570" s="33" t="n">
        <v>44348</v>
      </c>
    </row>
    <row r="571" customFormat="false" ht="15.8" hidden="false" customHeight="false" outlineLevel="0" collapsed="false">
      <c r="A571" s="30" t="s">
        <v>64</v>
      </c>
      <c r="B571" s="22" t="s">
        <v>450</v>
      </c>
      <c r="C571" s="22" t="s">
        <v>246</v>
      </c>
      <c r="D571" s="69" t="s">
        <v>56</v>
      </c>
      <c r="E571" s="71" t="n">
        <v>-135.25</v>
      </c>
      <c r="F571" s="59" t="n">
        <f aca="false">IF(ISNUMBER(FIND("SALDO ANTERIOR",C571)),0,IF(ISNUMBER(FIND("SALDO DO DIA",C571)),0,IF(ISNUMBER(FIND("SALDO PARCIAL",C571)),0,IF(ISNUMBER(FIND("SDO CTA/APL AUTOMATICAS",C571)),0,IF(ISNUMBER(FIND("APL APLIC AUT MAIS",C571)),0,IF(ISNUMBER(FIND("TEC DEPOSITO",C571)),0,IF(E571&gt;0,0,E571*(-1))))))))</f>
        <v>135.25</v>
      </c>
      <c r="G571" s="60" t="n">
        <f aca="false">IF(ISNUMBER(FIND("SALDO ANTERIOR",C571)),0,IF(ISNUMBER(FIND("SALDO DO DIA",C571)),0,IF(ISNUMBER(FIND("SDO CTA/APL AUTOMATICAS",C571)),0,IF(ISNUMBER(FIND("TEC DEPOSITO",C571)),0,IF(ISNUMBER(FIND("APL APLIC AUT MAIS",C571)),E571,IF(E571&gt;0,E571,0))))))</f>
        <v>0</v>
      </c>
      <c r="H571" s="33" t="n">
        <v>44348</v>
      </c>
    </row>
    <row r="572" customFormat="false" ht="15.8" hidden="false" customHeight="false" outlineLevel="0" collapsed="false">
      <c r="A572" s="30" t="s">
        <v>148</v>
      </c>
      <c r="B572" s="22" t="s">
        <v>450</v>
      </c>
      <c r="C572" s="22" t="s">
        <v>452</v>
      </c>
      <c r="D572" s="69" t="s">
        <v>228</v>
      </c>
      <c r="E572" s="71" t="n">
        <v>-100</v>
      </c>
      <c r="F572" s="59" t="n">
        <f aca="false">IF(ISNUMBER(FIND("SALDO ANTERIOR",C572)),0,IF(ISNUMBER(FIND("SALDO DO DIA",C572)),0,IF(ISNUMBER(FIND("SALDO PARCIAL",C572)),0,IF(ISNUMBER(FIND("SDO CTA/APL AUTOMATICAS",C572)),0,IF(ISNUMBER(FIND("APL APLIC AUT MAIS",C572)),0,IF(ISNUMBER(FIND("TEC DEPOSITO",C572)),0,IF(E572&gt;0,0,E572*(-1))))))))</f>
        <v>100</v>
      </c>
      <c r="G572" s="60" t="n">
        <f aca="false">IF(ISNUMBER(FIND("SALDO ANTERIOR",C572)),0,IF(ISNUMBER(FIND("SALDO DO DIA",C572)),0,IF(ISNUMBER(FIND("SDO CTA/APL AUTOMATICAS",C572)),0,IF(ISNUMBER(FIND("TEC DEPOSITO",C572)),0,IF(ISNUMBER(FIND("APL APLIC AUT MAIS",C572)),E572,IF(E572&gt;0,E572,0))))))</f>
        <v>0</v>
      </c>
      <c r="H572" s="33" t="n">
        <v>44348</v>
      </c>
    </row>
    <row r="573" customFormat="false" ht="15.8" hidden="false" customHeight="false" outlineLevel="0" collapsed="false">
      <c r="A573" s="30" t="s">
        <v>148</v>
      </c>
      <c r="B573" s="22" t="s">
        <v>450</v>
      </c>
      <c r="C573" s="22" t="s">
        <v>452</v>
      </c>
      <c r="D573" s="69" t="s">
        <v>177</v>
      </c>
      <c r="E573" s="71" t="n">
        <v>-678</v>
      </c>
      <c r="F573" s="59" t="n">
        <f aca="false">IF(ISNUMBER(FIND("SALDO ANTERIOR",C573)),0,IF(ISNUMBER(FIND("SALDO DO DIA",C573)),0,IF(ISNUMBER(FIND("SALDO PARCIAL",C573)),0,IF(ISNUMBER(FIND("SDO CTA/APL AUTOMATICAS",C573)),0,IF(ISNUMBER(FIND("APL APLIC AUT MAIS",C573)),0,IF(ISNUMBER(FIND("TEC DEPOSITO",C573)),0,IF(E573&gt;0,0,E573*(-1))))))))</f>
        <v>678</v>
      </c>
      <c r="G573" s="60" t="n">
        <f aca="false">IF(ISNUMBER(FIND("SALDO ANTERIOR",C573)),0,IF(ISNUMBER(FIND("SALDO DO DIA",C573)),0,IF(ISNUMBER(FIND("SDO CTA/APL AUTOMATICAS",C573)),0,IF(ISNUMBER(FIND("TEC DEPOSITO",C573)),0,IF(ISNUMBER(FIND("APL APLIC AUT MAIS",C573)),E573,IF(E573&gt;0,E573,0))))))</f>
        <v>0</v>
      </c>
      <c r="H573" s="33" t="n">
        <v>44348</v>
      </c>
    </row>
    <row r="574" customFormat="false" ht="17" hidden="false" customHeight="false" outlineLevel="0" collapsed="false">
      <c r="A574" s="30" t="s">
        <v>31</v>
      </c>
      <c r="B574" s="22" t="s">
        <v>450</v>
      </c>
      <c r="C574" s="68" t="s">
        <v>68</v>
      </c>
      <c r="D574" s="69"/>
      <c r="E574" s="70"/>
      <c r="F574" s="59" t="n">
        <f aca="false">IF(ISNUMBER(FIND("SALDO ANTERIOR",C574)),0,IF(ISNUMBER(FIND("SALDO DO DIA",C574)),0,IF(ISNUMBER(FIND("SALDO PARCIAL",C574)),0,IF(ISNUMBER(FIND("SDO CTA/APL AUTOMATICAS",C574)),0,IF(ISNUMBER(FIND("APL APLIC AUT MAIS",C574)),0,IF(ISNUMBER(FIND("TEC DEPOSITO",C574)),0,IF(E574&gt;0,0,E574*(-1))))))))</f>
        <v>0</v>
      </c>
      <c r="G574" s="60" t="n">
        <f aca="false">IF(ISNUMBER(FIND("SALDO ANTERIOR",C574)),0,IF(ISNUMBER(FIND("SALDO DO DIA",C574)),0,IF(ISNUMBER(FIND("SDO CTA/APL AUTOMATICAS",C574)),0,IF(ISNUMBER(FIND("TEC DEPOSITO",C574)),0,IF(ISNUMBER(FIND("APL APLIC AUT MAIS",C574)),E574,IF(E574&gt;0,E574,0))))))</f>
        <v>0</v>
      </c>
      <c r="H574" s="33" t="n">
        <v>44348</v>
      </c>
    </row>
    <row r="575" customFormat="false" ht="15.8" hidden="false" customHeight="false" outlineLevel="0" collapsed="false">
      <c r="A575" s="30" t="s">
        <v>121</v>
      </c>
      <c r="B575" s="22" t="s">
        <v>453</v>
      </c>
      <c r="C575" s="22" t="s">
        <v>454</v>
      </c>
      <c r="D575" s="69" t="s">
        <v>91</v>
      </c>
      <c r="E575" s="71" t="n">
        <v>-50</v>
      </c>
      <c r="F575" s="59" t="n">
        <f aca="false">IF(ISNUMBER(FIND("SALDO ANTERIOR",C575)),0,IF(ISNUMBER(FIND("SALDO DO DIA",C575)),0,IF(ISNUMBER(FIND("SALDO PARCIAL",C575)),0,IF(ISNUMBER(FIND("SDO CTA/APL AUTOMATICAS",C575)),0,IF(ISNUMBER(FIND("APL APLIC AUT MAIS",C575)),0,IF(ISNUMBER(FIND("TEC DEPOSITO",C575)),0,IF(E575&gt;0,0,E575*(-1))))))))</f>
        <v>50</v>
      </c>
      <c r="G575" s="60" t="n">
        <f aca="false">IF(ISNUMBER(FIND("SALDO ANTERIOR",C575)),0,IF(ISNUMBER(FIND("SALDO DO DIA",C575)),0,IF(ISNUMBER(FIND("SDO CTA/APL AUTOMATICAS",C575)),0,IF(ISNUMBER(FIND("TEC DEPOSITO",C575)),0,IF(ISNUMBER(FIND("APL APLIC AUT MAIS",C575)),E575,IF(E575&gt;0,E575,0))))))</f>
        <v>0</v>
      </c>
      <c r="H575" s="33" t="n">
        <v>44348</v>
      </c>
    </row>
    <row r="576" customFormat="false" ht="15.8" hidden="false" customHeight="false" outlineLevel="0" collapsed="false">
      <c r="A576" s="30" t="s">
        <v>59</v>
      </c>
      <c r="B576" s="22" t="s">
        <v>453</v>
      </c>
      <c r="C576" s="22" t="s">
        <v>455</v>
      </c>
      <c r="D576" s="69" t="s">
        <v>56</v>
      </c>
      <c r="E576" s="71" t="n">
        <v>-30.8</v>
      </c>
      <c r="F576" s="59" t="n">
        <f aca="false">IF(ISNUMBER(FIND("SALDO ANTERIOR",C576)),0,IF(ISNUMBER(FIND("SALDO DO DIA",C576)),0,IF(ISNUMBER(FIND("SALDO PARCIAL",C576)),0,IF(ISNUMBER(FIND("SDO CTA/APL AUTOMATICAS",C576)),0,IF(ISNUMBER(FIND("APL APLIC AUT MAIS",C576)),0,IF(ISNUMBER(FIND("TEC DEPOSITO",C576)),0,IF(E576&gt;0,0,E576*(-1))))))))</f>
        <v>30.8</v>
      </c>
      <c r="G576" s="60" t="n">
        <f aca="false">IF(ISNUMBER(FIND("SALDO ANTERIOR",C576)),0,IF(ISNUMBER(FIND("SALDO DO DIA",C576)),0,IF(ISNUMBER(FIND("SDO CTA/APL AUTOMATICAS",C576)),0,IF(ISNUMBER(FIND("TEC DEPOSITO",C576)),0,IF(ISNUMBER(FIND("APL APLIC AUT MAIS",C576)),E576,IF(E576&gt;0,E576,0))))))</f>
        <v>0</v>
      </c>
      <c r="H576" s="33" t="n">
        <v>44348</v>
      </c>
    </row>
    <row r="577" customFormat="false" ht="15.8" hidden="false" customHeight="false" outlineLevel="0" collapsed="false">
      <c r="A577" s="30" t="s">
        <v>59</v>
      </c>
      <c r="B577" s="22" t="s">
        <v>453</v>
      </c>
      <c r="C577" s="22" t="s">
        <v>166</v>
      </c>
      <c r="D577" s="69" t="s">
        <v>56</v>
      </c>
      <c r="E577" s="71" t="n">
        <v>-14.7</v>
      </c>
      <c r="F577" s="59" t="n">
        <f aca="false">IF(ISNUMBER(FIND("SALDO ANTERIOR",C577)),0,IF(ISNUMBER(FIND("SALDO DO DIA",C577)),0,IF(ISNUMBER(FIND("SALDO PARCIAL",C577)),0,IF(ISNUMBER(FIND("SDO CTA/APL AUTOMATICAS",C577)),0,IF(ISNUMBER(FIND("APL APLIC AUT MAIS",C577)),0,IF(ISNUMBER(FIND("TEC DEPOSITO",C577)),0,IF(E577&gt;0,0,E577*(-1))))))))</f>
        <v>14.7</v>
      </c>
      <c r="G577" s="60" t="n">
        <f aca="false">IF(ISNUMBER(FIND("SALDO ANTERIOR",C577)),0,IF(ISNUMBER(FIND("SALDO DO DIA",C577)),0,IF(ISNUMBER(FIND("SDO CTA/APL AUTOMATICAS",C577)),0,IF(ISNUMBER(FIND("TEC DEPOSITO",C577)),0,IF(ISNUMBER(FIND("APL APLIC AUT MAIS",C577)),E577,IF(E577&gt;0,E577,0))))))</f>
        <v>0</v>
      </c>
      <c r="H577" s="33" t="n">
        <v>44348</v>
      </c>
    </row>
    <row r="578" customFormat="false" ht="15.8" hidden="false" customHeight="false" outlineLevel="0" collapsed="false">
      <c r="A578" s="30" t="s">
        <v>57</v>
      </c>
      <c r="B578" s="22" t="s">
        <v>453</v>
      </c>
      <c r="C578" s="22" t="s">
        <v>163</v>
      </c>
      <c r="D578" s="69" t="s">
        <v>56</v>
      </c>
      <c r="E578" s="71" t="n">
        <v>-21.05</v>
      </c>
      <c r="F578" s="59" t="n">
        <f aca="false">IF(ISNUMBER(FIND("SALDO ANTERIOR",C578)),0,IF(ISNUMBER(FIND("SALDO DO DIA",C578)),0,IF(ISNUMBER(FIND("SALDO PARCIAL",C578)),0,IF(ISNUMBER(FIND("SDO CTA/APL AUTOMATICAS",C578)),0,IF(ISNUMBER(FIND("APL APLIC AUT MAIS",C578)),0,IF(ISNUMBER(FIND("TEC DEPOSITO",C578)),0,IF(E578&gt;0,0,E578*(-1))))))))</f>
        <v>21.05</v>
      </c>
      <c r="G578" s="60" t="n">
        <f aca="false">IF(ISNUMBER(FIND("SALDO ANTERIOR",C578)),0,IF(ISNUMBER(FIND("SALDO DO DIA",C578)),0,IF(ISNUMBER(FIND("SDO CTA/APL AUTOMATICAS",C578)),0,IF(ISNUMBER(FIND("TEC DEPOSITO",C578)),0,IF(ISNUMBER(FIND("APL APLIC AUT MAIS",C578)),E578,IF(E578&gt;0,E578,0))))))</f>
        <v>0</v>
      </c>
      <c r="H578" s="33" t="n">
        <v>44348</v>
      </c>
    </row>
    <row r="579" customFormat="false" ht="15.8" hidden="false" customHeight="false" outlineLevel="0" collapsed="false">
      <c r="A579" s="30" t="s">
        <v>57</v>
      </c>
      <c r="B579" s="22" t="s">
        <v>453</v>
      </c>
      <c r="C579" s="22" t="s">
        <v>163</v>
      </c>
      <c r="D579" s="69" t="s">
        <v>56</v>
      </c>
      <c r="E579" s="71" t="n">
        <v>-65.99</v>
      </c>
      <c r="F579" s="59" t="n">
        <f aca="false">IF(ISNUMBER(FIND("SALDO ANTERIOR",C579)),0,IF(ISNUMBER(FIND("SALDO DO DIA",C579)),0,IF(ISNUMBER(FIND("SALDO PARCIAL",C579)),0,IF(ISNUMBER(FIND("SDO CTA/APL AUTOMATICAS",C579)),0,IF(ISNUMBER(FIND("APL APLIC AUT MAIS",C579)),0,IF(ISNUMBER(FIND("TEC DEPOSITO",C579)),0,IF(E579&gt;0,0,E579*(-1))))))))</f>
        <v>65.99</v>
      </c>
      <c r="G579" s="60" t="n">
        <f aca="false">IF(ISNUMBER(FIND("SALDO ANTERIOR",C579)),0,IF(ISNUMBER(FIND("SALDO DO DIA",C579)),0,IF(ISNUMBER(FIND("SDO CTA/APL AUTOMATICAS",C579)),0,IF(ISNUMBER(FIND("TEC DEPOSITO",C579)),0,IF(ISNUMBER(FIND("APL APLIC AUT MAIS",C579)),E579,IF(E579&gt;0,E579,0))))))</f>
        <v>0</v>
      </c>
      <c r="H579" s="33" t="n">
        <v>44348</v>
      </c>
    </row>
    <row r="580" customFormat="false" ht="15.8" hidden="false" customHeight="false" outlineLevel="0" collapsed="false">
      <c r="A580" s="30" t="s">
        <v>59</v>
      </c>
      <c r="B580" s="22" t="s">
        <v>453</v>
      </c>
      <c r="C580" s="22" t="s">
        <v>132</v>
      </c>
      <c r="D580" s="69" t="s">
        <v>56</v>
      </c>
      <c r="E580" s="71" t="n">
        <v>-36.18</v>
      </c>
      <c r="F580" s="59" t="n">
        <f aca="false">IF(ISNUMBER(FIND("SALDO ANTERIOR",C580)),0,IF(ISNUMBER(FIND("SALDO DO DIA",C580)),0,IF(ISNUMBER(FIND("SALDO PARCIAL",C580)),0,IF(ISNUMBER(FIND("SDO CTA/APL AUTOMATICAS",C580)),0,IF(ISNUMBER(FIND("APL APLIC AUT MAIS",C580)),0,IF(ISNUMBER(FIND("TEC DEPOSITO",C580)),0,IF(E580&gt;0,0,E580*(-1))))))))</f>
        <v>36.18</v>
      </c>
      <c r="G580" s="60" t="n">
        <f aca="false">IF(ISNUMBER(FIND("SALDO ANTERIOR",C580)),0,IF(ISNUMBER(FIND("SALDO DO DIA",C580)),0,IF(ISNUMBER(FIND("SDO CTA/APL AUTOMATICAS",C580)),0,IF(ISNUMBER(FIND("TEC DEPOSITO",C580)),0,IF(ISNUMBER(FIND("APL APLIC AUT MAIS",C580)),E580,IF(E580&gt;0,E580,0))))))</f>
        <v>0</v>
      </c>
      <c r="H580" s="33" t="n">
        <v>44348</v>
      </c>
    </row>
    <row r="581" customFormat="false" ht="15.8" hidden="false" customHeight="false" outlineLevel="0" collapsed="false">
      <c r="A581" s="30" t="s">
        <v>64</v>
      </c>
      <c r="B581" s="22" t="s">
        <v>453</v>
      </c>
      <c r="C581" s="22" t="s">
        <v>246</v>
      </c>
      <c r="D581" s="69" t="s">
        <v>56</v>
      </c>
      <c r="E581" s="71" t="n">
        <v>-16.48</v>
      </c>
      <c r="F581" s="59" t="n">
        <f aca="false">IF(ISNUMBER(FIND("SALDO ANTERIOR",C581)),0,IF(ISNUMBER(FIND("SALDO DO DIA",C581)),0,IF(ISNUMBER(FIND("SALDO PARCIAL",C581)),0,IF(ISNUMBER(FIND("SDO CTA/APL AUTOMATICAS",C581)),0,IF(ISNUMBER(FIND("APL APLIC AUT MAIS",C581)),0,IF(ISNUMBER(FIND("TEC DEPOSITO",C581)),0,IF(E581&gt;0,0,E581*(-1))))))))</f>
        <v>16.48</v>
      </c>
      <c r="G581" s="60" t="n">
        <f aca="false">IF(ISNUMBER(FIND("SALDO ANTERIOR",C581)),0,IF(ISNUMBER(FIND("SALDO DO DIA",C581)),0,IF(ISNUMBER(FIND("SDO CTA/APL AUTOMATICAS",C581)),0,IF(ISNUMBER(FIND("TEC DEPOSITO",C581)),0,IF(ISNUMBER(FIND("APL APLIC AUT MAIS",C581)),E581,IF(E581&gt;0,E581,0))))))</f>
        <v>0</v>
      </c>
      <c r="H581" s="33" t="n">
        <v>44348</v>
      </c>
    </row>
    <row r="582" customFormat="false" ht="15.8" hidden="false" customHeight="false" outlineLevel="0" collapsed="false">
      <c r="A582" s="30" t="s">
        <v>64</v>
      </c>
      <c r="B582" s="22" t="s">
        <v>453</v>
      </c>
      <c r="C582" s="22" t="s">
        <v>246</v>
      </c>
      <c r="D582" s="69" t="s">
        <v>56</v>
      </c>
      <c r="E582" s="71" t="n">
        <v>-118.11</v>
      </c>
      <c r="F582" s="59" t="n">
        <f aca="false">IF(ISNUMBER(FIND("SALDO ANTERIOR",C582)),0,IF(ISNUMBER(FIND("SALDO DO DIA",C582)),0,IF(ISNUMBER(FIND("SALDO PARCIAL",C582)),0,IF(ISNUMBER(FIND("SDO CTA/APL AUTOMATICAS",C582)),0,IF(ISNUMBER(FIND("APL APLIC AUT MAIS",C582)),0,IF(ISNUMBER(FIND("TEC DEPOSITO",C582)),0,IF(E582&gt;0,0,E582*(-1))))))))</f>
        <v>118.11</v>
      </c>
      <c r="G582" s="60" t="n">
        <f aca="false">IF(ISNUMBER(FIND("SALDO ANTERIOR",C582)),0,IF(ISNUMBER(FIND("SALDO DO DIA",C582)),0,IF(ISNUMBER(FIND("SDO CTA/APL AUTOMATICAS",C582)),0,IF(ISNUMBER(FIND("TEC DEPOSITO",C582)),0,IF(ISNUMBER(FIND("APL APLIC AUT MAIS",C582)),E582,IF(E582&gt;0,E582,0))))))</f>
        <v>0</v>
      </c>
      <c r="H582" s="33" t="n">
        <v>44348</v>
      </c>
    </row>
    <row r="583" customFormat="false" ht="15.8" hidden="false" customHeight="false" outlineLevel="0" collapsed="false">
      <c r="A583" s="30" t="s">
        <v>64</v>
      </c>
      <c r="B583" s="22" t="s">
        <v>453</v>
      </c>
      <c r="C583" s="22" t="s">
        <v>133</v>
      </c>
      <c r="D583" s="69" t="s">
        <v>56</v>
      </c>
      <c r="E583" s="71" t="n">
        <v>-13</v>
      </c>
      <c r="F583" s="59" t="n">
        <f aca="false">IF(ISNUMBER(FIND("SALDO ANTERIOR",C583)),0,IF(ISNUMBER(FIND("SALDO DO DIA",C583)),0,IF(ISNUMBER(FIND("SALDO PARCIAL",C583)),0,IF(ISNUMBER(FIND("SDO CTA/APL AUTOMATICAS",C583)),0,IF(ISNUMBER(FIND("APL APLIC AUT MAIS",C583)),0,IF(ISNUMBER(FIND("TEC DEPOSITO",C583)),0,IF(E583&gt;0,0,E583*(-1))))))))</f>
        <v>13</v>
      </c>
      <c r="G583" s="60" t="n">
        <f aca="false">IF(ISNUMBER(FIND("SALDO ANTERIOR",C583)),0,IF(ISNUMBER(FIND("SALDO DO DIA",C583)),0,IF(ISNUMBER(FIND("SDO CTA/APL AUTOMATICAS",C583)),0,IF(ISNUMBER(FIND("TEC DEPOSITO",C583)),0,IF(ISNUMBER(FIND("APL APLIC AUT MAIS",C583)),E583,IF(E583&gt;0,E583,0))))))</f>
        <v>0</v>
      </c>
      <c r="H583" s="33" t="n">
        <v>44348</v>
      </c>
    </row>
    <row r="584" customFormat="false" ht="15.8" hidden="false" customHeight="false" outlineLevel="0" collapsed="false">
      <c r="A584" s="30" t="s">
        <v>148</v>
      </c>
      <c r="B584" s="22" t="s">
        <v>453</v>
      </c>
      <c r="C584" s="22" t="s">
        <v>456</v>
      </c>
      <c r="D584" s="69" t="s">
        <v>457</v>
      </c>
      <c r="E584" s="71" t="n">
        <v>-148</v>
      </c>
      <c r="F584" s="59" t="n">
        <f aca="false">IF(ISNUMBER(FIND("SALDO ANTERIOR",C584)),0,IF(ISNUMBER(FIND("SALDO DO DIA",C584)),0,IF(ISNUMBER(FIND("SALDO PARCIAL",C584)),0,IF(ISNUMBER(FIND("SDO CTA/APL AUTOMATICAS",C584)),0,IF(ISNUMBER(FIND("APL APLIC AUT MAIS",C584)),0,IF(ISNUMBER(FIND("TEC DEPOSITO",C584)),0,IF(E584&gt;0,0,E584*(-1))))))))</f>
        <v>148</v>
      </c>
      <c r="G584" s="60" t="n">
        <f aca="false">IF(ISNUMBER(FIND("SALDO ANTERIOR",C584)),0,IF(ISNUMBER(FIND("SALDO DO DIA",C584)),0,IF(ISNUMBER(FIND("SDO CTA/APL AUTOMATICAS",C584)),0,IF(ISNUMBER(FIND("TEC DEPOSITO",C584)),0,IF(ISNUMBER(FIND("APL APLIC AUT MAIS",C584)),E584,IF(E584&gt;0,E584,0))))))</f>
        <v>0</v>
      </c>
      <c r="H584" s="33" t="n">
        <v>44348</v>
      </c>
    </row>
    <row r="585" customFormat="false" ht="17" hidden="false" customHeight="false" outlineLevel="0" collapsed="false">
      <c r="A585" s="30" t="s">
        <v>31</v>
      </c>
      <c r="B585" s="22" t="s">
        <v>453</v>
      </c>
      <c r="C585" s="68" t="s">
        <v>68</v>
      </c>
      <c r="D585" s="69"/>
      <c r="E585" s="70"/>
      <c r="F585" s="59" t="n">
        <f aca="false">IF(ISNUMBER(FIND("SALDO ANTERIOR",C585)),0,IF(ISNUMBER(FIND("SALDO DO DIA",C585)),0,IF(ISNUMBER(FIND("SALDO PARCIAL",C585)),0,IF(ISNUMBER(FIND("SDO CTA/APL AUTOMATICAS",C585)),0,IF(ISNUMBER(FIND("APL APLIC AUT MAIS",C585)),0,IF(ISNUMBER(FIND("TEC DEPOSITO",C585)),0,IF(E585&gt;0,0,E585*(-1))))))))</f>
        <v>0</v>
      </c>
      <c r="G585" s="60" t="n">
        <f aca="false">IF(ISNUMBER(FIND("SALDO ANTERIOR",C585)),0,IF(ISNUMBER(FIND("SALDO DO DIA",C585)),0,IF(ISNUMBER(FIND("SDO CTA/APL AUTOMATICAS",C585)),0,IF(ISNUMBER(FIND("TEC DEPOSITO",C585)),0,IF(ISNUMBER(FIND("APL APLIC AUT MAIS",C585)),E585,IF(E585&gt;0,E585,0))))))</f>
        <v>0</v>
      </c>
      <c r="H585" s="33" t="n">
        <v>44348</v>
      </c>
    </row>
    <row r="586" customFormat="false" ht="15.8" hidden="false" customHeight="false" outlineLevel="0" collapsed="false">
      <c r="A586" s="30" t="s">
        <v>59</v>
      </c>
      <c r="B586" s="22" t="s">
        <v>458</v>
      </c>
      <c r="C586" s="22" t="s">
        <v>459</v>
      </c>
      <c r="D586" s="69" t="s">
        <v>460</v>
      </c>
      <c r="E586" s="71" t="n">
        <v>-24</v>
      </c>
      <c r="F586" s="59" t="n">
        <f aca="false">IF(ISNUMBER(FIND("SALDO ANTERIOR",C586)),0,IF(ISNUMBER(FIND("SALDO DO DIA",C586)),0,IF(ISNUMBER(FIND("SALDO PARCIAL",C586)),0,IF(ISNUMBER(FIND("SDO CTA/APL AUTOMATICAS",C586)),0,IF(ISNUMBER(FIND("APL APLIC AUT MAIS",C586)),0,IF(ISNUMBER(FIND("TEC DEPOSITO",C586)),0,IF(E586&gt;0,0,E586*(-1))))))))</f>
        <v>24</v>
      </c>
      <c r="G586" s="60" t="n">
        <f aca="false">IF(ISNUMBER(FIND("SALDO ANTERIOR",C586)),0,IF(ISNUMBER(FIND("SALDO DO DIA",C586)),0,IF(ISNUMBER(FIND("SDO CTA/APL AUTOMATICAS",C586)),0,IF(ISNUMBER(FIND("TEC DEPOSITO",C586)),0,IF(ISNUMBER(FIND("APL APLIC AUT MAIS",C586)),E586,IF(E586&gt;0,E586,0))))))</f>
        <v>0</v>
      </c>
      <c r="H586" s="33" t="n">
        <v>44348</v>
      </c>
    </row>
    <row r="587" customFormat="false" ht="15.8" hidden="false" customHeight="false" outlineLevel="0" collapsed="false">
      <c r="A587" s="30" t="s">
        <v>62</v>
      </c>
      <c r="B587" s="22" t="s">
        <v>458</v>
      </c>
      <c r="C587" s="22" t="s">
        <v>461</v>
      </c>
      <c r="D587" s="69" t="s">
        <v>460</v>
      </c>
      <c r="E587" s="71" t="n">
        <v>-264.04</v>
      </c>
      <c r="F587" s="59" t="n">
        <f aca="false">IF(ISNUMBER(FIND("SALDO ANTERIOR",C587)),0,IF(ISNUMBER(FIND("SALDO DO DIA",C587)),0,IF(ISNUMBER(FIND("SALDO PARCIAL",C587)),0,IF(ISNUMBER(FIND("SDO CTA/APL AUTOMATICAS",C587)),0,IF(ISNUMBER(FIND("APL APLIC AUT MAIS",C587)),0,IF(ISNUMBER(FIND("TEC DEPOSITO",C587)),0,IF(E587&gt;0,0,E587*(-1))))))))</f>
        <v>264.04</v>
      </c>
      <c r="G587" s="60" t="n">
        <f aca="false">IF(ISNUMBER(FIND("SALDO ANTERIOR",C587)),0,IF(ISNUMBER(FIND("SALDO DO DIA",C587)),0,IF(ISNUMBER(FIND("SDO CTA/APL AUTOMATICAS",C587)),0,IF(ISNUMBER(FIND("TEC DEPOSITO",C587)),0,IF(ISNUMBER(FIND("APL APLIC AUT MAIS",C587)),E587,IF(E587&gt;0,E587,0))))))</f>
        <v>0</v>
      </c>
      <c r="H587" s="33" t="n">
        <v>44348</v>
      </c>
    </row>
    <row r="588" customFormat="false" ht="15.8" hidden="false" customHeight="false" outlineLevel="0" collapsed="false">
      <c r="A588" s="30" t="s">
        <v>59</v>
      </c>
      <c r="B588" s="22" t="s">
        <v>458</v>
      </c>
      <c r="C588" s="22" t="s">
        <v>462</v>
      </c>
      <c r="D588" s="69" t="s">
        <v>460</v>
      </c>
      <c r="E588" s="71" t="n">
        <v>-14.77</v>
      </c>
      <c r="F588" s="59" t="n">
        <f aca="false">IF(ISNUMBER(FIND("SALDO ANTERIOR",C588)),0,IF(ISNUMBER(FIND("SALDO DO DIA",C588)),0,IF(ISNUMBER(FIND("SALDO PARCIAL",C588)),0,IF(ISNUMBER(FIND("SDO CTA/APL AUTOMATICAS",C588)),0,IF(ISNUMBER(FIND("APL APLIC AUT MAIS",C588)),0,IF(ISNUMBER(FIND("TEC DEPOSITO",C588)),0,IF(E588&gt;0,0,E588*(-1))))))))</f>
        <v>14.77</v>
      </c>
      <c r="G588" s="60" t="n">
        <f aca="false">IF(ISNUMBER(FIND("SALDO ANTERIOR",C588)),0,IF(ISNUMBER(FIND("SALDO DO DIA",C588)),0,IF(ISNUMBER(FIND("SDO CTA/APL AUTOMATICAS",C588)),0,IF(ISNUMBER(FIND("TEC DEPOSITO",C588)),0,IF(ISNUMBER(FIND("APL APLIC AUT MAIS",C588)),E588,IF(E588&gt;0,E588,0))))))</f>
        <v>0</v>
      </c>
      <c r="H588" s="33" t="n">
        <v>44348</v>
      </c>
    </row>
    <row r="589" customFormat="false" ht="15.8" hidden="false" customHeight="false" outlineLevel="0" collapsed="false">
      <c r="A589" s="30" t="s">
        <v>62</v>
      </c>
      <c r="B589" s="22" t="s">
        <v>458</v>
      </c>
      <c r="C589" s="22" t="s">
        <v>209</v>
      </c>
      <c r="D589" s="69" t="s">
        <v>460</v>
      </c>
      <c r="E589" s="71" t="n">
        <v>-46.9</v>
      </c>
      <c r="F589" s="59" t="n">
        <f aca="false">IF(ISNUMBER(FIND("SALDO ANTERIOR",C589)),0,IF(ISNUMBER(FIND("SALDO DO DIA",C589)),0,IF(ISNUMBER(FIND("SALDO PARCIAL",C589)),0,IF(ISNUMBER(FIND("SDO CTA/APL AUTOMATICAS",C589)),0,IF(ISNUMBER(FIND("APL APLIC AUT MAIS",C589)),0,IF(ISNUMBER(FIND("TEC DEPOSITO",C589)),0,IF(E589&gt;0,0,E589*(-1))))))))</f>
        <v>46.9</v>
      </c>
      <c r="G589" s="60" t="n">
        <f aca="false">IF(ISNUMBER(FIND("SALDO ANTERIOR",C589)),0,IF(ISNUMBER(FIND("SALDO DO DIA",C589)),0,IF(ISNUMBER(FIND("SDO CTA/APL AUTOMATICAS",C589)),0,IF(ISNUMBER(FIND("TEC DEPOSITO",C589)),0,IF(ISNUMBER(FIND("APL APLIC AUT MAIS",C589)),E589,IF(E589&gt;0,E589,0))))))</f>
        <v>0</v>
      </c>
      <c r="H589" s="33" t="n">
        <v>44348</v>
      </c>
    </row>
    <row r="590" customFormat="false" ht="17" hidden="false" customHeight="false" outlineLevel="0" collapsed="false">
      <c r="A590" s="30" t="s">
        <v>31</v>
      </c>
      <c r="B590" s="22" t="s">
        <v>458</v>
      </c>
      <c r="C590" s="68" t="s">
        <v>68</v>
      </c>
      <c r="D590" s="69"/>
      <c r="E590" s="71"/>
      <c r="F590" s="59" t="n">
        <f aca="false">IF(ISNUMBER(FIND("SALDO ANTERIOR",C590)),0,IF(ISNUMBER(FIND("SALDO DO DIA",C590)),0,IF(ISNUMBER(FIND("SALDO PARCIAL",C590)),0,IF(ISNUMBER(FIND("SDO CTA/APL AUTOMATICAS",C590)),0,IF(ISNUMBER(FIND("APL APLIC AUT MAIS",C590)),0,IF(ISNUMBER(FIND("TEC DEPOSITO",C590)),0,IF(E590&gt;0,0,E590*(-1))))))))</f>
        <v>0</v>
      </c>
      <c r="G590" s="60" t="n">
        <f aca="false">IF(ISNUMBER(FIND("SALDO ANTERIOR",C590)),0,IF(ISNUMBER(FIND("SALDO DO DIA",C590)),0,IF(ISNUMBER(FIND("SDO CTA/APL AUTOMATICAS",C590)),0,IF(ISNUMBER(FIND("TEC DEPOSITO",C590)),0,IF(ISNUMBER(FIND("APL APLIC AUT MAIS",C590)),E590,IF(E590&gt;0,E590,0))))))</f>
        <v>0</v>
      </c>
      <c r="H590" s="33" t="n">
        <v>44348</v>
      </c>
    </row>
    <row r="592" customFormat="false" ht="15.8" hidden="false" customHeight="false" outlineLevel="0" collapsed="false"/>
    <row r="593" customFormat="false" ht="17" hidden="false" customHeight="false" outlineLevel="0" collapsed="false"/>
    <row r="594" customFormat="false" ht="15.8" hidden="false" customHeight="false" outlineLevel="0" collapsed="false"/>
    <row r="595" customFormat="false" ht="15.8" hidden="false" customHeight="false" outlineLevel="0" collapsed="false"/>
    <row r="596" customFormat="false" ht="17" hidden="false" customHeight="false" outlineLevel="0" collapsed="false"/>
    <row r="597" customFormat="false" ht="15.8" hidden="false" customHeight="false" outlineLevel="0" collapsed="false"/>
    <row r="598" customFormat="false" ht="17" hidden="false" customHeight="false" outlineLevel="0" collapsed="false"/>
    <row r="599" customFormat="false" ht="15.8" hidden="false" customHeight="false" outlineLevel="0" collapsed="false"/>
    <row r="600" customFormat="false" ht="15.8" hidden="false" customHeight="false" outlineLevel="0" collapsed="false"/>
    <row r="601" customFormat="false" ht="15.8" hidden="false" customHeight="false" outlineLevel="0" collapsed="false"/>
    <row r="602" customFormat="false" ht="15.8" hidden="false" customHeight="false" outlineLevel="0" collapsed="false"/>
    <row r="603" customFormat="false" ht="15.8" hidden="false" customHeight="false" outlineLevel="0" collapsed="false"/>
    <row r="604" customFormat="false" ht="15.8" hidden="false" customHeight="false" outlineLevel="0" collapsed="false"/>
    <row r="605" customFormat="false" ht="17" hidden="false" customHeight="false" outlineLevel="0" collapsed="false"/>
    <row r="606" customFormat="false" ht="15.8" hidden="false" customHeight="false" outlineLevel="0" collapsed="false"/>
    <row r="607" customFormat="false" ht="15.8" hidden="false" customHeight="false" outlineLevel="0" collapsed="false"/>
    <row r="608" customFormat="false" ht="17" hidden="false" customHeight="false" outlineLevel="0" collapsed="false"/>
    <row r="609" customFormat="false" ht="15.8" hidden="false" customHeight="false" outlineLevel="0" collapsed="false"/>
    <row r="610" customFormat="false" ht="15.8" hidden="false" customHeight="false" outlineLevel="0" collapsed="false"/>
    <row r="611" customFormat="false" ht="17" hidden="false" customHeight="false" outlineLevel="0" collapsed="false"/>
    <row r="612" customFormat="false" ht="15.8" hidden="false" customHeight="false" outlineLevel="0" collapsed="false"/>
    <row r="613" customFormat="false" ht="17" hidden="false" customHeight="false" outlineLevel="0" collapsed="false"/>
    <row r="614" customFormat="false" ht="15.8" hidden="false" customHeight="false" outlineLevel="0" collapsed="false"/>
    <row r="615" customFormat="false" ht="15.8" hidden="false" customHeight="false" outlineLevel="0" collapsed="false"/>
    <row r="616" customFormat="false" ht="15.8" hidden="false" customHeight="false" outlineLevel="0" collapsed="false"/>
    <row r="617" customFormat="false" ht="15.8" hidden="false" customHeight="false" outlineLevel="0" collapsed="false"/>
    <row r="618" customFormat="false" ht="15.8" hidden="false" customHeight="false" outlineLevel="0" collapsed="false"/>
    <row r="619" customFormat="false" ht="15.8" hidden="false" customHeight="false" outlineLevel="0" collapsed="false"/>
    <row r="620" customFormat="false" ht="17" hidden="false" customHeight="false" outlineLevel="0" collapsed="false"/>
    <row r="621" customFormat="false" ht="15.8" hidden="false" customHeight="false" outlineLevel="0" collapsed="false"/>
    <row r="622" customFormat="false" ht="15.8" hidden="false" customHeight="false" outlineLevel="0" collapsed="false"/>
    <row r="623" customFormat="false" ht="17" hidden="false" customHeight="false" outlineLevel="0" collapsed="false"/>
    <row r="624" customFormat="false" ht="15.8" hidden="false" customHeight="false" outlineLevel="0" collapsed="false"/>
    <row r="625" customFormat="false" ht="15.8" hidden="false" customHeight="false" outlineLevel="0" collapsed="false"/>
    <row r="626" customFormat="false" ht="17" hidden="false" customHeight="false" outlineLevel="0" collapsed="false"/>
    <row r="627" customFormat="false" ht="15.8" hidden="false" customHeight="false" outlineLevel="0" collapsed="false"/>
    <row r="628" customFormat="false" ht="17" hidden="false" customHeight="false" outlineLevel="0" collapsed="false"/>
    <row r="629" customFormat="false" ht="15.8" hidden="false" customHeight="false" outlineLevel="0" collapsed="false"/>
    <row r="630" customFormat="false" ht="15.8" hidden="false" customHeight="false" outlineLevel="0" collapsed="false"/>
    <row r="631" customFormat="false" ht="15.8" hidden="false" customHeight="false" outlineLevel="0" collapsed="false"/>
    <row r="632" customFormat="false" ht="15.8" hidden="false" customHeight="false" outlineLevel="0" collapsed="false"/>
    <row r="633" customFormat="false" ht="15.8" hidden="false" customHeight="false" outlineLevel="0" collapsed="false"/>
    <row r="634" customFormat="false" ht="15.8" hidden="false" customHeight="false" outlineLevel="0" collapsed="false"/>
    <row r="635" customFormat="false" ht="17" hidden="false" customHeight="false" outlineLevel="0" collapsed="false"/>
    <row r="636" customFormat="false" ht="15.8" hidden="false" customHeight="false" outlineLevel="0" collapsed="false"/>
    <row r="637" customFormat="false" ht="15.8" hidden="false" customHeight="false" outlineLevel="0" collapsed="false"/>
    <row r="638" customFormat="false" ht="17" hidden="false" customHeight="false" outlineLevel="0" collapsed="false"/>
    <row r="639" customFormat="false" ht="15.8" hidden="false" customHeight="false" outlineLevel="0" collapsed="false"/>
    <row r="640" customFormat="false" ht="15.8" hidden="false" customHeight="false" outlineLevel="0" collapsed="false"/>
    <row r="641" customFormat="false" ht="17" hidden="false" customHeight="false" outlineLevel="0" collapsed="false"/>
    <row r="642" customFormat="false" ht="15.8" hidden="false" customHeight="false" outlineLevel="0" collapsed="false"/>
    <row r="643" customFormat="false" ht="17" hidden="false" customHeight="false" outlineLevel="0" collapsed="false"/>
    <row r="644" customFormat="false" ht="15.8" hidden="false" customHeight="false" outlineLevel="0" collapsed="false"/>
    <row r="645" customFormat="false" ht="15.8" hidden="false" customHeight="false" outlineLevel="0" collapsed="false"/>
    <row r="646" customFormat="false" ht="15.8" hidden="false" customHeight="false" outlineLevel="0" collapsed="false"/>
    <row r="647" customFormat="false" ht="15.8" hidden="false" customHeight="false" outlineLevel="0" collapsed="false"/>
    <row r="648" customFormat="false" ht="15.8" hidden="false" customHeight="false" outlineLevel="0" collapsed="false"/>
    <row r="649" customFormat="false" ht="15.8" hidden="false" customHeight="false" outlineLevel="0" collapsed="false"/>
    <row r="650" customFormat="false" ht="17" hidden="false" customHeight="false" outlineLevel="0" collapsed="false"/>
    <row r="651" customFormat="false" ht="15.8" hidden="false" customHeight="false" outlineLevel="0" collapsed="false"/>
    <row r="652" customFormat="false" ht="15.8" hidden="false" customHeight="false" outlineLevel="0" collapsed="false"/>
    <row r="653" customFormat="false" ht="17" hidden="false" customHeight="false" outlineLevel="0" collapsed="false"/>
    <row r="654" customFormat="false" ht="15.8" hidden="false" customHeight="false" outlineLevel="0" collapsed="false"/>
    <row r="655" customFormat="false" ht="15.8" hidden="false" customHeight="false" outlineLevel="0" collapsed="false"/>
    <row r="656" customFormat="false" ht="17" hidden="false" customHeight="false" outlineLevel="0" collapsed="false"/>
    <row r="657" customFormat="false" ht="15.8" hidden="false" customHeight="false" outlineLevel="0" collapsed="false"/>
    <row r="658" customFormat="false" ht="17" hidden="false" customHeight="false" outlineLevel="0" collapsed="false"/>
    <row r="659" customFormat="false" ht="15.8" hidden="false" customHeight="false" outlineLevel="0" collapsed="false"/>
    <row r="660" customFormat="false" ht="15.8" hidden="false" customHeight="false" outlineLevel="0" collapsed="false"/>
    <row r="661" customFormat="false" ht="15.8" hidden="false" customHeight="false" outlineLevel="0" collapsed="false"/>
    <row r="662" customFormat="false" ht="15.8" hidden="false" customHeight="false" outlineLevel="0" collapsed="false"/>
    <row r="663" customFormat="false" ht="15.8" hidden="false" customHeight="false" outlineLevel="0" collapsed="false"/>
    <row r="664" customFormat="false" ht="15.8" hidden="false" customHeight="false" outlineLevel="0" collapsed="false"/>
    <row r="665" customFormat="false" ht="17" hidden="false" customHeight="false" outlineLevel="0" collapsed="false"/>
    <row r="666" customFormat="false" ht="15.8" hidden="false" customHeight="false" outlineLevel="0" collapsed="false"/>
    <row r="667" customFormat="false" ht="15.8" hidden="false" customHeight="false" outlineLevel="0" collapsed="false"/>
    <row r="668" customFormat="false" ht="17" hidden="false" customHeight="false" outlineLevel="0" collapsed="false"/>
    <row r="669" customFormat="false" ht="15.8" hidden="false" customHeight="false" outlineLevel="0" collapsed="false"/>
    <row r="670" customFormat="false" ht="15.8" hidden="false" customHeight="false" outlineLevel="0" collapsed="false"/>
    <row r="671" customFormat="false" ht="17" hidden="false" customHeight="false" outlineLevel="0" collapsed="false"/>
    <row r="672" customFormat="false" ht="15.8" hidden="false" customHeight="false" outlineLevel="0" collapsed="false"/>
    <row r="673" customFormat="false" ht="17" hidden="false" customHeight="false" outlineLevel="0" collapsed="false"/>
    <row r="674" customFormat="false" ht="15.8" hidden="false" customHeight="false" outlineLevel="0" collapsed="false"/>
    <row r="675" customFormat="false" ht="15.8" hidden="false" customHeight="false" outlineLevel="0" collapsed="false"/>
    <row r="676" customFormat="false" ht="15.8" hidden="false" customHeight="false" outlineLevel="0" collapsed="false"/>
    <row r="677" customFormat="false" ht="15.8" hidden="false" customHeight="false" outlineLevel="0" collapsed="false"/>
    <row r="678" customFormat="false" ht="15.8" hidden="false" customHeight="false" outlineLevel="0" collapsed="false"/>
    <row r="679" customFormat="false" ht="15.8" hidden="false" customHeight="false" outlineLevel="0" collapsed="false"/>
    <row r="680" customFormat="false" ht="17" hidden="false" customHeight="false" outlineLevel="0" collapsed="false"/>
    <row r="681" customFormat="false" ht="15.8" hidden="false" customHeight="false" outlineLevel="0" collapsed="false"/>
    <row r="682" customFormat="false" ht="15.8" hidden="false" customHeight="false" outlineLevel="0" collapsed="false"/>
    <row r="683" customFormat="false" ht="17" hidden="false" customHeight="false" outlineLevel="0" collapsed="false"/>
    <row r="684" customFormat="false" ht="15.8" hidden="false" customHeight="false" outlineLevel="0" collapsed="false"/>
    <row r="685" customFormat="false" ht="15.8" hidden="false" customHeight="false" outlineLevel="0" collapsed="false"/>
    <row r="686" customFormat="false" ht="17" hidden="false" customHeight="false" outlineLevel="0" collapsed="false"/>
    <row r="687" customFormat="false" ht="15.8" hidden="false" customHeight="false" outlineLevel="0" collapsed="false"/>
    <row r="688" customFormat="false" ht="17" hidden="false" customHeight="false" outlineLevel="0" collapsed="false"/>
    <row r="689" customFormat="false" ht="15.8" hidden="false" customHeight="false" outlineLevel="0" collapsed="false"/>
    <row r="690" customFormat="false" ht="15.8" hidden="false" customHeight="false" outlineLevel="0" collapsed="false"/>
    <row r="691" customFormat="false" ht="15.8" hidden="false" customHeight="false" outlineLevel="0" collapsed="false"/>
    <row r="692" customFormat="false" ht="15.8" hidden="false" customHeight="false" outlineLevel="0" collapsed="false"/>
    <row r="693" customFormat="false" ht="15.8" hidden="false" customHeight="false" outlineLevel="0" collapsed="false"/>
    <row r="694" customFormat="false" ht="15.8" hidden="false" customHeight="false" outlineLevel="0" collapsed="false"/>
    <row r="695" customFormat="false" ht="17" hidden="false" customHeight="false" outlineLevel="0" collapsed="false"/>
    <row r="696" customFormat="false" ht="15.8" hidden="false" customHeight="false" outlineLevel="0" collapsed="false"/>
    <row r="697" customFormat="false" ht="15.8" hidden="false" customHeight="false" outlineLevel="0" collapsed="false"/>
    <row r="698" customFormat="false" ht="17" hidden="false" customHeight="false" outlineLevel="0" collapsed="false"/>
    <row r="699" customFormat="false" ht="15.8" hidden="false" customHeight="false" outlineLevel="0" collapsed="false"/>
    <row r="700" customFormat="false" ht="15.8" hidden="false" customHeight="false" outlineLevel="0" collapsed="false"/>
    <row r="701" customFormat="false" ht="17" hidden="false" customHeight="false" outlineLevel="0" collapsed="false"/>
    <row r="702" customFormat="false" ht="15.8" hidden="false" customHeight="false" outlineLevel="0" collapsed="false"/>
    <row r="703" customFormat="false" ht="17" hidden="false" customHeight="false" outlineLevel="0" collapsed="false"/>
    <row r="704" customFormat="false" ht="15.8" hidden="false" customHeight="false" outlineLevel="0" collapsed="false"/>
    <row r="705" customFormat="false" ht="15.8" hidden="false" customHeight="false" outlineLevel="0" collapsed="false"/>
    <row r="706" customFormat="false" ht="15.8" hidden="false" customHeight="false" outlineLevel="0" collapsed="false"/>
    <row r="707" customFormat="false" ht="15.8" hidden="false" customHeight="false" outlineLevel="0" collapsed="false"/>
    <row r="708" customFormat="false" ht="15.8" hidden="false" customHeight="false" outlineLevel="0" collapsed="false"/>
    <row r="709" customFormat="false" ht="15.8" hidden="false" customHeight="false" outlineLevel="0" collapsed="false"/>
    <row r="710" customFormat="false" ht="17" hidden="false" customHeight="false" outlineLevel="0" collapsed="false"/>
    <row r="711" customFormat="false" ht="15.8" hidden="false" customHeight="false" outlineLevel="0" collapsed="false"/>
    <row r="712" customFormat="false" ht="15.8" hidden="false" customHeight="false" outlineLevel="0" collapsed="false"/>
    <row r="713" customFormat="false" ht="17" hidden="false" customHeight="false" outlineLevel="0" collapsed="false"/>
    <row r="714" customFormat="false" ht="15.8" hidden="false" customHeight="false" outlineLevel="0" collapsed="false"/>
    <row r="715" customFormat="false" ht="15.8" hidden="false" customHeight="false" outlineLevel="0" collapsed="false"/>
    <row r="716" customFormat="false" ht="17" hidden="false" customHeight="false" outlineLevel="0" collapsed="false"/>
    <row r="717" customFormat="false" ht="15.8" hidden="false" customHeight="false" outlineLevel="0" collapsed="false"/>
    <row r="718" customFormat="false" ht="17" hidden="false" customHeight="false" outlineLevel="0" collapsed="false"/>
    <row r="719" customFormat="false" ht="15.8" hidden="false" customHeight="false" outlineLevel="0" collapsed="false"/>
    <row r="720" customFormat="false" ht="15.8" hidden="false" customHeight="false" outlineLevel="0" collapsed="false"/>
    <row r="721" customFormat="false" ht="15.8" hidden="false" customHeight="false" outlineLevel="0" collapsed="false"/>
    <row r="722" customFormat="false" ht="15.8" hidden="false" customHeight="false" outlineLevel="0" collapsed="false"/>
    <row r="723" customFormat="false" ht="15.8" hidden="false" customHeight="false" outlineLevel="0" collapsed="false"/>
    <row r="724" customFormat="false" ht="15.8" hidden="false" customHeight="false" outlineLevel="0" collapsed="false"/>
    <row r="725" customFormat="false" ht="17" hidden="false" customHeight="false" outlineLevel="0" collapsed="false"/>
    <row r="726" customFormat="false" ht="15.8" hidden="false" customHeight="false" outlineLevel="0" collapsed="false"/>
    <row r="727" customFormat="false" ht="15.8" hidden="false" customHeight="false" outlineLevel="0" collapsed="false"/>
    <row r="728" customFormat="false" ht="17" hidden="false" customHeight="false" outlineLevel="0" collapsed="false"/>
    <row r="729" customFormat="false" ht="15.8" hidden="false" customHeight="false" outlineLevel="0" collapsed="false"/>
    <row r="730" customFormat="false" ht="15.8" hidden="false" customHeight="false" outlineLevel="0" collapsed="false"/>
    <row r="731" customFormat="false" ht="17" hidden="false" customHeight="false" outlineLevel="0" collapsed="false"/>
    <row r="732" customFormat="false" ht="15.8" hidden="false" customHeight="false" outlineLevel="0" collapsed="false"/>
    <row r="733" customFormat="false" ht="17" hidden="false" customHeight="false" outlineLevel="0" collapsed="false"/>
    <row r="734" customFormat="false" ht="15.8" hidden="false" customHeight="false" outlineLevel="0" collapsed="false"/>
    <row r="735" customFormat="false" ht="15.8" hidden="false" customHeight="false" outlineLevel="0" collapsed="false"/>
    <row r="736" customFormat="false" ht="15.8" hidden="false" customHeight="false" outlineLevel="0" collapsed="false"/>
    <row r="737" customFormat="false" ht="15.8" hidden="false" customHeight="false" outlineLevel="0" collapsed="false"/>
    <row r="738" customFormat="false" ht="15.8" hidden="false" customHeight="false" outlineLevel="0" collapsed="false"/>
    <row r="739" customFormat="false" ht="15.8" hidden="false" customHeight="false" outlineLevel="0" collapsed="false"/>
    <row r="740" customFormat="false" ht="17" hidden="false" customHeight="false" outlineLevel="0" collapsed="false"/>
    <row r="741" customFormat="false" ht="15.8" hidden="false" customHeight="false" outlineLevel="0" collapsed="false"/>
    <row r="742" customFormat="false" ht="15.8" hidden="false" customHeight="false" outlineLevel="0" collapsed="false"/>
    <row r="743" customFormat="false" ht="17" hidden="false" customHeight="false" outlineLevel="0" collapsed="false"/>
    <row r="744" customFormat="false" ht="15.8" hidden="false" customHeight="false" outlineLevel="0" collapsed="false"/>
    <row r="745" customFormat="false" ht="15.8" hidden="false" customHeight="false" outlineLevel="0" collapsed="false"/>
    <row r="746" customFormat="false" ht="17" hidden="false" customHeight="false" outlineLevel="0" collapsed="false"/>
    <row r="747" customFormat="false" ht="15.8" hidden="false" customHeight="false" outlineLevel="0" collapsed="false"/>
    <row r="748" customFormat="false" ht="17" hidden="false" customHeight="false" outlineLevel="0" collapsed="false"/>
    <row r="749" customFormat="false" ht="15.8" hidden="false" customHeight="false" outlineLevel="0" collapsed="false"/>
    <row r="750" customFormat="false" ht="15.8" hidden="false" customHeight="false" outlineLevel="0" collapsed="false"/>
    <row r="751" customFormat="false" ht="15.8" hidden="false" customHeight="false" outlineLevel="0" collapsed="false"/>
    <row r="752" customFormat="false" ht="15.8" hidden="false" customHeight="false" outlineLevel="0" collapsed="false"/>
    <row r="753" customFormat="false" ht="15.8" hidden="false" customHeight="false" outlineLevel="0" collapsed="false"/>
    <row r="754" customFormat="false" ht="15.8" hidden="false" customHeight="false" outlineLevel="0" collapsed="false"/>
    <row r="755" customFormat="false" ht="17" hidden="false" customHeight="false" outlineLevel="0" collapsed="false"/>
    <row r="756" customFormat="false" ht="15.8" hidden="false" customHeight="false" outlineLevel="0" collapsed="false"/>
    <row r="757" customFormat="false" ht="15.8" hidden="false" customHeight="false" outlineLevel="0" collapsed="false"/>
    <row r="758" customFormat="false" ht="17" hidden="false" customHeight="false" outlineLevel="0" collapsed="false"/>
    <row r="759" customFormat="false" ht="15.8" hidden="false" customHeight="false" outlineLevel="0" collapsed="false"/>
    <row r="760" customFormat="false" ht="15.8" hidden="false" customHeight="false" outlineLevel="0" collapsed="false"/>
    <row r="761" customFormat="false" ht="17" hidden="false" customHeight="false" outlineLevel="0" collapsed="false"/>
    <row r="762" customFormat="false" ht="15.8" hidden="false" customHeight="false" outlineLevel="0" collapsed="false"/>
    <row r="763" customFormat="false" ht="17" hidden="false" customHeight="false" outlineLevel="0" collapsed="false"/>
    <row r="764" customFormat="false" ht="15.8" hidden="false" customHeight="false" outlineLevel="0" collapsed="false"/>
    <row r="765" customFormat="false" ht="15.8" hidden="false" customHeight="false" outlineLevel="0" collapsed="false"/>
    <row r="766" customFormat="false" ht="15.8" hidden="false" customHeight="false" outlineLevel="0" collapsed="false"/>
    <row r="767" customFormat="false" ht="15.8" hidden="false" customHeight="false" outlineLevel="0" collapsed="false"/>
    <row r="768" customFormat="false" ht="15.8" hidden="false" customHeight="false" outlineLevel="0" collapsed="false"/>
    <row r="769" customFormat="false" ht="15.8" hidden="false" customHeight="false" outlineLevel="0" collapsed="false"/>
    <row r="770" customFormat="false" ht="17" hidden="false" customHeight="false" outlineLevel="0" collapsed="false"/>
    <row r="771" customFormat="false" ht="15.8" hidden="false" customHeight="false" outlineLevel="0" collapsed="false"/>
    <row r="772" customFormat="false" ht="15.8" hidden="false" customHeight="false" outlineLevel="0" collapsed="false"/>
    <row r="773" customFormat="false" ht="17" hidden="false" customHeight="false" outlineLevel="0" collapsed="false"/>
    <row r="774" customFormat="false" ht="15.8" hidden="false" customHeight="false" outlineLevel="0" collapsed="false"/>
    <row r="775" customFormat="false" ht="15.8" hidden="false" customHeight="false" outlineLevel="0" collapsed="false"/>
    <row r="776" customFormat="false" ht="17" hidden="false" customHeight="false" outlineLevel="0" collapsed="false"/>
    <row r="777" customFormat="false" ht="15.8" hidden="false" customHeight="false" outlineLevel="0" collapsed="false"/>
    <row r="778" customFormat="false" ht="17" hidden="false" customHeight="false" outlineLevel="0" collapsed="false"/>
    <row r="779" customFormat="false" ht="15.8" hidden="false" customHeight="false" outlineLevel="0" collapsed="false"/>
    <row r="780" customFormat="false" ht="15.8" hidden="false" customHeight="false" outlineLevel="0" collapsed="false"/>
    <row r="781" customFormat="false" ht="15.8" hidden="false" customHeight="false" outlineLevel="0" collapsed="false"/>
    <row r="782" customFormat="false" ht="15.8" hidden="false" customHeight="false" outlineLevel="0" collapsed="false"/>
    <row r="783" customFormat="false" ht="15.8" hidden="false" customHeight="false" outlineLevel="0" collapsed="false"/>
    <row r="784" customFormat="false" ht="15.8" hidden="false" customHeight="false" outlineLevel="0" collapsed="false"/>
    <row r="785" customFormat="false" ht="17" hidden="false" customHeight="false" outlineLevel="0" collapsed="false"/>
    <row r="786" customFormat="false" ht="15.8" hidden="false" customHeight="false" outlineLevel="0" collapsed="false"/>
    <row r="787" customFormat="false" ht="15.8" hidden="false" customHeight="false" outlineLevel="0" collapsed="false"/>
    <row r="788" customFormat="false" ht="17" hidden="false" customHeight="false" outlineLevel="0" collapsed="false"/>
    <row r="789" customFormat="false" ht="15.8" hidden="false" customHeight="false" outlineLevel="0" collapsed="false"/>
    <row r="790" customFormat="false" ht="15.8" hidden="false" customHeight="false" outlineLevel="0" collapsed="false"/>
    <row r="791" customFormat="false" ht="17" hidden="false" customHeight="false" outlineLevel="0" collapsed="false"/>
    <row r="792" customFormat="false" ht="15.8" hidden="false" customHeight="false" outlineLevel="0" collapsed="false"/>
    <row r="793" customFormat="false" ht="17" hidden="false" customHeight="false" outlineLevel="0" collapsed="false"/>
    <row r="794" customFormat="false" ht="15.8" hidden="false" customHeight="false" outlineLevel="0" collapsed="false"/>
    <row r="795" customFormat="false" ht="15.8" hidden="false" customHeight="false" outlineLevel="0" collapsed="false"/>
    <row r="796" customFormat="false" ht="15.8" hidden="false" customHeight="false" outlineLevel="0" collapsed="false"/>
    <row r="797" customFormat="false" ht="15.8" hidden="false" customHeight="false" outlineLevel="0" collapsed="false"/>
    <row r="798" customFormat="false" ht="15.8" hidden="false" customHeight="false" outlineLevel="0" collapsed="false"/>
    <row r="799" customFormat="false" ht="15.8" hidden="false" customHeight="false" outlineLevel="0" collapsed="false"/>
    <row r="800" customFormat="false" ht="17" hidden="false" customHeight="false" outlineLevel="0" collapsed="false"/>
    <row r="801" customFormat="false" ht="15.8" hidden="false" customHeight="false" outlineLevel="0" collapsed="false"/>
    <row r="802" customFormat="false" ht="15.8" hidden="false" customHeight="false" outlineLevel="0" collapsed="false"/>
    <row r="803" customFormat="false" ht="17" hidden="false" customHeight="false" outlineLevel="0" collapsed="false"/>
    <row r="804" customFormat="false" ht="15.8" hidden="false" customHeight="false" outlineLevel="0" collapsed="false"/>
    <row r="805" customFormat="false" ht="15.8" hidden="false" customHeight="false" outlineLevel="0" collapsed="false"/>
    <row r="806" customFormat="false" ht="17" hidden="false" customHeight="false" outlineLevel="0" collapsed="false"/>
    <row r="807" customFormat="false" ht="15.8" hidden="false" customHeight="false" outlineLevel="0" collapsed="false"/>
    <row r="808" customFormat="false" ht="17" hidden="false" customHeight="false" outlineLevel="0" collapsed="false"/>
    <row r="809" customFormat="false" ht="15.8" hidden="false" customHeight="false" outlineLevel="0" collapsed="false"/>
    <row r="810" customFormat="false" ht="15.8" hidden="false" customHeight="false" outlineLevel="0" collapsed="false"/>
    <row r="811" customFormat="false" ht="15.8" hidden="false" customHeight="false" outlineLevel="0" collapsed="false"/>
    <row r="812" customFormat="false" ht="15.8" hidden="false" customHeight="false" outlineLevel="0" collapsed="false"/>
    <row r="813" customFormat="false" ht="15.8" hidden="false" customHeight="false" outlineLevel="0" collapsed="false"/>
    <row r="814" customFormat="false" ht="15.8" hidden="false" customHeight="false" outlineLevel="0" collapsed="false"/>
    <row r="815" customFormat="false" ht="17" hidden="false" customHeight="false" outlineLevel="0" collapsed="false"/>
    <row r="816" customFormat="false" ht="15.8" hidden="false" customHeight="false" outlineLevel="0" collapsed="false"/>
    <row r="817" customFormat="false" ht="15.8" hidden="false" customHeight="false" outlineLevel="0" collapsed="false"/>
    <row r="818" customFormat="false" ht="17" hidden="false" customHeight="false" outlineLevel="0" collapsed="false"/>
    <row r="819" customFormat="false" ht="15.8" hidden="false" customHeight="false" outlineLevel="0" collapsed="false"/>
    <row r="820" customFormat="false" ht="15.8" hidden="false" customHeight="false" outlineLevel="0" collapsed="false"/>
    <row r="821" customFormat="false" ht="17" hidden="false" customHeight="false" outlineLevel="0" collapsed="false"/>
    <row r="822" customFormat="false" ht="15.8" hidden="false" customHeight="false" outlineLevel="0" collapsed="false"/>
    <row r="823" customFormat="false" ht="17" hidden="false" customHeight="false" outlineLevel="0" collapsed="false"/>
    <row r="824" customFormat="false" ht="15.8" hidden="false" customHeight="false" outlineLevel="0" collapsed="false"/>
    <row r="825" customFormat="false" ht="15.8" hidden="false" customHeight="false" outlineLevel="0" collapsed="false"/>
    <row r="826" customFormat="false" ht="15.8" hidden="false" customHeight="false" outlineLevel="0" collapsed="false"/>
    <row r="827" customFormat="false" ht="15.8" hidden="false" customHeight="false" outlineLevel="0" collapsed="false"/>
    <row r="828" customFormat="false" ht="15.8" hidden="false" customHeight="false" outlineLevel="0" collapsed="false"/>
    <row r="829" customFormat="false" ht="15.8" hidden="false" customHeight="false" outlineLevel="0" collapsed="false"/>
    <row r="830" customFormat="false" ht="17" hidden="false" customHeight="false" outlineLevel="0" collapsed="false"/>
    <row r="831" customFormat="false" ht="15.8" hidden="false" customHeight="false" outlineLevel="0" collapsed="false"/>
    <row r="832" customFormat="false" ht="15.8" hidden="false" customHeight="false" outlineLevel="0" collapsed="false"/>
    <row r="833" customFormat="false" ht="17" hidden="false" customHeight="false" outlineLevel="0" collapsed="false"/>
    <row r="834" customFormat="false" ht="15.8" hidden="false" customHeight="false" outlineLevel="0" collapsed="false"/>
    <row r="835" customFormat="false" ht="15.8" hidden="false" customHeight="false" outlineLevel="0" collapsed="false"/>
    <row r="836" customFormat="false" ht="17" hidden="false" customHeight="false" outlineLevel="0" collapsed="false"/>
    <row r="837" customFormat="false" ht="15.8" hidden="false" customHeight="false" outlineLevel="0" collapsed="false"/>
    <row r="838" customFormat="false" ht="17" hidden="false" customHeight="false" outlineLevel="0" collapsed="false"/>
    <row r="839" customFormat="false" ht="15.8" hidden="false" customHeight="false" outlineLevel="0" collapsed="false"/>
    <row r="840" customFormat="false" ht="15.8" hidden="false" customHeight="false" outlineLevel="0" collapsed="false"/>
    <row r="841" customFormat="false" ht="15.8" hidden="false" customHeight="false" outlineLevel="0" collapsed="false"/>
    <row r="842" customFormat="false" ht="15.8" hidden="false" customHeight="false" outlineLevel="0" collapsed="false"/>
    <row r="843" customFormat="false" ht="15.8" hidden="false" customHeight="false" outlineLevel="0" collapsed="false"/>
    <row r="844" customFormat="false" ht="15.8" hidden="false" customHeight="false" outlineLevel="0" collapsed="false"/>
    <row r="845" customFormat="false" ht="17" hidden="false" customHeight="false" outlineLevel="0" collapsed="false"/>
    <row r="846" customFormat="false" ht="15.8" hidden="false" customHeight="false" outlineLevel="0" collapsed="false"/>
    <row r="847" customFormat="false" ht="15.8" hidden="false" customHeight="false" outlineLevel="0" collapsed="false"/>
    <row r="848" customFormat="false" ht="17" hidden="false" customHeight="false" outlineLevel="0" collapsed="false"/>
    <row r="849" customFormat="false" ht="15.8" hidden="false" customHeight="false" outlineLevel="0" collapsed="false"/>
    <row r="850" customFormat="false" ht="15.8" hidden="false" customHeight="false" outlineLevel="0" collapsed="false"/>
    <row r="851" customFormat="false" ht="17" hidden="false" customHeight="false" outlineLevel="0" collapsed="false"/>
    <row r="852" customFormat="false" ht="15.8" hidden="false" customHeight="false" outlineLevel="0" collapsed="false"/>
    <row r="853" customFormat="false" ht="17" hidden="false" customHeight="false" outlineLevel="0" collapsed="false"/>
    <row r="854" customFormat="false" ht="15.8" hidden="false" customHeight="false" outlineLevel="0" collapsed="false"/>
    <row r="855" customFormat="false" ht="15.8" hidden="false" customHeight="false" outlineLevel="0" collapsed="false"/>
    <row r="856" customFormat="false" ht="15.8" hidden="false" customHeight="false" outlineLevel="0" collapsed="false"/>
    <row r="857" customFormat="false" ht="15.8" hidden="false" customHeight="false" outlineLevel="0" collapsed="false"/>
    <row r="858" customFormat="false" ht="15.8" hidden="false" customHeight="false" outlineLevel="0" collapsed="false"/>
    <row r="859" customFormat="false" ht="15.8" hidden="false" customHeight="false" outlineLevel="0" collapsed="false"/>
    <row r="860" customFormat="false" ht="17" hidden="false" customHeight="false" outlineLevel="0" collapsed="false"/>
    <row r="861" customFormat="false" ht="15.8" hidden="false" customHeight="false" outlineLevel="0" collapsed="false"/>
    <row r="862" customFormat="false" ht="15.8" hidden="false" customHeight="false" outlineLevel="0" collapsed="false"/>
    <row r="863" customFormat="false" ht="17" hidden="false" customHeight="false" outlineLevel="0" collapsed="false"/>
    <row r="864" customFormat="false" ht="15.8" hidden="false" customHeight="false" outlineLevel="0" collapsed="false"/>
    <row r="865" customFormat="false" ht="15.8" hidden="false" customHeight="false" outlineLevel="0" collapsed="false"/>
    <row r="866" customFormat="false" ht="17" hidden="false" customHeight="false" outlineLevel="0" collapsed="false"/>
    <row r="867" customFormat="false" ht="15.8" hidden="false" customHeight="false" outlineLevel="0" collapsed="false"/>
    <row r="868" customFormat="false" ht="17" hidden="false" customHeight="false" outlineLevel="0" collapsed="false"/>
    <row r="869" customFormat="false" ht="15.8" hidden="false" customHeight="false" outlineLevel="0" collapsed="false"/>
    <row r="870" customFormat="false" ht="15.8" hidden="false" customHeight="false" outlineLevel="0" collapsed="false"/>
    <row r="871" customFormat="false" ht="15.8" hidden="false" customHeight="false" outlineLevel="0" collapsed="false"/>
    <row r="872" customFormat="false" ht="15.8" hidden="false" customHeight="false" outlineLevel="0" collapsed="false"/>
    <row r="873" customFormat="false" ht="15.8" hidden="false" customHeight="false" outlineLevel="0" collapsed="false"/>
    <row r="874" customFormat="false" ht="15.8" hidden="false" customHeight="false" outlineLevel="0" collapsed="false"/>
    <row r="875" customFormat="false" ht="17" hidden="false" customHeight="false" outlineLevel="0" collapsed="false"/>
    <row r="876" customFormat="false" ht="15.8" hidden="false" customHeight="false" outlineLevel="0" collapsed="false"/>
    <row r="877" customFormat="false" ht="15.8" hidden="false" customHeight="false" outlineLevel="0" collapsed="false"/>
    <row r="878" customFormat="false" ht="17" hidden="false" customHeight="false" outlineLevel="0" collapsed="false"/>
    <row r="879" customFormat="false" ht="15.8" hidden="false" customHeight="false" outlineLevel="0" collapsed="false"/>
    <row r="880" customFormat="false" ht="15.8" hidden="false" customHeight="false" outlineLevel="0" collapsed="false"/>
    <row r="881" customFormat="false" ht="17" hidden="false" customHeight="false" outlineLevel="0" collapsed="false"/>
    <row r="882" customFormat="false" ht="15.8" hidden="false" customHeight="false" outlineLevel="0" collapsed="false"/>
    <row r="883" customFormat="false" ht="17" hidden="false" customHeight="false" outlineLevel="0" collapsed="false"/>
    <row r="884" customFormat="false" ht="15.8" hidden="false" customHeight="false" outlineLevel="0" collapsed="false"/>
    <row r="885" customFormat="false" ht="15.8" hidden="false" customHeight="false" outlineLevel="0" collapsed="false"/>
    <row r="886" customFormat="false" ht="15.8" hidden="false" customHeight="false" outlineLevel="0" collapsed="false"/>
    <row r="887" customFormat="false" ht="15.8" hidden="false" customHeight="false" outlineLevel="0" collapsed="false"/>
    <row r="888" customFormat="false" ht="15.8" hidden="false" customHeight="false" outlineLevel="0" collapsed="false"/>
    <row r="889" customFormat="false" ht="15.8" hidden="false" customHeight="false" outlineLevel="0" collapsed="false"/>
    <row r="890" customFormat="false" ht="17" hidden="false" customHeight="false" outlineLevel="0" collapsed="false"/>
    <row r="891" customFormat="false" ht="15.8" hidden="false" customHeight="false" outlineLevel="0" collapsed="false"/>
    <row r="892" customFormat="false" ht="15.8" hidden="false" customHeight="false" outlineLevel="0" collapsed="false"/>
    <row r="893" customFormat="false" ht="17" hidden="false" customHeight="false" outlineLevel="0" collapsed="false"/>
    <row r="894" customFormat="false" ht="15.8" hidden="false" customHeight="false" outlineLevel="0" collapsed="false"/>
    <row r="895" customFormat="false" ht="15.8" hidden="false" customHeight="false" outlineLevel="0" collapsed="false"/>
    <row r="896" customFormat="false" ht="17" hidden="false" customHeight="false" outlineLevel="0" collapsed="false"/>
    <row r="897" customFormat="false" ht="15.8" hidden="false" customHeight="false" outlineLevel="0" collapsed="false"/>
    <row r="898" customFormat="false" ht="17" hidden="false" customHeight="false" outlineLevel="0" collapsed="false"/>
    <row r="899" customFormat="false" ht="15.8" hidden="false" customHeight="false" outlineLevel="0" collapsed="false"/>
    <row r="900" customFormat="false" ht="15.8" hidden="false" customHeight="false" outlineLevel="0" collapsed="false"/>
    <row r="901" customFormat="false" ht="15.8" hidden="false" customHeight="false" outlineLevel="0" collapsed="false"/>
    <row r="902" customFormat="false" ht="15.8" hidden="false" customHeight="false" outlineLevel="0" collapsed="false"/>
    <row r="903" customFormat="false" ht="15.8" hidden="false" customHeight="false" outlineLevel="0" collapsed="false"/>
    <row r="904" customFormat="false" ht="15.8" hidden="false" customHeight="false" outlineLevel="0" collapsed="false"/>
    <row r="905" customFormat="false" ht="17" hidden="false" customHeight="false" outlineLevel="0" collapsed="false"/>
    <row r="906" customFormat="false" ht="15.8" hidden="false" customHeight="false" outlineLevel="0" collapsed="false"/>
    <row r="907" customFormat="false" ht="15.8" hidden="false" customHeight="false" outlineLevel="0" collapsed="false"/>
    <row r="908" customFormat="false" ht="17" hidden="false" customHeight="false" outlineLevel="0" collapsed="false"/>
    <row r="909" customFormat="false" ht="15.8" hidden="false" customHeight="false" outlineLevel="0" collapsed="false"/>
    <row r="910" customFormat="false" ht="15.8" hidden="false" customHeight="false" outlineLevel="0" collapsed="false"/>
    <row r="911" customFormat="false" ht="17" hidden="false" customHeight="false" outlineLevel="0" collapsed="false"/>
    <row r="912" customFormat="false" ht="15.8" hidden="false" customHeight="false" outlineLevel="0" collapsed="false"/>
    <row r="913" customFormat="false" ht="17" hidden="false" customHeight="false" outlineLevel="0" collapsed="false"/>
    <row r="914" customFormat="false" ht="15.8" hidden="false" customHeight="false" outlineLevel="0" collapsed="false"/>
    <row r="915" customFormat="false" ht="15.8" hidden="false" customHeight="false" outlineLevel="0" collapsed="false"/>
    <row r="916" customFormat="false" ht="15.8" hidden="false" customHeight="false" outlineLevel="0" collapsed="false"/>
    <row r="917" customFormat="false" ht="15.8" hidden="false" customHeight="false" outlineLevel="0" collapsed="false"/>
    <row r="918" customFormat="false" ht="15.8" hidden="false" customHeight="false" outlineLevel="0" collapsed="false"/>
    <row r="919" customFormat="false" ht="15.8" hidden="false" customHeight="false" outlineLevel="0" collapsed="false"/>
    <row r="920" customFormat="false" ht="17" hidden="false" customHeight="false" outlineLevel="0" collapsed="false"/>
    <row r="921" customFormat="false" ht="15.8" hidden="false" customHeight="false" outlineLevel="0" collapsed="false"/>
    <row r="922" customFormat="false" ht="15.8" hidden="false" customHeight="false" outlineLevel="0" collapsed="false"/>
    <row r="923" customFormat="false" ht="17" hidden="false" customHeight="false" outlineLevel="0" collapsed="false"/>
    <row r="924" customFormat="false" ht="15.8" hidden="false" customHeight="false" outlineLevel="0" collapsed="false"/>
    <row r="925" customFormat="false" ht="15.8" hidden="false" customHeight="false" outlineLevel="0" collapsed="false"/>
    <row r="926" customFormat="false" ht="17" hidden="false" customHeight="false" outlineLevel="0" collapsed="false"/>
    <row r="927" customFormat="false" ht="15.8" hidden="false" customHeight="false" outlineLevel="0" collapsed="false"/>
    <row r="928" customFormat="false" ht="17" hidden="false" customHeight="false" outlineLevel="0" collapsed="false"/>
    <row r="929" customFormat="false" ht="15.8" hidden="false" customHeight="false" outlineLevel="0" collapsed="false"/>
    <row r="930" customFormat="false" ht="15.8" hidden="false" customHeight="false" outlineLevel="0" collapsed="false"/>
    <row r="931" customFormat="false" ht="15.8" hidden="false" customHeight="false" outlineLevel="0" collapsed="false"/>
    <row r="932" customFormat="false" ht="15.8" hidden="false" customHeight="false" outlineLevel="0" collapsed="false"/>
    <row r="933" customFormat="false" ht="15.8" hidden="false" customHeight="false" outlineLevel="0" collapsed="false"/>
    <row r="934" customFormat="false" ht="15.8" hidden="false" customHeight="false" outlineLevel="0" collapsed="false"/>
    <row r="935" customFormat="false" ht="17" hidden="false" customHeight="false" outlineLevel="0" collapsed="false"/>
    <row r="936" customFormat="false" ht="15.8" hidden="false" customHeight="false" outlineLevel="0" collapsed="false"/>
    <row r="937" customFormat="false" ht="15.8" hidden="false" customHeight="false" outlineLevel="0" collapsed="false"/>
    <row r="938" customFormat="false" ht="17" hidden="false" customHeight="false" outlineLevel="0" collapsed="false"/>
    <row r="939" customFormat="false" ht="15.8" hidden="false" customHeight="false" outlineLevel="0" collapsed="false"/>
    <row r="940" customFormat="false" ht="15.8" hidden="false" customHeight="false" outlineLevel="0" collapsed="false"/>
    <row r="941" customFormat="false" ht="17" hidden="false" customHeight="false" outlineLevel="0" collapsed="false"/>
    <row r="942" customFormat="false" ht="15.8" hidden="false" customHeight="false" outlineLevel="0" collapsed="false"/>
    <row r="943" customFormat="false" ht="17" hidden="false" customHeight="false" outlineLevel="0" collapsed="false"/>
    <row r="944" customFormat="false" ht="15.8" hidden="false" customHeight="false" outlineLevel="0" collapsed="false"/>
    <row r="945" customFormat="false" ht="15.8" hidden="false" customHeight="false" outlineLevel="0" collapsed="false"/>
    <row r="946" customFormat="false" ht="15.8" hidden="false" customHeight="false" outlineLevel="0" collapsed="false"/>
    <row r="947" customFormat="false" ht="15.8" hidden="false" customHeight="false" outlineLevel="0" collapsed="false"/>
    <row r="948" customFormat="false" ht="15.8" hidden="false" customHeight="false" outlineLevel="0" collapsed="false"/>
    <row r="949" customFormat="false" ht="15.8" hidden="false" customHeight="false" outlineLevel="0" collapsed="false"/>
    <row r="950" customFormat="false" ht="17" hidden="false" customHeight="false" outlineLevel="0" collapsed="false"/>
    <row r="951" customFormat="false" ht="15.8" hidden="false" customHeight="false" outlineLevel="0" collapsed="false"/>
    <row r="952" customFormat="false" ht="15.8" hidden="false" customHeight="false" outlineLevel="0" collapsed="false"/>
    <row r="953" customFormat="false" ht="17" hidden="false" customHeight="false" outlineLevel="0" collapsed="false"/>
    <row r="954" customFormat="false" ht="15.8" hidden="false" customHeight="false" outlineLevel="0" collapsed="false"/>
    <row r="955" customFormat="false" ht="15.8" hidden="false" customHeight="false" outlineLevel="0" collapsed="false"/>
    <row r="956" customFormat="false" ht="17" hidden="false" customHeight="false" outlineLevel="0" collapsed="false"/>
    <row r="957" customFormat="false" ht="15.8" hidden="false" customHeight="false" outlineLevel="0" collapsed="false"/>
    <row r="958" customFormat="false" ht="17" hidden="false" customHeight="false" outlineLevel="0" collapsed="false"/>
    <row r="959" customFormat="false" ht="15.8" hidden="false" customHeight="false" outlineLevel="0" collapsed="false"/>
    <row r="960" customFormat="false" ht="15.8" hidden="false" customHeight="false" outlineLevel="0" collapsed="false"/>
    <row r="961" customFormat="false" ht="15.8" hidden="false" customHeight="false" outlineLevel="0" collapsed="false"/>
    <row r="962" customFormat="false" ht="15.8" hidden="false" customHeight="false" outlineLevel="0" collapsed="false"/>
    <row r="963" customFormat="false" ht="15.8" hidden="false" customHeight="false" outlineLevel="0" collapsed="false"/>
    <row r="964" customFormat="false" ht="15.8" hidden="false" customHeight="false" outlineLevel="0" collapsed="false"/>
    <row r="965" customFormat="false" ht="17" hidden="false" customHeight="false" outlineLevel="0" collapsed="false"/>
    <row r="966" customFormat="false" ht="15.8" hidden="false" customHeight="false" outlineLevel="0" collapsed="false"/>
    <row r="967" customFormat="false" ht="15.8" hidden="false" customHeight="false" outlineLevel="0" collapsed="false"/>
    <row r="968" customFormat="false" ht="17" hidden="false" customHeight="false" outlineLevel="0" collapsed="false"/>
    <row r="969" customFormat="false" ht="15.8" hidden="false" customHeight="false" outlineLevel="0" collapsed="false"/>
    <row r="970" customFormat="false" ht="15.8" hidden="false" customHeight="false" outlineLevel="0" collapsed="false"/>
    <row r="971" customFormat="false" ht="17" hidden="false" customHeight="false" outlineLevel="0" collapsed="false"/>
    <row r="972" customFormat="false" ht="15.8" hidden="false" customHeight="false" outlineLevel="0" collapsed="false"/>
    <row r="973" customFormat="false" ht="17" hidden="false" customHeight="false" outlineLevel="0" collapsed="false"/>
    <row r="974" customFormat="false" ht="15.8" hidden="false" customHeight="false" outlineLevel="0" collapsed="false"/>
    <row r="975" customFormat="false" ht="15.8" hidden="false" customHeight="false" outlineLevel="0" collapsed="false"/>
    <row r="976" customFormat="false" ht="15.8" hidden="false" customHeight="false" outlineLevel="0" collapsed="false"/>
    <row r="977" customFormat="false" ht="15.8" hidden="false" customHeight="false" outlineLevel="0" collapsed="false"/>
    <row r="978" customFormat="false" ht="15.8" hidden="false" customHeight="false" outlineLevel="0" collapsed="false"/>
    <row r="979" customFormat="false" ht="15.8" hidden="false" customHeight="false" outlineLevel="0" collapsed="false"/>
    <row r="980" customFormat="false" ht="17" hidden="false" customHeight="false" outlineLevel="0" collapsed="false"/>
    <row r="981" customFormat="false" ht="15.8" hidden="false" customHeight="false" outlineLevel="0" collapsed="false"/>
    <row r="982" customFormat="false" ht="15.8" hidden="false" customHeight="false" outlineLevel="0" collapsed="false"/>
    <row r="983" customFormat="false" ht="17" hidden="false" customHeight="false" outlineLevel="0" collapsed="false"/>
    <row r="984" customFormat="false" ht="15.8" hidden="false" customHeight="false" outlineLevel="0" collapsed="false"/>
    <row r="985" customFormat="false" ht="15.8" hidden="false" customHeight="false" outlineLevel="0" collapsed="false"/>
    <row r="986" customFormat="false" ht="17" hidden="false" customHeight="false" outlineLevel="0" collapsed="false"/>
    <row r="987" customFormat="false" ht="15.8" hidden="false" customHeight="false" outlineLevel="0" collapsed="false"/>
    <row r="988" customFormat="false" ht="17" hidden="false" customHeight="false" outlineLevel="0" collapsed="false"/>
    <row r="989" customFormat="false" ht="15.8" hidden="false" customHeight="false" outlineLevel="0" collapsed="false"/>
    <row r="990" customFormat="false" ht="15.8" hidden="false" customHeight="false" outlineLevel="0" collapsed="false"/>
    <row r="991" customFormat="false" ht="15.8" hidden="false" customHeight="false" outlineLevel="0" collapsed="false"/>
    <row r="992" customFormat="false" ht="15.8" hidden="false" customHeight="false" outlineLevel="0" collapsed="false"/>
    <row r="993" customFormat="false" ht="15.8" hidden="false" customHeight="false" outlineLevel="0" collapsed="false"/>
    <row r="994" customFormat="false" ht="15.8" hidden="false" customHeight="false" outlineLevel="0" collapsed="false"/>
    <row r="995" customFormat="false" ht="17" hidden="false" customHeight="false" outlineLevel="0" collapsed="false"/>
    <row r="996" customFormat="false" ht="15.8" hidden="false" customHeight="false" outlineLevel="0" collapsed="false"/>
    <row r="997" customFormat="false" ht="15.8" hidden="false" customHeight="false" outlineLevel="0" collapsed="false"/>
    <row r="998" customFormat="false" ht="17" hidden="false" customHeight="false" outlineLevel="0" collapsed="false"/>
    <row r="999" customFormat="false" ht="15.8" hidden="false" customHeight="false" outlineLevel="0" collapsed="false"/>
    <row r="1000" customFormat="false" ht="15.8" hidden="false" customHeight="false" outlineLevel="0" collapsed="false"/>
    <row r="1001" customFormat="false" ht="17" hidden="false" customHeight="false" outlineLevel="0" collapsed="false"/>
    <row r="1002" customFormat="false" ht="15.8" hidden="false" customHeight="false" outlineLevel="0" collapsed="false"/>
    <row r="1003" customFormat="false" ht="17" hidden="false" customHeight="false" outlineLevel="0" collapsed="false"/>
    <row r="1004" customFormat="false" ht="15.8" hidden="false" customHeight="false" outlineLevel="0" collapsed="false"/>
    <row r="1005" customFormat="false" ht="15.8" hidden="false" customHeight="false" outlineLevel="0" collapsed="false"/>
    <row r="1006" customFormat="false" ht="15.8" hidden="false" customHeight="false" outlineLevel="0" collapsed="false"/>
    <row r="1007" customFormat="false" ht="15.8" hidden="false" customHeight="false" outlineLevel="0" collapsed="false"/>
    <row r="1008" customFormat="false" ht="15.8" hidden="false" customHeight="false" outlineLevel="0" collapsed="false"/>
    <row r="1009" customFormat="false" ht="15.8" hidden="false" customHeight="false" outlineLevel="0" collapsed="false"/>
    <row r="1010" customFormat="false" ht="17" hidden="false" customHeight="false" outlineLevel="0" collapsed="false"/>
    <row r="1011" customFormat="false" ht="15.8" hidden="false" customHeight="false" outlineLevel="0" collapsed="false"/>
    <row r="1012" customFormat="false" ht="15.8" hidden="false" customHeight="false" outlineLevel="0" collapsed="false"/>
    <row r="1013" customFormat="false" ht="17" hidden="false" customHeight="false" outlineLevel="0" collapsed="false"/>
    <row r="1014" customFormat="false" ht="15.8" hidden="false" customHeight="false" outlineLevel="0" collapsed="false"/>
    <row r="1015" customFormat="false" ht="15.8" hidden="false" customHeight="false" outlineLevel="0" collapsed="false"/>
    <row r="1016" customFormat="false" ht="17" hidden="false" customHeight="false" outlineLevel="0" collapsed="false"/>
    <row r="1017" customFormat="false" ht="15.8" hidden="false" customHeight="false" outlineLevel="0" collapsed="false"/>
    <row r="1018" customFormat="false" ht="17" hidden="false" customHeight="false" outlineLevel="0" collapsed="false"/>
    <row r="1019" customFormat="false" ht="15.8" hidden="false" customHeight="false" outlineLevel="0" collapsed="false"/>
    <row r="1020" customFormat="false" ht="15.8" hidden="false" customHeight="false" outlineLevel="0" collapsed="false"/>
    <row r="1021" customFormat="false" ht="15.8" hidden="false" customHeight="false" outlineLevel="0" collapsed="false"/>
    <row r="1022" customFormat="false" ht="15.8" hidden="false" customHeight="false" outlineLevel="0" collapsed="false"/>
    <row r="1023" customFormat="false" ht="15.8" hidden="false" customHeight="false" outlineLevel="0" collapsed="false"/>
    <row r="1024" customFormat="false" ht="15.8" hidden="false" customHeight="false" outlineLevel="0" collapsed="false"/>
    <row r="1025" customFormat="false" ht="17" hidden="false" customHeight="false" outlineLevel="0" collapsed="false"/>
    <row r="1026" customFormat="false" ht="15.8" hidden="false" customHeight="false" outlineLevel="0" collapsed="false"/>
    <row r="1027" customFormat="false" ht="15.8" hidden="false" customHeight="false" outlineLevel="0" collapsed="false"/>
    <row r="1028" customFormat="false" ht="17" hidden="false" customHeight="false" outlineLevel="0" collapsed="false"/>
    <row r="1029" customFormat="false" ht="15.8" hidden="false" customHeight="false" outlineLevel="0" collapsed="false"/>
    <row r="1030" customFormat="false" ht="15.8" hidden="false" customHeight="false" outlineLevel="0" collapsed="false"/>
    <row r="1031" customFormat="false" ht="17" hidden="false" customHeight="false" outlineLevel="0" collapsed="false"/>
    <row r="1032" customFormat="false" ht="15.8" hidden="false" customHeight="false" outlineLevel="0" collapsed="false"/>
    <row r="1033" customFormat="false" ht="17" hidden="false" customHeight="false" outlineLevel="0" collapsed="false"/>
    <row r="1034" customFormat="false" ht="15.8" hidden="false" customHeight="false" outlineLevel="0" collapsed="false"/>
    <row r="1035" customFormat="false" ht="15.8" hidden="false" customHeight="false" outlineLevel="0" collapsed="false"/>
    <row r="1036" customFormat="false" ht="15.8" hidden="false" customHeight="false" outlineLevel="0" collapsed="false"/>
    <row r="1037" customFormat="false" ht="15.8" hidden="false" customHeight="false" outlineLevel="0" collapsed="false"/>
    <row r="1038" customFormat="false" ht="15.8" hidden="false" customHeight="false" outlineLevel="0" collapsed="false"/>
    <row r="1039" customFormat="false" ht="15.8" hidden="false" customHeight="false" outlineLevel="0" collapsed="false"/>
    <row r="1040" customFormat="false" ht="17" hidden="false" customHeight="false" outlineLevel="0" collapsed="false"/>
    <row r="1041" customFormat="false" ht="15.8" hidden="false" customHeight="false" outlineLevel="0" collapsed="false"/>
    <row r="1042" customFormat="false" ht="15.8" hidden="false" customHeight="false" outlineLevel="0" collapsed="false"/>
    <row r="1043" customFormat="false" ht="17" hidden="false" customHeight="false" outlineLevel="0" collapsed="false"/>
    <row r="1044" customFormat="false" ht="15.8" hidden="false" customHeight="false" outlineLevel="0" collapsed="false"/>
    <row r="1045" customFormat="false" ht="15.8" hidden="false" customHeight="false" outlineLevel="0" collapsed="false"/>
    <row r="1046" customFormat="false" ht="17" hidden="false" customHeight="false" outlineLevel="0" collapsed="false"/>
    <row r="1047" customFormat="false" ht="15.8" hidden="false" customHeight="false" outlineLevel="0" collapsed="false"/>
    <row r="1048" customFormat="false" ht="17" hidden="false" customHeight="false" outlineLevel="0" collapsed="false"/>
    <row r="1049" customFormat="false" ht="15.8" hidden="false" customHeight="false" outlineLevel="0" collapsed="false"/>
    <row r="1050" customFormat="false" ht="15.8" hidden="false" customHeight="false" outlineLevel="0" collapsed="false"/>
    <row r="1051" customFormat="false" ht="15.8" hidden="false" customHeight="false" outlineLevel="0" collapsed="false"/>
    <row r="1052" customFormat="false" ht="15.8" hidden="false" customHeight="false" outlineLevel="0" collapsed="false"/>
    <row r="1053" customFormat="false" ht="15.8" hidden="false" customHeight="false" outlineLevel="0" collapsed="false"/>
    <row r="1054" customFormat="false" ht="15.8" hidden="false" customHeight="false" outlineLevel="0" collapsed="false"/>
    <row r="1055" customFormat="false" ht="17" hidden="false" customHeight="false" outlineLevel="0" collapsed="false"/>
    <row r="1056" customFormat="false" ht="15.8" hidden="false" customHeight="false" outlineLevel="0" collapsed="false"/>
    <row r="1057" customFormat="false" ht="15.8" hidden="false" customHeight="false" outlineLevel="0" collapsed="false"/>
    <row r="1058" customFormat="false" ht="17" hidden="false" customHeight="false" outlineLevel="0" collapsed="false"/>
    <row r="1059" customFormat="false" ht="15.8" hidden="false" customHeight="false" outlineLevel="0" collapsed="false"/>
    <row r="1060" customFormat="false" ht="15.8" hidden="false" customHeight="false" outlineLevel="0" collapsed="false"/>
    <row r="1061" customFormat="false" ht="17" hidden="false" customHeight="false" outlineLevel="0" collapsed="false"/>
    <row r="1062" customFormat="false" ht="15.8" hidden="false" customHeight="false" outlineLevel="0" collapsed="false"/>
    <row r="1063" customFormat="false" ht="17" hidden="false" customHeight="false" outlineLevel="0" collapsed="false"/>
    <row r="1064" customFormat="false" ht="15.8" hidden="false" customHeight="false" outlineLevel="0" collapsed="false"/>
    <row r="1065" customFormat="false" ht="15.8" hidden="false" customHeight="false" outlineLevel="0" collapsed="false"/>
    <row r="1066" customFormat="false" ht="15.8" hidden="false" customHeight="false" outlineLevel="0" collapsed="false"/>
    <row r="1067" customFormat="false" ht="15.8" hidden="false" customHeight="false" outlineLevel="0" collapsed="false"/>
    <row r="1068" customFormat="false" ht="15.8" hidden="false" customHeight="false" outlineLevel="0" collapsed="false"/>
    <row r="1069" customFormat="false" ht="15.8" hidden="false" customHeight="false" outlineLevel="0" collapsed="false"/>
    <row r="1070" customFormat="false" ht="17" hidden="false" customHeight="false" outlineLevel="0" collapsed="false"/>
    <row r="1071" customFormat="false" ht="15.8" hidden="false" customHeight="false" outlineLevel="0" collapsed="false"/>
    <row r="1072" customFormat="false" ht="15.8" hidden="false" customHeight="false" outlineLevel="0" collapsed="false"/>
    <row r="1073" customFormat="false" ht="17" hidden="false" customHeight="false" outlineLevel="0" collapsed="false"/>
    <row r="1074" customFormat="false" ht="15.8" hidden="false" customHeight="false" outlineLevel="0" collapsed="false"/>
    <row r="1075" customFormat="false" ht="15.8" hidden="false" customHeight="false" outlineLevel="0" collapsed="false"/>
    <row r="1076" customFormat="false" ht="17" hidden="false" customHeight="false" outlineLevel="0" collapsed="false"/>
    <row r="1077" customFormat="false" ht="15.8" hidden="false" customHeight="false" outlineLevel="0" collapsed="false"/>
    <row r="1078" customFormat="false" ht="17" hidden="false" customHeight="false" outlineLevel="0" collapsed="false"/>
    <row r="1079" customFormat="false" ht="15.8" hidden="false" customHeight="false" outlineLevel="0" collapsed="false"/>
    <row r="1080" customFormat="false" ht="15.8" hidden="false" customHeight="false" outlineLevel="0" collapsed="false"/>
    <row r="1081" customFormat="false" ht="15.8" hidden="false" customHeight="false" outlineLevel="0" collapsed="false"/>
    <row r="1082" customFormat="false" ht="15.8" hidden="false" customHeight="false" outlineLevel="0" collapsed="false"/>
    <row r="1083" customFormat="false" ht="15.8" hidden="false" customHeight="false" outlineLevel="0" collapsed="false"/>
    <row r="1084" customFormat="false" ht="15.8" hidden="false" customHeight="false" outlineLevel="0" collapsed="false"/>
    <row r="1085" customFormat="false" ht="17" hidden="false" customHeight="false" outlineLevel="0" collapsed="false"/>
    <row r="1086" customFormat="false" ht="15.8" hidden="false" customHeight="false" outlineLevel="0" collapsed="false"/>
    <row r="1087" customFormat="false" ht="15.8" hidden="false" customHeight="false" outlineLevel="0" collapsed="false"/>
    <row r="1088" customFormat="false" ht="17" hidden="false" customHeight="false" outlineLevel="0" collapsed="false"/>
    <row r="1089" customFormat="false" ht="15.8" hidden="false" customHeight="false" outlineLevel="0" collapsed="false"/>
    <row r="1090" customFormat="false" ht="15.8" hidden="false" customHeight="false" outlineLevel="0" collapsed="false"/>
    <row r="1091" customFormat="false" ht="17" hidden="false" customHeight="false" outlineLevel="0" collapsed="false"/>
    <row r="1092" customFormat="false" ht="15.8" hidden="false" customHeight="false" outlineLevel="0" collapsed="false"/>
    <row r="1093" customFormat="false" ht="17" hidden="false" customHeight="false" outlineLevel="0" collapsed="false"/>
    <row r="1094" customFormat="false" ht="15.8" hidden="false" customHeight="false" outlineLevel="0" collapsed="false"/>
    <row r="1095" customFormat="false" ht="15.8" hidden="false" customHeight="false" outlineLevel="0" collapsed="false"/>
    <row r="1096" customFormat="false" ht="15.8" hidden="false" customHeight="false" outlineLevel="0" collapsed="false"/>
    <row r="1097" customFormat="false" ht="15.8" hidden="false" customHeight="false" outlineLevel="0" collapsed="false"/>
    <row r="1098" customFormat="false" ht="15.8" hidden="false" customHeight="false" outlineLevel="0" collapsed="false"/>
    <row r="1099" customFormat="false" ht="15.8" hidden="false" customHeight="false" outlineLevel="0" collapsed="false"/>
    <row r="1100" customFormat="false" ht="17" hidden="false" customHeight="false" outlineLevel="0" collapsed="false"/>
    <row r="1101" customFormat="false" ht="15.8" hidden="false" customHeight="false" outlineLevel="0" collapsed="false"/>
    <row r="1102" customFormat="false" ht="15.8" hidden="false" customHeight="false" outlineLevel="0" collapsed="false"/>
    <row r="1103" customFormat="false" ht="17" hidden="false" customHeight="false" outlineLevel="0" collapsed="false"/>
    <row r="1104" customFormat="false" ht="15.8" hidden="false" customHeight="false" outlineLevel="0" collapsed="false"/>
    <row r="1105" customFormat="false" ht="15.8" hidden="false" customHeight="false" outlineLevel="0" collapsed="false"/>
    <row r="1106" customFormat="false" ht="17" hidden="false" customHeight="false" outlineLevel="0" collapsed="false"/>
    <row r="1107" customFormat="false" ht="15.8" hidden="false" customHeight="false" outlineLevel="0" collapsed="false"/>
    <row r="1108" customFormat="false" ht="17" hidden="false" customHeight="false" outlineLevel="0" collapsed="false"/>
    <row r="1109" customFormat="false" ht="15.8" hidden="false" customHeight="false" outlineLevel="0" collapsed="false"/>
    <row r="1110" customFormat="false" ht="15.8" hidden="false" customHeight="false" outlineLevel="0" collapsed="false"/>
    <row r="1111" customFormat="false" ht="15.8" hidden="false" customHeight="false" outlineLevel="0" collapsed="false"/>
    <row r="1112" customFormat="false" ht="15.8" hidden="false" customHeight="false" outlineLevel="0" collapsed="false"/>
    <row r="1113" customFormat="false" ht="15.8" hidden="false" customHeight="false" outlineLevel="0" collapsed="false"/>
    <row r="1114" customFormat="false" ht="15.8" hidden="false" customHeight="false" outlineLevel="0" collapsed="false"/>
    <row r="1115" customFormat="false" ht="17" hidden="false" customHeight="false" outlineLevel="0" collapsed="false"/>
    <row r="1116" customFormat="false" ht="15.8" hidden="false" customHeight="false" outlineLevel="0" collapsed="false"/>
    <row r="1117" customFormat="false" ht="15.8" hidden="false" customHeight="false" outlineLevel="0" collapsed="false"/>
    <row r="1118" customFormat="false" ht="17" hidden="false" customHeight="false" outlineLevel="0" collapsed="false"/>
    <row r="1119" customFormat="false" ht="15.8" hidden="false" customHeight="false" outlineLevel="0" collapsed="false"/>
    <row r="1120" customFormat="false" ht="15.8" hidden="false" customHeight="false" outlineLevel="0" collapsed="false"/>
    <row r="1121" customFormat="false" ht="17" hidden="false" customHeight="false" outlineLevel="0" collapsed="false"/>
    <row r="1122" customFormat="false" ht="15.8" hidden="false" customHeight="false" outlineLevel="0" collapsed="false"/>
    <row r="1123" customFormat="false" ht="17" hidden="false" customHeight="false" outlineLevel="0" collapsed="false"/>
    <row r="1124" customFormat="false" ht="15.8" hidden="false" customHeight="false" outlineLevel="0" collapsed="false"/>
    <row r="1125" customFormat="false" ht="15.8" hidden="false" customHeight="false" outlineLevel="0" collapsed="false"/>
    <row r="1126" customFormat="false" ht="15.8" hidden="false" customHeight="false" outlineLevel="0" collapsed="false"/>
    <row r="1127" customFormat="false" ht="15.8" hidden="false" customHeight="false" outlineLevel="0" collapsed="false"/>
    <row r="1128" customFormat="false" ht="15.8" hidden="false" customHeight="false" outlineLevel="0" collapsed="false"/>
    <row r="1129" customFormat="false" ht="15.8" hidden="false" customHeight="false" outlineLevel="0" collapsed="false"/>
    <row r="1130" customFormat="false" ht="17" hidden="false" customHeight="false" outlineLevel="0" collapsed="false"/>
    <row r="1131" customFormat="false" ht="15.8" hidden="false" customHeight="false" outlineLevel="0" collapsed="false"/>
    <row r="1132" customFormat="false" ht="15.8" hidden="false" customHeight="false" outlineLevel="0" collapsed="false"/>
    <row r="1133" customFormat="false" ht="17" hidden="false" customHeight="false" outlineLevel="0" collapsed="false"/>
    <row r="1134" customFormat="false" ht="15.8" hidden="false" customHeight="false" outlineLevel="0" collapsed="false"/>
    <row r="1135" customFormat="false" ht="15.8" hidden="false" customHeight="false" outlineLevel="0" collapsed="false"/>
    <row r="1136" customFormat="false" ht="17" hidden="false" customHeight="false" outlineLevel="0" collapsed="false"/>
    <row r="1137" customFormat="false" ht="15.8" hidden="false" customHeight="false" outlineLevel="0" collapsed="false"/>
    <row r="1138" customFormat="false" ht="17" hidden="false" customHeight="false" outlineLevel="0" collapsed="false"/>
    <row r="1139" customFormat="false" ht="15.8" hidden="false" customHeight="false" outlineLevel="0" collapsed="false"/>
    <row r="1140" customFormat="false" ht="15.8" hidden="false" customHeight="false" outlineLevel="0" collapsed="false"/>
    <row r="1141" customFormat="false" ht="15.8" hidden="false" customHeight="false" outlineLevel="0" collapsed="false"/>
    <row r="1142" customFormat="false" ht="15.8" hidden="false" customHeight="false" outlineLevel="0" collapsed="false"/>
    <row r="1143" customFormat="false" ht="15.8" hidden="false" customHeight="false" outlineLevel="0" collapsed="false"/>
    <row r="1144" customFormat="false" ht="15.8" hidden="false" customHeight="false" outlineLevel="0" collapsed="false"/>
    <row r="1145" customFormat="false" ht="17" hidden="false" customHeight="false" outlineLevel="0" collapsed="false"/>
    <row r="1146" customFormat="false" ht="15.8" hidden="false" customHeight="false" outlineLevel="0" collapsed="false"/>
    <row r="1147" customFormat="false" ht="15.8" hidden="false" customHeight="false" outlineLevel="0" collapsed="false"/>
    <row r="1148" customFormat="false" ht="17" hidden="false" customHeight="false" outlineLevel="0" collapsed="false"/>
    <row r="1149" customFormat="false" ht="15.8" hidden="false" customHeight="false" outlineLevel="0" collapsed="false"/>
    <row r="1150" customFormat="false" ht="15.8" hidden="false" customHeight="false" outlineLevel="0" collapsed="false"/>
    <row r="1151" customFormat="false" ht="17" hidden="false" customHeight="false" outlineLevel="0" collapsed="false"/>
    <row r="1152" customFormat="false" ht="15.8" hidden="false" customHeight="false" outlineLevel="0" collapsed="false"/>
    <row r="1153" customFormat="false" ht="17" hidden="false" customHeight="false" outlineLevel="0" collapsed="false"/>
    <row r="1154" customFormat="false" ht="15.8" hidden="false" customHeight="false" outlineLevel="0" collapsed="false"/>
    <row r="1155" customFormat="false" ht="15.8" hidden="false" customHeight="false" outlineLevel="0" collapsed="false"/>
    <row r="1156" customFormat="false" ht="15.8" hidden="false" customHeight="false" outlineLevel="0" collapsed="false"/>
    <row r="1157" customFormat="false" ht="15.8" hidden="false" customHeight="false" outlineLevel="0" collapsed="false"/>
    <row r="1158" customFormat="false" ht="15.8" hidden="false" customHeight="false" outlineLevel="0" collapsed="false"/>
    <row r="1159" customFormat="false" ht="15.8" hidden="false" customHeight="false" outlineLevel="0" collapsed="false"/>
    <row r="1160" customFormat="false" ht="17" hidden="false" customHeight="false" outlineLevel="0" collapsed="false"/>
    <row r="1161" customFormat="false" ht="15.8" hidden="false" customHeight="false" outlineLevel="0" collapsed="false"/>
    <row r="1162" customFormat="false" ht="15.8" hidden="false" customHeight="false" outlineLevel="0" collapsed="false"/>
    <row r="1163" customFormat="false" ht="17" hidden="false" customHeight="false" outlineLevel="0" collapsed="false"/>
    <row r="1164" customFormat="false" ht="15.8" hidden="false" customHeight="false" outlineLevel="0" collapsed="false"/>
    <row r="1165" customFormat="false" ht="15.8" hidden="false" customHeight="false" outlineLevel="0" collapsed="false"/>
    <row r="1166" customFormat="false" ht="17" hidden="false" customHeight="false" outlineLevel="0" collapsed="false"/>
    <row r="1167" customFormat="false" ht="15.8" hidden="false" customHeight="false" outlineLevel="0" collapsed="false"/>
    <row r="1168" customFormat="false" ht="17" hidden="false" customHeight="false" outlineLevel="0" collapsed="false"/>
    <row r="1169" customFormat="false" ht="15.8" hidden="false" customHeight="false" outlineLevel="0" collapsed="false"/>
    <row r="1170" customFormat="false" ht="15.8" hidden="false" customHeight="false" outlineLevel="0" collapsed="false"/>
    <row r="1171" customFormat="false" ht="15.8" hidden="false" customHeight="false" outlineLevel="0" collapsed="false"/>
    <row r="1172" customFormat="false" ht="15.8" hidden="false" customHeight="false" outlineLevel="0" collapsed="false"/>
    <row r="1173" customFormat="false" ht="15.8" hidden="false" customHeight="false" outlineLevel="0" collapsed="false"/>
    <row r="1174" customFormat="false" ht="15.8" hidden="false" customHeight="false" outlineLevel="0" collapsed="false"/>
    <row r="1175" customFormat="false" ht="17" hidden="false" customHeight="false" outlineLevel="0" collapsed="false"/>
    <row r="1176" customFormat="false" ht="15.8" hidden="false" customHeight="false" outlineLevel="0" collapsed="false"/>
    <row r="1177" customFormat="false" ht="15.8" hidden="false" customHeight="false" outlineLevel="0" collapsed="false"/>
  </sheetData>
  <autoFilter ref="A1:H1169"/>
  <printOptions headings="false" gridLines="false" gridLinesSet="true" horizontalCentered="false" verticalCentered="false"/>
  <pageMargins left="0.511805555555555" right="0.511805555555555" top="0.7875" bottom="0.78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X87"/>
  <sheetViews>
    <sheetView showFormulas="false" showGridLines="true" showRowColHeaders="true" showZeros="true" rightToLeft="false" tabSelected="false" showOutlineSymbols="true" defaultGridColor="true" view="normal" topLeftCell="A1" colorId="64" zoomScale="84" zoomScaleNormal="84" zoomScalePageLayoutView="100" workbookViewId="0">
      <selection pane="topLeft" activeCell="C8" activeCellId="0" sqref="C8"/>
    </sheetView>
  </sheetViews>
  <sheetFormatPr defaultRowHeight="12.8" zeroHeight="false" outlineLevelRow="0" outlineLevelCol="0"/>
  <cols>
    <col collapsed="false" customWidth="false" hidden="false" outlineLevel="0" max="4" min="1" style="0" width="11.52"/>
    <col collapsed="false" customWidth="true" hidden="false" outlineLevel="0" max="5" min="5" style="0" width="15.23"/>
    <col collapsed="false" customWidth="true" hidden="false" outlineLevel="0" max="6" min="6" style="0" width="15.73"/>
    <col collapsed="false" customWidth="false" hidden="false" outlineLevel="0" max="1025" min="7" style="0" width="11.52"/>
  </cols>
  <sheetData>
    <row r="1" customFormat="false" ht="12.8" hidden="false" customHeight="false" outlineLevel="0" collapsed="false">
      <c r="A1" s="59"/>
      <c r="B1" s="59" t="s">
        <v>463</v>
      </c>
      <c r="C1" s="59" t="s">
        <v>464</v>
      </c>
      <c r="F1" s="72" t="s">
        <v>43</v>
      </c>
      <c r="G1" s="73" t="s">
        <v>465</v>
      </c>
      <c r="H1" s="74" t="s">
        <v>466</v>
      </c>
      <c r="I1" s="75" t="s">
        <v>467</v>
      </c>
      <c r="J1" s="76" t="s">
        <v>468</v>
      </c>
      <c r="K1" s="77" t="s">
        <v>469</v>
      </c>
      <c r="L1" s="76" t="s">
        <v>467</v>
      </c>
      <c r="M1" s="78" t="s">
        <v>470</v>
      </c>
      <c r="N1" s="79" t="s">
        <v>471</v>
      </c>
      <c r="O1" s="79" t="s">
        <v>467</v>
      </c>
      <c r="P1" s="80" t="s">
        <v>472</v>
      </c>
      <c r="Q1" s="80" t="s">
        <v>473</v>
      </c>
      <c r="R1" s="80" t="s">
        <v>467</v>
      </c>
      <c r="S1" s="81" t="s">
        <v>474</v>
      </c>
      <c r="T1" s="81" t="s">
        <v>475</v>
      </c>
      <c r="U1" s="81" t="s">
        <v>467</v>
      </c>
      <c r="V1" s="80" t="s">
        <v>476</v>
      </c>
      <c r="W1" s="80" t="s">
        <v>477</v>
      </c>
      <c r="X1" s="80" t="s">
        <v>467</v>
      </c>
    </row>
    <row r="2" customFormat="false" ht="12.8" hidden="false" customHeight="false" outlineLevel="0" collapsed="false">
      <c r="A2" s="82" t="n">
        <v>44197</v>
      </c>
      <c r="B2" s="83" t="n">
        <f aca="false">G43</f>
        <v>759.81</v>
      </c>
      <c r="C2" s="84" t="n">
        <f aca="false">H43-B2</f>
        <v>2005.7</v>
      </c>
      <c r="E2" s="85" t="s">
        <v>77</v>
      </c>
      <c r="F2" s="86" t="s">
        <v>77</v>
      </c>
      <c r="G2" s="87"/>
      <c r="H2" s="88" t="n">
        <v>41</v>
      </c>
      <c r="I2" s="89"/>
      <c r="J2" s="90" t="n">
        <v>22</v>
      </c>
      <c r="K2" s="59" t="n">
        <v>33</v>
      </c>
      <c r="L2" s="59" t="n">
        <f aca="false">K2-J2</f>
        <v>11</v>
      </c>
      <c r="M2" s="88" t="n">
        <v>11</v>
      </c>
      <c r="N2" s="88" t="n">
        <v>22</v>
      </c>
      <c r="O2" s="87" t="n">
        <f aca="false">N2-M2</f>
        <v>11</v>
      </c>
      <c r="P2" s="90"/>
      <c r="Q2" s="90"/>
      <c r="R2" s="59" t="n">
        <f aca="false">Q2-P2</f>
        <v>0</v>
      </c>
      <c r="S2" s="91" t="n">
        <v>22</v>
      </c>
      <c r="T2" s="91" t="n">
        <v>33</v>
      </c>
      <c r="U2" s="81" t="n">
        <f aca="false">T2-S2</f>
        <v>11</v>
      </c>
      <c r="V2" s="92"/>
      <c r="W2" s="92"/>
      <c r="X2" s="59" t="n">
        <f aca="false">W2-V2</f>
        <v>0</v>
      </c>
    </row>
    <row r="3" customFormat="false" ht="12.8" hidden="false" customHeight="false" outlineLevel="0" collapsed="false">
      <c r="A3" s="93" t="n">
        <v>44228</v>
      </c>
      <c r="B3" s="59" t="n">
        <f aca="false">J43</f>
        <v>1508.82</v>
      </c>
      <c r="C3" s="59" t="n">
        <f aca="false">L43</f>
        <v>1983.2</v>
      </c>
      <c r="E3" s="85" t="s">
        <v>62</v>
      </c>
      <c r="F3" s="86" t="s">
        <v>62</v>
      </c>
      <c r="G3" s="94"/>
      <c r="H3" s="88" t="n">
        <v>153.55</v>
      </c>
      <c r="I3" s="89" t="n">
        <f aca="false">H3-G3</f>
        <v>153.55</v>
      </c>
      <c r="J3" s="90" t="n">
        <v>0</v>
      </c>
      <c r="K3" s="90" t="n">
        <v>248.57</v>
      </c>
      <c r="L3" s="59" t="n">
        <f aca="false">K3-J3</f>
        <v>248.57</v>
      </c>
      <c r="M3" s="88" t="n">
        <v>0</v>
      </c>
      <c r="N3" s="88" t="n">
        <v>172.55</v>
      </c>
      <c r="O3" s="87" t="n">
        <f aca="false">N3-M3</f>
        <v>172.55</v>
      </c>
      <c r="P3" s="90"/>
      <c r="Q3" s="90" t="n">
        <v>75.8</v>
      </c>
      <c r="R3" s="59" t="n">
        <f aca="false">Q3-P3</f>
        <v>75.8</v>
      </c>
      <c r="S3" s="91"/>
      <c r="T3" s="91"/>
      <c r="U3" s="81" t="n">
        <f aca="false">T3-S3</f>
        <v>0</v>
      </c>
      <c r="V3" s="92" t="n">
        <v>6</v>
      </c>
      <c r="W3" s="92" t="n">
        <v>346.54</v>
      </c>
      <c r="X3" s="59" t="n">
        <f aca="false">W3-V3</f>
        <v>340.54</v>
      </c>
    </row>
    <row r="4" customFormat="false" ht="12.8" hidden="false" customHeight="false" outlineLevel="0" collapsed="false">
      <c r="A4" s="95" t="n">
        <v>44256</v>
      </c>
      <c r="B4" s="0" t="n">
        <f aca="false">M43</f>
        <v>1714.71</v>
      </c>
      <c r="C4" s="0" t="n">
        <f aca="false">O43</f>
        <v>668.3</v>
      </c>
      <c r="E4" s="85" t="s">
        <v>66</v>
      </c>
      <c r="F4" s="86"/>
      <c r="G4" s="94"/>
      <c r="H4" s="94"/>
      <c r="I4" s="89"/>
      <c r="J4" s="90"/>
      <c r="K4" s="90"/>
      <c r="L4" s="59"/>
      <c r="M4" s="88"/>
      <c r="N4" s="88"/>
      <c r="O4" s="87"/>
      <c r="P4" s="90"/>
      <c r="Q4" s="90"/>
      <c r="R4" s="59"/>
      <c r="S4" s="91"/>
      <c r="T4" s="91"/>
      <c r="U4" s="81"/>
      <c r="V4" s="92"/>
      <c r="W4" s="92"/>
      <c r="X4" s="59" t="n">
        <f aca="false">W4-V4</f>
        <v>0</v>
      </c>
    </row>
    <row r="5" customFormat="false" ht="12.8" hidden="false" customHeight="false" outlineLevel="0" collapsed="false">
      <c r="A5" s="96" t="n">
        <v>44287</v>
      </c>
      <c r="B5" s="0" t="n">
        <f aca="false">P43</f>
        <v>579.36</v>
      </c>
      <c r="C5" s="0" t="n">
        <f aca="false">R43</f>
        <v>741.83</v>
      </c>
      <c r="E5" s="85" t="s">
        <v>175</v>
      </c>
      <c r="F5" s="86" t="s">
        <v>175</v>
      </c>
      <c r="G5" s="87"/>
      <c r="H5" s="87"/>
      <c r="I5" s="89"/>
      <c r="J5" s="59"/>
      <c r="K5" s="59" t="n">
        <v>50</v>
      </c>
      <c r="L5" s="59" t="n">
        <f aca="false">K5-J5</f>
        <v>50</v>
      </c>
      <c r="M5" s="88" t="n">
        <v>75</v>
      </c>
      <c r="N5" s="88" t="n">
        <v>75</v>
      </c>
      <c r="O5" s="87" t="n">
        <f aca="false">N5-M5</f>
        <v>0</v>
      </c>
      <c r="P5" s="90"/>
      <c r="Q5" s="90"/>
      <c r="R5" s="59" t="n">
        <f aca="false">Q5-P5</f>
        <v>0</v>
      </c>
      <c r="S5" s="91"/>
      <c r="T5" s="91"/>
      <c r="U5" s="81" t="n">
        <f aca="false">T5-S5</f>
        <v>0</v>
      </c>
      <c r="V5" s="92"/>
      <c r="W5" s="92"/>
      <c r="X5" s="59" t="n">
        <f aca="false">W5-V5</f>
        <v>0</v>
      </c>
    </row>
    <row r="6" customFormat="false" ht="12.8" hidden="false" customHeight="false" outlineLevel="0" collapsed="false">
      <c r="A6" s="96" t="n">
        <v>44317</v>
      </c>
      <c r="B6" s="0" t="n">
        <f aca="false">S43</f>
        <v>695.05</v>
      </c>
      <c r="C6" s="0" t="n">
        <f aca="false">U43</f>
        <v>961.3</v>
      </c>
      <c r="E6" s="85" t="s">
        <v>391</v>
      </c>
      <c r="F6" s="59"/>
      <c r="G6" s="87"/>
      <c r="H6" s="87"/>
      <c r="I6" s="87"/>
      <c r="J6" s="59"/>
      <c r="K6" s="59"/>
      <c r="L6" s="59"/>
      <c r="M6" s="87"/>
      <c r="N6" s="88"/>
      <c r="O6" s="87"/>
      <c r="P6" s="59"/>
      <c r="Q6" s="90"/>
      <c r="R6" s="59"/>
      <c r="S6" s="91"/>
      <c r="T6" s="91"/>
      <c r="U6" s="81"/>
      <c r="V6" s="97"/>
      <c r="W6" s="97"/>
      <c r="X6" s="59" t="n">
        <f aca="false">W6-V6</f>
        <v>0</v>
      </c>
    </row>
    <row r="7" customFormat="false" ht="12.8" hidden="false" customHeight="false" outlineLevel="0" collapsed="false">
      <c r="A7" s="96" t="n">
        <v>44348</v>
      </c>
      <c r="B7" s="0" t="n">
        <f aca="false">V43</f>
        <v>1862.32</v>
      </c>
      <c r="C7" s="0" t="n">
        <f aca="false">X43</f>
        <v>3129.15</v>
      </c>
      <c r="E7" s="85" t="s">
        <v>151</v>
      </c>
      <c r="F7" s="86" t="s">
        <v>151</v>
      </c>
      <c r="G7" s="87"/>
      <c r="H7" s="94" t="n">
        <v>25</v>
      </c>
      <c r="I7" s="89" t="n">
        <f aca="false">H7-G7</f>
        <v>25</v>
      </c>
      <c r="J7" s="90"/>
      <c r="K7" s="59" t="n">
        <v>25</v>
      </c>
      <c r="L7" s="59" t="n">
        <f aca="false">K7-J7</f>
        <v>25</v>
      </c>
      <c r="M7" s="88"/>
      <c r="N7" s="88"/>
      <c r="O7" s="87" t="n">
        <f aca="false">N7-M7</f>
        <v>0</v>
      </c>
      <c r="P7" s="90" t="n">
        <v>25</v>
      </c>
      <c r="Q7" s="90" t="n">
        <v>25</v>
      </c>
      <c r="R7" s="59" t="n">
        <f aca="false">Q7-P7</f>
        <v>0</v>
      </c>
      <c r="S7" s="91"/>
      <c r="T7" s="91"/>
      <c r="U7" s="81" t="n">
        <f aca="false">T7-S7</f>
        <v>0</v>
      </c>
      <c r="V7" s="92" t="n">
        <v>25</v>
      </c>
      <c r="W7" s="92" t="n">
        <v>25</v>
      </c>
      <c r="X7" s="59" t="n">
        <f aca="false">W7-V7</f>
        <v>0</v>
      </c>
    </row>
    <row r="8" customFormat="false" ht="12.8" hidden="false" customHeight="false" outlineLevel="0" collapsed="false">
      <c r="E8" s="85" t="s">
        <v>134</v>
      </c>
      <c r="F8" s="59"/>
      <c r="G8" s="87"/>
      <c r="H8" s="87"/>
      <c r="I8" s="87"/>
      <c r="J8" s="59"/>
      <c r="K8" s="59"/>
      <c r="L8" s="59"/>
      <c r="M8" s="87"/>
      <c r="N8" s="87"/>
      <c r="O8" s="87"/>
      <c r="P8" s="59"/>
      <c r="Q8" s="59"/>
      <c r="R8" s="59"/>
      <c r="S8" s="81"/>
      <c r="T8" s="91"/>
      <c r="U8" s="81"/>
      <c r="V8" s="92"/>
      <c r="W8" s="92"/>
      <c r="X8" s="59" t="n">
        <f aca="false">W8-V8</f>
        <v>0</v>
      </c>
    </row>
    <row r="9" customFormat="false" ht="12.8" hidden="false" customHeight="false" outlineLevel="0" collapsed="false">
      <c r="E9" s="85" t="s">
        <v>80</v>
      </c>
      <c r="F9" s="86"/>
      <c r="G9" s="94"/>
      <c r="H9" s="94"/>
      <c r="I9" s="89"/>
      <c r="J9" s="90"/>
      <c r="K9" s="59"/>
      <c r="L9" s="59"/>
      <c r="M9" s="88"/>
      <c r="N9" s="88"/>
      <c r="O9" s="87"/>
      <c r="P9" s="90"/>
      <c r="Q9" s="90"/>
      <c r="R9" s="59"/>
      <c r="S9" s="91"/>
      <c r="T9" s="91"/>
      <c r="U9" s="81"/>
      <c r="V9" s="92"/>
      <c r="W9" s="92"/>
      <c r="X9" s="59" t="n">
        <f aca="false">W9-V9</f>
        <v>0</v>
      </c>
    </row>
    <row r="10" customFormat="false" ht="12.8" hidden="false" customHeight="false" outlineLevel="0" collapsed="false">
      <c r="E10" s="85" t="s">
        <v>59</v>
      </c>
      <c r="F10" s="86" t="s">
        <v>59</v>
      </c>
      <c r="G10" s="94" t="n">
        <v>300.69</v>
      </c>
      <c r="H10" s="94" t="n">
        <v>845.46</v>
      </c>
      <c r="I10" s="89" t="n">
        <f aca="false">H10-G10</f>
        <v>544.77</v>
      </c>
      <c r="J10" s="90" t="n">
        <v>330.09</v>
      </c>
      <c r="K10" s="90" t="n">
        <v>725.56</v>
      </c>
      <c r="L10" s="59" t="n">
        <f aca="false">K10-J10</f>
        <v>395.47</v>
      </c>
      <c r="M10" s="88" t="n">
        <v>249.2</v>
      </c>
      <c r="N10" s="88" t="n">
        <v>450.78</v>
      </c>
      <c r="O10" s="87" t="n">
        <f aca="false">N10-M10</f>
        <v>201.58</v>
      </c>
      <c r="P10" s="90" t="n">
        <v>124.43</v>
      </c>
      <c r="Q10" s="90" t="n">
        <v>311.43</v>
      </c>
      <c r="R10" s="59" t="n">
        <f aca="false">Q10-P10</f>
        <v>187</v>
      </c>
      <c r="S10" s="91" t="n">
        <v>169.6</v>
      </c>
      <c r="T10" s="91" t="n">
        <v>333.33</v>
      </c>
      <c r="U10" s="81" t="n">
        <f aca="false">T10-S10</f>
        <v>163.73</v>
      </c>
      <c r="V10" s="92" t="n">
        <v>440.48</v>
      </c>
      <c r="W10" s="92" t="n">
        <v>931.2</v>
      </c>
      <c r="X10" s="59" t="n">
        <f aca="false">W10-V10</f>
        <v>490.72</v>
      </c>
    </row>
    <row r="11" customFormat="false" ht="12.8" hidden="false" customHeight="false" outlineLevel="0" collapsed="false">
      <c r="E11" s="85" t="s">
        <v>87</v>
      </c>
      <c r="F11" s="59"/>
      <c r="G11" s="87"/>
      <c r="H11" s="87"/>
      <c r="I11" s="87"/>
      <c r="J11" s="59"/>
      <c r="K11" s="59"/>
      <c r="L11" s="59"/>
      <c r="M11" s="87"/>
      <c r="N11" s="87"/>
      <c r="O11" s="87"/>
      <c r="P11" s="59"/>
      <c r="Q11" s="59"/>
      <c r="R11" s="59"/>
      <c r="S11" s="81"/>
      <c r="T11" s="91"/>
      <c r="U11" s="81"/>
      <c r="V11" s="92"/>
      <c r="W11" s="92"/>
      <c r="X11" s="59" t="n">
        <f aca="false">W11-V11</f>
        <v>0</v>
      </c>
    </row>
    <row r="12" customFormat="false" ht="12.8" hidden="false" customHeight="false" outlineLevel="0" collapsed="false">
      <c r="E12" s="85" t="s">
        <v>69</v>
      </c>
      <c r="F12" s="86"/>
      <c r="G12" s="94"/>
      <c r="H12" s="94"/>
      <c r="I12" s="89"/>
      <c r="J12" s="90"/>
      <c r="K12" s="59"/>
      <c r="L12" s="59"/>
      <c r="M12" s="88"/>
      <c r="N12" s="88"/>
      <c r="O12" s="87"/>
      <c r="P12" s="90"/>
      <c r="Q12" s="90"/>
      <c r="R12" s="59"/>
      <c r="S12" s="91"/>
      <c r="T12" s="91"/>
      <c r="U12" s="81"/>
      <c r="V12" s="92"/>
      <c r="W12" s="92"/>
      <c r="X12" s="59" t="n">
        <f aca="false">W12-V12</f>
        <v>0</v>
      </c>
    </row>
    <row r="13" customFormat="false" ht="12.8" hidden="false" customHeight="false" outlineLevel="0" collapsed="false">
      <c r="E13" s="85" t="s">
        <v>154</v>
      </c>
      <c r="F13" s="79"/>
      <c r="G13" s="87"/>
      <c r="H13" s="87"/>
      <c r="I13" s="89"/>
      <c r="J13" s="59"/>
      <c r="K13" s="59"/>
      <c r="L13" s="59"/>
      <c r="M13" s="88"/>
      <c r="N13" s="88"/>
      <c r="O13" s="87"/>
      <c r="P13" s="90"/>
      <c r="Q13" s="90"/>
      <c r="R13" s="59"/>
      <c r="S13" s="91"/>
      <c r="T13" s="91"/>
      <c r="U13" s="81"/>
      <c r="V13" s="92"/>
      <c r="W13" s="92"/>
      <c r="X13" s="59" t="n">
        <f aca="false">W13-V13</f>
        <v>0</v>
      </c>
    </row>
    <row r="14" customFormat="false" ht="12.8" hidden="false" customHeight="false" outlineLevel="0" collapsed="false">
      <c r="E14" s="85" t="s">
        <v>108</v>
      </c>
      <c r="F14" s="86"/>
      <c r="G14" s="94"/>
      <c r="H14" s="94"/>
      <c r="I14" s="89"/>
      <c r="J14" s="90"/>
      <c r="K14" s="59"/>
      <c r="L14" s="59"/>
      <c r="M14" s="88"/>
      <c r="N14" s="88"/>
      <c r="O14" s="87"/>
      <c r="P14" s="90"/>
      <c r="Q14" s="90"/>
      <c r="R14" s="59"/>
      <c r="S14" s="91"/>
      <c r="T14" s="91"/>
      <c r="U14" s="81"/>
      <c r="V14" s="92"/>
      <c r="W14" s="92"/>
      <c r="X14" s="59" t="n">
        <f aca="false">W14-V14</f>
        <v>0</v>
      </c>
    </row>
    <row r="15" customFormat="false" ht="12.8" hidden="false" customHeight="false" outlineLevel="0" collapsed="false">
      <c r="E15" s="85" t="s">
        <v>200</v>
      </c>
      <c r="F15" s="86"/>
      <c r="G15" s="87"/>
      <c r="H15" s="87"/>
      <c r="I15" s="89"/>
      <c r="J15" s="59"/>
      <c r="K15" s="59"/>
      <c r="L15" s="59"/>
      <c r="M15" s="88"/>
      <c r="N15" s="88"/>
      <c r="O15" s="87"/>
      <c r="P15" s="90"/>
      <c r="Q15" s="90"/>
      <c r="R15" s="59"/>
      <c r="S15" s="91"/>
      <c r="T15" s="91"/>
      <c r="U15" s="81"/>
      <c r="V15" s="92"/>
      <c r="W15" s="92"/>
      <c r="X15" s="59" t="n">
        <f aca="false">W15-V15</f>
        <v>0</v>
      </c>
    </row>
    <row r="16" customFormat="false" ht="12.8" hidden="false" customHeight="false" outlineLevel="0" collapsed="false">
      <c r="E16" s="85" t="s">
        <v>124</v>
      </c>
      <c r="F16" s="86" t="s">
        <v>124</v>
      </c>
      <c r="G16" s="87"/>
      <c r="H16" s="94" t="n">
        <v>13</v>
      </c>
      <c r="I16" s="89" t="n">
        <f aca="false">H16-G16</f>
        <v>13</v>
      </c>
      <c r="J16" s="90"/>
      <c r="K16" s="59" t="n">
        <v>5</v>
      </c>
      <c r="L16" s="59" t="n">
        <f aca="false">K16-J16</f>
        <v>5</v>
      </c>
      <c r="M16" s="88"/>
      <c r="N16" s="88"/>
      <c r="O16" s="87" t="n">
        <f aca="false">N16-M16</f>
        <v>0</v>
      </c>
      <c r="P16" s="90"/>
      <c r="Q16" s="90"/>
      <c r="R16" s="59" t="n">
        <f aca="false">Q16-P16</f>
        <v>0</v>
      </c>
      <c r="S16" s="91"/>
      <c r="T16" s="91"/>
      <c r="U16" s="81" t="n">
        <f aca="false">T16-S16</f>
        <v>0</v>
      </c>
      <c r="V16" s="92"/>
      <c r="W16" s="92"/>
      <c r="X16" s="59" t="n">
        <f aca="false">W16-V16</f>
        <v>0</v>
      </c>
    </row>
    <row r="17" customFormat="false" ht="12.8" hidden="false" customHeight="false" outlineLevel="0" collapsed="false">
      <c r="E17" s="85" t="s">
        <v>57</v>
      </c>
      <c r="F17" s="86" t="s">
        <v>57</v>
      </c>
      <c r="G17" s="94" t="n">
        <v>100.08</v>
      </c>
      <c r="H17" s="94" t="n">
        <v>321.29</v>
      </c>
      <c r="I17" s="89" t="n">
        <f aca="false">H17-G17</f>
        <v>221.21</v>
      </c>
      <c r="J17" s="90" t="n">
        <v>209.95</v>
      </c>
      <c r="K17" s="90" t="n">
        <v>513.66</v>
      </c>
      <c r="L17" s="59" t="n">
        <f aca="false">K17-J17</f>
        <v>303.71</v>
      </c>
      <c r="M17" s="88" t="n">
        <v>216.56</v>
      </c>
      <c r="N17" s="88" t="n">
        <v>240.55</v>
      </c>
      <c r="O17" s="87" t="n">
        <f aca="false">N17-M17</f>
        <v>23.99</v>
      </c>
      <c r="P17" s="90"/>
      <c r="Q17" s="90" t="n">
        <v>45.44</v>
      </c>
      <c r="R17" s="59" t="n">
        <f aca="false">Q17-P17</f>
        <v>45.44</v>
      </c>
      <c r="S17" s="91" t="n">
        <v>131.14</v>
      </c>
      <c r="T17" s="91" t="n">
        <v>230.2</v>
      </c>
      <c r="U17" s="81" t="n">
        <f aca="false">T17-S17</f>
        <v>99.06</v>
      </c>
      <c r="V17" s="92" t="n">
        <v>148.87</v>
      </c>
      <c r="W17" s="92" t="n">
        <v>341.56</v>
      </c>
      <c r="X17" s="59" t="n">
        <f aca="false">W17-V17</f>
        <v>192.69</v>
      </c>
    </row>
    <row r="18" customFormat="false" ht="12.8" hidden="false" customHeight="false" outlineLevel="0" collapsed="false">
      <c r="E18" s="85" t="s">
        <v>98</v>
      </c>
      <c r="F18" s="86" t="s">
        <v>98</v>
      </c>
      <c r="G18" s="94" t="n">
        <v>27</v>
      </c>
      <c r="H18" s="94" t="n">
        <v>27</v>
      </c>
      <c r="I18" s="89" t="n">
        <f aca="false">H18-G18</f>
        <v>0</v>
      </c>
      <c r="J18" s="90" t="n">
        <v>0</v>
      </c>
      <c r="K18" s="59"/>
      <c r="L18" s="59" t="n">
        <f aca="false">K18-J18</f>
        <v>0</v>
      </c>
      <c r="M18" s="88"/>
      <c r="N18" s="88" t="n">
        <v>15</v>
      </c>
      <c r="O18" s="87" t="n">
        <f aca="false">N18-M18</f>
        <v>15</v>
      </c>
      <c r="P18" s="90"/>
      <c r="Q18" s="90"/>
      <c r="R18" s="59" t="n">
        <f aca="false">Q18-P18</f>
        <v>0</v>
      </c>
      <c r="S18" s="91" t="n">
        <v>13</v>
      </c>
      <c r="T18" s="91" t="n">
        <v>13</v>
      </c>
      <c r="U18" s="81" t="n">
        <f aca="false">T18-S18</f>
        <v>0</v>
      </c>
      <c r="V18" s="92"/>
      <c r="W18" s="92"/>
      <c r="X18" s="59" t="n">
        <f aca="false">W18-V18</f>
        <v>0</v>
      </c>
    </row>
    <row r="19" customFormat="false" ht="12.8" hidden="false" customHeight="false" outlineLevel="0" collapsed="false">
      <c r="E19" s="85" t="s">
        <v>103</v>
      </c>
      <c r="F19" s="86" t="s">
        <v>103</v>
      </c>
      <c r="G19" s="94" t="n">
        <v>50</v>
      </c>
      <c r="H19" s="94" t="n">
        <v>150</v>
      </c>
      <c r="I19" s="89" t="n">
        <f aca="false">H19-G19</f>
        <v>100</v>
      </c>
      <c r="J19" s="90" t="n">
        <v>118</v>
      </c>
      <c r="K19" s="90" t="n">
        <v>197</v>
      </c>
      <c r="L19" s="59" t="n">
        <f aca="false">K19-J19</f>
        <v>79</v>
      </c>
      <c r="M19" s="88" t="n">
        <v>71.6</v>
      </c>
      <c r="N19" s="88" t="n">
        <v>171.6</v>
      </c>
      <c r="O19" s="87" t="n">
        <f aca="false">N19-M19</f>
        <v>100</v>
      </c>
      <c r="P19" s="90" t="n">
        <v>50</v>
      </c>
      <c r="Q19" s="90" t="n">
        <v>50</v>
      </c>
      <c r="R19" s="59" t="n">
        <f aca="false">Q19-P19</f>
        <v>0</v>
      </c>
      <c r="S19" s="91" t="n">
        <v>50</v>
      </c>
      <c r="T19" s="91" t="n">
        <v>150</v>
      </c>
      <c r="U19" s="81" t="n">
        <f aca="false">T19-S19</f>
        <v>100</v>
      </c>
      <c r="V19" s="92" t="n">
        <v>76</v>
      </c>
      <c r="W19" s="92" t="n">
        <v>176</v>
      </c>
      <c r="X19" s="59" t="n">
        <f aca="false">W19-V19</f>
        <v>100</v>
      </c>
    </row>
    <row r="20" customFormat="false" ht="12.8" hidden="false" customHeight="false" outlineLevel="0" collapsed="false">
      <c r="E20" s="85" t="s">
        <v>159</v>
      </c>
      <c r="F20" s="59"/>
      <c r="G20" s="87"/>
      <c r="H20" s="87"/>
      <c r="I20" s="87"/>
      <c r="J20" s="59"/>
      <c r="K20" s="59"/>
      <c r="L20" s="59"/>
      <c r="M20" s="87"/>
      <c r="N20" s="87"/>
      <c r="O20" s="87"/>
      <c r="P20" s="59"/>
      <c r="Q20" s="59"/>
      <c r="R20" s="59"/>
      <c r="S20" s="81"/>
      <c r="T20" s="91"/>
      <c r="U20" s="81"/>
      <c r="V20" s="92"/>
      <c r="W20" s="92"/>
      <c r="X20" s="59" t="n">
        <f aca="false">W20-V20</f>
        <v>0</v>
      </c>
    </row>
    <row r="21" customFormat="false" ht="12.8" hidden="false" customHeight="false" outlineLevel="0" collapsed="false">
      <c r="E21" s="85" t="s">
        <v>271</v>
      </c>
      <c r="F21" s="59"/>
      <c r="G21" s="87"/>
      <c r="H21" s="87"/>
      <c r="I21" s="87"/>
      <c r="J21" s="59"/>
      <c r="K21" s="59"/>
      <c r="L21" s="59"/>
      <c r="M21" s="87"/>
      <c r="N21" s="87"/>
      <c r="O21" s="87"/>
      <c r="P21" s="59"/>
      <c r="Q21" s="59"/>
      <c r="R21" s="59"/>
      <c r="S21" s="81"/>
      <c r="T21" s="91"/>
      <c r="U21" s="81"/>
      <c r="V21" s="92"/>
      <c r="W21" s="92"/>
      <c r="X21" s="59" t="n">
        <f aca="false">W21-V21</f>
        <v>0</v>
      </c>
    </row>
    <row r="22" customFormat="false" ht="12.8" hidden="false" customHeight="false" outlineLevel="0" collapsed="false">
      <c r="E22" s="85" t="s">
        <v>73</v>
      </c>
      <c r="F22" s="59"/>
      <c r="G22" s="87"/>
      <c r="H22" s="87"/>
      <c r="I22" s="87"/>
      <c r="J22" s="59"/>
      <c r="K22" s="59"/>
      <c r="L22" s="59"/>
      <c r="M22" s="87"/>
      <c r="N22" s="87"/>
      <c r="O22" s="87"/>
      <c r="P22" s="59"/>
      <c r="Q22" s="59"/>
      <c r="R22" s="59"/>
      <c r="S22" s="81"/>
      <c r="T22" s="91"/>
      <c r="U22" s="81"/>
      <c r="V22" s="92"/>
      <c r="W22" s="92"/>
      <c r="X22" s="59" t="n">
        <f aca="false">W22-V22</f>
        <v>0</v>
      </c>
    </row>
    <row r="23" customFormat="false" ht="12.8" hidden="false" customHeight="false" outlineLevel="0" collapsed="false">
      <c r="E23" s="85" t="s">
        <v>148</v>
      </c>
      <c r="F23" s="86" t="s">
        <v>148</v>
      </c>
      <c r="G23" s="87"/>
      <c r="H23" s="88"/>
      <c r="I23" s="89"/>
      <c r="J23" s="90"/>
      <c r="K23" s="59"/>
      <c r="L23" s="59" t="n">
        <f aca="false">K23-J23</f>
        <v>0</v>
      </c>
      <c r="M23" s="88"/>
      <c r="N23" s="88"/>
      <c r="O23" s="87" t="n">
        <f aca="false">N23-M23</f>
        <v>0</v>
      </c>
      <c r="P23" s="90"/>
      <c r="Q23" s="90"/>
      <c r="R23" s="59" t="n">
        <f aca="false">Q23-P23</f>
        <v>0</v>
      </c>
      <c r="S23" s="91"/>
      <c r="T23" s="91"/>
      <c r="U23" s="81" t="n">
        <f aca="false">T23-S23</f>
        <v>0</v>
      </c>
      <c r="V23" s="92"/>
      <c r="W23" s="92" t="n">
        <v>926</v>
      </c>
      <c r="X23" s="59" t="n">
        <f aca="false">W23-V23</f>
        <v>926</v>
      </c>
    </row>
    <row r="24" customFormat="false" ht="12.8" hidden="false" customHeight="false" outlineLevel="0" collapsed="false">
      <c r="E24" s="98" t="s">
        <v>64</v>
      </c>
      <c r="F24" s="86" t="s">
        <v>64</v>
      </c>
      <c r="G24" s="94" t="n">
        <v>268.86</v>
      </c>
      <c r="H24" s="94" t="n">
        <v>976.03</v>
      </c>
      <c r="I24" s="89" t="n">
        <f aca="false">H24-G24</f>
        <v>707.17</v>
      </c>
      <c r="J24" s="90" t="n">
        <v>546.17</v>
      </c>
      <c r="K24" s="90" t="n">
        <v>1251.62</v>
      </c>
      <c r="L24" s="59" t="n">
        <f aca="false">K24-J24</f>
        <v>705.45</v>
      </c>
      <c r="M24" s="88" t="n">
        <v>817.6</v>
      </c>
      <c r="N24" s="88" t="n">
        <v>861.78</v>
      </c>
      <c r="O24" s="87" t="n">
        <f aca="false">N24-M24</f>
        <v>44.18</v>
      </c>
      <c r="P24" s="90" t="n">
        <v>152.17</v>
      </c>
      <c r="Q24" s="90" t="n">
        <v>520.41</v>
      </c>
      <c r="R24" s="59" t="n">
        <f aca="false">Q24-P24</f>
        <v>368.24</v>
      </c>
      <c r="S24" s="91" t="n">
        <v>22.8</v>
      </c>
      <c r="T24" s="91" t="n">
        <v>279.76</v>
      </c>
      <c r="U24" s="81" t="n">
        <f aca="false">T24-S24</f>
        <v>256.96</v>
      </c>
      <c r="V24" s="99" t="n">
        <v>662.73</v>
      </c>
      <c r="W24" s="99" t="n">
        <v>1526.17</v>
      </c>
      <c r="X24" s="59" t="n">
        <f aca="false">W24-V24</f>
        <v>863.44</v>
      </c>
    </row>
    <row r="25" customFormat="false" ht="12.8" hidden="false" customHeight="false" outlineLevel="0" collapsed="false">
      <c r="E25" s="85" t="s">
        <v>39</v>
      </c>
      <c r="F25" s="86" t="s">
        <v>39</v>
      </c>
      <c r="G25" s="87"/>
      <c r="H25" s="87"/>
      <c r="I25" s="89"/>
      <c r="J25" s="90"/>
      <c r="K25" s="59" t="n">
        <v>40</v>
      </c>
      <c r="L25" s="59" t="n">
        <f aca="false">K25-J25</f>
        <v>40</v>
      </c>
      <c r="M25" s="88" t="n">
        <v>0</v>
      </c>
      <c r="N25" s="88" t="n">
        <v>0</v>
      </c>
      <c r="O25" s="87" t="n">
        <f aca="false">N25-M25</f>
        <v>0</v>
      </c>
      <c r="P25" s="90"/>
      <c r="Q25" s="90" t="n">
        <v>0</v>
      </c>
      <c r="R25" s="59" t="n">
        <f aca="false">Q25-P25</f>
        <v>0</v>
      </c>
      <c r="S25" s="91"/>
      <c r="T25" s="91"/>
      <c r="U25" s="81" t="n">
        <f aca="false">T25-S25</f>
        <v>0</v>
      </c>
      <c r="V25" s="92"/>
      <c r="W25" s="92"/>
      <c r="X25" s="59" t="n">
        <f aca="false">W25-V25</f>
        <v>0</v>
      </c>
    </row>
    <row r="26" customFormat="false" ht="12.8" hidden="false" customHeight="false" outlineLevel="0" collapsed="false">
      <c r="E26" s="85" t="s">
        <v>114</v>
      </c>
      <c r="F26" s="59"/>
      <c r="G26" s="87"/>
      <c r="H26" s="87"/>
      <c r="I26" s="87"/>
      <c r="J26" s="59"/>
      <c r="K26" s="59"/>
      <c r="L26" s="59"/>
      <c r="M26" s="87"/>
      <c r="N26" s="87"/>
      <c r="O26" s="87"/>
      <c r="P26" s="59"/>
      <c r="Q26" s="59"/>
      <c r="R26" s="59"/>
      <c r="S26" s="81"/>
      <c r="T26" s="91"/>
      <c r="U26" s="81" t="n">
        <f aca="false">T26-S26</f>
        <v>0</v>
      </c>
      <c r="V26" s="92"/>
      <c r="W26" s="92"/>
      <c r="X26" s="59" t="n">
        <f aca="false">W26-V26</f>
        <v>0</v>
      </c>
    </row>
    <row r="27" customFormat="false" ht="12.8" hidden="false" customHeight="false" outlineLevel="0" collapsed="false">
      <c r="E27" s="85" t="s">
        <v>254</v>
      </c>
      <c r="F27" s="86" t="s">
        <v>254</v>
      </c>
      <c r="G27" s="87"/>
      <c r="H27" s="87"/>
      <c r="I27" s="87"/>
      <c r="J27" s="59"/>
      <c r="K27" s="59"/>
      <c r="L27" s="59"/>
      <c r="M27" s="88" t="n">
        <v>49.99</v>
      </c>
      <c r="N27" s="88" t="n">
        <v>49.99</v>
      </c>
      <c r="O27" s="87" t="n">
        <f aca="false">N27-M27</f>
        <v>0</v>
      </c>
      <c r="P27" s="90"/>
      <c r="Q27" s="90"/>
      <c r="R27" s="59" t="n">
        <f aca="false">Q27-P27</f>
        <v>0</v>
      </c>
      <c r="S27" s="91"/>
      <c r="T27" s="91"/>
      <c r="U27" s="81" t="n">
        <f aca="false">T27-S27</f>
        <v>0</v>
      </c>
      <c r="V27" s="92"/>
      <c r="W27" s="92"/>
      <c r="X27" s="59" t="n">
        <f aca="false">W27-V27</f>
        <v>0</v>
      </c>
    </row>
    <row r="28" customFormat="false" ht="12.8" hidden="false" customHeight="false" outlineLevel="0" collapsed="false">
      <c r="E28" s="85" t="s">
        <v>53</v>
      </c>
      <c r="F28" s="86" t="s">
        <v>53</v>
      </c>
      <c r="G28" s="94" t="n">
        <v>13.18</v>
      </c>
      <c r="H28" s="94" t="n">
        <v>13.18</v>
      </c>
      <c r="I28" s="89" t="n">
        <f aca="false">H28-G28</f>
        <v>0</v>
      </c>
      <c r="J28" s="90" t="n">
        <v>32.61</v>
      </c>
      <c r="K28" s="90" t="n">
        <v>32.61</v>
      </c>
      <c r="L28" s="59" t="n">
        <f aca="false">K28-J28</f>
        <v>0</v>
      </c>
      <c r="M28" s="88" t="n">
        <v>3.76</v>
      </c>
      <c r="N28" s="88" t="n">
        <v>3.76</v>
      </c>
      <c r="O28" s="87" t="n">
        <f aca="false">N28-M28</f>
        <v>0</v>
      </c>
      <c r="P28" s="90" t="n">
        <v>87.76</v>
      </c>
      <c r="Q28" s="90" t="n">
        <v>153.11</v>
      </c>
      <c r="R28" s="59" t="n">
        <f aca="false">Q28-P28</f>
        <v>65.35</v>
      </c>
      <c r="S28" s="91" t="n">
        <v>86.51</v>
      </c>
      <c r="T28" s="91" t="n">
        <v>197.06</v>
      </c>
      <c r="U28" s="81" t="n">
        <f aca="false">T28-S28</f>
        <v>110.55</v>
      </c>
      <c r="V28" s="92" t="n">
        <v>39.31</v>
      </c>
      <c r="W28" s="92" t="n">
        <v>105.07</v>
      </c>
      <c r="X28" s="59" t="n">
        <f aca="false">W28-V28</f>
        <v>65.76</v>
      </c>
    </row>
    <row r="29" customFormat="false" ht="12.8" hidden="false" customHeight="false" outlineLevel="0" collapsed="false">
      <c r="E29" s="85" t="s">
        <v>352</v>
      </c>
      <c r="F29" s="59"/>
      <c r="G29" s="87"/>
      <c r="H29" s="87"/>
      <c r="I29" s="87"/>
      <c r="J29" s="59"/>
      <c r="K29" s="59"/>
      <c r="L29" s="59"/>
      <c r="M29" s="87"/>
      <c r="N29" s="88"/>
      <c r="O29" s="87"/>
      <c r="P29" s="90"/>
      <c r="Q29" s="90"/>
      <c r="R29" s="59"/>
      <c r="S29" s="91"/>
      <c r="T29" s="91"/>
      <c r="U29" s="81"/>
      <c r="V29" s="92" t="n">
        <v>100</v>
      </c>
      <c r="W29" s="92" t="n">
        <v>100</v>
      </c>
      <c r="X29" s="59" t="n">
        <f aca="false">W29-V29</f>
        <v>0</v>
      </c>
    </row>
    <row r="30" customFormat="false" ht="12.8" hidden="false" customHeight="false" outlineLevel="0" collapsed="false">
      <c r="E30" s="85" t="s">
        <v>41</v>
      </c>
      <c r="F30" s="59"/>
      <c r="G30" s="87"/>
      <c r="H30" s="87"/>
      <c r="I30" s="87"/>
      <c r="J30" s="59"/>
      <c r="K30" s="59"/>
      <c r="L30" s="59"/>
      <c r="M30" s="87"/>
      <c r="N30" s="87"/>
      <c r="O30" s="87"/>
      <c r="P30" s="59"/>
      <c r="Q30" s="59"/>
      <c r="R30" s="59"/>
      <c r="S30" s="81"/>
      <c r="T30" s="91"/>
      <c r="U30" s="81"/>
      <c r="V30" s="92"/>
      <c r="W30" s="92"/>
      <c r="X30" s="59" t="n">
        <f aca="false">W30-V30</f>
        <v>0</v>
      </c>
    </row>
    <row r="31" customFormat="false" ht="12.8" hidden="false" customHeight="false" outlineLevel="0" collapsed="false">
      <c r="E31" s="85" t="s">
        <v>92</v>
      </c>
      <c r="F31" s="86"/>
      <c r="G31" s="94"/>
      <c r="H31" s="94"/>
      <c r="I31" s="89"/>
      <c r="J31" s="90"/>
      <c r="K31" s="59"/>
      <c r="L31" s="59"/>
      <c r="M31" s="88"/>
      <c r="N31" s="88"/>
      <c r="O31" s="87"/>
      <c r="P31" s="90"/>
      <c r="Q31" s="90"/>
      <c r="R31" s="59"/>
      <c r="S31" s="91"/>
      <c r="T31" s="91"/>
      <c r="U31" s="81"/>
      <c r="V31" s="92"/>
      <c r="W31" s="92"/>
      <c r="X31" s="59" t="n">
        <f aca="false">W31-V31</f>
        <v>0</v>
      </c>
    </row>
    <row r="32" customFormat="false" ht="12.8" hidden="false" customHeight="false" outlineLevel="0" collapsed="false">
      <c r="E32" s="85" t="s">
        <v>178</v>
      </c>
      <c r="F32" s="86"/>
      <c r="G32" s="87"/>
      <c r="H32" s="87"/>
      <c r="I32" s="89"/>
      <c r="J32" s="59"/>
      <c r="K32" s="59"/>
      <c r="L32" s="59"/>
      <c r="M32" s="88"/>
      <c r="N32" s="88"/>
      <c r="O32" s="87"/>
      <c r="P32" s="90"/>
      <c r="Q32" s="90"/>
      <c r="R32" s="59"/>
      <c r="S32" s="91"/>
      <c r="T32" s="91"/>
      <c r="U32" s="81"/>
      <c r="V32" s="92"/>
      <c r="W32" s="92"/>
      <c r="X32" s="59" t="n">
        <f aca="false">W32-V32</f>
        <v>0</v>
      </c>
    </row>
    <row r="33" customFormat="false" ht="12.8" hidden="false" customHeight="false" outlineLevel="0" collapsed="false">
      <c r="E33" s="85" t="s">
        <v>194</v>
      </c>
      <c r="F33" s="86"/>
      <c r="G33" s="87"/>
      <c r="H33" s="87"/>
      <c r="I33" s="89"/>
      <c r="J33" s="59"/>
      <c r="K33" s="59"/>
      <c r="L33" s="59"/>
      <c r="M33" s="88"/>
      <c r="N33" s="88"/>
      <c r="O33" s="87"/>
      <c r="P33" s="90"/>
      <c r="Q33" s="90"/>
      <c r="R33" s="59"/>
      <c r="S33" s="91"/>
      <c r="T33" s="91"/>
      <c r="U33" s="81"/>
      <c r="V33" s="92"/>
      <c r="W33" s="92"/>
      <c r="X33" s="59" t="n">
        <f aca="false">W33-V33</f>
        <v>0</v>
      </c>
    </row>
    <row r="34" customFormat="false" ht="12.8" hidden="false" customHeight="false" outlineLevel="0" collapsed="false">
      <c r="E34" s="85" t="s">
        <v>136</v>
      </c>
      <c r="F34" s="86"/>
      <c r="G34" s="87"/>
      <c r="H34" s="94"/>
      <c r="I34" s="89"/>
      <c r="J34" s="90"/>
      <c r="K34" s="59"/>
      <c r="L34" s="59"/>
      <c r="M34" s="88"/>
      <c r="N34" s="88"/>
      <c r="O34" s="87"/>
      <c r="P34" s="90"/>
      <c r="Q34" s="90"/>
      <c r="R34" s="59"/>
      <c r="S34" s="91"/>
      <c r="T34" s="91"/>
      <c r="U34" s="81"/>
      <c r="V34" s="92"/>
      <c r="W34" s="92"/>
      <c r="X34" s="59" t="n">
        <f aca="false">W34-V34</f>
        <v>0</v>
      </c>
    </row>
    <row r="35" customFormat="false" ht="12.8" hidden="false" customHeight="false" outlineLevel="0" collapsed="false">
      <c r="E35" s="85" t="s">
        <v>215</v>
      </c>
      <c r="F35" s="86"/>
      <c r="G35" s="87"/>
      <c r="H35" s="87"/>
      <c r="I35" s="89"/>
      <c r="J35" s="59"/>
      <c r="K35" s="59"/>
      <c r="L35" s="59"/>
      <c r="M35" s="88"/>
      <c r="N35" s="88"/>
      <c r="O35" s="87"/>
      <c r="P35" s="90"/>
      <c r="Q35" s="90"/>
      <c r="R35" s="59"/>
      <c r="S35" s="91"/>
      <c r="T35" s="91"/>
      <c r="U35" s="81"/>
      <c r="V35" s="92"/>
      <c r="W35" s="92"/>
      <c r="X35" s="59" t="n">
        <f aca="false">W35-V35</f>
        <v>0</v>
      </c>
    </row>
    <row r="36" customFormat="false" ht="12.8" hidden="false" customHeight="false" outlineLevel="0" collapsed="false">
      <c r="E36" s="85" t="s">
        <v>211</v>
      </c>
      <c r="F36" s="86" t="s">
        <v>211</v>
      </c>
      <c r="G36" s="87"/>
      <c r="H36" s="87"/>
      <c r="I36" s="89"/>
      <c r="J36" s="59"/>
      <c r="K36" s="59" t="n">
        <v>20</v>
      </c>
      <c r="L36" s="59" t="n">
        <f aca="false">K36-J36</f>
        <v>20</v>
      </c>
      <c r="M36" s="88"/>
      <c r="N36" s="88"/>
      <c r="O36" s="87" t="n">
        <f aca="false">N36-M36</f>
        <v>0</v>
      </c>
      <c r="P36" s="90"/>
      <c r="Q36" s="90"/>
      <c r="R36" s="59" t="n">
        <f aca="false">Q36-P36</f>
        <v>0</v>
      </c>
      <c r="S36" s="91"/>
      <c r="T36" s="91"/>
      <c r="U36" s="81" t="n">
        <f aca="false">T36-S36</f>
        <v>0</v>
      </c>
      <c r="V36" s="92" t="n">
        <v>263.93</v>
      </c>
      <c r="W36" s="92" t="n">
        <v>263.93</v>
      </c>
      <c r="X36" s="59" t="n">
        <f aca="false">W36-V36</f>
        <v>0</v>
      </c>
    </row>
    <row r="37" customFormat="false" ht="12.8" hidden="false" customHeight="false" outlineLevel="0" collapsed="false">
      <c r="E37" s="85" t="s">
        <v>85</v>
      </c>
      <c r="F37" s="86"/>
      <c r="G37" s="94"/>
      <c r="H37" s="94"/>
      <c r="I37" s="89"/>
      <c r="J37" s="90"/>
      <c r="K37" s="59"/>
      <c r="L37" s="59"/>
      <c r="M37" s="88"/>
      <c r="N37" s="88"/>
      <c r="O37" s="87"/>
      <c r="P37" s="90"/>
      <c r="Q37" s="90"/>
      <c r="R37" s="59"/>
      <c r="S37" s="91"/>
      <c r="T37" s="91"/>
      <c r="U37" s="81"/>
      <c r="V37" s="92"/>
      <c r="W37" s="92"/>
      <c r="X37" s="59" t="n">
        <f aca="false">W37-V37</f>
        <v>0</v>
      </c>
    </row>
    <row r="38" customFormat="false" ht="12.8" hidden="false" customHeight="false" outlineLevel="0" collapsed="false">
      <c r="E38" s="85" t="s">
        <v>31</v>
      </c>
      <c r="F38" s="86"/>
      <c r="G38" s="94"/>
      <c r="H38" s="94"/>
      <c r="I38" s="89"/>
      <c r="J38" s="90"/>
      <c r="K38" s="59"/>
      <c r="L38" s="59"/>
      <c r="M38" s="88"/>
      <c r="N38" s="88"/>
      <c r="O38" s="87"/>
      <c r="P38" s="90"/>
      <c r="Q38" s="90"/>
      <c r="R38" s="59"/>
      <c r="S38" s="91"/>
      <c r="T38" s="91"/>
      <c r="U38" s="81"/>
      <c r="V38" s="92" t="n">
        <v>0</v>
      </c>
      <c r="W38" s="92" t="n">
        <v>0</v>
      </c>
      <c r="X38" s="59" t="n">
        <f aca="false">W38-V38</f>
        <v>0</v>
      </c>
    </row>
    <row r="39" customFormat="false" ht="12.8" hidden="false" customHeight="false" outlineLevel="0" collapsed="false">
      <c r="E39" s="85" t="s">
        <v>121</v>
      </c>
      <c r="F39" s="86" t="s">
        <v>121</v>
      </c>
      <c r="G39" s="87"/>
      <c r="H39" s="94" t="n">
        <v>200</v>
      </c>
      <c r="I39" s="89" t="n">
        <f aca="false">H39-G39</f>
        <v>200</v>
      </c>
      <c r="J39" s="90" t="n">
        <v>250</v>
      </c>
      <c r="K39" s="90" t="n">
        <v>350</v>
      </c>
      <c r="L39" s="59" t="n">
        <f aca="false">K39-J39</f>
        <v>100</v>
      </c>
      <c r="M39" s="88" t="n">
        <v>220</v>
      </c>
      <c r="N39" s="88" t="n">
        <v>320</v>
      </c>
      <c r="O39" s="87" t="n">
        <f aca="false">N39-M39</f>
        <v>100</v>
      </c>
      <c r="P39" s="90" t="n">
        <v>140</v>
      </c>
      <c r="Q39" s="90" t="n">
        <v>140</v>
      </c>
      <c r="R39" s="59" t="n">
        <f aca="false">Q39-P39</f>
        <v>0</v>
      </c>
      <c r="S39" s="91" t="n">
        <v>200</v>
      </c>
      <c r="T39" s="91" t="n">
        <v>420</v>
      </c>
      <c r="U39" s="81" t="n">
        <f aca="false">T39-S39</f>
        <v>220</v>
      </c>
      <c r="V39" s="92" t="n">
        <v>100</v>
      </c>
      <c r="W39" s="92" t="n">
        <v>250</v>
      </c>
      <c r="X39" s="59" t="n">
        <f aca="false">W39-V39</f>
        <v>150</v>
      </c>
    </row>
    <row r="40" customFormat="false" ht="12.8" hidden="false" customHeight="false" outlineLevel="0" collapsed="false">
      <c r="E40" s="85" t="s">
        <v>281</v>
      </c>
      <c r="F40" s="59"/>
      <c r="G40" s="87"/>
      <c r="H40" s="87"/>
      <c r="I40" s="87"/>
      <c r="J40" s="59"/>
      <c r="K40" s="59"/>
      <c r="L40" s="59"/>
      <c r="M40" s="87"/>
      <c r="N40" s="87"/>
      <c r="O40" s="87"/>
      <c r="P40" s="59"/>
      <c r="Q40" s="59"/>
      <c r="R40" s="59"/>
      <c r="S40" s="81"/>
      <c r="T40" s="91"/>
      <c r="U40" s="81"/>
      <c r="V40" s="92"/>
      <c r="W40" s="92"/>
      <c r="X40" s="59" t="n">
        <f aca="false">W40-V40</f>
        <v>0</v>
      </c>
    </row>
    <row r="41" customFormat="false" ht="12.8" hidden="false" customHeight="false" outlineLevel="0" collapsed="false">
      <c r="E41" s="85" t="s">
        <v>183</v>
      </c>
      <c r="F41" s="86"/>
      <c r="G41" s="87"/>
      <c r="H41" s="87"/>
      <c r="I41" s="89"/>
      <c r="J41" s="59"/>
      <c r="K41" s="59"/>
      <c r="L41" s="59"/>
      <c r="M41" s="88"/>
      <c r="N41" s="88"/>
      <c r="O41" s="87"/>
      <c r="P41" s="90"/>
      <c r="Q41" s="90"/>
      <c r="R41" s="59"/>
      <c r="S41" s="91"/>
      <c r="T41" s="91"/>
      <c r="U41" s="81"/>
      <c r="V41" s="92"/>
      <c r="W41" s="92"/>
      <c r="X41" s="59" t="n">
        <f aca="false">W41-V41</f>
        <v>0</v>
      </c>
    </row>
    <row r="42" customFormat="false" ht="12.8" hidden="false" customHeight="false" outlineLevel="0" collapsed="false">
      <c r="E42" s="85" t="s">
        <v>195</v>
      </c>
      <c r="F42" s="86"/>
      <c r="G42" s="87"/>
      <c r="H42" s="87"/>
      <c r="I42" s="89"/>
      <c r="J42" s="59"/>
      <c r="K42" s="59"/>
      <c r="L42" s="59"/>
      <c r="M42" s="88"/>
      <c r="N42" s="88"/>
      <c r="O42" s="87"/>
      <c r="P42" s="90"/>
      <c r="Q42" s="90"/>
      <c r="R42" s="59"/>
      <c r="S42" s="91"/>
      <c r="T42" s="91"/>
      <c r="U42" s="81"/>
      <c r="V42" s="92"/>
      <c r="W42" s="92"/>
      <c r="X42" s="59" t="n">
        <f aca="false">W42-V42</f>
        <v>0</v>
      </c>
    </row>
    <row r="43" customFormat="false" ht="12.8" hidden="false" customHeight="false" outlineLevel="0" collapsed="false">
      <c r="F43" s="100" t="s">
        <v>478</v>
      </c>
      <c r="G43" s="100" t="n">
        <f aca="false">SUM(G2:G39)</f>
        <v>759.81</v>
      </c>
      <c r="H43" s="100" t="n">
        <f aca="false">SUM(H2:H39)</f>
        <v>2765.51</v>
      </c>
      <c r="I43" s="100" t="n">
        <f aca="false">SUM(I2:I39)</f>
        <v>1964.7</v>
      </c>
      <c r="J43" s="100" t="n">
        <f aca="false">SUM(J2:J39)</f>
        <v>1508.82</v>
      </c>
      <c r="K43" s="100" t="n">
        <f aca="false">SUM(K2:K39)</f>
        <v>3492.02</v>
      </c>
      <c r="L43" s="100" t="n">
        <f aca="false">SUM(L2:L39)</f>
        <v>1983.2</v>
      </c>
      <c r="M43" s="80" t="n">
        <f aca="false">SUM(M2:M39)</f>
        <v>1714.71</v>
      </c>
      <c r="N43" s="80" t="n">
        <f aca="false">SUM(N2:N39)</f>
        <v>2383.01</v>
      </c>
      <c r="O43" s="80" t="n">
        <f aca="false">SUM(O2:O39)</f>
        <v>668.3</v>
      </c>
      <c r="P43" s="80" t="n">
        <f aca="false">SUM(P2:P39)</f>
        <v>579.36</v>
      </c>
      <c r="Q43" s="80" t="n">
        <f aca="false">SUM(Q2:Q39)</f>
        <v>1321.19</v>
      </c>
      <c r="R43" s="80" t="n">
        <f aca="false">SUM(R2:R39)</f>
        <v>741.83</v>
      </c>
      <c r="S43" s="89" t="n">
        <f aca="false">SUM(S2:S39)</f>
        <v>695.05</v>
      </c>
      <c r="T43" s="89" t="n">
        <f aca="false">SUM(T2:T39)</f>
        <v>1656.35</v>
      </c>
      <c r="U43" s="89" t="n">
        <f aca="false">SUM(U2:U39)</f>
        <v>961.3</v>
      </c>
      <c r="V43" s="80" t="n">
        <f aca="false">SUM(V2:V39)</f>
        <v>1862.32</v>
      </c>
      <c r="W43" s="80" t="n">
        <f aca="false">SUM(W2:W39)</f>
        <v>4991.47</v>
      </c>
      <c r="X43" s="80" t="n">
        <f aca="false">SUM(X2:X39)</f>
        <v>3129.15</v>
      </c>
    </row>
    <row r="47" customFormat="false" ht="12.8" hidden="false" customHeight="false" outlineLevel="0" collapsed="false">
      <c r="E47" s="85" t="s">
        <v>77</v>
      </c>
      <c r="F47" s="101" t="n">
        <v>41</v>
      </c>
      <c r="G47" s="102" t="n">
        <v>33</v>
      </c>
      <c r="H47" s="102" t="n">
        <v>22</v>
      </c>
      <c r="I47" s="102"/>
      <c r="J47" s="102" t="n">
        <v>33</v>
      </c>
      <c r="K47" s="92"/>
    </row>
    <row r="48" customFormat="false" ht="12.8" hidden="false" customHeight="false" outlineLevel="0" collapsed="false">
      <c r="E48" s="85" t="s">
        <v>62</v>
      </c>
      <c r="F48" s="101" t="n">
        <v>153.55</v>
      </c>
      <c r="G48" s="102" t="n">
        <v>248.57</v>
      </c>
      <c r="H48" s="102" t="n">
        <v>172.55</v>
      </c>
      <c r="I48" s="102" t="n">
        <v>75.8</v>
      </c>
      <c r="J48" s="102"/>
      <c r="K48" s="92" t="n">
        <v>346.54</v>
      </c>
    </row>
    <row r="49" customFormat="false" ht="12.8" hidden="false" customHeight="false" outlineLevel="0" collapsed="false">
      <c r="E49" s="85" t="s">
        <v>66</v>
      </c>
      <c r="F49" s="101" t="n">
        <v>91.84</v>
      </c>
      <c r="G49" s="102" t="n">
        <v>191.36</v>
      </c>
      <c r="H49" s="102" t="n">
        <v>133.65</v>
      </c>
      <c r="I49" s="102" t="n">
        <v>86.44</v>
      </c>
      <c r="J49" s="102" t="n">
        <v>131.23</v>
      </c>
      <c r="K49" s="92" t="n">
        <v>7.96</v>
      </c>
    </row>
    <row r="50" customFormat="false" ht="12.8" hidden="false" customHeight="false" outlineLevel="0" collapsed="false">
      <c r="E50" s="85" t="s">
        <v>175</v>
      </c>
      <c r="F50" s="101"/>
      <c r="G50" s="102" t="n">
        <v>50</v>
      </c>
      <c r="H50" s="102" t="n">
        <v>75</v>
      </c>
      <c r="I50" s="102"/>
      <c r="J50" s="102"/>
      <c r="K50" s="92"/>
    </row>
    <row r="51" customFormat="false" ht="12.8" hidden="false" customHeight="false" outlineLevel="0" collapsed="false">
      <c r="E51" s="85" t="s">
        <v>391</v>
      </c>
      <c r="F51" s="103"/>
      <c r="G51" s="104"/>
      <c r="H51" s="104"/>
      <c r="I51" s="104"/>
      <c r="J51" s="104" t="n">
        <v>244.51</v>
      </c>
      <c r="K51" s="97"/>
    </row>
    <row r="52" customFormat="false" ht="12.8" hidden="false" customHeight="false" outlineLevel="0" collapsed="false">
      <c r="E52" s="85" t="s">
        <v>151</v>
      </c>
      <c r="F52" s="101" t="n">
        <v>25</v>
      </c>
      <c r="G52" s="102" t="n">
        <v>25</v>
      </c>
      <c r="H52" s="102"/>
      <c r="I52" s="102" t="n">
        <v>25</v>
      </c>
      <c r="J52" s="102"/>
      <c r="K52" s="92" t="n">
        <v>25</v>
      </c>
    </row>
    <row r="53" customFormat="false" ht="12.8" hidden="false" customHeight="false" outlineLevel="0" collapsed="false">
      <c r="E53" s="85" t="s">
        <v>134</v>
      </c>
      <c r="F53" s="101" t="n">
        <v>7685.86</v>
      </c>
      <c r="G53" s="102" t="n">
        <v>3626.45</v>
      </c>
      <c r="H53" s="102" t="n">
        <v>3876.74</v>
      </c>
      <c r="I53" s="102" t="n">
        <v>5465.37</v>
      </c>
      <c r="J53" s="102" t="n">
        <v>5527.93</v>
      </c>
      <c r="K53" s="92" t="n">
        <v>4000</v>
      </c>
    </row>
    <row r="54" customFormat="false" ht="12.8" hidden="false" customHeight="false" outlineLevel="0" collapsed="false">
      <c r="E54" s="85" t="s">
        <v>80</v>
      </c>
      <c r="F54" s="101" t="n">
        <v>158.6</v>
      </c>
      <c r="G54" s="102" t="n">
        <v>142.08</v>
      </c>
      <c r="H54" s="102" t="n">
        <v>136</v>
      </c>
      <c r="I54" s="102" t="n">
        <v>139.01</v>
      </c>
      <c r="J54" s="102" t="n">
        <v>136</v>
      </c>
      <c r="K54" s="92" t="n">
        <v>136</v>
      </c>
    </row>
    <row r="55" customFormat="false" ht="12.8" hidden="false" customHeight="false" outlineLevel="0" collapsed="false">
      <c r="E55" s="85" t="s">
        <v>59</v>
      </c>
      <c r="F55" s="101" t="n">
        <v>595.46</v>
      </c>
      <c r="G55" s="102" t="n">
        <v>562.66</v>
      </c>
      <c r="H55" s="102" t="n">
        <v>450.78</v>
      </c>
      <c r="I55" s="102" t="n">
        <v>311.43</v>
      </c>
      <c r="J55" s="102" t="n">
        <v>333.33</v>
      </c>
      <c r="K55" s="92" t="n">
        <v>931.2</v>
      </c>
    </row>
    <row r="56" customFormat="false" ht="12.8" hidden="false" customHeight="false" outlineLevel="0" collapsed="false">
      <c r="E56" s="85" t="s">
        <v>87</v>
      </c>
      <c r="F56" s="101" t="n">
        <v>464.17</v>
      </c>
      <c r="G56" s="102" t="n">
        <v>493.44</v>
      </c>
      <c r="H56" s="102" t="n">
        <v>496.64</v>
      </c>
      <c r="I56" s="102" t="n">
        <v>485.42</v>
      </c>
      <c r="J56" s="102" t="n">
        <v>491.85</v>
      </c>
      <c r="K56" s="92" t="n">
        <v>552.32</v>
      </c>
    </row>
    <row r="57" customFormat="false" ht="12.8" hidden="false" customHeight="false" outlineLevel="0" collapsed="false">
      <c r="E57" s="85" t="s">
        <v>69</v>
      </c>
      <c r="F57" s="101" t="n">
        <v>422</v>
      </c>
      <c r="G57" s="102" t="n">
        <v>542</v>
      </c>
      <c r="H57" s="102"/>
      <c r="I57" s="102" t="n">
        <v>422</v>
      </c>
      <c r="J57" s="102"/>
      <c r="K57" s="92" t="n">
        <v>422</v>
      </c>
    </row>
    <row r="58" customFormat="false" ht="12.8" hidden="false" customHeight="false" outlineLevel="0" collapsed="false">
      <c r="E58" s="85" t="s">
        <v>154</v>
      </c>
      <c r="F58" s="101" t="n">
        <v>0</v>
      </c>
      <c r="G58" s="102"/>
      <c r="H58" s="102"/>
      <c r="I58" s="102"/>
      <c r="J58" s="102"/>
      <c r="K58" s="92"/>
    </row>
    <row r="59" customFormat="false" ht="12.8" hidden="false" customHeight="false" outlineLevel="0" collapsed="false">
      <c r="E59" s="85" t="s">
        <v>108</v>
      </c>
      <c r="F59" s="101" t="n">
        <v>75</v>
      </c>
      <c r="G59" s="102" t="n">
        <v>75</v>
      </c>
      <c r="H59" s="102"/>
      <c r="I59" s="102" t="n">
        <v>175</v>
      </c>
      <c r="J59" s="102" t="n">
        <v>75</v>
      </c>
      <c r="K59" s="92" t="n">
        <v>75</v>
      </c>
    </row>
    <row r="60" customFormat="false" ht="12.8" hidden="false" customHeight="false" outlineLevel="0" collapsed="false">
      <c r="E60" s="85" t="s">
        <v>200</v>
      </c>
      <c r="F60" s="101"/>
      <c r="G60" s="102" t="n">
        <v>443.34</v>
      </c>
      <c r="H60" s="102" t="n">
        <v>443.34</v>
      </c>
      <c r="I60" s="102" t="n">
        <v>471.06</v>
      </c>
      <c r="J60" s="102" t="n">
        <v>471.06</v>
      </c>
      <c r="K60" s="92" t="n">
        <v>471.06</v>
      </c>
    </row>
    <row r="61" customFormat="false" ht="12.8" hidden="false" customHeight="false" outlineLevel="0" collapsed="false">
      <c r="E61" s="85" t="s">
        <v>124</v>
      </c>
      <c r="F61" s="101" t="n">
        <v>13</v>
      </c>
      <c r="G61" s="102" t="n">
        <v>5</v>
      </c>
      <c r="H61" s="102"/>
      <c r="I61" s="102"/>
      <c r="J61" s="102"/>
      <c r="K61" s="92"/>
    </row>
    <row r="62" customFormat="false" ht="12.8" hidden="false" customHeight="false" outlineLevel="0" collapsed="false">
      <c r="E62" s="85" t="s">
        <v>57</v>
      </c>
      <c r="F62" s="101" t="n">
        <v>321.29</v>
      </c>
      <c r="G62" s="102" t="n">
        <v>385.69</v>
      </c>
      <c r="H62" s="102" t="n">
        <v>240.55</v>
      </c>
      <c r="I62" s="102" t="n">
        <v>45.44</v>
      </c>
      <c r="J62" s="102" t="n">
        <v>230.2</v>
      </c>
      <c r="K62" s="92" t="n">
        <v>341.56</v>
      </c>
    </row>
    <row r="63" customFormat="false" ht="12.8" hidden="false" customHeight="false" outlineLevel="0" collapsed="false">
      <c r="E63" s="85" t="s">
        <v>98</v>
      </c>
      <c r="F63" s="101" t="n">
        <v>27</v>
      </c>
      <c r="G63" s="102"/>
      <c r="H63" s="102" t="n">
        <v>15</v>
      </c>
      <c r="I63" s="102"/>
      <c r="J63" s="102" t="n">
        <v>13</v>
      </c>
      <c r="K63" s="92"/>
    </row>
    <row r="64" customFormat="false" ht="12.8" hidden="false" customHeight="false" outlineLevel="0" collapsed="false">
      <c r="E64" s="85" t="s">
        <v>103</v>
      </c>
      <c r="F64" s="101" t="n">
        <v>150</v>
      </c>
      <c r="G64" s="102" t="n">
        <v>197</v>
      </c>
      <c r="H64" s="102" t="n">
        <v>171.6</v>
      </c>
      <c r="I64" s="102" t="n">
        <v>50</v>
      </c>
      <c r="J64" s="102" t="n">
        <v>150</v>
      </c>
      <c r="K64" s="92" t="n">
        <v>176</v>
      </c>
    </row>
    <row r="65" customFormat="false" ht="12.8" hidden="false" customHeight="false" outlineLevel="0" collapsed="false">
      <c r="E65" s="85" t="s">
        <v>159</v>
      </c>
      <c r="F65" s="101" t="n">
        <v>13.99</v>
      </c>
      <c r="G65" s="102" t="n">
        <v>31.9</v>
      </c>
      <c r="H65" s="102" t="n">
        <v>14.22</v>
      </c>
      <c r="I65" s="102" t="n">
        <v>12.98</v>
      </c>
      <c r="J65" s="102"/>
      <c r="K65" s="92" t="n">
        <v>9.98</v>
      </c>
    </row>
    <row r="66" customFormat="false" ht="12.8" hidden="false" customHeight="false" outlineLevel="0" collapsed="false">
      <c r="E66" s="85" t="s">
        <v>271</v>
      </c>
      <c r="F66" s="101"/>
      <c r="G66" s="102"/>
      <c r="H66" s="102" t="n">
        <v>947.6</v>
      </c>
      <c r="I66" s="102" t="n">
        <v>539.2</v>
      </c>
      <c r="J66" s="102" t="n">
        <v>394.33</v>
      </c>
      <c r="K66" s="92" t="n">
        <v>727.53</v>
      </c>
    </row>
    <row r="67" customFormat="false" ht="12.8" hidden="false" customHeight="false" outlineLevel="0" collapsed="false">
      <c r="E67" s="85" t="s">
        <v>73</v>
      </c>
      <c r="F67" s="101" t="n">
        <v>26.09</v>
      </c>
      <c r="G67" s="102"/>
      <c r="H67" s="102"/>
      <c r="I67" s="102"/>
      <c r="J67" s="102"/>
      <c r="K67" s="92"/>
    </row>
    <row r="68" customFormat="false" ht="12.8" hidden="false" customHeight="false" outlineLevel="0" collapsed="false">
      <c r="E68" s="85" t="s">
        <v>148</v>
      </c>
      <c r="F68" s="101" t="n">
        <v>140</v>
      </c>
      <c r="G68" s="102"/>
      <c r="H68" s="102"/>
      <c r="I68" s="102"/>
      <c r="J68" s="102"/>
      <c r="K68" s="92" t="n">
        <v>926</v>
      </c>
    </row>
    <row r="69" customFormat="false" ht="12.8" hidden="false" customHeight="false" outlineLevel="0" collapsed="false">
      <c r="E69" s="98" t="s">
        <v>64</v>
      </c>
      <c r="F69" s="105" t="n">
        <v>976.03</v>
      </c>
      <c r="G69" s="106" t="n">
        <v>1251.62</v>
      </c>
      <c r="H69" s="106" t="n">
        <v>861.78</v>
      </c>
      <c r="I69" s="106" t="n">
        <v>520.41</v>
      </c>
      <c r="J69" s="106" t="n">
        <v>279.76</v>
      </c>
      <c r="K69" s="99" t="n">
        <v>1526.17</v>
      </c>
    </row>
    <row r="70" customFormat="false" ht="12.8" hidden="false" customHeight="false" outlineLevel="0" collapsed="false">
      <c r="E70" s="85" t="s">
        <v>39</v>
      </c>
      <c r="F70" s="101"/>
      <c r="G70" s="102" t="n">
        <v>40</v>
      </c>
      <c r="H70" s="102" t="n">
        <v>0</v>
      </c>
      <c r="I70" s="102" t="n">
        <v>6000</v>
      </c>
      <c r="J70" s="102"/>
      <c r="K70" s="92"/>
    </row>
    <row r="71" customFormat="false" ht="12.8" hidden="false" customHeight="false" outlineLevel="0" collapsed="false">
      <c r="E71" s="85" t="s">
        <v>114</v>
      </c>
      <c r="F71" s="101" t="n">
        <v>1105.5</v>
      </c>
      <c r="G71" s="102"/>
      <c r="H71" s="102"/>
      <c r="I71" s="102"/>
      <c r="J71" s="102"/>
      <c r="K71" s="92"/>
    </row>
    <row r="72" customFormat="false" ht="12.8" hidden="false" customHeight="false" outlineLevel="0" collapsed="false">
      <c r="E72" s="85" t="s">
        <v>254</v>
      </c>
      <c r="F72" s="101"/>
      <c r="G72" s="102"/>
      <c r="H72" s="102" t="n">
        <v>49.99</v>
      </c>
      <c r="I72" s="102"/>
      <c r="J72" s="102"/>
      <c r="K72" s="92"/>
    </row>
    <row r="73" customFormat="false" ht="12.8" hidden="false" customHeight="false" outlineLevel="0" collapsed="false">
      <c r="E73" s="85" t="s">
        <v>53</v>
      </c>
      <c r="F73" s="101" t="n">
        <v>13.18</v>
      </c>
      <c r="G73" s="102" t="n">
        <v>32.61</v>
      </c>
      <c r="H73" s="102" t="n">
        <v>3.76</v>
      </c>
      <c r="I73" s="102" t="n">
        <v>153.11</v>
      </c>
      <c r="J73" s="102" t="n">
        <v>197.06</v>
      </c>
      <c r="K73" s="92" t="n">
        <v>105.07</v>
      </c>
    </row>
    <row r="74" customFormat="false" ht="12.8" hidden="false" customHeight="false" outlineLevel="0" collapsed="false">
      <c r="E74" s="85" t="s">
        <v>352</v>
      </c>
      <c r="F74" s="101"/>
      <c r="G74" s="102"/>
      <c r="H74" s="102"/>
      <c r="I74" s="102"/>
      <c r="J74" s="102" t="n">
        <v>1747.32</v>
      </c>
      <c r="K74" s="92" t="n">
        <v>100</v>
      </c>
    </row>
    <row r="75" customFormat="false" ht="12.8" hidden="false" customHeight="false" outlineLevel="0" collapsed="false">
      <c r="E75" s="85" t="s">
        <v>41</v>
      </c>
      <c r="F75" s="101"/>
      <c r="G75" s="102" t="n">
        <v>2000</v>
      </c>
      <c r="H75" s="102"/>
      <c r="I75" s="102"/>
      <c r="J75" s="102"/>
      <c r="K75" s="92"/>
    </row>
    <row r="76" customFormat="false" ht="12.8" hidden="false" customHeight="false" outlineLevel="0" collapsed="false">
      <c r="E76" s="85" t="s">
        <v>92</v>
      </c>
      <c r="F76" s="101" t="n">
        <v>43.64</v>
      </c>
      <c r="G76" s="102"/>
      <c r="H76" s="102"/>
      <c r="I76" s="102"/>
      <c r="J76" s="102"/>
      <c r="K76" s="92"/>
    </row>
    <row r="77" customFormat="false" ht="12.8" hidden="false" customHeight="false" outlineLevel="0" collapsed="false">
      <c r="E77" s="85" t="s">
        <v>178</v>
      </c>
      <c r="F77" s="101"/>
      <c r="G77" s="102" t="n">
        <v>0</v>
      </c>
      <c r="H77" s="102" t="n">
        <v>326.5</v>
      </c>
      <c r="I77" s="102"/>
      <c r="J77" s="102"/>
      <c r="K77" s="92"/>
    </row>
    <row r="78" customFormat="false" ht="12.8" hidden="false" customHeight="false" outlineLevel="0" collapsed="false">
      <c r="E78" s="85" t="s">
        <v>194</v>
      </c>
      <c r="F78" s="101"/>
      <c r="G78" s="102" t="n">
        <v>0</v>
      </c>
      <c r="H78" s="102"/>
      <c r="I78" s="102" t="n">
        <v>0</v>
      </c>
      <c r="J78" s="102"/>
      <c r="K78" s="92"/>
    </row>
    <row r="79" customFormat="false" ht="12.8" hidden="false" customHeight="false" outlineLevel="0" collapsed="false">
      <c r="E79" s="85" t="s">
        <v>136</v>
      </c>
      <c r="F79" s="101" t="n">
        <v>0</v>
      </c>
      <c r="G79" s="102"/>
      <c r="H79" s="102"/>
      <c r="I79" s="102" t="n">
        <v>2000</v>
      </c>
      <c r="J79" s="102" t="n">
        <v>0</v>
      </c>
      <c r="K79" s="92"/>
    </row>
    <row r="80" customFormat="false" ht="12.8" hidden="false" customHeight="false" outlineLevel="0" collapsed="false">
      <c r="E80" s="85" t="s">
        <v>215</v>
      </c>
      <c r="F80" s="101"/>
      <c r="G80" s="102" t="n">
        <v>0</v>
      </c>
      <c r="H80" s="102"/>
      <c r="I80" s="102"/>
      <c r="J80" s="102"/>
      <c r="K80" s="92"/>
    </row>
    <row r="81" customFormat="false" ht="12.8" hidden="false" customHeight="false" outlineLevel="0" collapsed="false">
      <c r="E81" s="85" t="s">
        <v>211</v>
      </c>
      <c r="F81" s="101"/>
      <c r="G81" s="102" t="n">
        <v>20</v>
      </c>
      <c r="H81" s="102"/>
      <c r="I81" s="102"/>
      <c r="J81" s="102"/>
      <c r="K81" s="92" t="n">
        <v>263.93</v>
      </c>
    </row>
    <row r="82" customFormat="false" ht="12.8" hidden="false" customHeight="false" outlineLevel="0" collapsed="false">
      <c r="E82" s="85" t="s">
        <v>85</v>
      </c>
      <c r="F82" s="101" t="n">
        <v>0</v>
      </c>
      <c r="G82" s="102" t="n">
        <v>0</v>
      </c>
      <c r="H82" s="102" t="n">
        <v>0</v>
      </c>
      <c r="I82" s="102"/>
      <c r="J82" s="102"/>
      <c r="K82" s="92"/>
    </row>
    <row r="83" customFormat="false" ht="12.8" hidden="false" customHeight="false" outlineLevel="0" collapsed="false">
      <c r="E83" s="85" t="s">
        <v>31</v>
      </c>
      <c r="F83" s="101" t="n">
        <v>0</v>
      </c>
      <c r="G83" s="102" t="n">
        <v>0</v>
      </c>
      <c r="H83" s="102" t="n">
        <v>0</v>
      </c>
      <c r="I83" s="102" t="n">
        <v>0</v>
      </c>
      <c r="J83" s="102" t="n">
        <v>16.2</v>
      </c>
      <c r="K83" s="92" t="n">
        <v>0</v>
      </c>
    </row>
    <row r="84" customFormat="false" ht="12.8" hidden="false" customHeight="false" outlineLevel="0" collapsed="false">
      <c r="E84" s="85" t="s">
        <v>121</v>
      </c>
      <c r="F84" s="101" t="n">
        <v>200</v>
      </c>
      <c r="G84" s="102" t="n">
        <v>350</v>
      </c>
      <c r="H84" s="102" t="n">
        <v>320</v>
      </c>
      <c r="I84" s="102" t="n">
        <v>140</v>
      </c>
      <c r="J84" s="102" t="n">
        <v>420</v>
      </c>
      <c r="K84" s="92" t="n">
        <v>250</v>
      </c>
    </row>
    <row r="85" customFormat="false" ht="12.8" hidden="false" customHeight="false" outlineLevel="0" collapsed="false">
      <c r="E85" s="85" t="s">
        <v>281</v>
      </c>
      <c r="F85" s="101"/>
      <c r="G85" s="102"/>
      <c r="H85" s="102" t="n">
        <v>240.13</v>
      </c>
      <c r="I85" s="102" t="n">
        <v>238.78</v>
      </c>
      <c r="J85" s="102"/>
      <c r="K85" s="92"/>
    </row>
    <row r="86" customFormat="false" ht="12.8" hidden="false" customHeight="false" outlineLevel="0" collapsed="false">
      <c r="E86" s="85" t="s">
        <v>183</v>
      </c>
      <c r="F86" s="101"/>
      <c r="G86" s="102" t="n">
        <v>340</v>
      </c>
      <c r="H86" s="102" t="n">
        <v>385.75</v>
      </c>
      <c r="I86" s="102"/>
      <c r="J86" s="102" t="n">
        <v>255</v>
      </c>
      <c r="K86" s="92"/>
    </row>
    <row r="87" customFormat="false" ht="12.8" hidden="false" customHeight="false" outlineLevel="0" collapsed="false">
      <c r="E87" s="85" t="s">
        <v>195</v>
      </c>
      <c r="F87" s="101"/>
      <c r="G87" s="102" t="n">
        <v>0</v>
      </c>
      <c r="H87" s="102"/>
      <c r="I87" s="102"/>
      <c r="J87" s="102"/>
      <c r="K87" s="92"/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3:H47"/>
  <sheetViews>
    <sheetView showFormulas="false" showGridLines="true" showRowColHeaders="true" showZeros="true" rightToLeft="false" tabSelected="false" showOutlineSymbols="true" defaultGridColor="true" view="normal" topLeftCell="A1" colorId="64" zoomScale="84" zoomScaleNormal="84" zoomScalePageLayoutView="100" workbookViewId="0">
      <selection pane="topLeft" activeCell="I26" activeCellId="0" sqref="I26"/>
    </sheetView>
  </sheetViews>
  <sheetFormatPr defaultRowHeight="12.8" zeroHeight="false" outlineLevelRow="0" outlineLevelCol="0"/>
  <cols>
    <col collapsed="false" customWidth="false" hidden="false" outlineLevel="0" max="1025" min="1" style="0" width="11.52"/>
  </cols>
  <sheetData>
    <row r="3" customFormat="false" ht="12.8" hidden="false" customHeight="false" outlineLevel="0" collapsed="false">
      <c r="A3" s="107" t="s">
        <v>479</v>
      </c>
      <c r="B3" s="108" t="s">
        <v>50</v>
      </c>
      <c r="C3" s="109"/>
      <c r="D3" s="109"/>
      <c r="E3" s="109"/>
      <c r="F3" s="109"/>
      <c r="G3" s="109"/>
      <c r="H3" s="110"/>
    </row>
    <row r="4" customFormat="false" ht="12.8" hidden="false" customHeight="false" outlineLevel="0" collapsed="false">
      <c r="A4" s="111" t="s">
        <v>43</v>
      </c>
      <c r="B4" s="112" t="n">
        <v>44197</v>
      </c>
      <c r="C4" s="113" t="n">
        <v>44228</v>
      </c>
      <c r="D4" s="113" t="n">
        <v>44256</v>
      </c>
      <c r="E4" s="113" t="n">
        <v>44287</v>
      </c>
      <c r="F4" s="113" t="n">
        <v>44317</v>
      </c>
      <c r="G4" s="113" t="n">
        <v>44348</v>
      </c>
      <c r="H4" s="114" t="s">
        <v>480</v>
      </c>
    </row>
    <row r="5" customFormat="false" ht="12.8" hidden="false" customHeight="false" outlineLevel="0" collapsed="false">
      <c r="A5" s="115" t="s">
        <v>64</v>
      </c>
      <c r="B5" s="116" t="n">
        <v>976.03</v>
      </c>
      <c r="C5" s="117" t="n">
        <v>1251.62</v>
      </c>
      <c r="D5" s="117" t="n">
        <v>861.78</v>
      </c>
      <c r="E5" s="117" t="n">
        <v>520.41</v>
      </c>
      <c r="F5" s="117" t="n">
        <v>279.76</v>
      </c>
      <c r="G5" s="118" t="n">
        <v>1526.17</v>
      </c>
      <c r="H5" s="119" t="n">
        <v>5415.77</v>
      </c>
    </row>
    <row r="6" customFormat="false" ht="12.8" hidden="false" customHeight="false" outlineLevel="0" collapsed="false">
      <c r="A6" s="120" t="s">
        <v>53</v>
      </c>
      <c r="B6" s="121" t="n">
        <v>13.18</v>
      </c>
      <c r="C6" s="122" t="n">
        <v>32.61</v>
      </c>
      <c r="D6" s="122" t="n">
        <v>3.76</v>
      </c>
      <c r="E6" s="122" t="n">
        <v>153.11</v>
      </c>
      <c r="F6" s="122" t="n">
        <v>197.06</v>
      </c>
      <c r="G6" s="123" t="n">
        <v>105.07</v>
      </c>
      <c r="H6" s="124" t="n">
        <v>504.79</v>
      </c>
    </row>
    <row r="7" customFormat="false" ht="12.8" hidden="false" customHeight="false" outlineLevel="0" collapsed="false">
      <c r="A7" s="120" t="s">
        <v>31</v>
      </c>
      <c r="B7" s="121" t="n">
        <v>0</v>
      </c>
      <c r="C7" s="122" t="n">
        <v>0</v>
      </c>
      <c r="D7" s="122" t="n">
        <v>0</v>
      </c>
      <c r="E7" s="122" t="n">
        <v>0</v>
      </c>
      <c r="F7" s="122" t="n">
        <v>16.2</v>
      </c>
      <c r="G7" s="123" t="n">
        <v>0</v>
      </c>
      <c r="H7" s="124" t="n">
        <v>16.2</v>
      </c>
    </row>
    <row r="8" customFormat="false" ht="12.8" hidden="false" customHeight="false" outlineLevel="0" collapsed="false">
      <c r="A8" s="120" t="s">
        <v>66</v>
      </c>
      <c r="B8" s="121" t="n">
        <v>91.84</v>
      </c>
      <c r="C8" s="122" t="n">
        <v>191.36</v>
      </c>
      <c r="D8" s="122" t="n">
        <v>133.65</v>
      </c>
      <c r="E8" s="122" t="n">
        <v>86.44</v>
      </c>
      <c r="F8" s="122" t="n">
        <v>131.23</v>
      </c>
      <c r="G8" s="123" t="n">
        <v>7.96</v>
      </c>
      <c r="H8" s="124" t="n">
        <v>642.48</v>
      </c>
    </row>
    <row r="9" customFormat="false" ht="12.8" hidden="false" customHeight="false" outlineLevel="0" collapsed="false">
      <c r="A9" s="120" t="s">
        <v>80</v>
      </c>
      <c r="B9" s="121" t="n">
        <v>158.6</v>
      </c>
      <c r="C9" s="122" t="n">
        <v>142.08</v>
      </c>
      <c r="D9" s="122" t="n">
        <v>136</v>
      </c>
      <c r="E9" s="122" t="n">
        <v>139.01</v>
      </c>
      <c r="F9" s="122" t="n">
        <v>136</v>
      </c>
      <c r="G9" s="123" t="n">
        <v>136</v>
      </c>
      <c r="H9" s="124" t="n">
        <v>847.69</v>
      </c>
    </row>
    <row r="10" customFormat="false" ht="12.8" hidden="false" customHeight="false" outlineLevel="0" collapsed="false">
      <c r="A10" s="120" t="s">
        <v>59</v>
      </c>
      <c r="B10" s="121" t="n">
        <v>595.46</v>
      </c>
      <c r="C10" s="122" t="n">
        <v>562.66</v>
      </c>
      <c r="D10" s="122" t="n">
        <v>450.78</v>
      </c>
      <c r="E10" s="122" t="n">
        <v>311.43</v>
      </c>
      <c r="F10" s="122" t="n">
        <v>333.33</v>
      </c>
      <c r="G10" s="123" t="n">
        <v>931.2</v>
      </c>
      <c r="H10" s="124" t="n">
        <v>3184.86</v>
      </c>
    </row>
    <row r="11" customFormat="false" ht="12.8" hidden="false" customHeight="false" outlineLevel="0" collapsed="false">
      <c r="A11" s="120" t="s">
        <v>87</v>
      </c>
      <c r="B11" s="121" t="n">
        <v>464.17</v>
      </c>
      <c r="C11" s="122" t="n">
        <v>493.44</v>
      </c>
      <c r="D11" s="122" t="n">
        <v>496.64</v>
      </c>
      <c r="E11" s="122" t="n">
        <v>485.42</v>
      </c>
      <c r="F11" s="122" t="n">
        <v>491.85</v>
      </c>
      <c r="G11" s="123" t="n">
        <v>552.32</v>
      </c>
      <c r="H11" s="124" t="n">
        <v>2983.84</v>
      </c>
    </row>
    <row r="12" customFormat="false" ht="12.8" hidden="false" customHeight="false" outlineLevel="0" collapsed="false">
      <c r="A12" s="120" t="s">
        <v>69</v>
      </c>
      <c r="B12" s="121" t="n">
        <v>422</v>
      </c>
      <c r="C12" s="122" t="n">
        <v>542</v>
      </c>
      <c r="D12" s="122"/>
      <c r="E12" s="122" t="n">
        <v>422</v>
      </c>
      <c r="F12" s="122" t="n">
        <v>422</v>
      </c>
      <c r="G12" s="123" t="n">
        <v>422</v>
      </c>
      <c r="H12" s="124" t="n">
        <v>2230</v>
      </c>
    </row>
    <row r="13" customFormat="false" ht="12.8" hidden="false" customHeight="false" outlineLevel="0" collapsed="false">
      <c r="A13" s="120" t="s">
        <v>57</v>
      </c>
      <c r="B13" s="121" t="n">
        <v>321.29</v>
      </c>
      <c r="C13" s="122" t="n">
        <v>385.69</v>
      </c>
      <c r="D13" s="122" t="n">
        <v>240.55</v>
      </c>
      <c r="E13" s="122" t="n">
        <v>45.44</v>
      </c>
      <c r="F13" s="122" t="n">
        <v>230.2</v>
      </c>
      <c r="G13" s="123" t="n">
        <v>341.56</v>
      </c>
      <c r="H13" s="124" t="n">
        <v>1564.73</v>
      </c>
    </row>
    <row r="14" customFormat="false" ht="12.8" hidden="false" customHeight="false" outlineLevel="0" collapsed="false">
      <c r="A14" s="120" t="s">
        <v>73</v>
      </c>
      <c r="B14" s="121" t="n">
        <v>26.09</v>
      </c>
      <c r="C14" s="122"/>
      <c r="D14" s="122"/>
      <c r="E14" s="122"/>
      <c r="F14" s="122"/>
      <c r="G14" s="123"/>
      <c r="H14" s="124" t="n">
        <v>26.09</v>
      </c>
    </row>
    <row r="15" customFormat="false" ht="12.8" hidden="false" customHeight="false" outlineLevel="0" collapsed="false">
      <c r="A15" s="120" t="s">
        <v>85</v>
      </c>
      <c r="B15" s="121" t="n">
        <v>0</v>
      </c>
      <c r="C15" s="122" t="n">
        <v>0</v>
      </c>
      <c r="D15" s="122" t="n">
        <v>0</v>
      </c>
      <c r="E15" s="122"/>
      <c r="F15" s="122"/>
      <c r="G15" s="123"/>
      <c r="H15" s="124" t="n">
        <v>0</v>
      </c>
    </row>
    <row r="16" customFormat="false" ht="12.8" hidden="false" customHeight="false" outlineLevel="0" collapsed="false">
      <c r="A16" s="120" t="s">
        <v>108</v>
      </c>
      <c r="B16" s="121" t="n">
        <v>75</v>
      </c>
      <c r="C16" s="122" t="n">
        <v>75</v>
      </c>
      <c r="D16" s="122"/>
      <c r="E16" s="122" t="n">
        <v>175</v>
      </c>
      <c r="F16" s="122" t="n">
        <v>75</v>
      </c>
      <c r="G16" s="123" t="n">
        <v>75</v>
      </c>
      <c r="H16" s="124" t="n">
        <v>475</v>
      </c>
    </row>
    <row r="17" customFormat="false" ht="12.8" hidden="false" customHeight="false" outlineLevel="0" collapsed="false">
      <c r="A17" s="120" t="s">
        <v>98</v>
      </c>
      <c r="B17" s="121" t="n">
        <v>27</v>
      </c>
      <c r="C17" s="122"/>
      <c r="D17" s="122" t="n">
        <v>15</v>
      </c>
      <c r="E17" s="122"/>
      <c r="F17" s="122" t="n">
        <v>13</v>
      </c>
      <c r="G17" s="123"/>
      <c r="H17" s="124" t="n">
        <v>55</v>
      </c>
    </row>
    <row r="18" customFormat="false" ht="12.8" hidden="false" customHeight="false" outlineLevel="0" collapsed="false">
      <c r="A18" s="120" t="s">
        <v>103</v>
      </c>
      <c r="B18" s="121" t="n">
        <v>150</v>
      </c>
      <c r="C18" s="122" t="n">
        <v>197</v>
      </c>
      <c r="D18" s="122" t="n">
        <v>171.6</v>
      </c>
      <c r="E18" s="122" t="n">
        <v>50</v>
      </c>
      <c r="F18" s="122" t="n">
        <v>150</v>
      </c>
      <c r="G18" s="123" t="n">
        <v>176</v>
      </c>
      <c r="H18" s="124" t="n">
        <v>894.6</v>
      </c>
    </row>
    <row r="19" customFormat="false" ht="12.8" hidden="false" customHeight="false" outlineLevel="0" collapsed="false">
      <c r="A19" s="120" t="s">
        <v>114</v>
      </c>
      <c r="B19" s="121" t="n">
        <v>1105.5</v>
      </c>
      <c r="C19" s="122"/>
      <c r="D19" s="122"/>
      <c r="E19" s="122"/>
      <c r="F19" s="122"/>
      <c r="G19" s="123"/>
      <c r="H19" s="124" t="n">
        <v>1105.5</v>
      </c>
    </row>
    <row r="20" customFormat="false" ht="12.8" hidden="false" customHeight="false" outlineLevel="0" collapsed="false">
      <c r="A20" s="120" t="s">
        <v>92</v>
      </c>
      <c r="B20" s="121" t="n">
        <v>43.64</v>
      </c>
      <c r="C20" s="122"/>
      <c r="D20" s="122"/>
      <c r="E20" s="122"/>
      <c r="F20" s="122"/>
      <c r="G20" s="123"/>
      <c r="H20" s="124" t="n">
        <v>43.64</v>
      </c>
    </row>
    <row r="21" customFormat="false" ht="12.8" hidden="false" customHeight="false" outlineLevel="0" collapsed="false">
      <c r="A21" s="120" t="s">
        <v>62</v>
      </c>
      <c r="B21" s="121" t="n">
        <v>153.55</v>
      </c>
      <c r="C21" s="122" t="n">
        <v>248.57</v>
      </c>
      <c r="D21" s="122" t="n">
        <v>172.55</v>
      </c>
      <c r="E21" s="122" t="n">
        <v>75.8</v>
      </c>
      <c r="F21" s="122"/>
      <c r="G21" s="123" t="n">
        <v>346.54</v>
      </c>
      <c r="H21" s="124" t="n">
        <v>997.01</v>
      </c>
    </row>
    <row r="22" customFormat="false" ht="12.8" hidden="false" customHeight="false" outlineLevel="0" collapsed="false">
      <c r="A22" s="120" t="s">
        <v>151</v>
      </c>
      <c r="B22" s="121" t="n">
        <v>25</v>
      </c>
      <c r="C22" s="122" t="n">
        <v>25</v>
      </c>
      <c r="D22" s="122"/>
      <c r="E22" s="122" t="n">
        <v>25</v>
      </c>
      <c r="F22" s="122" t="n">
        <v>25</v>
      </c>
      <c r="G22" s="123" t="n">
        <v>25</v>
      </c>
      <c r="H22" s="124" t="n">
        <v>125</v>
      </c>
    </row>
    <row r="23" customFormat="false" ht="12.8" hidden="false" customHeight="false" outlineLevel="0" collapsed="false">
      <c r="A23" s="120" t="s">
        <v>134</v>
      </c>
      <c r="B23" s="121" t="n">
        <v>7685.86</v>
      </c>
      <c r="C23" s="122" t="n">
        <v>3626.45</v>
      </c>
      <c r="D23" s="122" t="n">
        <v>3876.74</v>
      </c>
      <c r="E23" s="122" t="n">
        <v>5465.37</v>
      </c>
      <c r="F23" s="122" t="n">
        <v>5527.93</v>
      </c>
      <c r="G23" s="123" t="n">
        <v>4000</v>
      </c>
      <c r="H23" s="124" t="n">
        <v>30182.35</v>
      </c>
    </row>
    <row r="24" customFormat="false" ht="12.8" hidden="false" customHeight="false" outlineLevel="0" collapsed="false">
      <c r="A24" s="120" t="s">
        <v>154</v>
      </c>
      <c r="B24" s="121" t="n">
        <v>0</v>
      </c>
      <c r="C24" s="122"/>
      <c r="D24" s="122"/>
      <c r="E24" s="122"/>
      <c r="F24" s="122"/>
      <c r="G24" s="123"/>
      <c r="H24" s="124" t="n">
        <v>0</v>
      </c>
    </row>
    <row r="25" customFormat="false" ht="12.8" hidden="false" customHeight="false" outlineLevel="0" collapsed="false">
      <c r="A25" s="120" t="s">
        <v>124</v>
      </c>
      <c r="B25" s="121" t="n">
        <v>13</v>
      </c>
      <c r="C25" s="122" t="n">
        <v>5</v>
      </c>
      <c r="D25" s="122"/>
      <c r="E25" s="122"/>
      <c r="F25" s="122"/>
      <c r="G25" s="123"/>
      <c r="H25" s="124" t="n">
        <v>18</v>
      </c>
    </row>
    <row r="26" customFormat="false" ht="12.8" hidden="false" customHeight="false" outlineLevel="0" collapsed="false">
      <c r="A26" s="120" t="s">
        <v>159</v>
      </c>
      <c r="B26" s="121" t="n">
        <v>13.99</v>
      </c>
      <c r="C26" s="122" t="n">
        <v>31.9</v>
      </c>
      <c r="D26" s="122" t="n">
        <v>14.22</v>
      </c>
      <c r="E26" s="122" t="n">
        <v>12.98</v>
      </c>
      <c r="F26" s="122"/>
      <c r="G26" s="123" t="n">
        <v>9.98</v>
      </c>
      <c r="H26" s="124" t="n">
        <v>83.07</v>
      </c>
    </row>
    <row r="27" customFormat="false" ht="12.8" hidden="false" customHeight="false" outlineLevel="0" collapsed="false">
      <c r="A27" s="120" t="s">
        <v>136</v>
      </c>
      <c r="B27" s="121" t="n">
        <v>0</v>
      </c>
      <c r="C27" s="122"/>
      <c r="D27" s="122"/>
      <c r="E27" s="122" t="n">
        <v>2000</v>
      </c>
      <c r="F27" s="122" t="n">
        <v>0</v>
      </c>
      <c r="G27" s="123"/>
      <c r="H27" s="124" t="n">
        <v>2000</v>
      </c>
    </row>
    <row r="28" customFormat="false" ht="12.8" hidden="false" customHeight="false" outlineLevel="0" collapsed="false">
      <c r="A28" s="120" t="s">
        <v>121</v>
      </c>
      <c r="B28" s="121" t="n">
        <v>200</v>
      </c>
      <c r="C28" s="122" t="n">
        <v>350</v>
      </c>
      <c r="D28" s="122" t="n">
        <v>320</v>
      </c>
      <c r="E28" s="122" t="n">
        <v>140</v>
      </c>
      <c r="F28" s="122" t="n">
        <v>420</v>
      </c>
      <c r="G28" s="123" t="n">
        <v>250</v>
      </c>
      <c r="H28" s="124" t="n">
        <v>1680</v>
      </c>
    </row>
    <row r="29" customFormat="false" ht="12.8" hidden="false" customHeight="false" outlineLevel="0" collapsed="false">
      <c r="A29" s="120" t="s">
        <v>77</v>
      </c>
      <c r="B29" s="121" t="n">
        <v>41</v>
      </c>
      <c r="C29" s="122" t="n">
        <v>33</v>
      </c>
      <c r="D29" s="122" t="n">
        <v>22</v>
      </c>
      <c r="E29" s="122"/>
      <c r="F29" s="122" t="n">
        <v>33</v>
      </c>
      <c r="G29" s="123"/>
      <c r="H29" s="124" t="n">
        <v>129</v>
      </c>
    </row>
    <row r="30" customFormat="false" ht="12.8" hidden="false" customHeight="false" outlineLevel="0" collapsed="false">
      <c r="A30" s="120" t="s">
        <v>148</v>
      </c>
      <c r="B30" s="121" t="n">
        <v>140</v>
      </c>
      <c r="C30" s="122"/>
      <c r="D30" s="122"/>
      <c r="E30" s="122"/>
      <c r="F30" s="122"/>
      <c r="G30" s="123" t="n">
        <v>926</v>
      </c>
      <c r="H30" s="124" t="n">
        <v>1066</v>
      </c>
    </row>
    <row r="31" customFormat="false" ht="12.8" hidden="false" customHeight="false" outlineLevel="0" collapsed="false">
      <c r="A31" s="120" t="s">
        <v>175</v>
      </c>
      <c r="B31" s="121"/>
      <c r="C31" s="122" t="n">
        <v>50</v>
      </c>
      <c r="D31" s="122" t="n">
        <v>75</v>
      </c>
      <c r="E31" s="122"/>
      <c r="F31" s="122" t="n">
        <v>150</v>
      </c>
      <c r="G31" s="123"/>
      <c r="H31" s="124" t="n">
        <v>275</v>
      </c>
    </row>
    <row r="32" customFormat="false" ht="12.8" hidden="false" customHeight="false" outlineLevel="0" collapsed="false">
      <c r="A32" s="120" t="s">
        <v>39</v>
      </c>
      <c r="B32" s="121"/>
      <c r="C32" s="122" t="n">
        <v>40</v>
      </c>
      <c r="D32" s="122" t="n">
        <v>0</v>
      </c>
      <c r="E32" s="122" t="n">
        <v>6000</v>
      </c>
      <c r="F32" s="122"/>
      <c r="G32" s="123"/>
      <c r="H32" s="124" t="n">
        <v>6040</v>
      </c>
    </row>
    <row r="33" customFormat="false" ht="12.8" hidden="false" customHeight="false" outlineLevel="0" collapsed="false">
      <c r="A33" s="120" t="s">
        <v>41</v>
      </c>
      <c r="B33" s="121"/>
      <c r="C33" s="122" t="n">
        <v>2000</v>
      </c>
      <c r="D33" s="122"/>
      <c r="E33" s="122"/>
      <c r="F33" s="122"/>
      <c r="G33" s="123"/>
      <c r="H33" s="124" t="n">
        <v>2000</v>
      </c>
    </row>
    <row r="34" customFormat="false" ht="12.8" hidden="false" customHeight="false" outlineLevel="0" collapsed="false">
      <c r="A34" s="120" t="s">
        <v>178</v>
      </c>
      <c r="B34" s="121"/>
      <c r="C34" s="122" t="n">
        <v>0</v>
      </c>
      <c r="D34" s="122" t="n">
        <v>326.5</v>
      </c>
      <c r="E34" s="122"/>
      <c r="F34" s="122" t="n">
        <v>150</v>
      </c>
      <c r="G34" s="123"/>
      <c r="H34" s="124" t="n">
        <v>476.5</v>
      </c>
    </row>
    <row r="35" customFormat="false" ht="12.8" hidden="false" customHeight="false" outlineLevel="0" collapsed="false">
      <c r="A35" s="120" t="s">
        <v>183</v>
      </c>
      <c r="B35" s="121"/>
      <c r="C35" s="122" t="n">
        <v>340</v>
      </c>
      <c r="D35" s="122" t="n">
        <v>385.75</v>
      </c>
      <c r="E35" s="122"/>
      <c r="F35" s="122" t="n">
        <v>255</v>
      </c>
      <c r="G35" s="123"/>
      <c r="H35" s="124" t="n">
        <v>980.75</v>
      </c>
    </row>
    <row r="36" customFormat="false" ht="12.8" hidden="false" customHeight="false" outlineLevel="0" collapsed="false">
      <c r="A36" s="120" t="s">
        <v>194</v>
      </c>
      <c r="B36" s="121"/>
      <c r="C36" s="122" t="n">
        <v>0</v>
      </c>
      <c r="D36" s="122"/>
      <c r="E36" s="122" t="n">
        <v>0</v>
      </c>
      <c r="F36" s="122"/>
      <c r="G36" s="123"/>
      <c r="H36" s="124" t="n">
        <v>0</v>
      </c>
    </row>
    <row r="37" customFormat="false" ht="12.8" hidden="false" customHeight="false" outlineLevel="0" collapsed="false">
      <c r="A37" s="120" t="s">
        <v>195</v>
      </c>
      <c r="B37" s="121"/>
      <c r="C37" s="122" t="n">
        <v>0</v>
      </c>
      <c r="D37" s="122"/>
      <c r="E37" s="122"/>
      <c r="F37" s="122"/>
      <c r="G37" s="123"/>
      <c r="H37" s="124" t="n">
        <v>0</v>
      </c>
    </row>
    <row r="38" customFormat="false" ht="12.8" hidden="false" customHeight="false" outlineLevel="0" collapsed="false">
      <c r="A38" s="120" t="s">
        <v>200</v>
      </c>
      <c r="B38" s="121"/>
      <c r="C38" s="122" t="n">
        <v>443.34</v>
      </c>
      <c r="D38" s="122" t="n">
        <v>443.34</v>
      </c>
      <c r="E38" s="122" t="n">
        <v>471.06</v>
      </c>
      <c r="F38" s="122" t="n">
        <v>471.06</v>
      </c>
      <c r="G38" s="123" t="n">
        <v>471.06</v>
      </c>
      <c r="H38" s="124" t="n">
        <v>2299.86</v>
      </c>
    </row>
    <row r="39" customFormat="false" ht="12.8" hidden="false" customHeight="false" outlineLevel="0" collapsed="false">
      <c r="A39" s="120" t="s">
        <v>215</v>
      </c>
      <c r="B39" s="121"/>
      <c r="C39" s="122" t="n">
        <v>0</v>
      </c>
      <c r="D39" s="122"/>
      <c r="E39" s="122"/>
      <c r="F39" s="122"/>
      <c r="G39" s="123"/>
      <c r="H39" s="124" t="n">
        <v>0</v>
      </c>
    </row>
    <row r="40" customFormat="false" ht="12.8" hidden="false" customHeight="false" outlineLevel="0" collapsed="false">
      <c r="A40" s="120" t="s">
        <v>211</v>
      </c>
      <c r="B40" s="121"/>
      <c r="C40" s="122" t="n">
        <v>20</v>
      </c>
      <c r="D40" s="122"/>
      <c r="E40" s="122"/>
      <c r="F40" s="122"/>
      <c r="G40" s="123" t="n">
        <v>263.93</v>
      </c>
      <c r="H40" s="124" t="n">
        <v>283.93</v>
      </c>
    </row>
    <row r="41" customFormat="false" ht="12.8" hidden="false" customHeight="false" outlineLevel="0" collapsed="false">
      <c r="A41" s="120" t="s">
        <v>254</v>
      </c>
      <c r="B41" s="121"/>
      <c r="C41" s="122"/>
      <c r="D41" s="122" t="n">
        <v>49.99</v>
      </c>
      <c r="E41" s="122"/>
      <c r="F41" s="122"/>
      <c r="G41" s="123"/>
      <c r="H41" s="124" t="n">
        <v>49.99</v>
      </c>
    </row>
    <row r="42" customFormat="false" ht="12.8" hidden="false" customHeight="false" outlineLevel="0" collapsed="false">
      <c r="A42" s="120" t="s">
        <v>271</v>
      </c>
      <c r="B42" s="121"/>
      <c r="C42" s="122"/>
      <c r="D42" s="122" t="n">
        <v>947.6</v>
      </c>
      <c r="E42" s="122" t="n">
        <v>539.2</v>
      </c>
      <c r="F42" s="122" t="n">
        <v>1344.65</v>
      </c>
      <c r="G42" s="123" t="n">
        <v>727.53</v>
      </c>
      <c r="H42" s="124" t="n">
        <v>3558.98</v>
      </c>
    </row>
    <row r="43" customFormat="false" ht="12.8" hidden="false" customHeight="false" outlineLevel="0" collapsed="false">
      <c r="A43" s="120" t="s">
        <v>281</v>
      </c>
      <c r="B43" s="121"/>
      <c r="C43" s="122"/>
      <c r="D43" s="122" t="n">
        <v>240.13</v>
      </c>
      <c r="E43" s="122" t="n">
        <v>238.78</v>
      </c>
      <c r="F43" s="122"/>
      <c r="G43" s="123"/>
      <c r="H43" s="124" t="n">
        <v>478.91</v>
      </c>
    </row>
    <row r="44" customFormat="false" ht="12.8" hidden="false" customHeight="false" outlineLevel="0" collapsed="false">
      <c r="A44" s="120" t="s">
        <v>352</v>
      </c>
      <c r="B44" s="121"/>
      <c r="C44" s="122"/>
      <c r="D44" s="122"/>
      <c r="E44" s="122"/>
      <c r="F44" s="122" t="n">
        <v>50</v>
      </c>
      <c r="G44" s="123" t="n">
        <v>100</v>
      </c>
      <c r="H44" s="124" t="n">
        <v>150</v>
      </c>
    </row>
    <row r="45" customFormat="false" ht="12.8" hidden="false" customHeight="false" outlineLevel="0" collapsed="false">
      <c r="A45" s="120" t="s">
        <v>391</v>
      </c>
      <c r="B45" s="121"/>
      <c r="C45" s="122"/>
      <c r="D45" s="122"/>
      <c r="E45" s="122"/>
      <c r="F45" s="122" t="n">
        <v>244.51</v>
      </c>
      <c r="G45" s="123"/>
      <c r="H45" s="124" t="n">
        <v>244.51</v>
      </c>
    </row>
    <row r="46" customFormat="false" ht="12.8" hidden="false" customHeight="false" outlineLevel="0" collapsed="false">
      <c r="A46" s="120" t="s">
        <v>5</v>
      </c>
      <c r="B46" s="125"/>
      <c r="C46" s="126"/>
      <c r="D46" s="126"/>
      <c r="E46" s="126"/>
      <c r="F46" s="126"/>
      <c r="G46" s="127" t="n">
        <v>0</v>
      </c>
      <c r="H46" s="128" t="n">
        <v>0</v>
      </c>
    </row>
    <row r="47" customFormat="false" ht="12.8" hidden="false" customHeight="false" outlineLevel="0" collapsed="false">
      <c r="A47" s="129" t="s">
        <v>480</v>
      </c>
      <c r="B47" s="130" t="n">
        <v>12742.2</v>
      </c>
      <c r="C47" s="131" t="n">
        <v>11086.72</v>
      </c>
      <c r="D47" s="131" t="n">
        <v>9383.58</v>
      </c>
      <c r="E47" s="131" t="n">
        <v>17356.45</v>
      </c>
      <c r="F47" s="131" t="n">
        <v>11146.78</v>
      </c>
      <c r="G47" s="132" t="n">
        <v>11393.32</v>
      </c>
      <c r="H47" s="133" t="n">
        <v>73109.05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M124"/>
  <sheetViews>
    <sheetView showFormulas="false" showGridLines="true" showRowColHeaders="true" showZeros="true" rightToLeft="false" tabSelected="false" showOutlineSymbols="true" defaultGridColor="true" view="normal" topLeftCell="A43" colorId="64" zoomScale="84" zoomScaleNormal="84" zoomScalePageLayoutView="100" workbookViewId="0">
      <selection pane="topLeft" activeCell="E62" activeCellId="0" sqref="E62"/>
    </sheetView>
  </sheetViews>
  <sheetFormatPr defaultRowHeight="12.8" zeroHeight="false" outlineLevelRow="0" outlineLevelCol="0"/>
  <cols>
    <col collapsed="false" customWidth="true" hidden="false" outlineLevel="0" max="1" min="1" style="0" width="19.9"/>
    <col collapsed="false" customWidth="false" hidden="false" outlineLevel="0" max="6" min="2" style="0" width="11.52"/>
    <col collapsed="false" customWidth="true" hidden="false" outlineLevel="0" max="7" min="7" style="0" width="17.06"/>
    <col collapsed="false" customWidth="true" hidden="false" outlineLevel="0" max="8" min="8" style="0" width="16.56"/>
    <col collapsed="false" customWidth="false" hidden="false" outlineLevel="0" max="1025" min="9" style="0" width="11.52"/>
  </cols>
  <sheetData>
    <row r="1" customFormat="false" ht="12.8" hidden="false" customHeight="false" outlineLevel="0" collapsed="false">
      <c r="A1" s="134" t="s">
        <v>481</v>
      </c>
      <c r="B1" s="89" t="s">
        <v>44</v>
      </c>
      <c r="C1" s="135" t="s">
        <v>7</v>
      </c>
      <c r="D1" s="136" t="s">
        <v>482</v>
      </c>
      <c r="E1" s="137" t="s">
        <v>483</v>
      </c>
      <c r="F1" s="136" t="s">
        <v>484</v>
      </c>
      <c r="G1" s="138" t="s">
        <v>485</v>
      </c>
      <c r="H1" s="89" t="s">
        <v>486</v>
      </c>
    </row>
    <row r="2" customFormat="false" ht="12.8" hidden="false" customHeight="false" outlineLevel="0" collapsed="false">
      <c r="A2" s="139" t="s">
        <v>487</v>
      </c>
      <c r="B2" s="93"/>
      <c r="C2" s="139" t="n">
        <v>464.17</v>
      </c>
      <c r="D2" s="93" t="n">
        <v>44197</v>
      </c>
      <c r="E2" s="139" t="s">
        <v>488</v>
      </c>
      <c r="F2" s="139"/>
      <c r="G2" s="139"/>
      <c r="H2" s="139"/>
    </row>
    <row r="3" customFormat="false" ht="12.8" hidden="false" customHeight="false" outlineLevel="0" collapsed="false">
      <c r="A3" s="139" t="s">
        <v>489</v>
      </c>
      <c r="B3" s="93"/>
      <c r="C3" s="139" t="n">
        <v>90</v>
      </c>
      <c r="D3" s="93" t="n">
        <v>44197</v>
      </c>
      <c r="E3" s="139" t="s">
        <v>488</v>
      </c>
      <c r="F3" s="139"/>
      <c r="G3" s="139"/>
      <c r="H3" s="139"/>
    </row>
    <row r="4" customFormat="false" ht="12.8" hidden="false" customHeight="false" outlineLevel="0" collapsed="false">
      <c r="A4" s="139" t="s">
        <v>489</v>
      </c>
      <c r="B4" s="93"/>
      <c r="C4" s="139" t="n">
        <v>60</v>
      </c>
      <c r="D4" s="93" t="n">
        <v>44197</v>
      </c>
      <c r="E4" s="139" t="s">
        <v>488</v>
      </c>
      <c r="F4" s="139"/>
      <c r="G4" s="139"/>
      <c r="H4" s="139"/>
    </row>
    <row r="5" customFormat="false" ht="12.8" hidden="false" customHeight="false" outlineLevel="0" collapsed="false">
      <c r="A5" s="139" t="s">
        <v>183</v>
      </c>
      <c r="B5" s="93"/>
      <c r="C5" s="139" t="n">
        <v>0</v>
      </c>
      <c r="D5" s="93" t="n">
        <v>44197</v>
      </c>
      <c r="E5" s="139"/>
      <c r="F5" s="139"/>
      <c r="G5" s="139"/>
      <c r="H5" s="139"/>
    </row>
    <row r="6" customFormat="false" ht="12.8" hidden="false" customHeight="false" outlineLevel="0" collapsed="false">
      <c r="A6" s="139" t="s">
        <v>69</v>
      </c>
      <c r="B6" s="93"/>
      <c r="C6" s="139" t="n">
        <v>422</v>
      </c>
      <c r="D6" s="93" t="n">
        <v>44228</v>
      </c>
      <c r="E6" s="139" t="s">
        <v>488</v>
      </c>
      <c r="F6" s="139"/>
      <c r="G6" s="139"/>
      <c r="H6" s="139"/>
    </row>
    <row r="7" customFormat="false" ht="12.8" hidden="false" customHeight="false" outlineLevel="0" collapsed="false">
      <c r="A7" s="139" t="s">
        <v>490</v>
      </c>
      <c r="B7" s="93"/>
      <c r="C7" s="139" t="n">
        <v>0</v>
      </c>
      <c r="D7" s="93" t="n">
        <v>44228</v>
      </c>
      <c r="E7" s="139"/>
      <c r="F7" s="139"/>
      <c r="G7" s="139"/>
      <c r="H7" s="139"/>
    </row>
    <row r="8" customFormat="false" ht="12.8" hidden="false" customHeight="false" outlineLevel="0" collapsed="false">
      <c r="A8" s="139" t="s">
        <v>281</v>
      </c>
      <c r="B8" s="93"/>
      <c r="C8" s="139" t="n">
        <v>0</v>
      </c>
      <c r="D8" s="93" t="n">
        <v>44197</v>
      </c>
      <c r="E8" s="139"/>
      <c r="F8" s="139"/>
      <c r="G8" s="139"/>
      <c r="H8" s="139"/>
    </row>
    <row r="9" customFormat="false" ht="12.8" hidden="false" customHeight="false" outlineLevel="0" collapsed="false">
      <c r="A9" s="140" t="s">
        <v>491</v>
      </c>
      <c r="B9" s="141" t="n">
        <v>44197</v>
      </c>
      <c r="C9" s="140" t="n">
        <v>1000</v>
      </c>
      <c r="D9" s="93" t="n">
        <v>44197</v>
      </c>
      <c r="E9" s="142" t="s">
        <v>488</v>
      </c>
      <c r="F9" s="140" t="n">
        <f aca="false">total_mes!B2</f>
        <v>759.81</v>
      </c>
      <c r="G9" s="140" t="n">
        <f aca="false">((F9*100)/C9)-100</f>
        <v>-24.019</v>
      </c>
      <c r="H9" s="141" t="n">
        <v>44211</v>
      </c>
    </row>
    <row r="10" customFormat="false" ht="12.8" hidden="false" customHeight="false" outlineLevel="0" collapsed="false">
      <c r="A10" s="140" t="s">
        <v>492</v>
      </c>
      <c r="B10" s="141" t="n">
        <v>44197</v>
      </c>
      <c r="C10" s="140" t="n">
        <v>700</v>
      </c>
      <c r="D10" s="93" t="n">
        <v>44197</v>
      </c>
      <c r="E10" s="140" t="s">
        <v>488</v>
      </c>
      <c r="F10" s="140" t="n">
        <f aca="false">total_mes!C2</f>
        <v>2005.7</v>
      </c>
      <c r="G10" s="140" t="n">
        <f aca="false">((F10*100)/C10)-100</f>
        <v>186.528571428571</v>
      </c>
      <c r="H10" s="141" t="n">
        <v>44226</v>
      </c>
    </row>
    <row r="11" customFormat="false" ht="15.8" hidden="false" customHeight="false" outlineLevel="0" collapsed="false">
      <c r="A11" s="81" t="s">
        <v>487</v>
      </c>
      <c r="B11" s="143"/>
      <c r="C11" s="81" t="n">
        <v>500</v>
      </c>
      <c r="D11" s="143" t="n">
        <v>44228</v>
      </c>
      <c r="E11" s="81" t="s">
        <v>488</v>
      </c>
      <c r="F11" s="81"/>
      <c r="G11" s="81"/>
      <c r="H11" s="81"/>
      <c r="I11" s="55" t="s">
        <v>87</v>
      </c>
      <c r="J11" s="27" t="s">
        <v>188</v>
      </c>
      <c r="K11" s="144" t="s">
        <v>189</v>
      </c>
      <c r="L11" s="57" t="s">
        <v>72</v>
      </c>
      <c r="M11" s="145" t="n">
        <v>-493.44</v>
      </c>
    </row>
    <row r="12" customFormat="false" ht="12.8" hidden="false" customHeight="false" outlineLevel="0" collapsed="false">
      <c r="A12" s="81" t="s">
        <v>489</v>
      </c>
      <c r="B12" s="143"/>
      <c r="C12" s="81" t="n">
        <v>88.76</v>
      </c>
      <c r="D12" s="143" t="n">
        <v>44228</v>
      </c>
      <c r="E12" s="81" t="s">
        <v>488</v>
      </c>
      <c r="F12" s="81"/>
      <c r="G12" s="81"/>
      <c r="H12" s="81"/>
    </row>
    <row r="13" customFormat="false" ht="12.8" hidden="false" customHeight="false" outlineLevel="0" collapsed="false">
      <c r="A13" s="81" t="s">
        <v>489</v>
      </c>
      <c r="B13" s="143"/>
      <c r="C13" s="81" t="n">
        <v>60</v>
      </c>
      <c r="D13" s="143" t="n">
        <v>44228</v>
      </c>
      <c r="E13" s="81" t="s">
        <v>488</v>
      </c>
      <c r="F13" s="81"/>
      <c r="G13" s="81"/>
      <c r="H13" s="81"/>
    </row>
    <row r="14" customFormat="false" ht="12.8" hidden="false" customHeight="false" outlineLevel="0" collapsed="false">
      <c r="A14" s="81" t="s">
        <v>183</v>
      </c>
      <c r="B14" s="143"/>
      <c r="C14" s="81" t="n">
        <v>170</v>
      </c>
      <c r="D14" s="143" t="n">
        <v>44228</v>
      </c>
      <c r="E14" s="81" t="s">
        <v>488</v>
      </c>
      <c r="F14" s="81"/>
      <c r="G14" s="81"/>
      <c r="H14" s="81"/>
    </row>
    <row r="15" customFormat="false" ht="12.8" hidden="false" customHeight="false" outlineLevel="0" collapsed="false">
      <c r="A15" s="81" t="s">
        <v>183</v>
      </c>
      <c r="B15" s="143"/>
      <c r="C15" s="81" t="n">
        <v>170</v>
      </c>
      <c r="D15" s="143" t="n">
        <v>44228</v>
      </c>
      <c r="E15" s="81" t="s">
        <v>488</v>
      </c>
      <c r="F15" s="81"/>
      <c r="G15" s="81"/>
      <c r="H15" s="81"/>
    </row>
    <row r="16" customFormat="false" ht="15.8" hidden="false" customHeight="false" outlineLevel="0" collapsed="false">
      <c r="A16" s="81" t="s">
        <v>493</v>
      </c>
      <c r="B16" s="143"/>
      <c r="C16" s="81" t="n">
        <v>460</v>
      </c>
      <c r="D16" s="143" t="n">
        <v>44228</v>
      </c>
      <c r="E16" s="81" t="s">
        <v>488</v>
      </c>
      <c r="F16" s="81"/>
      <c r="G16" s="81"/>
      <c r="H16" s="81"/>
      <c r="I16" s="55" t="s">
        <v>200</v>
      </c>
      <c r="J16" s="27" t="s">
        <v>201</v>
      </c>
      <c r="K16" s="144" t="s">
        <v>202</v>
      </c>
      <c r="L16" s="57" t="s">
        <v>72</v>
      </c>
      <c r="M16" s="145" t="n">
        <v>-443.34</v>
      </c>
    </row>
    <row r="17" customFormat="false" ht="15.8" hidden="false" customHeight="false" outlineLevel="0" collapsed="false">
      <c r="A17" s="81" t="s">
        <v>69</v>
      </c>
      <c r="B17" s="143"/>
      <c r="C17" s="81" t="n">
        <v>543</v>
      </c>
      <c r="D17" s="143" t="n">
        <v>44228</v>
      </c>
      <c r="E17" s="81" t="s">
        <v>488</v>
      </c>
      <c r="F17" s="81"/>
      <c r="G17" s="81"/>
      <c r="H17" s="81"/>
      <c r="I17" s="55" t="s">
        <v>69</v>
      </c>
      <c r="J17" s="27" t="s">
        <v>188</v>
      </c>
      <c r="K17" s="144" t="s">
        <v>71</v>
      </c>
      <c r="L17" s="57" t="s">
        <v>72</v>
      </c>
      <c r="M17" s="145" t="n">
        <v>-542</v>
      </c>
    </row>
    <row r="18" customFormat="false" ht="13.8" hidden="false" customHeight="false" outlineLevel="0" collapsed="false">
      <c r="A18" s="81" t="s">
        <v>178</v>
      </c>
      <c r="B18" s="143"/>
      <c r="C18" s="81" t="n">
        <v>0</v>
      </c>
      <c r="D18" s="143" t="n">
        <v>44228</v>
      </c>
      <c r="E18" s="81"/>
      <c r="F18" s="81"/>
      <c r="G18" s="81"/>
      <c r="H18" s="81"/>
      <c r="I18" s="55"/>
      <c r="J18" s="27"/>
      <c r="K18" s="144"/>
      <c r="L18" s="57"/>
      <c r="M18" s="145"/>
    </row>
    <row r="19" customFormat="false" ht="13.8" hidden="false" customHeight="false" outlineLevel="0" collapsed="false">
      <c r="A19" s="81" t="s">
        <v>178</v>
      </c>
      <c r="B19" s="143"/>
      <c r="C19" s="81" t="n">
        <v>0</v>
      </c>
      <c r="D19" s="143" t="n">
        <v>44228</v>
      </c>
      <c r="E19" s="81"/>
      <c r="F19" s="81"/>
      <c r="G19" s="81"/>
      <c r="H19" s="81"/>
      <c r="I19" s="55"/>
      <c r="J19" s="27"/>
      <c r="K19" s="144"/>
      <c r="L19" s="57"/>
      <c r="M19" s="145"/>
    </row>
    <row r="20" customFormat="false" ht="12.8" hidden="false" customHeight="false" outlineLevel="0" collapsed="false">
      <c r="A20" s="146" t="s">
        <v>491</v>
      </c>
      <c r="B20" s="147" t="n">
        <v>44228</v>
      </c>
      <c r="C20" s="146" t="n">
        <v>1000</v>
      </c>
      <c r="D20" s="143" t="n">
        <v>44228</v>
      </c>
      <c r="E20" s="146" t="s">
        <v>488</v>
      </c>
      <c r="F20" s="146" t="n">
        <f aca="false">total_mes!B3</f>
        <v>1508.82</v>
      </c>
      <c r="G20" s="146" t="n">
        <f aca="false">((F20*100)/C20)-100</f>
        <v>50.882</v>
      </c>
      <c r="H20" s="147" t="n">
        <v>44242</v>
      </c>
    </row>
    <row r="21" customFormat="false" ht="12.8" hidden="false" customHeight="false" outlineLevel="0" collapsed="false">
      <c r="A21" s="146" t="s">
        <v>492</v>
      </c>
      <c r="B21" s="147" t="n">
        <v>44228</v>
      </c>
      <c r="C21" s="146" t="n">
        <v>700</v>
      </c>
      <c r="D21" s="143" t="n">
        <v>44228</v>
      </c>
      <c r="E21" s="146" t="s">
        <v>488</v>
      </c>
      <c r="F21" s="146" t="n">
        <f aca="false">total_mes!C3</f>
        <v>1983.2</v>
      </c>
      <c r="G21" s="146" t="n">
        <f aca="false">((F21*100)/C21)-100</f>
        <v>183.314285714286</v>
      </c>
      <c r="H21" s="147" t="n">
        <v>44255</v>
      </c>
    </row>
    <row r="22" customFormat="false" ht="12.8" hidden="false" customHeight="false" outlineLevel="0" collapsed="false">
      <c r="A22" s="139" t="s">
        <v>487</v>
      </c>
      <c r="B22" s="93"/>
      <c r="C22" s="139" t="n">
        <v>500</v>
      </c>
      <c r="D22" s="93" t="n">
        <v>44256</v>
      </c>
      <c r="E22" s="59" t="s">
        <v>488</v>
      </c>
      <c r="F22" s="59"/>
      <c r="G22" s="59"/>
      <c r="H22" s="59"/>
    </row>
    <row r="23" customFormat="false" ht="12.8" hidden="false" customHeight="false" outlineLevel="0" collapsed="false">
      <c r="A23" s="139" t="s">
        <v>489</v>
      </c>
      <c r="B23" s="93"/>
      <c r="C23" s="139" t="n">
        <v>90</v>
      </c>
      <c r="D23" s="93" t="n">
        <v>44256</v>
      </c>
      <c r="E23" s="59" t="s">
        <v>488</v>
      </c>
      <c r="F23" s="59"/>
      <c r="G23" s="59"/>
      <c r="H23" s="59"/>
    </row>
    <row r="24" customFormat="false" ht="12.8" hidden="false" customHeight="false" outlineLevel="0" collapsed="false">
      <c r="A24" s="139" t="s">
        <v>493</v>
      </c>
      <c r="B24" s="93"/>
      <c r="C24" s="139" t="n">
        <v>460</v>
      </c>
      <c r="D24" s="93" t="n">
        <v>44256</v>
      </c>
      <c r="E24" s="59" t="s">
        <v>488</v>
      </c>
      <c r="F24" s="59"/>
      <c r="G24" s="59"/>
      <c r="H24" s="59"/>
    </row>
    <row r="25" customFormat="false" ht="12.8" hidden="false" customHeight="false" outlineLevel="0" collapsed="false">
      <c r="A25" s="139" t="s">
        <v>489</v>
      </c>
      <c r="B25" s="93"/>
      <c r="C25" s="139" t="n">
        <v>51</v>
      </c>
      <c r="D25" s="93" t="n">
        <v>44256</v>
      </c>
      <c r="E25" s="59" t="s">
        <v>488</v>
      </c>
      <c r="F25" s="59"/>
      <c r="G25" s="59"/>
      <c r="H25" s="59"/>
    </row>
    <row r="26" customFormat="false" ht="12.8" hidden="false" customHeight="false" outlineLevel="0" collapsed="false">
      <c r="A26" s="139" t="s">
        <v>183</v>
      </c>
      <c r="B26" s="93"/>
      <c r="C26" s="139" t="n">
        <v>285</v>
      </c>
      <c r="D26" s="93" t="n">
        <v>44256</v>
      </c>
      <c r="E26" s="0" t="s">
        <v>488</v>
      </c>
      <c r="F26" s="59"/>
      <c r="G26" s="59"/>
      <c r="H26" s="59"/>
    </row>
    <row r="27" customFormat="false" ht="12.8" hidden="false" customHeight="false" outlineLevel="0" collapsed="false">
      <c r="A27" s="139" t="s">
        <v>281</v>
      </c>
      <c r="B27" s="93"/>
      <c r="C27" s="139" t="n">
        <v>238.8</v>
      </c>
      <c r="D27" s="93" t="n">
        <v>44256</v>
      </c>
      <c r="E27" s="59" t="s">
        <v>488</v>
      </c>
      <c r="F27" s="59"/>
      <c r="G27" s="59"/>
      <c r="H27" s="59"/>
    </row>
    <row r="28" customFormat="false" ht="12.8" hidden="false" customHeight="false" outlineLevel="0" collapsed="false">
      <c r="A28" s="139" t="s">
        <v>183</v>
      </c>
      <c r="B28" s="93"/>
      <c r="C28" s="139" t="n">
        <f aca="false">C26-C15</f>
        <v>115</v>
      </c>
      <c r="D28" s="93" t="n">
        <v>44256</v>
      </c>
      <c r="E28" s="59" t="s">
        <v>488</v>
      </c>
      <c r="F28" s="59" t="n">
        <f aca="false">G26+C28</f>
        <v>115</v>
      </c>
      <c r="G28" s="59"/>
      <c r="H28" s="59"/>
    </row>
    <row r="29" customFormat="false" ht="12.8" hidden="false" customHeight="false" outlineLevel="0" collapsed="false">
      <c r="A29" s="81" t="s">
        <v>178</v>
      </c>
      <c r="B29" s="143"/>
      <c r="C29" s="81" t="n">
        <v>150</v>
      </c>
      <c r="D29" s="93" t="n">
        <v>44256</v>
      </c>
      <c r="E29" s="59" t="s">
        <v>488</v>
      </c>
      <c r="F29" s="59"/>
      <c r="G29" s="59"/>
      <c r="H29" s="59"/>
    </row>
    <row r="30" customFormat="false" ht="12.8" hidden="false" customHeight="false" outlineLevel="0" collapsed="false">
      <c r="A30" s="81" t="s">
        <v>178</v>
      </c>
      <c r="B30" s="143"/>
      <c r="C30" s="81" t="n">
        <v>353</v>
      </c>
      <c r="D30" s="93" t="n">
        <v>44256</v>
      </c>
      <c r="E30" s="59" t="s">
        <v>488</v>
      </c>
      <c r="F30" s="59"/>
      <c r="G30" s="59"/>
      <c r="H30" s="59"/>
    </row>
    <row r="31" customFormat="false" ht="12.8" hidden="false" customHeight="false" outlineLevel="0" collapsed="false">
      <c r="A31" s="140" t="s">
        <v>491</v>
      </c>
      <c r="B31" s="141" t="n">
        <v>44136</v>
      </c>
      <c r="C31" s="140" t="n">
        <v>1000</v>
      </c>
      <c r="D31" s="93" t="n">
        <v>44256</v>
      </c>
      <c r="E31" s="140" t="s">
        <v>488</v>
      </c>
      <c r="F31" s="140" t="n">
        <f aca="false">total_mes!B4</f>
        <v>1714.71</v>
      </c>
      <c r="G31" s="140" t="n">
        <f aca="false">((F31*100)/C31)-100</f>
        <v>71.471</v>
      </c>
      <c r="H31" s="141" t="n">
        <v>44270</v>
      </c>
    </row>
    <row r="32" customFormat="false" ht="12.8" hidden="false" customHeight="false" outlineLevel="0" collapsed="false">
      <c r="A32" s="140" t="s">
        <v>492</v>
      </c>
      <c r="B32" s="141" t="n">
        <v>44136</v>
      </c>
      <c r="C32" s="140" t="n">
        <v>1000</v>
      </c>
      <c r="D32" s="93" t="n">
        <v>44256</v>
      </c>
      <c r="E32" s="140"/>
      <c r="F32" s="140" t="n">
        <f aca="false">total_mes!C4</f>
        <v>668.3</v>
      </c>
      <c r="G32" s="140" t="n">
        <f aca="false">((F32*100)/C32)-100</f>
        <v>-33.17</v>
      </c>
      <c r="H32" s="141" t="n">
        <v>44285</v>
      </c>
    </row>
    <row r="33" customFormat="false" ht="12.8" hidden="false" customHeight="false" outlineLevel="0" collapsed="false">
      <c r="A33" s="81" t="s">
        <v>487</v>
      </c>
      <c r="B33" s="143"/>
      <c r="C33" s="81" t="n">
        <v>500</v>
      </c>
      <c r="D33" s="143" t="n">
        <v>44287</v>
      </c>
      <c r="E33" s="81" t="s">
        <v>488</v>
      </c>
      <c r="F33" s="81"/>
      <c r="G33" s="81"/>
      <c r="H33" s="81"/>
    </row>
    <row r="34" customFormat="false" ht="12.8" hidden="false" customHeight="false" outlineLevel="0" collapsed="false">
      <c r="A34" s="81" t="s">
        <v>493</v>
      </c>
      <c r="B34" s="143"/>
      <c r="C34" s="81" t="n">
        <v>460</v>
      </c>
      <c r="D34" s="143" t="n">
        <v>44287</v>
      </c>
      <c r="E34" s="81" t="s">
        <v>488</v>
      </c>
      <c r="F34" s="81"/>
      <c r="G34" s="81"/>
      <c r="H34" s="81"/>
    </row>
    <row r="35" customFormat="false" ht="12.8" hidden="false" customHeight="false" outlineLevel="0" collapsed="false">
      <c r="A35" s="81" t="s">
        <v>489</v>
      </c>
      <c r="B35" s="143"/>
      <c r="C35" s="81" t="n">
        <v>90</v>
      </c>
      <c r="D35" s="143" t="n">
        <v>44287</v>
      </c>
      <c r="E35" s="81" t="s">
        <v>488</v>
      </c>
      <c r="F35" s="81"/>
      <c r="G35" s="81"/>
      <c r="H35" s="81"/>
    </row>
    <row r="36" customFormat="false" ht="12.8" hidden="false" customHeight="false" outlineLevel="0" collapsed="false">
      <c r="A36" s="81" t="s">
        <v>489</v>
      </c>
      <c r="B36" s="143"/>
      <c r="C36" s="81" t="n">
        <v>60</v>
      </c>
      <c r="D36" s="143" t="n">
        <v>44287</v>
      </c>
      <c r="E36" s="81" t="s">
        <v>488</v>
      </c>
      <c r="F36" s="81"/>
      <c r="G36" s="81"/>
      <c r="H36" s="81"/>
    </row>
    <row r="37" customFormat="false" ht="12.8" hidden="false" customHeight="false" outlineLevel="0" collapsed="false">
      <c r="A37" s="81" t="s">
        <v>183</v>
      </c>
      <c r="B37" s="143"/>
      <c r="C37" s="81" t="n">
        <v>0</v>
      </c>
      <c r="D37" s="143" t="n">
        <v>44287</v>
      </c>
      <c r="E37" s="81"/>
      <c r="F37" s="81"/>
      <c r="G37" s="81"/>
      <c r="H37" s="81"/>
    </row>
    <row r="38" customFormat="false" ht="12.8" hidden="false" customHeight="false" outlineLevel="0" collapsed="false">
      <c r="A38" s="81" t="s">
        <v>281</v>
      </c>
      <c r="B38" s="143"/>
      <c r="C38" s="139" t="n">
        <v>238.8</v>
      </c>
      <c r="D38" s="143" t="n">
        <v>44287</v>
      </c>
      <c r="E38" s="81" t="s">
        <v>488</v>
      </c>
      <c r="F38" s="81"/>
      <c r="G38" s="81"/>
      <c r="H38" s="81"/>
    </row>
    <row r="39" customFormat="false" ht="12.8" hidden="false" customHeight="false" outlineLevel="0" collapsed="false">
      <c r="A39" s="81" t="s">
        <v>178</v>
      </c>
      <c r="B39" s="143"/>
      <c r="C39" s="139" t="n">
        <v>0</v>
      </c>
      <c r="D39" s="143" t="n">
        <v>44287</v>
      </c>
      <c r="E39" s="81"/>
      <c r="F39" s="81"/>
      <c r="G39" s="81"/>
      <c r="H39" s="81"/>
    </row>
    <row r="40" customFormat="false" ht="12.8" hidden="false" customHeight="false" outlineLevel="0" collapsed="false">
      <c r="A40" s="81" t="s">
        <v>69</v>
      </c>
      <c r="B40" s="143"/>
      <c r="C40" s="139" t="n">
        <v>422</v>
      </c>
      <c r="D40" s="143" t="n">
        <v>44287</v>
      </c>
      <c r="E40" s="81" t="s">
        <v>488</v>
      </c>
      <c r="F40" s="81"/>
      <c r="G40" s="81"/>
      <c r="H40" s="81"/>
    </row>
    <row r="41" customFormat="false" ht="12.8" hidden="false" customHeight="false" outlineLevel="0" collapsed="false">
      <c r="A41" s="146" t="s">
        <v>491</v>
      </c>
      <c r="B41" s="147" t="n">
        <v>44136</v>
      </c>
      <c r="C41" s="146" t="n">
        <v>1000</v>
      </c>
      <c r="D41" s="143" t="n">
        <v>44287</v>
      </c>
      <c r="E41" s="146" t="s">
        <v>488</v>
      </c>
      <c r="F41" s="146" t="n">
        <f aca="false">total_mes!B5</f>
        <v>579.36</v>
      </c>
      <c r="G41" s="146" t="n">
        <f aca="false">((F41*100)/C41)-100</f>
        <v>-42.064</v>
      </c>
      <c r="H41" s="147" t="n">
        <v>44301</v>
      </c>
    </row>
    <row r="42" customFormat="false" ht="12.8" hidden="false" customHeight="false" outlineLevel="0" collapsed="false">
      <c r="A42" s="146" t="s">
        <v>492</v>
      </c>
      <c r="B42" s="147" t="n">
        <v>44136</v>
      </c>
      <c r="C42" s="146" t="n">
        <v>500</v>
      </c>
      <c r="D42" s="143" t="n">
        <v>44287</v>
      </c>
      <c r="E42" s="146" t="s">
        <v>488</v>
      </c>
      <c r="F42" s="146" t="n">
        <f aca="false">total_mes!C5</f>
        <v>741.83</v>
      </c>
      <c r="G42" s="146" t="n">
        <f aca="false">((F42*100)/C42)-100</f>
        <v>48.366</v>
      </c>
      <c r="H42" s="147" t="n">
        <v>44316</v>
      </c>
    </row>
    <row r="43" customFormat="false" ht="12.8" hidden="false" customHeight="false" outlineLevel="0" collapsed="false">
      <c r="A43" s="139" t="s">
        <v>487</v>
      </c>
      <c r="B43" s="93"/>
      <c r="C43" s="139" t="n">
        <v>500</v>
      </c>
      <c r="D43" s="93" t="n">
        <v>44317</v>
      </c>
      <c r="E43" s="139" t="s">
        <v>488</v>
      </c>
      <c r="F43" s="139"/>
      <c r="G43" s="139"/>
      <c r="H43" s="139"/>
    </row>
    <row r="44" customFormat="false" ht="12.8" hidden="false" customHeight="false" outlineLevel="0" collapsed="false">
      <c r="A44" s="139" t="s">
        <v>489</v>
      </c>
      <c r="B44" s="93"/>
      <c r="C44" s="139" t="n">
        <v>90</v>
      </c>
      <c r="D44" s="93" t="n">
        <v>44317</v>
      </c>
      <c r="E44" s="139" t="s">
        <v>488</v>
      </c>
      <c r="F44" s="139"/>
      <c r="G44" s="139"/>
      <c r="H44" s="139"/>
    </row>
    <row r="45" customFormat="false" ht="12.8" hidden="false" customHeight="false" outlineLevel="0" collapsed="false">
      <c r="A45" s="139" t="s">
        <v>493</v>
      </c>
      <c r="B45" s="93"/>
      <c r="C45" s="139" t="n">
        <v>460</v>
      </c>
      <c r="D45" s="93" t="n">
        <v>44317</v>
      </c>
      <c r="E45" s="139" t="s">
        <v>488</v>
      </c>
      <c r="F45" s="139"/>
      <c r="G45" s="139"/>
      <c r="H45" s="139"/>
    </row>
    <row r="46" customFormat="false" ht="12.8" hidden="false" customHeight="false" outlineLevel="0" collapsed="false">
      <c r="A46" s="139" t="s">
        <v>69</v>
      </c>
      <c r="B46" s="93"/>
      <c r="C46" s="139" t="n">
        <v>422</v>
      </c>
      <c r="D46" s="93" t="n">
        <v>44317</v>
      </c>
      <c r="E46" s="139" t="s">
        <v>488</v>
      </c>
      <c r="F46" s="139"/>
      <c r="G46" s="139"/>
      <c r="H46" s="139"/>
    </row>
    <row r="47" customFormat="false" ht="12.8" hidden="false" customHeight="false" outlineLevel="0" collapsed="false">
      <c r="A47" s="139"/>
      <c r="B47" s="93"/>
      <c r="C47" s="139" t="n">
        <v>0</v>
      </c>
      <c r="D47" s="93"/>
      <c r="E47" s="139"/>
      <c r="F47" s="139"/>
      <c r="G47" s="139"/>
      <c r="H47" s="139"/>
    </row>
    <row r="48" customFormat="false" ht="12.8" hidden="false" customHeight="false" outlineLevel="0" collapsed="false">
      <c r="A48" s="139" t="s">
        <v>489</v>
      </c>
      <c r="B48" s="93"/>
      <c r="C48" s="139" t="n">
        <v>60</v>
      </c>
      <c r="D48" s="93" t="n">
        <v>44317</v>
      </c>
      <c r="E48" s="139" t="s">
        <v>488</v>
      </c>
      <c r="F48" s="139"/>
      <c r="G48" s="139"/>
      <c r="H48" s="139"/>
    </row>
    <row r="49" customFormat="false" ht="12.8" hidden="false" customHeight="false" outlineLevel="0" collapsed="false">
      <c r="A49" s="139" t="s">
        <v>183</v>
      </c>
      <c r="B49" s="93"/>
      <c r="C49" s="139" t="n">
        <v>180</v>
      </c>
      <c r="D49" s="93" t="n">
        <v>44317</v>
      </c>
      <c r="E49" s="140" t="s">
        <v>488</v>
      </c>
      <c r="F49" s="140"/>
      <c r="G49" s="140"/>
      <c r="H49" s="141"/>
    </row>
    <row r="50" customFormat="false" ht="12.8" hidden="false" customHeight="false" outlineLevel="0" collapsed="false">
      <c r="A50" s="139" t="s">
        <v>183</v>
      </c>
      <c r="B50" s="93"/>
      <c r="C50" s="139" t="n">
        <v>75</v>
      </c>
      <c r="D50" s="93" t="n">
        <v>44317</v>
      </c>
      <c r="E50" s="140" t="s">
        <v>488</v>
      </c>
      <c r="F50" s="140"/>
      <c r="G50" s="140"/>
      <c r="H50" s="141"/>
    </row>
    <row r="51" customFormat="false" ht="12.8" hidden="false" customHeight="false" outlineLevel="0" collapsed="false">
      <c r="A51" s="81" t="s">
        <v>178</v>
      </c>
      <c r="B51" s="143"/>
      <c r="C51" s="139" t="n">
        <v>150</v>
      </c>
      <c r="D51" s="93" t="n">
        <v>44317</v>
      </c>
      <c r="E51" s="140" t="s">
        <v>488</v>
      </c>
      <c r="F51" s="140"/>
      <c r="G51" s="140"/>
      <c r="H51" s="141"/>
    </row>
    <row r="52" customFormat="false" ht="12.8" hidden="false" customHeight="false" outlineLevel="0" collapsed="false">
      <c r="A52" s="139" t="s">
        <v>281</v>
      </c>
      <c r="B52" s="93"/>
      <c r="C52" s="139" t="n">
        <v>244</v>
      </c>
      <c r="D52" s="93" t="n">
        <v>44317</v>
      </c>
      <c r="E52" s="140" t="s">
        <v>488</v>
      </c>
      <c r="F52" s="140"/>
      <c r="G52" s="140"/>
      <c r="H52" s="141"/>
    </row>
    <row r="53" customFormat="false" ht="12.8" hidden="false" customHeight="false" outlineLevel="0" collapsed="false">
      <c r="A53" s="140" t="s">
        <v>491</v>
      </c>
      <c r="B53" s="141" t="n">
        <v>44136</v>
      </c>
      <c r="C53" s="140" t="n">
        <v>800</v>
      </c>
      <c r="D53" s="93" t="n">
        <v>44317</v>
      </c>
      <c r="E53" s="140" t="s">
        <v>488</v>
      </c>
      <c r="F53" s="140" t="n">
        <f aca="false">total_mes!B6</f>
        <v>695.05</v>
      </c>
      <c r="G53" s="140" t="n">
        <f aca="false">((F53*100)/C53)-100</f>
        <v>-13.11875</v>
      </c>
      <c r="H53" s="141" t="n">
        <v>44331</v>
      </c>
    </row>
    <row r="54" customFormat="false" ht="12.8" hidden="false" customHeight="false" outlineLevel="0" collapsed="false">
      <c r="A54" s="140" t="s">
        <v>492</v>
      </c>
      <c r="B54" s="141" t="n">
        <v>44136</v>
      </c>
      <c r="C54" s="140" t="n">
        <v>500</v>
      </c>
      <c r="D54" s="93" t="n">
        <v>44317</v>
      </c>
      <c r="E54" s="140" t="s">
        <v>488</v>
      </c>
      <c r="F54" s="140" t="n">
        <f aca="false">total_mes!C6</f>
        <v>961.3</v>
      </c>
      <c r="G54" s="140" t="n">
        <f aca="false">((F54*100)/C54)-100</f>
        <v>92.26</v>
      </c>
      <c r="H54" s="141" t="n">
        <v>44346</v>
      </c>
    </row>
    <row r="55" customFormat="false" ht="12.8" hidden="false" customHeight="false" outlineLevel="0" collapsed="false">
      <c r="A55" s="81" t="s">
        <v>487</v>
      </c>
      <c r="B55" s="143"/>
      <c r="C55" s="81" t="n">
        <v>500</v>
      </c>
      <c r="D55" s="143" t="n">
        <v>44348</v>
      </c>
      <c r="E55" s="84" t="s">
        <v>488</v>
      </c>
      <c r="F55" s="84"/>
      <c r="G55" s="84"/>
      <c r="H55" s="84"/>
    </row>
    <row r="56" customFormat="false" ht="12.8" hidden="false" customHeight="false" outlineLevel="0" collapsed="false">
      <c r="A56" s="81" t="s">
        <v>493</v>
      </c>
      <c r="B56" s="143"/>
      <c r="C56" s="81" t="n">
        <v>460</v>
      </c>
      <c r="D56" s="143" t="n">
        <v>44348</v>
      </c>
      <c r="E56" s="84" t="s">
        <v>488</v>
      </c>
      <c r="F56" s="84"/>
      <c r="G56" s="84"/>
      <c r="H56" s="84"/>
    </row>
    <row r="57" customFormat="false" ht="12.8" hidden="false" customHeight="false" outlineLevel="0" collapsed="false">
      <c r="A57" s="81" t="s">
        <v>69</v>
      </c>
      <c r="B57" s="143"/>
      <c r="C57" s="81" t="n">
        <v>422</v>
      </c>
      <c r="D57" s="143" t="n">
        <v>44348</v>
      </c>
      <c r="E57" s="84" t="s">
        <v>488</v>
      </c>
      <c r="F57" s="84"/>
      <c r="G57" s="84"/>
      <c r="H57" s="84"/>
    </row>
    <row r="58" customFormat="false" ht="12.8" hidden="false" customHeight="false" outlineLevel="0" collapsed="false">
      <c r="A58" s="81" t="s">
        <v>494</v>
      </c>
      <c r="B58" s="143"/>
      <c r="C58" s="81" t="n">
        <v>442.19</v>
      </c>
      <c r="D58" s="143" t="n">
        <v>44348</v>
      </c>
      <c r="E58" s="84"/>
      <c r="F58" s="84"/>
      <c r="G58" s="84"/>
      <c r="H58" s="84"/>
    </row>
    <row r="59" customFormat="false" ht="12.8" hidden="false" customHeight="false" outlineLevel="0" collapsed="false">
      <c r="A59" s="81" t="s">
        <v>489</v>
      </c>
      <c r="B59" s="143"/>
      <c r="C59" s="81" t="n">
        <v>90</v>
      </c>
      <c r="D59" s="143" t="n">
        <v>44348</v>
      </c>
      <c r="E59" s="84" t="s">
        <v>488</v>
      </c>
      <c r="F59" s="84"/>
      <c r="G59" s="84"/>
      <c r="H59" s="84"/>
    </row>
    <row r="60" customFormat="false" ht="12.8" hidden="false" customHeight="false" outlineLevel="0" collapsed="false">
      <c r="A60" s="81" t="s">
        <v>489</v>
      </c>
      <c r="B60" s="143"/>
      <c r="C60" s="81" t="n">
        <v>60</v>
      </c>
      <c r="D60" s="143" t="n">
        <v>44348</v>
      </c>
      <c r="E60" s="84" t="s">
        <v>488</v>
      </c>
      <c r="F60" s="84"/>
      <c r="G60" s="84"/>
      <c r="H60" s="84"/>
    </row>
    <row r="61" customFormat="false" ht="12.8" hidden="false" customHeight="false" outlineLevel="0" collapsed="false">
      <c r="A61" s="81" t="s">
        <v>183</v>
      </c>
      <c r="B61" s="143"/>
      <c r="C61" s="81" t="n">
        <v>0</v>
      </c>
      <c r="D61" s="143" t="n">
        <v>44348</v>
      </c>
      <c r="E61" s="84"/>
      <c r="F61" s="84"/>
      <c r="G61" s="84"/>
      <c r="H61" s="84"/>
    </row>
    <row r="62" customFormat="false" ht="12.8" hidden="false" customHeight="false" outlineLevel="0" collapsed="false">
      <c r="A62" s="81" t="s">
        <v>281</v>
      </c>
      <c r="B62" s="143"/>
      <c r="C62" s="81" t="n">
        <v>240</v>
      </c>
      <c r="D62" s="143" t="n">
        <v>44348</v>
      </c>
      <c r="E62" s="84" t="s">
        <v>488</v>
      </c>
      <c r="F62" s="84"/>
      <c r="G62" s="84"/>
      <c r="H62" s="84"/>
    </row>
    <row r="63" customFormat="false" ht="12.8" hidden="false" customHeight="false" outlineLevel="0" collapsed="false">
      <c r="A63" s="146" t="s">
        <v>491</v>
      </c>
      <c r="B63" s="147" t="n">
        <v>44136</v>
      </c>
      <c r="C63" s="146" t="n">
        <v>800</v>
      </c>
      <c r="D63" s="143" t="n">
        <v>44348</v>
      </c>
      <c r="E63" s="146"/>
      <c r="F63" s="146" t="n">
        <f aca="false">total_mes!B7</f>
        <v>1862.32</v>
      </c>
      <c r="G63" s="146" t="n">
        <f aca="false">((F63*100)/C63)-100</f>
        <v>132.79</v>
      </c>
      <c r="H63" s="147" t="n">
        <v>44362</v>
      </c>
    </row>
    <row r="64" customFormat="false" ht="12.8" hidden="false" customHeight="false" outlineLevel="0" collapsed="false">
      <c r="A64" s="146" t="s">
        <v>492</v>
      </c>
      <c r="B64" s="147" t="n">
        <v>44136</v>
      </c>
      <c r="C64" s="146" t="n">
        <v>500</v>
      </c>
      <c r="D64" s="143" t="n">
        <v>44348</v>
      </c>
      <c r="E64" s="146"/>
      <c r="F64" s="146" t="n">
        <f aca="false">total_mes!C7</f>
        <v>3129.15</v>
      </c>
      <c r="G64" s="146" t="n">
        <f aca="false">((F64*100)/C64)-100</f>
        <v>525.83</v>
      </c>
      <c r="H64" s="147" t="n">
        <v>44377</v>
      </c>
    </row>
    <row r="65" customFormat="false" ht="12.8" hidden="false" customHeight="false" outlineLevel="0" collapsed="false">
      <c r="A65" s="139" t="s">
        <v>487</v>
      </c>
      <c r="B65" s="93"/>
      <c r="C65" s="139" t="n">
        <v>500</v>
      </c>
      <c r="D65" s="93" t="n">
        <v>44378</v>
      </c>
      <c r="E65" s="139"/>
      <c r="F65" s="139"/>
      <c r="G65" s="139"/>
      <c r="H65" s="139"/>
    </row>
    <row r="66" customFormat="false" ht="12.8" hidden="false" customHeight="false" outlineLevel="0" collapsed="false">
      <c r="A66" s="139" t="s">
        <v>489</v>
      </c>
      <c r="B66" s="93"/>
      <c r="C66" s="139" t="n">
        <v>90</v>
      </c>
      <c r="D66" s="93" t="n">
        <v>44378</v>
      </c>
      <c r="E66" s="139"/>
      <c r="F66" s="139"/>
      <c r="G66" s="139"/>
      <c r="H66" s="139"/>
    </row>
    <row r="67" customFormat="false" ht="12.8" hidden="false" customHeight="false" outlineLevel="0" collapsed="false">
      <c r="A67" s="139" t="s">
        <v>493</v>
      </c>
      <c r="B67" s="93"/>
      <c r="C67" s="139" t="n">
        <v>460</v>
      </c>
      <c r="D67" s="93" t="n">
        <v>44378</v>
      </c>
      <c r="E67" s="139"/>
      <c r="F67" s="139"/>
      <c r="G67" s="139"/>
      <c r="H67" s="139"/>
    </row>
    <row r="68" customFormat="false" ht="12.8" hidden="false" customHeight="false" outlineLevel="0" collapsed="false">
      <c r="A68" s="139" t="s">
        <v>69</v>
      </c>
      <c r="B68" s="93"/>
      <c r="C68" s="139" t="n">
        <v>422</v>
      </c>
      <c r="D68" s="93" t="n">
        <v>44378</v>
      </c>
      <c r="E68" s="139"/>
      <c r="F68" s="139"/>
      <c r="G68" s="139"/>
      <c r="H68" s="139"/>
    </row>
    <row r="69" customFormat="false" ht="12.8" hidden="false" customHeight="false" outlineLevel="0" collapsed="false">
      <c r="A69" s="139"/>
      <c r="B69" s="93"/>
      <c r="C69" s="139"/>
      <c r="D69" s="93" t="n">
        <v>44378</v>
      </c>
      <c r="E69" s="139"/>
      <c r="F69" s="139"/>
      <c r="G69" s="139"/>
      <c r="H69" s="139"/>
    </row>
    <row r="70" customFormat="false" ht="12.8" hidden="false" customHeight="false" outlineLevel="0" collapsed="false">
      <c r="A70" s="139" t="s">
        <v>489</v>
      </c>
      <c r="B70" s="93"/>
      <c r="C70" s="139" t="n">
        <v>60</v>
      </c>
      <c r="D70" s="93" t="n">
        <v>44378</v>
      </c>
      <c r="E70" s="139"/>
      <c r="F70" s="139"/>
      <c r="G70" s="139"/>
      <c r="H70" s="139"/>
    </row>
    <row r="71" customFormat="false" ht="12.8" hidden="false" customHeight="false" outlineLevel="0" collapsed="false">
      <c r="A71" s="139" t="s">
        <v>183</v>
      </c>
      <c r="B71" s="93"/>
      <c r="C71" s="139" t="n">
        <v>0</v>
      </c>
      <c r="D71" s="93" t="n">
        <v>44378</v>
      </c>
      <c r="E71" s="140"/>
      <c r="F71" s="140"/>
      <c r="G71" s="140"/>
      <c r="H71" s="141"/>
    </row>
    <row r="72" customFormat="false" ht="12.8" hidden="false" customHeight="false" outlineLevel="0" collapsed="false">
      <c r="A72" s="139" t="s">
        <v>281</v>
      </c>
      <c r="B72" s="93"/>
      <c r="C72" s="139" t="n">
        <v>244</v>
      </c>
      <c r="D72" s="93" t="n">
        <v>44378</v>
      </c>
      <c r="E72" s="140"/>
      <c r="F72" s="140"/>
      <c r="G72" s="140"/>
      <c r="H72" s="141"/>
    </row>
    <row r="73" customFormat="false" ht="12.8" hidden="false" customHeight="false" outlineLevel="0" collapsed="false">
      <c r="A73" s="140" t="s">
        <v>491</v>
      </c>
      <c r="B73" s="141" t="n">
        <v>44136</v>
      </c>
      <c r="C73" s="140" t="n">
        <v>1000</v>
      </c>
      <c r="D73" s="93" t="n">
        <v>44378</v>
      </c>
      <c r="E73" s="140"/>
      <c r="F73" s="140" t="n">
        <v>0</v>
      </c>
      <c r="G73" s="140" t="n">
        <f aca="false">((F73*100)/C73)-100</f>
        <v>-100</v>
      </c>
      <c r="H73" s="141" t="n">
        <v>44331</v>
      </c>
    </row>
    <row r="74" customFormat="false" ht="12.8" hidden="false" customHeight="false" outlineLevel="0" collapsed="false">
      <c r="A74" s="140" t="s">
        <v>492</v>
      </c>
      <c r="B74" s="141" t="n">
        <v>44136</v>
      </c>
      <c r="C74" s="140" t="n">
        <v>500</v>
      </c>
      <c r="D74" s="93" t="n">
        <v>44378</v>
      </c>
      <c r="E74" s="140"/>
      <c r="F74" s="140" t="n">
        <v>0</v>
      </c>
      <c r="G74" s="140" t="n">
        <f aca="false">((F74*100)/C74)-100</f>
        <v>-100</v>
      </c>
      <c r="H74" s="141" t="n">
        <v>44346</v>
      </c>
    </row>
    <row r="75" customFormat="false" ht="12.8" hidden="false" customHeight="false" outlineLevel="0" collapsed="false">
      <c r="A75" s="81" t="s">
        <v>487</v>
      </c>
      <c r="B75" s="143"/>
      <c r="C75" s="81" t="n">
        <v>500</v>
      </c>
      <c r="D75" s="143" t="n">
        <v>44409</v>
      </c>
      <c r="E75" s="84"/>
      <c r="F75" s="84"/>
      <c r="G75" s="84"/>
      <c r="H75" s="84"/>
    </row>
    <row r="76" customFormat="false" ht="12.8" hidden="false" customHeight="false" outlineLevel="0" collapsed="false">
      <c r="A76" s="81" t="s">
        <v>493</v>
      </c>
      <c r="B76" s="143"/>
      <c r="C76" s="81" t="n">
        <v>460</v>
      </c>
      <c r="D76" s="143" t="n">
        <v>44409</v>
      </c>
      <c r="E76" s="84"/>
      <c r="F76" s="84"/>
      <c r="G76" s="84"/>
      <c r="H76" s="84"/>
    </row>
    <row r="77" customFormat="false" ht="12.8" hidden="false" customHeight="false" outlineLevel="0" collapsed="false">
      <c r="A77" s="81" t="s">
        <v>69</v>
      </c>
      <c r="B77" s="143"/>
      <c r="C77" s="81" t="n">
        <v>422</v>
      </c>
      <c r="D77" s="143" t="n">
        <v>44409</v>
      </c>
      <c r="E77" s="84"/>
      <c r="F77" s="84"/>
      <c r="G77" s="84"/>
      <c r="H77" s="84"/>
    </row>
    <row r="78" customFormat="false" ht="12.8" hidden="false" customHeight="false" outlineLevel="0" collapsed="false">
      <c r="A78" s="81" t="s">
        <v>490</v>
      </c>
      <c r="B78" s="143"/>
      <c r="C78" s="81" t="n">
        <v>0</v>
      </c>
      <c r="D78" s="143" t="n">
        <v>44409</v>
      </c>
      <c r="E78" s="84"/>
      <c r="F78" s="84"/>
      <c r="G78" s="84"/>
      <c r="H78" s="84"/>
    </row>
    <row r="79" customFormat="false" ht="12.8" hidden="false" customHeight="false" outlineLevel="0" collapsed="false">
      <c r="A79" s="81" t="s">
        <v>489</v>
      </c>
      <c r="B79" s="143"/>
      <c r="C79" s="81" t="n">
        <v>90</v>
      </c>
      <c r="D79" s="143" t="n">
        <v>44409</v>
      </c>
      <c r="E79" s="84"/>
      <c r="F79" s="84"/>
      <c r="G79" s="84"/>
      <c r="H79" s="84"/>
    </row>
    <row r="80" customFormat="false" ht="12.8" hidden="false" customHeight="false" outlineLevel="0" collapsed="false">
      <c r="A80" s="81" t="s">
        <v>489</v>
      </c>
      <c r="B80" s="143"/>
      <c r="C80" s="81" t="n">
        <v>60</v>
      </c>
      <c r="D80" s="143" t="n">
        <v>44409</v>
      </c>
      <c r="E80" s="84"/>
      <c r="F80" s="84"/>
      <c r="G80" s="84"/>
      <c r="H80" s="84"/>
    </row>
    <row r="81" customFormat="false" ht="12.8" hidden="false" customHeight="false" outlineLevel="0" collapsed="false">
      <c r="A81" s="81" t="s">
        <v>183</v>
      </c>
      <c r="B81" s="143"/>
      <c r="C81" s="81" t="n">
        <v>0</v>
      </c>
      <c r="D81" s="143" t="n">
        <v>44409</v>
      </c>
      <c r="E81" s="84"/>
      <c r="F81" s="84"/>
      <c r="G81" s="84"/>
      <c r="H81" s="84"/>
    </row>
    <row r="82" customFormat="false" ht="12.8" hidden="false" customHeight="false" outlineLevel="0" collapsed="false">
      <c r="A82" s="81" t="s">
        <v>281</v>
      </c>
      <c r="B82" s="143"/>
      <c r="C82" s="81" t="n">
        <v>238.8</v>
      </c>
      <c r="D82" s="143" t="n">
        <v>44409</v>
      </c>
      <c r="E82" s="84"/>
      <c r="F82" s="84"/>
      <c r="G82" s="84"/>
      <c r="H82" s="84"/>
    </row>
    <row r="83" customFormat="false" ht="12.8" hidden="false" customHeight="false" outlineLevel="0" collapsed="false">
      <c r="A83" s="146" t="s">
        <v>491</v>
      </c>
      <c r="B83" s="147" t="n">
        <v>44136</v>
      </c>
      <c r="C83" s="146" t="n">
        <v>1000</v>
      </c>
      <c r="D83" s="143" t="n">
        <v>44409</v>
      </c>
      <c r="E83" s="146"/>
      <c r="F83" s="146" t="n">
        <v>0</v>
      </c>
      <c r="G83" s="146" t="n">
        <f aca="false">((F83*100)/C83)-100</f>
        <v>-100</v>
      </c>
      <c r="H83" s="147" t="n">
        <v>44362</v>
      </c>
    </row>
    <row r="84" customFormat="false" ht="12.8" hidden="false" customHeight="false" outlineLevel="0" collapsed="false">
      <c r="A84" s="146" t="s">
        <v>492</v>
      </c>
      <c r="B84" s="147" t="n">
        <v>44136</v>
      </c>
      <c r="C84" s="146" t="n">
        <v>500</v>
      </c>
      <c r="D84" s="143" t="n">
        <v>44409</v>
      </c>
      <c r="E84" s="146"/>
      <c r="F84" s="146" t="n">
        <v>0</v>
      </c>
      <c r="G84" s="146" t="n">
        <f aca="false">((F84*100)/C84)-100</f>
        <v>-100</v>
      </c>
      <c r="H84" s="147" t="n">
        <v>44377</v>
      </c>
    </row>
    <row r="85" customFormat="false" ht="12.8" hidden="false" customHeight="false" outlineLevel="0" collapsed="false">
      <c r="A85" s="139" t="s">
        <v>487</v>
      </c>
      <c r="B85" s="93"/>
      <c r="C85" s="139" t="n">
        <v>500</v>
      </c>
      <c r="D85" s="93" t="n">
        <v>44440</v>
      </c>
      <c r="E85" s="139"/>
      <c r="F85" s="139"/>
      <c r="G85" s="139"/>
      <c r="H85" s="139"/>
    </row>
    <row r="86" customFormat="false" ht="12.8" hidden="false" customHeight="false" outlineLevel="0" collapsed="false">
      <c r="A86" s="139" t="s">
        <v>489</v>
      </c>
      <c r="B86" s="93"/>
      <c r="C86" s="139" t="n">
        <v>90</v>
      </c>
      <c r="D86" s="93" t="n">
        <v>44440</v>
      </c>
      <c r="E86" s="139"/>
      <c r="F86" s="139"/>
      <c r="G86" s="139"/>
      <c r="H86" s="139"/>
    </row>
    <row r="87" customFormat="false" ht="12.8" hidden="false" customHeight="false" outlineLevel="0" collapsed="false">
      <c r="A87" s="139" t="s">
        <v>493</v>
      </c>
      <c r="B87" s="93"/>
      <c r="C87" s="139" t="n">
        <v>460</v>
      </c>
      <c r="D87" s="93" t="n">
        <v>44440</v>
      </c>
      <c r="E87" s="139"/>
      <c r="F87" s="139"/>
      <c r="G87" s="139"/>
      <c r="H87" s="139"/>
    </row>
    <row r="88" customFormat="false" ht="12.8" hidden="false" customHeight="false" outlineLevel="0" collapsed="false">
      <c r="A88" s="139" t="s">
        <v>69</v>
      </c>
      <c r="B88" s="93"/>
      <c r="C88" s="139" t="n">
        <v>422</v>
      </c>
      <c r="D88" s="93" t="n">
        <v>44440</v>
      </c>
      <c r="E88" s="139"/>
      <c r="F88" s="139"/>
      <c r="G88" s="139"/>
      <c r="H88" s="139"/>
    </row>
    <row r="89" customFormat="false" ht="12.8" hidden="false" customHeight="false" outlineLevel="0" collapsed="false">
      <c r="A89" s="139" t="s">
        <v>490</v>
      </c>
      <c r="B89" s="93"/>
      <c r="C89" s="139" t="n">
        <v>180</v>
      </c>
      <c r="D89" s="93" t="n">
        <v>44440</v>
      </c>
      <c r="E89" s="139"/>
      <c r="F89" s="139"/>
      <c r="G89" s="139"/>
      <c r="H89" s="139"/>
    </row>
    <row r="90" customFormat="false" ht="12.8" hidden="false" customHeight="false" outlineLevel="0" collapsed="false">
      <c r="A90" s="139" t="s">
        <v>489</v>
      </c>
      <c r="B90" s="93"/>
      <c r="C90" s="139" t="n">
        <v>60</v>
      </c>
      <c r="D90" s="93" t="n">
        <v>44440</v>
      </c>
      <c r="E90" s="139"/>
      <c r="F90" s="139"/>
      <c r="G90" s="139"/>
      <c r="H90" s="139"/>
    </row>
    <row r="91" customFormat="false" ht="12.8" hidden="false" customHeight="false" outlineLevel="0" collapsed="false">
      <c r="A91" s="139" t="s">
        <v>183</v>
      </c>
      <c r="B91" s="93"/>
      <c r="C91" s="139" t="n">
        <v>0</v>
      </c>
      <c r="D91" s="93" t="n">
        <v>44440</v>
      </c>
      <c r="E91" s="140"/>
      <c r="F91" s="140"/>
      <c r="G91" s="140"/>
      <c r="H91" s="141"/>
    </row>
    <row r="92" customFormat="false" ht="12.8" hidden="false" customHeight="false" outlineLevel="0" collapsed="false">
      <c r="A92" s="139" t="s">
        <v>281</v>
      </c>
      <c r="B92" s="93"/>
      <c r="C92" s="139" t="n">
        <v>238.8</v>
      </c>
      <c r="D92" s="93" t="n">
        <v>44440</v>
      </c>
      <c r="E92" s="140"/>
      <c r="F92" s="140"/>
      <c r="G92" s="140"/>
      <c r="H92" s="141"/>
    </row>
    <row r="93" customFormat="false" ht="12.8" hidden="false" customHeight="false" outlineLevel="0" collapsed="false">
      <c r="A93" s="140" t="s">
        <v>491</v>
      </c>
      <c r="B93" s="141" t="n">
        <v>44136</v>
      </c>
      <c r="C93" s="140" t="n">
        <v>1000</v>
      </c>
      <c r="D93" s="93" t="n">
        <v>44440</v>
      </c>
      <c r="E93" s="140"/>
      <c r="F93" s="140" t="n">
        <v>0</v>
      </c>
      <c r="G93" s="140" t="n">
        <f aca="false">((F93*100)/C93)-100</f>
        <v>-100</v>
      </c>
      <c r="H93" s="141" t="n">
        <v>44331</v>
      </c>
    </row>
    <row r="94" customFormat="false" ht="12.8" hidden="false" customHeight="false" outlineLevel="0" collapsed="false">
      <c r="A94" s="140" t="s">
        <v>492</v>
      </c>
      <c r="B94" s="141" t="n">
        <v>44136</v>
      </c>
      <c r="C94" s="140" t="n">
        <v>500</v>
      </c>
      <c r="D94" s="93" t="n">
        <v>44440</v>
      </c>
      <c r="E94" s="140"/>
      <c r="F94" s="140" t="n">
        <v>0</v>
      </c>
      <c r="G94" s="140" t="n">
        <f aca="false">((F94*100)/C94)-100</f>
        <v>-100</v>
      </c>
      <c r="H94" s="141" t="n">
        <v>44346</v>
      </c>
    </row>
    <row r="95" customFormat="false" ht="12.8" hidden="false" customHeight="false" outlineLevel="0" collapsed="false">
      <c r="A95" s="81" t="s">
        <v>487</v>
      </c>
      <c r="B95" s="143"/>
      <c r="C95" s="81" t="n">
        <v>500</v>
      </c>
      <c r="D95" s="143" t="n">
        <v>44470</v>
      </c>
      <c r="E95" s="84"/>
      <c r="F95" s="84"/>
      <c r="G95" s="84"/>
      <c r="H95" s="84"/>
    </row>
    <row r="96" customFormat="false" ht="12.8" hidden="false" customHeight="false" outlineLevel="0" collapsed="false">
      <c r="A96" s="81" t="s">
        <v>493</v>
      </c>
      <c r="B96" s="143"/>
      <c r="C96" s="81" t="n">
        <v>460</v>
      </c>
      <c r="D96" s="143" t="n">
        <v>44470</v>
      </c>
      <c r="E96" s="84"/>
      <c r="F96" s="84"/>
      <c r="G96" s="84"/>
      <c r="H96" s="84"/>
    </row>
    <row r="97" customFormat="false" ht="12.8" hidden="false" customHeight="false" outlineLevel="0" collapsed="false">
      <c r="A97" s="81" t="s">
        <v>69</v>
      </c>
      <c r="B97" s="143"/>
      <c r="C97" s="81" t="n">
        <v>422</v>
      </c>
      <c r="D97" s="143" t="n">
        <v>44470</v>
      </c>
      <c r="E97" s="84"/>
      <c r="F97" s="84"/>
      <c r="G97" s="84"/>
      <c r="H97" s="84"/>
    </row>
    <row r="98" customFormat="false" ht="12.8" hidden="false" customHeight="false" outlineLevel="0" collapsed="false">
      <c r="A98" s="81" t="s">
        <v>490</v>
      </c>
      <c r="B98" s="143"/>
      <c r="C98" s="81" t="n">
        <v>180</v>
      </c>
      <c r="D98" s="143" t="n">
        <v>44470</v>
      </c>
      <c r="E98" s="84"/>
      <c r="F98" s="84"/>
      <c r="G98" s="84"/>
      <c r="H98" s="84"/>
    </row>
    <row r="99" customFormat="false" ht="12.8" hidden="false" customHeight="false" outlineLevel="0" collapsed="false">
      <c r="A99" s="81" t="s">
        <v>489</v>
      </c>
      <c r="B99" s="143"/>
      <c r="C99" s="81" t="n">
        <v>90</v>
      </c>
      <c r="D99" s="143" t="n">
        <v>44470</v>
      </c>
      <c r="E99" s="84"/>
      <c r="F99" s="84"/>
      <c r="G99" s="84"/>
      <c r="H99" s="84"/>
    </row>
    <row r="100" customFormat="false" ht="12.8" hidden="false" customHeight="false" outlineLevel="0" collapsed="false">
      <c r="A100" s="81" t="s">
        <v>489</v>
      </c>
      <c r="B100" s="143"/>
      <c r="C100" s="81" t="n">
        <v>60</v>
      </c>
      <c r="D100" s="143" t="n">
        <v>44470</v>
      </c>
      <c r="E100" s="84"/>
      <c r="F100" s="84"/>
      <c r="G100" s="84"/>
      <c r="H100" s="84"/>
    </row>
    <row r="101" customFormat="false" ht="12.8" hidden="false" customHeight="false" outlineLevel="0" collapsed="false">
      <c r="A101" s="81" t="s">
        <v>183</v>
      </c>
      <c r="B101" s="143"/>
      <c r="C101" s="81" t="n">
        <v>0</v>
      </c>
      <c r="D101" s="143" t="n">
        <v>44470</v>
      </c>
      <c r="E101" s="84"/>
      <c r="F101" s="84"/>
      <c r="G101" s="84"/>
      <c r="H101" s="84"/>
    </row>
    <row r="102" customFormat="false" ht="12.8" hidden="false" customHeight="false" outlineLevel="0" collapsed="false">
      <c r="A102" s="81" t="s">
        <v>281</v>
      </c>
      <c r="B102" s="143"/>
      <c r="C102" s="81" t="n">
        <v>238.8</v>
      </c>
      <c r="D102" s="143" t="n">
        <v>44470</v>
      </c>
      <c r="E102" s="84"/>
      <c r="F102" s="84"/>
      <c r="G102" s="84"/>
      <c r="H102" s="84"/>
    </row>
    <row r="103" customFormat="false" ht="12.8" hidden="false" customHeight="false" outlineLevel="0" collapsed="false">
      <c r="A103" s="146" t="s">
        <v>491</v>
      </c>
      <c r="B103" s="147" t="n">
        <v>44136</v>
      </c>
      <c r="C103" s="146" t="n">
        <v>1000</v>
      </c>
      <c r="D103" s="143" t="n">
        <v>44470</v>
      </c>
      <c r="E103" s="146"/>
      <c r="F103" s="146" t="n">
        <v>0</v>
      </c>
      <c r="G103" s="146" t="n">
        <f aca="false">((F103*100)/C103)-100</f>
        <v>-100</v>
      </c>
      <c r="H103" s="147" t="n">
        <v>44362</v>
      </c>
    </row>
    <row r="104" customFormat="false" ht="12.8" hidden="false" customHeight="false" outlineLevel="0" collapsed="false">
      <c r="A104" s="146" t="s">
        <v>492</v>
      </c>
      <c r="B104" s="147" t="n">
        <v>44136</v>
      </c>
      <c r="C104" s="146" t="n">
        <v>500</v>
      </c>
      <c r="D104" s="143" t="n">
        <v>44470</v>
      </c>
      <c r="E104" s="146"/>
      <c r="F104" s="146" t="n">
        <v>0</v>
      </c>
      <c r="G104" s="146" t="n">
        <f aca="false">((F104*100)/C104)-100</f>
        <v>-100</v>
      </c>
      <c r="H104" s="147" t="n">
        <v>44377</v>
      </c>
    </row>
    <row r="105" customFormat="false" ht="12.8" hidden="false" customHeight="false" outlineLevel="0" collapsed="false">
      <c r="A105" s="139" t="s">
        <v>487</v>
      </c>
      <c r="B105" s="93"/>
      <c r="C105" s="139" t="n">
        <v>500</v>
      </c>
      <c r="D105" s="93" t="n">
        <v>44501</v>
      </c>
      <c r="E105" s="139"/>
      <c r="F105" s="139"/>
      <c r="G105" s="139"/>
      <c r="H105" s="139"/>
    </row>
    <row r="106" customFormat="false" ht="12.8" hidden="false" customHeight="false" outlineLevel="0" collapsed="false">
      <c r="A106" s="139" t="s">
        <v>489</v>
      </c>
      <c r="B106" s="93"/>
      <c r="C106" s="139" t="n">
        <v>90</v>
      </c>
      <c r="D106" s="93" t="n">
        <v>44501</v>
      </c>
      <c r="E106" s="139"/>
      <c r="F106" s="139"/>
      <c r="G106" s="139"/>
      <c r="H106" s="139"/>
    </row>
    <row r="107" customFormat="false" ht="12.8" hidden="false" customHeight="false" outlineLevel="0" collapsed="false">
      <c r="A107" s="139" t="s">
        <v>493</v>
      </c>
      <c r="B107" s="93"/>
      <c r="C107" s="139" t="n">
        <v>460</v>
      </c>
      <c r="D107" s="93" t="n">
        <v>44501</v>
      </c>
      <c r="E107" s="139"/>
      <c r="F107" s="139"/>
      <c r="G107" s="139"/>
      <c r="H107" s="139"/>
    </row>
    <row r="108" customFormat="false" ht="12.8" hidden="false" customHeight="false" outlineLevel="0" collapsed="false">
      <c r="A108" s="139" t="s">
        <v>69</v>
      </c>
      <c r="B108" s="93"/>
      <c r="C108" s="139" t="n">
        <v>422</v>
      </c>
      <c r="D108" s="93" t="n">
        <v>44501</v>
      </c>
      <c r="E108" s="139"/>
      <c r="F108" s="139"/>
      <c r="G108" s="139"/>
      <c r="H108" s="139"/>
    </row>
    <row r="109" customFormat="false" ht="12.8" hidden="false" customHeight="false" outlineLevel="0" collapsed="false">
      <c r="A109" s="139" t="s">
        <v>490</v>
      </c>
      <c r="B109" s="93"/>
      <c r="C109" s="139" t="n">
        <v>180</v>
      </c>
      <c r="D109" s="93" t="n">
        <v>44501</v>
      </c>
      <c r="E109" s="139"/>
      <c r="F109" s="139"/>
      <c r="G109" s="139"/>
      <c r="H109" s="139"/>
    </row>
    <row r="110" customFormat="false" ht="12.8" hidden="false" customHeight="false" outlineLevel="0" collapsed="false">
      <c r="A110" s="139" t="s">
        <v>489</v>
      </c>
      <c r="B110" s="93"/>
      <c r="C110" s="139" t="n">
        <v>60</v>
      </c>
      <c r="D110" s="93" t="n">
        <v>44501</v>
      </c>
      <c r="E110" s="139"/>
      <c r="F110" s="139"/>
      <c r="G110" s="139"/>
      <c r="H110" s="139"/>
    </row>
    <row r="111" customFormat="false" ht="12.8" hidden="false" customHeight="false" outlineLevel="0" collapsed="false">
      <c r="A111" s="139" t="s">
        <v>183</v>
      </c>
      <c r="B111" s="93"/>
      <c r="C111" s="139" t="n">
        <v>0</v>
      </c>
      <c r="D111" s="93" t="n">
        <v>44501</v>
      </c>
      <c r="E111" s="140"/>
      <c r="F111" s="140"/>
      <c r="G111" s="140"/>
      <c r="H111" s="141"/>
    </row>
    <row r="112" customFormat="false" ht="12.8" hidden="false" customHeight="false" outlineLevel="0" collapsed="false">
      <c r="A112" s="139" t="s">
        <v>281</v>
      </c>
      <c r="B112" s="93"/>
      <c r="C112" s="139" t="n">
        <v>238.8</v>
      </c>
      <c r="D112" s="93" t="n">
        <v>44501</v>
      </c>
      <c r="E112" s="140"/>
      <c r="F112" s="140"/>
      <c r="G112" s="140"/>
      <c r="H112" s="141"/>
    </row>
    <row r="113" customFormat="false" ht="12.8" hidden="false" customHeight="false" outlineLevel="0" collapsed="false">
      <c r="A113" s="140" t="s">
        <v>491</v>
      </c>
      <c r="B113" s="141" t="n">
        <v>44136</v>
      </c>
      <c r="C113" s="140" t="n">
        <v>1000</v>
      </c>
      <c r="D113" s="93" t="n">
        <v>44501</v>
      </c>
      <c r="E113" s="140"/>
      <c r="F113" s="140" t="n">
        <v>0</v>
      </c>
      <c r="G113" s="140" t="n">
        <f aca="false">((F113*100)/C113)-100</f>
        <v>-100</v>
      </c>
      <c r="H113" s="141" t="n">
        <v>44331</v>
      </c>
    </row>
    <row r="114" customFormat="false" ht="12.8" hidden="false" customHeight="false" outlineLevel="0" collapsed="false">
      <c r="A114" s="140" t="s">
        <v>492</v>
      </c>
      <c r="B114" s="141" t="n">
        <v>44136</v>
      </c>
      <c r="C114" s="140" t="n">
        <v>500</v>
      </c>
      <c r="D114" s="93" t="n">
        <v>44501</v>
      </c>
      <c r="E114" s="140"/>
      <c r="F114" s="140" t="n">
        <v>0</v>
      </c>
      <c r="G114" s="140" t="n">
        <f aca="false">((F114*100)/C114)-100</f>
        <v>-100</v>
      </c>
      <c r="H114" s="141" t="n">
        <v>44346</v>
      </c>
    </row>
    <row r="115" customFormat="false" ht="12.8" hidden="false" customHeight="false" outlineLevel="0" collapsed="false">
      <c r="A115" s="81" t="s">
        <v>487</v>
      </c>
      <c r="B115" s="143"/>
      <c r="C115" s="81" t="n">
        <v>500</v>
      </c>
      <c r="D115" s="143" t="n">
        <v>44531</v>
      </c>
      <c r="E115" s="84"/>
      <c r="F115" s="84"/>
      <c r="G115" s="84"/>
      <c r="H115" s="84"/>
    </row>
    <row r="116" customFormat="false" ht="12.8" hidden="false" customHeight="false" outlineLevel="0" collapsed="false">
      <c r="A116" s="81" t="s">
        <v>493</v>
      </c>
      <c r="B116" s="143"/>
      <c r="C116" s="81" t="n">
        <v>460</v>
      </c>
      <c r="D116" s="143" t="n">
        <v>44531</v>
      </c>
      <c r="E116" s="84"/>
      <c r="F116" s="84"/>
      <c r="G116" s="84"/>
      <c r="H116" s="84"/>
    </row>
    <row r="117" customFormat="false" ht="12.8" hidden="false" customHeight="false" outlineLevel="0" collapsed="false">
      <c r="A117" s="81" t="s">
        <v>69</v>
      </c>
      <c r="B117" s="143"/>
      <c r="C117" s="81" t="n">
        <v>422</v>
      </c>
      <c r="D117" s="143" t="n">
        <v>44531</v>
      </c>
      <c r="E117" s="84"/>
      <c r="F117" s="84"/>
      <c r="G117" s="84"/>
      <c r="H117" s="84"/>
    </row>
    <row r="118" customFormat="false" ht="12.8" hidden="false" customHeight="false" outlineLevel="0" collapsed="false">
      <c r="A118" s="81" t="s">
        <v>490</v>
      </c>
      <c r="B118" s="143"/>
      <c r="C118" s="81" t="n">
        <v>180</v>
      </c>
      <c r="D118" s="143" t="n">
        <v>44531</v>
      </c>
      <c r="E118" s="84"/>
      <c r="F118" s="84"/>
      <c r="G118" s="84"/>
      <c r="H118" s="84"/>
    </row>
    <row r="119" customFormat="false" ht="12.8" hidden="false" customHeight="false" outlineLevel="0" collapsed="false">
      <c r="A119" s="81" t="s">
        <v>489</v>
      </c>
      <c r="B119" s="143"/>
      <c r="C119" s="81" t="n">
        <v>90</v>
      </c>
      <c r="D119" s="143" t="n">
        <v>44531</v>
      </c>
      <c r="E119" s="84"/>
      <c r="F119" s="84"/>
      <c r="G119" s="84"/>
      <c r="H119" s="84"/>
    </row>
    <row r="120" customFormat="false" ht="12.8" hidden="false" customHeight="false" outlineLevel="0" collapsed="false">
      <c r="A120" s="81" t="s">
        <v>489</v>
      </c>
      <c r="B120" s="143"/>
      <c r="C120" s="81" t="n">
        <v>60</v>
      </c>
      <c r="D120" s="143" t="n">
        <v>44531</v>
      </c>
      <c r="E120" s="84"/>
      <c r="F120" s="84"/>
      <c r="G120" s="84"/>
      <c r="H120" s="84"/>
    </row>
    <row r="121" customFormat="false" ht="12.8" hidden="false" customHeight="false" outlineLevel="0" collapsed="false">
      <c r="A121" s="81" t="s">
        <v>183</v>
      </c>
      <c r="B121" s="143"/>
      <c r="C121" s="81" t="n">
        <v>0</v>
      </c>
      <c r="D121" s="143" t="n">
        <v>44531</v>
      </c>
      <c r="E121" s="84"/>
      <c r="F121" s="84"/>
      <c r="G121" s="84"/>
      <c r="H121" s="84"/>
    </row>
    <row r="122" customFormat="false" ht="12.8" hidden="false" customHeight="false" outlineLevel="0" collapsed="false">
      <c r="A122" s="81" t="s">
        <v>281</v>
      </c>
      <c r="B122" s="143"/>
      <c r="C122" s="81" t="n">
        <v>238.8</v>
      </c>
      <c r="D122" s="143" t="n">
        <v>44531</v>
      </c>
      <c r="E122" s="84"/>
      <c r="F122" s="84"/>
      <c r="G122" s="84"/>
      <c r="H122" s="84"/>
    </row>
    <row r="123" customFormat="false" ht="12.8" hidden="false" customHeight="false" outlineLevel="0" collapsed="false">
      <c r="A123" s="146" t="s">
        <v>491</v>
      </c>
      <c r="B123" s="147" t="n">
        <v>44136</v>
      </c>
      <c r="C123" s="146" t="n">
        <v>1000</v>
      </c>
      <c r="D123" s="143" t="n">
        <v>44531</v>
      </c>
      <c r="E123" s="146"/>
      <c r="F123" s="146" t="n">
        <v>0</v>
      </c>
      <c r="G123" s="146" t="n">
        <f aca="false">((F123*100)/C123)-100</f>
        <v>-100</v>
      </c>
      <c r="H123" s="147" t="n">
        <v>44362</v>
      </c>
    </row>
    <row r="124" customFormat="false" ht="12.8" hidden="false" customHeight="false" outlineLevel="0" collapsed="false">
      <c r="A124" s="146" t="s">
        <v>492</v>
      </c>
      <c r="B124" s="147" t="n">
        <v>44136</v>
      </c>
      <c r="C124" s="146" t="n">
        <v>500</v>
      </c>
      <c r="D124" s="143" t="n">
        <v>44531</v>
      </c>
      <c r="E124" s="146"/>
      <c r="F124" s="146" t="n">
        <v>0</v>
      </c>
      <c r="G124" s="146" t="n">
        <f aca="false">((F124*100)/C124)-100</f>
        <v>-100</v>
      </c>
      <c r="H124" s="147" t="n">
        <v>44377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O384"/>
  <sheetViews>
    <sheetView showFormulas="false" showGridLines="true" showRowColHeaders="true" showZeros="true" rightToLeft="false" tabSelected="false" showOutlineSymbols="true" defaultGridColor="true" view="normal" topLeftCell="A355" colorId="64" zoomScale="84" zoomScaleNormal="84" zoomScalePageLayoutView="100" workbookViewId="0">
      <selection pane="topLeft" activeCell="A385" activeCellId="0" sqref="A385"/>
    </sheetView>
  </sheetViews>
  <sheetFormatPr defaultRowHeight="12.8" zeroHeight="false" outlineLevelRow="0" outlineLevelCol="0"/>
  <cols>
    <col collapsed="false" customWidth="true" hidden="false" outlineLevel="0" max="1" min="1" style="148" width="12.96"/>
    <col collapsed="false" customWidth="true" hidden="false" outlineLevel="0" max="2" min="2" style="149" width="12.59"/>
    <col collapsed="false" customWidth="true" hidden="false" outlineLevel="0" max="3" min="3" style="8" width="21.29"/>
    <col collapsed="false" customWidth="true" hidden="false" outlineLevel="0" max="4" min="4" style="150" width="16.41"/>
    <col collapsed="false" customWidth="true" hidden="false" outlineLevel="0" max="5" min="5" style="0" width="15.29"/>
    <col collapsed="false" customWidth="true" hidden="false" outlineLevel="0" max="6" min="6" style="151" width="22.86"/>
    <col collapsed="false" customWidth="true" hidden="false" outlineLevel="0" max="7" min="7" style="0" width="11.3"/>
    <col collapsed="false" customWidth="true" hidden="false" outlineLevel="0" max="8" min="8" style="0" width="18.58"/>
    <col collapsed="false" customWidth="true" hidden="false" outlineLevel="0" max="9" min="9" style="0" width="9.85"/>
    <col collapsed="false" customWidth="true" hidden="false" outlineLevel="0" max="10" min="10" style="0" width="18.58"/>
    <col collapsed="false" customWidth="true" hidden="false" outlineLevel="0" max="1022" min="11" style="0" width="9.85"/>
    <col collapsed="false" customWidth="false" hidden="false" outlineLevel="0" max="1025" min="1023" style="0" width="11.52"/>
  </cols>
  <sheetData>
    <row r="1" customFormat="false" ht="15" hidden="false" customHeight="false" outlineLevel="0" collapsed="false">
      <c r="A1" s="100" t="s">
        <v>495</v>
      </c>
      <c r="B1" s="152" t="s">
        <v>44</v>
      </c>
      <c r="C1" s="153" t="s">
        <v>45</v>
      </c>
      <c r="D1" s="154" t="s">
        <v>7</v>
      </c>
      <c r="E1" s="155" t="s">
        <v>50</v>
      </c>
      <c r="F1" s="156" t="s">
        <v>496</v>
      </c>
      <c r="G1" s="142"/>
      <c r="I1" s="157"/>
      <c r="O1" s="1"/>
    </row>
    <row r="2" customFormat="false" ht="15" hidden="false" customHeight="false" outlineLevel="0" collapsed="false">
      <c r="A2" s="45" t="s">
        <v>59</v>
      </c>
      <c r="B2" s="158" t="s">
        <v>497</v>
      </c>
      <c r="C2" s="159" t="s">
        <v>498</v>
      </c>
      <c r="D2" s="160" t="n">
        <v>517.29</v>
      </c>
      <c r="E2" s="161" t="n">
        <v>44197</v>
      </c>
      <c r="F2" s="160" t="n">
        <v>517.29</v>
      </c>
    </row>
    <row r="3" customFormat="false" ht="15" hidden="false" customHeight="false" outlineLevel="0" collapsed="false">
      <c r="A3" s="45" t="s">
        <v>59</v>
      </c>
      <c r="B3" s="158" t="s">
        <v>497</v>
      </c>
      <c r="C3" s="159" t="s">
        <v>499</v>
      </c>
      <c r="D3" s="160" t="n">
        <v>-0.06</v>
      </c>
      <c r="E3" s="161" t="n">
        <v>44197</v>
      </c>
      <c r="F3" s="160" t="n">
        <v>-0.06</v>
      </c>
    </row>
    <row r="4" customFormat="false" ht="15" hidden="false" customHeight="false" outlineLevel="0" collapsed="false">
      <c r="A4" s="45" t="s">
        <v>59</v>
      </c>
      <c r="B4" s="158" t="s">
        <v>500</v>
      </c>
      <c r="C4" s="159" t="s">
        <v>501</v>
      </c>
      <c r="D4" s="160" t="n">
        <v>71.4</v>
      </c>
      <c r="E4" s="161" t="n">
        <v>44197</v>
      </c>
      <c r="F4" s="160" t="n">
        <v>71.4</v>
      </c>
    </row>
    <row r="5" customFormat="false" ht="15" hidden="false" customHeight="false" outlineLevel="0" collapsed="false">
      <c r="A5" s="45" t="s">
        <v>59</v>
      </c>
      <c r="B5" s="158" t="s">
        <v>500</v>
      </c>
      <c r="C5" s="159" t="s">
        <v>502</v>
      </c>
      <c r="D5" s="160" t="n">
        <v>-0.01</v>
      </c>
      <c r="E5" s="161" t="n">
        <v>44197</v>
      </c>
      <c r="F5" s="160" t="n">
        <v>-0.01</v>
      </c>
    </row>
    <row r="6" customFormat="false" ht="15" hidden="false" customHeight="false" outlineLevel="0" collapsed="false">
      <c r="A6" s="45" t="s">
        <v>59</v>
      </c>
      <c r="B6" s="158" t="s">
        <v>503</v>
      </c>
      <c r="C6" s="159" t="s">
        <v>504</v>
      </c>
      <c r="D6" s="160" t="n">
        <v>147.25</v>
      </c>
      <c r="E6" s="161" t="n">
        <v>44197</v>
      </c>
      <c r="F6" s="160" t="n">
        <v>147.25</v>
      </c>
    </row>
    <row r="7" customFormat="false" ht="15" hidden="false" customHeight="false" outlineLevel="0" collapsed="false">
      <c r="A7" s="45" t="s">
        <v>505</v>
      </c>
      <c r="B7" s="158" t="s">
        <v>506</v>
      </c>
      <c r="C7" s="159" t="s">
        <v>507</v>
      </c>
      <c r="D7" s="160" t="n">
        <v>80</v>
      </c>
      <c r="E7" s="161" t="n">
        <v>44197</v>
      </c>
      <c r="F7" s="160" t="n">
        <v>80</v>
      </c>
    </row>
    <row r="8" customFormat="false" ht="15" hidden="false" customHeight="false" outlineLevel="0" collapsed="false">
      <c r="A8" s="45" t="s">
        <v>64</v>
      </c>
      <c r="B8" s="158" t="s">
        <v>506</v>
      </c>
      <c r="C8" s="159" t="s">
        <v>508</v>
      </c>
      <c r="D8" s="160" t="n">
        <v>128.33</v>
      </c>
      <c r="E8" s="161" t="n">
        <v>44197</v>
      </c>
      <c r="F8" s="160" t="n">
        <v>128.33</v>
      </c>
    </row>
    <row r="9" customFormat="false" ht="15" hidden="false" customHeight="false" outlineLevel="0" collapsed="false">
      <c r="A9" s="45" t="s">
        <v>509</v>
      </c>
      <c r="B9" s="158" t="s">
        <v>506</v>
      </c>
      <c r="C9" s="159" t="s">
        <v>510</v>
      </c>
      <c r="D9" s="160" t="n">
        <v>210</v>
      </c>
      <c r="E9" s="161" t="n">
        <v>44197</v>
      </c>
      <c r="F9" s="160" t="n">
        <v>210</v>
      </c>
    </row>
    <row r="10" customFormat="false" ht="15" hidden="false" customHeight="false" outlineLevel="0" collapsed="false">
      <c r="A10" s="45" t="s">
        <v>505</v>
      </c>
      <c r="B10" s="158" t="s">
        <v>511</v>
      </c>
      <c r="C10" s="159" t="s">
        <v>512</v>
      </c>
      <c r="D10" s="160" t="n">
        <v>9.9</v>
      </c>
      <c r="E10" s="161" t="n">
        <v>44197</v>
      </c>
      <c r="F10" s="160" t="n">
        <v>9.9</v>
      </c>
    </row>
    <row r="11" customFormat="false" ht="15" hidden="false" customHeight="false" outlineLevel="0" collapsed="false">
      <c r="A11" s="45" t="s">
        <v>64</v>
      </c>
      <c r="B11" s="158" t="s">
        <v>511</v>
      </c>
      <c r="C11" s="159" t="s">
        <v>508</v>
      </c>
      <c r="D11" s="160" t="n">
        <v>185.48</v>
      </c>
      <c r="E11" s="161" t="n">
        <v>44197</v>
      </c>
      <c r="F11" s="160" t="n">
        <v>185.48</v>
      </c>
    </row>
    <row r="12" customFormat="false" ht="15" hidden="false" customHeight="false" outlineLevel="0" collapsed="false">
      <c r="A12" s="45" t="s">
        <v>64</v>
      </c>
      <c r="B12" s="158" t="s">
        <v>513</v>
      </c>
      <c r="C12" s="159" t="s">
        <v>508</v>
      </c>
      <c r="D12" s="160" t="n">
        <v>95.67</v>
      </c>
      <c r="E12" s="161" t="n">
        <v>44197</v>
      </c>
      <c r="F12" s="160" t="n">
        <v>95.67</v>
      </c>
    </row>
    <row r="13" customFormat="false" ht="15" hidden="false" customHeight="false" outlineLevel="0" collapsed="false">
      <c r="A13" s="45" t="s">
        <v>62</v>
      </c>
      <c r="B13" s="158" t="s">
        <v>513</v>
      </c>
      <c r="C13" s="159" t="s">
        <v>514</v>
      </c>
      <c r="D13" s="160" t="n">
        <v>48.93</v>
      </c>
      <c r="E13" s="161" t="n">
        <v>44197</v>
      </c>
      <c r="F13" s="160" t="n">
        <v>48.93</v>
      </c>
    </row>
    <row r="14" customFormat="false" ht="15" hidden="false" customHeight="false" outlineLevel="0" collapsed="false">
      <c r="A14" s="45" t="s">
        <v>57</v>
      </c>
      <c r="B14" s="158" t="s">
        <v>513</v>
      </c>
      <c r="C14" s="159" t="s">
        <v>515</v>
      </c>
      <c r="D14" s="160" t="n">
        <v>21.99</v>
      </c>
      <c r="E14" s="161" t="n">
        <v>44197</v>
      </c>
      <c r="F14" s="160" t="n">
        <v>21.99</v>
      </c>
    </row>
    <row r="15" customFormat="false" ht="15" hidden="false" customHeight="false" outlineLevel="0" collapsed="false">
      <c r="A15" s="45" t="s">
        <v>62</v>
      </c>
      <c r="B15" s="158" t="s">
        <v>513</v>
      </c>
      <c r="C15" s="159" t="s">
        <v>516</v>
      </c>
      <c r="D15" s="160" t="n">
        <v>61.27</v>
      </c>
      <c r="E15" s="161" t="n">
        <v>44197</v>
      </c>
      <c r="F15" s="160" t="n">
        <v>61.27</v>
      </c>
    </row>
    <row r="16" customFormat="false" ht="15" hidden="false" customHeight="false" outlineLevel="0" collapsed="false">
      <c r="A16" s="45" t="s">
        <v>62</v>
      </c>
      <c r="B16" s="158" t="s">
        <v>517</v>
      </c>
      <c r="C16" s="159" t="s">
        <v>518</v>
      </c>
      <c r="D16" s="160" t="n">
        <v>74.6</v>
      </c>
      <c r="E16" s="161" t="n">
        <v>44197</v>
      </c>
      <c r="F16" s="160" t="n">
        <v>74.6</v>
      </c>
    </row>
    <row r="17" customFormat="false" ht="15" hidden="false" customHeight="false" outlineLevel="0" collapsed="false">
      <c r="A17" s="45" t="s">
        <v>509</v>
      </c>
      <c r="B17" s="158" t="s">
        <v>519</v>
      </c>
      <c r="C17" s="159" t="s">
        <v>520</v>
      </c>
      <c r="D17" s="160" t="n">
        <v>174.02</v>
      </c>
      <c r="E17" s="161" t="n">
        <v>44197</v>
      </c>
      <c r="F17" s="160" t="n">
        <v>174.02</v>
      </c>
    </row>
    <row r="18" customFormat="false" ht="15" hidden="false" customHeight="false" outlineLevel="0" collapsed="false">
      <c r="A18" s="45" t="s">
        <v>64</v>
      </c>
      <c r="B18" s="158" t="s">
        <v>521</v>
      </c>
      <c r="C18" s="159" t="s">
        <v>508</v>
      </c>
      <c r="D18" s="160" t="n">
        <v>100.39</v>
      </c>
      <c r="E18" s="161" t="n">
        <v>44197</v>
      </c>
      <c r="F18" s="160" t="n">
        <v>100.39</v>
      </c>
    </row>
    <row r="19" customFormat="false" ht="15" hidden="false" customHeight="false" outlineLevel="0" collapsed="false">
      <c r="A19" s="45" t="s">
        <v>59</v>
      </c>
      <c r="B19" s="158" t="s">
        <v>522</v>
      </c>
      <c r="C19" s="159" t="s">
        <v>523</v>
      </c>
      <c r="D19" s="160" t="n">
        <v>40</v>
      </c>
      <c r="E19" s="161" t="n">
        <v>44197</v>
      </c>
      <c r="F19" s="160" t="n">
        <v>40</v>
      </c>
    </row>
    <row r="20" customFormat="false" ht="15" hidden="false" customHeight="false" outlineLevel="0" collapsed="false">
      <c r="A20" s="45" t="s">
        <v>57</v>
      </c>
      <c r="B20" s="158" t="s">
        <v>522</v>
      </c>
      <c r="C20" s="159" t="s">
        <v>515</v>
      </c>
      <c r="D20" s="160" t="n">
        <v>79.16</v>
      </c>
      <c r="E20" s="161" t="n">
        <v>44197</v>
      </c>
      <c r="F20" s="160" t="n">
        <v>79.16</v>
      </c>
    </row>
    <row r="21" customFormat="false" ht="15" hidden="false" customHeight="false" outlineLevel="0" collapsed="false">
      <c r="A21" s="45" t="s">
        <v>59</v>
      </c>
      <c r="B21" s="158" t="s">
        <v>522</v>
      </c>
      <c r="C21" s="159" t="s">
        <v>524</v>
      </c>
      <c r="D21" s="160" t="n">
        <v>60</v>
      </c>
      <c r="E21" s="161" t="n">
        <v>44197</v>
      </c>
      <c r="F21" s="160" t="n">
        <v>60</v>
      </c>
    </row>
    <row r="22" customFormat="false" ht="15" hidden="false" customHeight="false" outlineLevel="0" collapsed="false">
      <c r="A22" s="45" t="s">
        <v>59</v>
      </c>
      <c r="B22" s="158" t="s">
        <v>525</v>
      </c>
      <c r="C22" s="159" t="s">
        <v>526</v>
      </c>
      <c r="D22" s="160" t="n">
        <v>1</v>
      </c>
      <c r="E22" s="161" t="n">
        <v>44197</v>
      </c>
      <c r="F22" s="160" t="n">
        <v>1</v>
      </c>
    </row>
    <row r="23" customFormat="false" ht="15" hidden="false" customHeight="false" outlineLevel="0" collapsed="false">
      <c r="A23" s="45" t="s">
        <v>64</v>
      </c>
      <c r="B23" s="158" t="s">
        <v>525</v>
      </c>
      <c r="C23" s="159" t="s">
        <v>508</v>
      </c>
      <c r="D23" s="160" t="n">
        <v>68.35</v>
      </c>
      <c r="E23" s="161" t="n">
        <v>44197</v>
      </c>
      <c r="F23" s="160" t="n">
        <v>68.35</v>
      </c>
    </row>
    <row r="24" customFormat="false" ht="15" hidden="false" customHeight="false" outlineLevel="0" collapsed="false">
      <c r="A24" s="45" t="s">
        <v>62</v>
      </c>
      <c r="B24" s="158" t="s">
        <v>527</v>
      </c>
      <c r="C24" s="159" t="s">
        <v>528</v>
      </c>
      <c r="D24" s="160" t="n">
        <v>49.9</v>
      </c>
      <c r="E24" s="161" t="n">
        <v>44197</v>
      </c>
      <c r="F24" s="160" t="n">
        <v>49.9</v>
      </c>
    </row>
    <row r="25" customFormat="false" ht="15" hidden="false" customHeight="false" outlineLevel="0" collapsed="false">
      <c r="A25" s="45" t="s">
        <v>64</v>
      </c>
      <c r="B25" s="158" t="s">
        <v>527</v>
      </c>
      <c r="C25" s="159" t="s">
        <v>508</v>
      </c>
      <c r="D25" s="160" t="n">
        <v>101.23</v>
      </c>
      <c r="E25" s="161" t="n">
        <v>44197</v>
      </c>
      <c r="F25" s="160" t="n">
        <v>101.23</v>
      </c>
    </row>
    <row r="26" customFormat="false" ht="15" hidden="false" customHeight="false" outlineLevel="0" collapsed="false">
      <c r="A26" s="45" t="s">
        <v>529</v>
      </c>
      <c r="B26" s="158" t="s">
        <v>527</v>
      </c>
      <c r="C26" s="159" t="s">
        <v>530</v>
      </c>
      <c r="D26" s="160" t="n">
        <v>21.9</v>
      </c>
      <c r="E26" s="161" t="n">
        <v>44197</v>
      </c>
      <c r="F26" s="160" t="n">
        <v>21.9</v>
      </c>
    </row>
    <row r="27" customFormat="false" ht="15" hidden="false" customHeight="false" outlineLevel="0" collapsed="false">
      <c r="A27" s="45" t="s">
        <v>53</v>
      </c>
      <c r="B27" s="158" t="s">
        <v>527</v>
      </c>
      <c r="C27" s="159" t="s">
        <v>531</v>
      </c>
      <c r="D27" s="160" t="n">
        <v>27.11</v>
      </c>
      <c r="E27" s="161" t="n">
        <v>44197</v>
      </c>
      <c r="F27" s="160" t="n">
        <v>27.11</v>
      </c>
    </row>
    <row r="28" customFormat="false" ht="15" hidden="false" customHeight="false" outlineLevel="0" collapsed="false">
      <c r="A28" s="45" t="s">
        <v>62</v>
      </c>
      <c r="B28" s="158" t="s">
        <v>527</v>
      </c>
      <c r="C28" s="159" t="s">
        <v>532</v>
      </c>
      <c r="D28" s="160" t="n">
        <v>68.89</v>
      </c>
      <c r="E28" s="161" t="n">
        <v>44197</v>
      </c>
      <c r="F28" s="160" t="n">
        <v>68.89</v>
      </c>
    </row>
    <row r="29" customFormat="false" ht="15" hidden="false" customHeight="false" outlineLevel="0" collapsed="false">
      <c r="A29" s="45" t="s">
        <v>64</v>
      </c>
      <c r="B29" s="158" t="s">
        <v>533</v>
      </c>
      <c r="C29" s="159" t="s">
        <v>508</v>
      </c>
      <c r="D29" s="160" t="n">
        <v>100.13</v>
      </c>
      <c r="E29" s="161" t="n">
        <v>44197</v>
      </c>
      <c r="F29" s="160" t="n">
        <v>100.13</v>
      </c>
    </row>
    <row r="30" customFormat="false" ht="15" hidden="false" customHeight="false" outlineLevel="0" collapsed="false">
      <c r="A30" s="45" t="s">
        <v>57</v>
      </c>
      <c r="B30" s="158" t="s">
        <v>533</v>
      </c>
      <c r="C30" s="159" t="s">
        <v>534</v>
      </c>
      <c r="D30" s="160" t="n">
        <v>108.47</v>
      </c>
      <c r="E30" s="161" t="n">
        <v>44197</v>
      </c>
      <c r="F30" s="160" t="n">
        <v>108.47</v>
      </c>
    </row>
    <row r="31" customFormat="false" ht="15" hidden="false" customHeight="false" outlineLevel="0" collapsed="false">
      <c r="A31" s="45" t="s">
        <v>59</v>
      </c>
      <c r="B31" s="158" t="s">
        <v>535</v>
      </c>
      <c r="C31" s="159" t="s">
        <v>536</v>
      </c>
      <c r="D31" s="160" t="n">
        <v>25</v>
      </c>
      <c r="E31" s="161" t="n">
        <v>44197</v>
      </c>
      <c r="F31" s="160" t="n">
        <v>25</v>
      </c>
    </row>
    <row r="32" customFormat="false" ht="15" hidden="false" customHeight="false" outlineLevel="0" collapsed="false">
      <c r="A32" s="45" t="s">
        <v>59</v>
      </c>
      <c r="B32" s="158" t="s">
        <v>535</v>
      </c>
      <c r="C32" s="159" t="s">
        <v>536</v>
      </c>
      <c r="D32" s="160" t="n">
        <v>192.83</v>
      </c>
      <c r="E32" s="161" t="n">
        <v>44197</v>
      </c>
      <c r="F32" s="160" t="n">
        <v>192.83</v>
      </c>
    </row>
    <row r="33" customFormat="false" ht="15" hidden="false" customHeight="false" outlineLevel="0" collapsed="false">
      <c r="A33" s="45" t="s">
        <v>53</v>
      </c>
      <c r="B33" s="158" t="s">
        <v>535</v>
      </c>
      <c r="C33" s="159" t="s">
        <v>531</v>
      </c>
      <c r="D33" s="160" t="n">
        <v>42.98</v>
      </c>
      <c r="E33" s="161" t="n">
        <v>44197</v>
      </c>
      <c r="F33" s="160" t="n">
        <v>42.98</v>
      </c>
    </row>
    <row r="34" customFormat="false" ht="15" hidden="false" customHeight="false" outlineLevel="0" collapsed="false">
      <c r="A34" s="45" t="s">
        <v>64</v>
      </c>
      <c r="B34" s="158" t="s">
        <v>535</v>
      </c>
      <c r="C34" s="159" t="s">
        <v>537</v>
      </c>
      <c r="D34" s="160" t="n">
        <v>51.19</v>
      </c>
      <c r="E34" s="161" t="n">
        <v>44197</v>
      </c>
      <c r="F34" s="160" t="n">
        <v>51.19</v>
      </c>
    </row>
    <row r="35" customFormat="false" ht="15" hidden="false" customHeight="false" outlineLevel="0" collapsed="false">
      <c r="A35" s="45" t="s">
        <v>64</v>
      </c>
      <c r="B35" s="158" t="s">
        <v>535</v>
      </c>
      <c r="C35" s="159" t="s">
        <v>537</v>
      </c>
      <c r="D35" s="160" t="n">
        <v>20.69</v>
      </c>
      <c r="E35" s="161" t="n">
        <v>44197</v>
      </c>
      <c r="F35" s="160" t="n">
        <v>20.69</v>
      </c>
    </row>
    <row r="36" customFormat="false" ht="15" hidden="false" customHeight="false" outlineLevel="0" collapsed="false">
      <c r="A36" s="45" t="s">
        <v>505</v>
      </c>
      <c r="B36" s="158" t="s">
        <v>538</v>
      </c>
      <c r="C36" s="159" t="s">
        <v>512</v>
      </c>
      <c r="D36" s="160" t="n">
        <v>99.9</v>
      </c>
      <c r="E36" s="161" t="n">
        <v>44197</v>
      </c>
      <c r="F36" s="160" t="n">
        <v>99.9</v>
      </c>
    </row>
    <row r="37" customFormat="false" ht="15" hidden="false" customHeight="false" outlineLevel="0" collapsed="false">
      <c r="A37" s="45" t="s">
        <v>53</v>
      </c>
      <c r="B37" s="158" t="s">
        <v>538</v>
      </c>
      <c r="C37" s="159" t="s">
        <v>531</v>
      </c>
      <c r="D37" s="160" t="n">
        <v>128.14</v>
      </c>
      <c r="E37" s="161" t="n">
        <v>44197</v>
      </c>
      <c r="F37" s="160" t="n">
        <v>128.14</v>
      </c>
    </row>
    <row r="38" customFormat="false" ht="15" hidden="false" customHeight="false" outlineLevel="0" collapsed="false">
      <c r="A38" s="45" t="s">
        <v>529</v>
      </c>
      <c r="B38" s="158" t="s">
        <v>538</v>
      </c>
      <c r="C38" s="159" t="s">
        <v>539</v>
      </c>
      <c r="D38" s="160" t="n">
        <v>45.9</v>
      </c>
      <c r="E38" s="161" t="n">
        <v>44197</v>
      </c>
      <c r="F38" s="160" t="n">
        <v>45.9</v>
      </c>
    </row>
    <row r="39" customFormat="false" ht="15" hidden="false" customHeight="false" outlineLevel="0" collapsed="false">
      <c r="A39" s="45" t="s">
        <v>529</v>
      </c>
      <c r="B39" s="158" t="s">
        <v>540</v>
      </c>
      <c r="C39" s="159" t="s">
        <v>541</v>
      </c>
      <c r="D39" s="160" t="n">
        <v>3.9</v>
      </c>
      <c r="E39" s="161" t="n">
        <v>44197</v>
      </c>
      <c r="F39" s="160" t="n">
        <v>3.9</v>
      </c>
    </row>
    <row r="40" customFormat="false" ht="15" hidden="false" customHeight="false" outlineLevel="0" collapsed="false">
      <c r="A40" s="45" t="s">
        <v>64</v>
      </c>
      <c r="B40" s="158" t="s">
        <v>540</v>
      </c>
      <c r="C40" s="159" t="s">
        <v>508</v>
      </c>
      <c r="D40" s="160" t="n">
        <v>68.6</v>
      </c>
      <c r="E40" s="161" t="n">
        <v>44197</v>
      </c>
      <c r="F40" s="160" t="n">
        <v>68.6</v>
      </c>
    </row>
    <row r="41" customFormat="false" ht="15" hidden="false" customHeight="false" outlineLevel="0" collapsed="false">
      <c r="A41" s="45" t="s">
        <v>53</v>
      </c>
      <c r="B41" s="158" t="s">
        <v>540</v>
      </c>
      <c r="C41" s="159" t="s">
        <v>531</v>
      </c>
      <c r="D41" s="160" t="n">
        <v>24.49</v>
      </c>
      <c r="E41" s="161" t="n">
        <v>44197</v>
      </c>
      <c r="F41" s="160" t="n">
        <v>24.49</v>
      </c>
    </row>
    <row r="42" customFormat="false" ht="15" hidden="false" customHeight="false" outlineLevel="0" collapsed="false">
      <c r="A42" s="45" t="s">
        <v>124</v>
      </c>
      <c r="B42" s="158" t="s">
        <v>542</v>
      </c>
      <c r="C42" s="159" t="s">
        <v>543</v>
      </c>
      <c r="D42" s="160" t="n">
        <v>13</v>
      </c>
      <c r="E42" s="161" t="n">
        <v>44197</v>
      </c>
      <c r="F42" s="160" t="n">
        <v>13</v>
      </c>
    </row>
    <row r="43" customFormat="false" ht="15" hidden="false" customHeight="false" outlineLevel="0" collapsed="false">
      <c r="A43" s="45" t="s">
        <v>59</v>
      </c>
      <c r="B43" s="158" t="s">
        <v>542</v>
      </c>
      <c r="C43" s="159" t="s">
        <v>544</v>
      </c>
      <c r="D43" s="160" t="n">
        <v>98.48</v>
      </c>
      <c r="E43" s="161" t="n">
        <v>44197</v>
      </c>
      <c r="F43" s="160" t="n">
        <v>98.48</v>
      </c>
    </row>
    <row r="44" customFormat="false" ht="15" hidden="false" customHeight="false" outlineLevel="0" collapsed="false">
      <c r="A44" s="45" t="s">
        <v>59</v>
      </c>
      <c r="B44" s="158" t="s">
        <v>545</v>
      </c>
      <c r="C44" s="159" t="s">
        <v>546</v>
      </c>
      <c r="D44" s="160" t="n">
        <v>69.49</v>
      </c>
      <c r="E44" s="161" t="n">
        <v>44197</v>
      </c>
      <c r="F44" s="160" t="n">
        <v>69.49</v>
      </c>
    </row>
    <row r="45" customFormat="false" ht="15" hidden="false" customHeight="false" outlineLevel="0" collapsed="false">
      <c r="A45" s="45" t="s">
        <v>59</v>
      </c>
      <c r="B45" s="158" t="s">
        <v>545</v>
      </c>
      <c r="C45" s="159" t="s">
        <v>547</v>
      </c>
      <c r="D45" s="160" t="n">
        <v>15.98</v>
      </c>
      <c r="E45" s="161" t="n">
        <v>44197</v>
      </c>
      <c r="F45" s="160" t="n">
        <v>15.98</v>
      </c>
    </row>
    <row r="46" customFormat="false" ht="15" hidden="false" customHeight="false" outlineLevel="0" collapsed="false">
      <c r="A46" s="45" t="s">
        <v>64</v>
      </c>
      <c r="B46" s="158" t="s">
        <v>545</v>
      </c>
      <c r="C46" s="159" t="s">
        <v>508</v>
      </c>
      <c r="D46" s="160" t="n">
        <v>157.48</v>
      </c>
      <c r="E46" s="161" t="n">
        <v>44197</v>
      </c>
      <c r="F46" s="160" t="n">
        <v>157.48</v>
      </c>
    </row>
    <row r="47" customFormat="false" ht="15" hidden="false" customHeight="false" outlineLevel="0" collapsed="false">
      <c r="A47" s="45" t="s">
        <v>64</v>
      </c>
      <c r="B47" s="158" t="s">
        <v>545</v>
      </c>
      <c r="C47" s="159" t="s">
        <v>508</v>
      </c>
      <c r="D47" s="160" t="n">
        <v>97.47</v>
      </c>
      <c r="E47" s="161" t="n">
        <v>44197</v>
      </c>
      <c r="F47" s="160" t="n">
        <v>97.47</v>
      </c>
    </row>
    <row r="48" customFormat="false" ht="15" hidden="false" customHeight="false" outlineLevel="0" collapsed="false">
      <c r="A48" s="45" t="s">
        <v>59</v>
      </c>
      <c r="B48" s="158" t="s">
        <v>545</v>
      </c>
      <c r="C48" s="159" t="s">
        <v>548</v>
      </c>
      <c r="D48" s="160" t="n">
        <v>195</v>
      </c>
      <c r="E48" s="161" t="n">
        <v>44197</v>
      </c>
      <c r="F48" s="160" t="n">
        <v>195</v>
      </c>
    </row>
    <row r="49" customFormat="false" ht="15" hidden="false" customHeight="false" outlineLevel="0" collapsed="false">
      <c r="A49" s="45" t="s">
        <v>124</v>
      </c>
      <c r="B49" s="158" t="s">
        <v>545</v>
      </c>
      <c r="C49" s="159" t="s">
        <v>543</v>
      </c>
      <c r="D49" s="160" t="n">
        <v>13</v>
      </c>
      <c r="E49" s="161" t="n">
        <v>44197</v>
      </c>
      <c r="F49" s="160" t="n">
        <v>13</v>
      </c>
    </row>
    <row r="50" customFormat="false" ht="15" hidden="false" customHeight="false" outlineLevel="0" collapsed="false">
      <c r="A50" s="45" t="s">
        <v>529</v>
      </c>
      <c r="B50" s="158" t="s">
        <v>545</v>
      </c>
      <c r="C50" s="159" t="s">
        <v>549</v>
      </c>
      <c r="D50" s="160" t="n">
        <v>27.9</v>
      </c>
      <c r="E50" s="161" t="n">
        <v>44197</v>
      </c>
      <c r="F50" s="160" t="n">
        <v>27.9</v>
      </c>
    </row>
    <row r="51" customFormat="false" ht="15" hidden="false" customHeight="false" outlineLevel="0" collapsed="false">
      <c r="A51" s="45" t="s">
        <v>59</v>
      </c>
      <c r="B51" s="158" t="s">
        <v>545</v>
      </c>
      <c r="C51" s="159" t="s">
        <v>550</v>
      </c>
      <c r="D51" s="160" t="n">
        <v>163.28</v>
      </c>
      <c r="E51" s="161" t="n">
        <v>44197</v>
      </c>
      <c r="F51" s="160" t="n">
        <v>163.28</v>
      </c>
    </row>
    <row r="52" customFormat="false" ht="15" hidden="false" customHeight="false" outlineLevel="0" collapsed="false">
      <c r="A52" s="45" t="s">
        <v>59</v>
      </c>
      <c r="B52" s="158" t="s">
        <v>545</v>
      </c>
      <c r="C52" s="159" t="s">
        <v>551</v>
      </c>
      <c r="D52" s="160" t="n">
        <v>94.95</v>
      </c>
      <c r="E52" s="161" t="n">
        <v>44197</v>
      </c>
      <c r="F52" s="160" t="n">
        <v>94.95</v>
      </c>
    </row>
    <row r="53" customFormat="false" ht="15" hidden="false" customHeight="false" outlineLevel="0" collapsed="false">
      <c r="A53" s="45" t="s">
        <v>59</v>
      </c>
      <c r="B53" s="158" t="s">
        <v>545</v>
      </c>
      <c r="C53" s="159" t="s">
        <v>552</v>
      </c>
      <c r="D53" s="160" t="n">
        <v>176.65</v>
      </c>
      <c r="E53" s="161" t="n">
        <v>44197</v>
      </c>
      <c r="F53" s="160" t="n">
        <v>176.65</v>
      </c>
    </row>
    <row r="54" customFormat="false" ht="15" hidden="false" customHeight="false" outlineLevel="0" collapsed="false">
      <c r="A54" s="45" t="s">
        <v>529</v>
      </c>
      <c r="B54" s="158" t="s">
        <v>553</v>
      </c>
      <c r="C54" s="159" t="s">
        <v>554</v>
      </c>
      <c r="D54" s="160" t="n">
        <v>299</v>
      </c>
      <c r="E54" s="161" t="n">
        <v>44197</v>
      </c>
      <c r="F54" s="160" t="n">
        <v>299</v>
      </c>
    </row>
    <row r="55" customFormat="false" ht="15" hidden="false" customHeight="false" outlineLevel="0" collapsed="false">
      <c r="A55" s="45" t="s">
        <v>64</v>
      </c>
      <c r="B55" s="158" t="s">
        <v>555</v>
      </c>
      <c r="C55" s="159" t="s">
        <v>508</v>
      </c>
      <c r="D55" s="160" t="n">
        <v>114.14</v>
      </c>
      <c r="E55" s="161" t="n">
        <v>44197</v>
      </c>
      <c r="F55" s="160" t="n">
        <v>114.14</v>
      </c>
    </row>
    <row r="56" customFormat="false" ht="15" hidden="false" customHeight="false" outlineLevel="0" collapsed="false">
      <c r="A56" s="45" t="s">
        <v>64</v>
      </c>
      <c r="B56" s="158" t="s">
        <v>555</v>
      </c>
      <c r="C56" s="159" t="s">
        <v>508</v>
      </c>
      <c r="D56" s="160" t="n">
        <v>62.68</v>
      </c>
      <c r="E56" s="161" t="n">
        <v>44197</v>
      </c>
      <c r="F56" s="160" t="n">
        <v>62.68</v>
      </c>
    </row>
    <row r="57" customFormat="false" ht="15" hidden="false" customHeight="false" outlineLevel="0" collapsed="false">
      <c r="A57" s="45" t="s">
        <v>509</v>
      </c>
      <c r="B57" s="158" t="s">
        <v>555</v>
      </c>
      <c r="C57" s="159" t="s">
        <v>556</v>
      </c>
      <c r="D57" s="160" t="n">
        <v>89.89</v>
      </c>
      <c r="E57" s="161" t="n">
        <v>44197</v>
      </c>
      <c r="F57" s="160" t="n">
        <v>89.89</v>
      </c>
    </row>
    <row r="58" customFormat="false" ht="15" hidden="false" customHeight="false" outlineLevel="0" collapsed="false">
      <c r="A58" s="45" t="s">
        <v>62</v>
      </c>
      <c r="B58" s="158" t="s">
        <v>557</v>
      </c>
      <c r="C58" s="159" t="s">
        <v>558</v>
      </c>
      <c r="D58" s="160" t="n">
        <v>16.34</v>
      </c>
      <c r="E58" s="161" t="n">
        <v>44197</v>
      </c>
      <c r="F58" s="160" t="n">
        <v>16.34</v>
      </c>
    </row>
    <row r="59" customFormat="false" ht="15" hidden="false" customHeight="false" outlineLevel="0" collapsed="false">
      <c r="A59" s="45" t="s">
        <v>64</v>
      </c>
      <c r="B59" s="158" t="s">
        <v>557</v>
      </c>
      <c r="C59" s="159" t="s">
        <v>508</v>
      </c>
      <c r="D59" s="160" t="n">
        <v>92.27</v>
      </c>
      <c r="E59" s="161" t="n">
        <v>44197</v>
      </c>
      <c r="F59" s="160" t="n">
        <v>92.27</v>
      </c>
    </row>
    <row r="60" customFormat="false" ht="15" hidden="false" customHeight="false" outlineLevel="0" collapsed="false">
      <c r="A60" s="45" t="s">
        <v>59</v>
      </c>
      <c r="B60" s="158" t="s">
        <v>557</v>
      </c>
      <c r="C60" s="159" t="s">
        <v>559</v>
      </c>
      <c r="D60" s="160" t="n">
        <v>5</v>
      </c>
      <c r="E60" s="161" t="n">
        <v>44197</v>
      </c>
      <c r="F60" s="160" t="n">
        <v>5</v>
      </c>
    </row>
    <row r="61" customFormat="false" ht="15" hidden="false" customHeight="false" outlineLevel="0" collapsed="false">
      <c r="A61" s="45" t="s">
        <v>57</v>
      </c>
      <c r="B61" s="158" t="s">
        <v>557</v>
      </c>
      <c r="C61" s="159" t="s">
        <v>515</v>
      </c>
      <c r="D61" s="160" t="n">
        <v>39.7</v>
      </c>
      <c r="E61" s="161" t="n">
        <v>44197</v>
      </c>
      <c r="F61" s="160" t="n">
        <v>39.7</v>
      </c>
    </row>
    <row r="62" customFormat="false" ht="15" hidden="false" customHeight="false" outlineLevel="0" collapsed="false">
      <c r="A62" s="45" t="s">
        <v>59</v>
      </c>
      <c r="B62" s="158" t="s">
        <v>557</v>
      </c>
      <c r="C62" s="159" t="s">
        <v>560</v>
      </c>
      <c r="D62" s="160" t="n">
        <v>10</v>
      </c>
      <c r="E62" s="161" t="n">
        <v>44197</v>
      </c>
      <c r="F62" s="160" t="n">
        <v>10</v>
      </c>
    </row>
    <row r="63" customFormat="false" ht="15" hidden="false" customHeight="false" outlineLevel="0" collapsed="false">
      <c r="A63" s="45" t="s">
        <v>64</v>
      </c>
      <c r="B63" s="158" t="s">
        <v>561</v>
      </c>
      <c r="C63" s="159" t="s">
        <v>562</v>
      </c>
      <c r="D63" s="160" t="n">
        <v>12.4</v>
      </c>
      <c r="E63" s="161" t="n">
        <v>44197</v>
      </c>
      <c r="F63" s="160" t="n">
        <v>12.4</v>
      </c>
    </row>
    <row r="64" customFormat="false" ht="15" hidden="false" customHeight="false" outlineLevel="0" collapsed="false">
      <c r="A64" s="45" t="s">
        <v>59</v>
      </c>
      <c r="B64" s="158" t="s">
        <v>561</v>
      </c>
      <c r="C64" s="159" t="s">
        <v>563</v>
      </c>
      <c r="D64" s="160" t="n">
        <v>49.99</v>
      </c>
      <c r="E64" s="161" t="n">
        <v>44197</v>
      </c>
      <c r="F64" s="160" t="n">
        <v>49.99</v>
      </c>
    </row>
    <row r="65" customFormat="false" ht="15" hidden="false" customHeight="false" outlineLevel="0" collapsed="false">
      <c r="A65" s="45" t="s">
        <v>64</v>
      </c>
      <c r="B65" s="158" t="s">
        <v>561</v>
      </c>
      <c r="C65" s="159" t="s">
        <v>564</v>
      </c>
      <c r="D65" s="160" t="n">
        <v>129.33</v>
      </c>
      <c r="E65" s="161" t="n">
        <v>44197</v>
      </c>
      <c r="F65" s="160" t="n">
        <v>129.33</v>
      </c>
    </row>
    <row r="66" customFormat="false" ht="15" hidden="false" customHeight="false" outlineLevel="0" collapsed="false">
      <c r="A66" s="45" t="s">
        <v>529</v>
      </c>
      <c r="B66" s="158" t="s">
        <v>565</v>
      </c>
      <c r="C66" s="159" t="s">
        <v>566</v>
      </c>
      <c r="D66" s="160" t="n">
        <v>9.9</v>
      </c>
      <c r="E66" s="161" t="n">
        <v>44197</v>
      </c>
      <c r="F66" s="160" t="n">
        <v>9.9</v>
      </c>
    </row>
    <row r="67" customFormat="false" ht="15" hidden="false" customHeight="false" outlineLevel="0" collapsed="false">
      <c r="A67" s="45" t="s">
        <v>509</v>
      </c>
      <c r="B67" s="158" t="s">
        <v>51</v>
      </c>
      <c r="C67" s="159" t="s">
        <v>567</v>
      </c>
      <c r="D67" s="160" t="n">
        <v>188.37</v>
      </c>
      <c r="E67" s="161" t="n">
        <v>44197</v>
      </c>
      <c r="F67" s="160" t="n">
        <v>188.37</v>
      </c>
    </row>
    <row r="68" customFormat="false" ht="15" hidden="false" customHeight="false" outlineLevel="0" collapsed="false">
      <c r="A68" s="45" t="s">
        <v>64</v>
      </c>
      <c r="B68" s="158" t="s">
        <v>51</v>
      </c>
      <c r="C68" s="159" t="s">
        <v>537</v>
      </c>
      <c r="D68" s="160" t="n">
        <v>56.62</v>
      </c>
      <c r="E68" s="161" t="n">
        <v>44197</v>
      </c>
      <c r="F68" s="160" t="n">
        <v>56.62</v>
      </c>
    </row>
    <row r="69" customFormat="false" ht="15" hidden="false" customHeight="false" outlineLevel="0" collapsed="false">
      <c r="A69" s="45" t="s">
        <v>64</v>
      </c>
      <c r="B69" s="158" t="s">
        <v>51</v>
      </c>
      <c r="C69" s="159" t="s">
        <v>568</v>
      </c>
      <c r="D69" s="160" t="n">
        <v>170.37</v>
      </c>
      <c r="E69" s="161" t="n">
        <v>44197</v>
      </c>
      <c r="F69" s="160" t="n">
        <v>170.37</v>
      </c>
    </row>
    <row r="70" customFormat="false" ht="15" hidden="false" customHeight="false" outlineLevel="0" collapsed="false">
      <c r="A70" s="45" t="s">
        <v>529</v>
      </c>
      <c r="B70" s="158" t="s">
        <v>569</v>
      </c>
      <c r="C70" s="159" t="s">
        <v>570</v>
      </c>
      <c r="D70" s="160" t="n">
        <v>6.99</v>
      </c>
      <c r="E70" s="161" t="n">
        <v>44197</v>
      </c>
      <c r="F70" s="160" t="n">
        <v>6.99</v>
      </c>
    </row>
    <row r="71" customFormat="false" ht="15" hidden="false" customHeight="false" outlineLevel="0" collapsed="false">
      <c r="A71" s="45" t="s">
        <v>529</v>
      </c>
      <c r="B71" s="158" t="s">
        <v>571</v>
      </c>
      <c r="C71" s="159" t="s">
        <v>572</v>
      </c>
      <c r="D71" s="160" t="n">
        <v>3.9</v>
      </c>
      <c r="E71" s="161" t="n">
        <v>44197</v>
      </c>
      <c r="F71" s="160" t="n">
        <v>3.9</v>
      </c>
    </row>
    <row r="72" customFormat="false" ht="15" hidden="false" customHeight="false" outlineLevel="0" collapsed="false">
      <c r="A72" s="45" t="s">
        <v>64</v>
      </c>
      <c r="B72" s="158" t="s">
        <v>571</v>
      </c>
      <c r="C72" s="159" t="s">
        <v>508</v>
      </c>
      <c r="D72" s="160" t="n">
        <v>145.74</v>
      </c>
      <c r="E72" s="161" t="n">
        <v>44197</v>
      </c>
      <c r="F72" s="160" t="n">
        <v>145.74</v>
      </c>
    </row>
    <row r="73" customFormat="false" ht="15" hidden="false" customHeight="false" outlineLevel="0" collapsed="false">
      <c r="A73" s="45" t="s">
        <v>64</v>
      </c>
      <c r="B73" s="158" t="s">
        <v>573</v>
      </c>
      <c r="C73" s="159" t="s">
        <v>508</v>
      </c>
      <c r="D73" s="160" t="n">
        <v>131.33</v>
      </c>
      <c r="E73" s="161" t="n">
        <v>44197</v>
      </c>
      <c r="F73" s="160" t="n">
        <v>131.33</v>
      </c>
    </row>
    <row r="74" customFormat="false" ht="15" hidden="false" customHeight="false" outlineLevel="0" collapsed="false">
      <c r="A74" s="45" t="s">
        <v>64</v>
      </c>
      <c r="B74" s="158" t="s">
        <v>70</v>
      </c>
      <c r="C74" s="159" t="s">
        <v>508</v>
      </c>
      <c r="D74" s="160" t="n">
        <v>160.23</v>
      </c>
      <c r="E74" s="161" t="n">
        <v>44197</v>
      </c>
      <c r="F74" s="160" t="n">
        <v>160.23</v>
      </c>
    </row>
    <row r="75" customFormat="false" ht="15" hidden="false" customHeight="false" outlineLevel="0" collapsed="false">
      <c r="A75" s="45" t="s">
        <v>64</v>
      </c>
      <c r="B75" s="158" t="s">
        <v>70</v>
      </c>
      <c r="C75" s="159" t="s">
        <v>508</v>
      </c>
      <c r="D75" s="160" t="n">
        <v>52.48</v>
      </c>
      <c r="E75" s="161" t="n">
        <v>44197</v>
      </c>
      <c r="F75" s="160" t="n">
        <v>52.48</v>
      </c>
    </row>
    <row r="76" customFormat="false" ht="15" hidden="false" customHeight="false" outlineLevel="0" collapsed="false">
      <c r="A76" s="45" t="s">
        <v>64</v>
      </c>
      <c r="B76" s="158" t="s">
        <v>78</v>
      </c>
      <c r="C76" s="159" t="s">
        <v>508</v>
      </c>
      <c r="D76" s="160" t="n">
        <v>93.55</v>
      </c>
      <c r="E76" s="161" t="n">
        <v>44197</v>
      </c>
      <c r="F76" s="160" t="n">
        <v>93.55</v>
      </c>
    </row>
    <row r="77" customFormat="false" ht="15" hidden="false" customHeight="false" outlineLevel="0" collapsed="false">
      <c r="A77" s="45" t="s">
        <v>57</v>
      </c>
      <c r="B77" s="158" t="s">
        <v>78</v>
      </c>
      <c r="C77" s="159" t="s">
        <v>574</v>
      </c>
      <c r="D77" s="160" t="n">
        <v>60.89</v>
      </c>
      <c r="E77" s="161" t="n">
        <v>44197</v>
      </c>
      <c r="F77" s="160" t="n">
        <v>60.89</v>
      </c>
    </row>
    <row r="78" customFormat="false" ht="15" hidden="false" customHeight="false" outlineLevel="0" collapsed="false">
      <c r="A78" s="45" t="s">
        <v>529</v>
      </c>
      <c r="B78" s="158" t="s">
        <v>575</v>
      </c>
      <c r="C78" s="159" t="s">
        <v>576</v>
      </c>
      <c r="D78" s="160" t="n">
        <v>501.36</v>
      </c>
      <c r="E78" s="161" t="n">
        <v>44197</v>
      </c>
      <c r="F78" s="160" t="n">
        <v>501.36</v>
      </c>
    </row>
    <row r="79" customFormat="false" ht="15" hidden="false" customHeight="false" outlineLevel="0" collapsed="false">
      <c r="A79" s="45" t="s">
        <v>529</v>
      </c>
      <c r="B79" s="158" t="s">
        <v>577</v>
      </c>
      <c r="C79" s="159" t="s">
        <v>578</v>
      </c>
      <c r="D79" s="160" t="n">
        <v>19.99</v>
      </c>
      <c r="E79" s="161" t="n">
        <v>44197</v>
      </c>
      <c r="F79" s="160" t="n">
        <v>19.99</v>
      </c>
    </row>
    <row r="80" customFormat="false" ht="15" hidden="false" customHeight="false" outlineLevel="0" collapsed="false">
      <c r="A80" s="45" t="s">
        <v>579</v>
      </c>
      <c r="B80" s="158" t="s">
        <v>580</v>
      </c>
      <c r="C80" s="159" t="s">
        <v>581</v>
      </c>
      <c r="D80" s="160" t="n">
        <v>597.42</v>
      </c>
      <c r="E80" s="161" t="n">
        <v>44197</v>
      </c>
      <c r="F80" s="160" t="n">
        <v>597.42</v>
      </c>
    </row>
    <row r="81" customFormat="false" ht="15" hidden="false" customHeight="false" outlineLevel="0" collapsed="false">
      <c r="A81" s="53" t="s">
        <v>529</v>
      </c>
      <c r="B81" s="158" t="s">
        <v>555</v>
      </c>
      <c r="C81" s="159" t="s">
        <v>582</v>
      </c>
      <c r="D81" s="162" t="n">
        <v>87.09</v>
      </c>
      <c r="E81" s="161" t="n">
        <v>44197</v>
      </c>
      <c r="F81" s="162" t="n">
        <v>87.09</v>
      </c>
    </row>
    <row r="82" customFormat="false" ht="15" hidden="false" customHeight="false" outlineLevel="0" collapsed="false">
      <c r="A82" s="139" t="s">
        <v>59</v>
      </c>
      <c r="B82" s="163" t="s">
        <v>497</v>
      </c>
      <c r="C82" s="164" t="s">
        <v>583</v>
      </c>
      <c r="D82" s="165" t="n">
        <v>517.29</v>
      </c>
      <c r="E82" s="93" t="n">
        <v>44228</v>
      </c>
      <c r="F82" s="165" t="n">
        <v>517.29</v>
      </c>
    </row>
    <row r="83" customFormat="false" ht="15" hidden="false" customHeight="false" outlineLevel="0" collapsed="false">
      <c r="A83" s="139" t="s">
        <v>59</v>
      </c>
      <c r="B83" s="163" t="s">
        <v>542</v>
      </c>
      <c r="C83" s="164" t="s">
        <v>584</v>
      </c>
      <c r="D83" s="165" t="n">
        <v>98.48</v>
      </c>
      <c r="E83" s="93" t="n">
        <v>44228</v>
      </c>
      <c r="F83" s="165" t="n">
        <v>98.48</v>
      </c>
    </row>
    <row r="84" customFormat="false" ht="15" hidden="false" customHeight="false" outlineLevel="0" collapsed="false">
      <c r="A84" s="139" t="s">
        <v>59</v>
      </c>
      <c r="B84" s="163" t="s">
        <v>542</v>
      </c>
      <c r="C84" s="164" t="s">
        <v>585</v>
      </c>
      <c r="D84" s="165" t="n">
        <v>-0.04</v>
      </c>
      <c r="E84" s="93" t="n">
        <v>44228</v>
      </c>
      <c r="F84" s="165" t="n">
        <v>-0.04</v>
      </c>
    </row>
    <row r="85" customFormat="false" ht="15" hidden="false" customHeight="false" outlineLevel="0" collapsed="false">
      <c r="A85" s="139" t="s">
        <v>59</v>
      </c>
      <c r="B85" s="163" t="s">
        <v>545</v>
      </c>
      <c r="C85" s="164" t="s">
        <v>586</v>
      </c>
      <c r="D85" s="165" t="n">
        <v>163.28</v>
      </c>
      <c r="E85" s="93" t="n">
        <v>44228</v>
      </c>
      <c r="F85" s="165" t="n">
        <v>163.28</v>
      </c>
    </row>
    <row r="86" customFormat="false" ht="15" hidden="false" customHeight="false" outlineLevel="0" collapsed="false">
      <c r="A86" s="139" t="s">
        <v>59</v>
      </c>
      <c r="B86" s="163" t="s">
        <v>545</v>
      </c>
      <c r="C86" s="164" t="s">
        <v>587</v>
      </c>
      <c r="D86" s="165" t="n">
        <v>94.95</v>
      </c>
      <c r="E86" s="93" t="n">
        <v>44228</v>
      </c>
      <c r="F86" s="165" t="n">
        <v>94.95</v>
      </c>
      <c r="G86" s="166"/>
      <c r="H86" s="167"/>
      <c r="I86" s="96"/>
    </row>
    <row r="87" customFormat="false" ht="15" hidden="false" customHeight="false" outlineLevel="0" collapsed="false">
      <c r="A87" s="139" t="s">
        <v>59</v>
      </c>
      <c r="B87" s="163" t="s">
        <v>545</v>
      </c>
      <c r="C87" s="164" t="s">
        <v>588</v>
      </c>
      <c r="D87" s="165" t="n">
        <v>176.65</v>
      </c>
      <c r="E87" s="93" t="n">
        <v>44228</v>
      </c>
      <c r="F87" s="165" t="n">
        <v>176.65</v>
      </c>
      <c r="G87" s="166"/>
      <c r="H87" s="167"/>
      <c r="I87" s="96"/>
    </row>
    <row r="88" customFormat="false" ht="15" hidden="false" customHeight="false" outlineLevel="0" collapsed="false">
      <c r="A88" s="139" t="s">
        <v>59</v>
      </c>
      <c r="B88" s="163" t="s">
        <v>545</v>
      </c>
      <c r="C88" s="164" t="s">
        <v>589</v>
      </c>
      <c r="D88" s="165" t="n">
        <v>-0.04</v>
      </c>
      <c r="E88" s="93" t="n">
        <v>44228</v>
      </c>
      <c r="F88" s="165" t="n">
        <v>-0.04</v>
      </c>
      <c r="G88" s="166"/>
      <c r="H88" s="167"/>
      <c r="I88" s="96"/>
    </row>
    <row r="89" customFormat="false" ht="15" hidden="false" customHeight="false" outlineLevel="0" collapsed="false">
      <c r="A89" s="139" t="s">
        <v>59</v>
      </c>
      <c r="B89" s="163" t="s">
        <v>545</v>
      </c>
      <c r="C89" s="164" t="s">
        <v>590</v>
      </c>
      <c r="D89" s="165" t="n">
        <v>-0.04</v>
      </c>
      <c r="E89" s="93" t="n">
        <v>44228</v>
      </c>
      <c r="F89" s="165" t="n">
        <v>-0.04</v>
      </c>
      <c r="G89" s="166"/>
      <c r="H89" s="167"/>
      <c r="I89" s="96"/>
    </row>
    <row r="90" customFormat="false" ht="15" hidden="false" customHeight="false" outlineLevel="0" collapsed="false">
      <c r="A90" s="139" t="s">
        <v>64</v>
      </c>
      <c r="B90" s="163" t="s">
        <v>561</v>
      </c>
      <c r="C90" s="164" t="s">
        <v>591</v>
      </c>
      <c r="D90" s="165" t="n">
        <v>129.33</v>
      </c>
      <c r="E90" s="93" t="n">
        <v>44228</v>
      </c>
      <c r="F90" s="165" t="n">
        <v>129.33</v>
      </c>
      <c r="G90" s="166"/>
      <c r="H90" s="167"/>
      <c r="I90" s="96"/>
    </row>
    <row r="91" customFormat="false" ht="15" hidden="false" customHeight="false" outlineLevel="0" collapsed="false">
      <c r="A91" s="139" t="s">
        <v>64</v>
      </c>
      <c r="B91" s="163" t="s">
        <v>51</v>
      </c>
      <c r="C91" s="164" t="s">
        <v>592</v>
      </c>
      <c r="D91" s="165" t="n">
        <v>170.37</v>
      </c>
      <c r="E91" s="93" t="n">
        <v>44228</v>
      </c>
      <c r="F91" s="165" t="n">
        <v>170.37</v>
      </c>
      <c r="G91" s="166"/>
      <c r="H91" s="167"/>
      <c r="I91" s="96"/>
    </row>
    <row r="92" customFormat="false" ht="15" hidden="false" customHeight="false" outlineLevel="0" collapsed="false">
      <c r="A92" s="139" t="s">
        <v>64</v>
      </c>
      <c r="B92" s="163" t="s">
        <v>593</v>
      </c>
      <c r="C92" s="164" t="s">
        <v>508</v>
      </c>
      <c r="D92" s="165" t="n">
        <v>169.86</v>
      </c>
      <c r="E92" s="93" t="n">
        <v>44228</v>
      </c>
      <c r="F92" s="165" t="n">
        <v>169.86</v>
      </c>
      <c r="G92" s="166"/>
      <c r="H92" s="167"/>
      <c r="I92" s="96"/>
    </row>
    <row r="93" customFormat="false" ht="15" hidden="false" customHeight="false" outlineLevel="0" collapsed="false">
      <c r="A93" s="139" t="s">
        <v>59</v>
      </c>
      <c r="B93" s="163" t="s">
        <v>594</v>
      </c>
      <c r="C93" s="164" t="s">
        <v>595</v>
      </c>
      <c r="D93" s="165" t="n">
        <v>29.9</v>
      </c>
      <c r="E93" s="93" t="n">
        <v>44228</v>
      </c>
      <c r="F93" s="165" t="n">
        <v>29.9</v>
      </c>
      <c r="G93" s="166"/>
      <c r="H93" s="167"/>
      <c r="I93" s="96"/>
    </row>
    <row r="94" customFormat="false" ht="15" hidden="false" customHeight="false" outlineLevel="0" collapsed="false">
      <c r="A94" s="139" t="s">
        <v>57</v>
      </c>
      <c r="B94" s="163" t="s">
        <v>594</v>
      </c>
      <c r="C94" s="164" t="s">
        <v>596</v>
      </c>
      <c r="D94" s="165" t="n">
        <v>24</v>
      </c>
      <c r="E94" s="93" t="n">
        <v>44228</v>
      </c>
      <c r="F94" s="165" t="n">
        <v>24</v>
      </c>
      <c r="G94" s="166"/>
      <c r="H94" s="167"/>
      <c r="I94" s="96"/>
    </row>
    <row r="95" customFormat="false" ht="15" hidden="false" customHeight="false" outlineLevel="0" collapsed="false">
      <c r="A95" s="45" t="s">
        <v>509</v>
      </c>
      <c r="B95" s="163" t="s">
        <v>594</v>
      </c>
      <c r="C95" s="164" t="s">
        <v>597</v>
      </c>
      <c r="D95" s="165" t="n">
        <v>31.99</v>
      </c>
      <c r="E95" s="93" t="n">
        <v>44228</v>
      </c>
      <c r="F95" s="165" t="n">
        <v>31.99</v>
      </c>
      <c r="G95" s="166"/>
      <c r="H95" s="167"/>
      <c r="I95" s="96"/>
    </row>
    <row r="96" customFormat="false" ht="15" hidden="false" customHeight="false" outlineLevel="0" collapsed="false">
      <c r="A96" s="45" t="s">
        <v>509</v>
      </c>
      <c r="B96" s="163" t="s">
        <v>88</v>
      </c>
      <c r="C96" s="164" t="s">
        <v>556</v>
      </c>
      <c r="D96" s="165" t="n">
        <v>203</v>
      </c>
      <c r="E96" s="93" t="n">
        <v>44228</v>
      </c>
      <c r="F96" s="165" t="n">
        <v>203</v>
      </c>
      <c r="G96" s="166"/>
      <c r="H96" s="167"/>
      <c r="I96" s="96"/>
    </row>
    <row r="97" customFormat="false" ht="15" hidden="false" customHeight="false" outlineLevel="0" collapsed="false">
      <c r="A97" s="139" t="s">
        <v>505</v>
      </c>
      <c r="B97" s="163" t="s">
        <v>598</v>
      </c>
      <c r="C97" s="164" t="s">
        <v>512</v>
      </c>
      <c r="D97" s="165" t="n">
        <v>9.9</v>
      </c>
      <c r="E97" s="93" t="n">
        <v>44228</v>
      </c>
      <c r="F97" s="165" t="n">
        <v>9.9</v>
      </c>
      <c r="G97" s="166"/>
      <c r="H97" s="167"/>
      <c r="I97" s="96"/>
    </row>
    <row r="98" customFormat="false" ht="15" hidden="false" customHeight="false" outlineLevel="0" collapsed="false">
      <c r="A98" s="139" t="s">
        <v>505</v>
      </c>
      <c r="B98" s="163" t="s">
        <v>110</v>
      </c>
      <c r="C98" s="164" t="s">
        <v>599</v>
      </c>
      <c r="D98" s="165" t="n">
        <v>79.9</v>
      </c>
      <c r="E98" s="93" t="n">
        <v>44228</v>
      </c>
      <c r="F98" s="165" t="n">
        <v>79.9</v>
      </c>
      <c r="G98" s="166"/>
      <c r="H98" s="167"/>
      <c r="I98" s="96"/>
    </row>
    <row r="99" customFormat="false" ht="15" hidden="false" customHeight="false" outlineLevel="0" collapsed="false">
      <c r="A99" s="139" t="s">
        <v>529</v>
      </c>
      <c r="B99" s="163" t="s">
        <v>115</v>
      </c>
      <c r="C99" s="164" t="s">
        <v>600</v>
      </c>
      <c r="D99" s="165" t="n">
        <v>7.9</v>
      </c>
      <c r="E99" s="93" t="n">
        <v>44228</v>
      </c>
      <c r="F99" s="165" t="n">
        <v>7.9</v>
      </c>
      <c r="G99" s="166"/>
      <c r="H99" s="167"/>
      <c r="I99" s="96"/>
    </row>
    <row r="100" customFormat="false" ht="15" hidden="false" customHeight="false" outlineLevel="0" collapsed="false">
      <c r="A100" s="45" t="s">
        <v>509</v>
      </c>
      <c r="B100" s="163" t="s">
        <v>122</v>
      </c>
      <c r="C100" s="164" t="s">
        <v>556</v>
      </c>
      <c r="D100" s="165" t="n">
        <v>212</v>
      </c>
      <c r="E100" s="93" t="n">
        <v>44228</v>
      </c>
      <c r="F100" s="165" t="n">
        <v>212</v>
      </c>
      <c r="G100" s="166"/>
      <c r="H100" s="167"/>
      <c r="I100" s="96"/>
    </row>
    <row r="101" customFormat="false" ht="15" hidden="false" customHeight="false" outlineLevel="0" collapsed="false">
      <c r="A101" s="139" t="s">
        <v>529</v>
      </c>
      <c r="B101" s="163" t="s">
        <v>137</v>
      </c>
      <c r="C101" s="164" t="s">
        <v>601</v>
      </c>
      <c r="D101" s="165" t="n">
        <v>21.9</v>
      </c>
      <c r="E101" s="93" t="n">
        <v>44228</v>
      </c>
      <c r="F101" s="165" t="n">
        <v>21.9</v>
      </c>
      <c r="G101" s="166"/>
      <c r="H101" s="167"/>
      <c r="I101" s="96"/>
    </row>
    <row r="102" customFormat="false" ht="15" hidden="false" customHeight="false" outlineLevel="0" collapsed="false">
      <c r="A102" s="139" t="s">
        <v>505</v>
      </c>
      <c r="B102" s="163" t="s">
        <v>138</v>
      </c>
      <c r="C102" s="164" t="s">
        <v>512</v>
      </c>
      <c r="D102" s="165" t="n">
        <v>99.9</v>
      </c>
      <c r="E102" s="93" t="n">
        <v>44228</v>
      </c>
      <c r="F102" s="165" t="n">
        <v>99.9</v>
      </c>
      <c r="G102" s="166"/>
      <c r="H102" s="167"/>
      <c r="I102" s="96"/>
    </row>
    <row r="103" customFormat="false" ht="15" hidden="false" customHeight="false" outlineLevel="0" collapsed="false">
      <c r="A103" s="139" t="s">
        <v>529</v>
      </c>
      <c r="B103" s="163" t="s">
        <v>602</v>
      </c>
      <c r="C103" s="164" t="s">
        <v>539</v>
      </c>
      <c r="D103" s="165" t="n">
        <v>45.9</v>
      </c>
      <c r="E103" s="93" t="n">
        <v>44228</v>
      </c>
      <c r="F103" s="165" t="n">
        <v>45.9</v>
      </c>
      <c r="G103" s="166"/>
      <c r="H103" s="167"/>
      <c r="I103" s="96"/>
    </row>
    <row r="104" customFormat="false" ht="15" hidden="false" customHeight="false" outlineLevel="0" collapsed="false">
      <c r="A104" s="139" t="s">
        <v>529</v>
      </c>
      <c r="B104" s="163" t="s">
        <v>603</v>
      </c>
      <c r="C104" s="164" t="s">
        <v>549</v>
      </c>
      <c r="D104" s="165" t="n">
        <v>27.9</v>
      </c>
      <c r="E104" s="93" t="n">
        <v>44228</v>
      </c>
      <c r="F104" s="165" t="n">
        <v>27.9</v>
      </c>
      <c r="G104" s="166"/>
      <c r="H104" s="167"/>
      <c r="I104" s="96"/>
    </row>
    <row r="105" customFormat="false" ht="15" hidden="false" customHeight="false" outlineLevel="0" collapsed="false">
      <c r="A105" s="139" t="s">
        <v>62</v>
      </c>
      <c r="B105" s="163" t="s">
        <v>156</v>
      </c>
      <c r="C105" s="164" t="s">
        <v>604</v>
      </c>
      <c r="D105" s="165" t="n">
        <v>7.5</v>
      </c>
      <c r="E105" s="93" t="n">
        <v>44228</v>
      </c>
      <c r="F105" s="165" t="n">
        <v>7.5</v>
      </c>
      <c r="G105" s="166"/>
      <c r="H105" s="167"/>
      <c r="I105" s="96"/>
    </row>
    <row r="106" customFormat="false" ht="15" hidden="false" customHeight="false" outlineLevel="0" collapsed="false">
      <c r="A106" s="139" t="s">
        <v>505</v>
      </c>
      <c r="B106" s="163" t="s">
        <v>156</v>
      </c>
      <c r="C106" s="164" t="s">
        <v>605</v>
      </c>
      <c r="D106" s="165" t="n">
        <v>20</v>
      </c>
      <c r="E106" s="93" t="n">
        <v>44228</v>
      </c>
      <c r="F106" s="165" t="n">
        <v>20</v>
      </c>
      <c r="G106" s="166"/>
      <c r="H106" s="167"/>
      <c r="I106" s="96"/>
    </row>
    <row r="107" customFormat="false" ht="15" hidden="false" customHeight="false" outlineLevel="0" collapsed="false">
      <c r="A107" s="139" t="s">
        <v>505</v>
      </c>
      <c r="B107" s="163" t="s">
        <v>156</v>
      </c>
      <c r="C107" s="164" t="s">
        <v>606</v>
      </c>
      <c r="D107" s="165" t="n">
        <v>166.5</v>
      </c>
      <c r="E107" s="93" t="n">
        <v>44228</v>
      </c>
      <c r="F107" s="165" t="n">
        <v>166.5</v>
      </c>
      <c r="G107" s="166"/>
      <c r="H107" s="167"/>
      <c r="I107" s="96"/>
    </row>
    <row r="108" customFormat="false" ht="15" hidden="false" customHeight="false" outlineLevel="0" collapsed="false">
      <c r="A108" s="139" t="s">
        <v>59</v>
      </c>
      <c r="B108" s="163" t="s">
        <v>160</v>
      </c>
      <c r="C108" s="164" t="s">
        <v>607</v>
      </c>
      <c r="D108" s="165" t="n">
        <v>221.15</v>
      </c>
      <c r="E108" s="93" t="n">
        <v>44228</v>
      </c>
      <c r="F108" s="165" t="n">
        <v>221.15</v>
      </c>
      <c r="G108" s="166"/>
      <c r="H108" s="167"/>
      <c r="I108" s="96"/>
    </row>
    <row r="109" customFormat="false" ht="15" hidden="false" customHeight="false" outlineLevel="0" collapsed="false">
      <c r="A109" s="139" t="s">
        <v>529</v>
      </c>
      <c r="B109" s="163" t="s">
        <v>156</v>
      </c>
      <c r="C109" s="164" t="s">
        <v>582</v>
      </c>
      <c r="D109" s="168" t="n">
        <v>87.39</v>
      </c>
      <c r="E109" s="93" t="n">
        <v>44228</v>
      </c>
      <c r="F109" s="168" t="n">
        <v>87.39</v>
      </c>
      <c r="G109" s="166"/>
      <c r="H109" s="167"/>
      <c r="I109" s="96"/>
    </row>
    <row r="110" customFormat="false" ht="15" hidden="false" customHeight="false" outlineLevel="0" collapsed="false">
      <c r="A110" s="139" t="s">
        <v>608</v>
      </c>
      <c r="B110" s="163" t="s">
        <v>156</v>
      </c>
      <c r="C110" s="139" t="s">
        <v>608</v>
      </c>
      <c r="D110" s="168" t="n">
        <v>5.6</v>
      </c>
      <c r="E110" s="93" t="n">
        <v>44228</v>
      </c>
      <c r="F110" s="168" t="n">
        <v>5.6</v>
      </c>
      <c r="G110" s="166"/>
      <c r="H110" s="167"/>
      <c r="I110" s="96"/>
    </row>
    <row r="111" customFormat="false" ht="15" hidden="false" customHeight="false" outlineLevel="0" collapsed="false">
      <c r="A111" s="139" t="s">
        <v>529</v>
      </c>
      <c r="B111" s="163" t="s">
        <v>577</v>
      </c>
      <c r="C111" s="164" t="s">
        <v>609</v>
      </c>
      <c r="D111" s="165" t="n">
        <v>19.99</v>
      </c>
      <c r="E111" s="93" t="n">
        <v>44228</v>
      </c>
      <c r="F111" s="165" t="n">
        <v>19.99</v>
      </c>
      <c r="G111" s="166"/>
      <c r="H111" s="167"/>
      <c r="I111" s="96"/>
    </row>
    <row r="112" customFormat="false" ht="15" hidden="false" customHeight="false" outlineLevel="0" collapsed="false">
      <c r="A112" s="139" t="s">
        <v>57</v>
      </c>
      <c r="B112" s="163" t="s">
        <v>610</v>
      </c>
      <c r="C112" s="164" t="s">
        <v>611</v>
      </c>
      <c r="D112" s="165" t="n">
        <v>78.85</v>
      </c>
      <c r="E112" s="93" t="n">
        <v>44228</v>
      </c>
      <c r="F112" s="165" t="n">
        <v>78.85</v>
      </c>
      <c r="G112" s="166"/>
      <c r="H112" s="167"/>
      <c r="I112" s="96"/>
    </row>
    <row r="113" customFormat="false" ht="15" hidden="false" customHeight="false" outlineLevel="0" collapsed="false">
      <c r="A113" s="139" t="s">
        <v>529</v>
      </c>
      <c r="B113" s="163" t="s">
        <v>610</v>
      </c>
      <c r="C113" s="164" t="s">
        <v>566</v>
      </c>
      <c r="D113" s="165" t="n">
        <v>9.9</v>
      </c>
      <c r="E113" s="93" t="n">
        <v>44228</v>
      </c>
      <c r="F113" s="165" t="n">
        <v>9.9</v>
      </c>
      <c r="G113" s="166"/>
      <c r="H113" s="167"/>
      <c r="I113" s="96"/>
    </row>
    <row r="114" customFormat="false" ht="15" hidden="false" customHeight="false" outlineLevel="0" collapsed="false">
      <c r="A114" s="139" t="s">
        <v>59</v>
      </c>
      <c r="B114" s="163" t="s">
        <v>610</v>
      </c>
      <c r="C114" s="164" t="s">
        <v>612</v>
      </c>
      <c r="D114" s="165" t="n">
        <v>141.79</v>
      </c>
      <c r="E114" s="93" t="n">
        <v>44228</v>
      </c>
      <c r="F114" s="165" t="n">
        <v>141.79</v>
      </c>
      <c r="G114" s="166"/>
      <c r="H114" s="167"/>
      <c r="I114" s="96"/>
    </row>
    <row r="115" customFormat="false" ht="15" hidden="false" customHeight="false" outlineLevel="0" collapsed="false">
      <c r="A115" s="139" t="s">
        <v>529</v>
      </c>
      <c r="B115" s="163" t="s">
        <v>613</v>
      </c>
      <c r="C115" s="164" t="s">
        <v>614</v>
      </c>
      <c r="D115" s="165" t="n">
        <v>6.99</v>
      </c>
      <c r="E115" s="93" t="n">
        <v>44228</v>
      </c>
      <c r="F115" s="165" t="n">
        <v>6.99</v>
      </c>
      <c r="G115" s="166"/>
      <c r="H115" s="167"/>
      <c r="I115" s="96"/>
    </row>
    <row r="116" customFormat="false" ht="15" hidden="false" customHeight="false" outlineLevel="0" collapsed="false">
      <c r="A116" s="139" t="s">
        <v>64</v>
      </c>
      <c r="B116" s="163" t="s">
        <v>181</v>
      </c>
      <c r="C116" s="164" t="s">
        <v>615</v>
      </c>
      <c r="D116" s="165" t="n">
        <v>182.25</v>
      </c>
      <c r="E116" s="93" t="n">
        <v>44228</v>
      </c>
      <c r="F116" s="165" t="n">
        <v>182.25</v>
      </c>
      <c r="G116" s="166"/>
      <c r="H116" s="167"/>
      <c r="I116" s="96"/>
    </row>
    <row r="117" customFormat="false" ht="15" hidden="false" customHeight="false" outlineLevel="0" collapsed="false">
      <c r="A117" s="139" t="s">
        <v>64</v>
      </c>
      <c r="B117" s="163" t="s">
        <v>181</v>
      </c>
      <c r="C117" s="164" t="s">
        <v>508</v>
      </c>
      <c r="D117" s="165" t="n">
        <v>108.79</v>
      </c>
      <c r="E117" s="93" t="n">
        <v>44228</v>
      </c>
      <c r="F117" s="165" t="n">
        <v>108.79</v>
      </c>
      <c r="G117" s="166"/>
      <c r="H117" s="167"/>
      <c r="I117" s="96"/>
    </row>
    <row r="118" customFormat="false" ht="15" hidden="false" customHeight="false" outlineLevel="0" collapsed="false">
      <c r="A118" s="45" t="s">
        <v>509</v>
      </c>
      <c r="B118" s="163" t="s">
        <v>181</v>
      </c>
      <c r="C118" s="164" t="s">
        <v>616</v>
      </c>
      <c r="D118" s="165" t="n">
        <v>225</v>
      </c>
      <c r="E118" s="93" t="n">
        <v>44228</v>
      </c>
      <c r="F118" s="165" t="n">
        <v>225</v>
      </c>
      <c r="G118" s="166"/>
      <c r="H118" s="167"/>
      <c r="I118" s="96"/>
    </row>
    <row r="119" customFormat="false" ht="15" hidden="false" customHeight="false" outlineLevel="0" collapsed="false">
      <c r="A119" s="139" t="s">
        <v>59</v>
      </c>
      <c r="B119" s="163" t="s">
        <v>617</v>
      </c>
      <c r="C119" s="164" t="s">
        <v>618</v>
      </c>
      <c r="D119" s="165" t="n">
        <v>32.88</v>
      </c>
      <c r="E119" s="93" t="n">
        <v>44228</v>
      </c>
      <c r="F119" s="165" t="n">
        <v>32.88</v>
      </c>
      <c r="G119" s="166"/>
      <c r="H119" s="167"/>
      <c r="I119" s="96"/>
    </row>
    <row r="120" customFormat="false" ht="15" hidden="false" customHeight="false" outlineLevel="0" collapsed="false">
      <c r="A120" s="5" t="s">
        <v>59</v>
      </c>
      <c r="B120" s="169" t="s">
        <v>497</v>
      </c>
      <c r="C120" s="170" t="s">
        <v>619</v>
      </c>
      <c r="D120" s="171" t="n">
        <v>517.29</v>
      </c>
      <c r="E120" s="172" t="n">
        <v>44256</v>
      </c>
      <c r="F120" s="171" t="n">
        <v>517.29</v>
      </c>
      <c r="G120" s="166"/>
      <c r="H120" s="167"/>
      <c r="I120" s="96"/>
    </row>
    <row r="121" customFormat="false" ht="15" hidden="false" customHeight="false" outlineLevel="0" collapsed="false">
      <c r="A121" s="5" t="s">
        <v>59</v>
      </c>
      <c r="B121" s="169" t="s">
        <v>542</v>
      </c>
      <c r="C121" s="170" t="s">
        <v>620</v>
      </c>
      <c r="D121" s="171" t="n">
        <v>98.48</v>
      </c>
      <c r="E121" s="172" t="n">
        <v>44256</v>
      </c>
      <c r="F121" s="171" t="n">
        <v>98.48</v>
      </c>
      <c r="G121" s="166"/>
      <c r="H121" s="167"/>
      <c r="I121" s="96"/>
    </row>
    <row r="122" customFormat="false" ht="15" hidden="false" customHeight="false" outlineLevel="0" collapsed="false">
      <c r="A122" s="5" t="s">
        <v>59</v>
      </c>
      <c r="B122" s="169" t="s">
        <v>545</v>
      </c>
      <c r="C122" s="170" t="s">
        <v>621</v>
      </c>
      <c r="D122" s="171" t="n">
        <v>163.28</v>
      </c>
      <c r="E122" s="172" t="n">
        <v>44256</v>
      </c>
      <c r="F122" s="171" t="n">
        <v>163.28</v>
      </c>
      <c r="G122" s="166"/>
      <c r="H122" s="167"/>
      <c r="I122" s="96"/>
    </row>
    <row r="123" customFormat="false" ht="15" hidden="false" customHeight="false" outlineLevel="0" collapsed="false">
      <c r="A123" s="5" t="s">
        <v>59</v>
      </c>
      <c r="B123" s="169" t="s">
        <v>545</v>
      </c>
      <c r="C123" s="170" t="s">
        <v>622</v>
      </c>
      <c r="D123" s="171" t="n">
        <v>176.65</v>
      </c>
      <c r="E123" s="172" t="n">
        <v>44256</v>
      </c>
      <c r="F123" s="171" t="n">
        <v>176.65</v>
      </c>
      <c r="G123" s="166"/>
      <c r="H123" s="167"/>
      <c r="I123" s="96"/>
    </row>
    <row r="124" customFormat="false" ht="15" hidden="false" customHeight="false" outlineLevel="0" collapsed="false">
      <c r="A124" s="5" t="s">
        <v>505</v>
      </c>
      <c r="B124" s="169" t="s">
        <v>110</v>
      </c>
      <c r="C124" s="170" t="s">
        <v>623</v>
      </c>
      <c r="D124" s="171" t="n">
        <v>79.9</v>
      </c>
      <c r="E124" s="172" t="n">
        <v>44256</v>
      </c>
      <c r="F124" s="171" t="n">
        <v>79.9</v>
      </c>
      <c r="G124" s="166"/>
      <c r="H124" s="167"/>
      <c r="I124" s="96"/>
    </row>
    <row r="125" customFormat="false" ht="15" hidden="false" customHeight="false" outlineLevel="0" collapsed="false">
      <c r="A125" s="5" t="s">
        <v>505</v>
      </c>
      <c r="B125" s="169" t="s">
        <v>156</v>
      </c>
      <c r="C125" s="170" t="s">
        <v>624</v>
      </c>
      <c r="D125" s="171" t="n">
        <v>166.5</v>
      </c>
      <c r="E125" s="172" t="n">
        <v>44256</v>
      </c>
      <c r="F125" s="171" t="n">
        <v>166.5</v>
      </c>
      <c r="G125" s="166"/>
      <c r="H125" s="167"/>
      <c r="I125" s="96"/>
    </row>
    <row r="126" customFormat="false" ht="15" hidden="false" customHeight="false" outlineLevel="0" collapsed="false">
      <c r="A126" s="5" t="s">
        <v>59</v>
      </c>
      <c r="B126" s="169" t="s">
        <v>610</v>
      </c>
      <c r="C126" s="170" t="s">
        <v>625</v>
      </c>
      <c r="D126" s="171" t="n">
        <v>141.79</v>
      </c>
      <c r="E126" s="172" t="n">
        <v>44256</v>
      </c>
      <c r="F126" s="171" t="n">
        <v>141.79</v>
      </c>
    </row>
    <row r="127" customFormat="false" ht="15" hidden="false" customHeight="false" outlineLevel="0" collapsed="false">
      <c r="A127" s="5" t="s">
        <v>59</v>
      </c>
      <c r="B127" s="169" t="s">
        <v>617</v>
      </c>
      <c r="C127" s="170" t="s">
        <v>626</v>
      </c>
      <c r="D127" s="171" t="n">
        <v>32.88</v>
      </c>
      <c r="E127" s="172" t="n">
        <v>44256</v>
      </c>
      <c r="F127" s="171" t="n">
        <v>32.88</v>
      </c>
    </row>
    <row r="128" customFormat="false" ht="15" hidden="false" customHeight="false" outlineLevel="0" collapsed="false">
      <c r="A128" s="5" t="s">
        <v>62</v>
      </c>
      <c r="B128" s="169" t="s">
        <v>199</v>
      </c>
      <c r="C128" s="170" t="s">
        <v>627</v>
      </c>
      <c r="D128" s="171" t="n">
        <v>183.81</v>
      </c>
      <c r="E128" s="172" t="n">
        <v>44256</v>
      </c>
      <c r="F128" s="171" t="n">
        <v>183.81</v>
      </c>
    </row>
    <row r="129" customFormat="false" ht="15" hidden="false" customHeight="false" outlineLevel="0" collapsed="false">
      <c r="A129" s="5" t="s">
        <v>148</v>
      </c>
      <c r="B129" s="169" t="s">
        <v>199</v>
      </c>
      <c r="C129" s="170" t="s">
        <v>628</v>
      </c>
      <c r="D129" s="171" t="n">
        <v>43</v>
      </c>
      <c r="E129" s="172" t="n">
        <v>44256</v>
      </c>
      <c r="F129" s="171" t="n">
        <v>43</v>
      </c>
    </row>
    <row r="130" customFormat="false" ht="15" hidden="false" customHeight="false" outlineLevel="0" collapsed="false">
      <c r="A130" s="5" t="s">
        <v>148</v>
      </c>
      <c r="B130" s="169" t="s">
        <v>199</v>
      </c>
      <c r="C130" s="170" t="s">
        <v>628</v>
      </c>
      <c r="D130" s="171" t="n">
        <v>20</v>
      </c>
      <c r="E130" s="172" t="n">
        <v>44256</v>
      </c>
      <c r="F130" s="171" t="n">
        <v>20</v>
      </c>
    </row>
    <row r="131" customFormat="false" ht="15" hidden="false" customHeight="false" outlineLevel="0" collapsed="false">
      <c r="A131" s="5" t="s">
        <v>124</v>
      </c>
      <c r="B131" s="169" t="s">
        <v>199</v>
      </c>
      <c r="C131" s="170" t="s">
        <v>543</v>
      </c>
      <c r="D131" s="171" t="n">
        <v>13</v>
      </c>
      <c r="E131" s="172" t="n">
        <v>44256</v>
      </c>
      <c r="F131" s="171" t="n">
        <v>13</v>
      </c>
    </row>
    <row r="132" customFormat="false" ht="15" hidden="false" customHeight="false" outlineLevel="0" collapsed="false">
      <c r="A132" s="5" t="s">
        <v>529</v>
      </c>
      <c r="B132" s="169" t="s">
        <v>199</v>
      </c>
      <c r="C132" s="170" t="s">
        <v>600</v>
      </c>
      <c r="D132" s="171" t="n">
        <v>9.9</v>
      </c>
      <c r="E132" s="172" t="n">
        <v>44256</v>
      </c>
      <c r="F132" s="171" t="n">
        <v>9.9</v>
      </c>
    </row>
    <row r="133" customFormat="false" ht="15" hidden="false" customHeight="false" outlineLevel="0" collapsed="false">
      <c r="A133" s="5" t="s">
        <v>505</v>
      </c>
      <c r="B133" s="169" t="s">
        <v>201</v>
      </c>
      <c r="C133" s="170" t="s">
        <v>512</v>
      </c>
      <c r="D133" s="171" t="n">
        <v>9.9</v>
      </c>
      <c r="E133" s="172" t="n">
        <v>44256</v>
      </c>
      <c r="F133" s="171" t="n">
        <v>9.9</v>
      </c>
    </row>
    <row r="134" customFormat="false" ht="15" hidden="false" customHeight="false" outlineLevel="0" collapsed="false">
      <c r="A134" s="5" t="s">
        <v>59</v>
      </c>
      <c r="B134" s="169" t="s">
        <v>203</v>
      </c>
      <c r="C134" s="170" t="s">
        <v>502</v>
      </c>
      <c r="D134" s="171" t="n">
        <v>62.99</v>
      </c>
      <c r="E134" s="172" t="n">
        <v>44256</v>
      </c>
      <c r="F134" s="171" t="n">
        <v>62.99</v>
      </c>
    </row>
    <row r="135" customFormat="false" ht="15" hidden="false" customHeight="false" outlineLevel="0" collapsed="false">
      <c r="A135" s="45" t="s">
        <v>509</v>
      </c>
      <c r="B135" s="169" t="s">
        <v>203</v>
      </c>
      <c r="C135" s="170" t="s">
        <v>567</v>
      </c>
      <c r="D135" s="171" t="n">
        <v>93.98</v>
      </c>
      <c r="E135" s="172" t="n">
        <v>44256</v>
      </c>
      <c r="F135" s="171" t="n">
        <v>93.98</v>
      </c>
    </row>
    <row r="136" customFormat="false" ht="15" hidden="false" customHeight="false" outlineLevel="0" collapsed="false">
      <c r="A136" s="5" t="s">
        <v>62</v>
      </c>
      <c r="B136" s="169" t="s">
        <v>629</v>
      </c>
      <c r="C136" s="170" t="s">
        <v>630</v>
      </c>
      <c r="D136" s="171" t="n">
        <v>93.84</v>
      </c>
      <c r="E136" s="172" t="n">
        <v>44256</v>
      </c>
      <c r="F136" s="171" t="n">
        <v>93.84</v>
      </c>
    </row>
    <row r="137" customFormat="false" ht="15" hidden="false" customHeight="false" outlineLevel="0" collapsed="false">
      <c r="A137" s="5" t="s">
        <v>59</v>
      </c>
      <c r="B137" s="169" t="s">
        <v>629</v>
      </c>
      <c r="C137" s="170" t="s">
        <v>544</v>
      </c>
      <c r="D137" s="171" t="n">
        <v>119.8</v>
      </c>
      <c r="E137" s="172" t="n">
        <v>44256</v>
      </c>
      <c r="F137" s="171" t="n">
        <v>119.8</v>
      </c>
    </row>
    <row r="138" customFormat="false" ht="15" hidden="false" customHeight="false" outlineLevel="0" collapsed="false">
      <c r="A138" s="5" t="s">
        <v>59</v>
      </c>
      <c r="B138" s="169" t="s">
        <v>629</v>
      </c>
      <c r="C138" s="170" t="s">
        <v>631</v>
      </c>
      <c r="D138" s="171" t="n">
        <v>51.14</v>
      </c>
      <c r="E138" s="172" t="n">
        <v>44256</v>
      </c>
      <c r="F138" s="171" t="n">
        <v>51.14</v>
      </c>
    </row>
    <row r="139" customFormat="false" ht="15" hidden="false" customHeight="false" outlineLevel="0" collapsed="false">
      <c r="A139" s="45" t="s">
        <v>509</v>
      </c>
      <c r="B139" s="169" t="s">
        <v>632</v>
      </c>
      <c r="C139" s="170" t="s">
        <v>633</v>
      </c>
      <c r="D139" s="171" t="n">
        <v>257</v>
      </c>
      <c r="E139" s="172" t="n">
        <v>44256</v>
      </c>
      <c r="F139" s="171" t="n">
        <v>257</v>
      </c>
    </row>
    <row r="140" customFormat="false" ht="15" hidden="false" customHeight="false" outlineLevel="0" collapsed="false">
      <c r="A140" s="5" t="s">
        <v>62</v>
      </c>
      <c r="B140" s="169" t="s">
        <v>632</v>
      </c>
      <c r="C140" s="170" t="s">
        <v>634</v>
      </c>
      <c r="D140" s="171" t="n">
        <v>36.08</v>
      </c>
      <c r="E140" s="172" t="n">
        <v>44256</v>
      </c>
      <c r="F140" s="171" t="n">
        <v>36.08</v>
      </c>
    </row>
    <row r="141" customFormat="false" ht="15" hidden="false" customHeight="false" outlineLevel="0" collapsed="false">
      <c r="A141" s="5" t="s">
        <v>59</v>
      </c>
      <c r="B141" s="169" t="s">
        <v>632</v>
      </c>
      <c r="C141" s="170" t="s">
        <v>635</v>
      </c>
      <c r="D141" s="171" t="n">
        <v>39.9</v>
      </c>
      <c r="E141" s="172" t="n">
        <v>44256</v>
      </c>
      <c r="F141" s="171" t="n">
        <v>39.9</v>
      </c>
    </row>
    <row r="142" customFormat="false" ht="15" hidden="false" customHeight="false" outlineLevel="0" collapsed="false">
      <c r="A142" s="5" t="s">
        <v>636</v>
      </c>
      <c r="B142" s="169" t="s">
        <v>632</v>
      </c>
      <c r="C142" s="170" t="s">
        <v>637</v>
      </c>
      <c r="D142" s="171" t="n">
        <v>324.83</v>
      </c>
      <c r="E142" s="172" t="n">
        <v>44256</v>
      </c>
      <c r="F142" s="171" t="n">
        <v>324.83</v>
      </c>
    </row>
    <row r="143" customFormat="false" ht="15" hidden="false" customHeight="false" outlineLevel="0" collapsed="false">
      <c r="A143" s="5" t="s">
        <v>529</v>
      </c>
      <c r="B143" s="169" t="s">
        <v>218</v>
      </c>
      <c r="C143" s="170" t="s">
        <v>530</v>
      </c>
      <c r="D143" s="171" t="n">
        <v>21.9</v>
      </c>
      <c r="E143" s="172" t="n">
        <v>44256</v>
      </c>
      <c r="F143" s="171" t="n">
        <v>21.9</v>
      </c>
    </row>
    <row r="144" customFormat="false" ht="15" hidden="false" customHeight="false" outlineLevel="0" collapsed="false">
      <c r="A144" s="5" t="s">
        <v>529</v>
      </c>
      <c r="B144" s="169" t="s">
        <v>156</v>
      </c>
      <c r="C144" s="170" t="s">
        <v>582</v>
      </c>
      <c r="D144" s="173" t="n">
        <v>87.39</v>
      </c>
      <c r="E144" s="172" t="n">
        <v>44256</v>
      </c>
      <c r="F144" s="173" t="n">
        <v>87.39</v>
      </c>
    </row>
    <row r="145" customFormat="false" ht="15" hidden="false" customHeight="false" outlineLevel="0" collapsed="false">
      <c r="A145" s="5" t="s">
        <v>608</v>
      </c>
      <c r="B145" s="169" t="s">
        <v>156</v>
      </c>
      <c r="C145" s="5" t="s">
        <v>608</v>
      </c>
      <c r="D145" s="173" t="n">
        <v>5.6</v>
      </c>
      <c r="E145" s="172" t="n">
        <v>44256</v>
      </c>
      <c r="F145" s="173" t="n">
        <v>5.6</v>
      </c>
    </row>
    <row r="146" customFormat="false" ht="15" hidden="false" customHeight="false" outlineLevel="0" collapsed="false">
      <c r="A146" s="5" t="s">
        <v>529</v>
      </c>
      <c r="B146" s="169" t="s">
        <v>638</v>
      </c>
      <c r="C146" s="170" t="s">
        <v>639</v>
      </c>
      <c r="D146" s="171" t="n">
        <v>29.17</v>
      </c>
      <c r="E146" s="172" t="n">
        <v>44256</v>
      </c>
      <c r="F146" s="171" t="n">
        <v>29.17</v>
      </c>
    </row>
    <row r="147" customFormat="false" ht="15" hidden="false" customHeight="false" outlineLevel="0" collapsed="false">
      <c r="A147" s="5" t="s">
        <v>529</v>
      </c>
      <c r="B147" s="169" t="s">
        <v>638</v>
      </c>
      <c r="C147" s="170" t="s">
        <v>640</v>
      </c>
      <c r="D147" s="171" t="n">
        <v>3.6</v>
      </c>
      <c r="E147" s="172" t="n">
        <v>44256</v>
      </c>
      <c r="F147" s="171" t="n">
        <v>3.6</v>
      </c>
    </row>
    <row r="148" customFormat="false" ht="15" hidden="false" customHeight="false" outlineLevel="0" collapsed="false">
      <c r="A148" s="5" t="s">
        <v>59</v>
      </c>
      <c r="B148" s="169" t="s">
        <v>641</v>
      </c>
      <c r="C148" s="170" t="s">
        <v>642</v>
      </c>
      <c r="D148" s="171" t="n">
        <v>13.2</v>
      </c>
      <c r="E148" s="172" t="n">
        <v>44256</v>
      </c>
      <c r="F148" s="171" t="n">
        <v>13.2</v>
      </c>
    </row>
    <row r="149" customFormat="false" ht="15" hidden="false" customHeight="false" outlineLevel="0" collapsed="false">
      <c r="A149" s="5" t="s">
        <v>59</v>
      </c>
      <c r="B149" s="169" t="s">
        <v>641</v>
      </c>
      <c r="C149" s="170" t="s">
        <v>643</v>
      </c>
      <c r="D149" s="171" t="n">
        <v>11.4</v>
      </c>
      <c r="E149" s="172" t="n">
        <v>44256</v>
      </c>
      <c r="F149" s="171" t="n">
        <v>11.4</v>
      </c>
    </row>
    <row r="150" customFormat="false" ht="15" hidden="false" customHeight="false" outlineLevel="0" collapsed="false">
      <c r="A150" s="5" t="s">
        <v>59</v>
      </c>
      <c r="B150" s="169" t="s">
        <v>641</v>
      </c>
      <c r="C150" s="170" t="s">
        <v>644</v>
      </c>
      <c r="D150" s="171" t="n">
        <v>154.5</v>
      </c>
      <c r="E150" s="172" t="n">
        <v>44256</v>
      </c>
      <c r="F150" s="171" t="n">
        <v>154.5</v>
      </c>
    </row>
    <row r="151" customFormat="false" ht="15" hidden="false" customHeight="false" outlineLevel="0" collapsed="false">
      <c r="A151" s="5" t="s">
        <v>59</v>
      </c>
      <c r="B151" s="169" t="s">
        <v>641</v>
      </c>
      <c r="C151" s="170" t="s">
        <v>645</v>
      </c>
      <c r="D151" s="171" t="n">
        <v>10.6</v>
      </c>
      <c r="E151" s="172" t="n">
        <v>44256</v>
      </c>
      <c r="F151" s="171" t="n">
        <v>10.6</v>
      </c>
    </row>
    <row r="152" customFormat="false" ht="15" hidden="false" customHeight="false" outlineLevel="0" collapsed="false">
      <c r="A152" s="5" t="s">
        <v>59</v>
      </c>
      <c r="B152" s="169" t="s">
        <v>641</v>
      </c>
      <c r="C152" s="170" t="s">
        <v>645</v>
      </c>
      <c r="D152" s="171" t="n">
        <v>86.33</v>
      </c>
      <c r="E152" s="172" t="n">
        <v>44256</v>
      </c>
      <c r="F152" s="171" t="n">
        <v>86.33</v>
      </c>
    </row>
    <row r="153" customFormat="false" ht="15" hidden="false" customHeight="false" outlineLevel="0" collapsed="false">
      <c r="A153" s="5" t="s">
        <v>59</v>
      </c>
      <c r="B153" s="169" t="s">
        <v>641</v>
      </c>
      <c r="C153" s="170" t="s">
        <v>645</v>
      </c>
      <c r="D153" s="171" t="n">
        <v>21.78</v>
      </c>
      <c r="E153" s="172" t="n">
        <v>44256</v>
      </c>
      <c r="F153" s="171" t="n">
        <v>21.78</v>
      </c>
    </row>
    <row r="154" customFormat="false" ht="15" hidden="false" customHeight="false" outlineLevel="0" collapsed="false">
      <c r="A154" s="5" t="s">
        <v>59</v>
      </c>
      <c r="B154" s="169" t="s">
        <v>641</v>
      </c>
      <c r="C154" s="170" t="s">
        <v>645</v>
      </c>
      <c r="D154" s="171" t="n">
        <v>15.88</v>
      </c>
      <c r="E154" s="172" t="n">
        <v>44256</v>
      </c>
      <c r="F154" s="171" t="n">
        <v>15.88</v>
      </c>
    </row>
    <row r="155" customFormat="false" ht="15" hidden="false" customHeight="false" outlineLevel="0" collapsed="false">
      <c r="A155" s="5" t="s">
        <v>59</v>
      </c>
      <c r="B155" s="169" t="s">
        <v>641</v>
      </c>
      <c r="C155" s="170" t="s">
        <v>618</v>
      </c>
      <c r="D155" s="171" t="n">
        <v>73.3</v>
      </c>
      <c r="E155" s="172" t="n">
        <v>44256</v>
      </c>
      <c r="F155" s="171" t="n">
        <v>73.3</v>
      </c>
    </row>
    <row r="156" customFormat="false" ht="15" hidden="false" customHeight="false" outlineLevel="0" collapsed="false">
      <c r="A156" s="5" t="s">
        <v>59</v>
      </c>
      <c r="B156" s="169" t="s">
        <v>641</v>
      </c>
      <c r="C156" s="170" t="s">
        <v>618</v>
      </c>
      <c r="D156" s="171" t="n">
        <v>10.75</v>
      </c>
      <c r="E156" s="172" t="n">
        <v>44256</v>
      </c>
      <c r="F156" s="171" t="n">
        <v>10.75</v>
      </c>
    </row>
    <row r="157" customFormat="false" ht="15" hidden="false" customHeight="false" outlineLevel="0" collapsed="false">
      <c r="A157" s="5" t="s">
        <v>64</v>
      </c>
      <c r="B157" s="169" t="s">
        <v>222</v>
      </c>
      <c r="C157" s="170" t="s">
        <v>508</v>
      </c>
      <c r="D157" s="171" t="n">
        <v>94.07</v>
      </c>
      <c r="E157" s="172" t="n">
        <v>44256</v>
      </c>
      <c r="F157" s="171" t="n">
        <v>94.07</v>
      </c>
    </row>
    <row r="158" customFormat="false" ht="15" hidden="false" customHeight="false" outlineLevel="0" collapsed="false">
      <c r="A158" s="5" t="s">
        <v>62</v>
      </c>
      <c r="B158" s="169" t="s">
        <v>222</v>
      </c>
      <c r="C158" s="170" t="s">
        <v>646</v>
      </c>
      <c r="D158" s="171" t="n">
        <v>4.03</v>
      </c>
      <c r="E158" s="172" t="n">
        <v>44256</v>
      </c>
      <c r="F158" s="171" t="n">
        <v>4.03</v>
      </c>
    </row>
    <row r="159" customFormat="false" ht="15" hidden="false" customHeight="false" outlineLevel="0" collapsed="false">
      <c r="A159" s="5" t="s">
        <v>529</v>
      </c>
      <c r="B159" s="169" t="s">
        <v>222</v>
      </c>
      <c r="C159" s="170" t="s">
        <v>539</v>
      </c>
      <c r="D159" s="171" t="n">
        <v>45.9</v>
      </c>
      <c r="E159" s="172" t="n">
        <v>44256</v>
      </c>
      <c r="F159" s="171" t="n">
        <v>45.9</v>
      </c>
    </row>
    <row r="160" customFormat="false" ht="15" hidden="false" customHeight="false" outlineLevel="0" collapsed="false">
      <c r="A160" s="45" t="s">
        <v>509</v>
      </c>
      <c r="B160" s="169" t="s">
        <v>230</v>
      </c>
      <c r="C160" s="170" t="s">
        <v>647</v>
      </c>
      <c r="D160" s="171" t="n">
        <v>267.09</v>
      </c>
      <c r="E160" s="172" t="n">
        <v>44256</v>
      </c>
      <c r="F160" s="171" t="n">
        <v>267.09</v>
      </c>
    </row>
    <row r="161" customFormat="false" ht="15" hidden="false" customHeight="false" outlineLevel="0" collapsed="false">
      <c r="A161" s="5" t="s">
        <v>59</v>
      </c>
      <c r="B161" s="169" t="s">
        <v>230</v>
      </c>
      <c r="C161" s="170" t="s">
        <v>502</v>
      </c>
      <c r="D161" s="171" t="n">
        <v>-219.9</v>
      </c>
      <c r="E161" s="172" t="n">
        <v>44256</v>
      </c>
      <c r="F161" s="171" t="n">
        <v>-219.9</v>
      </c>
    </row>
    <row r="162" customFormat="false" ht="15" hidden="false" customHeight="false" outlineLevel="0" collapsed="false">
      <c r="A162" s="5" t="s">
        <v>77</v>
      </c>
      <c r="B162" s="169" t="s">
        <v>236</v>
      </c>
      <c r="C162" s="170" t="s">
        <v>648</v>
      </c>
      <c r="D162" s="171" t="n">
        <v>11</v>
      </c>
      <c r="E162" s="172" t="n">
        <v>44256</v>
      </c>
      <c r="F162" s="171" t="n">
        <v>11</v>
      </c>
    </row>
    <row r="163" customFormat="false" ht="15" hidden="false" customHeight="false" outlineLevel="0" collapsed="false">
      <c r="A163" s="5" t="s">
        <v>59</v>
      </c>
      <c r="B163" s="169" t="s">
        <v>236</v>
      </c>
      <c r="C163" s="170" t="s">
        <v>649</v>
      </c>
      <c r="D163" s="171" t="n">
        <v>36</v>
      </c>
      <c r="E163" s="172" t="n">
        <v>44256</v>
      </c>
      <c r="F163" s="171" t="n">
        <v>36</v>
      </c>
    </row>
    <row r="164" customFormat="false" ht="15" hidden="false" customHeight="false" outlineLevel="0" collapsed="false">
      <c r="A164" s="45" t="s">
        <v>509</v>
      </c>
      <c r="B164" s="169" t="s">
        <v>237</v>
      </c>
      <c r="C164" s="170" t="s">
        <v>650</v>
      </c>
      <c r="D164" s="171" t="n">
        <v>6.5</v>
      </c>
      <c r="E164" s="172" t="n">
        <v>44256</v>
      </c>
      <c r="F164" s="171" t="n">
        <v>6.5</v>
      </c>
    </row>
    <row r="165" customFormat="false" ht="15" hidden="false" customHeight="false" outlineLevel="0" collapsed="false">
      <c r="A165" s="5" t="s">
        <v>62</v>
      </c>
      <c r="B165" s="169" t="s">
        <v>237</v>
      </c>
      <c r="C165" s="170" t="s">
        <v>604</v>
      </c>
      <c r="D165" s="171" t="n">
        <v>64.7</v>
      </c>
      <c r="E165" s="172" t="n">
        <v>44256</v>
      </c>
      <c r="F165" s="171" t="n">
        <v>64.7</v>
      </c>
    </row>
    <row r="166" customFormat="false" ht="15" hidden="false" customHeight="false" outlineLevel="0" collapsed="false">
      <c r="A166" s="5" t="s">
        <v>529</v>
      </c>
      <c r="B166" s="169" t="s">
        <v>237</v>
      </c>
      <c r="C166" s="170" t="s">
        <v>549</v>
      </c>
      <c r="D166" s="171" t="n">
        <v>27.9</v>
      </c>
      <c r="E166" s="172" t="n">
        <v>44256</v>
      </c>
      <c r="F166" s="171" t="n">
        <v>27.9</v>
      </c>
    </row>
    <row r="167" customFormat="false" ht="15" hidden="false" customHeight="false" outlineLevel="0" collapsed="false">
      <c r="A167" s="5" t="s">
        <v>529</v>
      </c>
      <c r="B167" s="169" t="s">
        <v>237</v>
      </c>
      <c r="C167" s="170" t="s">
        <v>541</v>
      </c>
      <c r="D167" s="171" t="n">
        <v>6.99</v>
      </c>
      <c r="E167" s="172" t="n">
        <v>44256</v>
      </c>
      <c r="F167" s="171" t="n">
        <v>6.99</v>
      </c>
    </row>
    <row r="168" customFormat="false" ht="15" hidden="false" customHeight="false" outlineLevel="0" collapsed="false">
      <c r="A168" s="5" t="s">
        <v>529</v>
      </c>
      <c r="B168" s="169" t="s">
        <v>238</v>
      </c>
      <c r="C168" s="170" t="s">
        <v>566</v>
      </c>
      <c r="D168" s="171" t="n">
        <v>9.9</v>
      </c>
      <c r="E168" s="172" t="n">
        <v>44256</v>
      </c>
      <c r="F168" s="171" t="n">
        <v>9.9</v>
      </c>
    </row>
    <row r="169" customFormat="false" ht="15" hidden="false" customHeight="false" outlineLevel="0" collapsed="false">
      <c r="A169" s="5" t="s">
        <v>505</v>
      </c>
      <c r="B169" s="169" t="s">
        <v>245</v>
      </c>
      <c r="C169" s="170" t="s">
        <v>512</v>
      </c>
      <c r="D169" s="171" t="n">
        <v>99.9</v>
      </c>
      <c r="E169" s="172" t="n">
        <v>44256</v>
      </c>
      <c r="F169" s="171" t="n">
        <v>99.9</v>
      </c>
    </row>
    <row r="170" customFormat="false" ht="15" hidden="false" customHeight="false" outlineLevel="0" collapsed="false">
      <c r="A170" s="5" t="s">
        <v>62</v>
      </c>
      <c r="B170" s="169" t="s">
        <v>258</v>
      </c>
      <c r="C170" s="170" t="s">
        <v>532</v>
      </c>
      <c r="D170" s="171" t="n">
        <v>121.39</v>
      </c>
      <c r="E170" s="172" t="n">
        <v>44256</v>
      </c>
      <c r="F170" s="171" t="n">
        <v>121.39</v>
      </c>
    </row>
    <row r="171" customFormat="false" ht="15" hidden="false" customHeight="false" outlineLevel="0" collapsed="false">
      <c r="A171" s="5" t="s">
        <v>59</v>
      </c>
      <c r="B171" s="169" t="s">
        <v>577</v>
      </c>
      <c r="C171" s="170" t="s">
        <v>651</v>
      </c>
      <c r="D171" s="171" t="n">
        <v>19.99</v>
      </c>
      <c r="E171" s="172" t="n">
        <v>44256</v>
      </c>
      <c r="F171" s="171" t="n">
        <v>19.99</v>
      </c>
    </row>
    <row r="172" customFormat="false" ht="15" hidden="false" customHeight="false" outlineLevel="0" collapsed="false">
      <c r="A172" s="142" t="s">
        <v>505</v>
      </c>
      <c r="B172" s="174" t="s">
        <v>110</v>
      </c>
      <c r="C172" s="166" t="s">
        <v>652</v>
      </c>
      <c r="D172" s="167" t="n">
        <v>79.9</v>
      </c>
      <c r="E172" s="96" t="n">
        <v>44287</v>
      </c>
      <c r="F172" s="167" t="n">
        <v>79.9</v>
      </c>
    </row>
    <row r="173" customFormat="false" ht="15" hidden="false" customHeight="false" outlineLevel="0" collapsed="false">
      <c r="A173" s="142" t="s">
        <v>505</v>
      </c>
      <c r="B173" s="174" t="s">
        <v>156</v>
      </c>
      <c r="C173" s="166" t="s">
        <v>653</v>
      </c>
      <c r="D173" s="167" t="n">
        <v>166.5</v>
      </c>
      <c r="E173" s="96" t="n">
        <v>44287</v>
      </c>
      <c r="F173" s="167" t="n">
        <v>166.5</v>
      </c>
    </row>
    <row r="174" customFormat="false" ht="15" hidden="false" customHeight="false" outlineLevel="0" collapsed="false">
      <c r="A174" s="142" t="s">
        <v>59</v>
      </c>
      <c r="B174" s="174" t="s">
        <v>610</v>
      </c>
      <c r="C174" s="166" t="s">
        <v>654</v>
      </c>
      <c r="D174" s="167" t="n">
        <v>141.79</v>
      </c>
      <c r="E174" s="96" t="n">
        <v>44287</v>
      </c>
      <c r="F174" s="167" t="n">
        <v>141.79</v>
      </c>
    </row>
    <row r="175" customFormat="false" ht="15" hidden="false" customHeight="false" outlineLevel="0" collapsed="false">
      <c r="A175" s="142" t="s">
        <v>59</v>
      </c>
      <c r="B175" s="174" t="s">
        <v>617</v>
      </c>
      <c r="C175" s="166" t="s">
        <v>655</v>
      </c>
      <c r="D175" s="167" t="n">
        <v>32.88</v>
      </c>
      <c r="E175" s="96" t="n">
        <v>44287</v>
      </c>
      <c r="F175" s="167" t="n">
        <v>32.88</v>
      </c>
    </row>
    <row r="176" customFormat="false" ht="15" hidden="false" customHeight="false" outlineLevel="0" collapsed="false">
      <c r="A176" s="142" t="s">
        <v>59</v>
      </c>
      <c r="B176" s="174" t="s">
        <v>629</v>
      </c>
      <c r="C176" s="166" t="s">
        <v>656</v>
      </c>
      <c r="D176" s="167" t="n">
        <v>-0.06</v>
      </c>
      <c r="E176" s="96" t="n">
        <v>44287</v>
      </c>
      <c r="F176" s="167" t="n">
        <v>-0.06</v>
      </c>
    </row>
    <row r="177" customFormat="false" ht="15" hidden="false" customHeight="false" outlineLevel="0" collapsed="false">
      <c r="A177" s="142" t="s">
        <v>59</v>
      </c>
      <c r="B177" s="174" t="s">
        <v>629</v>
      </c>
      <c r="C177" s="166" t="s">
        <v>584</v>
      </c>
      <c r="D177" s="167" t="n">
        <v>119.8</v>
      </c>
      <c r="E177" s="96" t="n">
        <v>44287</v>
      </c>
      <c r="F177" s="167" t="n">
        <v>119.8</v>
      </c>
    </row>
    <row r="178" customFormat="false" ht="15" hidden="false" customHeight="false" outlineLevel="0" collapsed="false">
      <c r="A178" s="142" t="s">
        <v>59</v>
      </c>
      <c r="B178" s="174" t="s">
        <v>629</v>
      </c>
      <c r="C178" s="166" t="s">
        <v>657</v>
      </c>
      <c r="D178" s="167" t="n">
        <v>51.14</v>
      </c>
      <c r="E178" s="96" t="n">
        <v>44287</v>
      </c>
      <c r="F178" s="167" t="n">
        <v>51.14</v>
      </c>
    </row>
    <row r="179" customFormat="false" ht="15" hidden="false" customHeight="false" outlineLevel="0" collapsed="false">
      <c r="A179" s="142" t="s">
        <v>636</v>
      </c>
      <c r="B179" s="174" t="s">
        <v>632</v>
      </c>
      <c r="C179" s="166" t="s">
        <v>658</v>
      </c>
      <c r="D179" s="167" t="n">
        <v>324.83</v>
      </c>
      <c r="E179" s="96" t="n">
        <v>44287</v>
      </c>
      <c r="F179" s="167" t="n">
        <v>324.83</v>
      </c>
    </row>
    <row r="180" customFormat="false" ht="15" hidden="false" customHeight="false" outlineLevel="0" collapsed="false">
      <c r="A180" s="142" t="s">
        <v>59</v>
      </c>
      <c r="B180" s="174" t="s">
        <v>641</v>
      </c>
      <c r="C180" s="166" t="s">
        <v>659</v>
      </c>
      <c r="D180" s="167" t="n">
        <v>13.2</v>
      </c>
      <c r="E180" s="96" t="n">
        <v>44287</v>
      </c>
      <c r="F180" s="167" t="n">
        <v>13.2</v>
      </c>
    </row>
    <row r="181" customFormat="false" ht="15" hidden="false" customHeight="false" outlineLevel="0" collapsed="false">
      <c r="A181" s="142" t="s">
        <v>59</v>
      </c>
      <c r="B181" s="174" t="s">
        <v>641</v>
      </c>
      <c r="C181" s="166" t="s">
        <v>660</v>
      </c>
      <c r="D181" s="167" t="n">
        <v>11.4</v>
      </c>
      <c r="E181" s="96" t="n">
        <v>44287</v>
      </c>
      <c r="F181" s="167" t="n">
        <v>11.4</v>
      </c>
    </row>
    <row r="182" customFormat="false" ht="15" hidden="false" customHeight="false" outlineLevel="0" collapsed="false">
      <c r="A182" s="0" t="s">
        <v>59</v>
      </c>
      <c r="B182" s="174" t="s">
        <v>641</v>
      </c>
      <c r="C182" s="166" t="s">
        <v>661</v>
      </c>
      <c r="D182" s="167" t="n">
        <v>154.5</v>
      </c>
      <c r="E182" s="96" t="n">
        <v>44287</v>
      </c>
      <c r="F182" s="167" t="n">
        <v>154.5</v>
      </c>
    </row>
    <row r="183" customFormat="false" ht="15" hidden="false" customHeight="false" outlineLevel="0" collapsed="false">
      <c r="A183" s="0" t="s">
        <v>59</v>
      </c>
      <c r="B183" s="174" t="s">
        <v>641</v>
      </c>
      <c r="C183" s="166" t="s">
        <v>662</v>
      </c>
      <c r="D183" s="167" t="n">
        <v>10.6</v>
      </c>
      <c r="E183" s="96" t="n">
        <v>44287</v>
      </c>
      <c r="F183" s="167" t="n">
        <v>10.6</v>
      </c>
    </row>
    <row r="184" customFormat="false" ht="15" hidden="false" customHeight="false" outlineLevel="0" collapsed="false">
      <c r="A184" s="0" t="s">
        <v>59</v>
      </c>
      <c r="B184" s="174" t="s">
        <v>641</v>
      </c>
      <c r="C184" s="166" t="s">
        <v>662</v>
      </c>
      <c r="D184" s="167" t="n">
        <v>86.33</v>
      </c>
      <c r="E184" s="96" t="n">
        <v>44287</v>
      </c>
      <c r="F184" s="167" t="n">
        <v>86.33</v>
      </c>
    </row>
    <row r="185" customFormat="false" ht="15" hidden="false" customHeight="false" outlineLevel="0" collapsed="false">
      <c r="A185" s="0" t="s">
        <v>59</v>
      </c>
      <c r="B185" s="174" t="s">
        <v>641</v>
      </c>
      <c r="C185" s="166" t="s">
        <v>662</v>
      </c>
      <c r="D185" s="167" t="n">
        <v>21.78</v>
      </c>
      <c r="E185" s="96" t="n">
        <v>44287</v>
      </c>
      <c r="F185" s="167" t="n">
        <v>21.78</v>
      </c>
    </row>
    <row r="186" customFormat="false" ht="15" hidden="false" customHeight="false" outlineLevel="0" collapsed="false">
      <c r="A186" s="0" t="s">
        <v>59</v>
      </c>
      <c r="B186" s="174" t="s">
        <v>641</v>
      </c>
      <c r="C186" s="166" t="s">
        <v>662</v>
      </c>
      <c r="D186" s="167" t="n">
        <v>15.88</v>
      </c>
      <c r="E186" s="96" t="n">
        <v>44287</v>
      </c>
      <c r="F186" s="167" t="n">
        <v>15.88</v>
      </c>
    </row>
    <row r="187" customFormat="false" ht="15" hidden="false" customHeight="false" outlineLevel="0" collapsed="false">
      <c r="A187" s="0" t="s">
        <v>59</v>
      </c>
      <c r="B187" s="174" t="s">
        <v>641</v>
      </c>
      <c r="C187" s="166" t="s">
        <v>626</v>
      </c>
      <c r="D187" s="167" t="n">
        <v>73.3</v>
      </c>
      <c r="E187" s="96" t="n">
        <v>44287</v>
      </c>
      <c r="F187" s="167" t="n">
        <v>73.3</v>
      </c>
    </row>
    <row r="188" customFormat="false" ht="15" hidden="false" customHeight="false" outlineLevel="0" collapsed="false">
      <c r="A188" s="0" t="s">
        <v>59</v>
      </c>
      <c r="B188" s="174" t="s">
        <v>641</v>
      </c>
      <c r="C188" s="166" t="s">
        <v>626</v>
      </c>
      <c r="D188" s="167" t="n">
        <v>10.75</v>
      </c>
      <c r="E188" s="96" t="n">
        <v>44287</v>
      </c>
      <c r="F188" s="167" t="n">
        <v>10.75</v>
      </c>
    </row>
    <row r="189" customFormat="false" ht="15" hidden="false" customHeight="false" outlineLevel="0" collapsed="false">
      <c r="A189" s="0" t="s">
        <v>59</v>
      </c>
      <c r="B189" s="174" t="s">
        <v>641</v>
      </c>
      <c r="C189" s="166" t="s">
        <v>663</v>
      </c>
      <c r="D189" s="167" t="n">
        <v>-0.04</v>
      </c>
      <c r="E189" s="96" t="n">
        <v>44287</v>
      </c>
      <c r="F189" s="167" t="n">
        <v>-0.04</v>
      </c>
    </row>
    <row r="190" customFormat="false" ht="15" hidden="false" customHeight="false" outlineLevel="0" collapsed="false">
      <c r="A190" s="0" t="s">
        <v>59</v>
      </c>
      <c r="B190" s="174" t="s">
        <v>641</v>
      </c>
      <c r="C190" s="166" t="s">
        <v>502</v>
      </c>
      <c r="D190" s="167" t="n">
        <v>-0.04</v>
      </c>
      <c r="E190" s="96" t="n">
        <v>44287</v>
      </c>
      <c r="F190" s="167" t="n">
        <v>-0.04</v>
      </c>
    </row>
    <row r="191" customFormat="false" ht="15" hidden="false" customHeight="false" outlineLevel="0" collapsed="false">
      <c r="A191" s="0" t="s">
        <v>59</v>
      </c>
      <c r="B191" s="174" t="s">
        <v>664</v>
      </c>
      <c r="C191" s="166" t="s">
        <v>665</v>
      </c>
      <c r="D191" s="167" t="n">
        <v>64.93</v>
      </c>
      <c r="E191" s="96" t="n">
        <v>44287</v>
      </c>
      <c r="F191" s="167" t="n">
        <v>64.93</v>
      </c>
    </row>
    <row r="192" customFormat="false" ht="15" hidden="false" customHeight="false" outlineLevel="0" collapsed="false">
      <c r="A192" s="0" t="s">
        <v>509</v>
      </c>
      <c r="B192" s="174" t="s">
        <v>666</v>
      </c>
      <c r="C192" s="166" t="s">
        <v>520</v>
      </c>
      <c r="D192" s="167" t="n">
        <v>206.53</v>
      </c>
      <c r="E192" s="96" t="n">
        <v>44287</v>
      </c>
      <c r="F192" s="167" t="n">
        <v>206.53</v>
      </c>
    </row>
    <row r="193" customFormat="false" ht="15" hidden="false" customHeight="false" outlineLevel="0" collapsed="false">
      <c r="A193" s="0" t="s">
        <v>505</v>
      </c>
      <c r="B193" s="174" t="s">
        <v>264</v>
      </c>
      <c r="C193" s="166" t="s">
        <v>512</v>
      </c>
      <c r="D193" s="167" t="n">
        <v>9.9</v>
      </c>
      <c r="E193" s="96" t="n">
        <v>44287</v>
      </c>
      <c r="F193" s="167" t="n">
        <v>9.9</v>
      </c>
    </row>
    <row r="194" customFormat="false" ht="15" hidden="false" customHeight="false" outlineLevel="0" collapsed="false">
      <c r="A194" s="0" t="s">
        <v>529</v>
      </c>
      <c r="B194" s="174" t="s">
        <v>265</v>
      </c>
      <c r="C194" s="166" t="s">
        <v>667</v>
      </c>
      <c r="D194" s="167" t="n">
        <v>37.9</v>
      </c>
      <c r="E194" s="96" t="n">
        <v>44287</v>
      </c>
      <c r="F194" s="167" t="n">
        <v>37.9</v>
      </c>
    </row>
    <row r="195" customFormat="false" ht="15" hidden="false" customHeight="false" outlineLevel="0" collapsed="false">
      <c r="A195" s="0" t="s">
        <v>64</v>
      </c>
      <c r="B195" s="174" t="s">
        <v>668</v>
      </c>
      <c r="C195" s="166" t="s">
        <v>669</v>
      </c>
      <c r="D195" s="167" t="n">
        <v>72.97</v>
      </c>
      <c r="E195" s="96" t="n">
        <v>44287</v>
      </c>
      <c r="F195" s="167" t="n">
        <v>72.97</v>
      </c>
    </row>
    <row r="196" customFormat="false" ht="15" hidden="false" customHeight="false" outlineLevel="0" collapsed="false">
      <c r="A196" s="0" t="s">
        <v>64</v>
      </c>
      <c r="B196" s="174" t="s">
        <v>668</v>
      </c>
      <c r="C196" s="166" t="s">
        <v>670</v>
      </c>
      <c r="D196" s="167" t="n">
        <v>179.79</v>
      </c>
      <c r="E196" s="96" t="n">
        <v>44287</v>
      </c>
      <c r="F196" s="167" t="n">
        <v>179.79</v>
      </c>
    </row>
    <row r="197" customFormat="false" ht="15" hidden="false" customHeight="false" outlineLevel="0" collapsed="false">
      <c r="A197" s="0" t="s">
        <v>57</v>
      </c>
      <c r="B197" s="174" t="s">
        <v>668</v>
      </c>
      <c r="C197" s="166" t="s">
        <v>671</v>
      </c>
      <c r="D197" s="167" t="n">
        <v>52.74</v>
      </c>
      <c r="E197" s="96" t="n">
        <v>44287</v>
      </c>
      <c r="F197" s="167" t="n">
        <v>52.74</v>
      </c>
    </row>
    <row r="198" customFormat="false" ht="15" hidden="false" customHeight="false" outlineLevel="0" collapsed="false">
      <c r="A198" s="0" t="s">
        <v>59</v>
      </c>
      <c r="B198" s="174" t="s">
        <v>272</v>
      </c>
      <c r="C198" s="166" t="s">
        <v>672</v>
      </c>
      <c r="D198" s="167" t="n">
        <v>14.31</v>
      </c>
      <c r="E198" s="96" t="n">
        <v>44287</v>
      </c>
      <c r="F198" s="167" t="n">
        <v>14.31</v>
      </c>
    </row>
    <row r="199" customFormat="false" ht="15" hidden="false" customHeight="false" outlineLevel="0" collapsed="false">
      <c r="A199" s="0" t="s">
        <v>59</v>
      </c>
      <c r="B199" s="174" t="s">
        <v>272</v>
      </c>
      <c r="C199" s="166" t="s">
        <v>673</v>
      </c>
      <c r="D199" s="167" t="n">
        <v>84.91</v>
      </c>
      <c r="E199" s="96" t="n">
        <v>44287</v>
      </c>
      <c r="F199" s="167" t="n">
        <v>84.91</v>
      </c>
    </row>
    <row r="200" customFormat="false" ht="15" hidden="false" customHeight="false" outlineLevel="0" collapsed="false">
      <c r="A200" s="0" t="s">
        <v>529</v>
      </c>
      <c r="B200" s="174" t="s">
        <v>278</v>
      </c>
      <c r="C200" s="166" t="s">
        <v>601</v>
      </c>
      <c r="D200" s="167" t="n">
        <v>21.9</v>
      </c>
      <c r="E200" s="96" t="n">
        <v>44287</v>
      </c>
      <c r="F200" s="167" t="n">
        <v>21.9</v>
      </c>
    </row>
    <row r="201" customFormat="false" ht="15" hidden="false" customHeight="false" outlineLevel="0" collapsed="false">
      <c r="A201" s="0" t="s">
        <v>59</v>
      </c>
      <c r="B201" s="174" t="s">
        <v>278</v>
      </c>
      <c r="C201" s="166" t="s">
        <v>674</v>
      </c>
      <c r="D201" s="167" t="n">
        <v>57.7</v>
      </c>
      <c r="E201" s="96" t="n">
        <v>44287</v>
      </c>
      <c r="F201" s="167" t="n">
        <v>57.7</v>
      </c>
    </row>
    <row r="202" customFormat="false" ht="15" hidden="false" customHeight="false" outlineLevel="0" collapsed="false">
      <c r="A202" s="0" t="s">
        <v>59</v>
      </c>
      <c r="B202" s="174" t="s">
        <v>278</v>
      </c>
      <c r="C202" s="166" t="s">
        <v>675</v>
      </c>
      <c r="D202" s="167" t="n">
        <v>74.94</v>
      </c>
      <c r="E202" s="96" t="n">
        <v>44287</v>
      </c>
      <c r="F202" s="167" t="n">
        <v>74.94</v>
      </c>
    </row>
    <row r="203" customFormat="false" ht="15" hidden="false" customHeight="false" outlineLevel="0" collapsed="false">
      <c r="A203" s="0" t="s">
        <v>64</v>
      </c>
      <c r="B203" s="174" t="s">
        <v>278</v>
      </c>
      <c r="C203" s="166" t="s">
        <v>670</v>
      </c>
      <c r="D203" s="167" t="n">
        <v>110.82</v>
      </c>
      <c r="E203" s="96" t="n">
        <v>44287</v>
      </c>
      <c r="F203" s="167" t="n">
        <v>110.82</v>
      </c>
    </row>
    <row r="204" customFormat="false" ht="15" hidden="false" customHeight="false" outlineLevel="0" collapsed="false">
      <c r="A204" s="0" t="s">
        <v>59</v>
      </c>
      <c r="B204" s="174" t="s">
        <v>278</v>
      </c>
      <c r="C204" s="166" t="s">
        <v>676</v>
      </c>
      <c r="D204" s="167" t="n">
        <v>325</v>
      </c>
      <c r="E204" s="96" t="n">
        <v>44287</v>
      </c>
      <c r="F204" s="167" t="n">
        <v>325</v>
      </c>
    </row>
    <row r="205" customFormat="false" ht="15" hidden="false" customHeight="false" outlineLevel="0" collapsed="false">
      <c r="A205" s="0" t="s">
        <v>62</v>
      </c>
      <c r="B205" s="174" t="s">
        <v>677</v>
      </c>
      <c r="C205" s="166" t="s">
        <v>532</v>
      </c>
      <c r="D205" s="167" t="n">
        <v>69.89</v>
      </c>
      <c r="E205" s="96" t="n">
        <v>44287</v>
      </c>
      <c r="F205" s="167" t="n">
        <v>69.89</v>
      </c>
    </row>
    <row r="206" customFormat="false" ht="15" hidden="false" customHeight="false" outlineLevel="0" collapsed="false">
      <c r="A206" s="0" t="s">
        <v>529</v>
      </c>
      <c r="B206" s="174" t="s">
        <v>677</v>
      </c>
      <c r="C206" s="166" t="s">
        <v>541</v>
      </c>
      <c r="D206" s="167" t="n">
        <v>49.9</v>
      </c>
      <c r="E206" s="96" t="n">
        <v>44287</v>
      </c>
      <c r="F206" s="167" t="n">
        <v>49.9</v>
      </c>
    </row>
    <row r="207" customFormat="false" ht="15" hidden="false" customHeight="false" outlineLevel="0" collapsed="false">
      <c r="A207" s="0" t="s">
        <v>529</v>
      </c>
      <c r="B207" s="174" t="s">
        <v>678</v>
      </c>
      <c r="C207" s="166" t="s">
        <v>539</v>
      </c>
      <c r="D207" s="167" t="n">
        <v>45.9</v>
      </c>
      <c r="E207" s="96" t="n">
        <v>44287</v>
      </c>
      <c r="F207" s="167" t="n">
        <v>45.9</v>
      </c>
    </row>
    <row r="208" customFormat="false" ht="15" hidden="false" customHeight="false" outlineLevel="0" collapsed="false">
      <c r="A208" s="0" t="s">
        <v>505</v>
      </c>
      <c r="B208" s="174" t="s">
        <v>282</v>
      </c>
      <c r="C208" s="166" t="s">
        <v>512</v>
      </c>
      <c r="D208" s="167" t="n">
        <v>99.9</v>
      </c>
      <c r="E208" s="96" t="n">
        <v>44287</v>
      </c>
      <c r="F208" s="167" t="n">
        <v>99.9</v>
      </c>
    </row>
    <row r="209" customFormat="false" ht="15" hidden="false" customHeight="false" outlineLevel="0" collapsed="false">
      <c r="A209" s="0" t="s">
        <v>529</v>
      </c>
      <c r="B209" s="174" t="s">
        <v>290</v>
      </c>
      <c r="C209" s="166" t="s">
        <v>549</v>
      </c>
      <c r="D209" s="167" t="n">
        <v>27.9</v>
      </c>
      <c r="E209" s="96" t="n">
        <v>44287</v>
      </c>
      <c r="F209" s="167" t="n">
        <v>27.9</v>
      </c>
    </row>
    <row r="210" customFormat="false" ht="15" hidden="false" customHeight="false" outlineLevel="0" collapsed="false">
      <c r="A210" s="0" t="s">
        <v>64</v>
      </c>
      <c r="B210" s="174" t="s">
        <v>292</v>
      </c>
      <c r="C210" s="166" t="s">
        <v>669</v>
      </c>
      <c r="D210" s="167" t="n">
        <v>49.73</v>
      </c>
      <c r="E210" s="96" t="n">
        <v>44287</v>
      </c>
      <c r="F210" s="167" t="n">
        <v>49.73</v>
      </c>
    </row>
    <row r="211" customFormat="false" ht="15" hidden="false" customHeight="false" outlineLevel="0" collapsed="false">
      <c r="A211" s="0" t="s">
        <v>64</v>
      </c>
      <c r="B211" s="174" t="s">
        <v>292</v>
      </c>
      <c r="C211" s="166" t="s">
        <v>669</v>
      </c>
      <c r="D211" s="167" t="n">
        <v>37.39</v>
      </c>
      <c r="E211" s="96" t="n">
        <v>44287</v>
      </c>
      <c r="F211" s="167" t="n">
        <v>37.39</v>
      </c>
    </row>
    <row r="212" customFormat="false" ht="15" hidden="false" customHeight="false" outlineLevel="0" collapsed="false">
      <c r="A212" s="0" t="s">
        <v>64</v>
      </c>
      <c r="B212" s="174" t="s">
        <v>292</v>
      </c>
      <c r="C212" s="166" t="s">
        <v>669</v>
      </c>
      <c r="D212" s="167" t="n">
        <v>139.7</v>
      </c>
      <c r="E212" s="96" t="n">
        <v>44287</v>
      </c>
      <c r="F212" s="167" t="n">
        <v>139.7</v>
      </c>
    </row>
    <row r="213" customFormat="false" ht="15" hidden="false" customHeight="false" outlineLevel="0" collapsed="false">
      <c r="A213" s="0" t="s">
        <v>64</v>
      </c>
      <c r="B213" s="174" t="s">
        <v>292</v>
      </c>
      <c r="C213" s="166" t="s">
        <v>669</v>
      </c>
      <c r="D213" s="167" t="n">
        <v>26.06</v>
      </c>
      <c r="E213" s="96" t="n">
        <v>44287</v>
      </c>
      <c r="F213" s="167" t="n">
        <v>26.06</v>
      </c>
    </row>
    <row r="214" customFormat="false" ht="15" hidden="false" customHeight="false" outlineLevel="0" collapsed="false">
      <c r="A214" s="0" t="s">
        <v>529</v>
      </c>
      <c r="B214" s="174" t="s">
        <v>292</v>
      </c>
      <c r="C214" s="166" t="s">
        <v>679</v>
      </c>
      <c r="D214" s="167" t="n">
        <v>99</v>
      </c>
      <c r="E214" s="96" t="n">
        <v>44287</v>
      </c>
      <c r="F214" s="167" t="n">
        <v>99</v>
      </c>
    </row>
    <row r="215" customFormat="false" ht="15" hidden="false" customHeight="false" outlineLevel="0" collapsed="false">
      <c r="A215" s="0" t="s">
        <v>57</v>
      </c>
      <c r="B215" s="174" t="s">
        <v>292</v>
      </c>
      <c r="C215" s="166" t="s">
        <v>515</v>
      </c>
      <c r="D215" s="167" t="n">
        <v>23.99</v>
      </c>
      <c r="E215" s="96" t="n">
        <v>44287</v>
      </c>
      <c r="F215" s="167" t="n">
        <v>23.99</v>
      </c>
    </row>
    <row r="216" customFormat="false" ht="15" hidden="false" customHeight="false" outlineLevel="0" collapsed="false">
      <c r="A216" s="0" t="s">
        <v>57</v>
      </c>
      <c r="B216" s="174" t="s">
        <v>292</v>
      </c>
      <c r="C216" s="166" t="s">
        <v>534</v>
      </c>
      <c r="D216" s="167" t="n">
        <v>49.39</v>
      </c>
      <c r="E216" s="96" t="n">
        <v>44287</v>
      </c>
      <c r="F216" s="167" t="n">
        <v>49.39</v>
      </c>
    </row>
    <row r="217" customFormat="false" ht="15" hidden="false" customHeight="false" outlineLevel="0" collapsed="false">
      <c r="A217" s="0" t="s">
        <v>509</v>
      </c>
      <c r="B217" s="174" t="s">
        <v>680</v>
      </c>
      <c r="C217" s="166" t="s">
        <v>556</v>
      </c>
      <c r="D217" s="167" t="n">
        <v>265</v>
      </c>
      <c r="E217" s="96" t="n">
        <v>44287</v>
      </c>
      <c r="F217" s="167" t="n">
        <v>265</v>
      </c>
    </row>
    <row r="218" customFormat="false" ht="15" hidden="false" customHeight="false" outlineLevel="0" collapsed="false">
      <c r="A218" s="0" t="s">
        <v>62</v>
      </c>
      <c r="B218" s="174" t="s">
        <v>680</v>
      </c>
      <c r="C218" s="166" t="s">
        <v>532</v>
      </c>
      <c r="D218" s="167" t="n">
        <v>60.89</v>
      </c>
      <c r="E218" s="96" t="n">
        <v>44287</v>
      </c>
      <c r="F218" s="167" t="n">
        <v>60.89</v>
      </c>
    </row>
    <row r="219" customFormat="false" ht="15" hidden="false" customHeight="false" outlineLevel="0" collapsed="false">
      <c r="A219" s="0" t="s">
        <v>64</v>
      </c>
      <c r="B219" s="174" t="s">
        <v>680</v>
      </c>
      <c r="C219" s="166" t="s">
        <v>670</v>
      </c>
      <c r="D219" s="167" t="n">
        <v>236.19</v>
      </c>
      <c r="E219" s="96" t="n">
        <v>44287</v>
      </c>
      <c r="F219" s="167" t="n">
        <v>236.19</v>
      </c>
    </row>
    <row r="220" customFormat="false" ht="15" hidden="false" customHeight="false" outlineLevel="0" collapsed="false">
      <c r="A220" s="0" t="s">
        <v>529</v>
      </c>
      <c r="B220" s="174" t="s">
        <v>680</v>
      </c>
      <c r="C220" s="164" t="s">
        <v>582</v>
      </c>
      <c r="D220" s="168" t="n">
        <v>90.24</v>
      </c>
      <c r="E220" s="96" t="n">
        <v>44287</v>
      </c>
      <c r="F220" s="168" t="n">
        <v>90.24</v>
      </c>
    </row>
    <row r="221" customFormat="false" ht="15" hidden="false" customHeight="false" outlineLevel="0" collapsed="false">
      <c r="A221" s="0" t="s">
        <v>529</v>
      </c>
      <c r="B221" s="174" t="s">
        <v>680</v>
      </c>
      <c r="C221" s="139" t="s">
        <v>608</v>
      </c>
      <c r="D221" s="168" t="n">
        <v>5.78</v>
      </c>
      <c r="E221" s="96" t="n">
        <v>44287</v>
      </c>
      <c r="F221" s="168" t="n">
        <v>5.78</v>
      </c>
    </row>
    <row r="222" customFormat="false" ht="15" hidden="false" customHeight="false" outlineLevel="0" collapsed="false">
      <c r="A222" s="0" t="s">
        <v>529</v>
      </c>
      <c r="B222" s="174" t="s">
        <v>577</v>
      </c>
      <c r="C222" s="166" t="s">
        <v>681</v>
      </c>
      <c r="D222" s="167" t="n">
        <v>19.99</v>
      </c>
      <c r="E222" s="96" t="n">
        <v>44287</v>
      </c>
      <c r="F222" s="167" t="n">
        <v>19.99</v>
      </c>
    </row>
    <row r="223" customFormat="false" ht="15" hidden="false" customHeight="false" outlineLevel="0" collapsed="false">
      <c r="A223" s="0" t="s">
        <v>529</v>
      </c>
      <c r="B223" s="174" t="s">
        <v>295</v>
      </c>
      <c r="C223" s="166" t="s">
        <v>566</v>
      </c>
      <c r="D223" s="167" t="n">
        <v>9.9</v>
      </c>
      <c r="E223" s="96" t="n">
        <v>44287</v>
      </c>
      <c r="F223" s="167" t="n">
        <v>9.9</v>
      </c>
    </row>
    <row r="224" customFormat="false" ht="15" hidden="false" customHeight="false" outlineLevel="0" collapsed="false">
      <c r="A224" s="0" t="s">
        <v>529</v>
      </c>
      <c r="B224" s="174" t="s">
        <v>296</v>
      </c>
      <c r="C224" s="166" t="s">
        <v>541</v>
      </c>
      <c r="D224" s="167" t="n">
        <v>6.99</v>
      </c>
      <c r="E224" s="96" t="n">
        <v>44287</v>
      </c>
      <c r="F224" s="167" t="n">
        <v>6.99</v>
      </c>
    </row>
    <row r="225" customFormat="false" ht="15" hidden="false" customHeight="false" outlineLevel="0" collapsed="false">
      <c r="A225" s="0" t="s">
        <v>505</v>
      </c>
      <c r="B225" s="174" t="s">
        <v>299</v>
      </c>
      <c r="C225" s="166" t="s">
        <v>512</v>
      </c>
      <c r="D225" s="167" t="n">
        <v>124.4</v>
      </c>
      <c r="E225" s="96" t="n">
        <v>44287</v>
      </c>
      <c r="F225" s="167" t="n">
        <v>124.4</v>
      </c>
    </row>
    <row r="226" customFormat="false" ht="15" hidden="false" customHeight="false" outlineLevel="0" collapsed="false">
      <c r="A226" s="0" t="s">
        <v>64</v>
      </c>
      <c r="B226" s="174" t="s">
        <v>299</v>
      </c>
      <c r="C226" s="166" t="s">
        <v>670</v>
      </c>
      <c r="D226" s="167" t="n">
        <v>315.04</v>
      </c>
      <c r="E226" s="96" t="n">
        <v>44287</v>
      </c>
      <c r="F226" s="167" t="n">
        <v>315.04</v>
      </c>
    </row>
    <row r="227" customFormat="false" ht="15" hidden="false" customHeight="false" outlineLevel="0" collapsed="false">
      <c r="A227" s="0" t="s">
        <v>62</v>
      </c>
      <c r="B227" s="174" t="s">
        <v>682</v>
      </c>
      <c r="C227" s="166" t="s">
        <v>683</v>
      </c>
      <c r="D227" s="167" t="n">
        <v>170.65</v>
      </c>
      <c r="E227" s="96" t="n">
        <v>44287</v>
      </c>
      <c r="F227" s="167" t="n">
        <v>170.65</v>
      </c>
    </row>
    <row r="228" customFormat="false" ht="15" hidden="false" customHeight="false" outlineLevel="0" collapsed="false">
      <c r="A228" s="0" t="s">
        <v>59</v>
      </c>
      <c r="B228" s="174" t="s">
        <v>684</v>
      </c>
      <c r="C228" s="166" t="s">
        <v>685</v>
      </c>
      <c r="D228" s="167" t="n">
        <v>75.2</v>
      </c>
      <c r="E228" s="96" t="n">
        <v>44287</v>
      </c>
      <c r="F228" s="167" t="n">
        <v>75.2</v>
      </c>
    </row>
    <row r="229" customFormat="false" ht="15" hidden="false" customHeight="false" outlineLevel="0" collapsed="false">
      <c r="A229" s="0" t="s">
        <v>64</v>
      </c>
      <c r="B229" s="174" t="s">
        <v>684</v>
      </c>
      <c r="C229" s="166" t="s">
        <v>669</v>
      </c>
      <c r="D229" s="167" t="n">
        <v>67.9</v>
      </c>
      <c r="E229" s="96" t="n">
        <v>44287</v>
      </c>
      <c r="F229" s="167" t="n">
        <v>67.9</v>
      </c>
    </row>
    <row r="230" customFormat="false" ht="15" hidden="false" customHeight="false" outlineLevel="0" collapsed="false">
      <c r="A230" s="0" t="s">
        <v>59</v>
      </c>
      <c r="B230" s="174" t="s">
        <v>684</v>
      </c>
      <c r="C230" s="166" t="s">
        <v>686</v>
      </c>
      <c r="D230" s="167" t="n">
        <v>374.9</v>
      </c>
      <c r="E230" s="96" t="n">
        <v>44287</v>
      </c>
      <c r="F230" s="167" t="n">
        <v>374.9</v>
      </c>
    </row>
    <row r="231" customFormat="false" ht="15" hidden="false" customHeight="false" outlineLevel="0" collapsed="false">
      <c r="A231" s="0" t="s">
        <v>57</v>
      </c>
      <c r="B231" s="174" t="s">
        <v>300</v>
      </c>
      <c r="C231" s="166" t="s">
        <v>687</v>
      </c>
      <c r="D231" s="167" t="n">
        <v>94.3</v>
      </c>
      <c r="E231" s="96" t="n">
        <v>44287</v>
      </c>
      <c r="F231" s="167" t="n">
        <v>94.3</v>
      </c>
    </row>
    <row r="232" customFormat="false" ht="15" hidden="false" customHeight="false" outlineLevel="0" collapsed="false">
      <c r="A232" s="0" t="s">
        <v>64</v>
      </c>
      <c r="B232" s="174" t="s">
        <v>311</v>
      </c>
      <c r="C232" s="166" t="s">
        <v>669</v>
      </c>
      <c r="D232" s="167" t="n">
        <v>168.2</v>
      </c>
      <c r="E232" s="96" t="n">
        <v>44287</v>
      </c>
      <c r="F232" s="167" t="n">
        <v>168.2</v>
      </c>
    </row>
    <row r="233" customFormat="false" ht="15" hidden="false" customHeight="false" outlineLevel="0" collapsed="false">
      <c r="A233" s="0" t="s">
        <v>53</v>
      </c>
      <c r="B233" s="174" t="s">
        <v>311</v>
      </c>
      <c r="C233" s="166" t="s">
        <v>531</v>
      </c>
      <c r="D233" s="167" t="n">
        <v>32.27</v>
      </c>
      <c r="E233" s="96" t="n">
        <v>44287</v>
      </c>
      <c r="F233" s="167" t="n">
        <v>32.27</v>
      </c>
    </row>
    <row r="234" customFormat="false" ht="15" hidden="false" customHeight="false" outlineLevel="0" collapsed="false">
      <c r="A234" s="81" t="s">
        <v>505</v>
      </c>
      <c r="B234" s="175" t="s">
        <v>110</v>
      </c>
      <c r="C234" s="176" t="s">
        <v>688</v>
      </c>
      <c r="D234" s="177" t="n">
        <v>79.9</v>
      </c>
      <c r="E234" s="143" t="n">
        <v>44317</v>
      </c>
      <c r="F234" s="177" t="n">
        <v>79.9</v>
      </c>
    </row>
    <row r="235" customFormat="false" ht="15" hidden="false" customHeight="false" outlineLevel="0" collapsed="false">
      <c r="A235" s="81" t="s">
        <v>59</v>
      </c>
      <c r="B235" s="175" t="s">
        <v>629</v>
      </c>
      <c r="C235" s="176" t="s">
        <v>620</v>
      </c>
      <c r="D235" s="177" t="n">
        <v>119.8</v>
      </c>
      <c r="E235" s="143" t="n">
        <v>44317</v>
      </c>
      <c r="F235" s="177" t="n">
        <v>119.8</v>
      </c>
    </row>
    <row r="236" customFormat="false" ht="15" hidden="false" customHeight="false" outlineLevel="0" collapsed="false">
      <c r="A236" s="81" t="s">
        <v>59</v>
      </c>
      <c r="B236" s="175" t="s">
        <v>629</v>
      </c>
      <c r="C236" s="176" t="s">
        <v>689</v>
      </c>
      <c r="D236" s="177" t="n">
        <v>51.14</v>
      </c>
      <c r="E236" s="143" t="n">
        <v>44317</v>
      </c>
      <c r="F236" s="177" t="n">
        <v>51.14</v>
      </c>
    </row>
    <row r="237" customFormat="false" ht="15" hidden="false" customHeight="false" outlineLevel="0" collapsed="false">
      <c r="A237" s="81" t="s">
        <v>690</v>
      </c>
      <c r="B237" s="175" t="s">
        <v>632</v>
      </c>
      <c r="C237" s="176" t="s">
        <v>691</v>
      </c>
      <c r="D237" s="177" t="n">
        <v>324.83</v>
      </c>
      <c r="E237" s="143" t="n">
        <v>44317</v>
      </c>
      <c r="F237" s="177" t="n">
        <v>324.83</v>
      </c>
    </row>
    <row r="238" customFormat="false" ht="15" hidden="false" customHeight="false" outlineLevel="0" collapsed="false">
      <c r="A238" s="81" t="s">
        <v>59</v>
      </c>
      <c r="B238" s="175" t="s">
        <v>641</v>
      </c>
      <c r="C238" s="176" t="s">
        <v>692</v>
      </c>
      <c r="D238" s="177" t="n">
        <v>10.6</v>
      </c>
      <c r="E238" s="143" t="n">
        <v>44317</v>
      </c>
      <c r="F238" s="177" t="n">
        <v>10.6</v>
      </c>
    </row>
    <row r="239" customFormat="false" ht="15" hidden="false" customHeight="false" outlineLevel="0" collapsed="false">
      <c r="A239" s="81" t="s">
        <v>59</v>
      </c>
      <c r="B239" s="175" t="s">
        <v>641</v>
      </c>
      <c r="C239" s="176" t="s">
        <v>692</v>
      </c>
      <c r="D239" s="177" t="n">
        <v>86.33</v>
      </c>
      <c r="E239" s="143" t="n">
        <v>44317</v>
      </c>
      <c r="F239" s="177" t="n">
        <v>86.33</v>
      </c>
    </row>
    <row r="240" customFormat="false" ht="15" hidden="false" customHeight="false" outlineLevel="0" collapsed="false">
      <c r="A240" s="81" t="s">
        <v>59</v>
      </c>
      <c r="B240" s="175" t="s">
        <v>641</v>
      </c>
      <c r="C240" s="176" t="s">
        <v>692</v>
      </c>
      <c r="D240" s="177" t="n">
        <v>21.78</v>
      </c>
      <c r="E240" s="143" t="n">
        <v>44317</v>
      </c>
      <c r="F240" s="177" t="n">
        <v>21.78</v>
      </c>
    </row>
    <row r="241" customFormat="false" ht="15" hidden="false" customHeight="false" outlineLevel="0" collapsed="false">
      <c r="A241" s="81" t="s">
        <v>59</v>
      </c>
      <c r="B241" s="175" t="s">
        <v>641</v>
      </c>
      <c r="C241" s="176" t="s">
        <v>692</v>
      </c>
      <c r="D241" s="177" t="n">
        <v>15.88</v>
      </c>
      <c r="E241" s="143" t="n">
        <v>44317</v>
      </c>
      <c r="F241" s="177" t="n">
        <v>15.88</v>
      </c>
    </row>
    <row r="242" customFormat="false" ht="15" hidden="false" customHeight="false" outlineLevel="0" collapsed="false">
      <c r="A242" s="81" t="s">
        <v>59</v>
      </c>
      <c r="B242" s="175" t="s">
        <v>641</v>
      </c>
      <c r="C242" s="176" t="s">
        <v>655</v>
      </c>
      <c r="D242" s="177" t="n">
        <v>73.3</v>
      </c>
      <c r="E242" s="143" t="n">
        <v>44317</v>
      </c>
      <c r="F242" s="177" t="n">
        <v>73.3</v>
      </c>
    </row>
    <row r="243" customFormat="false" ht="15" hidden="false" customHeight="false" outlineLevel="0" collapsed="false">
      <c r="A243" s="81" t="s">
        <v>59</v>
      </c>
      <c r="B243" s="175" t="s">
        <v>641</v>
      </c>
      <c r="C243" s="176" t="s">
        <v>655</v>
      </c>
      <c r="D243" s="177" t="n">
        <v>10.75</v>
      </c>
      <c r="E243" s="143" t="n">
        <v>44317</v>
      </c>
      <c r="F243" s="177" t="n">
        <v>10.75</v>
      </c>
    </row>
    <row r="244" customFormat="false" ht="15" hidden="false" customHeight="false" outlineLevel="0" collapsed="false">
      <c r="A244" s="81" t="s">
        <v>64</v>
      </c>
      <c r="B244" s="175" t="s">
        <v>668</v>
      </c>
      <c r="C244" s="176" t="s">
        <v>669</v>
      </c>
      <c r="D244" s="177" t="n">
        <v>-0.01</v>
      </c>
      <c r="E244" s="143" t="n">
        <v>44317</v>
      </c>
      <c r="F244" s="177" t="n">
        <v>-0.01</v>
      </c>
    </row>
    <row r="245" customFormat="false" ht="15" hidden="false" customHeight="false" outlineLevel="0" collapsed="false">
      <c r="A245" s="81" t="s">
        <v>64</v>
      </c>
      <c r="B245" s="175" t="s">
        <v>668</v>
      </c>
      <c r="C245" s="176" t="s">
        <v>693</v>
      </c>
      <c r="D245" s="177" t="n">
        <v>179.79</v>
      </c>
      <c r="E245" s="143" t="n">
        <v>44317</v>
      </c>
      <c r="F245" s="177" t="n">
        <v>179.79</v>
      </c>
    </row>
    <row r="246" customFormat="false" ht="15" hidden="false" customHeight="false" outlineLevel="0" collapsed="false">
      <c r="A246" s="81" t="s">
        <v>57</v>
      </c>
      <c r="B246" s="175" t="s">
        <v>668</v>
      </c>
      <c r="C246" s="176" t="s">
        <v>694</v>
      </c>
      <c r="D246" s="177" t="n">
        <v>52.74</v>
      </c>
      <c r="E246" s="143" t="n">
        <v>44317</v>
      </c>
      <c r="F246" s="177" t="n">
        <v>52.74</v>
      </c>
    </row>
    <row r="247" customFormat="false" ht="15" hidden="false" customHeight="false" outlineLevel="0" collapsed="false">
      <c r="A247" s="81" t="s">
        <v>59</v>
      </c>
      <c r="B247" s="175" t="s">
        <v>272</v>
      </c>
      <c r="C247" s="176" t="s">
        <v>501</v>
      </c>
      <c r="D247" s="177" t="n">
        <v>84.91</v>
      </c>
      <c r="E247" s="143" t="n">
        <v>44317</v>
      </c>
      <c r="F247" s="177" t="n">
        <v>84.91</v>
      </c>
    </row>
    <row r="248" customFormat="false" ht="15" hidden="false" customHeight="false" outlineLevel="0" collapsed="false">
      <c r="A248" s="81" t="s">
        <v>59</v>
      </c>
      <c r="B248" s="175" t="s">
        <v>278</v>
      </c>
      <c r="C248" s="176" t="s">
        <v>695</v>
      </c>
      <c r="D248" s="177" t="n">
        <v>74.94</v>
      </c>
      <c r="E248" s="143" t="n">
        <v>44317</v>
      </c>
      <c r="F248" s="177" t="n">
        <v>74.94</v>
      </c>
    </row>
    <row r="249" customFormat="false" ht="15" hidden="false" customHeight="false" outlineLevel="0" collapsed="false">
      <c r="A249" s="81" t="s">
        <v>64</v>
      </c>
      <c r="B249" s="175" t="s">
        <v>278</v>
      </c>
      <c r="C249" s="176" t="s">
        <v>693</v>
      </c>
      <c r="D249" s="177" t="n">
        <v>110.82</v>
      </c>
      <c r="E249" s="143" t="n">
        <v>44317</v>
      </c>
      <c r="F249" s="177" t="n">
        <v>110.82</v>
      </c>
    </row>
    <row r="250" customFormat="false" ht="15" hidden="false" customHeight="false" outlineLevel="0" collapsed="false">
      <c r="A250" s="81" t="s">
        <v>59</v>
      </c>
      <c r="B250" s="175" t="s">
        <v>278</v>
      </c>
      <c r="C250" s="176" t="s">
        <v>696</v>
      </c>
      <c r="D250" s="177" t="n">
        <v>325</v>
      </c>
      <c r="E250" s="143" t="n">
        <v>44317</v>
      </c>
      <c r="F250" s="177" t="n">
        <v>325</v>
      </c>
    </row>
    <row r="251" customFormat="false" ht="15" hidden="false" customHeight="false" outlineLevel="0" collapsed="false">
      <c r="A251" s="81" t="s">
        <v>59</v>
      </c>
      <c r="B251" s="175" t="s">
        <v>278</v>
      </c>
      <c r="C251" s="176" t="s">
        <v>697</v>
      </c>
      <c r="D251" s="177" t="n">
        <v>-0.02</v>
      </c>
      <c r="E251" s="143" t="n">
        <v>44317</v>
      </c>
      <c r="F251" s="177" t="n">
        <v>-0.02</v>
      </c>
    </row>
    <row r="252" customFormat="false" ht="15" hidden="false" customHeight="false" outlineLevel="0" collapsed="false">
      <c r="A252" s="81" t="s">
        <v>64</v>
      </c>
      <c r="B252" s="175" t="s">
        <v>278</v>
      </c>
      <c r="C252" s="176" t="s">
        <v>669</v>
      </c>
      <c r="D252" s="177" t="n">
        <v>-0.01</v>
      </c>
      <c r="E252" s="143" t="n">
        <v>44317</v>
      </c>
      <c r="F252" s="177" t="n">
        <v>-0.01</v>
      </c>
    </row>
    <row r="253" customFormat="false" ht="15" hidden="false" customHeight="false" outlineLevel="0" collapsed="false">
      <c r="A253" s="81" t="s">
        <v>64</v>
      </c>
      <c r="B253" s="175" t="s">
        <v>680</v>
      </c>
      <c r="C253" s="176" t="s">
        <v>693</v>
      </c>
      <c r="D253" s="177" t="n">
        <v>236.19</v>
      </c>
      <c r="E253" s="143" t="n">
        <v>44317</v>
      </c>
      <c r="F253" s="177" t="n">
        <v>236.19</v>
      </c>
    </row>
    <row r="254" customFormat="false" ht="15" hidden="false" customHeight="false" outlineLevel="0" collapsed="false">
      <c r="A254" s="81" t="s">
        <v>64</v>
      </c>
      <c r="B254" s="175" t="s">
        <v>299</v>
      </c>
      <c r="C254" s="176" t="s">
        <v>693</v>
      </c>
      <c r="D254" s="177" t="n">
        <v>315.04</v>
      </c>
      <c r="E254" s="143" t="n">
        <v>44317</v>
      </c>
      <c r="F254" s="177" t="n">
        <v>315.04</v>
      </c>
    </row>
    <row r="255" customFormat="false" ht="15" hidden="false" customHeight="false" outlineLevel="0" collapsed="false">
      <c r="A255" s="81" t="s">
        <v>59</v>
      </c>
      <c r="B255" s="175" t="s">
        <v>313</v>
      </c>
      <c r="C255" s="176" t="s">
        <v>672</v>
      </c>
      <c r="D255" s="177" t="n">
        <v>19.28</v>
      </c>
      <c r="E255" s="143" t="n">
        <v>44317</v>
      </c>
      <c r="F255" s="177" t="n">
        <v>19.28</v>
      </c>
    </row>
    <row r="256" customFormat="false" ht="15" hidden="false" customHeight="false" outlineLevel="0" collapsed="false">
      <c r="A256" s="81" t="s">
        <v>59</v>
      </c>
      <c r="B256" s="175" t="s">
        <v>313</v>
      </c>
      <c r="C256" s="176" t="s">
        <v>642</v>
      </c>
      <c r="D256" s="177" t="n">
        <v>81</v>
      </c>
      <c r="E256" s="143" t="n">
        <v>44317</v>
      </c>
      <c r="F256" s="177" t="n">
        <v>81</v>
      </c>
    </row>
    <row r="257" customFormat="false" ht="15" hidden="false" customHeight="false" outlineLevel="0" collapsed="false">
      <c r="A257" s="81" t="s">
        <v>59</v>
      </c>
      <c r="B257" s="175" t="s">
        <v>698</v>
      </c>
      <c r="C257" s="176" t="s">
        <v>699</v>
      </c>
      <c r="D257" s="177" t="n">
        <v>67</v>
      </c>
      <c r="E257" s="143" t="n">
        <v>44317</v>
      </c>
      <c r="F257" s="177" t="n">
        <v>67</v>
      </c>
    </row>
    <row r="258" customFormat="false" ht="15" hidden="false" customHeight="false" outlineLevel="0" collapsed="false">
      <c r="A258" s="81" t="s">
        <v>529</v>
      </c>
      <c r="B258" s="175" t="s">
        <v>698</v>
      </c>
      <c r="C258" s="176" t="s">
        <v>541</v>
      </c>
      <c r="D258" s="177" t="n">
        <v>24.9</v>
      </c>
      <c r="E258" s="143" t="n">
        <v>44317</v>
      </c>
      <c r="F258" s="177" t="n">
        <v>24.9</v>
      </c>
    </row>
    <row r="259" customFormat="false" ht="15" hidden="false" customHeight="false" outlineLevel="0" collapsed="false">
      <c r="A259" s="81" t="s">
        <v>509</v>
      </c>
      <c r="B259" s="175" t="s">
        <v>698</v>
      </c>
      <c r="C259" s="176" t="s">
        <v>567</v>
      </c>
      <c r="D259" s="177" t="n">
        <v>248.47</v>
      </c>
      <c r="E259" s="143" t="n">
        <v>44317</v>
      </c>
      <c r="F259" s="177" t="n">
        <v>248.47</v>
      </c>
    </row>
    <row r="260" customFormat="false" ht="15" hidden="false" customHeight="false" outlineLevel="0" collapsed="false">
      <c r="A260" s="81" t="s">
        <v>64</v>
      </c>
      <c r="B260" s="175" t="s">
        <v>698</v>
      </c>
      <c r="C260" s="176" t="s">
        <v>670</v>
      </c>
      <c r="D260" s="177" t="n">
        <v>242.3</v>
      </c>
      <c r="E260" s="143" t="n">
        <v>44317</v>
      </c>
      <c r="F260" s="177" t="n">
        <v>242.3</v>
      </c>
    </row>
    <row r="261" customFormat="false" ht="15" hidden="false" customHeight="false" outlineLevel="0" collapsed="false">
      <c r="A261" s="81" t="s">
        <v>529</v>
      </c>
      <c r="B261" s="175" t="s">
        <v>700</v>
      </c>
      <c r="C261" s="176" t="s">
        <v>701</v>
      </c>
      <c r="D261" s="177" t="n">
        <v>14.16</v>
      </c>
      <c r="E261" s="143" t="n">
        <v>44317</v>
      </c>
      <c r="F261" s="177" t="n">
        <v>14.16</v>
      </c>
    </row>
    <row r="262" customFormat="false" ht="15" hidden="false" customHeight="false" outlineLevel="0" collapsed="false">
      <c r="A262" s="81" t="s">
        <v>62</v>
      </c>
      <c r="B262" s="175" t="s">
        <v>700</v>
      </c>
      <c r="C262" s="176" t="s">
        <v>532</v>
      </c>
      <c r="D262" s="177" t="n">
        <v>74.79</v>
      </c>
      <c r="E262" s="143" t="n">
        <v>44317</v>
      </c>
      <c r="F262" s="177" t="n">
        <v>74.79</v>
      </c>
    </row>
    <row r="263" customFormat="false" ht="15" hidden="false" customHeight="false" outlineLevel="0" collapsed="false">
      <c r="A263" s="81" t="s">
        <v>59</v>
      </c>
      <c r="B263" s="175" t="s">
        <v>316</v>
      </c>
      <c r="C263" s="176" t="s">
        <v>667</v>
      </c>
      <c r="D263" s="177" t="n">
        <v>37.9</v>
      </c>
      <c r="E263" s="143" t="n">
        <v>44317</v>
      </c>
      <c r="F263" s="177" t="n">
        <v>37.9</v>
      </c>
    </row>
    <row r="264" customFormat="false" ht="15" hidden="false" customHeight="false" outlineLevel="0" collapsed="false">
      <c r="A264" s="81" t="s">
        <v>505</v>
      </c>
      <c r="B264" s="175" t="s">
        <v>702</v>
      </c>
      <c r="C264" s="176" t="s">
        <v>512</v>
      </c>
      <c r="D264" s="177" t="n">
        <v>9.9</v>
      </c>
      <c r="E264" s="143" t="n">
        <v>44317</v>
      </c>
      <c r="F264" s="177" t="n">
        <v>9.9</v>
      </c>
    </row>
    <row r="265" customFormat="false" ht="15" hidden="false" customHeight="false" outlineLevel="0" collapsed="false">
      <c r="A265" s="81" t="s">
        <v>690</v>
      </c>
      <c r="B265" s="175" t="s">
        <v>319</v>
      </c>
      <c r="C265" s="176" t="s">
        <v>703</v>
      </c>
      <c r="D265" s="177" t="n">
        <v>38.02</v>
      </c>
      <c r="E265" s="143" t="n">
        <v>44317</v>
      </c>
      <c r="F265" s="177" t="n">
        <v>38.02</v>
      </c>
    </row>
    <row r="266" customFormat="false" ht="15" hidden="false" customHeight="false" outlineLevel="0" collapsed="false">
      <c r="A266" s="81" t="s">
        <v>64</v>
      </c>
      <c r="B266" s="175" t="s">
        <v>319</v>
      </c>
      <c r="C266" s="176" t="s">
        <v>670</v>
      </c>
      <c r="D266" s="177" t="n">
        <v>132.09</v>
      </c>
      <c r="E266" s="143" t="n">
        <v>44317</v>
      </c>
      <c r="F266" s="177" t="n">
        <v>132.09</v>
      </c>
    </row>
    <row r="267" customFormat="false" ht="15" hidden="false" customHeight="false" outlineLevel="0" collapsed="false">
      <c r="A267" s="81" t="s">
        <v>62</v>
      </c>
      <c r="B267" s="175" t="s">
        <v>704</v>
      </c>
      <c r="C267" s="176" t="s">
        <v>532</v>
      </c>
      <c r="D267" s="177" t="n">
        <v>99.79</v>
      </c>
      <c r="E267" s="143" t="n">
        <v>44317</v>
      </c>
      <c r="F267" s="177" t="n">
        <v>99.79</v>
      </c>
    </row>
    <row r="268" customFormat="false" ht="15" hidden="false" customHeight="false" outlineLevel="0" collapsed="false">
      <c r="A268" s="81" t="s">
        <v>529</v>
      </c>
      <c r="B268" s="175" t="s">
        <v>704</v>
      </c>
      <c r="C268" s="176" t="s">
        <v>705</v>
      </c>
      <c r="D268" s="177" t="n">
        <v>21.9</v>
      </c>
      <c r="E268" s="143" t="n">
        <v>44317</v>
      </c>
      <c r="F268" s="177" t="n">
        <v>21.9</v>
      </c>
    </row>
    <row r="269" customFormat="false" ht="15" hidden="false" customHeight="false" outlineLevel="0" collapsed="false">
      <c r="A269" s="81" t="s">
        <v>62</v>
      </c>
      <c r="B269" s="175" t="s">
        <v>704</v>
      </c>
      <c r="C269" s="176" t="s">
        <v>706</v>
      </c>
      <c r="D269" s="177" t="n">
        <v>40.7</v>
      </c>
      <c r="E269" s="143" t="n">
        <v>44317</v>
      </c>
      <c r="F269" s="177" t="n">
        <v>40.7</v>
      </c>
    </row>
    <row r="270" customFormat="false" ht="15" hidden="false" customHeight="false" outlineLevel="0" collapsed="false">
      <c r="A270" s="81" t="s">
        <v>53</v>
      </c>
      <c r="B270" s="175" t="s">
        <v>330</v>
      </c>
      <c r="C270" s="176" t="s">
        <v>707</v>
      </c>
      <c r="D270" s="177" t="n">
        <v>100.86</v>
      </c>
      <c r="E270" s="143" t="n">
        <v>44317</v>
      </c>
      <c r="F270" s="177" t="n">
        <v>100.86</v>
      </c>
    </row>
    <row r="271" customFormat="false" ht="15" hidden="false" customHeight="false" outlineLevel="0" collapsed="false">
      <c r="A271" s="81" t="s">
        <v>505</v>
      </c>
      <c r="B271" s="175" t="s">
        <v>330</v>
      </c>
      <c r="C271" s="176" t="s">
        <v>512</v>
      </c>
      <c r="D271" s="177" t="n">
        <v>99.9</v>
      </c>
      <c r="E271" s="143" t="n">
        <v>44317</v>
      </c>
      <c r="F271" s="177" t="n">
        <v>99.9</v>
      </c>
    </row>
    <row r="272" customFormat="false" ht="15" hidden="false" customHeight="false" outlineLevel="0" collapsed="false">
      <c r="A272" s="81" t="s">
        <v>529</v>
      </c>
      <c r="B272" s="175" t="s">
        <v>708</v>
      </c>
      <c r="C272" s="176" t="s">
        <v>539</v>
      </c>
      <c r="D272" s="177" t="n">
        <v>45.9</v>
      </c>
      <c r="E272" s="143" t="n">
        <v>44317</v>
      </c>
      <c r="F272" s="177" t="n">
        <v>45.9</v>
      </c>
    </row>
    <row r="273" customFormat="false" ht="15" hidden="false" customHeight="false" outlineLevel="0" collapsed="false">
      <c r="A273" s="81" t="s">
        <v>64</v>
      </c>
      <c r="B273" s="175" t="s">
        <v>334</v>
      </c>
      <c r="C273" s="176" t="s">
        <v>669</v>
      </c>
      <c r="D273" s="177" t="n">
        <v>136.66</v>
      </c>
      <c r="E273" s="143" t="n">
        <v>44317</v>
      </c>
      <c r="F273" s="177" t="n">
        <v>136.66</v>
      </c>
    </row>
    <row r="274" customFormat="false" ht="15" hidden="false" customHeight="false" outlineLevel="0" collapsed="false">
      <c r="A274" s="81" t="s">
        <v>57</v>
      </c>
      <c r="B274" s="175" t="s">
        <v>334</v>
      </c>
      <c r="C274" s="176" t="s">
        <v>534</v>
      </c>
      <c r="D274" s="177" t="n">
        <v>78.7</v>
      </c>
      <c r="E274" s="143" t="n">
        <v>44317</v>
      </c>
      <c r="F274" s="177" t="n">
        <v>78.7</v>
      </c>
    </row>
    <row r="275" customFormat="false" ht="15" hidden="false" customHeight="false" outlineLevel="0" collapsed="false">
      <c r="A275" s="81" t="s">
        <v>509</v>
      </c>
      <c r="B275" s="175" t="s">
        <v>334</v>
      </c>
      <c r="C275" s="176" t="s">
        <v>567</v>
      </c>
      <c r="D275" s="177" t="n">
        <v>178.96</v>
      </c>
      <c r="E275" s="143" t="n">
        <v>44317</v>
      </c>
      <c r="F275" s="177" t="n">
        <v>178.96</v>
      </c>
    </row>
    <row r="276" customFormat="false" ht="15" hidden="false" customHeight="false" outlineLevel="0" collapsed="false">
      <c r="A276" s="81" t="s">
        <v>59</v>
      </c>
      <c r="B276" s="175" t="s">
        <v>709</v>
      </c>
      <c r="C276" s="176" t="s">
        <v>710</v>
      </c>
      <c r="D276" s="177" t="n">
        <v>7.5</v>
      </c>
      <c r="E276" s="143" t="n">
        <v>44317</v>
      </c>
      <c r="F276" s="177" t="n">
        <v>7.5</v>
      </c>
    </row>
    <row r="277" customFormat="false" ht="15" hidden="false" customHeight="false" outlineLevel="0" collapsed="false">
      <c r="A277" s="81" t="s">
        <v>59</v>
      </c>
      <c r="B277" s="175" t="s">
        <v>709</v>
      </c>
      <c r="C277" s="176" t="s">
        <v>711</v>
      </c>
      <c r="D277" s="177" t="n">
        <v>39.99</v>
      </c>
      <c r="E277" s="143" t="n">
        <v>44317</v>
      </c>
      <c r="F277" s="177" t="n">
        <v>39.99</v>
      </c>
    </row>
    <row r="278" customFormat="false" ht="15" hidden="false" customHeight="false" outlineLevel="0" collapsed="false">
      <c r="A278" s="81" t="s">
        <v>59</v>
      </c>
      <c r="B278" s="175" t="s">
        <v>709</v>
      </c>
      <c r="C278" s="176" t="s">
        <v>712</v>
      </c>
      <c r="D278" s="177" t="n">
        <v>29</v>
      </c>
      <c r="E278" s="143" t="n">
        <v>44317</v>
      </c>
      <c r="F278" s="177" t="n">
        <v>29</v>
      </c>
    </row>
    <row r="279" customFormat="false" ht="15" hidden="false" customHeight="false" outlineLevel="0" collapsed="false">
      <c r="A279" s="81" t="s">
        <v>64</v>
      </c>
      <c r="B279" s="175" t="s">
        <v>709</v>
      </c>
      <c r="C279" s="176" t="s">
        <v>669</v>
      </c>
      <c r="D279" s="177" t="n">
        <v>99.62</v>
      </c>
      <c r="E279" s="143" t="n">
        <v>44317</v>
      </c>
      <c r="F279" s="177" t="n">
        <v>99.62</v>
      </c>
    </row>
    <row r="280" customFormat="false" ht="15" hidden="false" customHeight="false" outlineLevel="0" collapsed="false">
      <c r="A280" s="81" t="s">
        <v>59</v>
      </c>
      <c r="B280" s="175" t="s">
        <v>709</v>
      </c>
      <c r="C280" s="176" t="s">
        <v>713</v>
      </c>
      <c r="D280" s="177" t="n">
        <v>24.99</v>
      </c>
      <c r="E280" s="143" t="n">
        <v>44317</v>
      </c>
      <c r="F280" s="177" t="n">
        <v>24.99</v>
      </c>
    </row>
    <row r="281" customFormat="false" ht="15" hidden="false" customHeight="false" outlineLevel="0" collapsed="false">
      <c r="A281" s="81" t="s">
        <v>529</v>
      </c>
      <c r="B281" s="175" t="s">
        <v>709</v>
      </c>
      <c r="C281" s="176" t="s">
        <v>549</v>
      </c>
      <c r="D281" s="177" t="n">
        <v>27.9</v>
      </c>
      <c r="E281" s="143" t="n">
        <v>44317</v>
      </c>
      <c r="F281" s="177" t="n">
        <v>27.9</v>
      </c>
    </row>
    <row r="282" customFormat="false" ht="15" hidden="false" customHeight="false" outlineLevel="0" collapsed="false">
      <c r="A282" s="81" t="s">
        <v>529</v>
      </c>
      <c r="B282" s="175" t="s">
        <v>577</v>
      </c>
      <c r="C282" s="176" t="s">
        <v>714</v>
      </c>
      <c r="D282" s="177" t="n">
        <v>19.99</v>
      </c>
      <c r="E282" s="143" t="n">
        <v>44317</v>
      </c>
      <c r="F282" s="177" t="n">
        <v>19.99</v>
      </c>
    </row>
    <row r="283" customFormat="false" ht="15" hidden="false" customHeight="false" outlineLevel="0" collapsed="false">
      <c r="A283" s="81" t="s">
        <v>62</v>
      </c>
      <c r="B283" s="175" t="s">
        <v>715</v>
      </c>
      <c r="C283" s="176" t="s">
        <v>532</v>
      </c>
      <c r="D283" s="177" t="n">
        <v>142.24</v>
      </c>
      <c r="E283" s="143" t="n">
        <v>44317</v>
      </c>
      <c r="F283" s="177" t="n">
        <v>142.24</v>
      </c>
    </row>
    <row r="284" customFormat="false" ht="15" hidden="false" customHeight="false" outlineLevel="0" collapsed="false">
      <c r="A284" s="81" t="s">
        <v>59</v>
      </c>
      <c r="B284" s="175" t="s">
        <v>335</v>
      </c>
      <c r="C284" s="176" t="s">
        <v>716</v>
      </c>
      <c r="D284" s="177" t="n">
        <v>242.91</v>
      </c>
      <c r="E284" s="143" t="n">
        <v>44317</v>
      </c>
      <c r="F284" s="177" t="n">
        <v>242.91</v>
      </c>
    </row>
    <row r="285" customFormat="false" ht="15" hidden="false" customHeight="false" outlineLevel="0" collapsed="false">
      <c r="A285" s="81" t="s">
        <v>64</v>
      </c>
      <c r="B285" s="175" t="s">
        <v>337</v>
      </c>
      <c r="C285" s="176" t="s">
        <v>669</v>
      </c>
      <c r="D285" s="177" t="n">
        <v>22.51</v>
      </c>
      <c r="E285" s="143" t="n">
        <v>44317</v>
      </c>
      <c r="F285" s="177" t="n">
        <v>22.51</v>
      </c>
    </row>
    <row r="286" customFormat="false" ht="15" hidden="false" customHeight="false" outlineLevel="0" collapsed="false">
      <c r="A286" s="81" t="s">
        <v>57</v>
      </c>
      <c r="B286" s="175" t="s">
        <v>337</v>
      </c>
      <c r="C286" s="176" t="s">
        <v>534</v>
      </c>
      <c r="D286" s="177" t="n">
        <v>34.85</v>
      </c>
      <c r="E286" s="143" t="n">
        <v>44317</v>
      </c>
      <c r="F286" s="177" t="n">
        <v>34.85</v>
      </c>
    </row>
    <row r="287" customFormat="false" ht="15" hidden="false" customHeight="false" outlineLevel="0" collapsed="false">
      <c r="A287" s="81" t="s">
        <v>64</v>
      </c>
      <c r="B287" s="175" t="s">
        <v>337</v>
      </c>
      <c r="C287" s="176" t="s">
        <v>670</v>
      </c>
      <c r="D287" s="177" t="n">
        <v>127.28</v>
      </c>
      <c r="E287" s="143" t="n">
        <v>44317</v>
      </c>
      <c r="F287" s="177" t="n">
        <v>127.28</v>
      </c>
    </row>
    <row r="288" customFormat="false" ht="15" hidden="false" customHeight="false" outlineLevel="0" collapsed="false">
      <c r="A288" s="81" t="s">
        <v>529</v>
      </c>
      <c r="B288" s="175" t="s">
        <v>717</v>
      </c>
      <c r="C288" s="176" t="s">
        <v>566</v>
      </c>
      <c r="D288" s="177" t="n">
        <v>9.9</v>
      </c>
      <c r="E288" s="143" t="n">
        <v>44317</v>
      </c>
      <c r="F288" s="177" t="n">
        <v>9.9</v>
      </c>
    </row>
    <row r="289" customFormat="false" ht="15" hidden="false" customHeight="false" outlineLevel="0" collapsed="false">
      <c r="A289" s="81" t="s">
        <v>529</v>
      </c>
      <c r="B289" s="175" t="s">
        <v>717</v>
      </c>
      <c r="C289" s="176" t="s">
        <v>541</v>
      </c>
      <c r="D289" s="177" t="n">
        <v>6.99</v>
      </c>
      <c r="E289" s="143" t="n">
        <v>44317</v>
      </c>
      <c r="F289" s="177" t="n">
        <v>6.99</v>
      </c>
    </row>
    <row r="290" customFormat="false" ht="15" hidden="false" customHeight="false" outlineLevel="0" collapsed="false">
      <c r="A290" s="81" t="s">
        <v>59</v>
      </c>
      <c r="B290" s="175" t="s">
        <v>718</v>
      </c>
      <c r="C290" s="176" t="s">
        <v>663</v>
      </c>
      <c r="D290" s="177" t="n">
        <v>17.94</v>
      </c>
      <c r="E290" s="143" t="n">
        <v>44317</v>
      </c>
      <c r="F290" s="177" t="n">
        <v>17.94</v>
      </c>
    </row>
    <row r="291" customFormat="false" ht="15" hidden="false" customHeight="false" outlineLevel="0" collapsed="false">
      <c r="A291" s="81" t="s">
        <v>59</v>
      </c>
      <c r="B291" s="175" t="s">
        <v>718</v>
      </c>
      <c r="C291" s="176" t="s">
        <v>642</v>
      </c>
      <c r="D291" s="177" t="n">
        <v>11.73</v>
      </c>
      <c r="E291" s="143" t="n">
        <v>44317</v>
      </c>
      <c r="F291" s="177" t="n">
        <v>11.73</v>
      </c>
    </row>
    <row r="292" customFormat="false" ht="15" hidden="false" customHeight="false" outlineLevel="0" collapsed="false">
      <c r="A292" s="81" t="s">
        <v>59</v>
      </c>
      <c r="B292" s="175" t="s">
        <v>718</v>
      </c>
      <c r="C292" s="176" t="s">
        <v>644</v>
      </c>
      <c r="D292" s="177" t="n">
        <v>29.45</v>
      </c>
      <c r="E292" s="143" t="n">
        <v>44317</v>
      </c>
      <c r="F292" s="177" t="n">
        <v>29.45</v>
      </c>
    </row>
    <row r="293" customFormat="false" ht="15" hidden="false" customHeight="false" outlineLevel="0" collapsed="false">
      <c r="A293" s="81" t="s">
        <v>59</v>
      </c>
      <c r="B293" s="175" t="s">
        <v>718</v>
      </c>
      <c r="C293" s="176" t="s">
        <v>673</v>
      </c>
      <c r="D293" s="177" t="n">
        <v>16.75</v>
      </c>
      <c r="E293" s="143" t="n">
        <v>44317</v>
      </c>
      <c r="F293" s="177" t="n">
        <v>16.75</v>
      </c>
    </row>
    <row r="294" customFormat="false" ht="15" hidden="false" customHeight="false" outlineLevel="0" collapsed="false">
      <c r="A294" s="81" t="s">
        <v>59</v>
      </c>
      <c r="B294" s="175" t="s">
        <v>718</v>
      </c>
      <c r="C294" s="176" t="s">
        <v>673</v>
      </c>
      <c r="D294" s="177" t="n">
        <v>18.58</v>
      </c>
      <c r="E294" s="143" t="n">
        <v>44317</v>
      </c>
      <c r="F294" s="177" t="n">
        <v>18.58</v>
      </c>
    </row>
    <row r="295" customFormat="false" ht="15" hidden="false" customHeight="false" outlineLevel="0" collapsed="false">
      <c r="A295" s="81" t="s">
        <v>59</v>
      </c>
      <c r="B295" s="175" t="s">
        <v>719</v>
      </c>
      <c r="C295" s="176" t="s">
        <v>536</v>
      </c>
      <c r="D295" s="177" t="n">
        <v>265.34</v>
      </c>
      <c r="E295" s="143" t="n">
        <v>44317</v>
      </c>
      <c r="F295" s="177" t="n">
        <v>265.34</v>
      </c>
    </row>
    <row r="296" customFormat="false" ht="15" hidden="false" customHeight="false" outlineLevel="0" collapsed="false">
      <c r="A296" s="81" t="s">
        <v>64</v>
      </c>
      <c r="B296" s="175" t="s">
        <v>340</v>
      </c>
      <c r="C296" s="176" t="s">
        <v>669</v>
      </c>
      <c r="D296" s="177" t="n">
        <v>75.72</v>
      </c>
      <c r="E296" s="143" t="n">
        <v>44317</v>
      </c>
      <c r="F296" s="177" t="n">
        <v>75.72</v>
      </c>
    </row>
    <row r="297" customFormat="false" ht="15" hidden="false" customHeight="false" outlineLevel="0" collapsed="false">
      <c r="A297" s="81" t="s">
        <v>59</v>
      </c>
      <c r="B297" s="175" t="s">
        <v>355</v>
      </c>
      <c r="C297" s="176" t="s">
        <v>720</v>
      </c>
      <c r="D297" s="177" t="n">
        <v>42.55</v>
      </c>
      <c r="E297" s="143" t="n">
        <v>44317</v>
      </c>
      <c r="F297" s="177" t="n">
        <v>42.55</v>
      </c>
    </row>
    <row r="298" customFormat="false" ht="15" hidden="false" customHeight="false" outlineLevel="0" collapsed="false">
      <c r="A298" s="81" t="s">
        <v>59</v>
      </c>
      <c r="B298" s="175" t="s">
        <v>355</v>
      </c>
      <c r="C298" s="176" t="s">
        <v>720</v>
      </c>
      <c r="D298" s="177" t="n">
        <v>4.9</v>
      </c>
      <c r="E298" s="143" t="n">
        <v>44317</v>
      </c>
      <c r="F298" s="177" t="n">
        <v>4.9</v>
      </c>
    </row>
    <row r="299" customFormat="false" ht="15" hidden="false" customHeight="false" outlineLevel="0" collapsed="false">
      <c r="A299" s="81" t="s">
        <v>59</v>
      </c>
      <c r="B299" s="175" t="s">
        <v>358</v>
      </c>
      <c r="C299" s="176" t="s">
        <v>721</v>
      </c>
      <c r="D299" s="177" t="n">
        <v>8.5</v>
      </c>
      <c r="E299" s="143" t="n">
        <v>44317</v>
      </c>
      <c r="F299" s="177" t="n">
        <v>8.5</v>
      </c>
    </row>
    <row r="300" customFormat="false" ht="15" hidden="false" customHeight="false" outlineLevel="0" collapsed="false">
      <c r="A300" s="81" t="s">
        <v>59</v>
      </c>
      <c r="B300" s="175" t="s">
        <v>358</v>
      </c>
      <c r="C300" s="176" t="s">
        <v>722</v>
      </c>
      <c r="D300" s="177" t="n">
        <v>17.75</v>
      </c>
      <c r="E300" s="143" t="n">
        <v>44317</v>
      </c>
      <c r="F300" s="177" t="n">
        <v>17.75</v>
      </c>
    </row>
    <row r="301" customFormat="false" ht="15" hidden="false" customHeight="false" outlineLevel="0" collapsed="false">
      <c r="A301" s="81" t="s">
        <v>64</v>
      </c>
      <c r="B301" s="175" t="s">
        <v>361</v>
      </c>
      <c r="C301" s="176" t="s">
        <v>670</v>
      </c>
      <c r="D301" s="177" t="n">
        <v>124.63</v>
      </c>
      <c r="E301" s="143" t="n">
        <v>44317</v>
      </c>
      <c r="F301" s="177" t="n">
        <v>124.63</v>
      </c>
    </row>
    <row r="302" customFormat="false" ht="15" hidden="false" customHeight="false" outlineLevel="0" collapsed="false">
      <c r="A302" s="81" t="s">
        <v>529</v>
      </c>
      <c r="B302" s="175" t="s">
        <v>337</v>
      </c>
      <c r="C302" s="176" t="s">
        <v>582</v>
      </c>
      <c r="D302" s="81" t="n">
        <v>91.55</v>
      </c>
      <c r="E302" s="143" t="n">
        <v>44317</v>
      </c>
      <c r="F302" s="81" t="n">
        <v>91.55</v>
      </c>
    </row>
    <row r="303" customFormat="false" ht="15" hidden="false" customHeight="false" outlineLevel="0" collapsed="false">
      <c r="A303" s="0" t="s">
        <v>59</v>
      </c>
      <c r="B303" s="174" t="s">
        <v>110</v>
      </c>
      <c r="C303" s="166" t="s">
        <v>723</v>
      </c>
      <c r="D303" s="167" t="n">
        <v>0</v>
      </c>
      <c r="E303" s="178" t="n">
        <v>44348</v>
      </c>
      <c r="F303" s="165" t="n">
        <v>79.9</v>
      </c>
    </row>
    <row r="304" customFormat="false" ht="15" hidden="false" customHeight="false" outlineLevel="0" collapsed="false">
      <c r="A304" s="0" t="s">
        <v>59</v>
      </c>
      <c r="B304" s="174" t="s">
        <v>629</v>
      </c>
      <c r="C304" s="166" t="s">
        <v>724</v>
      </c>
      <c r="D304" s="167" t="n">
        <v>0</v>
      </c>
      <c r="E304" s="178" t="n">
        <v>44348</v>
      </c>
      <c r="F304" s="165" t="n">
        <v>51.14</v>
      </c>
    </row>
    <row r="305" customFormat="false" ht="15" hidden="false" customHeight="false" outlineLevel="0" collapsed="false">
      <c r="A305" s="0" t="s">
        <v>59</v>
      </c>
      <c r="B305" s="174" t="s">
        <v>632</v>
      </c>
      <c r="C305" s="166" t="s">
        <v>725</v>
      </c>
      <c r="D305" s="167" t="n">
        <v>0</v>
      </c>
      <c r="E305" s="178" t="n">
        <v>44348</v>
      </c>
      <c r="F305" s="165" t="n">
        <v>324.83</v>
      </c>
    </row>
    <row r="306" customFormat="false" ht="15" hidden="false" customHeight="false" outlineLevel="0" collapsed="false">
      <c r="A306" s="0" t="s">
        <v>59</v>
      </c>
      <c r="B306" s="174" t="s">
        <v>278</v>
      </c>
      <c r="C306" s="166" t="s">
        <v>726</v>
      </c>
      <c r="D306" s="167" t="n">
        <v>0</v>
      </c>
      <c r="E306" s="178" t="n">
        <v>44348</v>
      </c>
      <c r="F306" s="165" t="n">
        <v>74.94</v>
      </c>
    </row>
    <row r="307" customFormat="false" ht="15" hidden="false" customHeight="false" outlineLevel="0" collapsed="false">
      <c r="A307" s="0" t="s">
        <v>59</v>
      </c>
      <c r="B307" s="174" t="s">
        <v>313</v>
      </c>
      <c r="C307" s="166" t="s">
        <v>727</v>
      </c>
      <c r="D307" s="167" t="n">
        <v>0</v>
      </c>
      <c r="E307" s="178" t="n">
        <v>44348</v>
      </c>
      <c r="F307" s="165" t="n">
        <v>-0.01</v>
      </c>
    </row>
    <row r="308" customFormat="false" ht="15" hidden="false" customHeight="false" outlineLevel="0" collapsed="false">
      <c r="A308" s="0" t="s">
        <v>59</v>
      </c>
      <c r="B308" s="174" t="s">
        <v>313</v>
      </c>
      <c r="C308" s="166" t="s">
        <v>659</v>
      </c>
      <c r="D308" s="167" t="n">
        <v>0</v>
      </c>
      <c r="E308" s="178" t="n">
        <v>44348</v>
      </c>
      <c r="F308" s="165" t="n">
        <v>81</v>
      </c>
    </row>
    <row r="309" customFormat="false" ht="15" hidden="false" customHeight="false" outlineLevel="0" collapsed="false">
      <c r="A309" s="0" t="s">
        <v>64</v>
      </c>
      <c r="B309" s="174" t="s">
        <v>698</v>
      </c>
      <c r="C309" s="166" t="s">
        <v>693</v>
      </c>
      <c r="D309" s="167" t="n">
        <v>0</v>
      </c>
      <c r="E309" s="178" t="n">
        <v>44348</v>
      </c>
      <c r="F309" s="165" t="n">
        <v>242.3</v>
      </c>
    </row>
    <row r="310" customFormat="false" ht="15" hidden="false" customHeight="false" outlineLevel="0" collapsed="false">
      <c r="A310" s="0" t="s">
        <v>64</v>
      </c>
      <c r="B310" s="174" t="s">
        <v>319</v>
      </c>
      <c r="C310" s="166" t="s">
        <v>669</v>
      </c>
      <c r="D310" s="167" t="n">
        <v>0</v>
      </c>
      <c r="E310" s="178" t="n">
        <v>44348</v>
      </c>
      <c r="F310" s="165" t="n">
        <v>-0.01</v>
      </c>
    </row>
    <row r="311" customFormat="false" ht="15" hidden="false" customHeight="false" outlineLevel="0" collapsed="false">
      <c r="A311" s="0" t="s">
        <v>64</v>
      </c>
      <c r="B311" s="174" t="s">
        <v>319</v>
      </c>
      <c r="C311" s="166" t="s">
        <v>693</v>
      </c>
      <c r="D311" s="167" t="n">
        <v>0</v>
      </c>
      <c r="E311" s="178" t="n">
        <v>44348</v>
      </c>
      <c r="F311" s="165" t="n">
        <v>132.09</v>
      </c>
    </row>
    <row r="312" customFormat="false" ht="15" hidden="false" customHeight="false" outlineLevel="0" collapsed="false">
      <c r="A312" s="0" t="s">
        <v>59</v>
      </c>
      <c r="B312" s="174" t="s">
        <v>335</v>
      </c>
      <c r="C312" s="166" t="s">
        <v>728</v>
      </c>
      <c r="D312" s="167" t="n">
        <v>0</v>
      </c>
      <c r="E312" s="178" t="n">
        <v>44348</v>
      </c>
      <c r="F312" s="165" t="n">
        <v>242.91</v>
      </c>
    </row>
    <row r="313" customFormat="false" ht="15" hidden="false" customHeight="false" outlineLevel="0" collapsed="false">
      <c r="A313" s="0" t="s">
        <v>59</v>
      </c>
      <c r="B313" s="174" t="s">
        <v>335</v>
      </c>
      <c r="C313" s="166" t="s">
        <v>729</v>
      </c>
      <c r="D313" s="167" t="n">
        <v>0</v>
      </c>
      <c r="E313" s="178" t="n">
        <v>44348</v>
      </c>
      <c r="F313" s="165" t="n">
        <v>-0.04</v>
      </c>
    </row>
    <row r="314" customFormat="false" ht="15" hidden="false" customHeight="false" outlineLevel="0" collapsed="false">
      <c r="A314" s="0" t="s">
        <v>64</v>
      </c>
      <c r="B314" s="174" t="s">
        <v>337</v>
      </c>
      <c r="C314" s="166" t="s">
        <v>693</v>
      </c>
      <c r="D314" s="167" t="n">
        <v>0</v>
      </c>
      <c r="E314" s="178" t="n">
        <v>44348</v>
      </c>
      <c r="F314" s="165" t="n">
        <v>127.28</v>
      </c>
    </row>
    <row r="315" customFormat="false" ht="15" hidden="false" customHeight="false" outlineLevel="0" collapsed="false">
      <c r="A315" s="0" t="s">
        <v>59</v>
      </c>
      <c r="B315" s="174" t="s">
        <v>718</v>
      </c>
      <c r="C315" s="166" t="s">
        <v>659</v>
      </c>
      <c r="D315" s="167" t="n">
        <v>0</v>
      </c>
      <c r="E315" s="178" t="n">
        <v>44348</v>
      </c>
      <c r="F315" s="165" t="n">
        <v>11.73</v>
      </c>
    </row>
    <row r="316" customFormat="false" ht="15" hidden="false" customHeight="false" outlineLevel="0" collapsed="false">
      <c r="A316" s="0" t="s">
        <v>59</v>
      </c>
      <c r="B316" s="174" t="s">
        <v>718</v>
      </c>
      <c r="C316" s="166" t="s">
        <v>661</v>
      </c>
      <c r="D316" s="167" t="n">
        <v>0</v>
      </c>
      <c r="E316" s="178" t="n">
        <v>44348</v>
      </c>
      <c r="F316" s="165" t="n">
        <v>29.45</v>
      </c>
    </row>
    <row r="317" customFormat="false" ht="15" hidden="false" customHeight="false" outlineLevel="0" collapsed="false">
      <c r="A317" s="0" t="s">
        <v>59</v>
      </c>
      <c r="B317" s="174" t="s">
        <v>718</v>
      </c>
      <c r="C317" s="166" t="s">
        <v>501</v>
      </c>
      <c r="D317" s="167" t="n">
        <v>0</v>
      </c>
      <c r="E317" s="178" t="n">
        <v>44348</v>
      </c>
      <c r="F317" s="165" t="n">
        <v>16.75</v>
      </c>
    </row>
    <row r="318" customFormat="false" ht="15" hidden="false" customHeight="false" outlineLevel="0" collapsed="false">
      <c r="A318" s="0" t="s">
        <v>59</v>
      </c>
      <c r="B318" s="174" t="s">
        <v>718</v>
      </c>
      <c r="C318" s="166" t="s">
        <v>501</v>
      </c>
      <c r="D318" s="167" t="n">
        <v>0</v>
      </c>
      <c r="E318" s="178" t="n">
        <v>44348</v>
      </c>
      <c r="F318" s="165" t="n">
        <v>18.58</v>
      </c>
    </row>
    <row r="319" customFormat="false" ht="15" hidden="false" customHeight="false" outlineLevel="0" collapsed="false">
      <c r="A319" s="0" t="s">
        <v>59</v>
      </c>
      <c r="B319" s="174" t="s">
        <v>358</v>
      </c>
      <c r="C319" s="166" t="s">
        <v>730</v>
      </c>
      <c r="D319" s="167" t="n">
        <v>0</v>
      </c>
      <c r="E319" s="178" t="n">
        <v>44348</v>
      </c>
      <c r="F319" s="165" t="n">
        <v>17.75</v>
      </c>
    </row>
    <row r="320" customFormat="false" ht="15" hidden="false" customHeight="false" outlineLevel="0" collapsed="false">
      <c r="A320" s="0" t="s">
        <v>64</v>
      </c>
      <c r="B320" s="174" t="s">
        <v>361</v>
      </c>
      <c r="C320" s="166" t="s">
        <v>693</v>
      </c>
      <c r="D320" s="167" t="n">
        <v>0</v>
      </c>
      <c r="E320" s="178" t="n">
        <v>44348</v>
      </c>
      <c r="F320" s="165" t="n">
        <v>124.63</v>
      </c>
    </row>
    <row r="321" customFormat="false" ht="15" hidden="false" customHeight="false" outlineLevel="0" collapsed="false">
      <c r="A321" s="0" t="s">
        <v>62</v>
      </c>
      <c r="B321" s="174" t="s">
        <v>363</v>
      </c>
      <c r="C321" s="166" t="s">
        <v>634</v>
      </c>
      <c r="D321" s="167" t="n">
        <v>0</v>
      </c>
      <c r="E321" s="178" t="n">
        <v>44348</v>
      </c>
      <c r="F321" s="165" t="n">
        <v>28.8</v>
      </c>
    </row>
    <row r="322" customFormat="false" ht="15" hidden="false" customHeight="false" outlineLevel="0" collapsed="false">
      <c r="A322" s="0" t="s">
        <v>59</v>
      </c>
      <c r="B322" s="174" t="s">
        <v>363</v>
      </c>
      <c r="C322" s="166" t="s">
        <v>731</v>
      </c>
      <c r="D322" s="167" t="n">
        <v>0</v>
      </c>
      <c r="E322" s="178" t="n">
        <v>44348</v>
      </c>
      <c r="F322" s="165" t="n">
        <v>50</v>
      </c>
    </row>
    <row r="323" customFormat="false" ht="15" hidden="false" customHeight="false" outlineLevel="0" collapsed="false">
      <c r="A323" s="0" t="s">
        <v>59</v>
      </c>
      <c r="B323" s="174" t="s">
        <v>363</v>
      </c>
      <c r="C323" s="166" t="s">
        <v>732</v>
      </c>
      <c r="D323" s="167" t="n">
        <v>0</v>
      </c>
      <c r="E323" s="178" t="n">
        <v>44348</v>
      </c>
      <c r="F323" s="165" t="n">
        <v>136</v>
      </c>
    </row>
    <row r="324" customFormat="false" ht="15" hidden="false" customHeight="false" outlineLevel="0" collapsed="false">
      <c r="A324" s="0" t="s">
        <v>59</v>
      </c>
      <c r="B324" s="174" t="s">
        <v>363</v>
      </c>
      <c r="C324" s="166" t="s">
        <v>733</v>
      </c>
      <c r="D324" s="167" t="n">
        <v>0</v>
      </c>
      <c r="E324" s="178" t="n">
        <v>44348</v>
      </c>
      <c r="F324" s="165" t="n">
        <v>50.7</v>
      </c>
    </row>
    <row r="325" customFormat="false" ht="15" hidden="false" customHeight="false" outlineLevel="0" collapsed="false">
      <c r="A325" s="0" t="s">
        <v>124</v>
      </c>
      <c r="B325" s="174" t="s">
        <v>363</v>
      </c>
      <c r="C325" s="166" t="s">
        <v>543</v>
      </c>
      <c r="D325" s="167" t="n">
        <v>0</v>
      </c>
      <c r="E325" s="178" t="n">
        <v>44348</v>
      </c>
      <c r="F325" s="165" t="n">
        <v>13</v>
      </c>
    </row>
    <row r="326" customFormat="false" ht="15" hidden="false" customHeight="false" outlineLevel="0" collapsed="false">
      <c r="A326" s="0" t="s">
        <v>59</v>
      </c>
      <c r="B326" s="174" t="s">
        <v>363</v>
      </c>
      <c r="C326" s="166" t="s">
        <v>734</v>
      </c>
      <c r="D326" s="167" t="n">
        <v>0</v>
      </c>
      <c r="E326" s="178" t="n">
        <v>44348</v>
      </c>
      <c r="F326" s="165" t="n">
        <v>99.5</v>
      </c>
    </row>
    <row r="327" customFormat="false" ht="15" hidden="false" customHeight="false" outlineLevel="0" collapsed="false">
      <c r="A327" s="0" t="s">
        <v>59</v>
      </c>
      <c r="B327" s="174" t="s">
        <v>363</v>
      </c>
      <c r="C327" s="166" t="s">
        <v>734</v>
      </c>
      <c r="D327" s="167" t="n">
        <v>0</v>
      </c>
      <c r="E327" s="178" t="n">
        <v>44348</v>
      </c>
      <c r="F327" s="165" t="n">
        <v>109.5</v>
      </c>
    </row>
    <row r="328" customFormat="false" ht="15" hidden="false" customHeight="false" outlineLevel="0" collapsed="false">
      <c r="A328" s="0" t="s">
        <v>53</v>
      </c>
      <c r="B328" s="174" t="s">
        <v>735</v>
      </c>
      <c r="C328" s="166" t="s">
        <v>707</v>
      </c>
      <c r="D328" s="167" t="n">
        <v>0</v>
      </c>
      <c r="E328" s="178" t="n">
        <v>44348</v>
      </c>
      <c r="F328" s="165" t="n">
        <v>44.47</v>
      </c>
    </row>
    <row r="329" customFormat="false" ht="15" hidden="false" customHeight="false" outlineLevel="0" collapsed="false">
      <c r="A329" s="0" t="s">
        <v>64</v>
      </c>
      <c r="B329" s="174" t="s">
        <v>735</v>
      </c>
      <c r="C329" s="166" t="s">
        <v>669</v>
      </c>
      <c r="D329" s="167" t="n">
        <v>0</v>
      </c>
      <c r="E329" s="178" t="n">
        <v>44348</v>
      </c>
      <c r="F329" s="165" t="n">
        <v>94.35</v>
      </c>
    </row>
    <row r="330" customFormat="false" ht="15" hidden="false" customHeight="false" outlineLevel="0" collapsed="false">
      <c r="A330" s="0" t="s">
        <v>59</v>
      </c>
      <c r="B330" s="174" t="s">
        <v>735</v>
      </c>
      <c r="C330" s="166" t="s">
        <v>736</v>
      </c>
      <c r="D330" s="167" t="n">
        <v>0</v>
      </c>
      <c r="E330" s="178" t="n">
        <v>44348</v>
      </c>
      <c r="F330" s="165" t="n">
        <v>9.9</v>
      </c>
    </row>
    <row r="331" customFormat="false" ht="15" hidden="false" customHeight="false" outlineLevel="0" collapsed="false">
      <c r="A331" s="0" t="s">
        <v>53</v>
      </c>
      <c r="B331" s="174" t="s">
        <v>737</v>
      </c>
      <c r="C331" s="166" t="s">
        <v>707</v>
      </c>
      <c r="D331" s="167" t="n">
        <v>0</v>
      </c>
      <c r="E331" s="178" t="n">
        <v>44348</v>
      </c>
      <c r="F331" s="165" t="n">
        <v>34.09</v>
      </c>
    </row>
    <row r="332" customFormat="false" ht="15" hidden="false" customHeight="false" outlineLevel="0" collapsed="false">
      <c r="A332" s="0" t="s">
        <v>509</v>
      </c>
      <c r="B332" s="174" t="s">
        <v>737</v>
      </c>
      <c r="C332" s="166" t="s">
        <v>520</v>
      </c>
      <c r="D332" s="167" t="n">
        <v>0</v>
      </c>
      <c r="E332" s="178" t="n">
        <v>44348</v>
      </c>
      <c r="F332" s="165" t="n">
        <v>234.75</v>
      </c>
    </row>
    <row r="333" customFormat="false" ht="15" hidden="false" customHeight="false" outlineLevel="0" collapsed="false">
      <c r="A333" s="0" t="s">
        <v>62</v>
      </c>
      <c r="B333" s="174" t="s">
        <v>737</v>
      </c>
      <c r="C333" s="166" t="s">
        <v>532</v>
      </c>
      <c r="D333" s="167" t="n">
        <v>0</v>
      </c>
      <c r="E333" s="178" t="n">
        <v>44348</v>
      </c>
      <c r="F333" s="165" t="n">
        <v>157.69</v>
      </c>
    </row>
    <row r="334" customFormat="false" ht="15" hidden="false" customHeight="false" outlineLevel="0" collapsed="false">
      <c r="A334" s="0" t="s">
        <v>59</v>
      </c>
      <c r="B334" s="174" t="s">
        <v>737</v>
      </c>
      <c r="C334" s="166" t="s">
        <v>738</v>
      </c>
      <c r="D334" s="167" t="n">
        <v>0</v>
      </c>
      <c r="E334" s="178" t="n">
        <v>44348</v>
      </c>
      <c r="F334" s="165" t="n">
        <v>140</v>
      </c>
    </row>
    <row r="335" customFormat="false" ht="15" hidden="false" customHeight="false" outlineLevel="0" collapsed="false">
      <c r="A335" s="0" t="s">
        <v>57</v>
      </c>
      <c r="B335" s="174" t="s">
        <v>737</v>
      </c>
      <c r="C335" s="166" t="s">
        <v>687</v>
      </c>
      <c r="D335" s="167" t="n">
        <v>0</v>
      </c>
      <c r="E335" s="178" t="n">
        <v>44348</v>
      </c>
      <c r="F335" s="165" t="n">
        <v>113.01</v>
      </c>
    </row>
    <row r="336" customFormat="false" ht="15" hidden="false" customHeight="false" outlineLevel="0" collapsed="false">
      <c r="A336" s="0" t="s">
        <v>505</v>
      </c>
      <c r="B336" s="174" t="s">
        <v>366</v>
      </c>
      <c r="C336" s="166" t="s">
        <v>512</v>
      </c>
      <c r="D336" s="167" t="n">
        <v>0</v>
      </c>
      <c r="E336" s="178" t="n">
        <v>44348</v>
      </c>
      <c r="F336" s="165" t="n">
        <v>9.9</v>
      </c>
    </row>
    <row r="337" customFormat="false" ht="15" hidden="false" customHeight="false" outlineLevel="0" collapsed="false">
      <c r="A337" s="0" t="s">
        <v>59</v>
      </c>
      <c r="B337" s="174" t="s">
        <v>370</v>
      </c>
      <c r="C337" s="166" t="s">
        <v>667</v>
      </c>
      <c r="D337" s="167" t="n">
        <v>0</v>
      </c>
      <c r="E337" s="178" t="n">
        <v>44348</v>
      </c>
      <c r="F337" s="165" t="n">
        <v>37.9</v>
      </c>
    </row>
    <row r="338" customFormat="false" ht="15" hidden="false" customHeight="false" outlineLevel="0" collapsed="false">
      <c r="A338" s="0" t="s">
        <v>59</v>
      </c>
      <c r="B338" s="174" t="s">
        <v>370</v>
      </c>
      <c r="C338" s="166" t="s">
        <v>679</v>
      </c>
      <c r="D338" s="167" t="n">
        <v>0</v>
      </c>
      <c r="E338" s="178" t="n">
        <v>44348</v>
      </c>
      <c r="F338" s="165" t="n">
        <v>25</v>
      </c>
    </row>
    <row r="339" customFormat="false" ht="15" hidden="false" customHeight="false" outlineLevel="0" collapsed="false">
      <c r="A339" s="0" t="s">
        <v>57</v>
      </c>
      <c r="B339" s="174" t="s">
        <v>370</v>
      </c>
      <c r="C339" s="166" t="s">
        <v>534</v>
      </c>
      <c r="D339" s="167" t="n">
        <v>0</v>
      </c>
      <c r="E339" s="178" t="n">
        <v>44348</v>
      </c>
      <c r="F339" s="165" t="n">
        <v>73.68</v>
      </c>
    </row>
    <row r="340" customFormat="false" ht="15" hidden="false" customHeight="false" outlineLevel="0" collapsed="false">
      <c r="A340" s="0" t="s">
        <v>64</v>
      </c>
      <c r="B340" s="174" t="s">
        <v>370</v>
      </c>
      <c r="C340" s="166" t="s">
        <v>670</v>
      </c>
      <c r="D340" s="167" t="n">
        <v>0</v>
      </c>
      <c r="E340" s="178" t="n">
        <v>44348</v>
      </c>
      <c r="F340" s="165" t="n">
        <v>137</v>
      </c>
    </row>
    <row r="341" customFormat="false" ht="15" hidden="false" customHeight="false" outlineLevel="0" collapsed="false">
      <c r="A341" s="0" t="s">
        <v>64</v>
      </c>
      <c r="B341" s="174" t="s">
        <v>373</v>
      </c>
      <c r="C341" s="166" t="s">
        <v>669</v>
      </c>
      <c r="D341" s="167" t="n">
        <v>0</v>
      </c>
      <c r="E341" s="178" t="n">
        <v>44348</v>
      </c>
      <c r="F341" s="165" t="n">
        <v>84.24</v>
      </c>
    </row>
    <row r="342" customFormat="false" ht="15" hidden="false" customHeight="false" outlineLevel="0" collapsed="false">
      <c r="A342" s="0" t="s">
        <v>64</v>
      </c>
      <c r="B342" s="174" t="s">
        <v>373</v>
      </c>
      <c r="C342" s="166" t="s">
        <v>670</v>
      </c>
      <c r="D342" s="167" t="n">
        <v>0</v>
      </c>
      <c r="E342" s="178" t="n">
        <v>44348</v>
      </c>
      <c r="F342" s="165" t="n">
        <v>130.3</v>
      </c>
    </row>
    <row r="343" customFormat="false" ht="15" hidden="false" customHeight="false" outlineLevel="0" collapsed="false">
      <c r="A343" s="0" t="s">
        <v>59</v>
      </c>
      <c r="B343" s="174" t="s">
        <v>739</v>
      </c>
      <c r="C343" s="166" t="s">
        <v>740</v>
      </c>
      <c r="D343" s="167" t="n">
        <v>0</v>
      </c>
      <c r="E343" s="178" t="n">
        <v>44348</v>
      </c>
      <c r="F343" s="165" t="n">
        <v>33.33</v>
      </c>
    </row>
    <row r="344" customFormat="false" ht="15" hidden="false" customHeight="false" outlineLevel="0" collapsed="false">
      <c r="A344" s="0" t="s">
        <v>59</v>
      </c>
      <c r="B344" s="174" t="s">
        <v>741</v>
      </c>
      <c r="C344" s="166" t="s">
        <v>685</v>
      </c>
      <c r="D344" s="167" t="n">
        <v>0</v>
      </c>
      <c r="E344" s="178" t="n">
        <v>44348</v>
      </c>
      <c r="F344" s="165" t="n">
        <v>131</v>
      </c>
    </row>
    <row r="345" customFormat="false" ht="15" hidden="false" customHeight="false" outlineLevel="0" collapsed="false">
      <c r="A345" s="0" t="s">
        <v>59</v>
      </c>
      <c r="B345" s="174" t="s">
        <v>741</v>
      </c>
      <c r="C345" s="166" t="s">
        <v>742</v>
      </c>
      <c r="D345" s="167" t="n">
        <v>0</v>
      </c>
      <c r="E345" s="178" t="n">
        <v>44348</v>
      </c>
      <c r="F345" s="165" t="n">
        <v>13.51</v>
      </c>
    </row>
    <row r="346" customFormat="false" ht="15" hidden="false" customHeight="false" outlineLevel="0" collapsed="false">
      <c r="A346" s="0" t="s">
        <v>64</v>
      </c>
      <c r="B346" s="174" t="s">
        <v>375</v>
      </c>
      <c r="C346" s="166" t="s">
        <v>669</v>
      </c>
      <c r="D346" s="167" t="n">
        <v>0</v>
      </c>
      <c r="E346" s="178" t="n">
        <v>44348</v>
      </c>
      <c r="F346" s="165" t="n">
        <v>88.5</v>
      </c>
    </row>
    <row r="347" customFormat="false" ht="15" hidden="false" customHeight="false" outlineLevel="0" collapsed="false">
      <c r="A347" s="0" t="s">
        <v>509</v>
      </c>
      <c r="B347" s="174" t="s">
        <v>375</v>
      </c>
      <c r="C347" s="166" t="s">
        <v>556</v>
      </c>
      <c r="D347" s="167" t="n">
        <v>0</v>
      </c>
      <c r="E347" s="178" t="n">
        <v>44348</v>
      </c>
      <c r="F347" s="165" t="n">
        <v>254</v>
      </c>
    </row>
    <row r="348" customFormat="false" ht="15" hidden="false" customHeight="false" outlineLevel="0" collapsed="false">
      <c r="A348" s="0" t="s">
        <v>53</v>
      </c>
      <c r="B348" s="174" t="s">
        <v>381</v>
      </c>
      <c r="C348" s="166" t="s">
        <v>707</v>
      </c>
      <c r="D348" s="167" t="n">
        <v>0</v>
      </c>
      <c r="E348" s="178" t="n">
        <v>44348</v>
      </c>
      <c r="F348" s="165" t="n">
        <v>22.88</v>
      </c>
    </row>
    <row r="349" customFormat="false" ht="15" hidden="false" customHeight="false" outlineLevel="0" collapsed="false">
      <c r="A349" s="0" t="s">
        <v>529</v>
      </c>
      <c r="B349" s="174" t="s">
        <v>381</v>
      </c>
      <c r="C349" s="166" t="s">
        <v>705</v>
      </c>
      <c r="D349" s="167" t="n">
        <v>0</v>
      </c>
      <c r="E349" s="178" t="n">
        <v>44348</v>
      </c>
      <c r="F349" s="165" t="n">
        <v>21.9</v>
      </c>
    </row>
    <row r="350" customFormat="false" ht="15" hidden="false" customHeight="false" outlineLevel="0" collapsed="false">
      <c r="A350" s="0" t="s">
        <v>59</v>
      </c>
      <c r="B350" s="174" t="s">
        <v>382</v>
      </c>
      <c r="C350" s="166" t="s">
        <v>502</v>
      </c>
      <c r="D350" s="167" t="n">
        <v>0</v>
      </c>
      <c r="E350" s="178" t="n">
        <v>44348</v>
      </c>
      <c r="F350" s="165" t="n">
        <v>30.8</v>
      </c>
    </row>
    <row r="351" customFormat="false" ht="15" hidden="false" customHeight="false" outlineLevel="0" collapsed="false">
      <c r="A351" s="0" t="s">
        <v>59</v>
      </c>
      <c r="B351" s="174" t="s">
        <v>382</v>
      </c>
      <c r="C351" s="166" t="s">
        <v>502</v>
      </c>
      <c r="D351" s="167" t="n">
        <v>0</v>
      </c>
      <c r="E351" s="178" t="n">
        <v>44348</v>
      </c>
      <c r="F351" s="165" t="n">
        <v>35.32</v>
      </c>
    </row>
    <row r="352" customFormat="false" ht="15" hidden="false" customHeight="false" outlineLevel="0" collapsed="false">
      <c r="A352" s="0" t="s">
        <v>64</v>
      </c>
      <c r="B352" s="174" t="s">
        <v>383</v>
      </c>
      <c r="C352" s="166" t="s">
        <v>669</v>
      </c>
      <c r="D352" s="167" t="n">
        <v>0</v>
      </c>
      <c r="E352" s="178" t="n">
        <v>44348</v>
      </c>
      <c r="F352" s="165" t="n">
        <v>105.37</v>
      </c>
    </row>
    <row r="353" customFormat="false" ht="15" hidden="false" customHeight="false" outlineLevel="0" collapsed="false">
      <c r="A353" s="0" t="s">
        <v>64</v>
      </c>
      <c r="B353" s="174" t="s">
        <v>383</v>
      </c>
      <c r="C353" s="166" t="s">
        <v>669</v>
      </c>
      <c r="D353" s="167" t="n">
        <v>0</v>
      </c>
      <c r="E353" s="178" t="n">
        <v>44348</v>
      </c>
      <c r="F353" s="165" t="n">
        <v>51.36</v>
      </c>
    </row>
    <row r="354" customFormat="false" ht="15" hidden="false" customHeight="false" outlineLevel="0" collapsed="false">
      <c r="A354" s="0" t="s">
        <v>64</v>
      </c>
      <c r="B354" s="174" t="s">
        <v>383</v>
      </c>
      <c r="C354" s="166" t="s">
        <v>669</v>
      </c>
      <c r="D354" s="167" t="n">
        <v>0</v>
      </c>
      <c r="E354" s="178" t="n">
        <v>44348</v>
      </c>
      <c r="F354" s="165" t="n">
        <v>61.39</v>
      </c>
    </row>
    <row r="355" customFormat="false" ht="15" hidden="false" customHeight="false" outlineLevel="0" collapsed="false">
      <c r="A355" s="0" t="s">
        <v>505</v>
      </c>
      <c r="B355" s="174" t="s">
        <v>383</v>
      </c>
      <c r="C355" s="166" t="s">
        <v>512</v>
      </c>
      <c r="D355" s="167" t="n">
        <v>0</v>
      </c>
      <c r="E355" s="178" t="n">
        <v>44348</v>
      </c>
      <c r="F355" s="165" t="n">
        <v>99.9</v>
      </c>
    </row>
    <row r="356" customFormat="false" ht="15" hidden="false" customHeight="false" outlineLevel="0" collapsed="false">
      <c r="A356" s="0" t="s">
        <v>59</v>
      </c>
      <c r="B356" s="174" t="s">
        <v>384</v>
      </c>
      <c r="C356" s="166" t="s">
        <v>743</v>
      </c>
      <c r="D356" s="167" t="n">
        <v>0</v>
      </c>
      <c r="E356" s="178" t="n">
        <v>44348</v>
      </c>
      <c r="F356" s="165" t="n">
        <v>41.7</v>
      </c>
    </row>
    <row r="357" customFormat="false" ht="15" hidden="false" customHeight="false" outlineLevel="0" collapsed="false">
      <c r="A357" s="0" t="s">
        <v>529</v>
      </c>
      <c r="B357" s="174" t="s">
        <v>384</v>
      </c>
      <c r="C357" s="166" t="s">
        <v>539</v>
      </c>
      <c r="D357" s="167" t="n">
        <v>0</v>
      </c>
      <c r="E357" s="178" t="n">
        <v>44348</v>
      </c>
      <c r="F357" s="165" t="n">
        <v>45.9</v>
      </c>
    </row>
    <row r="358" customFormat="false" ht="15" hidden="false" customHeight="false" outlineLevel="0" collapsed="false">
      <c r="A358" s="0" t="s">
        <v>64</v>
      </c>
      <c r="B358" s="174" t="s">
        <v>744</v>
      </c>
      <c r="C358" s="166" t="s">
        <v>615</v>
      </c>
      <c r="D358" s="167" t="n">
        <v>0</v>
      </c>
      <c r="E358" s="178" t="n">
        <v>44348</v>
      </c>
      <c r="F358" s="165" t="n">
        <v>1.19</v>
      </c>
    </row>
    <row r="359" customFormat="false" ht="15" hidden="false" customHeight="false" outlineLevel="0" collapsed="false">
      <c r="A359" s="0" t="s">
        <v>64</v>
      </c>
      <c r="B359" s="174" t="s">
        <v>744</v>
      </c>
      <c r="C359" s="166" t="s">
        <v>615</v>
      </c>
      <c r="D359" s="167" t="n">
        <v>0</v>
      </c>
      <c r="E359" s="178" t="n">
        <v>44348</v>
      </c>
      <c r="F359" s="165" t="n">
        <v>17.48</v>
      </c>
    </row>
    <row r="360" customFormat="false" ht="15" hidden="false" customHeight="false" outlineLevel="0" collapsed="false">
      <c r="A360" s="0" t="s">
        <v>64</v>
      </c>
      <c r="B360" s="174" t="s">
        <v>744</v>
      </c>
      <c r="C360" s="166" t="s">
        <v>669</v>
      </c>
      <c r="D360" s="167" t="n">
        <v>0</v>
      </c>
      <c r="E360" s="178" t="n">
        <v>44348</v>
      </c>
      <c r="F360" s="165" t="n">
        <v>164.73</v>
      </c>
    </row>
    <row r="361" customFormat="false" ht="15" hidden="false" customHeight="false" outlineLevel="0" collapsed="false">
      <c r="A361" s="0" t="s">
        <v>59</v>
      </c>
      <c r="B361" s="174" t="s">
        <v>744</v>
      </c>
      <c r="C361" s="166" t="s">
        <v>745</v>
      </c>
      <c r="D361" s="167" t="n">
        <v>0</v>
      </c>
      <c r="E361" s="178" t="n">
        <v>44348</v>
      </c>
      <c r="F361" s="165" t="n">
        <v>30</v>
      </c>
    </row>
    <row r="362" customFormat="false" ht="15" hidden="false" customHeight="false" outlineLevel="0" collapsed="false">
      <c r="A362" s="0" t="s">
        <v>57</v>
      </c>
      <c r="B362" s="174" t="s">
        <v>746</v>
      </c>
      <c r="C362" s="166" t="s">
        <v>515</v>
      </c>
      <c r="D362" s="167" t="n">
        <v>0</v>
      </c>
      <c r="E362" s="178" t="n">
        <v>44348</v>
      </c>
      <c r="F362" s="165" t="n">
        <v>59.8</v>
      </c>
    </row>
    <row r="363" customFormat="false" ht="15" hidden="false" customHeight="false" outlineLevel="0" collapsed="false">
      <c r="A363" s="0" t="s">
        <v>59</v>
      </c>
      <c r="B363" s="174" t="s">
        <v>746</v>
      </c>
      <c r="C363" s="166" t="s">
        <v>747</v>
      </c>
      <c r="D363" s="167" t="n">
        <v>0</v>
      </c>
      <c r="E363" s="178" t="n">
        <v>44348</v>
      </c>
      <c r="F363" s="165" t="n">
        <v>70</v>
      </c>
    </row>
    <row r="364" customFormat="false" ht="15" hidden="false" customHeight="false" outlineLevel="0" collapsed="false">
      <c r="A364" s="0" t="s">
        <v>57</v>
      </c>
      <c r="B364" s="174" t="s">
        <v>746</v>
      </c>
      <c r="C364" s="166" t="s">
        <v>687</v>
      </c>
      <c r="D364" s="167" t="n">
        <v>0</v>
      </c>
      <c r="E364" s="178" t="n">
        <v>44348</v>
      </c>
      <c r="F364" s="165" t="n">
        <v>25.71</v>
      </c>
    </row>
    <row r="365" customFormat="false" ht="15" hidden="false" customHeight="false" outlineLevel="0" collapsed="false">
      <c r="A365" s="0" t="s">
        <v>509</v>
      </c>
      <c r="B365" s="174" t="s">
        <v>386</v>
      </c>
      <c r="C365" s="166" t="s">
        <v>556</v>
      </c>
      <c r="D365" s="167" t="n">
        <v>0</v>
      </c>
      <c r="E365" s="178" t="n">
        <v>44348</v>
      </c>
      <c r="F365" s="165" t="n">
        <v>262.48</v>
      </c>
    </row>
    <row r="366" customFormat="false" ht="15" hidden="false" customHeight="false" outlineLevel="0" collapsed="false">
      <c r="A366" s="0" t="s">
        <v>529</v>
      </c>
      <c r="B366" s="174" t="s">
        <v>386</v>
      </c>
      <c r="C366" s="166" t="s">
        <v>549</v>
      </c>
      <c r="D366" s="167" t="n">
        <v>0</v>
      </c>
      <c r="E366" s="178" t="n">
        <v>44348</v>
      </c>
      <c r="F366" s="165" t="n">
        <v>27.9</v>
      </c>
    </row>
    <row r="367" customFormat="false" ht="15" hidden="false" customHeight="false" outlineLevel="0" collapsed="false">
      <c r="A367" s="0" t="s">
        <v>59</v>
      </c>
      <c r="B367" s="174" t="s">
        <v>577</v>
      </c>
      <c r="C367" s="166" t="s">
        <v>748</v>
      </c>
      <c r="D367" s="167" t="n">
        <v>0</v>
      </c>
      <c r="E367" s="178" t="n">
        <v>44348</v>
      </c>
      <c r="F367" s="165" t="n">
        <v>19.99</v>
      </c>
    </row>
    <row r="368" customFormat="false" ht="15" hidden="false" customHeight="false" outlineLevel="0" collapsed="false">
      <c r="A368" s="0" t="s">
        <v>62</v>
      </c>
      <c r="B368" s="174" t="s">
        <v>749</v>
      </c>
      <c r="C368" s="166" t="s">
        <v>604</v>
      </c>
      <c r="D368" s="167" t="n">
        <v>0</v>
      </c>
      <c r="E368" s="178" t="n">
        <v>44348</v>
      </c>
      <c r="F368" s="165" t="n">
        <v>44.8</v>
      </c>
    </row>
    <row r="369" customFormat="false" ht="15" hidden="false" customHeight="false" outlineLevel="0" collapsed="false">
      <c r="A369" s="0" t="s">
        <v>64</v>
      </c>
      <c r="B369" s="174" t="s">
        <v>749</v>
      </c>
      <c r="C369" s="166" t="s">
        <v>670</v>
      </c>
      <c r="D369" s="167" t="n">
        <v>0</v>
      </c>
      <c r="E369" s="178" t="n">
        <v>44348</v>
      </c>
      <c r="F369" s="165" t="n">
        <v>152</v>
      </c>
    </row>
    <row r="370" customFormat="false" ht="15" hidden="false" customHeight="false" outlineLevel="0" collapsed="false">
      <c r="A370" s="0" t="s">
        <v>59</v>
      </c>
      <c r="B370" s="174" t="s">
        <v>750</v>
      </c>
      <c r="C370" s="166" t="s">
        <v>751</v>
      </c>
      <c r="D370" s="167" t="n">
        <v>0</v>
      </c>
      <c r="E370" s="178" t="n">
        <v>44348</v>
      </c>
      <c r="F370" s="165" t="n">
        <v>123</v>
      </c>
    </row>
    <row r="371" customFormat="false" ht="15" hidden="false" customHeight="false" outlineLevel="0" collapsed="false">
      <c r="A371" s="0" t="s">
        <v>59</v>
      </c>
      <c r="B371" s="174" t="s">
        <v>750</v>
      </c>
      <c r="C371" s="166" t="s">
        <v>752</v>
      </c>
      <c r="D371" s="167" t="n">
        <v>0</v>
      </c>
      <c r="E371" s="178" t="n">
        <v>44348</v>
      </c>
      <c r="F371" s="165" t="n">
        <v>340.14</v>
      </c>
    </row>
    <row r="372" customFormat="false" ht="15" hidden="false" customHeight="false" outlineLevel="0" collapsed="false">
      <c r="A372" s="0" t="s">
        <v>59</v>
      </c>
      <c r="B372" s="174" t="s">
        <v>750</v>
      </c>
      <c r="C372" s="166" t="s">
        <v>753</v>
      </c>
      <c r="D372" s="167" t="n">
        <v>0</v>
      </c>
      <c r="E372" s="178" t="n">
        <v>44348</v>
      </c>
      <c r="F372" s="165" t="n">
        <v>48.53</v>
      </c>
    </row>
    <row r="373" customFormat="false" ht="15" hidden="false" customHeight="false" outlineLevel="0" collapsed="false">
      <c r="A373" s="0" t="s">
        <v>64</v>
      </c>
      <c r="B373" s="174" t="s">
        <v>754</v>
      </c>
      <c r="C373" s="166" t="s">
        <v>669</v>
      </c>
      <c r="D373" s="167" t="n">
        <v>0</v>
      </c>
      <c r="E373" s="178" t="n">
        <v>44348</v>
      </c>
      <c r="F373" s="165" t="n">
        <v>23.64</v>
      </c>
    </row>
    <row r="374" customFormat="false" ht="15" hidden="false" customHeight="false" outlineLevel="0" collapsed="false">
      <c r="A374" s="0" t="s">
        <v>529</v>
      </c>
      <c r="B374" s="174" t="s">
        <v>754</v>
      </c>
      <c r="C374" s="166" t="s">
        <v>566</v>
      </c>
      <c r="D374" s="167" t="n">
        <v>0</v>
      </c>
      <c r="E374" s="178" t="n">
        <v>44348</v>
      </c>
      <c r="F374" s="165" t="n">
        <v>9.9</v>
      </c>
    </row>
    <row r="375" customFormat="false" ht="15" hidden="false" customHeight="false" outlineLevel="0" collapsed="false">
      <c r="A375" s="179" t="s">
        <v>529</v>
      </c>
      <c r="B375" s="174" t="s">
        <v>337</v>
      </c>
      <c r="C375" s="166" t="s">
        <v>582</v>
      </c>
      <c r="D375" s="167" t="n">
        <v>0</v>
      </c>
      <c r="E375" s="178" t="n">
        <v>44348</v>
      </c>
      <c r="F375" s="180" t="n">
        <v>88.84</v>
      </c>
    </row>
    <row r="376" customFormat="false" ht="17" hidden="false" customHeight="false" outlineLevel="0" collapsed="false">
      <c r="A376" s="181" t="s">
        <v>59</v>
      </c>
      <c r="B376" s="174" t="s">
        <v>394</v>
      </c>
      <c r="C376" s="166" t="s">
        <v>755</v>
      </c>
      <c r="D376" s="167" t="n">
        <v>0</v>
      </c>
      <c r="E376" s="178" t="n">
        <v>44348</v>
      </c>
      <c r="F376" s="165" t="n">
        <v>131.7</v>
      </c>
    </row>
    <row r="377" customFormat="false" ht="17" hidden="false" customHeight="false" outlineLevel="0" collapsed="false">
      <c r="A377" s="181" t="s">
        <v>509</v>
      </c>
      <c r="B377" s="174" t="s">
        <v>394</v>
      </c>
      <c r="C377" s="166" t="s">
        <v>556</v>
      </c>
      <c r="D377" s="167" t="n">
        <v>0</v>
      </c>
      <c r="E377" s="178" t="n">
        <v>44348</v>
      </c>
      <c r="F377" s="165" t="n">
        <v>258</v>
      </c>
    </row>
    <row r="378" customFormat="false" ht="17" hidden="false" customHeight="false" outlineLevel="0" collapsed="false">
      <c r="A378" s="181" t="s">
        <v>529</v>
      </c>
      <c r="B378" s="174" t="s">
        <v>397</v>
      </c>
      <c r="C378" s="166" t="s">
        <v>570</v>
      </c>
      <c r="D378" s="167" t="n">
        <v>0</v>
      </c>
      <c r="E378" s="178" t="n">
        <v>44348</v>
      </c>
      <c r="F378" s="165" t="n">
        <v>6.99</v>
      </c>
    </row>
    <row r="379" customFormat="false" ht="17" hidden="false" customHeight="false" outlineLevel="0" collapsed="false">
      <c r="A379" s="181" t="s">
        <v>64</v>
      </c>
      <c r="B379" s="174" t="s">
        <v>397</v>
      </c>
      <c r="C379" s="166" t="s">
        <v>670</v>
      </c>
      <c r="D379" s="167" t="n">
        <v>0</v>
      </c>
      <c r="E379" s="178" t="n">
        <v>44348</v>
      </c>
      <c r="F379" s="165" t="n">
        <v>103.64</v>
      </c>
    </row>
    <row r="380" customFormat="false" ht="17" hidden="false" customHeight="false" outlineLevel="0" collapsed="false">
      <c r="A380" s="148" t="s">
        <v>64</v>
      </c>
      <c r="B380" s="174" t="s">
        <v>398</v>
      </c>
      <c r="C380" s="166" t="s">
        <v>669</v>
      </c>
      <c r="D380" s="167" t="n">
        <v>0</v>
      </c>
      <c r="E380" s="178" t="n">
        <v>44348</v>
      </c>
      <c r="F380" s="165" t="n">
        <v>103.79</v>
      </c>
    </row>
    <row r="381" customFormat="false" ht="17" hidden="false" customHeight="false" outlineLevel="0" collapsed="false">
      <c r="A381" s="148" t="s">
        <v>59</v>
      </c>
      <c r="B381" s="174" t="s">
        <v>400</v>
      </c>
      <c r="C381" s="166" t="s">
        <v>756</v>
      </c>
      <c r="D381" s="167" t="n">
        <v>0</v>
      </c>
      <c r="E381" s="178" t="n">
        <v>44348</v>
      </c>
      <c r="F381" s="165" t="n">
        <v>63.7</v>
      </c>
    </row>
    <row r="382" customFormat="false" ht="17" hidden="false" customHeight="false" outlineLevel="0" collapsed="false">
      <c r="A382" s="148" t="s">
        <v>59</v>
      </c>
      <c r="B382" s="174" t="s">
        <v>400</v>
      </c>
      <c r="C382" s="166" t="s">
        <v>756</v>
      </c>
      <c r="D382" s="167" t="n">
        <v>0</v>
      </c>
      <c r="E382" s="178" t="n">
        <v>44348</v>
      </c>
      <c r="F382" s="165" t="n">
        <v>29.9</v>
      </c>
    </row>
    <row r="383" customFormat="false" ht="17" hidden="false" customHeight="false" outlineLevel="0" collapsed="false">
      <c r="A383" s="148" t="s">
        <v>59</v>
      </c>
      <c r="B383" s="174" t="s">
        <v>757</v>
      </c>
      <c r="C383" s="166" t="s">
        <v>758</v>
      </c>
      <c r="D383" s="167" t="n">
        <v>0</v>
      </c>
      <c r="E383" s="178" t="n">
        <v>44348</v>
      </c>
      <c r="F383" s="165" t="n">
        <v>90</v>
      </c>
    </row>
    <row r="384" customFormat="false" ht="12.8" hidden="false" customHeight="false" outlineLevel="0" collapsed="false">
      <c r="A384" s="45" t="s">
        <v>579</v>
      </c>
      <c r="B384" s="182" t="n">
        <v>44361</v>
      </c>
      <c r="C384" s="8" t="s">
        <v>759</v>
      </c>
      <c r="D384" s="32" t="n">
        <v>4000</v>
      </c>
      <c r="E384" s="178" t="n">
        <v>44348</v>
      </c>
      <c r="F384" s="183" t="n">
        <v>0</v>
      </c>
    </row>
  </sheetData>
  <autoFilter ref="A1:D252"/>
  <printOptions headings="false" gridLines="false" gridLinesSet="true" horizontalCentered="false" verticalCentered="false"/>
  <pageMargins left="0.511805555555555" right="0.511805555555555" top="0.7875" bottom="0.78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39"/>
  <sheetViews>
    <sheetView showFormulas="false" showGridLines="true" showRowColHeaders="true" showZeros="true" rightToLeft="false" tabSelected="false" showOutlineSymbols="true" defaultGridColor="true" view="normal" topLeftCell="A1" colorId="64" zoomScale="84" zoomScaleNormal="84" zoomScalePageLayoutView="100" workbookViewId="0">
      <selection pane="topLeft" activeCell="D2" activeCellId="0" sqref="D2"/>
    </sheetView>
  </sheetViews>
  <sheetFormatPr defaultRowHeight="12.8" zeroHeight="false" outlineLevelRow="0" outlineLevelCol="0"/>
  <cols>
    <col collapsed="false" customWidth="true" hidden="false" outlineLevel="0" max="1" min="1" style="0" width="6.14"/>
    <col collapsed="false" customWidth="true" hidden="false" outlineLevel="0" max="2" min="2" style="0" width="12.26"/>
    <col collapsed="false" customWidth="true" hidden="false" outlineLevel="0" max="3" min="3" style="0" width="43.33"/>
    <col collapsed="false" customWidth="true" hidden="false" outlineLevel="0" max="4" min="4" style="0" width="11.11"/>
    <col collapsed="false" customWidth="true" hidden="false" outlineLevel="0" max="5" min="5" style="178" width="11.91"/>
    <col collapsed="false" customWidth="true" hidden="false" outlineLevel="0" max="6" min="6" style="0" width="11.11"/>
    <col collapsed="false" customWidth="false" hidden="false" outlineLevel="0" max="1025" min="7" style="0" width="11.52"/>
  </cols>
  <sheetData>
    <row r="1" customFormat="false" ht="15" hidden="false" customHeight="false" outlineLevel="0" collapsed="false">
      <c r="A1" s="83" t="s">
        <v>481</v>
      </c>
      <c r="B1" s="152" t="s">
        <v>44</v>
      </c>
      <c r="C1" s="153" t="s">
        <v>45</v>
      </c>
      <c r="D1" s="154" t="s">
        <v>7</v>
      </c>
      <c r="E1" s="155" t="s">
        <v>50</v>
      </c>
      <c r="F1" s="59"/>
    </row>
    <row r="2" customFormat="false" ht="17" hidden="false" customHeight="false" outlineLevel="0" collapsed="false">
      <c r="B2" s="174" t="s">
        <v>110</v>
      </c>
      <c r="C2" s="166" t="s">
        <v>760</v>
      </c>
      <c r="D2" s="167" t="n">
        <v>79.9</v>
      </c>
      <c r="E2" s="96" t="n">
        <v>44378</v>
      </c>
    </row>
    <row r="3" customFormat="false" ht="17" hidden="false" customHeight="false" outlineLevel="0" collapsed="false">
      <c r="B3" s="174" t="s">
        <v>632</v>
      </c>
      <c r="C3" s="166" t="s">
        <v>761</v>
      </c>
      <c r="D3" s="167" t="n">
        <v>324.83</v>
      </c>
      <c r="E3" s="96" t="n">
        <v>44378</v>
      </c>
    </row>
    <row r="4" customFormat="false" ht="17" hidden="false" customHeight="false" outlineLevel="0" collapsed="false">
      <c r="B4" s="174" t="s">
        <v>335</v>
      </c>
      <c r="C4" s="166" t="s">
        <v>762</v>
      </c>
      <c r="D4" s="167" t="n">
        <v>242.91</v>
      </c>
      <c r="E4" s="96" t="n">
        <v>44378</v>
      </c>
    </row>
    <row r="5" customFormat="false" ht="17" hidden="false" customHeight="false" outlineLevel="0" collapsed="false">
      <c r="B5" s="174" t="s">
        <v>363</v>
      </c>
      <c r="C5" s="166" t="s">
        <v>763</v>
      </c>
      <c r="D5" s="167" t="n">
        <v>99.5</v>
      </c>
      <c r="E5" s="96" t="n">
        <v>44378</v>
      </c>
    </row>
    <row r="6" customFormat="false" ht="17" hidden="false" customHeight="false" outlineLevel="0" collapsed="false">
      <c r="B6" s="174" t="s">
        <v>363</v>
      </c>
      <c r="C6" s="166" t="s">
        <v>763</v>
      </c>
      <c r="D6" s="167" t="n">
        <v>109.5</v>
      </c>
      <c r="E6" s="96" t="n">
        <v>44378</v>
      </c>
    </row>
    <row r="7" customFormat="false" ht="17" hidden="false" customHeight="false" outlineLevel="0" collapsed="false">
      <c r="B7" s="174" t="s">
        <v>370</v>
      </c>
      <c r="C7" s="166" t="s">
        <v>669</v>
      </c>
      <c r="D7" s="167" t="n">
        <v>-0.01</v>
      </c>
      <c r="E7" s="96" t="n">
        <v>44378</v>
      </c>
    </row>
    <row r="8" customFormat="false" ht="17" hidden="false" customHeight="false" outlineLevel="0" collapsed="false">
      <c r="B8" s="174" t="s">
        <v>370</v>
      </c>
      <c r="C8" s="166" t="s">
        <v>693</v>
      </c>
      <c r="D8" s="167" t="n">
        <v>137</v>
      </c>
      <c r="E8" s="96" t="n">
        <v>44378</v>
      </c>
      <c r="F8" s="8"/>
    </row>
    <row r="9" customFormat="false" ht="17" hidden="false" customHeight="false" outlineLevel="0" collapsed="false">
      <c r="B9" s="174" t="s">
        <v>373</v>
      </c>
      <c r="C9" s="166" t="s">
        <v>669</v>
      </c>
      <c r="D9" s="167" t="n">
        <v>-0.01</v>
      </c>
      <c r="E9" s="96" t="n">
        <v>44378</v>
      </c>
      <c r="F9" s="167"/>
    </row>
    <row r="10" customFormat="false" ht="17" hidden="false" customHeight="false" outlineLevel="0" collapsed="false">
      <c r="B10" s="174" t="s">
        <v>373</v>
      </c>
      <c r="C10" s="166" t="s">
        <v>693</v>
      </c>
      <c r="D10" s="167" t="n">
        <v>130.3</v>
      </c>
      <c r="E10" s="96" t="n">
        <v>44378</v>
      </c>
      <c r="F10" s="167"/>
    </row>
    <row r="11" customFormat="false" ht="17" hidden="false" customHeight="false" outlineLevel="0" collapsed="false">
      <c r="B11" s="174" t="s">
        <v>749</v>
      </c>
      <c r="C11" s="166" t="s">
        <v>693</v>
      </c>
      <c r="D11" s="167" t="n">
        <v>152</v>
      </c>
      <c r="E11" s="96" t="n">
        <v>44378</v>
      </c>
      <c r="F11" s="167"/>
    </row>
    <row r="12" customFormat="false" ht="17" hidden="false" customHeight="false" outlineLevel="0" collapsed="false">
      <c r="B12" s="174" t="s">
        <v>397</v>
      </c>
      <c r="C12" s="166" t="s">
        <v>693</v>
      </c>
      <c r="D12" s="167" t="n">
        <v>103.64</v>
      </c>
      <c r="E12" s="96" t="n">
        <v>44378</v>
      </c>
      <c r="F12" s="167"/>
    </row>
    <row r="13" customFormat="false" ht="17" hidden="false" customHeight="false" outlineLevel="0" collapsed="false">
      <c r="B13" s="174" t="s">
        <v>410</v>
      </c>
      <c r="C13" s="166" t="s">
        <v>764</v>
      </c>
      <c r="D13" s="167" t="n">
        <v>28</v>
      </c>
      <c r="E13" s="96" t="n">
        <v>44378</v>
      </c>
      <c r="F13" s="167"/>
    </row>
    <row r="14" customFormat="false" ht="17" hidden="false" customHeight="false" outlineLevel="0" collapsed="false">
      <c r="B14" s="174" t="s">
        <v>413</v>
      </c>
      <c r="C14" s="166" t="s">
        <v>650</v>
      </c>
      <c r="D14" s="167" t="n">
        <v>273.97</v>
      </c>
      <c r="E14" s="96" t="n">
        <v>44378</v>
      </c>
      <c r="F14" s="167"/>
    </row>
    <row r="15" customFormat="false" ht="17" hidden="false" customHeight="false" outlineLevel="0" collapsed="false">
      <c r="B15" s="174" t="s">
        <v>418</v>
      </c>
      <c r="C15" s="166" t="s">
        <v>512</v>
      </c>
      <c r="D15" s="167" t="n">
        <v>9.9</v>
      </c>
      <c r="E15" s="96" t="n">
        <v>44378</v>
      </c>
      <c r="F15" s="167"/>
    </row>
    <row r="16" customFormat="false" ht="17" hidden="false" customHeight="false" outlineLevel="0" collapsed="false">
      <c r="B16" s="174" t="s">
        <v>419</v>
      </c>
      <c r="C16" s="166" t="s">
        <v>532</v>
      </c>
      <c r="D16" s="167" t="n">
        <v>32.8</v>
      </c>
      <c r="E16" s="96" t="n">
        <v>44378</v>
      </c>
      <c r="F16" s="167"/>
    </row>
    <row r="17" customFormat="false" ht="17" hidden="false" customHeight="false" outlineLevel="0" collapsed="false">
      <c r="A17" s="184"/>
      <c r="B17" s="174" t="s">
        <v>765</v>
      </c>
      <c r="C17" s="166" t="s">
        <v>667</v>
      </c>
      <c r="D17" s="167" t="n">
        <v>37.9</v>
      </c>
      <c r="E17" s="96" t="n">
        <v>44378</v>
      </c>
      <c r="F17" s="185"/>
      <c r="G17" s="184"/>
    </row>
    <row r="18" customFormat="false" ht="17" hidden="false" customHeight="false" outlineLevel="0" collapsed="false">
      <c r="A18" s="184"/>
      <c r="B18" s="174" t="s">
        <v>765</v>
      </c>
      <c r="C18" s="166" t="s">
        <v>766</v>
      </c>
      <c r="D18" s="167" t="n">
        <v>39.56</v>
      </c>
      <c r="E18" s="96" t="n">
        <v>44378</v>
      </c>
      <c r="F18" s="184"/>
      <c r="G18" s="184"/>
    </row>
    <row r="19" customFormat="false" ht="17" hidden="false" customHeight="false" outlineLevel="0" collapsed="false">
      <c r="A19" s="184"/>
      <c r="B19" s="174" t="s">
        <v>765</v>
      </c>
      <c r="C19" s="166" t="s">
        <v>767</v>
      </c>
      <c r="D19" s="167" t="n">
        <v>243</v>
      </c>
      <c r="E19" s="96" t="n">
        <v>44378</v>
      </c>
      <c r="F19" s="184"/>
      <c r="G19" s="184"/>
    </row>
    <row r="20" customFormat="false" ht="17" hidden="false" customHeight="false" outlineLevel="0" collapsed="false">
      <c r="A20" s="184"/>
      <c r="B20" s="174" t="s">
        <v>765</v>
      </c>
      <c r="C20" s="166" t="s">
        <v>550</v>
      </c>
      <c r="D20" s="167" t="n">
        <v>119.98</v>
      </c>
      <c r="E20" s="96" t="n">
        <v>44378</v>
      </c>
      <c r="F20" s="184"/>
      <c r="G20" s="184"/>
    </row>
    <row r="21" customFormat="false" ht="17" hidden="false" customHeight="false" outlineLevel="0" collapsed="false">
      <c r="A21" s="184"/>
      <c r="B21" s="174" t="s">
        <v>765</v>
      </c>
      <c r="C21" s="166" t="s">
        <v>552</v>
      </c>
      <c r="D21" s="167" t="n">
        <v>198.65</v>
      </c>
      <c r="E21" s="96" t="n">
        <v>44378</v>
      </c>
      <c r="F21" s="184"/>
      <c r="G21" s="184"/>
    </row>
    <row r="22" customFormat="false" ht="17" hidden="false" customHeight="false" outlineLevel="0" collapsed="false">
      <c r="B22" s="174" t="s">
        <v>765</v>
      </c>
      <c r="C22" s="166" t="s">
        <v>670</v>
      </c>
      <c r="D22" s="167" t="n">
        <v>103.14</v>
      </c>
      <c r="E22" s="96" t="n">
        <v>44378</v>
      </c>
    </row>
    <row r="23" customFormat="false" ht="17" hidden="false" customHeight="false" outlineLevel="0" collapsed="false">
      <c r="B23" s="174" t="s">
        <v>765</v>
      </c>
      <c r="C23" s="166" t="s">
        <v>768</v>
      </c>
      <c r="D23" s="167" t="n">
        <v>74.9</v>
      </c>
      <c r="E23" s="96" t="n">
        <v>44378</v>
      </c>
    </row>
    <row r="24" customFormat="false" ht="17" hidden="false" customHeight="false" outlineLevel="0" collapsed="false">
      <c r="B24" s="174" t="s">
        <v>765</v>
      </c>
      <c r="C24" s="166" t="s">
        <v>767</v>
      </c>
      <c r="D24" s="167" t="n">
        <v>-243</v>
      </c>
      <c r="E24" s="96" t="n">
        <v>44378</v>
      </c>
    </row>
    <row r="25" customFormat="false" ht="17" hidden="false" customHeight="false" outlineLevel="0" collapsed="false">
      <c r="B25" s="174" t="s">
        <v>769</v>
      </c>
      <c r="C25" s="166" t="s">
        <v>707</v>
      </c>
      <c r="D25" s="167" t="n">
        <v>78.53</v>
      </c>
      <c r="E25" s="96" t="n">
        <v>44378</v>
      </c>
    </row>
    <row r="26" customFormat="false" ht="17" hidden="false" customHeight="false" outlineLevel="0" collapsed="false">
      <c r="B26" s="174" t="s">
        <v>769</v>
      </c>
      <c r="C26" s="166" t="s">
        <v>770</v>
      </c>
      <c r="D26" s="167" t="n">
        <v>101</v>
      </c>
      <c r="E26" s="96" t="n">
        <v>44378</v>
      </c>
    </row>
    <row r="27" customFormat="false" ht="17" hidden="false" customHeight="false" outlineLevel="0" collapsed="false">
      <c r="B27" s="174" t="s">
        <v>421</v>
      </c>
      <c r="C27" s="166" t="s">
        <v>759</v>
      </c>
      <c r="D27" s="167" t="n">
        <v>884.91</v>
      </c>
      <c r="E27" s="96" t="n">
        <v>44378</v>
      </c>
    </row>
    <row r="28" customFormat="false" ht="17" hidden="false" customHeight="false" outlineLevel="0" collapsed="false">
      <c r="B28" s="174" t="s">
        <v>421</v>
      </c>
      <c r="C28" s="166" t="s">
        <v>771</v>
      </c>
      <c r="D28" s="167" t="n">
        <v>111</v>
      </c>
      <c r="E28" s="96" t="n">
        <v>44378</v>
      </c>
    </row>
    <row r="29" customFormat="false" ht="17" hidden="false" customHeight="false" outlineLevel="0" collapsed="false">
      <c r="B29" s="174" t="s">
        <v>435</v>
      </c>
      <c r="C29" s="166" t="s">
        <v>772</v>
      </c>
      <c r="D29" s="167" t="n">
        <v>50</v>
      </c>
      <c r="E29" s="96" t="n">
        <v>44378</v>
      </c>
    </row>
    <row r="30" customFormat="false" ht="17" hidden="false" customHeight="false" outlineLevel="0" collapsed="false">
      <c r="B30" s="174" t="s">
        <v>435</v>
      </c>
      <c r="C30" s="166" t="s">
        <v>772</v>
      </c>
      <c r="D30" s="167" t="n">
        <v>100</v>
      </c>
      <c r="E30" s="96" t="n">
        <v>44378</v>
      </c>
    </row>
    <row r="31" customFormat="false" ht="17" hidden="false" customHeight="false" outlineLevel="0" collapsed="false">
      <c r="B31" s="174" t="s">
        <v>435</v>
      </c>
      <c r="C31" s="166" t="s">
        <v>773</v>
      </c>
      <c r="D31" s="167" t="n">
        <v>213.07</v>
      </c>
      <c r="E31" s="96" t="n">
        <v>44378</v>
      </c>
    </row>
    <row r="32" customFormat="false" ht="17" hidden="false" customHeight="false" outlineLevel="0" collapsed="false">
      <c r="B32" s="174" t="s">
        <v>440</v>
      </c>
      <c r="C32" s="166" t="s">
        <v>530</v>
      </c>
      <c r="D32" s="167" t="n">
        <v>21.9</v>
      </c>
      <c r="E32" s="96" t="n">
        <v>44378</v>
      </c>
    </row>
    <row r="33" customFormat="false" ht="17" hidden="false" customHeight="false" outlineLevel="0" collapsed="false">
      <c r="B33" s="174" t="s">
        <v>774</v>
      </c>
      <c r="C33" s="166" t="s">
        <v>775</v>
      </c>
      <c r="D33" s="167" t="n">
        <v>160</v>
      </c>
      <c r="E33" s="96" t="n">
        <v>44378</v>
      </c>
    </row>
    <row r="34" customFormat="false" ht="17" hidden="false" customHeight="false" outlineLevel="0" collapsed="false">
      <c r="B34" s="174" t="s">
        <v>774</v>
      </c>
      <c r="C34" s="166" t="s">
        <v>776</v>
      </c>
      <c r="D34" s="167" t="n">
        <v>36.74</v>
      </c>
      <c r="E34" s="96" t="n">
        <v>44378</v>
      </c>
    </row>
    <row r="35" customFormat="false" ht="17" hidden="false" customHeight="false" outlineLevel="0" collapsed="false">
      <c r="B35" s="174" t="s">
        <v>443</v>
      </c>
      <c r="C35" s="166" t="s">
        <v>512</v>
      </c>
      <c r="D35" s="167" t="n">
        <v>99.9</v>
      </c>
      <c r="E35" s="96" t="n">
        <v>44378</v>
      </c>
    </row>
    <row r="36" customFormat="false" ht="17" hidden="false" customHeight="false" outlineLevel="0" collapsed="false">
      <c r="B36" s="174" t="s">
        <v>443</v>
      </c>
      <c r="C36" s="166" t="s">
        <v>556</v>
      </c>
      <c r="D36" s="167" t="n">
        <v>258</v>
      </c>
      <c r="E36" s="96" t="n">
        <v>44378</v>
      </c>
    </row>
    <row r="37" customFormat="false" ht="17" hidden="false" customHeight="false" outlineLevel="0" collapsed="false">
      <c r="B37" s="174" t="s">
        <v>443</v>
      </c>
      <c r="C37" s="166" t="s">
        <v>539</v>
      </c>
      <c r="D37" s="167" t="n">
        <v>45.9</v>
      </c>
      <c r="E37" s="96" t="n">
        <v>44378</v>
      </c>
    </row>
    <row r="38" customFormat="false" ht="17" hidden="false" customHeight="false" outlineLevel="0" collapsed="false">
      <c r="B38" s="174" t="s">
        <v>450</v>
      </c>
      <c r="C38" s="166" t="s">
        <v>549</v>
      </c>
      <c r="D38" s="167" t="n">
        <v>27.9</v>
      </c>
      <c r="E38" s="96" t="n">
        <v>44378</v>
      </c>
    </row>
    <row r="39" customFormat="false" ht="17" hidden="false" customHeight="false" outlineLevel="0" collapsed="false">
      <c r="B39" s="174" t="s">
        <v>577</v>
      </c>
      <c r="C39" s="166" t="s">
        <v>777</v>
      </c>
      <c r="D39" s="167" t="n">
        <v>19.99</v>
      </c>
      <c r="E39" s="96" t="n">
        <v>44378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O21"/>
  <sheetViews>
    <sheetView showFormulas="false" showGridLines="true" showRowColHeaders="true" showZeros="true" rightToLeft="false" tabSelected="false" showOutlineSymbols="true" defaultGridColor="true" view="normal" topLeftCell="A1" colorId="64" zoomScale="69" zoomScaleNormal="69" zoomScalePageLayoutView="100" workbookViewId="0">
      <selection pane="topLeft" activeCell="K21" activeCellId="0" sqref="K21"/>
    </sheetView>
  </sheetViews>
  <sheetFormatPr defaultRowHeight="12.8" zeroHeight="false" outlineLevelRow="0" outlineLevelCol="0"/>
  <cols>
    <col collapsed="false" customWidth="true" hidden="false" outlineLevel="0" max="1" min="1" style="0" width="14.51"/>
    <col collapsed="false" customWidth="false" hidden="false" outlineLevel="0" max="2" min="2" style="0" width="11.48"/>
    <col collapsed="false" customWidth="true" hidden="false" outlineLevel="0" max="3" min="3" style="0" width="13.89"/>
    <col collapsed="false" customWidth="false" hidden="false" outlineLevel="0" max="4" min="4" style="0" width="11.48"/>
    <col collapsed="false" customWidth="true" hidden="false" outlineLevel="0" max="5" min="5" style="0" width="13.89"/>
    <col collapsed="false" customWidth="false" hidden="false" outlineLevel="0" max="6" min="6" style="0" width="11.48"/>
    <col collapsed="false" customWidth="true" hidden="false" outlineLevel="0" max="7" min="7" style="0" width="13.89"/>
    <col collapsed="false" customWidth="false" hidden="false" outlineLevel="0" max="8" min="8" style="0" width="11.48"/>
    <col collapsed="false" customWidth="true" hidden="false" outlineLevel="0" max="9" min="9" style="0" width="13.89"/>
    <col collapsed="false" customWidth="false" hidden="false" outlineLevel="0" max="10" min="10" style="0" width="11.48"/>
    <col collapsed="false" customWidth="true" hidden="false" outlineLevel="0" max="11" min="11" style="0" width="13.89"/>
    <col collapsed="false" customWidth="false" hidden="false" outlineLevel="0" max="12" min="12" style="0" width="11.48"/>
    <col collapsed="false" customWidth="true" hidden="false" outlineLevel="0" max="13" min="13" style="0" width="13.89"/>
    <col collapsed="false" customWidth="true" hidden="false" outlineLevel="0" max="14" min="14" style="0" width="15.53"/>
    <col collapsed="false" customWidth="true" hidden="false" outlineLevel="0" max="15" min="15" style="0" width="18.53"/>
    <col collapsed="false" customWidth="false" hidden="false" outlineLevel="0" max="1025" min="16" style="0" width="11.52"/>
  </cols>
  <sheetData>
    <row r="1" customFormat="false" ht="12.8" hidden="false" customHeight="false" outlineLevel="0" collapsed="false">
      <c r="A1" s="107"/>
      <c r="B1" s="108" t="s">
        <v>50</v>
      </c>
      <c r="C1" s="108" t="s">
        <v>778</v>
      </c>
      <c r="D1" s="186"/>
      <c r="E1" s="186"/>
      <c r="F1" s="186"/>
      <c r="G1" s="186"/>
      <c r="H1" s="186"/>
      <c r="I1" s="186"/>
      <c r="J1" s="186"/>
      <c r="K1" s="186"/>
      <c r="L1" s="186"/>
      <c r="M1" s="186"/>
      <c r="N1" s="186"/>
      <c r="O1" s="187"/>
    </row>
    <row r="2" customFormat="false" ht="12.8" hidden="false" customHeight="false" outlineLevel="0" collapsed="false">
      <c r="A2" s="188"/>
      <c r="B2" s="189" t="n">
        <v>44197</v>
      </c>
      <c r="C2" s="190"/>
      <c r="D2" s="189" t="n">
        <v>44228</v>
      </c>
      <c r="E2" s="190"/>
      <c r="F2" s="189" t="n">
        <v>44256</v>
      </c>
      <c r="G2" s="190"/>
      <c r="H2" s="189" t="n">
        <v>44287</v>
      </c>
      <c r="I2" s="190"/>
      <c r="J2" s="189" t="n">
        <v>44317</v>
      </c>
      <c r="K2" s="190"/>
      <c r="L2" s="189" t="n">
        <v>44348</v>
      </c>
      <c r="M2" s="190"/>
      <c r="N2" s="191" t="s">
        <v>779</v>
      </c>
      <c r="O2" s="192" t="s">
        <v>780</v>
      </c>
    </row>
    <row r="3" customFormat="false" ht="12.8" hidden="false" customHeight="false" outlineLevel="0" collapsed="false">
      <c r="A3" s="111" t="s">
        <v>495</v>
      </c>
      <c r="B3" s="193" t="s">
        <v>781</v>
      </c>
      <c r="C3" s="194" t="s">
        <v>782</v>
      </c>
      <c r="D3" s="193" t="s">
        <v>781</v>
      </c>
      <c r="E3" s="194" t="s">
        <v>782</v>
      </c>
      <c r="F3" s="193" t="s">
        <v>781</v>
      </c>
      <c r="G3" s="194" t="s">
        <v>782</v>
      </c>
      <c r="H3" s="193" t="s">
        <v>781</v>
      </c>
      <c r="I3" s="194" t="s">
        <v>782</v>
      </c>
      <c r="J3" s="193" t="s">
        <v>781</v>
      </c>
      <c r="K3" s="194" t="s">
        <v>782</v>
      </c>
      <c r="L3" s="193" t="s">
        <v>781</v>
      </c>
      <c r="M3" s="194" t="s">
        <v>782</v>
      </c>
      <c r="N3" s="195"/>
      <c r="O3" s="196"/>
    </row>
    <row r="4" customFormat="false" ht="12.8" hidden="false" customHeight="false" outlineLevel="0" collapsed="false">
      <c r="A4" s="115" t="s">
        <v>505</v>
      </c>
      <c r="B4" s="197" t="n">
        <v>189.8</v>
      </c>
      <c r="C4" s="198" t="n">
        <v>189.8</v>
      </c>
      <c r="D4" s="199" t="n">
        <v>376.2</v>
      </c>
      <c r="E4" s="199" t="n">
        <v>376.2</v>
      </c>
      <c r="F4" s="197" t="n">
        <v>356.2</v>
      </c>
      <c r="G4" s="198" t="n">
        <v>356.2</v>
      </c>
      <c r="H4" s="199" t="n">
        <v>480.6</v>
      </c>
      <c r="I4" s="199" t="n">
        <v>480.6</v>
      </c>
      <c r="J4" s="197" t="n">
        <v>189.7</v>
      </c>
      <c r="K4" s="198" t="n">
        <v>189.7</v>
      </c>
      <c r="L4" s="199" t="n">
        <v>0</v>
      </c>
      <c r="M4" s="199" t="n">
        <v>109.8</v>
      </c>
      <c r="N4" s="200" t="n">
        <v>1592.5</v>
      </c>
      <c r="O4" s="201" t="n">
        <v>1702.3</v>
      </c>
    </row>
    <row r="5" customFormat="false" ht="12.8" hidden="false" customHeight="false" outlineLevel="0" collapsed="false">
      <c r="A5" s="120" t="s">
        <v>77</v>
      </c>
      <c r="B5" s="121"/>
      <c r="C5" s="123"/>
      <c r="D5" s="122"/>
      <c r="E5" s="122"/>
      <c r="F5" s="202" t="n">
        <v>11</v>
      </c>
      <c r="G5" s="203" t="n">
        <v>11</v>
      </c>
      <c r="H5" s="122"/>
      <c r="I5" s="122"/>
      <c r="J5" s="121"/>
      <c r="K5" s="123"/>
      <c r="L5" s="122"/>
      <c r="M5" s="122"/>
      <c r="N5" s="204" t="n">
        <v>11</v>
      </c>
      <c r="O5" s="205" t="n">
        <v>11</v>
      </c>
    </row>
    <row r="6" customFormat="false" ht="12.8" hidden="false" customHeight="false" outlineLevel="0" collapsed="false">
      <c r="A6" s="120" t="s">
        <v>62</v>
      </c>
      <c r="B6" s="202" t="n">
        <v>319.93</v>
      </c>
      <c r="C6" s="203" t="n">
        <v>319.93</v>
      </c>
      <c r="D6" s="199" t="n">
        <v>7.5</v>
      </c>
      <c r="E6" s="199" t="n">
        <v>7.5</v>
      </c>
      <c r="F6" s="202" t="n">
        <v>503.85</v>
      </c>
      <c r="G6" s="203" t="n">
        <v>503.85</v>
      </c>
      <c r="H6" s="199" t="n">
        <v>301.43</v>
      </c>
      <c r="I6" s="199" t="n">
        <v>301.43</v>
      </c>
      <c r="J6" s="202" t="n">
        <v>357.52</v>
      </c>
      <c r="K6" s="203" t="n">
        <v>357.52</v>
      </c>
      <c r="L6" s="199" t="n">
        <v>0</v>
      </c>
      <c r="M6" s="199" t="n">
        <v>231.29</v>
      </c>
      <c r="N6" s="204" t="n">
        <v>1490.23</v>
      </c>
      <c r="O6" s="205" t="n">
        <v>1721.52</v>
      </c>
    </row>
    <row r="7" customFormat="false" ht="12.8" hidden="false" customHeight="false" outlineLevel="0" collapsed="false">
      <c r="A7" s="120" t="s">
        <v>529</v>
      </c>
      <c r="B7" s="202" t="n">
        <v>1027.83</v>
      </c>
      <c r="C7" s="203" t="n">
        <v>1027.83</v>
      </c>
      <c r="D7" s="199" t="n">
        <v>227.87</v>
      </c>
      <c r="E7" s="199" t="n">
        <v>227.87</v>
      </c>
      <c r="F7" s="202" t="n">
        <v>242.65</v>
      </c>
      <c r="G7" s="203" t="n">
        <v>242.65</v>
      </c>
      <c r="H7" s="199" t="n">
        <v>415.4</v>
      </c>
      <c r="I7" s="199" t="n">
        <v>415.4</v>
      </c>
      <c r="J7" s="202" t="n">
        <v>263.19</v>
      </c>
      <c r="K7" s="203" t="n">
        <v>263.19</v>
      </c>
      <c r="L7" s="199" t="n">
        <v>0</v>
      </c>
      <c r="M7" s="199" t="n">
        <v>201.43</v>
      </c>
      <c r="N7" s="204" t="n">
        <v>2176.94</v>
      </c>
      <c r="O7" s="205" t="n">
        <v>2378.37</v>
      </c>
    </row>
    <row r="8" customFormat="false" ht="12.8" hidden="false" customHeight="false" outlineLevel="0" collapsed="false">
      <c r="A8" s="120" t="s">
        <v>636</v>
      </c>
      <c r="B8" s="121"/>
      <c r="C8" s="123"/>
      <c r="D8" s="122"/>
      <c r="E8" s="122"/>
      <c r="F8" s="202" t="n">
        <v>324.83</v>
      </c>
      <c r="G8" s="203" t="n">
        <v>324.83</v>
      </c>
      <c r="H8" s="199" t="n">
        <v>324.83</v>
      </c>
      <c r="I8" s="199" t="n">
        <v>324.83</v>
      </c>
      <c r="J8" s="121"/>
      <c r="K8" s="123"/>
      <c r="L8" s="122"/>
      <c r="M8" s="122"/>
      <c r="N8" s="204" t="n">
        <v>649.66</v>
      </c>
      <c r="O8" s="205" t="n">
        <v>649.66</v>
      </c>
    </row>
    <row r="9" customFormat="false" ht="12.8" hidden="false" customHeight="false" outlineLevel="0" collapsed="false">
      <c r="A9" s="120" t="s">
        <v>59</v>
      </c>
      <c r="B9" s="202" t="n">
        <v>1933.52</v>
      </c>
      <c r="C9" s="203" t="n">
        <v>1933.52</v>
      </c>
      <c r="D9" s="199" t="n">
        <v>1476.25</v>
      </c>
      <c r="E9" s="199" t="n">
        <v>1476.25</v>
      </c>
      <c r="F9" s="202" t="n">
        <v>1638.03</v>
      </c>
      <c r="G9" s="203" t="n">
        <v>1638.03</v>
      </c>
      <c r="H9" s="199" t="n">
        <v>1815.1</v>
      </c>
      <c r="I9" s="199" t="n">
        <v>1815.1</v>
      </c>
      <c r="J9" s="202" t="n">
        <v>1857.47</v>
      </c>
      <c r="K9" s="203" t="n">
        <v>1857.47</v>
      </c>
      <c r="L9" s="199" t="n">
        <v>0</v>
      </c>
      <c r="M9" s="199" t="n">
        <v>2840.05</v>
      </c>
      <c r="N9" s="204" t="n">
        <v>8720.37</v>
      </c>
      <c r="O9" s="205" t="n">
        <v>11560.42</v>
      </c>
    </row>
    <row r="10" customFormat="false" ht="12.8" hidden="false" customHeight="false" outlineLevel="0" collapsed="false">
      <c r="A10" s="120" t="s">
        <v>124</v>
      </c>
      <c r="B10" s="202" t="n">
        <v>26</v>
      </c>
      <c r="C10" s="203" t="n">
        <v>26</v>
      </c>
      <c r="D10" s="122"/>
      <c r="E10" s="122"/>
      <c r="F10" s="202" t="n">
        <v>13</v>
      </c>
      <c r="G10" s="203" t="n">
        <v>13</v>
      </c>
      <c r="H10" s="122"/>
      <c r="I10" s="122"/>
      <c r="J10" s="121"/>
      <c r="K10" s="123"/>
      <c r="L10" s="199" t="n">
        <v>0</v>
      </c>
      <c r="M10" s="199" t="n">
        <v>13</v>
      </c>
      <c r="N10" s="204" t="n">
        <v>39</v>
      </c>
      <c r="O10" s="205" t="n">
        <v>52</v>
      </c>
    </row>
    <row r="11" customFormat="false" ht="12.8" hidden="false" customHeight="false" outlineLevel="0" collapsed="false">
      <c r="A11" s="120" t="s">
        <v>57</v>
      </c>
      <c r="B11" s="202" t="n">
        <v>310.21</v>
      </c>
      <c r="C11" s="203" t="n">
        <v>310.21</v>
      </c>
      <c r="D11" s="199" t="n">
        <v>102.85</v>
      </c>
      <c r="E11" s="199" t="n">
        <v>102.85</v>
      </c>
      <c r="F11" s="121"/>
      <c r="G11" s="123"/>
      <c r="H11" s="199" t="n">
        <v>220.42</v>
      </c>
      <c r="I11" s="199" t="n">
        <v>220.42</v>
      </c>
      <c r="J11" s="202" t="n">
        <v>166.29</v>
      </c>
      <c r="K11" s="203" t="n">
        <v>166.29</v>
      </c>
      <c r="L11" s="199" t="n">
        <v>0</v>
      </c>
      <c r="M11" s="199" t="n">
        <v>272.2</v>
      </c>
      <c r="N11" s="204" t="n">
        <v>799.77</v>
      </c>
      <c r="O11" s="205" t="n">
        <v>1071.97</v>
      </c>
    </row>
    <row r="12" customFormat="false" ht="12.8" hidden="false" customHeight="false" outlineLevel="0" collapsed="false">
      <c r="A12" s="120" t="s">
        <v>608</v>
      </c>
      <c r="B12" s="121"/>
      <c r="C12" s="123"/>
      <c r="D12" s="199" t="n">
        <v>5.6</v>
      </c>
      <c r="E12" s="199" t="n">
        <v>5.6</v>
      </c>
      <c r="F12" s="202" t="n">
        <v>5.6</v>
      </c>
      <c r="G12" s="203" t="n">
        <v>5.6</v>
      </c>
      <c r="H12" s="122"/>
      <c r="I12" s="122"/>
      <c r="J12" s="121"/>
      <c r="K12" s="123"/>
      <c r="L12" s="122"/>
      <c r="M12" s="122"/>
      <c r="N12" s="204" t="n">
        <v>11.2</v>
      </c>
      <c r="O12" s="205" t="n">
        <v>11.2</v>
      </c>
    </row>
    <row r="13" customFormat="false" ht="12.8" hidden="false" customHeight="false" outlineLevel="0" collapsed="false">
      <c r="A13" s="120" t="s">
        <v>148</v>
      </c>
      <c r="B13" s="121"/>
      <c r="C13" s="123"/>
      <c r="D13" s="122"/>
      <c r="E13" s="122"/>
      <c r="F13" s="202" t="n">
        <v>63</v>
      </c>
      <c r="G13" s="203" t="n">
        <v>63</v>
      </c>
      <c r="H13" s="122"/>
      <c r="I13" s="122"/>
      <c r="J13" s="121"/>
      <c r="K13" s="123"/>
      <c r="L13" s="122"/>
      <c r="M13" s="122"/>
      <c r="N13" s="204" t="n">
        <v>63</v>
      </c>
      <c r="O13" s="205" t="n">
        <v>63</v>
      </c>
    </row>
    <row r="14" customFormat="false" ht="12.8" hidden="false" customHeight="false" outlineLevel="0" collapsed="false">
      <c r="A14" s="120" t="s">
        <v>64</v>
      </c>
      <c r="B14" s="202" t="n">
        <v>2396.15</v>
      </c>
      <c r="C14" s="203" t="n">
        <v>2396.15</v>
      </c>
      <c r="D14" s="199" t="n">
        <v>760.6</v>
      </c>
      <c r="E14" s="199" t="n">
        <v>760.6</v>
      </c>
      <c r="F14" s="202" t="n">
        <v>94.07</v>
      </c>
      <c r="G14" s="203" t="n">
        <v>94.07</v>
      </c>
      <c r="H14" s="199" t="n">
        <v>1403.79</v>
      </c>
      <c r="I14" s="199" t="n">
        <v>1403.79</v>
      </c>
      <c r="J14" s="202" t="n">
        <v>1802.63</v>
      </c>
      <c r="K14" s="203" t="n">
        <v>1802.63</v>
      </c>
      <c r="L14" s="199" t="n">
        <v>0</v>
      </c>
      <c r="M14" s="199" t="n">
        <v>1945.27</v>
      </c>
      <c r="N14" s="204" t="n">
        <v>6457.24</v>
      </c>
      <c r="O14" s="205" t="n">
        <v>8402.51</v>
      </c>
    </row>
    <row r="15" customFormat="false" ht="12.8" hidden="false" customHeight="false" outlineLevel="0" collapsed="false">
      <c r="A15" s="120" t="s">
        <v>53</v>
      </c>
      <c r="B15" s="202" t="n">
        <v>222.72</v>
      </c>
      <c r="C15" s="203" t="n">
        <v>222.72</v>
      </c>
      <c r="D15" s="122"/>
      <c r="E15" s="122"/>
      <c r="F15" s="121"/>
      <c r="G15" s="123"/>
      <c r="H15" s="199" t="n">
        <v>32.27</v>
      </c>
      <c r="I15" s="199" t="n">
        <v>32.27</v>
      </c>
      <c r="J15" s="202" t="n">
        <v>100.86</v>
      </c>
      <c r="K15" s="203" t="n">
        <v>100.86</v>
      </c>
      <c r="L15" s="199" t="n">
        <v>0</v>
      </c>
      <c r="M15" s="199" t="n">
        <v>101.44</v>
      </c>
      <c r="N15" s="204" t="n">
        <v>355.85</v>
      </c>
      <c r="O15" s="205" t="n">
        <v>457.29</v>
      </c>
    </row>
    <row r="16" customFormat="false" ht="12.8" hidden="false" customHeight="false" outlineLevel="0" collapsed="false">
      <c r="A16" s="120" t="s">
        <v>690</v>
      </c>
      <c r="B16" s="121"/>
      <c r="C16" s="123"/>
      <c r="D16" s="122"/>
      <c r="E16" s="122"/>
      <c r="F16" s="121"/>
      <c r="G16" s="123"/>
      <c r="H16" s="122"/>
      <c r="I16" s="122"/>
      <c r="J16" s="202" t="n">
        <v>362.85</v>
      </c>
      <c r="K16" s="203" t="n">
        <v>362.85</v>
      </c>
      <c r="L16" s="122"/>
      <c r="M16" s="122"/>
      <c r="N16" s="204" t="n">
        <v>362.85</v>
      </c>
      <c r="O16" s="205" t="n">
        <v>362.85</v>
      </c>
    </row>
    <row r="17" customFormat="false" ht="12.8" hidden="false" customHeight="false" outlineLevel="0" collapsed="false">
      <c r="A17" s="120" t="s">
        <v>579</v>
      </c>
      <c r="B17" s="202" t="n">
        <v>597.42</v>
      </c>
      <c r="C17" s="203" t="n">
        <v>597.42</v>
      </c>
      <c r="D17" s="122"/>
      <c r="E17" s="122"/>
      <c r="F17" s="121"/>
      <c r="G17" s="123"/>
      <c r="H17" s="122"/>
      <c r="I17" s="122"/>
      <c r="J17" s="121"/>
      <c r="K17" s="123"/>
      <c r="L17" s="199" t="n">
        <v>4000</v>
      </c>
      <c r="M17" s="199" t="n">
        <v>0</v>
      </c>
      <c r="N17" s="204" t="n">
        <v>4597.42</v>
      </c>
      <c r="O17" s="205" t="n">
        <v>597.42</v>
      </c>
    </row>
    <row r="18" customFormat="false" ht="12.8" hidden="false" customHeight="false" outlineLevel="0" collapsed="false">
      <c r="A18" s="120" t="s">
        <v>509</v>
      </c>
      <c r="B18" s="206" t="n">
        <v>662.28</v>
      </c>
      <c r="C18" s="207" t="n">
        <v>662.28</v>
      </c>
      <c r="D18" s="199" t="n">
        <v>671.99</v>
      </c>
      <c r="E18" s="199" t="n">
        <v>671.99</v>
      </c>
      <c r="F18" s="206" t="n">
        <v>624.57</v>
      </c>
      <c r="G18" s="207" t="n">
        <v>624.57</v>
      </c>
      <c r="H18" s="199" t="n">
        <v>471.53</v>
      </c>
      <c r="I18" s="199" t="n">
        <v>471.53</v>
      </c>
      <c r="J18" s="206" t="n">
        <v>427.43</v>
      </c>
      <c r="K18" s="207" t="n">
        <v>427.43</v>
      </c>
      <c r="L18" s="199" t="n">
        <v>0</v>
      </c>
      <c r="M18" s="199" t="n">
        <v>1009.23</v>
      </c>
      <c r="N18" s="208" t="n">
        <v>2857.8</v>
      </c>
      <c r="O18" s="209" t="n">
        <v>3867.03</v>
      </c>
    </row>
    <row r="19" customFormat="false" ht="12.8" hidden="false" customHeight="false" outlineLevel="0" collapsed="false">
      <c r="A19" s="129" t="s">
        <v>480</v>
      </c>
      <c r="B19" s="210" t="n">
        <v>7685.86</v>
      </c>
      <c r="C19" s="211" t="n">
        <v>7685.86</v>
      </c>
      <c r="D19" s="210" t="n">
        <v>3628.86</v>
      </c>
      <c r="E19" s="211" t="n">
        <v>3628.86</v>
      </c>
      <c r="F19" s="210" t="n">
        <v>3876.8</v>
      </c>
      <c r="G19" s="211" t="n">
        <v>3876.8</v>
      </c>
      <c r="H19" s="210" t="n">
        <v>5465.37</v>
      </c>
      <c r="I19" s="211" t="n">
        <v>5465.37</v>
      </c>
      <c r="J19" s="210" t="n">
        <v>5527.94</v>
      </c>
      <c r="K19" s="211" t="n">
        <v>5527.94</v>
      </c>
      <c r="L19" s="210" t="n">
        <v>4000</v>
      </c>
      <c r="M19" s="211" t="n">
        <v>6723.71</v>
      </c>
      <c r="N19" s="212" t="n">
        <v>30184.83</v>
      </c>
      <c r="O19" s="213" t="n">
        <v>32908.5400000001</v>
      </c>
    </row>
    <row r="21" customFormat="false" ht="12.8" hidden="false" customHeight="false" outlineLevel="0" collapsed="false">
      <c r="A21" s="85" t="s">
        <v>134</v>
      </c>
      <c r="B21" s="101" t="n">
        <v>7685.86</v>
      </c>
      <c r="D21" s="102" t="n">
        <v>3626.45</v>
      </c>
      <c r="F21" s="102" t="n">
        <v>3876.74</v>
      </c>
      <c r="H21" s="102" t="n">
        <v>5465.37</v>
      </c>
      <c r="J21" s="102" t="n">
        <v>5527.93</v>
      </c>
      <c r="L21" s="92" t="n">
        <v>4000</v>
      </c>
      <c r="N21" s="214" t="n">
        <v>30182.35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R26"/>
  <sheetViews>
    <sheetView showFormulas="false" showGridLines="true" showRowColHeaders="true" showZeros="true" rightToLeft="false" tabSelected="false" showOutlineSymbols="true" defaultGridColor="true" view="normal" topLeftCell="A1" colorId="64" zoomScale="84" zoomScaleNormal="84" zoomScalePageLayoutView="100" workbookViewId="0">
      <selection pane="topLeft" activeCell="N8" activeCellId="0" sqref="N8"/>
    </sheetView>
  </sheetViews>
  <sheetFormatPr defaultRowHeight="12.8" zeroHeight="false" outlineLevelRow="0" outlineLevelCol="0"/>
  <cols>
    <col collapsed="false" customWidth="true" hidden="false" outlineLevel="0" max="1" min="1" style="1" width="10"/>
    <col collapsed="false" customWidth="true" hidden="false" outlineLevel="0" max="2" min="2" style="0" width="17.86"/>
    <col collapsed="false" customWidth="true" hidden="false" outlineLevel="0" max="3" min="3" style="0" width="15.46"/>
    <col collapsed="false" customWidth="true" hidden="false" outlineLevel="0" max="4" min="4" style="0" width="14.28"/>
    <col collapsed="false" customWidth="true" hidden="false" outlineLevel="0" max="8" min="5" style="0" width="14.01"/>
    <col collapsed="false" customWidth="true" hidden="false" outlineLevel="0" max="9" min="9" style="0" width="13.82"/>
    <col collapsed="false" customWidth="true" hidden="false" outlineLevel="0" max="11" min="10" style="0" width="18.92"/>
    <col collapsed="false" customWidth="true" hidden="false" outlineLevel="0" max="12" min="12" style="8" width="12.13"/>
    <col collapsed="false" customWidth="true" hidden="false" outlineLevel="0" max="13" min="13" style="8" width="14.57"/>
    <col collapsed="false" customWidth="true" hidden="false" outlineLevel="0" max="18" min="14" style="0" width="14.57"/>
    <col collapsed="false" customWidth="true" hidden="false" outlineLevel="0" max="1010" min="19" style="0" width="9.85"/>
    <col collapsed="false" customWidth="false" hidden="false" outlineLevel="0" max="1025" min="1011" style="0" width="11.52"/>
  </cols>
  <sheetData>
    <row r="1" customFormat="false" ht="12.8" hidden="false" customHeight="false" outlineLevel="0" collapsed="false">
      <c r="A1" s="215" t="s">
        <v>783</v>
      </c>
      <c r="B1" s="216" t="s">
        <v>5</v>
      </c>
      <c r="C1" s="216" t="s">
        <v>784</v>
      </c>
      <c r="D1" s="216" t="s">
        <v>785</v>
      </c>
      <c r="E1" s="216" t="s">
        <v>786</v>
      </c>
      <c r="F1" s="217" t="s">
        <v>787</v>
      </c>
      <c r="G1" s="217" t="s">
        <v>788</v>
      </c>
      <c r="H1" s="216" t="s">
        <v>789</v>
      </c>
      <c r="I1" s="216" t="s">
        <v>790</v>
      </c>
      <c r="J1" s="218" t="s">
        <v>791</v>
      </c>
      <c r="K1" s="217" t="s">
        <v>792</v>
      </c>
      <c r="L1" s="219" t="s">
        <v>793</v>
      </c>
      <c r="M1" s="219" t="s">
        <v>794</v>
      </c>
      <c r="N1" s="220" t="s">
        <v>788</v>
      </c>
      <c r="O1" s="220" t="s">
        <v>787</v>
      </c>
      <c r="P1" s="217" t="s">
        <v>795</v>
      </c>
      <c r="Q1" s="221"/>
      <c r="R1" s="222"/>
    </row>
    <row r="2" customFormat="false" ht="12.8" hidden="false" customHeight="false" outlineLevel="0" collapsed="false">
      <c r="A2" s="223" t="n">
        <v>44197</v>
      </c>
      <c r="B2" s="224" t="n">
        <f aca="false">SUMIF(utilizacao!$A$2:A124,A2,utilizacao!$E$2:$E$133)</f>
        <v>16085.05</v>
      </c>
      <c r="C2" s="224" t="n">
        <f aca="false">SUMIF(utilizacao!$A$2:A124,A2,utilizacao!$D$2:$D$133)</f>
        <v>16085.05</v>
      </c>
      <c r="D2" s="225" t="n">
        <f aca="false">SUMIF(debito!$H$2:$H$705,A2,debito!$F$2:$F$705)</f>
        <v>12742.2</v>
      </c>
      <c r="E2" s="225" t="n">
        <f aca="false">SUMIFS(pend_debito!C1:C113,pend_debito!D1:D113,A2)-SUMIFS(pend_debito!C1:C113,pend_debito!D1:D113,A2,pend_debito!E1:E113,"PG")+M2</f>
        <v>0</v>
      </c>
      <c r="F2" s="226" t="n">
        <v>12200</v>
      </c>
      <c r="G2" s="226" t="n">
        <f aca="false">H2*-1</f>
        <v>-3342.85</v>
      </c>
      <c r="H2" s="224" t="n">
        <f aca="false">B2-D2</f>
        <v>3342.85</v>
      </c>
      <c r="I2" s="224" t="n">
        <f aca="false">((C2-B2)-E2)+H2</f>
        <v>3342.85</v>
      </c>
      <c r="J2" s="227" t="n">
        <f aca="false">I2+F2</f>
        <v>15542.85</v>
      </c>
      <c r="K2" s="228" t="n">
        <f aca="false">H2+F2</f>
        <v>15542.85</v>
      </c>
      <c r="L2" s="229" t="n">
        <f aca="false">SUMIF(credito!$E$2:$E$449,A2,credito!$D$2:$D$281)</f>
        <v>7685.86</v>
      </c>
      <c r="M2" s="230" t="n">
        <f aca="false">SUMIF(pend_crd!$E$2:$E100,A2,pend_crd!$D$2:$D$100)</f>
        <v>0</v>
      </c>
      <c r="N2" s="229"/>
      <c r="O2" s="231"/>
      <c r="P2" s="228" t="n">
        <f aca="false">O2-N2</f>
        <v>0</v>
      </c>
      <c r="Q2" s="232"/>
      <c r="R2" s="233"/>
    </row>
    <row r="3" customFormat="false" ht="12.8" hidden="false" customHeight="false" outlineLevel="0" collapsed="false">
      <c r="A3" s="223" t="n">
        <v>44228</v>
      </c>
      <c r="B3" s="224" t="n">
        <f aca="false">SUMIF(utilizacao!$A$2:A125,A3,utilizacao!$E$2:$E$133)+H2</f>
        <v>14237.5</v>
      </c>
      <c r="C3" s="224" t="n">
        <f aca="false">SUMIF(utilizacao!$A$2:A125,A3,utilizacao!$D$2:$D$133)+H2</f>
        <v>14237.5</v>
      </c>
      <c r="D3" s="225" t="n">
        <f aca="false">SUMIF(debito!$H$2:$H$705,A3,debito!$F$2:$F$705)</f>
        <v>11086.72</v>
      </c>
      <c r="E3" s="225" t="n">
        <f aca="false">SUMIFS(pend_debito!C2:C114,pend_debito!D2:D114,A3)-SUMIFS(pend_debito!C2:C114,pend_debito!D2:D114,A3,pend_debito!E2:E114,"PG")+M3</f>
        <v>0</v>
      </c>
      <c r="F3" s="226" t="n">
        <v>12200</v>
      </c>
      <c r="G3" s="226" t="n">
        <f aca="false">H3*-1</f>
        <v>-3150.78</v>
      </c>
      <c r="H3" s="224" t="n">
        <f aca="false">B3-D3</f>
        <v>3150.78</v>
      </c>
      <c r="I3" s="224" t="n">
        <f aca="false">((C3-B3)-E3)+H3</f>
        <v>3150.78</v>
      </c>
      <c r="J3" s="227" t="n">
        <f aca="false">I3+F3</f>
        <v>15350.78</v>
      </c>
      <c r="K3" s="228" t="n">
        <f aca="false">H3+F3</f>
        <v>15350.78</v>
      </c>
      <c r="L3" s="229" t="n">
        <f aca="false">SUMIF(credito!$E$2:$E$449,A3,credito!$D$2:$D$281)</f>
        <v>3628.86</v>
      </c>
      <c r="M3" s="230" t="n">
        <f aca="false">SUMIF(pend_crd!$E$2:$E101,A3,pend_crd!$D$2:$D$100)</f>
        <v>0</v>
      </c>
      <c r="N3" s="229"/>
      <c r="O3" s="231"/>
      <c r="P3" s="228" t="n">
        <f aca="false">O3-N3</f>
        <v>0</v>
      </c>
      <c r="Q3" s="232"/>
      <c r="R3" s="233"/>
    </row>
    <row r="4" customFormat="false" ht="12.8" hidden="false" customHeight="false" outlineLevel="0" collapsed="false">
      <c r="A4" s="223" t="n">
        <v>44256</v>
      </c>
      <c r="B4" s="224" t="n">
        <f aca="false">SUMIF(utilizacao!$A$2:A126,A4,utilizacao!$E$2:$E$133)+H3</f>
        <v>13166.79</v>
      </c>
      <c r="C4" s="224" t="n">
        <f aca="false">SUMIF(utilizacao!$A$2:A126,A4,utilizacao!$D$2:$D$133)+H3</f>
        <v>13542.78</v>
      </c>
      <c r="D4" s="225" t="n">
        <f aca="false">SUMIF(debito!$H$2:$H$705,A4,debito!$F$2:$F$705)</f>
        <v>9383.58</v>
      </c>
      <c r="E4" s="225" t="n">
        <f aca="false">SUMIFS(pend_debito!C3:C115,pend_debito!D3:D115,A4)-SUMIFS(pend_debito!C3:C115,pend_debito!D3:D115,A4,pend_debito!E3:E115,"PG")+M4</f>
        <v>1000</v>
      </c>
      <c r="F4" s="226" t="n">
        <v>12200</v>
      </c>
      <c r="G4" s="226" t="n">
        <f aca="false">H4*-1</f>
        <v>-3783.21</v>
      </c>
      <c r="H4" s="224" t="n">
        <f aca="false">B4-D4</f>
        <v>3783.21</v>
      </c>
      <c r="I4" s="224" t="n">
        <f aca="false">((C4-B4)-E4)+H4</f>
        <v>3159.2</v>
      </c>
      <c r="J4" s="227" t="n">
        <f aca="false">I4+F4</f>
        <v>15359.2</v>
      </c>
      <c r="K4" s="228" t="n">
        <f aca="false">H4+F4</f>
        <v>15983.21</v>
      </c>
      <c r="L4" s="229" t="n">
        <f aca="false">SUMIF(credito!$E$2:$E$449,A4,credito!$D$2:$D$281)</f>
        <v>3876.8</v>
      </c>
      <c r="M4" s="230" t="n">
        <f aca="false">SUMIF(pend_crd!$E$2:$E102,A4,pend_crd!$D$2:$D$100)</f>
        <v>0</v>
      </c>
      <c r="N4" s="229"/>
      <c r="O4" s="231"/>
      <c r="P4" s="228" t="n">
        <f aca="false">O4-N4</f>
        <v>0</v>
      </c>
      <c r="Q4" s="232"/>
      <c r="R4" s="233"/>
    </row>
    <row r="5" customFormat="false" ht="12.8" hidden="false" customHeight="false" outlineLevel="0" collapsed="false">
      <c r="A5" s="223" t="n">
        <v>44287</v>
      </c>
      <c r="B5" s="224" t="n">
        <f aca="false">SUMIF(utilizacao!$A$2:A127,A5,utilizacao!$E$2:$E$133)+H4</f>
        <v>21301.59</v>
      </c>
      <c r="C5" s="224" t="n">
        <f aca="false">SUMIF(utilizacao!$A$2:A127,A5,utilizacao!$D$2:$D$133)+H4</f>
        <v>21358.21</v>
      </c>
      <c r="D5" s="225" t="n">
        <f aca="false">SUMIF(debito!$H$2:$H$705,A5,debito!$F$2:$F$705)</f>
        <v>17356.45</v>
      </c>
      <c r="E5" s="225" t="n">
        <f aca="false">SUMIFS(pend_debito!C4:C116,pend_debito!D4:D116,A5)-SUMIFS(pend_debito!C4:C116,pend_debito!D4:D116,A5,pend_debito!E4:E116,"PG")+M5</f>
        <v>0</v>
      </c>
      <c r="F5" s="226" t="n">
        <v>12200</v>
      </c>
      <c r="G5" s="226" t="n">
        <f aca="false">H5*-1</f>
        <v>-3945.14000000001</v>
      </c>
      <c r="H5" s="224" t="n">
        <f aca="false">B5-D5</f>
        <v>3945.14000000001</v>
      </c>
      <c r="I5" s="224" t="n">
        <f aca="false">((C5-B5)-E5)+H5</f>
        <v>4001.76000000001</v>
      </c>
      <c r="J5" s="227" t="n">
        <f aca="false">I5+F5</f>
        <v>16201.76</v>
      </c>
      <c r="K5" s="228" t="n">
        <f aca="false">H5+F5</f>
        <v>16145.14</v>
      </c>
      <c r="L5" s="229" t="n">
        <f aca="false">SUMIF(credito!$E$2:$E$449,A5,credito!$D$2:$D$281)</f>
        <v>5465.37</v>
      </c>
      <c r="M5" s="230" t="n">
        <f aca="false">SUMIF(pend_crd!$E$2:$E103,A5,pend_crd!$D$2:$D$100)</f>
        <v>0</v>
      </c>
      <c r="N5" s="229"/>
      <c r="O5" s="231"/>
      <c r="P5" s="228" t="n">
        <f aca="false">O5-N5</f>
        <v>0</v>
      </c>
      <c r="Q5" s="234"/>
      <c r="R5" s="233"/>
    </row>
    <row r="6" customFormat="false" ht="12.8" hidden="false" customHeight="false" outlineLevel="0" collapsed="false">
      <c r="A6" s="223" t="n">
        <v>44317</v>
      </c>
      <c r="B6" s="224" t="n">
        <f aca="false">SUMIF(utilizacao!$A$2:A128,A6,utilizacao!$E$2:$E$133)+H5</f>
        <v>14448.34</v>
      </c>
      <c r="C6" s="224" t="n">
        <f aca="false">SUMIF(utilizacao!$A$2:A128,A6,utilizacao!$D$2:$D$133)+H5</f>
        <v>14336.74</v>
      </c>
      <c r="D6" s="225" t="n">
        <f aca="false">SUMIF(debito!$H$2:$H$705,A6,debito!$F$2:$F$705)</f>
        <v>11146.78</v>
      </c>
      <c r="E6" s="225" t="n">
        <f aca="false">SUMIFS(pend_debito!C5:C117,pend_debito!D5:D117,A6)-SUMIFS(pend_debito!C5:C117,pend_debito!D5:D117,A6,pend_debito!E5:E117,"PG")+M6</f>
        <v>0</v>
      </c>
      <c r="F6" s="226" t="n">
        <v>12200</v>
      </c>
      <c r="G6" s="226" t="n">
        <f aca="false">H6*-1</f>
        <v>-3301.56000000001</v>
      </c>
      <c r="H6" s="224" t="n">
        <f aca="false">B6-D6</f>
        <v>3301.56000000001</v>
      </c>
      <c r="I6" s="224" t="n">
        <f aca="false">((C6-B6)-E6)+H6</f>
        <v>3189.96</v>
      </c>
      <c r="J6" s="227" t="n">
        <f aca="false">I6+F6</f>
        <v>15389.96</v>
      </c>
      <c r="K6" s="228" t="n">
        <f aca="false">H6+F6</f>
        <v>15501.56</v>
      </c>
      <c r="L6" s="229" t="n">
        <f aca="false">SUMIF(credito!$E$2:$E$449,A6,credito!$D$2:$D$281)</f>
        <v>5527.94</v>
      </c>
      <c r="M6" s="230" t="n">
        <f aca="false">SUMIF(pend_crd!$E$2:$E104,A6,pend_crd!$D$2:$D$100)</f>
        <v>0</v>
      </c>
      <c r="N6" s="229"/>
      <c r="O6" s="231"/>
      <c r="P6" s="228" t="n">
        <f aca="false">O6-N6</f>
        <v>0</v>
      </c>
      <c r="Q6" s="232"/>
      <c r="R6" s="233"/>
    </row>
    <row r="7" customFormat="false" ht="12.8" hidden="false" customHeight="false" outlineLevel="0" collapsed="false">
      <c r="A7" s="235" t="n">
        <v>44348</v>
      </c>
      <c r="B7" s="236" t="n">
        <f aca="false">SUMIF(utilizacao!$A$2:A129,A7,utilizacao!$E$2:$E$133)+H6</f>
        <v>8823.56</v>
      </c>
      <c r="C7" s="236" t="n">
        <f aca="false">SUMIF(utilizacao!$A$2:A129,A7,utilizacao!$D$2:$D$133)+I6</f>
        <v>12611.56</v>
      </c>
      <c r="D7" s="237" t="n">
        <f aca="false">SUMIF(debito!$H$2:$H$705,A7,debito!$F$2:$F$705)</f>
        <v>11393.32</v>
      </c>
      <c r="E7" s="237" t="n">
        <f aca="false">SUMIFS(pend_debito!C8:C118,pend_debito!D8:D118,A7)-SUMIFS(pend_debito!C8:C118,pend_debito!D8:D118,A7,pend_debito!E8:E118,"PG")+M7</f>
        <v>1742.19</v>
      </c>
      <c r="F7" s="238" t="n">
        <v>12200</v>
      </c>
      <c r="G7" s="238" t="n">
        <f aca="false">H7*-1</f>
        <v>2569.75999999999</v>
      </c>
      <c r="H7" s="236" t="n">
        <f aca="false">B7-D7</f>
        <v>-2569.75999999999</v>
      </c>
      <c r="I7" s="236" t="n">
        <f aca="false">((C7-B7)-E7)+H7</f>
        <v>-523.949999999995</v>
      </c>
      <c r="J7" s="239" t="n">
        <f aca="false">I7+F7</f>
        <v>11676.05</v>
      </c>
      <c r="K7" s="232" t="n">
        <f aca="false">H7+F7</f>
        <v>9630.24000000001</v>
      </c>
      <c r="L7" s="240" t="n">
        <f aca="false">SUMIF(credito!$E$2:$E$449,A7,credito!$D$2:$D$281)</f>
        <v>4000</v>
      </c>
      <c r="M7" s="230" t="n">
        <f aca="false">SUMIF(pend_crd!$E$2:$E105,A7,pend_crd!$D$2:$D$100)</f>
        <v>0</v>
      </c>
      <c r="N7" s="241"/>
      <c r="O7" s="242"/>
      <c r="P7" s="232" t="n">
        <f aca="false">O7-N7</f>
        <v>0</v>
      </c>
      <c r="Q7" s="232"/>
      <c r="R7" s="233"/>
    </row>
    <row r="8" customFormat="false" ht="12.8" hidden="false" customHeight="false" outlineLevel="0" collapsed="false">
      <c r="A8" s="235" t="n">
        <v>44378</v>
      </c>
      <c r="B8" s="236" t="n">
        <f aca="false">SUMIF(utilizacao!$A$2:A130,A8,utilizacao!$E$2:$E$133)+H7</f>
        <v>-2569.75999999999</v>
      </c>
      <c r="C8" s="236" t="n">
        <f aca="false">SUMIF(utilizacao!$A$2:A130,A8,utilizacao!$D$2:$D$133)+I7</f>
        <v>8867.65000000001</v>
      </c>
      <c r="D8" s="237" t="n">
        <f aca="false">SUMIF(debito!$H$2:$H$975,A8,debito!$F$2:$F$975)</f>
        <v>0</v>
      </c>
      <c r="E8" s="237" t="n">
        <f aca="false">SUMIFS(pend_debito!C9:C119,pend_debito!D9:D119,A8)-SUMIFS(pend_debito!C9:C119,pend_debito!D9:D119,A8,pend_debito!E9:E119,"PG")+M8</f>
        <v>7783.2</v>
      </c>
      <c r="F8" s="238" t="n">
        <v>12200</v>
      </c>
      <c r="G8" s="238" t="n">
        <f aca="false">H8*-1</f>
        <v>2569.75999999999</v>
      </c>
      <c r="H8" s="236" t="n">
        <f aca="false">B8-D8</f>
        <v>-2569.75999999999</v>
      </c>
      <c r="I8" s="236" t="n">
        <f aca="false">((C8-B8)-E8)+H8</f>
        <v>1084.45000000001</v>
      </c>
      <c r="J8" s="239" t="n">
        <f aca="false">I8+F8</f>
        <v>13284.45</v>
      </c>
      <c r="K8" s="232" t="n">
        <f aca="false">H8+F8</f>
        <v>9630.24000000001</v>
      </c>
      <c r="L8" s="240" t="n">
        <f aca="false">SUMIF(credito!$E$2:$E$449,A8,credito!$D$2:$D$281)</f>
        <v>0</v>
      </c>
      <c r="M8" s="230" t="n">
        <f aca="false">SUMIF(pend_crd!$E$2:$E106,A8,pend_crd!$D$2:$D$100)</f>
        <v>4507.2</v>
      </c>
      <c r="N8" s="241"/>
      <c r="O8" s="242"/>
      <c r="P8" s="232" t="n">
        <f aca="false">O8-N8</f>
        <v>0</v>
      </c>
      <c r="Q8" s="232"/>
      <c r="R8" s="233"/>
    </row>
    <row r="9" customFormat="false" ht="12.8" hidden="false" customHeight="false" outlineLevel="0" collapsed="false">
      <c r="A9" s="235" t="n">
        <v>44409</v>
      </c>
      <c r="B9" s="236" t="n">
        <f aca="false">SUMIF(utilizacao!$A$2:A131,A9,utilizacao!$E$2:$E$133)+H8</f>
        <v>-2569.75999999999</v>
      </c>
      <c r="C9" s="236" t="n">
        <f aca="false">SUMIF(utilizacao!$A$2:A131,A9,utilizacao!$D$2:$D$133)+I8</f>
        <v>10476.05</v>
      </c>
      <c r="D9" s="237" t="n">
        <f aca="false">SUMIF(debito!$H$2:$H$975,A9,debito!$F$2:$F$975)</f>
        <v>0</v>
      </c>
      <c r="E9" s="237" t="n">
        <f aca="false">SUMIFS(pend_debito!C10:C120,pend_debito!D10:D120,A9)-SUMIFS(pend_debito!C10:C120,pend_debito!D10:D120,A9,pend_debito!E10:E120,"PG")+M9</f>
        <v>3270.8</v>
      </c>
      <c r="F9" s="238" t="n">
        <v>12200</v>
      </c>
      <c r="G9" s="238" t="n">
        <f aca="false">H9*-1</f>
        <v>2569.75999999999</v>
      </c>
      <c r="H9" s="236" t="n">
        <f aca="false">B9-D9</f>
        <v>-2569.75999999999</v>
      </c>
      <c r="I9" s="236" t="n">
        <f aca="false">((C9-B9)-E9)+H9</f>
        <v>7205.25000000001</v>
      </c>
      <c r="J9" s="243" t="n">
        <f aca="false">I9+F9</f>
        <v>19405.25</v>
      </c>
      <c r="K9" s="244" t="n">
        <f aca="false">H9+F9</f>
        <v>9630.24000000001</v>
      </c>
      <c r="L9" s="240" t="n">
        <f aca="false">SUMIF(credito!$E$2:$E$449,A9,credito!$D$2:$D$281)</f>
        <v>0</v>
      </c>
      <c r="M9" s="230" t="n">
        <f aca="false">SUMIF(pend_crd!$E$2:$E107,A9,pend_crd!$D$2:$D$100)</f>
        <v>0</v>
      </c>
      <c r="N9" s="241"/>
      <c r="O9" s="241"/>
      <c r="P9" s="244" t="n">
        <f aca="false">O9-N9</f>
        <v>0</v>
      </c>
      <c r="Q9" s="232"/>
      <c r="R9" s="233"/>
    </row>
    <row r="10" customFormat="false" ht="12.8" hidden="false" customHeight="false" outlineLevel="0" collapsed="false">
      <c r="A10" s="235" t="n">
        <v>44440</v>
      </c>
      <c r="B10" s="236" t="n">
        <f aca="false">SUMIF(utilizacao!$A$2:A132,A10,utilizacao!$E$2:$E$133)+H9</f>
        <v>-2569.75999999999</v>
      </c>
      <c r="C10" s="236" t="n">
        <f aca="false">SUMIF(utilizacao!$A$2:A132,A10,utilizacao!$D$2:$D$133)+I9</f>
        <v>16596.85</v>
      </c>
      <c r="D10" s="237" t="n">
        <f aca="false">SUMIF(debito!$H$2:$H$1965,A10,debito!$F$2:$F$1965)</f>
        <v>0</v>
      </c>
      <c r="E10" s="237" t="n">
        <f aca="false">SUMIFS(pend_debito!C11:C121,pend_debito!D11:D121,A10)-SUMIFS(pend_debito!C11:C121,pend_debito!D11:D121,A10,pend_debito!E11:E121,"PG")+M10</f>
        <v>3450.8</v>
      </c>
      <c r="F10" s="238" t="n">
        <v>12200</v>
      </c>
      <c r="G10" s="238" t="n">
        <f aca="false">H10*-1</f>
        <v>2569.75999999999</v>
      </c>
      <c r="H10" s="236" t="n">
        <f aca="false">B10-D10</f>
        <v>-2569.75999999999</v>
      </c>
      <c r="I10" s="236" t="n">
        <f aca="false">((C10-B10)-E10)+H10</f>
        <v>13146.05</v>
      </c>
      <c r="J10" s="243" t="n">
        <f aca="false">I10+F10</f>
        <v>25346.05</v>
      </c>
      <c r="K10" s="244" t="n">
        <f aca="false">H10+F10</f>
        <v>9630.24000000001</v>
      </c>
      <c r="L10" s="240" t="n">
        <f aca="false">SUMIF(credito!$E$2:$E$449,A10,credito!$D$2:$D$281)</f>
        <v>0</v>
      </c>
      <c r="M10" s="230" t="n">
        <f aca="false">SUMIF(pend_crd!$E$2:$E108,A10,pend_crd!$D$2:$D$100)</f>
        <v>0</v>
      </c>
      <c r="N10" s="241"/>
      <c r="O10" s="241"/>
      <c r="P10" s="244" t="n">
        <f aca="false">O10-N10</f>
        <v>0</v>
      </c>
      <c r="Q10" s="232"/>
      <c r="R10" s="233"/>
    </row>
    <row r="11" customFormat="false" ht="12.8" hidden="false" customHeight="false" outlineLevel="0" collapsed="false">
      <c r="A11" s="235" t="n">
        <v>44470</v>
      </c>
      <c r="B11" s="236" t="n">
        <f aca="false">SUMIF(utilizacao!$A$2:A133,A11,utilizacao!$E$2:$E$133)+H10</f>
        <v>-2569.75999999999</v>
      </c>
      <c r="C11" s="236" t="n">
        <f aca="false">SUMIF(utilizacao!$A$2:A133,A11,utilizacao!$D$2:$D$133)+I10</f>
        <v>22537.65</v>
      </c>
      <c r="D11" s="237" t="n">
        <f aca="false">SUMIF(debito!$H$2:$H$1965,A11,debito!$F$2:$F$1965)</f>
        <v>0</v>
      </c>
      <c r="E11" s="237" t="n">
        <f aca="false">SUMIFS(pend_debito!C12:C122,pend_debito!D12:D122,A11)-SUMIFS(pend_debito!C12:C122,pend_debito!D12:D122,A11,pend_debito!E12:E122,"PG")+M11</f>
        <v>3450.8</v>
      </c>
      <c r="F11" s="238" t="n">
        <v>12200</v>
      </c>
      <c r="G11" s="238" t="n">
        <f aca="false">H11*-1</f>
        <v>2569.75999999999</v>
      </c>
      <c r="H11" s="236" t="n">
        <f aca="false">B11-D11</f>
        <v>-2569.75999999999</v>
      </c>
      <c r="I11" s="236" t="n">
        <f aca="false">((C11-B11)-E11)+H11</f>
        <v>19086.85</v>
      </c>
      <c r="J11" s="243" t="n">
        <f aca="false">I11+F11</f>
        <v>31286.85</v>
      </c>
      <c r="K11" s="244" t="n">
        <f aca="false">H11+F11</f>
        <v>9630.24000000001</v>
      </c>
      <c r="L11" s="240" t="n">
        <f aca="false">SUMIF(credito!$E$2:$E$449,A11,credito!$D$2:$D$281)</f>
        <v>0</v>
      </c>
      <c r="M11" s="230" t="n">
        <f aca="false">SUMIF(pend_crd!$E$2:$E109,A11,pend_crd!$D$2:$D$100)</f>
        <v>0</v>
      </c>
      <c r="N11" s="241"/>
      <c r="O11" s="241"/>
      <c r="P11" s="244" t="n">
        <f aca="false">O11-N11</f>
        <v>0</v>
      </c>
      <c r="Q11" s="244"/>
      <c r="R11" s="233"/>
    </row>
    <row r="12" customFormat="false" ht="12.8" hidden="false" customHeight="false" outlineLevel="0" collapsed="false">
      <c r="A12" s="235" t="n">
        <v>44501</v>
      </c>
      <c r="B12" s="236" t="n">
        <f aca="false">SUMIF(utilizacao!$A$2:A134,A12,utilizacao!$E$2:$E$133)+H11</f>
        <v>-2569.75999999999</v>
      </c>
      <c r="C12" s="236" t="n">
        <f aca="false">SUMIF(utilizacao!$A$2:A134,A12,utilizacao!$D$2:$D$133)+I11</f>
        <v>28478.45</v>
      </c>
      <c r="D12" s="237" t="n">
        <f aca="false">SUMIF(debito!$H$2:$H$1965,A12,debito!$F$2:$F$1965)</f>
        <v>0</v>
      </c>
      <c r="E12" s="237" t="n">
        <f aca="false">SUMIFS(pend_debito!C13:C123,pend_debito!D13:D123,A12)-SUMIFS(pend_debito!C13:C123,pend_debito!D13:D123,A12,pend_debito!E13:E123,"PG")+M12</f>
        <v>3450.8</v>
      </c>
      <c r="F12" s="238" t="n">
        <v>12200</v>
      </c>
      <c r="G12" s="238" t="n">
        <f aca="false">H12*-1</f>
        <v>2569.75999999999</v>
      </c>
      <c r="H12" s="236" t="n">
        <f aca="false">B12-D12</f>
        <v>-2569.75999999999</v>
      </c>
      <c r="I12" s="236" t="n">
        <f aca="false">((C12-B12)-E12)+H12</f>
        <v>25027.65</v>
      </c>
      <c r="J12" s="243" t="n">
        <f aca="false">I12+F12</f>
        <v>37227.65</v>
      </c>
      <c r="K12" s="244" t="n">
        <f aca="false">H12+F12</f>
        <v>9630.24000000001</v>
      </c>
      <c r="L12" s="240" t="n">
        <f aca="false">SUMIF(credito!$E$2:$E$449,A12,credito!$D$2:$D$281)</f>
        <v>0</v>
      </c>
      <c r="M12" s="230" t="n">
        <f aca="false">SUMIF(pend_crd!$E$2:$E110,A12,pend_crd!$D$2:$D$100)</f>
        <v>0</v>
      </c>
      <c r="N12" s="241"/>
      <c r="O12" s="241"/>
      <c r="P12" s="244" t="n">
        <f aca="false">O12-N12</f>
        <v>0</v>
      </c>
      <c r="Q12" s="244"/>
      <c r="R12" s="233"/>
    </row>
    <row r="13" customFormat="false" ht="12.8" hidden="false" customHeight="false" outlineLevel="0" collapsed="false">
      <c r="A13" s="235" t="n">
        <v>44166</v>
      </c>
      <c r="B13" s="236" t="n">
        <f aca="false">SUMIF(utilizacao!$A$2:A135,A13,utilizacao!$E$2:$E$133)+H12</f>
        <v>-2569.75999999999</v>
      </c>
      <c r="C13" s="236" t="n">
        <f aca="false">SUMIF(utilizacao!$A$2:A135,A13,utilizacao!$D$2:$D$133)+I12</f>
        <v>25027.65</v>
      </c>
      <c r="D13" s="237" t="n">
        <f aca="false">SUMIF(debito!$H$2:$H$1965,A13,debito!$F$2:$F$1965)</f>
        <v>0</v>
      </c>
      <c r="E13" s="237" t="n">
        <f aca="false">SUMIFS(pend_debito!C14:C124,pend_debito!D14:D124,A13)-SUMIFS(pend_debito!C14:C124,pend_debito!D14:D124,A13,pend_debito!E14:E124,"PG")+M13</f>
        <v>0</v>
      </c>
      <c r="F13" s="237" t="n">
        <v>12200</v>
      </c>
      <c r="G13" s="237" t="n">
        <f aca="false">H13*-1</f>
        <v>2569.75999999999</v>
      </c>
      <c r="H13" s="236" t="n">
        <f aca="false">B13-D13</f>
        <v>-2569.75999999999</v>
      </c>
      <c r="I13" s="236" t="n">
        <f aca="false">((C13-B13)-E13)+H13</f>
        <v>25027.65</v>
      </c>
      <c r="J13" s="243" t="n">
        <f aca="false">I13+F13</f>
        <v>37227.65</v>
      </c>
      <c r="K13" s="245" t="n">
        <f aca="false">H13+F13</f>
        <v>9630.24000000001</v>
      </c>
      <c r="L13" s="240" t="n">
        <f aca="false">SUMIF(credito!$E$2:$E$449,A13,credito!$D$2:$D$281)</f>
        <v>0</v>
      </c>
      <c r="M13" s="230" t="n">
        <f aca="false">SUMIF(pend_crd!$E$2:$E111,A13,pend_crd!$D$2:$D$100)</f>
        <v>0</v>
      </c>
      <c r="N13" s="246"/>
      <c r="O13" s="246"/>
      <c r="P13" s="245" t="n">
        <f aca="false">O13-N13</f>
        <v>0</v>
      </c>
      <c r="Q13" s="236"/>
      <c r="R13" s="247"/>
    </row>
    <row r="14" customFormat="false" ht="12.8" hidden="false" customHeight="false" outlineLevel="0" collapsed="false">
      <c r="A14" s="248" t="s">
        <v>796</v>
      </c>
      <c r="B14" s="249" t="n">
        <f aca="false">SUM(B2:B13)</f>
        <v>72644.2700000001</v>
      </c>
      <c r="C14" s="249"/>
      <c r="D14" s="250" t="n">
        <f aca="false">SUM(D2:D13)</f>
        <v>73109.05</v>
      </c>
      <c r="E14" s="250"/>
      <c r="F14" s="251"/>
      <c r="G14" s="251"/>
      <c r="H14" s="250" t="n">
        <f aca="false">SUM(H2:H13)</f>
        <v>-464.779999999944</v>
      </c>
      <c r="I14" s="251"/>
      <c r="J14" s="252"/>
      <c r="K14" s="252"/>
      <c r="L14" s="252" t="n">
        <f aca="false">SUM(L2:L13)</f>
        <v>30184.83</v>
      </c>
      <c r="M14" s="252"/>
      <c r="N14" s="252"/>
      <c r="O14" s="252"/>
      <c r="P14" s="252" t="n">
        <f aca="false">SUM(P2:P13)</f>
        <v>0</v>
      </c>
      <c r="Q14" s="252"/>
      <c r="R14" s="252"/>
    </row>
    <row r="15" customFormat="false" ht="12.8" hidden="false" customHeight="false" outlineLevel="0" collapsed="false">
      <c r="A15" s="253" t="s">
        <v>797</v>
      </c>
      <c r="B15" s="254" t="n">
        <f aca="false">B14/12</f>
        <v>6053.68916666667</v>
      </c>
      <c r="C15" s="254"/>
      <c r="D15" s="250" t="n">
        <f aca="false">AVERAGE(D2:D13)</f>
        <v>6092.42083333333</v>
      </c>
      <c r="E15" s="250"/>
      <c r="F15" s="251"/>
      <c r="G15" s="251"/>
      <c r="H15" s="250" t="n">
        <f aca="false">AVERAGE(H2:H13)</f>
        <v>-38.731666666662</v>
      </c>
      <c r="I15" s="251"/>
      <c r="J15" s="252"/>
      <c r="K15" s="252"/>
      <c r="L15" s="252" t="n">
        <f aca="false">AVERAGE(L2:L13)</f>
        <v>2515.4025</v>
      </c>
      <c r="M15" s="252"/>
      <c r="N15" s="252"/>
      <c r="O15" s="252"/>
      <c r="P15" s="252" t="n">
        <f aca="false">AVERAGE(P2:P13)</f>
        <v>0</v>
      </c>
      <c r="Q15" s="252"/>
      <c r="R15" s="252"/>
    </row>
    <row r="17" customFormat="false" ht="12.8" hidden="false" customHeight="false" outlineLevel="0" collapsed="false">
      <c r="D17" s="8" t="n">
        <f aca="false">D2-L2</f>
        <v>5056.34</v>
      </c>
      <c r="L17" s="255" t="e">
        <f aca="false">SUMIF(#REF!,A9,#REF!)</f>
        <v>#VALUE!</v>
      </c>
      <c r="N17" s="0" t="n">
        <v>0</v>
      </c>
    </row>
    <row r="18" customFormat="false" ht="13.8" hidden="false" customHeight="false" outlineLevel="0" collapsed="false">
      <c r="E18" s="0" t="n">
        <f aca="false">SUMIFS(pend_debito!C2:C8,pend_debito!D2:D8,A8,pend_debito!E2:E8,"PG")</f>
        <v>0</v>
      </c>
      <c r="L18" s="167"/>
      <c r="M18" s="167"/>
    </row>
    <row r="19" customFormat="false" ht="13.8" hidden="false" customHeight="false" outlineLevel="0" collapsed="false">
      <c r="L19" s="167"/>
      <c r="M19" s="167"/>
    </row>
    <row r="20" customFormat="false" ht="13.8" hidden="false" customHeight="false" outlineLevel="0" collapsed="false">
      <c r="L20" s="167"/>
      <c r="M20" s="167"/>
    </row>
    <row r="21" customFormat="false" ht="13.8" hidden="false" customHeight="false" outlineLevel="0" collapsed="false">
      <c r="L21" s="167"/>
      <c r="M21" s="167"/>
    </row>
    <row r="22" customFormat="false" ht="13.8" hidden="false" customHeight="false" outlineLevel="0" collapsed="false">
      <c r="L22" s="167"/>
      <c r="M22" s="167"/>
    </row>
    <row r="23" customFormat="false" ht="13.8" hidden="false" customHeight="false" outlineLevel="0" collapsed="false">
      <c r="L23" s="167"/>
      <c r="M23" s="167"/>
    </row>
    <row r="24" customFormat="false" ht="13.8" hidden="false" customHeight="false" outlineLevel="0" collapsed="false">
      <c r="L24" s="167"/>
      <c r="M24" s="167"/>
    </row>
    <row r="25" customFormat="false" ht="13.8" hidden="false" customHeight="false" outlineLevel="0" collapsed="false">
      <c r="L25" s="167"/>
      <c r="M25" s="167"/>
    </row>
    <row r="26" customFormat="false" ht="13.8" hidden="false" customHeight="false" outlineLevel="0" collapsed="false">
      <c r="L26" s="256"/>
      <c r="M26" s="256"/>
    </row>
  </sheetData>
  <conditionalFormatting sqref="R2:R13 N2:O2 N5:N10 L2:L13">
    <cfRule type="cellIs" priority="2" operator="between" aboveAverage="0" equalAverage="0" bottom="0" percent="0" rank="0" text="" dxfId="0">
      <formula>0</formula>
      <formula>2700</formula>
    </cfRule>
  </conditionalFormatting>
  <conditionalFormatting sqref="R12">
    <cfRule type="cellIs" priority="3" operator="between" aboveAverage="0" equalAverage="0" bottom="0" percent="0" rank="0" text="" dxfId="0">
      <formula>0</formula>
      <formula>#ref!</formula>
    </cfRule>
  </conditionalFormatting>
  <conditionalFormatting sqref="N3:N9 N13 N11">
    <cfRule type="cellIs" priority="4" operator="between" aboveAverage="0" equalAverage="0" bottom="0" percent="0" rank="0" text="" dxfId="0">
      <formula>0</formula>
      <formula>2700</formula>
    </cfRule>
  </conditionalFormatting>
  <conditionalFormatting sqref="O3">
    <cfRule type="cellIs" priority="5" operator="between" aboveAverage="0" equalAverage="0" bottom="0" percent="0" rank="0" text="" dxfId="0">
      <formula>0</formula>
      <formula>2700</formula>
    </cfRule>
  </conditionalFormatting>
  <conditionalFormatting sqref="O5">
    <cfRule type="cellIs" priority="6" operator="between" aboveAverage="0" equalAverage="0" bottom="0" percent="0" rank="0" text="" dxfId="0">
      <formula>0</formula>
      <formula>2700</formula>
    </cfRule>
  </conditionalFormatting>
  <conditionalFormatting sqref="O6">
    <cfRule type="cellIs" priority="7" operator="between" aboveAverage="0" equalAverage="0" bottom="0" percent="0" rank="0" text="" dxfId="0">
      <formula>0</formula>
      <formula>2700</formula>
    </cfRule>
  </conditionalFormatting>
  <conditionalFormatting sqref="O7">
    <cfRule type="cellIs" priority="8" operator="between" aboveAverage="0" equalAverage="0" bottom="0" percent="0" rank="0" text="" dxfId="0">
      <formula>0</formula>
      <formula>2700</formula>
    </cfRule>
  </conditionalFormatting>
  <conditionalFormatting sqref="O8">
    <cfRule type="cellIs" priority="9" operator="between" aboveAverage="0" equalAverage="0" bottom="0" percent="0" rank="0" text="" dxfId="0">
      <formula>0</formula>
      <formula>2700</formula>
    </cfRule>
  </conditionalFormatting>
  <conditionalFormatting sqref="O9">
    <cfRule type="cellIs" priority="10" operator="between" aboveAverage="0" equalAverage="0" bottom="0" percent="0" rank="0" text="" dxfId="0">
      <formula>0</formula>
      <formula>2700</formula>
    </cfRule>
  </conditionalFormatting>
  <conditionalFormatting sqref="O10">
    <cfRule type="cellIs" priority="11" operator="between" aboveAverage="0" equalAverage="0" bottom="0" percent="0" rank="0" text="" dxfId="0">
      <formula>0</formula>
      <formula>2700</formula>
    </cfRule>
  </conditionalFormatting>
  <conditionalFormatting sqref="O11">
    <cfRule type="cellIs" priority="12" operator="between" aboveAverage="0" equalAverage="0" bottom="0" percent="0" rank="0" text="" dxfId="0">
      <formula>0</formula>
      <formula>2700</formula>
    </cfRule>
  </conditionalFormatting>
  <conditionalFormatting sqref="O12">
    <cfRule type="cellIs" priority="13" operator="between" aboveAverage="0" equalAverage="0" bottom="0" percent="0" rank="0" text="" dxfId="0">
      <formula>0</formula>
      <formula>2700</formula>
    </cfRule>
  </conditionalFormatting>
  <conditionalFormatting sqref="O13">
    <cfRule type="cellIs" priority="14" operator="between" aboveAverage="0" equalAverage="0" bottom="0" percent="0" rank="0" text="" dxfId="0">
      <formula>0</formula>
      <formula>2700</formula>
    </cfRule>
  </conditionalFormatting>
  <conditionalFormatting sqref="N12">
    <cfRule type="cellIs" priority="15" operator="between" aboveAverage="0" equalAverage="0" bottom="0" percent="0" rank="0" text="" dxfId="0">
      <formula>0</formula>
      <formula>2700</formula>
    </cfRule>
  </conditionalFormatting>
  <conditionalFormatting sqref="O4">
    <cfRule type="cellIs" priority="16" operator="between" aboveAverage="0" equalAverage="0" bottom="0" percent="0" rank="0" text="" dxfId="0">
      <formula>0</formula>
      <formula>2700</formula>
    </cfRule>
  </conditionalFormatting>
  <printOptions headings="false" gridLines="false" gridLinesSet="true" horizontalCentered="false" verticalCentered="false"/>
  <pageMargins left="0.511805555555555" right="0.511805555555555" top="0.7875" bottom="0.78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P13"/>
  <sheetViews>
    <sheetView showFormulas="false" showGridLines="true" showRowColHeaders="true" showZeros="true" rightToLeft="false" tabSelected="false" showOutlineSymbols="true" defaultGridColor="true" view="normal" topLeftCell="A1" colorId="64" zoomScale="84" zoomScaleNormal="84" zoomScalePageLayoutView="100" workbookViewId="0">
      <selection pane="topLeft" activeCell="H7" activeCellId="0" sqref="H7"/>
    </sheetView>
  </sheetViews>
  <sheetFormatPr defaultRowHeight="12.8" zeroHeight="false" outlineLevelRow="0" outlineLevelCol="0"/>
  <cols>
    <col collapsed="false" customWidth="true" hidden="false" outlineLevel="0" max="1" min="1" style="0" width="10.28"/>
    <col collapsed="false" customWidth="true" hidden="false" outlineLevel="0" max="2" min="2" style="0" width="14.19"/>
    <col collapsed="false" customWidth="true" hidden="false" outlineLevel="0" max="3" min="3" style="0" width="13.12"/>
    <col collapsed="false" customWidth="true" hidden="false" outlineLevel="0" max="4" min="4" style="0" width="28.94"/>
    <col collapsed="false" customWidth="true" hidden="false" outlineLevel="0" max="5" min="5" style="0" width="13.42"/>
    <col collapsed="false" customWidth="true" hidden="false" outlineLevel="0" max="6" min="6" style="0" width="13.09"/>
    <col collapsed="false" customWidth="true" hidden="false" outlineLevel="0" max="7" min="7" style="0" width="13.42"/>
    <col collapsed="false" customWidth="true" hidden="false" outlineLevel="0" max="8" min="8" style="0" width="15.88"/>
    <col collapsed="false" customWidth="true" hidden="false" outlineLevel="0" max="9" min="9" style="7" width="20.88"/>
    <col collapsed="false" customWidth="false" hidden="false" outlineLevel="0" max="10" min="10" style="0" width="11.52"/>
    <col collapsed="false" customWidth="true" hidden="false" outlineLevel="0" max="11" min="11" style="0" width="22.02"/>
    <col collapsed="false" customWidth="false" hidden="false" outlineLevel="0" max="12" min="12" style="0" width="11.52"/>
    <col collapsed="false" customWidth="true" hidden="false" outlineLevel="0" max="13" min="13" style="0" width="14.41"/>
    <col collapsed="false" customWidth="false" hidden="false" outlineLevel="0" max="1025" min="14" style="0" width="11.52"/>
  </cols>
  <sheetData>
    <row r="1" customFormat="false" ht="12.8" hidden="false" customHeight="false" outlineLevel="0" collapsed="false">
      <c r="A1" s="257" t="s">
        <v>783</v>
      </c>
      <c r="B1" s="258" t="s">
        <v>789</v>
      </c>
      <c r="C1" s="258" t="s">
        <v>790</v>
      </c>
      <c r="D1" s="258" t="s">
        <v>798</v>
      </c>
      <c r="E1" s="259" t="s">
        <v>41</v>
      </c>
      <c r="F1" s="259" t="s">
        <v>215</v>
      </c>
      <c r="G1" s="259" t="s">
        <v>799</v>
      </c>
      <c r="H1" s="259" t="s">
        <v>800</v>
      </c>
      <c r="I1" s="100" t="s">
        <v>801</v>
      </c>
      <c r="J1" s="100" t="s">
        <v>27</v>
      </c>
      <c r="K1" s="260" t="s">
        <v>802</v>
      </c>
      <c r="L1" s="261" t="s">
        <v>803</v>
      </c>
      <c r="M1" s="261" t="s">
        <v>804</v>
      </c>
      <c r="N1" s="262" t="s">
        <v>805</v>
      </c>
      <c r="O1" s="262" t="s">
        <v>806</v>
      </c>
      <c r="P1" s="258" t="s">
        <v>807</v>
      </c>
    </row>
    <row r="2" customFormat="false" ht="57.45" hidden="false" customHeight="false" outlineLevel="0" collapsed="false">
      <c r="A2" s="263" t="n">
        <v>44197</v>
      </c>
      <c r="B2" s="264" t="n">
        <f aca="false">planilha!H2</f>
        <v>3342.85</v>
      </c>
      <c r="C2" s="265" t="n">
        <f aca="false">planilha!I2</f>
        <v>3342.85</v>
      </c>
      <c r="D2" s="266" t="s">
        <v>808</v>
      </c>
      <c r="E2" s="267" t="n">
        <v>14008.12</v>
      </c>
      <c r="F2" s="268" t="n">
        <f aca="false">IF(C2&lt;0,C2,-7000)</f>
        <v>-7000</v>
      </c>
      <c r="G2" s="267" t="n">
        <f aca="false">-B2</f>
        <v>-3342.85</v>
      </c>
      <c r="H2" s="267" t="n">
        <f aca="false">IF(C2&gt;0,C2,0)</f>
        <v>3342.85</v>
      </c>
      <c r="I2" s="269" t="n">
        <v>0.14</v>
      </c>
      <c r="J2" s="270" t="n">
        <f aca="false">((E2+F2+H2)/100*I2)+(E2+F2+H2)+(G2)+2000</f>
        <v>9022.611358</v>
      </c>
      <c r="K2" s="271" t="str">
        <f aca="true">IF(DATE(YEAR(A2),MONTH(A2),30)&lt;NOW(),"POUPANÇA APLICADA","AINDA NÃO APLICADA")</f>
        <v>POUPANÇA APLICADA</v>
      </c>
      <c r="L2" s="272" t="n">
        <v>20000</v>
      </c>
      <c r="M2" s="272" t="n">
        <f aca="false">J13-L2</f>
        <v>-6476.22</v>
      </c>
      <c r="N2" s="272" t="n">
        <v>13000</v>
      </c>
      <c r="O2" s="272" t="n">
        <f aca="false">J13-N2</f>
        <v>523.780000000004</v>
      </c>
      <c r="P2" s="266" t="s">
        <v>809</v>
      </c>
    </row>
    <row r="3" customFormat="false" ht="12.8" hidden="false" customHeight="false" outlineLevel="0" collapsed="false">
      <c r="A3" s="263" t="n">
        <v>44228</v>
      </c>
      <c r="B3" s="264" t="n">
        <f aca="false">planilha!H3</f>
        <v>3150.78</v>
      </c>
      <c r="C3" s="265" t="n">
        <f aca="false">planilha!I3</f>
        <v>3150.78</v>
      </c>
      <c r="D3" s="273" t="s">
        <v>810</v>
      </c>
      <c r="E3" s="268" t="n">
        <f aca="false">J2</f>
        <v>9022.611358</v>
      </c>
      <c r="F3" s="268" t="n">
        <v>-1000</v>
      </c>
      <c r="G3" s="267" t="n">
        <f aca="false">C3*(-1)</f>
        <v>-3150.78</v>
      </c>
      <c r="H3" s="267" t="n">
        <f aca="false">IF(C3&gt;0,C3,0)</f>
        <v>3150.78</v>
      </c>
      <c r="I3" s="269" t="n">
        <v>0.11</v>
      </c>
      <c r="J3" s="270" t="n">
        <f aca="false">((E3+F3+H3)/100*I3)+(E3+F3+H3)+G3</f>
        <v>8034.9020884938</v>
      </c>
      <c r="K3" s="271" t="str">
        <f aca="true">IF(DATE(YEAR(A3),MONTH(A3),30)&lt;NOW(),"POUPANÇA APLICADA","AINDA NÃO APLICADA")</f>
        <v>POUPANÇA APLICADA</v>
      </c>
      <c r="L3" s="272"/>
      <c r="M3" s="272"/>
      <c r="N3" s="272"/>
      <c r="O3" s="272"/>
      <c r="P3" s="273"/>
    </row>
    <row r="4" customFormat="false" ht="12.8" hidden="false" customHeight="false" outlineLevel="0" collapsed="false">
      <c r="A4" s="263" t="n">
        <v>44256</v>
      </c>
      <c r="B4" s="264" t="n">
        <f aca="false">planilha!H4</f>
        <v>3783.21</v>
      </c>
      <c r="C4" s="265" t="n">
        <f aca="false">planilha!I4</f>
        <v>3159.2</v>
      </c>
      <c r="D4" s="273" t="s">
        <v>811</v>
      </c>
      <c r="E4" s="268" t="n">
        <f aca="false">J3</f>
        <v>8034.9020884938</v>
      </c>
      <c r="F4" s="268" t="n">
        <v>-6000</v>
      </c>
      <c r="G4" s="267" t="n">
        <f aca="false">C4*(-1)</f>
        <v>-3159.2</v>
      </c>
      <c r="H4" s="267" t="n">
        <f aca="false">IF(C4&gt;0,C4,0)</f>
        <v>3159.2</v>
      </c>
      <c r="I4" s="269" t="n">
        <v>0.5</v>
      </c>
      <c r="J4" s="270" t="n">
        <f aca="false">((E4+F4+H4)/100*I4)+(E4+F4+H4)+G4</f>
        <v>2060.87259893627</v>
      </c>
      <c r="K4" s="271" t="str">
        <f aca="true">IF(DATE(YEAR(A4),MONTH(A4),30)&lt;NOW(),"POUPANÇA APLICADA","AINDA NÃO APLICADA")</f>
        <v>POUPANÇA APLICADA</v>
      </c>
      <c r="L4" s="272"/>
      <c r="M4" s="272"/>
      <c r="N4" s="272"/>
      <c r="O4" s="272"/>
      <c r="P4" s="273"/>
    </row>
    <row r="5" customFormat="false" ht="12.8" hidden="false" customHeight="false" outlineLevel="0" collapsed="false">
      <c r="A5" s="263" t="n">
        <v>44287</v>
      </c>
      <c r="B5" s="264" t="n">
        <f aca="false">planilha!H5</f>
        <v>3945.14000000001</v>
      </c>
      <c r="C5" s="265" t="n">
        <f aca="false">planilha!I5</f>
        <v>4001.76000000001</v>
      </c>
      <c r="D5" s="273"/>
      <c r="E5" s="268" t="n">
        <v>2047.73</v>
      </c>
      <c r="F5" s="268" t="n">
        <f aca="false">IF(C5&lt;0,C5,0)</f>
        <v>0</v>
      </c>
      <c r="G5" s="267" t="n">
        <f aca="false">H5*(-1)</f>
        <v>-4001.76000000001</v>
      </c>
      <c r="H5" s="267" t="n">
        <f aca="false">IF(C5&gt;0,C5,0)</f>
        <v>4001.76000000001</v>
      </c>
      <c r="I5" s="269" t="n">
        <v>0</v>
      </c>
      <c r="J5" s="270" t="n">
        <f aca="false">((E5+F5+H5)/100*I5)+(E5+F5+H5)+G5</f>
        <v>2047.73</v>
      </c>
      <c r="K5" s="271" t="str">
        <f aca="true">IF(DATE(YEAR(A5),MONTH(A5),30)&lt;NOW(),"POUPANÇA APLICADA","AINDA NÃO APLICADA")</f>
        <v>POUPANÇA APLICADA</v>
      </c>
      <c r="L5" s="272"/>
      <c r="M5" s="272"/>
      <c r="N5" s="272"/>
      <c r="O5" s="272"/>
      <c r="P5" s="273"/>
    </row>
    <row r="6" customFormat="false" ht="12.8" hidden="false" customHeight="false" outlineLevel="0" collapsed="false">
      <c r="A6" s="263" t="n">
        <v>44317</v>
      </c>
      <c r="B6" s="264" t="n">
        <f aca="false">planilha!H6</f>
        <v>3301.56000000001</v>
      </c>
      <c r="C6" s="265" t="n">
        <f aca="false">planilha!I6</f>
        <v>3189.96</v>
      </c>
      <c r="D6" s="273"/>
      <c r="E6" s="268" t="n">
        <f aca="false">J5</f>
        <v>2047.73</v>
      </c>
      <c r="F6" s="268" t="n">
        <v>-1000</v>
      </c>
      <c r="G6" s="267" t="n">
        <f aca="false">H6*(-1)</f>
        <v>-3189.96</v>
      </c>
      <c r="H6" s="267" t="n">
        <f aca="false">IF(C6&gt;0,C6,0)</f>
        <v>3189.96</v>
      </c>
      <c r="I6" s="269" t="n">
        <v>0</v>
      </c>
      <c r="J6" s="270" t="n">
        <f aca="false">((E6+F6+H6)/100*I6)+(E6+F6+H6)+G6</f>
        <v>1047.73</v>
      </c>
      <c r="K6" s="271" t="str">
        <f aca="true">IF(DATE(YEAR(A6),MONTH(A6),30)&lt;NOW(),"POUPANÇA APLICADA","AINDA NÃO APLICADA")</f>
        <v>POUPANÇA APLICADA</v>
      </c>
      <c r="L6" s="272"/>
      <c r="M6" s="272"/>
      <c r="N6" s="272"/>
      <c r="O6" s="272"/>
      <c r="P6" s="273"/>
    </row>
    <row r="7" customFormat="false" ht="12.8" hidden="false" customHeight="false" outlineLevel="0" collapsed="false">
      <c r="A7" s="274" t="n">
        <v>44348</v>
      </c>
      <c r="B7" s="275" t="n">
        <f aca="false">planilha!H7</f>
        <v>-2569.75999999999</v>
      </c>
      <c r="C7" s="276" t="n">
        <f aca="false">planilha!I7</f>
        <v>-523.949999999995</v>
      </c>
      <c r="D7" s="276"/>
      <c r="E7" s="277" t="n">
        <f aca="false">J6</f>
        <v>1047.73</v>
      </c>
      <c r="F7" s="277" t="n">
        <f aca="false">IF(C7&lt;0,C7,0)</f>
        <v>-523.949999999995</v>
      </c>
      <c r="G7" s="278"/>
      <c r="H7" s="278" t="n">
        <v>1000</v>
      </c>
      <c r="I7" s="279" t="n">
        <v>0</v>
      </c>
      <c r="J7" s="280" t="n">
        <f aca="false">((E7+F7+H7)/100*I7)+(E7+F7+H7)</f>
        <v>1523.78</v>
      </c>
      <c r="K7" s="281" t="str">
        <f aca="true">IF(DATE(YEAR(A7),MONTH(A7),30)&lt;NOW(),"POUPANÇA APLICADA","AINDA NÃO APLICADA")</f>
        <v>POUPANÇA APLICADA</v>
      </c>
      <c r="L7" s="272"/>
      <c r="M7" s="272"/>
      <c r="N7" s="272"/>
      <c r="O7" s="272"/>
      <c r="P7" s="273"/>
    </row>
    <row r="8" customFormat="false" ht="12.8" hidden="false" customHeight="false" outlineLevel="0" collapsed="false">
      <c r="A8" s="39" t="n">
        <v>44378</v>
      </c>
      <c r="B8" s="264" t="n">
        <f aca="false">planilha!H8</f>
        <v>-2569.75999999999</v>
      </c>
      <c r="C8" s="265" t="n">
        <f aca="false">planilha!I8</f>
        <v>1084.45000000001</v>
      </c>
      <c r="D8" s="282"/>
      <c r="E8" s="268" t="n">
        <f aca="false">J7</f>
        <v>1523.78</v>
      </c>
      <c r="F8" s="59"/>
      <c r="G8" s="283"/>
      <c r="H8" s="278" t="n">
        <f aca="false">IF(C8&gt;0,2000,0)</f>
        <v>2000</v>
      </c>
      <c r="I8" s="79" t="n">
        <v>0</v>
      </c>
      <c r="J8" s="280" t="n">
        <f aca="false">((E8+F8+H8)/100*I8)+(E8+F8+H8)</f>
        <v>3523.78</v>
      </c>
      <c r="K8" s="284" t="str">
        <f aca="true">IF(DATE(YEAR(A8),MONTH(A8),30)&lt;NOW(),"POUPANÇA APLICADA","AINDA NÃO APLICADA")</f>
        <v>AINDA NÃO APLICADA</v>
      </c>
      <c r="L8" s="285"/>
      <c r="M8" s="285"/>
      <c r="N8" s="285"/>
      <c r="O8" s="285"/>
      <c r="P8" s="282"/>
    </row>
    <row r="9" customFormat="false" ht="12.8" hidden="false" customHeight="false" outlineLevel="0" collapsed="false">
      <c r="A9" s="39" t="n">
        <v>44409</v>
      </c>
      <c r="B9" s="264" t="n">
        <f aca="false">planilha!H9</f>
        <v>-2569.75999999999</v>
      </c>
      <c r="C9" s="265" t="n">
        <f aca="false">planilha!I9</f>
        <v>7205.25000000001</v>
      </c>
      <c r="D9" s="282"/>
      <c r="E9" s="268" t="n">
        <f aca="false">J8</f>
        <v>3523.78</v>
      </c>
      <c r="F9" s="59"/>
      <c r="G9" s="283"/>
      <c r="H9" s="278" t="n">
        <f aca="false">IF(C9&gt;0,2000,0)</f>
        <v>2000</v>
      </c>
      <c r="I9" s="79" t="n">
        <v>0</v>
      </c>
      <c r="J9" s="280" t="n">
        <f aca="false">((E9+F9+H9)/100*I9)+(E9+F9+H9)</f>
        <v>5523.78</v>
      </c>
      <c r="K9" s="284" t="str">
        <f aca="true">IF(DATE(YEAR(A9),MONTH(A9),30)&lt;NOW(),"POUPANÇA APLICADA","AINDA NÃO APLICADA")</f>
        <v>AINDA NÃO APLICADA</v>
      </c>
      <c r="L9" s="285"/>
      <c r="M9" s="285"/>
      <c r="N9" s="285"/>
      <c r="O9" s="285"/>
      <c r="P9" s="282"/>
    </row>
    <row r="10" customFormat="false" ht="12.8" hidden="false" customHeight="false" outlineLevel="0" collapsed="false">
      <c r="A10" s="39" t="n">
        <v>44440</v>
      </c>
      <c r="B10" s="264" t="n">
        <f aca="false">planilha!H10</f>
        <v>-2569.75999999999</v>
      </c>
      <c r="C10" s="265" t="n">
        <f aca="false">planilha!I10</f>
        <v>13146.05</v>
      </c>
      <c r="D10" s="282"/>
      <c r="E10" s="268" t="n">
        <f aca="false">J9</f>
        <v>5523.78</v>
      </c>
      <c r="F10" s="59"/>
      <c r="G10" s="283"/>
      <c r="H10" s="278" t="n">
        <f aca="false">IF(C10&gt;0,2000,0)</f>
        <v>2000</v>
      </c>
      <c r="I10" s="79" t="n">
        <v>0</v>
      </c>
      <c r="J10" s="280" t="n">
        <f aca="false">((E10+F10+H10)/100*I10)+(E10+F10+H10)</f>
        <v>7523.78</v>
      </c>
      <c r="K10" s="284" t="str">
        <f aca="true">IF(DATE(YEAR(A10),MONTH(A10),30)&lt;NOW(),"POUPANÇA APLICADA","AINDA NÃO APLICADA")</f>
        <v>AINDA NÃO APLICADA</v>
      </c>
      <c r="L10" s="285"/>
      <c r="M10" s="285"/>
      <c r="N10" s="285"/>
      <c r="O10" s="285"/>
      <c r="P10" s="282"/>
    </row>
    <row r="11" customFormat="false" ht="12.8" hidden="false" customHeight="false" outlineLevel="0" collapsed="false">
      <c r="A11" s="39" t="n">
        <v>44470</v>
      </c>
      <c r="B11" s="264" t="n">
        <f aca="false">planilha!H11</f>
        <v>-2569.75999999999</v>
      </c>
      <c r="C11" s="265" t="n">
        <f aca="false">planilha!I11</f>
        <v>19086.85</v>
      </c>
      <c r="D11" s="282"/>
      <c r="E11" s="268" t="n">
        <f aca="false">J10</f>
        <v>7523.78</v>
      </c>
      <c r="F11" s="59"/>
      <c r="G11" s="283"/>
      <c r="H11" s="278" t="n">
        <f aca="false">IF(C11&gt;0,2000,0)</f>
        <v>2000</v>
      </c>
      <c r="I11" s="79" t="n">
        <v>0</v>
      </c>
      <c r="J11" s="280" t="n">
        <f aca="false">((E11+F11+H11)/100*I11)+(E11+F11+H11)</f>
        <v>9523.78</v>
      </c>
      <c r="K11" s="284" t="str">
        <f aca="true">IF(DATE(YEAR(A11),MONTH(A11),30)&lt;NOW(),"POUPANÇA APLICADA","AINDA NÃO APLICADA")</f>
        <v>AINDA NÃO APLICADA</v>
      </c>
      <c r="L11" s="285"/>
      <c r="M11" s="285"/>
      <c r="N11" s="285"/>
      <c r="O11" s="285"/>
      <c r="P11" s="282"/>
    </row>
    <row r="12" customFormat="false" ht="12.8" hidden="false" customHeight="false" outlineLevel="0" collapsed="false">
      <c r="A12" s="39" t="n">
        <v>44501</v>
      </c>
      <c r="B12" s="264" t="n">
        <f aca="false">planilha!H12</f>
        <v>-2569.75999999999</v>
      </c>
      <c r="C12" s="265" t="n">
        <f aca="false">planilha!I12</f>
        <v>25027.65</v>
      </c>
      <c r="D12" s="282"/>
      <c r="E12" s="268" t="n">
        <f aca="false">J11</f>
        <v>9523.78</v>
      </c>
      <c r="F12" s="59"/>
      <c r="G12" s="283"/>
      <c r="H12" s="278" t="n">
        <f aca="false">IF(C12&gt;0,2000,0)</f>
        <v>2000</v>
      </c>
      <c r="I12" s="79" t="n">
        <v>0</v>
      </c>
      <c r="J12" s="280" t="n">
        <f aca="false">((E12+F12+H12)/100*I12)+(E12+F12+H12)</f>
        <v>11523.78</v>
      </c>
      <c r="K12" s="284" t="str">
        <f aca="true">IF(DATE(YEAR(A12),MONTH(A12),30)&lt;NOW(),"POUPANÇA APLICADA","AINDA NÃO APLICADA")</f>
        <v>AINDA NÃO APLICADA</v>
      </c>
      <c r="L12" s="285"/>
      <c r="M12" s="285"/>
      <c r="N12" s="285"/>
      <c r="O12" s="285"/>
      <c r="P12" s="282"/>
    </row>
    <row r="13" customFormat="false" ht="12.8" hidden="false" customHeight="false" outlineLevel="0" collapsed="false">
      <c r="A13" s="39" t="n">
        <v>44531</v>
      </c>
      <c r="B13" s="264" t="n">
        <f aca="false">planilha!H13</f>
        <v>-2569.75999999999</v>
      </c>
      <c r="C13" s="265" t="n">
        <f aca="false">planilha!I13</f>
        <v>25027.65</v>
      </c>
      <c r="D13" s="282"/>
      <c r="E13" s="268" t="n">
        <f aca="false">J12</f>
        <v>11523.78</v>
      </c>
      <c r="F13" s="59"/>
      <c r="G13" s="283"/>
      <c r="H13" s="278" t="n">
        <f aca="false">IF(C13&gt;0,2000,0)</f>
        <v>2000</v>
      </c>
      <c r="I13" s="79" t="n">
        <v>0</v>
      </c>
      <c r="J13" s="280" t="n">
        <f aca="false">((E13+F13+H13)/100*I13)+(E13+F13+H13)</f>
        <v>13523.78</v>
      </c>
      <c r="K13" s="284" t="str">
        <f aca="true">IF(DATE(YEAR(A13),MONTH(A13),30)&lt;NOW(),"POUPANÇA APLICADA","AINDA NÃO APLICADA")</f>
        <v>AINDA NÃO APLICADA</v>
      </c>
      <c r="L13" s="285"/>
      <c r="M13" s="285"/>
      <c r="N13" s="285"/>
      <c r="O13" s="285"/>
      <c r="P13" s="282"/>
    </row>
  </sheetData>
  <mergeCells count="4">
    <mergeCell ref="L2:L7"/>
    <mergeCell ref="M2:M7"/>
    <mergeCell ref="N2:N7"/>
    <mergeCell ref="O2:O7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>
  <sheetPr filterMode="true">
    <pageSetUpPr fitToPage="false"/>
  </sheetPr>
  <dimension ref="A1:O1606"/>
  <sheetViews>
    <sheetView showFormulas="false" showGridLines="true" showRowColHeaders="true" showZeros="true" rightToLeft="false" tabSelected="false" showOutlineSymbols="true" defaultGridColor="true" view="normal" topLeftCell="A1" colorId="64" zoomScale="84" zoomScaleNormal="84" zoomScalePageLayoutView="100" workbookViewId="0">
      <selection pane="topLeft" activeCell="E29" activeCellId="0" sqref="E29"/>
    </sheetView>
  </sheetViews>
  <sheetFormatPr defaultRowHeight="12.8" zeroHeight="false" outlineLevelRow="0" outlineLevelCol="0"/>
  <cols>
    <col collapsed="false" customWidth="true" hidden="false" outlineLevel="0" max="1" min="1" style="30" width="33.39"/>
    <col collapsed="false" customWidth="true" hidden="false" outlineLevel="0" max="2" min="2" style="0" width="35.33"/>
    <col collapsed="false" customWidth="true" hidden="false" outlineLevel="0" max="3" min="3" style="0" width="33.39"/>
    <col collapsed="false" customWidth="true" hidden="false" outlineLevel="0" max="4" min="4" style="0" width="23.51"/>
    <col collapsed="false" customWidth="true" hidden="false" outlineLevel="0" max="5" min="5" style="0" width="35.33"/>
    <col collapsed="false" customWidth="true" hidden="false" outlineLevel="0" max="6" min="6" style="286" width="35.33"/>
    <col collapsed="false" customWidth="true" hidden="false" outlineLevel="0" max="7" min="7" style="286" width="33.39"/>
    <col collapsed="false" customWidth="true" hidden="false" outlineLevel="0" max="8" min="8" style="0" width="33.39"/>
    <col collapsed="false" customWidth="false" hidden="false" outlineLevel="0" max="10" min="9" style="0" width="11.52"/>
    <col collapsed="false" customWidth="true" hidden="false" outlineLevel="0" max="11" min="11" style="0" width="13.63"/>
    <col collapsed="false" customWidth="true" hidden="false" outlineLevel="0" max="12" min="12" style="0" width="26.86"/>
    <col collapsed="false" customWidth="false" hidden="false" outlineLevel="0" max="1025" min="13" style="0" width="11.52"/>
  </cols>
  <sheetData>
    <row r="1" customFormat="false" ht="15" hidden="false" customHeight="false" outlineLevel="0" collapsed="false">
      <c r="A1" s="287" t="s">
        <v>812</v>
      </c>
      <c r="B1" s="34" t="s">
        <v>7</v>
      </c>
      <c r="C1" s="288"/>
      <c r="D1" s="289" t="s">
        <v>812</v>
      </c>
      <c r="E1" s="290" t="s">
        <v>7</v>
      </c>
      <c r="F1" s="290"/>
      <c r="G1" s="290"/>
      <c r="H1" s="290"/>
      <c r="K1" s="291"/>
      <c r="L1" s="291"/>
      <c r="M1" s="291"/>
      <c r="N1" s="292"/>
    </row>
    <row r="2" customFormat="false" ht="15" hidden="false" customHeight="false" outlineLevel="0" collapsed="false">
      <c r="A2" s="48" t="s">
        <v>813</v>
      </c>
      <c r="B2" s="55" t="s">
        <v>31</v>
      </c>
      <c r="C2" s="288"/>
      <c r="D2" s="98" t="s">
        <v>510</v>
      </c>
      <c r="E2" s="290" t="s">
        <v>509</v>
      </c>
      <c r="F2" s="290"/>
      <c r="G2" s="290"/>
      <c r="H2" s="290"/>
      <c r="K2" s="291"/>
      <c r="L2" s="291"/>
      <c r="M2" s="291"/>
      <c r="N2" s="292"/>
    </row>
    <row r="3" customFormat="false" ht="15" hidden="false" customHeight="false" outlineLevel="0" collapsed="false">
      <c r="A3" s="48" t="s">
        <v>814</v>
      </c>
      <c r="B3" s="55" t="s">
        <v>815</v>
      </c>
      <c r="C3" s="288"/>
      <c r="D3" s="85" t="s">
        <v>520</v>
      </c>
      <c r="E3" s="290" t="s">
        <v>509</v>
      </c>
      <c r="F3" s="288"/>
      <c r="G3" s="288"/>
      <c r="H3" s="288"/>
      <c r="I3" s="96"/>
      <c r="K3" s="293"/>
      <c r="L3" s="294"/>
      <c r="M3" s="294"/>
      <c r="N3" s="295"/>
    </row>
    <row r="4" customFormat="false" ht="15" hidden="true" customHeight="false" outlineLevel="0" collapsed="false">
      <c r="A4" s="48" t="s">
        <v>816</v>
      </c>
      <c r="B4" s="55" t="s">
        <v>817</v>
      </c>
      <c r="C4" s="288"/>
      <c r="D4" s="85" t="s">
        <v>599</v>
      </c>
      <c r="E4" s="288" t="s">
        <v>505</v>
      </c>
      <c r="F4" s="288"/>
      <c r="G4" s="288"/>
      <c r="H4" s="288"/>
      <c r="I4" s="96"/>
      <c r="K4" s="293"/>
      <c r="L4" s="294"/>
      <c r="M4" s="294"/>
      <c r="N4" s="295"/>
    </row>
    <row r="5" customFormat="false" ht="15" hidden="true" customHeight="false" outlineLevel="0" collapsed="false">
      <c r="A5" s="48" t="s">
        <v>818</v>
      </c>
      <c r="B5" s="55" t="s">
        <v>59</v>
      </c>
      <c r="C5" s="288"/>
      <c r="D5" s="85" t="s">
        <v>623</v>
      </c>
      <c r="E5" s="288" t="s">
        <v>505</v>
      </c>
      <c r="F5" s="288"/>
      <c r="G5" s="288"/>
      <c r="H5" s="288"/>
      <c r="I5" s="96"/>
      <c r="K5" s="293"/>
      <c r="L5" s="294"/>
      <c r="M5" s="294"/>
      <c r="N5" s="295"/>
    </row>
    <row r="6" customFormat="false" ht="15" hidden="true" customHeight="false" outlineLevel="0" collapsed="false">
      <c r="A6" s="48" t="s">
        <v>67</v>
      </c>
      <c r="B6" s="55" t="s">
        <v>66</v>
      </c>
      <c r="C6" s="288"/>
      <c r="D6" s="85" t="s">
        <v>652</v>
      </c>
      <c r="E6" s="288" t="s">
        <v>505</v>
      </c>
      <c r="F6" s="288"/>
      <c r="G6" s="288"/>
      <c r="H6" s="288"/>
      <c r="I6" s="96"/>
      <c r="K6" s="293"/>
      <c r="L6" s="294"/>
      <c r="M6" s="294"/>
      <c r="N6" s="295"/>
    </row>
    <row r="7" customFormat="false" ht="15" hidden="true" customHeight="false" outlineLevel="0" collapsed="false">
      <c r="A7" s="48" t="s">
        <v>819</v>
      </c>
      <c r="B7" s="55" t="s">
        <v>66</v>
      </c>
      <c r="C7" s="288"/>
      <c r="D7" s="85" t="s">
        <v>688</v>
      </c>
      <c r="E7" s="288" t="s">
        <v>505</v>
      </c>
      <c r="F7" s="288"/>
      <c r="G7" s="288"/>
      <c r="H7" s="288"/>
      <c r="I7" s="96"/>
      <c r="K7" s="293"/>
      <c r="L7" s="294"/>
      <c r="M7" s="294"/>
      <c r="N7" s="295"/>
    </row>
    <row r="8" customFormat="false" ht="15" hidden="true" customHeight="false" outlineLevel="0" collapsed="false">
      <c r="A8" s="48" t="s">
        <v>820</v>
      </c>
      <c r="B8" s="55" t="s">
        <v>31</v>
      </c>
      <c r="C8" s="288"/>
      <c r="D8" s="85" t="s">
        <v>507</v>
      </c>
      <c r="E8" s="288" t="s">
        <v>505</v>
      </c>
      <c r="F8" s="288"/>
      <c r="G8" s="288"/>
      <c r="H8" s="288"/>
      <c r="I8" s="96"/>
      <c r="K8" s="293"/>
      <c r="L8" s="294"/>
      <c r="M8" s="294"/>
      <c r="N8" s="295"/>
    </row>
    <row r="9" customFormat="false" ht="15" hidden="true" customHeight="false" outlineLevel="0" collapsed="false">
      <c r="A9" s="48" t="s">
        <v>821</v>
      </c>
      <c r="B9" s="55" t="s">
        <v>53</v>
      </c>
      <c r="C9" s="288"/>
      <c r="D9" s="85" t="s">
        <v>502</v>
      </c>
      <c r="E9" s="288" t="s">
        <v>59</v>
      </c>
      <c r="F9" s="288"/>
      <c r="G9" s="288"/>
      <c r="H9" s="288"/>
      <c r="I9" s="96"/>
      <c r="K9" s="293"/>
      <c r="L9" s="294"/>
      <c r="M9" s="294"/>
      <c r="N9" s="295"/>
    </row>
    <row r="10" customFormat="false" ht="15" hidden="true" customHeight="false" outlineLevel="0" collapsed="false">
      <c r="A10" s="48" t="s">
        <v>822</v>
      </c>
      <c r="B10" s="55" t="s">
        <v>57</v>
      </c>
      <c r="C10" s="288"/>
      <c r="D10" s="85" t="s">
        <v>673</v>
      </c>
      <c r="E10" s="288" t="s">
        <v>59</v>
      </c>
      <c r="F10" s="288"/>
      <c r="G10" s="288"/>
      <c r="H10" s="288"/>
      <c r="I10" s="96"/>
      <c r="K10" s="293"/>
      <c r="L10" s="294"/>
      <c r="M10" s="294"/>
      <c r="N10" s="295"/>
    </row>
    <row r="11" customFormat="false" ht="15" hidden="true" customHeight="false" outlineLevel="0" collapsed="false">
      <c r="A11" s="48" t="s">
        <v>822</v>
      </c>
      <c r="B11" s="55" t="s">
        <v>57</v>
      </c>
      <c r="C11" s="288"/>
      <c r="D11" s="85" t="s">
        <v>618</v>
      </c>
      <c r="E11" s="288" t="s">
        <v>59</v>
      </c>
      <c r="F11" s="288"/>
      <c r="G11" s="288"/>
      <c r="H11" s="288"/>
      <c r="I11" s="96"/>
      <c r="K11" s="293"/>
      <c r="L11" s="294"/>
      <c r="M11" s="294"/>
      <c r="N11" s="295"/>
    </row>
    <row r="12" customFormat="false" ht="15" hidden="true" customHeight="false" outlineLevel="0" collapsed="false">
      <c r="A12" s="48" t="s">
        <v>823</v>
      </c>
      <c r="B12" s="55" t="s">
        <v>62</v>
      </c>
      <c r="C12" s="288"/>
      <c r="D12" s="85" t="s">
        <v>501</v>
      </c>
      <c r="E12" s="288" t="s">
        <v>59</v>
      </c>
      <c r="F12" s="288"/>
      <c r="G12" s="288"/>
      <c r="H12" s="288"/>
      <c r="I12" s="96"/>
      <c r="K12" s="293"/>
      <c r="L12" s="294"/>
      <c r="M12" s="294"/>
      <c r="N12" s="295"/>
    </row>
    <row r="13" customFormat="false" ht="15" hidden="true" customHeight="false" outlineLevel="0" collapsed="false">
      <c r="A13" s="48" t="s">
        <v>824</v>
      </c>
      <c r="B13" s="55" t="s">
        <v>59</v>
      </c>
      <c r="C13" s="288"/>
      <c r="D13" s="85" t="s">
        <v>626</v>
      </c>
      <c r="E13" s="288" t="s">
        <v>59</v>
      </c>
      <c r="F13" s="288"/>
      <c r="G13" s="288"/>
      <c r="H13" s="288"/>
      <c r="I13" s="96"/>
      <c r="K13" s="293"/>
      <c r="L13" s="294"/>
      <c r="M13" s="294"/>
      <c r="N13" s="295"/>
    </row>
    <row r="14" customFormat="false" ht="15" hidden="true" customHeight="false" outlineLevel="0" collapsed="false">
      <c r="A14" s="48" t="s">
        <v>825</v>
      </c>
      <c r="B14" s="55" t="s">
        <v>62</v>
      </c>
      <c r="C14" s="288"/>
      <c r="D14" s="85" t="s">
        <v>655</v>
      </c>
      <c r="E14" s="288" t="s">
        <v>59</v>
      </c>
      <c r="F14" s="288"/>
      <c r="G14" s="288"/>
      <c r="H14" s="288"/>
      <c r="I14" s="96"/>
      <c r="K14" s="293"/>
      <c r="L14" s="294"/>
      <c r="M14" s="294"/>
      <c r="N14" s="295"/>
    </row>
    <row r="15" customFormat="false" ht="15" hidden="true" customHeight="false" outlineLevel="0" collapsed="false">
      <c r="A15" s="48" t="s">
        <v>826</v>
      </c>
      <c r="B15" s="55" t="s">
        <v>59</v>
      </c>
      <c r="C15" s="288"/>
      <c r="D15" s="85" t="s">
        <v>566</v>
      </c>
      <c r="E15" s="288" t="s">
        <v>529</v>
      </c>
      <c r="F15" s="288"/>
      <c r="G15" s="288"/>
      <c r="H15" s="288"/>
      <c r="I15" s="96"/>
      <c r="K15" s="293"/>
      <c r="L15" s="294"/>
      <c r="M15" s="294"/>
      <c r="N15" s="295"/>
    </row>
    <row r="16" customFormat="false" ht="15" hidden="true" customHeight="false" outlineLevel="0" collapsed="false">
      <c r="A16" s="48" t="s">
        <v>827</v>
      </c>
      <c r="B16" s="55" t="s">
        <v>66</v>
      </c>
      <c r="C16" s="288"/>
      <c r="D16" s="85" t="s">
        <v>627</v>
      </c>
      <c r="E16" s="288" t="s">
        <v>62</v>
      </c>
      <c r="F16" s="288"/>
      <c r="G16" s="288"/>
      <c r="H16" s="288"/>
      <c r="I16" s="96"/>
      <c r="K16" s="293"/>
      <c r="L16" s="294"/>
      <c r="M16" s="294"/>
      <c r="N16" s="295"/>
    </row>
    <row r="17" customFormat="false" ht="15" hidden="true" customHeight="false" outlineLevel="0" collapsed="false">
      <c r="A17" s="48" t="s">
        <v>819</v>
      </c>
      <c r="B17" s="55" t="s">
        <v>66</v>
      </c>
      <c r="C17" s="288"/>
      <c r="D17" s="85" t="s">
        <v>672</v>
      </c>
      <c r="E17" s="288" t="s">
        <v>59</v>
      </c>
      <c r="F17" s="288"/>
      <c r="G17" s="288"/>
      <c r="H17" s="288"/>
      <c r="I17" s="96"/>
      <c r="K17" s="293"/>
      <c r="L17" s="294"/>
      <c r="M17" s="294"/>
      <c r="N17" s="295"/>
    </row>
    <row r="18" customFormat="false" ht="15" hidden="true" customHeight="false" outlineLevel="0" collapsed="false">
      <c r="A18" s="48" t="s">
        <v>820</v>
      </c>
      <c r="B18" s="55" t="s">
        <v>31</v>
      </c>
      <c r="C18" s="288"/>
      <c r="D18" s="85" t="s">
        <v>722</v>
      </c>
      <c r="E18" s="288" t="s">
        <v>59</v>
      </c>
      <c r="F18" s="288"/>
      <c r="G18" s="288"/>
      <c r="H18" s="288"/>
      <c r="I18" s="96"/>
      <c r="K18" s="293"/>
      <c r="L18" s="294"/>
      <c r="M18" s="294"/>
      <c r="N18" s="295"/>
    </row>
    <row r="19" customFormat="false" ht="15" hidden="true" customHeight="false" outlineLevel="0" collapsed="false">
      <c r="A19" s="48" t="s">
        <v>828</v>
      </c>
      <c r="B19" s="55" t="s">
        <v>815</v>
      </c>
      <c r="C19" s="288"/>
      <c r="D19" s="85" t="s">
        <v>676</v>
      </c>
      <c r="E19" s="288" t="s">
        <v>59</v>
      </c>
      <c r="F19" s="288"/>
      <c r="G19" s="288"/>
      <c r="H19" s="288"/>
      <c r="I19" s="96"/>
      <c r="K19" s="293"/>
      <c r="L19" s="294"/>
      <c r="M19" s="294"/>
      <c r="N19" s="295"/>
    </row>
    <row r="20" customFormat="false" ht="15" hidden="true" customHeight="false" outlineLevel="0" collapsed="false">
      <c r="A20" s="48" t="s">
        <v>55</v>
      </c>
      <c r="B20" s="55" t="s">
        <v>53</v>
      </c>
      <c r="C20" s="288"/>
      <c r="D20" s="85" t="s">
        <v>696</v>
      </c>
      <c r="E20" s="288" t="s">
        <v>59</v>
      </c>
      <c r="F20" s="288"/>
      <c r="G20" s="288"/>
      <c r="H20" s="288"/>
      <c r="I20" s="96"/>
      <c r="K20" s="293"/>
      <c r="L20" s="294"/>
      <c r="M20" s="294"/>
      <c r="N20" s="295"/>
    </row>
    <row r="21" customFormat="false" ht="15" hidden="true" customHeight="false" outlineLevel="0" collapsed="false">
      <c r="A21" s="48" t="s">
        <v>829</v>
      </c>
      <c r="B21" s="55" t="s">
        <v>59</v>
      </c>
      <c r="C21" s="288"/>
      <c r="D21" s="85" t="s">
        <v>707</v>
      </c>
      <c r="E21" s="288" t="s">
        <v>53</v>
      </c>
      <c r="F21" s="288"/>
      <c r="G21" s="288"/>
      <c r="H21" s="288"/>
      <c r="I21" s="96"/>
      <c r="K21" s="293"/>
      <c r="L21" s="294"/>
      <c r="M21" s="294"/>
      <c r="N21" s="295"/>
    </row>
    <row r="22" customFormat="false" ht="15" hidden="true" customHeight="false" outlineLevel="0" collapsed="false">
      <c r="A22" s="48" t="s">
        <v>284</v>
      </c>
      <c r="B22" s="55" t="s">
        <v>98</v>
      </c>
      <c r="C22" s="288"/>
      <c r="D22" s="85" t="s">
        <v>531</v>
      </c>
      <c r="E22" s="288" t="s">
        <v>53</v>
      </c>
      <c r="F22" s="288"/>
      <c r="G22" s="288"/>
      <c r="H22" s="288"/>
      <c r="I22" s="96"/>
      <c r="K22" s="293"/>
      <c r="L22" s="294"/>
      <c r="M22" s="294"/>
      <c r="N22" s="295"/>
    </row>
    <row r="23" customFormat="false" ht="15" hidden="true" customHeight="false" outlineLevel="0" collapsed="false">
      <c r="A23" s="48" t="s">
        <v>830</v>
      </c>
      <c r="B23" s="55" t="s">
        <v>59</v>
      </c>
      <c r="C23" s="288"/>
      <c r="D23" s="85" t="s">
        <v>612</v>
      </c>
      <c r="E23" s="288" t="s">
        <v>59</v>
      </c>
      <c r="F23" s="288"/>
      <c r="G23" s="288"/>
      <c r="H23" s="288"/>
      <c r="I23" s="96"/>
      <c r="K23" s="293"/>
      <c r="L23" s="294"/>
      <c r="M23" s="294"/>
      <c r="N23" s="295"/>
    </row>
    <row r="24" customFormat="false" ht="15" hidden="true" customHeight="false" outlineLevel="0" collapsed="false">
      <c r="A24" s="48" t="s">
        <v>830</v>
      </c>
      <c r="B24" s="296" t="s">
        <v>59</v>
      </c>
      <c r="C24" s="288"/>
      <c r="D24" s="85" t="s">
        <v>504</v>
      </c>
      <c r="E24" s="288" t="s">
        <v>59</v>
      </c>
      <c r="F24" s="288"/>
      <c r="G24" s="288"/>
      <c r="H24" s="288"/>
      <c r="I24" s="96"/>
      <c r="K24" s="293"/>
      <c r="L24" s="294"/>
      <c r="M24" s="294"/>
      <c r="N24" s="295"/>
    </row>
    <row r="25" customFormat="false" ht="15" hidden="true" customHeight="false" outlineLevel="0" collapsed="false">
      <c r="A25" s="48" t="s">
        <v>831</v>
      </c>
      <c r="B25" s="55" t="s">
        <v>59</v>
      </c>
      <c r="C25" s="288"/>
      <c r="D25" s="85" t="s">
        <v>625</v>
      </c>
      <c r="E25" s="288" t="s">
        <v>59</v>
      </c>
      <c r="F25" s="288"/>
      <c r="G25" s="288"/>
      <c r="H25" s="288"/>
      <c r="I25" s="96"/>
      <c r="K25" s="293"/>
      <c r="L25" s="294"/>
      <c r="M25" s="294"/>
      <c r="N25" s="295"/>
    </row>
    <row r="26" customFormat="false" ht="15" hidden="true" customHeight="false" outlineLevel="0" collapsed="false">
      <c r="A26" s="48" t="s">
        <v>832</v>
      </c>
      <c r="B26" s="55" t="s">
        <v>98</v>
      </c>
      <c r="C26" s="288"/>
      <c r="D26" s="85" t="s">
        <v>654</v>
      </c>
      <c r="E26" s="288" t="s">
        <v>59</v>
      </c>
      <c r="F26" s="288"/>
      <c r="G26" s="288"/>
      <c r="H26" s="288"/>
      <c r="I26" s="96"/>
      <c r="K26" s="293"/>
      <c r="L26" s="294"/>
      <c r="M26" s="294"/>
      <c r="N26" s="295"/>
    </row>
    <row r="27" customFormat="false" ht="15" hidden="false" customHeight="false" outlineLevel="0" collapsed="false">
      <c r="A27" s="48" t="s">
        <v>449</v>
      </c>
      <c r="B27" s="55" t="s">
        <v>62</v>
      </c>
      <c r="C27" s="288"/>
      <c r="D27" s="85" t="s">
        <v>597</v>
      </c>
      <c r="E27" s="288" t="s">
        <v>509</v>
      </c>
      <c r="F27" s="288"/>
      <c r="G27" s="288"/>
      <c r="H27" s="288"/>
      <c r="I27" s="96"/>
      <c r="K27" s="293"/>
      <c r="L27" s="294"/>
      <c r="M27" s="294"/>
      <c r="N27" s="295"/>
    </row>
    <row r="28" customFormat="false" ht="15" hidden="false" customHeight="false" outlineLevel="0" collapsed="false">
      <c r="A28" s="48" t="s">
        <v>833</v>
      </c>
      <c r="B28" s="55" t="s">
        <v>59</v>
      </c>
      <c r="C28" s="288"/>
      <c r="D28" s="85" t="s">
        <v>567</v>
      </c>
      <c r="E28" s="288" t="s">
        <v>509</v>
      </c>
      <c r="F28" s="288"/>
      <c r="G28" s="288"/>
      <c r="H28" s="288"/>
      <c r="I28" s="96"/>
      <c r="K28" s="293"/>
      <c r="L28" s="294"/>
      <c r="M28" s="294"/>
      <c r="N28" s="295"/>
    </row>
    <row r="29" customFormat="false" ht="15" hidden="false" customHeight="false" outlineLevel="0" collapsed="false">
      <c r="A29" s="48" t="s">
        <v>241</v>
      </c>
      <c r="B29" s="55" t="s">
        <v>59</v>
      </c>
      <c r="C29" s="288"/>
      <c r="D29" s="85" t="s">
        <v>650</v>
      </c>
      <c r="E29" s="288" t="s">
        <v>509</v>
      </c>
      <c r="F29" s="288"/>
      <c r="G29" s="288"/>
      <c r="H29" s="288"/>
      <c r="I29" s="96"/>
      <c r="K29" s="293"/>
      <c r="L29" s="294"/>
      <c r="M29" s="294"/>
      <c r="N29" s="295"/>
    </row>
    <row r="30" customFormat="false" ht="15" hidden="true" customHeight="false" outlineLevel="0" collapsed="false">
      <c r="A30" s="48" t="s">
        <v>834</v>
      </c>
      <c r="B30" s="55" t="s">
        <v>59</v>
      </c>
      <c r="C30" s="288"/>
      <c r="D30" s="85" t="s">
        <v>674</v>
      </c>
      <c r="E30" s="288" t="s">
        <v>59</v>
      </c>
      <c r="F30" s="288"/>
      <c r="G30" s="288"/>
      <c r="H30" s="288"/>
      <c r="I30" s="96"/>
      <c r="K30" s="293"/>
      <c r="L30" s="294"/>
      <c r="M30" s="294"/>
      <c r="N30" s="295"/>
    </row>
    <row r="31" customFormat="false" ht="15" hidden="true" customHeight="false" outlineLevel="0" collapsed="false">
      <c r="A31" s="48" t="s">
        <v>816</v>
      </c>
      <c r="B31" s="55" t="s">
        <v>817</v>
      </c>
      <c r="C31" s="288"/>
      <c r="D31" s="85" t="s">
        <v>546</v>
      </c>
      <c r="E31" s="288" t="s">
        <v>59</v>
      </c>
      <c r="F31" s="288"/>
      <c r="G31" s="288"/>
      <c r="H31" s="288"/>
      <c r="I31" s="96"/>
      <c r="K31" s="293"/>
      <c r="L31" s="294"/>
      <c r="M31" s="294"/>
      <c r="N31" s="295"/>
    </row>
    <row r="32" customFormat="false" ht="15" hidden="true" customHeight="false" outlineLevel="0" collapsed="false">
      <c r="A32" s="48" t="s">
        <v>104</v>
      </c>
      <c r="B32" s="55" t="s">
        <v>59</v>
      </c>
      <c r="C32" s="288"/>
      <c r="D32" s="85" t="s">
        <v>720</v>
      </c>
      <c r="E32" s="288" t="s">
        <v>59</v>
      </c>
      <c r="F32" s="288"/>
      <c r="G32" s="288"/>
      <c r="H32" s="288"/>
      <c r="I32" s="96"/>
      <c r="K32" s="293"/>
      <c r="L32" s="294"/>
      <c r="M32" s="294"/>
      <c r="N32" s="295"/>
    </row>
    <row r="33" customFormat="false" ht="15" hidden="true" customHeight="false" outlineLevel="0" collapsed="false">
      <c r="A33" s="48" t="s">
        <v>835</v>
      </c>
      <c r="B33" s="55" t="s">
        <v>59</v>
      </c>
      <c r="C33" s="288"/>
      <c r="D33" s="85" t="s">
        <v>648</v>
      </c>
      <c r="E33" s="288" t="s">
        <v>59</v>
      </c>
      <c r="F33" s="288"/>
      <c r="G33" s="288"/>
      <c r="H33" s="288"/>
      <c r="I33" s="96"/>
      <c r="K33" s="293"/>
      <c r="L33" s="294"/>
      <c r="M33" s="294"/>
      <c r="N33" s="295"/>
    </row>
    <row r="34" customFormat="false" ht="15" hidden="true" customHeight="false" outlineLevel="0" collapsed="false">
      <c r="A34" s="48" t="s">
        <v>106</v>
      </c>
      <c r="B34" s="55" t="s">
        <v>64</v>
      </c>
      <c r="C34" s="288"/>
      <c r="D34" s="85" t="s">
        <v>558</v>
      </c>
      <c r="E34" s="288" t="s">
        <v>62</v>
      </c>
      <c r="F34" s="288"/>
      <c r="G34" s="288"/>
      <c r="H34" s="288"/>
      <c r="I34" s="96"/>
      <c r="K34" s="293"/>
      <c r="L34" s="294"/>
      <c r="M34" s="294"/>
      <c r="N34" s="295"/>
    </row>
    <row r="35" customFormat="false" ht="15" hidden="true" customHeight="false" outlineLevel="0" collapsed="false">
      <c r="A35" s="48" t="s">
        <v>836</v>
      </c>
      <c r="B35" s="55" t="s">
        <v>59</v>
      </c>
      <c r="C35" s="288"/>
      <c r="D35" s="85" t="s">
        <v>550</v>
      </c>
      <c r="E35" s="288" t="s">
        <v>59</v>
      </c>
      <c r="F35" s="288"/>
      <c r="G35" s="288"/>
      <c r="H35" s="288"/>
      <c r="I35" s="96"/>
      <c r="K35" s="293"/>
      <c r="L35" s="294"/>
      <c r="M35" s="294"/>
      <c r="N35" s="295"/>
    </row>
    <row r="36" customFormat="false" ht="15" hidden="true" customHeight="false" outlineLevel="0" collapsed="false">
      <c r="A36" s="48" t="s">
        <v>837</v>
      </c>
      <c r="B36" s="55" t="s">
        <v>59</v>
      </c>
      <c r="C36" s="288"/>
      <c r="D36" s="85" t="s">
        <v>586</v>
      </c>
      <c r="E36" s="288" t="s">
        <v>59</v>
      </c>
      <c r="F36" s="288"/>
      <c r="G36" s="288"/>
      <c r="H36" s="288"/>
      <c r="I36" s="96"/>
      <c r="K36" s="293"/>
      <c r="L36" s="294"/>
      <c r="M36" s="294"/>
      <c r="N36" s="295"/>
    </row>
    <row r="37" customFormat="false" ht="15" hidden="true" customHeight="false" outlineLevel="0" collapsed="false">
      <c r="A37" s="48" t="s">
        <v>819</v>
      </c>
      <c r="B37" s="55" t="s">
        <v>66</v>
      </c>
      <c r="C37" s="288"/>
      <c r="D37" s="85" t="s">
        <v>621</v>
      </c>
      <c r="E37" s="288" t="s">
        <v>59</v>
      </c>
      <c r="F37" s="288"/>
      <c r="G37" s="288"/>
      <c r="H37" s="288"/>
      <c r="I37" s="96"/>
      <c r="K37" s="293"/>
      <c r="L37" s="294"/>
      <c r="M37" s="294"/>
      <c r="N37" s="295"/>
    </row>
    <row r="38" customFormat="false" ht="15" hidden="true" customHeight="false" outlineLevel="0" collapsed="false">
      <c r="A38" s="48" t="s">
        <v>820</v>
      </c>
      <c r="B38" s="55" t="s">
        <v>31</v>
      </c>
      <c r="C38" s="289"/>
      <c r="D38" s="85" t="s">
        <v>589</v>
      </c>
      <c r="E38" s="288" t="s">
        <v>59</v>
      </c>
      <c r="F38" s="288"/>
      <c r="G38" s="288"/>
      <c r="H38" s="288"/>
      <c r="I38" s="96"/>
      <c r="K38" s="293"/>
      <c r="L38" s="294"/>
      <c r="M38" s="294"/>
      <c r="N38" s="295"/>
    </row>
    <row r="39" customFormat="false" ht="15" hidden="true" customHeight="false" outlineLevel="0" collapsed="false">
      <c r="A39" s="48" t="s">
        <v>838</v>
      </c>
      <c r="B39" s="55" t="s">
        <v>62</v>
      </c>
      <c r="C39" s="288"/>
      <c r="D39" s="85" t="s">
        <v>712</v>
      </c>
      <c r="E39" s="288" t="s">
        <v>59</v>
      </c>
      <c r="F39" s="288"/>
      <c r="G39" s="288"/>
      <c r="H39" s="289"/>
      <c r="I39" s="96"/>
      <c r="K39" s="293"/>
      <c r="L39" s="294"/>
      <c r="M39" s="294"/>
      <c r="N39" s="295"/>
    </row>
    <row r="40" customFormat="false" ht="15" hidden="true" customHeight="false" outlineLevel="0" collapsed="false">
      <c r="A40" s="48" t="s">
        <v>55</v>
      </c>
      <c r="B40" s="139" t="s">
        <v>53</v>
      </c>
      <c r="C40" s="288"/>
      <c r="D40" s="85" t="s">
        <v>686</v>
      </c>
      <c r="E40" s="288" t="s">
        <v>59</v>
      </c>
      <c r="F40" s="288"/>
      <c r="G40" s="288"/>
      <c r="H40" s="288"/>
      <c r="I40" s="96"/>
      <c r="K40" s="293"/>
      <c r="L40" s="294"/>
      <c r="M40" s="294"/>
      <c r="N40" s="295"/>
    </row>
    <row r="41" customFormat="false" ht="15" hidden="true" customHeight="false" outlineLevel="0" collapsed="false">
      <c r="A41" s="48" t="s">
        <v>839</v>
      </c>
      <c r="B41" s="297" t="s">
        <v>64</v>
      </c>
      <c r="C41" s="288"/>
      <c r="D41" s="85" t="s">
        <v>590</v>
      </c>
      <c r="E41" s="288" t="s">
        <v>59</v>
      </c>
      <c r="F41" s="288"/>
      <c r="G41" s="288"/>
      <c r="H41" s="288"/>
      <c r="I41" s="96"/>
      <c r="K41" s="293"/>
      <c r="L41" s="294"/>
      <c r="M41" s="294"/>
      <c r="N41" s="295"/>
    </row>
    <row r="42" customFormat="false" ht="15" hidden="true" customHeight="false" outlineLevel="0" collapsed="false">
      <c r="A42" s="48" t="s">
        <v>840</v>
      </c>
      <c r="B42" s="139" t="s">
        <v>5</v>
      </c>
      <c r="C42" s="288"/>
      <c r="D42" s="85" t="s">
        <v>552</v>
      </c>
      <c r="E42" s="288" t="s">
        <v>59</v>
      </c>
      <c r="F42" s="288"/>
      <c r="G42" s="288"/>
      <c r="H42" s="288"/>
      <c r="I42" s="96"/>
      <c r="K42" s="293"/>
      <c r="L42" s="294"/>
      <c r="M42" s="294"/>
      <c r="N42" s="295"/>
    </row>
    <row r="43" customFormat="false" ht="15" hidden="true" customHeight="false" outlineLevel="0" collapsed="false">
      <c r="A43" s="48" t="s">
        <v>819</v>
      </c>
      <c r="B43" s="139" t="s">
        <v>66</v>
      </c>
      <c r="C43" s="288"/>
      <c r="D43" s="85" t="s">
        <v>588</v>
      </c>
      <c r="E43" s="288" t="s">
        <v>59</v>
      </c>
      <c r="F43" s="288"/>
      <c r="G43" s="288"/>
      <c r="H43" s="288"/>
      <c r="I43" s="96"/>
      <c r="K43" s="293"/>
      <c r="L43" s="294"/>
      <c r="M43" s="294"/>
      <c r="N43" s="295"/>
    </row>
    <row r="44" customFormat="false" ht="15" hidden="true" customHeight="false" outlineLevel="0" collapsed="false">
      <c r="A44" s="48" t="s">
        <v>820</v>
      </c>
      <c r="B44" s="59" t="s">
        <v>31</v>
      </c>
      <c r="C44" s="288"/>
      <c r="D44" s="85" t="s">
        <v>622</v>
      </c>
      <c r="E44" s="288" t="s">
        <v>59</v>
      </c>
      <c r="F44" s="288"/>
      <c r="G44" s="288"/>
      <c r="H44" s="288"/>
      <c r="I44" s="96"/>
      <c r="K44" s="293"/>
      <c r="L44" s="294"/>
      <c r="M44" s="294"/>
      <c r="N44" s="295"/>
    </row>
    <row r="45" customFormat="false" ht="15" hidden="true" customHeight="false" outlineLevel="0" collapsed="false">
      <c r="A45" s="48" t="s">
        <v>835</v>
      </c>
      <c r="B45" s="139" t="s">
        <v>59</v>
      </c>
      <c r="C45" s="288"/>
      <c r="D45" s="85" t="s">
        <v>516</v>
      </c>
      <c r="E45" s="288" t="s">
        <v>62</v>
      </c>
      <c r="F45" s="288"/>
      <c r="G45" s="288"/>
      <c r="H45" s="288"/>
      <c r="I45" s="96"/>
      <c r="K45" s="293"/>
      <c r="L45" s="294"/>
      <c r="M45" s="294"/>
      <c r="N45" s="295"/>
    </row>
    <row r="46" customFormat="false" ht="15" hidden="true" customHeight="false" outlineLevel="0" collapsed="false">
      <c r="A46" s="48" t="s">
        <v>819</v>
      </c>
      <c r="B46" s="139" t="s">
        <v>66</v>
      </c>
      <c r="C46" s="288"/>
      <c r="D46" s="85" t="s">
        <v>647</v>
      </c>
      <c r="E46" s="288" t="s">
        <v>690</v>
      </c>
      <c r="F46" s="288"/>
      <c r="G46" s="288"/>
      <c r="H46" s="288"/>
      <c r="I46" s="96"/>
      <c r="K46" s="293"/>
      <c r="L46" s="294"/>
      <c r="M46" s="294"/>
      <c r="N46" s="295"/>
    </row>
    <row r="47" customFormat="false" ht="15" hidden="true" customHeight="false" outlineLevel="0" collapsed="false">
      <c r="A47" s="48" t="s">
        <v>820</v>
      </c>
      <c r="B47" s="59" t="s">
        <v>31</v>
      </c>
      <c r="C47" s="288"/>
      <c r="D47" s="85" t="s">
        <v>563</v>
      </c>
      <c r="E47" s="288" t="s">
        <v>59</v>
      </c>
      <c r="F47" s="288"/>
      <c r="G47" s="288"/>
      <c r="H47" s="288"/>
      <c r="I47" s="96"/>
      <c r="K47" s="293"/>
      <c r="L47" s="294"/>
      <c r="M47" s="294"/>
      <c r="N47" s="295"/>
    </row>
    <row r="48" customFormat="false" ht="15" hidden="true" customHeight="false" outlineLevel="0" collapsed="false">
      <c r="A48" s="48" t="s">
        <v>279</v>
      </c>
      <c r="B48" s="139" t="s">
        <v>59</v>
      </c>
      <c r="C48" s="288"/>
      <c r="D48" s="85" t="s">
        <v>523</v>
      </c>
      <c r="E48" s="288" t="s">
        <v>59</v>
      </c>
      <c r="F48" s="288"/>
      <c r="G48" s="288"/>
      <c r="H48" s="288"/>
      <c r="I48" s="96"/>
      <c r="K48" s="293"/>
      <c r="L48" s="294"/>
      <c r="M48" s="294"/>
      <c r="N48" s="295"/>
    </row>
    <row r="49" customFormat="false" ht="15" hidden="true" customHeight="false" outlineLevel="0" collapsed="false">
      <c r="A49" s="48" t="s">
        <v>835</v>
      </c>
      <c r="B49" s="139" t="s">
        <v>59</v>
      </c>
      <c r="C49" s="288"/>
      <c r="D49" s="85" t="s">
        <v>541</v>
      </c>
      <c r="E49" s="288" t="s">
        <v>529</v>
      </c>
      <c r="F49" s="288"/>
      <c r="G49" s="288"/>
      <c r="H49" s="288"/>
      <c r="I49" s="96"/>
      <c r="K49" s="293"/>
      <c r="L49" s="294"/>
      <c r="M49" s="294"/>
      <c r="N49" s="295"/>
    </row>
    <row r="50" customFormat="false" ht="15" hidden="true" customHeight="false" outlineLevel="0" collapsed="false">
      <c r="A50" s="48" t="s">
        <v>819</v>
      </c>
      <c r="B50" s="139" t="s">
        <v>66</v>
      </c>
      <c r="C50" s="288"/>
      <c r="D50" s="85" t="s">
        <v>572</v>
      </c>
      <c r="E50" s="288" t="s">
        <v>529</v>
      </c>
      <c r="F50" s="288"/>
      <c r="G50" s="288"/>
      <c r="H50" s="288"/>
      <c r="I50" s="96"/>
      <c r="K50" s="293"/>
      <c r="L50" s="294"/>
      <c r="M50" s="294"/>
      <c r="N50" s="295"/>
    </row>
    <row r="51" customFormat="false" ht="15" hidden="true" customHeight="false" outlineLevel="0" collapsed="false">
      <c r="A51" s="48" t="s">
        <v>820</v>
      </c>
      <c r="B51" s="139" t="s">
        <v>31</v>
      </c>
      <c r="C51" s="288"/>
      <c r="D51" s="85" t="s">
        <v>614</v>
      </c>
      <c r="E51" s="288" t="s">
        <v>529</v>
      </c>
      <c r="F51" s="288"/>
      <c r="G51" s="288"/>
      <c r="H51" s="288"/>
      <c r="I51" s="96"/>
      <c r="K51" s="293"/>
      <c r="L51" s="294"/>
      <c r="M51" s="294"/>
      <c r="N51" s="295"/>
    </row>
    <row r="52" customFormat="false" ht="15" hidden="true" customHeight="false" outlineLevel="0" collapsed="false">
      <c r="A52" s="48" t="s">
        <v>55</v>
      </c>
      <c r="B52" s="59" t="s">
        <v>53</v>
      </c>
      <c r="C52" s="288"/>
      <c r="D52" s="85" t="s">
        <v>596</v>
      </c>
      <c r="E52" s="288" t="s">
        <v>57</v>
      </c>
      <c r="F52" s="288"/>
      <c r="G52" s="288"/>
      <c r="H52" s="288"/>
      <c r="I52" s="96"/>
      <c r="K52" s="293"/>
      <c r="L52" s="294"/>
      <c r="M52" s="294"/>
      <c r="N52" s="295"/>
    </row>
    <row r="53" customFormat="false" ht="15" hidden="true" customHeight="false" outlineLevel="0" collapsed="false">
      <c r="A53" s="48" t="s">
        <v>821</v>
      </c>
      <c r="B53" s="139" t="s">
        <v>53</v>
      </c>
      <c r="C53" s="288"/>
      <c r="D53" s="85" t="s">
        <v>515</v>
      </c>
      <c r="E53" s="288" t="s">
        <v>57</v>
      </c>
      <c r="F53" s="288"/>
      <c r="G53" s="288"/>
      <c r="H53" s="288"/>
      <c r="I53" s="96"/>
      <c r="K53" s="293"/>
      <c r="L53" s="294"/>
      <c r="M53" s="294"/>
      <c r="N53" s="295"/>
    </row>
    <row r="54" customFormat="false" ht="15" hidden="true" customHeight="false" outlineLevel="0" collapsed="false">
      <c r="A54" s="48" t="s">
        <v>835</v>
      </c>
      <c r="B54" s="59" t="s">
        <v>59</v>
      </c>
      <c r="C54" s="288"/>
      <c r="D54" s="85" t="s">
        <v>595</v>
      </c>
      <c r="E54" s="288" t="s">
        <v>59</v>
      </c>
      <c r="F54" s="288"/>
      <c r="G54" s="288"/>
      <c r="H54" s="288"/>
      <c r="I54" s="96"/>
      <c r="K54" s="293"/>
      <c r="L54" s="294"/>
      <c r="M54" s="294"/>
      <c r="N54" s="295"/>
    </row>
    <row r="55" customFormat="false" ht="15" hidden="true" customHeight="false" outlineLevel="0" collapsed="false">
      <c r="A55" s="48" t="s">
        <v>107</v>
      </c>
      <c r="B55" s="55" t="s">
        <v>66</v>
      </c>
      <c r="C55" s="288"/>
      <c r="D55" s="85" t="s">
        <v>530</v>
      </c>
      <c r="E55" s="288" t="s">
        <v>529</v>
      </c>
      <c r="F55" s="288"/>
      <c r="G55" s="288"/>
      <c r="H55" s="288"/>
      <c r="I55" s="96"/>
      <c r="K55" s="293"/>
      <c r="L55" s="294"/>
      <c r="M55" s="294"/>
      <c r="N55" s="295"/>
    </row>
    <row r="56" customFormat="false" ht="15" hidden="true" customHeight="false" outlineLevel="0" collapsed="false">
      <c r="A56" s="48" t="s">
        <v>841</v>
      </c>
      <c r="B56" s="55" t="s">
        <v>31</v>
      </c>
      <c r="C56" s="288"/>
      <c r="D56" s="85" t="s">
        <v>601</v>
      </c>
      <c r="E56" s="288" t="s">
        <v>529</v>
      </c>
      <c r="F56" s="288"/>
      <c r="G56" s="288"/>
      <c r="H56" s="288"/>
      <c r="I56" s="96"/>
      <c r="K56" s="293"/>
      <c r="L56" s="294"/>
      <c r="M56" s="294"/>
      <c r="N56" s="298"/>
    </row>
    <row r="57" customFormat="false" ht="15" hidden="true" customHeight="false" outlineLevel="0" collapsed="false">
      <c r="A57" s="42" t="s">
        <v>52</v>
      </c>
      <c r="B57" s="55" t="s">
        <v>31</v>
      </c>
      <c r="C57" s="288"/>
      <c r="D57" s="85" t="s">
        <v>705</v>
      </c>
      <c r="E57" s="288" t="s">
        <v>529</v>
      </c>
      <c r="F57" s="288"/>
      <c r="G57" s="288"/>
      <c r="H57" s="288"/>
      <c r="I57" s="96"/>
      <c r="K57" s="293"/>
      <c r="L57" s="294"/>
      <c r="M57" s="294"/>
      <c r="N57" s="298"/>
    </row>
    <row r="58" customFormat="false" ht="15" hidden="true" customHeight="false" outlineLevel="0" collapsed="false">
      <c r="A58" s="48" t="s">
        <v>819</v>
      </c>
      <c r="B58" s="55" t="s">
        <v>66</v>
      </c>
      <c r="C58" s="288"/>
      <c r="D58" s="85" t="s">
        <v>559</v>
      </c>
      <c r="E58" s="288" t="s">
        <v>59</v>
      </c>
      <c r="F58" s="289"/>
      <c r="G58" s="289"/>
      <c r="H58" s="288"/>
      <c r="I58" s="96"/>
      <c r="K58" s="293"/>
      <c r="L58" s="294"/>
      <c r="M58" s="294"/>
      <c r="N58" s="298"/>
    </row>
    <row r="59" customFormat="false" ht="15" hidden="true" customHeight="false" outlineLevel="0" collapsed="false">
      <c r="A59" s="48" t="s">
        <v>820</v>
      </c>
      <c r="B59" s="55" t="s">
        <v>31</v>
      </c>
      <c r="C59" s="288"/>
      <c r="D59" s="85" t="s">
        <v>548</v>
      </c>
      <c r="E59" s="288" t="s">
        <v>59</v>
      </c>
      <c r="F59" s="288"/>
      <c r="G59" s="288"/>
      <c r="H59" s="288"/>
      <c r="I59" s="96"/>
      <c r="K59" s="293"/>
      <c r="L59" s="294"/>
      <c r="M59" s="294"/>
      <c r="N59" s="298"/>
    </row>
    <row r="60" customFormat="false" ht="15" hidden="true" customHeight="false" outlineLevel="0" collapsed="false">
      <c r="A60" s="48" t="s">
        <v>842</v>
      </c>
      <c r="B60" s="55" t="s">
        <v>39</v>
      </c>
      <c r="C60" s="288"/>
      <c r="D60" s="85" t="s">
        <v>543</v>
      </c>
      <c r="E60" s="288" t="s">
        <v>124</v>
      </c>
      <c r="F60" s="288"/>
      <c r="G60" s="288"/>
      <c r="H60" s="288"/>
      <c r="I60" s="96"/>
      <c r="K60" s="293"/>
      <c r="L60" s="294"/>
      <c r="M60" s="294"/>
      <c r="N60" s="298"/>
    </row>
    <row r="61" customFormat="false" ht="15" hidden="true" customHeight="false" outlineLevel="0" collapsed="false">
      <c r="A61" s="48" t="s">
        <v>279</v>
      </c>
      <c r="B61" s="59" t="s">
        <v>59</v>
      </c>
      <c r="C61" s="288"/>
      <c r="D61" s="85" t="s">
        <v>685</v>
      </c>
      <c r="E61" s="288" t="s">
        <v>59</v>
      </c>
      <c r="F61" s="288"/>
      <c r="G61" s="288"/>
      <c r="H61" s="288"/>
      <c r="I61" s="96"/>
      <c r="K61" s="293"/>
      <c r="L61" s="294"/>
      <c r="M61" s="294"/>
      <c r="N61" s="298"/>
    </row>
    <row r="62" customFormat="false" ht="15" hidden="true" customHeight="false" outlineLevel="0" collapsed="false">
      <c r="A62" s="48" t="s">
        <v>843</v>
      </c>
      <c r="B62" s="55" t="s">
        <v>59</v>
      </c>
      <c r="C62" s="288"/>
      <c r="D62" s="85" t="s">
        <v>635</v>
      </c>
      <c r="E62" s="288" t="s">
        <v>59</v>
      </c>
      <c r="F62" s="288"/>
      <c r="G62" s="288"/>
      <c r="H62" s="288"/>
      <c r="I62" s="96"/>
      <c r="K62" s="293"/>
      <c r="L62" s="294"/>
      <c r="M62" s="294"/>
      <c r="N62" s="298"/>
    </row>
    <row r="63" customFormat="false" ht="15" hidden="true" customHeight="false" outlineLevel="0" collapsed="false">
      <c r="A63" s="48" t="s">
        <v>835</v>
      </c>
      <c r="B63" s="55" t="s">
        <v>59</v>
      </c>
      <c r="C63" s="288"/>
      <c r="D63" s="85" t="s">
        <v>600</v>
      </c>
      <c r="E63" s="288" t="s">
        <v>529</v>
      </c>
      <c r="F63" s="288"/>
      <c r="G63" s="288"/>
      <c r="H63" s="288"/>
      <c r="I63" s="96"/>
      <c r="K63" s="293"/>
      <c r="L63" s="294"/>
      <c r="M63" s="294"/>
      <c r="N63" s="298"/>
    </row>
    <row r="64" customFormat="false" ht="15" hidden="true" customHeight="false" outlineLevel="0" collapsed="false">
      <c r="A64" s="48" t="s">
        <v>844</v>
      </c>
      <c r="B64" s="55" t="s">
        <v>59</v>
      </c>
      <c r="C64" s="288"/>
      <c r="D64" s="85" t="s">
        <v>570</v>
      </c>
      <c r="E64" s="288" t="s">
        <v>529</v>
      </c>
      <c r="F64" s="288"/>
      <c r="G64" s="288"/>
      <c r="H64" s="288"/>
      <c r="I64" s="96"/>
      <c r="K64" s="293"/>
      <c r="L64" s="294"/>
      <c r="M64" s="294"/>
      <c r="N64" s="298"/>
    </row>
    <row r="65" customFormat="false" ht="15" hidden="true" customHeight="false" outlineLevel="0" collapsed="false">
      <c r="A65" s="48" t="s">
        <v>845</v>
      </c>
      <c r="B65" s="139" t="s">
        <v>59</v>
      </c>
      <c r="C65" s="288"/>
      <c r="D65" s="85" t="s">
        <v>706</v>
      </c>
      <c r="E65" s="288" t="s">
        <v>62</v>
      </c>
      <c r="F65" s="288"/>
      <c r="G65" s="288"/>
      <c r="H65" s="288"/>
      <c r="I65" s="96"/>
      <c r="K65" s="293"/>
      <c r="L65" s="294"/>
      <c r="M65" s="294"/>
      <c r="N65" s="298"/>
    </row>
    <row r="66" customFormat="false" ht="15" hidden="true" customHeight="false" outlineLevel="0" collapsed="false">
      <c r="A66" s="48" t="s">
        <v>819</v>
      </c>
      <c r="B66" s="59" t="s">
        <v>66</v>
      </c>
      <c r="C66" s="288"/>
      <c r="D66" s="85" t="s">
        <v>532</v>
      </c>
      <c r="E66" s="288" t="s">
        <v>62</v>
      </c>
      <c r="F66" s="288"/>
      <c r="G66" s="288"/>
      <c r="H66" s="288"/>
      <c r="I66" s="96"/>
      <c r="K66" s="293"/>
      <c r="L66" s="294"/>
      <c r="M66" s="294"/>
      <c r="N66" s="298"/>
    </row>
    <row r="67" customFormat="false" ht="15" hidden="true" customHeight="false" outlineLevel="0" collapsed="false">
      <c r="A67" s="48" t="s">
        <v>846</v>
      </c>
      <c r="B67" s="55" t="s">
        <v>62</v>
      </c>
      <c r="C67" s="288"/>
      <c r="D67" s="85" t="s">
        <v>608</v>
      </c>
      <c r="E67" s="288" t="s">
        <v>66</v>
      </c>
      <c r="F67" s="288"/>
      <c r="G67" s="288"/>
      <c r="H67" s="288"/>
      <c r="I67" s="96"/>
      <c r="K67" s="293"/>
      <c r="L67" s="294"/>
      <c r="M67" s="294"/>
      <c r="N67" s="298"/>
    </row>
    <row r="68" customFormat="false" ht="15" hidden="true" customHeight="false" outlineLevel="0" collapsed="false">
      <c r="A68" s="48" t="s">
        <v>847</v>
      </c>
      <c r="B68" s="299" t="s">
        <v>391</v>
      </c>
      <c r="C68" s="288"/>
      <c r="D68" s="85" t="s">
        <v>711</v>
      </c>
      <c r="E68" s="288" t="s">
        <v>59</v>
      </c>
      <c r="F68" s="288"/>
      <c r="G68" s="288"/>
      <c r="H68" s="288"/>
      <c r="I68" s="96"/>
      <c r="K68" s="293"/>
      <c r="L68" s="294"/>
      <c r="M68" s="294"/>
      <c r="N68" s="298"/>
    </row>
    <row r="69" customFormat="false" ht="15" hidden="true" customHeight="false" outlineLevel="0" collapsed="false">
      <c r="A69" s="48" t="s">
        <v>835</v>
      </c>
      <c r="B69" s="55" t="s">
        <v>59</v>
      </c>
      <c r="C69" s="288"/>
      <c r="D69" s="85" t="s">
        <v>560</v>
      </c>
      <c r="E69" s="288" t="s">
        <v>59</v>
      </c>
      <c r="F69" s="288"/>
      <c r="G69" s="288"/>
      <c r="H69" s="288"/>
      <c r="I69" s="96"/>
      <c r="K69" s="293"/>
      <c r="L69" s="294"/>
      <c r="M69" s="294"/>
      <c r="N69" s="298"/>
    </row>
    <row r="70" customFormat="false" ht="15" hidden="true" customHeight="false" outlineLevel="0" collapsed="false">
      <c r="A70" s="48" t="s">
        <v>135</v>
      </c>
      <c r="B70" s="59" t="s">
        <v>134</v>
      </c>
      <c r="C70" s="288"/>
      <c r="D70" s="85" t="s">
        <v>713</v>
      </c>
      <c r="E70" s="288" t="s">
        <v>59</v>
      </c>
      <c r="F70" s="288"/>
      <c r="G70" s="288"/>
      <c r="H70" s="288"/>
      <c r="I70" s="96"/>
      <c r="K70" s="293"/>
      <c r="L70" s="294"/>
      <c r="M70" s="294"/>
      <c r="N70" s="298"/>
    </row>
    <row r="71" customFormat="false" ht="15" hidden="true" customHeight="false" outlineLevel="0" collapsed="false">
      <c r="A71" s="48" t="s">
        <v>848</v>
      </c>
      <c r="B71" s="55" t="s">
        <v>154</v>
      </c>
      <c r="C71" s="288"/>
      <c r="D71" s="85" t="s">
        <v>656</v>
      </c>
      <c r="E71" s="288" t="s">
        <v>59</v>
      </c>
      <c r="F71" s="288"/>
      <c r="G71" s="288"/>
      <c r="H71" s="288"/>
      <c r="I71" s="96"/>
      <c r="K71" s="293"/>
      <c r="L71" s="294"/>
      <c r="M71" s="294"/>
      <c r="N71" s="298"/>
    </row>
    <row r="72" customFormat="false" ht="15" hidden="true" customHeight="false" outlineLevel="0" collapsed="false">
      <c r="A72" s="48" t="s">
        <v>86</v>
      </c>
      <c r="B72" s="55" t="s">
        <v>85</v>
      </c>
      <c r="C72" s="288"/>
      <c r="D72" s="85" t="s">
        <v>631</v>
      </c>
      <c r="E72" s="288" t="s">
        <v>59</v>
      </c>
      <c r="F72" s="288"/>
      <c r="G72" s="288"/>
      <c r="H72" s="288"/>
      <c r="I72" s="96"/>
      <c r="K72" s="293"/>
      <c r="L72" s="294"/>
      <c r="M72" s="294"/>
      <c r="N72" s="298"/>
    </row>
    <row r="73" customFormat="false" ht="15" hidden="true" customHeight="false" outlineLevel="0" collapsed="false">
      <c r="A73" s="48" t="s">
        <v>86</v>
      </c>
      <c r="B73" s="59" t="s">
        <v>85</v>
      </c>
      <c r="C73" s="288"/>
      <c r="D73" s="85" t="s">
        <v>657</v>
      </c>
      <c r="E73" s="288" t="s">
        <v>59</v>
      </c>
      <c r="F73" s="288"/>
      <c r="G73" s="288"/>
      <c r="H73" s="288"/>
      <c r="I73" s="96"/>
      <c r="K73" s="293"/>
      <c r="L73" s="294"/>
      <c r="M73" s="294"/>
      <c r="N73" s="298"/>
    </row>
    <row r="74" customFormat="false" ht="15" hidden="true" customHeight="false" outlineLevel="0" collapsed="false">
      <c r="A74" s="48" t="s">
        <v>849</v>
      </c>
      <c r="B74" s="55" t="s">
        <v>31</v>
      </c>
      <c r="C74" s="288"/>
      <c r="D74" s="85" t="s">
        <v>689</v>
      </c>
      <c r="E74" s="288" t="s">
        <v>59</v>
      </c>
      <c r="F74" s="288"/>
      <c r="G74" s="288"/>
      <c r="H74" s="288"/>
      <c r="I74" s="96"/>
      <c r="K74" s="293"/>
      <c r="L74" s="294"/>
      <c r="M74" s="294"/>
      <c r="N74" s="298"/>
    </row>
    <row r="75" customFormat="false" ht="15" hidden="true" customHeight="false" outlineLevel="0" collapsed="false">
      <c r="A75" s="48" t="s">
        <v>109</v>
      </c>
      <c r="B75" s="55" t="s">
        <v>108</v>
      </c>
      <c r="C75" s="288"/>
      <c r="D75" s="85" t="s">
        <v>665</v>
      </c>
      <c r="E75" s="288" t="s">
        <v>59</v>
      </c>
      <c r="F75" s="288"/>
      <c r="G75" s="288"/>
      <c r="H75" s="288"/>
      <c r="I75" s="96"/>
      <c r="K75" s="293"/>
      <c r="L75" s="294"/>
      <c r="M75" s="294"/>
      <c r="N75" s="298"/>
    </row>
    <row r="76" customFormat="false" ht="15" hidden="true" customHeight="false" outlineLevel="0" collapsed="false">
      <c r="A76" s="48" t="s">
        <v>820</v>
      </c>
      <c r="B76" s="59" t="s">
        <v>31</v>
      </c>
      <c r="C76" s="288"/>
      <c r="D76" s="85" t="s">
        <v>547</v>
      </c>
      <c r="E76" s="288" t="s">
        <v>59</v>
      </c>
      <c r="F76" s="288"/>
      <c r="G76" s="288"/>
      <c r="H76" s="288"/>
      <c r="I76" s="96"/>
      <c r="K76" s="293"/>
      <c r="L76" s="294"/>
      <c r="M76" s="294"/>
      <c r="N76" s="298"/>
    </row>
    <row r="77" customFormat="false" ht="15" hidden="true" customHeight="false" outlineLevel="0" collapsed="false">
      <c r="A77" s="48" t="s">
        <v>850</v>
      </c>
      <c r="B77" s="59" t="s">
        <v>817</v>
      </c>
      <c r="C77" s="288"/>
      <c r="D77" s="85" t="s">
        <v>585</v>
      </c>
      <c r="E77" s="288" t="s">
        <v>59</v>
      </c>
      <c r="F77" s="288"/>
      <c r="G77" s="288"/>
      <c r="H77" s="288"/>
      <c r="I77" s="96"/>
      <c r="K77" s="293"/>
      <c r="L77" s="294"/>
      <c r="M77" s="294"/>
      <c r="N77" s="298"/>
    </row>
    <row r="78" customFormat="false" ht="15" hidden="true" customHeight="false" outlineLevel="0" collapsed="false">
      <c r="A78" s="48" t="s">
        <v>835</v>
      </c>
      <c r="B78" s="55" t="s">
        <v>59</v>
      </c>
      <c r="C78" s="288"/>
      <c r="D78" s="85" t="s">
        <v>544</v>
      </c>
      <c r="E78" s="288" t="s">
        <v>59</v>
      </c>
      <c r="F78" s="288"/>
      <c r="G78" s="288"/>
      <c r="H78" s="288"/>
      <c r="I78" s="96"/>
      <c r="K78" s="293"/>
      <c r="L78" s="294"/>
      <c r="M78" s="294"/>
      <c r="N78" s="298"/>
    </row>
    <row r="79" customFormat="false" ht="15" hidden="true" customHeight="false" outlineLevel="0" collapsed="false">
      <c r="A79" s="48" t="s">
        <v>819</v>
      </c>
      <c r="B79" s="55" t="s">
        <v>66</v>
      </c>
      <c r="C79" s="288"/>
      <c r="D79" s="85" t="s">
        <v>584</v>
      </c>
      <c r="E79" s="288" t="s">
        <v>59</v>
      </c>
      <c r="F79" s="288"/>
      <c r="G79" s="288"/>
      <c r="H79" s="288"/>
      <c r="I79" s="96"/>
      <c r="K79" s="293"/>
      <c r="L79" s="294"/>
      <c r="M79" s="294"/>
      <c r="N79" s="298"/>
    </row>
    <row r="80" customFormat="false" ht="15" hidden="true" customHeight="false" outlineLevel="0" collapsed="false">
      <c r="A80" s="48" t="s">
        <v>820</v>
      </c>
      <c r="B80" s="55" t="s">
        <v>31</v>
      </c>
      <c r="C80" s="288"/>
      <c r="D80" s="85" t="s">
        <v>620</v>
      </c>
      <c r="E80" s="288" t="s">
        <v>59</v>
      </c>
      <c r="F80" s="288"/>
      <c r="G80" s="288"/>
      <c r="H80" s="288"/>
      <c r="I80" s="96"/>
      <c r="K80" s="293"/>
      <c r="L80" s="294"/>
      <c r="M80" s="294"/>
      <c r="N80" s="298"/>
    </row>
    <row r="81" customFormat="false" ht="15" hidden="true" customHeight="false" outlineLevel="0" collapsed="false">
      <c r="A81" s="48" t="s">
        <v>851</v>
      </c>
      <c r="B81" s="55" t="s">
        <v>64</v>
      </c>
      <c r="C81" s="288"/>
      <c r="D81" s="85" t="s">
        <v>699</v>
      </c>
      <c r="E81" s="288" t="s">
        <v>59</v>
      </c>
      <c r="F81" s="288"/>
      <c r="G81" s="288"/>
      <c r="H81" s="288"/>
      <c r="I81" s="96"/>
      <c r="K81" s="293"/>
      <c r="L81" s="294"/>
      <c r="M81" s="294"/>
      <c r="N81" s="298"/>
    </row>
    <row r="82" customFormat="false" ht="15" hidden="true" customHeight="false" outlineLevel="0" collapsed="false">
      <c r="A82" s="48" t="s">
        <v>852</v>
      </c>
      <c r="B82" s="55" t="s">
        <v>59</v>
      </c>
      <c r="C82" s="288"/>
      <c r="D82" s="85" t="s">
        <v>536</v>
      </c>
      <c r="E82" s="288" t="s">
        <v>59</v>
      </c>
      <c r="F82" s="288"/>
      <c r="G82" s="288"/>
      <c r="H82" s="288"/>
      <c r="I82" s="96"/>
      <c r="K82" s="293"/>
      <c r="L82" s="294"/>
      <c r="M82" s="294"/>
      <c r="N82" s="298"/>
    </row>
    <row r="83" customFormat="false" ht="15" hidden="true" customHeight="false" outlineLevel="0" collapsed="false">
      <c r="A83" s="48" t="s">
        <v>402</v>
      </c>
      <c r="B83" s="55" t="s">
        <v>62</v>
      </c>
      <c r="C83" s="288"/>
      <c r="D83" s="85" t="s">
        <v>524</v>
      </c>
      <c r="E83" s="288" t="s">
        <v>59</v>
      </c>
      <c r="F83" s="288"/>
      <c r="G83" s="288"/>
      <c r="H83" s="288"/>
      <c r="I83" s="96"/>
      <c r="K83" s="293"/>
      <c r="L83" s="294"/>
      <c r="M83" s="294"/>
      <c r="N83" s="298"/>
    </row>
    <row r="84" customFormat="false" ht="15" hidden="true" customHeight="false" outlineLevel="0" collapsed="false">
      <c r="A84" s="48" t="s">
        <v>853</v>
      </c>
      <c r="B84" s="34" t="s">
        <v>108</v>
      </c>
      <c r="C84" s="288"/>
      <c r="D84" s="85" t="s">
        <v>604</v>
      </c>
      <c r="E84" s="288" t="s">
        <v>62</v>
      </c>
      <c r="F84" s="288"/>
      <c r="G84" s="288"/>
      <c r="H84" s="288"/>
      <c r="I84" s="96"/>
      <c r="K84" s="293"/>
      <c r="L84" s="294"/>
      <c r="M84" s="294"/>
      <c r="N84" s="298"/>
      <c r="O84" s="96"/>
    </row>
    <row r="85" customFormat="false" ht="15" hidden="true" customHeight="false" outlineLevel="0" collapsed="false">
      <c r="A85" s="48" t="s">
        <v>819</v>
      </c>
      <c r="B85" s="55" t="s">
        <v>66</v>
      </c>
      <c r="C85" s="288"/>
      <c r="D85" s="85" t="s">
        <v>518</v>
      </c>
      <c r="E85" s="288" t="s">
        <v>62</v>
      </c>
      <c r="F85" s="288"/>
      <c r="G85" s="288"/>
      <c r="H85" s="288"/>
      <c r="I85" s="96"/>
      <c r="K85" s="293"/>
      <c r="L85" s="294"/>
      <c r="M85" s="294"/>
      <c r="N85" s="298"/>
      <c r="O85" s="96"/>
    </row>
    <row r="86" customFormat="false" ht="15" hidden="true" customHeight="false" outlineLevel="0" collapsed="false">
      <c r="A86" s="48" t="s">
        <v>820</v>
      </c>
      <c r="B86" s="55" t="s">
        <v>31</v>
      </c>
      <c r="C86" s="288"/>
      <c r="D86" s="85" t="s">
        <v>703</v>
      </c>
      <c r="E86" s="288" t="s">
        <v>690</v>
      </c>
      <c r="F86" s="288"/>
      <c r="G86" s="288"/>
      <c r="H86" s="288"/>
      <c r="I86" s="96"/>
      <c r="K86" s="293"/>
      <c r="L86" s="294"/>
      <c r="M86" s="294"/>
      <c r="N86" s="298"/>
      <c r="O86" s="96"/>
    </row>
    <row r="87" customFormat="false" ht="15" hidden="true" customHeight="false" outlineLevel="0" collapsed="false">
      <c r="A87" s="48" t="s">
        <v>835</v>
      </c>
      <c r="B87" s="55" t="s">
        <v>59</v>
      </c>
      <c r="C87" s="288"/>
      <c r="D87" s="85" t="s">
        <v>528</v>
      </c>
      <c r="E87" s="288" t="s">
        <v>62</v>
      </c>
      <c r="F87" s="288"/>
      <c r="G87" s="288"/>
      <c r="H87" s="288"/>
      <c r="K87" s="293"/>
      <c r="L87" s="294"/>
      <c r="M87" s="294"/>
      <c r="N87" s="298"/>
      <c r="O87" s="96"/>
    </row>
    <row r="88" customFormat="false" ht="13.8" hidden="true" customHeight="false" outlineLevel="0" collapsed="false">
      <c r="A88" s="48" t="s">
        <v>819</v>
      </c>
      <c r="B88" s="55" t="s">
        <v>66</v>
      </c>
      <c r="C88" s="288"/>
      <c r="D88" s="85" t="s">
        <v>554</v>
      </c>
      <c r="E88" s="288" t="s">
        <v>529</v>
      </c>
      <c r="F88" s="288"/>
      <c r="G88" s="288"/>
      <c r="H88" s="288"/>
    </row>
    <row r="89" customFormat="false" ht="13.8" hidden="true" customHeight="false" outlineLevel="0" collapsed="false">
      <c r="A89" s="48" t="s">
        <v>820</v>
      </c>
      <c r="B89" s="55" t="s">
        <v>31</v>
      </c>
      <c r="C89" s="288"/>
      <c r="D89" s="85" t="s">
        <v>539</v>
      </c>
      <c r="E89" s="288" t="s">
        <v>529</v>
      </c>
      <c r="F89" s="288"/>
      <c r="G89" s="288"/>
      <c r="H89" s="288"/>
    </row>
    <row r="90" customFormat="false" ht="13.8" hidden="true" customHeight="false" outlineLevel="0" collapsed="false">
      <c r="A90" s="48" t="s">
        <v>820</v>
      </c>
      <c r="B90" s="55" t="s">
        <v>31</v>
      </c>
      <c r="C90" s="288"/>
      <c r="D90" s="85" t="s">
        <v>637</v>
      </c>
      <c r="E90" s="288" t="s">
        <v>690</v>
      </c>
      <c r="F90" s="288"/>
      <c r="G90" s="288"/>
      <c r="H90" s="288"/>
    </row>
    <row r="91" customFormat="false" ht="13.8" hidden="true" customHeight="false" outlineLevel="0" collapsed="false">
      <c r="A91" s="48" t="s">
        <v>835</v>
      </c>
      <c r="B91" s="55" t="s">
        <v>59</v>
      </c>
      <c r="C91" s="288"/>
      <c r="D91" s="85" t="s">
        <v>658</v>
      </c>
      <c r="E91" s="288" t="s">
        <v>690</v>
      </c>
      <c r="F91" s="288"/>
      <c r="G91" s="288"/>
      <c r="H91" s="288"/>
    </row>
    <row r="92" customFormat="false" ht="13.8" hidden="true" customHeight="false" outlineLevel="0" collapsed="false">
      <c r="A92" s="48" t="s">
        <v>854</v>
      </c>
      <c r="B92" s="55" t="s">
        <v>505</v>
      </c>
      <c r="C92" s="288"/>
      <c r="D92" s="85" t="s">
        <v>691</v>
      </c>
      <c r="E92" s="288" t="s">
        <v>690</v>
      </c>
      <c r="F92" s="288"/>
      <c r="G92" s="288"/>
      <c r="H92" s="288"/>
    </row>
    <row r="93" customFormat="false" ht="13.8" hidden="true" customHeight="false" outlineLevel="0" collapsed="false">
      <c r="A93" s="48" t="s">
        <v>819</v>
      </c>
      <c r="B93" s="55" t="s">
        <v>66</v>
      </c>
      <c r="C93" s="288"/>
      <c r="D93" s="85" t="s">
        <v>607</v>
      </c>
      <c r="E93" s="288" t="s">
        <v>59</v>
      </c>
      <c r="F93" s="288"/>
      <c r="G93" s="288"/>
      <c r="H93" s="288"/>
    </row>
    <row r="94" customFormat="false" ht="13.8" hidden="true" customHeight="false" outlineLevel="0" collapsed="false">
      <c r="A94" s="48" t="s">
        <v>820</v>
      </c>
      <c r="B94" s="55" t="s">
        <v>31</v>
      </c>
      <c r="C94" s="288"/>
      <c r="D94" s="85" t="s">
        <v>683</v>
      </c>
      <c r="E94" s="288" t="s">
        <v>62</v>
      </c>
      <c r="F94" s="288"/>
      <c r="G94" s="288"/>
      <c r="H94" s="288"/>
    </row>
    <row r="95" customFormat="false" ht="13.8" hidden="true" customHeight="false" outlineLevel="0" collapsed="false">
      <c r="A95" s="48" t="s">
        <v>820</v>
      </c>
      <c r="B95" s="55" t="s">
        <v>31</v>
      </c>
      <c r="C95" s="288"/>
      <c r="D95" s="85" t="s">
        <v>649</v>
      </c>
      <c r="E95" s="288" t="s">
        <v>59</v>
      </c>
      <c r="F95" s="288"/>
      <c r="G95" s="288"/>
      <c r="H95" s="288"/>
      <c r="I95" s="96"/>
    </row>
    <row r="96" customFormat="false" ht="13.8" hidden="true" customHeight="false" outlineLevel="0" collapsed="false">
      <c r="A96" s="48" t="s">
        <v>838</v>
      </c>
      <c r="B96" s="55" t="s">
        <v>62</v>
      </c>
      <c r="C96" s="288"/>
      <c r="D96" s="85" t="s">
        <v>721</v>
      </c>
      <c r="E96" s="288" t="s">
        <v>59</v>
      </c>
      <c r="F96" s="288"/>
      <c r="G96" s="288"/>
      <c r="H96" s="288"/>
      <c r="I96" s="96"/>
    </row>
    <row r="97" customFormat="false" ht="13.8" hidden="true" customHeight="false" outlineLevel="0" collapsed="false">
      <c r="A97" s="48" t="s">
        <v>855</v>
      </c>
      <c r="B97" s="55" t="s">
        <v>64</v>
      </c>
      <c r="C97" s="288"/>
      <c r="D97" s="85" t="s">
        <v>642</v>
      </c>
      <c r="E97" s="288" t="s">
        <v>59</v>
      </c>
      <c r="F97" s="288"/>
      <c r="G97" s="288"/>
      <c r="H97" s="288"/>
      <c r="I97" s="96"/>
    </row>
    <row r="98" customFormat="false" ht="13.8" hidden="true" customHeight="false" outlineLevel="0" collapsed="false">
      <c r="A98" s="48" t="s">
        <v>819</v>
      </c>
      <c r="B98" s="55" t="s">
        <v>66</v>
      </c>
      <c r="C98" s="288"/>
      <c r="D98" s="85" t="s">
        <v>659</v>
      </c>
      <c r="E98" s="288" t="s">
        <v>59</v>
      </c>
      <c r="F98" s="288"/>
      <c r="G98" s="288"/>
      <c r="H98" s="288"/>
      <c r="I98" s="96"/>
    </row>
    <row r="99" customFormat="false" ht="13.8" hidden="true" customHeight="false" outlineLevel="0" collapsed="false">
      <c r="A99" s="48" t="s">
        <v>820</v>
      </c>
      <c r="B99" s="55" t="s">
        <v>31</v>
      </c>
      <c r="C99" s="288"/>
      <c r="D99" s="85" t="s">
        <v>643</v>
      </c>
      <c r="E99" s="288" t="s">
        <v>59</v>
      </c>
      <c r="F99" s="288"/>
      <c r="G99" s="288"/>
      <c r="H99" s="288"/>
      <c r="I99" s="96"/>
    </row>
    <row r="100" customFormat="false" ht="13.8" hidden="true" customHeight="false" outlineLevel="0" collapsed="false">
      <c r="A100" s="48" t="s">
        <v>55</v>
      </c>
      <c r="B100" s="55" t="s">
        <v>53</v>
      </c>
      <c r="C100" s="288"/>
      <c r="D100" s="85" t="s">
        <v>660</v>
      </c>
      <c r="E100" s="288" t="s">
        <v>59</v>
      </c>
      <c r="F100" s="288"/>
      <c r="G100" s="288"/>
      <c r="H100" s="288"/>
      <c r="I100" s="96"/>
    </row>
    <row r="101" customFormat="false" ht="13.8" hidden="true" customHeight="false" outlineLevel="0" collapsed="false">
      <c r="A101" s="48" t="s">
        <v>856</v>
      </c>
      <c r="B101" s="55" t="s">
        <v>857</v>
      </c>
      <c r="C101" s="288"/>
      <c r="D101" s="85" t="s">
        <v>675</v>
      </c>
      <c r="E101" s="288" t="s">
        <v>59</v>
      </c>
      <c r="F101" s="288"/>
      <c r="G101" s="288"/>
      <c r="H101" s="288"/>
      <c r="I101" s="96"/>
    </row>
    <row r="102" customFormat="false" ht="13.8" hidden="true" customHeight="false" outlineLevel="0" collapsed="false">
      <c r="A102" s="48" t="s">
        <v>96</v>
      </c>
      <c r="B102" s="55" t="s">
        <v>59</v>
      </c>
      <c r="C102" s="288"/>
      <c r="D102" s="85" t="s">
        <v>695</v>
      </c>
      <c r="E102" s="288" t="s">
        <v>59</v>
      </c>
      <c r="F102" s="288"/>
      <c r="G102" s="288"/>
      <c r="H102" s="288"/>
      <c r="I102" s="96"/>
    </row>
    <row r="103" customFormat="false" ht="13.8" hidden="true" customHeight="false" outlineLevel="0" collapsed="false">
      <c r="A103" s="48" t="s">
        <v>858</v>
      </c>
      <c r="B103" s="55" t="s">
        <v>59</v>
      </c>
      <c r="C103" s="288"/>
      <c r="D103" s="85" t="s">
        <v>697</v>
      </c>
      <c r="E103" s="288" t="s">
        <v>59</v>
      </c>
      <c r="F103" s="288"/>
      <c r="G103" s="288"/>
      <c r="H103" s="288"/>
      <c r="I103" s="96"/>
    </row>
    <row r="104" customFormat="false" ht="13.8" hidden="true" customHeight="false" outlineLevel="0" collapsed="false">
      <c r="A104" s="48" t="s">
        <v>859</v>
      </c>
      <c r="B104" s="55" t="s">
        <v>59</v>
      </c>
      <c r="C104" s="288"/>
      <c r="D104" s="85" t="s">
        <v>499</v>
      </c>
      <c r="E104" s="288" t="s">
        <v>59</v>
      </c>
      <c r="F104" s="288"/>
      <c r="G104" s="288"/>
      <c r="H104" s="288"/>
      <c r="I104" s="96"/>
    </row>
    <row r="105" customFormat="false" ht="13.8" hidden="true" customHeight="false" outlineLevel="0" collapsed="false">
      <c r="A105" s="48" t="s">
        <v>286</v>
      </c>
      <c r="B105" s="55" t="s">
        <v>59</v>
      </c>
      <c r="C105" s="288"/>
      <c r="D105" s="85" t="s">
        <v>498</v>
      </c>
      <c r="E105" s="288" t="s">
        <v>59</v>
      </c>
      <c r="F105" s="288"/>
      <c r="G105" s="288"/>
      <c r="H105" s="288"/>
      <c r="I105" s="96"/>
    </row>
    <row r="106" customFormat="false" ht="13.8" hidden="true" customHeight="false" outlineLevel="0" collapsed="false">
      <c r="A106" s="48" t="s">
        <v>385</v>
      </c>
      <c r="B106" s="55" t="s">
        <v>59</v>
      </c>
      <c r="C106" s="288"/>
      <c r="D106" s="85" t="s">
        <v>583</v>
      </c>
      <c r="E106" s="288" t="s">
        <v>59</v>
      </c>
      <c r="F106" s="288"/>
      <c r="G106" s="288"/>
      <c r="H106" s="288"/>
      <c r="I106" s="96"/>
    </row>
    <row r="107" customFormat="false" ht="13.8" hidden="true" customHeight="false" outlineLevel="0" collapsed="false">
      <c r="A107" s="48" t="s">
        <v>850</v>
      </c>
      <c r="B107" s="55" t="s">
        <v>817</v>
      </c>
      <c r="C107" s="288"/>
      <c r="D107" s="85" t="s">
        <v>619</v>
      </c>
      <c r="E107" s="288" t="s">
        <v>59</v>
      </c>
      <c r="F107" s="288"/>
      <c r="G107" s="288"/>
      <c r="H107" s="288"/>
      <c r="I107" s="96"/>
    </row>
    <row r="108" customFormat="false" ht="13.8" hidden="true" customHeight="false" outlineLevel="0" collapsed="false">
      <c r="A108" s="48" t="s">
        <v>162</v>
      </c>
      <c r="B108" s="55" t="s">
        <v>57</v>
      </c>
      <c r="C108" s="288"/>
      <c r="D108" s="85" t="s">
        <v>578</v>
      </c>
      <c r="E108" s="288" t="s">
        <v>529</v>
      </c>
      <c r="F108" s="288"/>
      <c r="G108" s="288"/>
      <c r="H108" s="288"/>
      <c r="I108" s="96"/>
    </row>
    <row r="109" customFormat="false" ht="13.8" hidden="true" customHeight="false" outlineLevel="0" collapsed="false">
      <c r="A109" s="48" t="s">
        <v>163</v>
      </c>
      <c r="B109" s="55" t="s">
        <v>57</v>
      </c>
      <c r="C109" s="288"/>
      <c r="D109" s="85" t="s">
        <v>609</v>
      </c>
      <c r="E109" s="288" t="s">
        <v>529</v>
      </c>
      <c r="F109" s="288"/>
      <c r="G109" s="288"/>
      <c r="H109" s="288"/>
      <c r="I109" s="96"/>
    </row>
    <row r="110" customFormat="false" ht="13.8" hidden="true" customHeight="false" outlineLevel="0" collapsed="false">
      <c r="A110" s="48" t="s">
        <v>163</v>
      </c>
      <c r="B110" s="55" t="s">
        <v>57</v>
      </c>
      <c r="C110" s="288"/>
      <c r="D110" s="85" t="s">
        <v>651</v>
      </c>
      <c r="E110" s="288" t="s">
        <v>529</v>
      </c>
      <c r="F110" s="288"/>
      <c r="G110" s="288"/>
      <c r="H110" s="288"/>
      <c r="I110" s="96"/>
    </row>
    <row r="111" customFormat="false" ht="13.8" hidden="true" customHeight="false" outlineLevel="0" collapsed="false">
      <c r="A111" s="48" t="s">
        <v>841</v>
      </c>
      <c r="B111" s="55" t="s">
        <v>31</v>
      </c>
      <c r="C111" s="288"/>
      <c r="D111" s="85" t="s">
        <v>681</v>
      </c>
      <c r="E111" s="288" t="s">
        <v>529</v>
      </c>
      <c r="F111" s="288"/>
      <c r="G111" s="288"/>
      <c r="H111" s="288"/>
      <c r="I111" s="96"/>
    </row>
    <row r="112" customFormat="false" ht="15" hidden="true" customHeight="false" outlineLevel="0" collapsed="false">
      <c r="A112" s="42" t="s">
        <v>52</v>
      </c>
      <c r="B112" s="55" t="s">
        <v>31</v>
      </c>
      <c r="C112" s="288"/>
      <c r="D112" s="85" t="s">
        <v>714</v>
      </c>
      <c r="E112" s="288" t="s">
        <v>529</v>
      </c>
      <c r="F112" s="288"/>
      <c r="G112" s="288"/>
      <c r="H112" s="288"/>
      <c r="I112" s="96"/>
    </row>
    <row r="113" customFormat="false" ht="15" hidden="true" customHeight="false" outlineLevel="0" collapsed="false">
      <c r="A113" s="48" t="s">
        <v>860</v>
      </c>
      <c r="B113" s="55" t="s">
        <v>59</v>
      </c>
      <c r="C113" s="288"/>
      <c r="D113" s="85" t="s">
        <v>576</v>
      </c>
      <c r="E113" s="288" t="s">
        <v>529</v>
      </c>
      <c r="F113" s="289"/>
      <c r="G113" s="289"/>
      <c r="H113" s="288"/>
      <c r="I113" s="96"/>
    </row>
    <row r="114" customFormat="false" ht="13.8" hidden="true" customHeight="false" outlineLevel="0" collapsed="false">
      <c r="A114" s="48" t="s">
        <v>106</v>
      </c>
      <c r="B114" s="55" t="s">
        <v>64</v>
      </c>
      <c r="C114" s="288"/>
      <c r="D114" s="85" t="s">
        <v>581</v>
      </c>
      <c r="E114" s="288" t="s">
        <v>579</v>
      </c>
      <c r="F114" s="288"/>
      <c r="G114" s="288"/>
      <c r="H114" s="288"/>
      <c r="I114" s="96"/>
    </row>
    <row r="115" customFormat="false" ht="13.8" hidden="true" customHeight="false" outlineLevel="0" collapsed="false">
      <c r="A115" s="48" t="s">
        <v>861</v>
      </c>
      <c r="B115" s="55" t="s">
        <v>391</v>
      </c>
      <c r="C115" s="288"/>
      <c r="D115" s="85" t="s">
        <v>606</v>
      </c>
      <c r="E115" s="288" t="s">
        <v>59</v>
      </c>
      <c r="F115" s="288"/>
      <c r="G115" s="288"/>
      <c r="H115" s="288"/>
      <c r="I115" s="96"/>
    </row>
    <row r="116" customFormat="false" ht="13.8" hidden="true" customHeight="false" outlineLevel="0" collapsed="false">
      <c r="A116" s="48" t="s">
        <v>819</v>
      </c>
      <c r="B116" s="55" t="s">
        <v>66</v>
      </c>
      <c r="C116" s="288"/>
      <c r="D116" s="85" t="s">
        <v>624</v>
      </c>
      <c r="E116" s="288" t="s">
        <v>59</v>
      </c>
      <c r="F116" s="288"/>
      <c r="G116" s="288"/>
      <c r="H116" s="288"/>
      <c r="I116" s="96"/>
    </row>
    <row r="117" customFormat="false" ht="13.8" hidden="true" customHeight="false" outlineLevel="0" collapsed="false">
      <c r="A117" s="48" t="s">
        <v>835</v>
      </c>
      <c r="B117" s="55" t="s">
        <v>59</v>
      </c>
      <c r="C117" s="288"/>
      <c r="D117" s="85" t="s">
        <v>653</v>
      </c>
      <c r="E117" s="288" t="s">
        <v>59</v>
      </c>
      <c r="F117" s="288"/>
      <c r="G117" s="288"/>
      <c r="H117" s="288"/>
      <c r="I117" s="96"/>
    </row>
    <row r="118" customFormat="false" ht="13.8" hidden="true" customHeight="false" outlineLevel="0" collapsed="false">
      <c r="A118" s="48" t="s">
        <v>862</v>
      </c>
      <c r="B118" s="55" t="s">
        <v>59</v>
      </c>
      <c r="C118" s="288"/>
      <c r="D118" s="85" t="s">
        <v>605</v>
      </c>
      <c r="E118" s="288" t="s">
        <v>59</v>
      </c>
      <c r="F118" s="288"/>
      <c r="G118" s="288"/>
      <c r="H118" s="288"/>
      <c r="I118" s="96"/>
    </row>
    <row r="119" customFormat="false" ht="13.8" hidden="true" customHeight="false" outlineLevel="0" collapsed="false">
      <c r="A119" s="48" t="s">
        <v>279</v>
      </c>
      <c r="B119" s="55" t="s">
        <v>59</v>
      </c>
      <c r="C119" s="288"/>
      <c r="D119" s="85" t="s">
        <v>628</v>
      </c>
      <c r="E119" s="288" t="s">
        <v>148</v>
      </c>
      <c r="F119" s="288"/>
      <c r="G119" s="288"/>
      <c r="H119" s="288"/>
      <c r="I119" s="96"/>
    </row>
    <row r="120" customFormat="false" ht="13.8" hidden="false" customHeight="false" outlineLevel="0" collapsed="false">
      <c r="A120" s="48" t="s">
        <v>97</v>
      </c>
      <c r="B120" s="55" t="s">
        <v>59</v>
      </c>
      <c r="C120" s="288"/>
      <c r="D120" s="85" t="s">
        <v>633</v>
      </c>
      <c r="E120" s="288" t="s">
        <v>509</v>
      </c>
      <c r="F120" s="288"/>
      <c r="G120" s="288"/>
      <c r="H120" s="288"/>
      <c r="I120" s="96"/>
    </row>
    <row r="121" customFormat="false" ht="13.8" hidden="false" customHeight="false" outlineLevel="0" collapsed="false">
      <c r="A121" s="48" t="s">
        <v>863</v>
      </c>
      <c r="B121" s="55" t="s">
        <v>59</v>
      </c>
      <c r="C121" s="288"/>
      <c r="D121" s="85" t="s">
        <v>556</v>
      </c>
      <c r="E121" s="288" t="s">
        <v>509</v>
      </c>
      <c r="F121" s="288"/>
      <c r="G121" s="288"/>
      <c r="H121" s="288"/>
      <c r="I121" s="96"/>
    </row>
    <row r="122" customFormat="false" ht="13.8" hidden="true" customHeight="false" outlineLevel="0" collapsed="false">
      <c r="A122" s="48" t="s">
        <v>863</v>
      </c>
      <c r="B122" s="55" t="s">
        <v>59</v>
      </c>
      <c r="C122" s="288"/>
      <c r="D122" s="85" t="s">
        <v>551</v>
      </c>
      <c r="E122" s="288" t="s">
        <v>59</v>
      </c>
      <c r="F122" s="288"/>
      <c r="G122" s="288"/>
      <c r="H122" s="288"/>
      <c r="I122" s="96"/>
    </row>
    <row r="123" customFormat="false" ht="13.8" hidden="true" customHeight="false" outlineLevel="0" collapsed="false">
      <c r="A123" s="48" t="s">
        <v>821</v>
      </c>
      <c r="B123" s="55" t="s">
        <v>53</v>
      </c>
      <c r="C123" s="288"/>
      <c r="D123" s="85" t="s">
        <v>587</v>
      </c>
      <c r="E123" s="288" t="s">
        <v>59</v>
      </c>
      <c r="F123" s="288"/>
      <c r="G123" s="288"/>
      <c r="H123" s="288"/>
      <c r="I123" s="96"/>
    </row>
    <row r="124" customFormat="false" ht="13.8" hidden="true" customHeight="false" outlineLevel="0" collapsed="false">
      <c r="A124" s="48" t="s">
        <v>864</v>
      </c>
      <c r="B124" s="55" t="s">
        <v>59</v>
      </c>
      <c r="C124" s="288"/>
      <c r="D124" s="85" t="s">
        <v>667</v>
      </c>
      <c r="E124" s="288" t="s">
        <v>59</v>
      </c>
      <c r="F124" s="288"/>
      <c r="G124" s="288"/>
      <c r="H124" s="288"/>
      <c r="I124" s="96"/>
    </row>
    <row r="125" customFormat="false" ht="13.8" hidden="true" customHeight="false" outlineLevel="0" collapsed="false">
      <c r="A125" s="48" t="s">
        <v>835</v>
      </c>
      <c r="B125" s="55" t="s">
        <v>59</v>
      </c>
      <c r="C125" s="288"/>
      <c r="D125" s="85" t="s">
        <v>534</v>
      </c>
      <c r="E125" s="288" t="s">
        <v>57</v>
      </c>
      <c r="F125" s="288"/>
      <c r="G125" s="288"/>
      <c r="H125" s="288"/>
      <c r="I125" s="96"/>
    </row>
    <row r="126" customFormat="false" ht="13.8" hidden="true" customHeight="false" outlineLevel="0" collapsed="false">
      <c r="A126" s="48" t="s">
        <v>38</v>
      </c>
      <c r="B126" s="55" t="s">
        <v>136</v>
      </c>
      <c r="C126" s="288"/>
      <c r="D126" s="85" t="s">
        <v>671</v>
      </c>
      <c r="E126" s="288" t="s">
        <v>57</v>
      </c>
      <c r="F126" s="288"/>
      <c r="G126" s="288"/>
      <c r="H126" s="288"/>
      <c r="I126" s="96"/>
    </row>
    <row r="127" customFormat="false" ht="13.8" hidden="true" customHeight="false" outlineLevel="0" collapsed="false">
      <c r="A127" s="48" t="s">
        <v>86</v>
      </c>
      <c r="B127" s="297" t="s">
        <v>85</v>
      </c>
      <c r="C127" s="288"/>
      <c r="D127" s="85" t="s">
        <v>694</v>
      </c>
      <c r="E127" s="288" t="s">
        <v>57</v>
      </c>
      <c r="F127" s="288"/>
      <c r="G127" s="288"/>
      <c r="H127" s="288"/>
      <c r="I127" s="96"/>
    </row>
    <row r="128" customFormat="false" ht="13.8" hidden="true" customHeight="false" outlineLevel="0" collapsed="false">
      <c r="A128" s="48" t="s">
        <v>849</v>
      </c>
      <c r="B128" s="297" t="s">
        <v>31</v>
      </c>
      <c r="C128" s="288"/>
      <c r="D128" s="85" t="s">
        <v>634</v>
      </c>
      <c r="E128" s="288" t="s">
        <v>62</v>
      </c>
      <c r="F128" s="288"/>
      <c r="G128" s="288"/>
      <c r="H128" s="288"/>
      <c r="I128" s="96"/>
    </row>
    <row r="129" customFormat="false" ht="13.8" hidden="true" customHeight="false" outlineLevel="0" collapsed="false">
      <c r="A129" s="48" t="s">
        <v>820</v>
      </c>
      <c r="B129" s="297" t="s">
        <v>31</v>
      </c>
      <c r="C129" s="288"/>
      <c r="D129" s="85" t="s">
        <v>687</v>
      </c>
      <c r="E129" s="288" t="s">
        <v>57</v>
      </c>
      <c r="F129" s="288"/>
      <c r="G129" s="288"/>
      <c r="H129" s="288"/>
      <c r="I129" s="96"/>
    </row>
    <row r="130" customFormat="false" ht="13.8" hidden="true" customHeight="false" outlineLevel="0" collapsed="false">
      <c r="A130" s="48" t="s">
        <v>865</v>
      </c>
      <c r="B130" s="297" t="s">
        <v>31</v>
      </c>
      <c r="C130" s="288"/>
      <c r="D130" s="85" t="s">
        <v>646</v>
      </c>
      <c r="E130" s="288" t="s">
        <v>53</v>
      </c>
      <c r="F130" s="288"/>
      <c r="G130" s="288"/>
      <c r="H130" s="288"/>
      <c r="I130" s="96"/>
    </row>
    <row r="131" customFormat="false" ht="13.8" hidden="true" customHeight="false" outlineLevel="0" collapsed="false">
      <c r="A131" s="300" t="s">
        <v>813</v>
      </c>
      <c r="B131" s="297" t="s">
        <v>31</v>
      </c>
      <c r="C131" s="288"/>
      <c r="D131" s="85" t="s">
        <v>611</v>
      </c>
      <c r="E131" s="288" t="s">
        <v>57</v>
      </c>
      <c r="F131" s="288"/>
      <c r="G131" s="288"/>
      <c r="H131" s="288"/>
      <c r="I131" s="96"/>
    </row>
    <row r="132" customFormat="false" ht="13.8" hidden="true" customHeight="false" outlineLevel="0" collapsed="false">
      <c r="A132" s="300" t="s">
        <v>155</v>
      </c>
      <c r="B132" s="297" t="s">
        <v>154</v>
      </c>
      <c r="C132" s="288"/>
      <c r="D132" s="85" t="s">
        <v>574</v>
      </c>
      <c r="E132" s="288" t="s">
        <v>57</v>
      </c>
      <c r="F132" s="288"/>
      <c r="G132" s="288"/>
      <c r="H132" s="288"/>
      <c r="I132" s="96"/>
    </row>
    <row r="133" customFormat="false" ht="13.8" hidden="true" customHeight="false" outlineLevel="0" collapsed="false">
      <c r="A133" s="300" t="s">
        <v>866</v>
      </c>
      <c r="B133" s="297" t="s">
        <v>59</v>
      </c>
      <c r="C133" s="288"/>
      <c r="D133" s="85" t="s">
        <v>710</v>
      </c>
      <c r="E133" s="288" t="s">
        <v>59</v>
      </c>
      <c r="F133" s="288"/>
      <c r="G133" s="288"/>
      <c r="H133" s="288"/>
      <c r="I133" s="96"/>
    </row>
    <row r="134" customFormat="false" ht="13.8" hidden="true" customHeight="false" outlineLevel="0" collapsed="false">
      <c r="A134" s="300" t="s">
        <v>867</v>
      </c>
      <c r="B134" s="297" t="s">
        <v>59</v>
      </c>
      <c r="C134" s="288"/>
      <c r="D134" s="85" t="s">
        <v>514</v>
      </c>
      <c r="E134" s="288" t="s">
        <v>62</v>
      </c>
      <c r="F134" s="288"/>
      <c r="G134" s="288"/>
      <c r="H134" s="288"/>
      <c r="I134" s="96"/>
    </row>
    <row r="135" customFormat="false" ht="13.8" hidden="true" customHeight="false" outlineLevel="0" collapsed="false">
      <c r="A135" s="300" t="s">
        <v>868</v>
      </c>
      <c r="B135" s="297" t="s">
        <v>59</v>
      </c>
      <c r="C135" s="288"/>
      <c r="D135" s="85" t="s">
        <v>679</v>
      </c>
      <c r="E135" s="288" t="s">
        <v>59</v>
      </c>
      <c r="F135" s="288"/>
      <c r="G135" s="288"/>
      <c r="H135" s="288"/>
      <c r="I135" s="96"/>
    </row>
    <row r="136" customFormat="false" ht="13.8" hidden="true" customHeight="false" outlineLevel="0" collapsed="false">
      <c r="A136" s="300" t="s">
        <v>869</v>
      </c>
      <c r="B136" s="297" t="s">
        <v>59</v>
      </c>
      <c r="C136" s="288"/>
      <c r="D136" s="85" t="s">
        <v>537</v>
      </c>
      <c r="E136" s="288" t="s">
        <v>64</v>
      </c>
      <c r="F136" s="288"/>
      <c r="G136" s="288"/>
      <c r="H136" s="288"/>
      <c r="I136" s="96"/>
    </row>
    <row r="137" customFormat="false" ht="13.8" hidden="true" customHeight="false" outlineLevel="0" collapsed="false">
      <c r="A137" s="300" t="s">
        <v>162</v>
      </c>
      <c r="B137" s="297" t="s">
        <v>57</v>
      </c>
      <c r="C137" s="288"/>
      <c r="D137" s="85" t="s">
        <v>562</v>
      </c>
      <c r="E137" s="288" t="s">
        <v>64</v>
      </c>
      <c r="F137" s="288"/>
      <c r="G137" s="288"/>
      <c r="H137" s="288"/>
      <c r="I137" s="96"/>
    </row>
    <row r="138" customFormat="false" ht="13.8" hidden="true" customHeight="false" outlineLevel="0" collapsed="false">
      <c r="A138" s="300" t="s">
        <v>835</v>
      </c>
      <c r="B138" s="297" t="s">
        <v>59</v>
      </c>
      <c r="C138" s="288"/>
      <c r="D138" s="85" t="s">
        <v>512</v>
      </c>
      <c r="E138" s="288" t="s">
        <v>505</v>
      </c>
      <c r="F138" s="288"/>
      <c r="G138" s="288"/>
      <c r="H138" s="288"/>
      <c r="I138" s="96"/>
    </row>
    <row r="139" customFormat="false" ht="13.8" hidden="true" customHeight="false" outlineLevel="0" collapsed="false">
      <c r="A139" s="300" t="s">
        <v>106</v>
      </c>
      <c r="B139" s="297" t="s">
        <v>64</v>
      </c>
      <c r="C139" s="288"/>
      <c r="D139" s="85" t="s">
        <v>663</v>
      </c>
      <c r="E139" s="288" t="s">
        <v>59</v>
      </c>
      <c r="F139" s="288"/>
      <c r="G139" s="288"/>
      <c r="H139" s="288"/>
      <c r="I139" s="96"/>
    </row>
    <row r="140" customFormat="false" ht="13.8" hidden="true" customHeight="false" outlineLevel="0" collapsed="false">
      <c r="A140" s="300" t="s">
        <v>67</v>
      </c>
      <c r="B140" s="297" t="s">
        <v>66</v>
      </c>
      <c r="C140" s="288"/>
      <c r="D140" s="85" t="s">
        <v>644</v>
      </c>
      <c r="E140" s="288" t="s">
        <v>59</v>
      </c>
      <c r="F140" s="288"/>
      <c r="G140" s="288"/>
      <c r="H140" s="288"/>
      <c r="I140" s="96"/>
    </row>
    <row r="141" customFormat="false" ht="13.8" hidden="true" customHeight="false" outlineLevel="0" collapsed="false">
      <c r="A141" s="300" t="s">
        <v>819</v>
      </c>
      <c r="B141" s="301" t="s">
        <v>66</v>
      </c>
      <c r="C141" s="288"/>
      <c r="D141" s="85" t="s">
        <v>645</v>
      </c>
      <c r="E141" s="288" t="s">
        <v>59</v>
      </c>
      <c r="F141" s="288"/>
      <c r="G141" s="288"/>
      <c r="H141" s="288"/>
      <c r="I141" s="96"/>
    </row>
    <row r="142" customFormat="false" ht="13.8" hidden="true" customHeight="false" outlineLevel="0" collapsed="false">
      <c r="A142" s="300" t="s">
        <v>820</v>
      </c>
      <c r="B142" s="297" t="s">
        <v>31</v>
      </c>
      <c r="C142" s="288"/>
      <c r="D142" s="85" t="s">
        <v>661</v>
      </c>
      <c r="E142" s="288" t="s">
        <v>59</v>
      </c>
      <c r="F142" s="288"/>
      <c r="G142" s="288"/>
      <c r="H142" s="288"/>
      <c r="I142" s="96"/>
    </row>
    <row r="143" customFormat="false" ht="13.8" hidden="true" customHeight="false" outlineLevel="0" collapsed="false">
      <c r="A143" s="300" t="s">
        <v>870</v>
      </c>
      <c r="B143" s="297" t="s">
        <v>80</v>
      </c>
      <c r="C143" s="288"/>
      <c r="D143" s="85" t="s">
        <v>662</v>
      </c>
      <c r="E143" s="288" t="s">
        <v>59</v>
      </c>
      <c r="F143" s="288"/>
      <c r="G143" s="288"/>
      <c r="H143" s="288"/>
      <c r="I143" s="96"/>
    </row>
    <row r="144" customFormat="false" ht="13.8" hidden="true" customHeight="false" outlineLevel="0" collapsed="false">
      <c r="A144" s="300" t="s">
        <v>855</v>
      </c>
      <c r="B144" s="55" t="s">
        <v>64</v>
      </c>
      <c r="C144" s="288"/>
      <c r="D144" s="85" t="s">
        <v>692</v>
      </c>
      <c r="E144" s="288" t="s">
        <v>59</v>
      </c>
      <c r="F144" s="288"/>
      <c r="G144" s="288"/>
      <c r="H144" s="288"/>
      <c r="I144" s="96"/>
    </row>
    <row r="145" customFormat="false" ht="13.8" hidden="true" customHeight="false" outlineLevel="0" collapsed="false">
      <c r="A145" s="300" t="s">
        <v>871</v>
      </c>
      <c r="B145" s="55" t="s">
        <v>62</v>
      </c>
      <c r="C145" s="288"/>
      <c r="D145" s="85" t="s">
        <v>526</v>
      </c>
      <c r="E145" s="288" t="s">
        <v>59</v>
      </c>
      <c r="F145" s="288"/>
      <c r="G145" s="288"/>
      <c r="H145" s="288"/>
      <c r="I145" s="96"/>
    </row>
    <row r="146" customFormat="false" ht="13.8" hidden="true" customHeight="false" outlineLevel="0" collapsed="false">
      <c r="A146" s="300" t="s">
        <v>162</v>
      </c>
      <c r="B146" s="55" t="s">
        <v>57</v>
      </c>
      <c r="C146" s="288"/>
      <c r="D146" s="85" t="s">
        <v>564</v>
      </c>
      <c r="E146" s="288" t="s">
        <v>64</v>
      </c>
      <c r="F146" s="288"/>
      <c r="G146" s="288"/>
      <c r="H146" s="288"/>
      <c r="I146" s="96"/>
    </row>
    <row r="147" customFormat="false" ht="13.8" hidden="true" customHeight="false" outlineLevel="0" collapsed="false">
      <c r="A147" s="300" t="s">
        <v>205</v>
      </c>
      <c r="B147" s="55" t="s">
        <v>64</v>
      </c>
      <c r="C147" s="288"/>
      <c r="D147" s="85" t="s">
        <v>591</v>
      </c>
      <c r="E147" s="288" t="s">
        <v>64</v>
      </c>
      <c r="F147" s="288"/>
      <c r="G147" s="288"/>
      <c r="H147" s="288"/>
      <c r="I147" s="96"/>
    </row>
    <row r="148" customFormat="false" ht="13.8" hidden="true" customHeight="false" outlineLevel="0" collapsed="false">
      <c r="A148" s="300" t="s">
        <v>872</v>
      </c>
      <c r="B148" s="55" t="s">
        <v>183</v>
      </c>
      <c r="C148" s="288"/>
      <c r="D148" s="85" t="s">
        <v>615</v>
      </c>
      <c r="E148" s="288" t="s">
        <v>64</v>
      </c>
      <c r="F148" s="288"/>
      <c r="G148" s="288"/>
      <c r="H148" s="288"/>
      <c r="I148" s="96"/>
    </row>
    <row r="149" customFormat="false" ht="13.8" hidden="true" customHeight="false" outlineLevel="0" collapsed="false">
      <c r="A149" s="300" t="s">
        <v>819</v>
      </c>
      <c r="B149" s="55" t="s">
        <v>66</v>
      </c>
      <c r="C149" s="288"/>
      <c r="D149" s="85" t="s">
        <v>549</v>
      </c>
      <c r="E149" s="288" t="s">
        <v>529</v>
      </c>
      <c r="F149" s="288"/>
      <c r="G149" s="288"/>
      <c r="H149" s="288"/>
      <c r="I149" s="96"/>
    </row>
    <row r="150" customFormat="false" ht="13.8" hidden="true" customHeight="false" outlineLevel="0" collapsed="false">
      <c r="A150" s="300" t="s">
        <v>820</v>
      </c>
      <c r="B150" s="55" t="s">
        <v>31</v>
      </c>
      <c r="C150" s="288"/>
      <c r="D150" s="85" t="s">
        <v>716</v>
      </c>
      <c r="E150" s="288" t="s">
        <v>59</v>
      </c>
      <c r="F150" s="288"/>
      <c r="G150" s="288"/>
      <c r="H150" s="288"/>
      <c r="I150" s="96"/>
    </row>
    <row r="151" customFormat="false" ht="13.8" hidden="true" customHeight="false" outlineLevel="0" collapsed="false">
      <c r="A151" s="300" t="s">
        <v>873</v>
      </c>
      <c r="B151" s="55" t="s">
        <v>80</v>
      </c>
      <c r="C151" s="288"/>
      <c r="D151" s="85" t="s">
        <v>630</v>
      </c>
      <c r="E151" s="288" t="s">
        <v>59</v>
      </c>
      <c r="F151" s="288"/>
      <c r="G151" s="288"/>
      <c r="H151" s="288"/>
      <c r="I151" s="96"/>
    </row>
    <row r="152" customFormat="false" ht="13.8" hidden="true" customHeight="false" outlineLevel="0" collapsed="false">
      <c r="A152" s="300" t="s">
        <v>874</v>
      </c>
      <c r="B152" s="55" t="s">
        <v>66</v>
      </c>
      <c r="C152" s="288"/>
      <c r="D152" s="85" t="s">
        <v>669</v>
      </c>
      <c r="E152" s="288" t="s">
        <v>64</v>
      </c>
      <c r="F152" s="288"/>
      <c r="G152" s="288"/>
      <c r="H152" s="288"/>
      <c r="I152" s="96"/>
    </row>
    <row r="153" customFormat="false" ht="13.8" hidden="true" customHeight="false" outlineLevel="0" collapsed="false">
      <c r="A153" s="300" t="s">
        <v>819</v>
      </c>
      <c r="B153" s="55" t="s">
        <v>66</v>
      </c>
      <c r="C153" s="288"/>
      <c r="D153" s="85" t="s">
        <v>670</v>
      </c>
      <c r="E153" s="288" t="s">
        <v>64</v>
      </c>
      <c r="F153" s="288"/>
      <c r="G153" s="288"/>
      <c r="H153" s="288"/>
      <c r="I153" s="96"/>
    </row>
    <row r="154" customFormat="false" ht="13.8" hidden="true" customHeight="false" outlineLevel="0" collapsed="false">
      <c r="A154" s="300" t="s">
        <v>820</v>
      </c>
      <c r="B154" s="55" t="s">
        <v>31</v>
      </c>
      <c r="C154" s="288"/>
      <c r="D154" s="85" t="s">
        <v>693</v>
      </c>
      <c r="E154" s="288" t="s">
        <v>64</v>
      </c>
      <c r="F154" s="288"/>
      <c r="G154" s="288"/>
      <c r="H154" s="288"/>
      <c r="I154" s="96"/>
    </row>
    <row r="155" customFormat="false" ht="13.8" hidden="true" customHeight="false" outlineLevel="0" collapsed="false">
      <c r="A155" s="300" t="s">
        <v>838</v>
      </c>
      <c r="B155" s="55" t="s">
        <v>62</v>
      </c>
      <c r="C155" s="288"/>
      <c r="D155" s="85" t="s">
        <v>568</v>
      </c>
      <c r="E155" s="288" t="s">
        <v>64</v>
      </c>
      <c r="F155" s="288"/>
      <c r="G155" s="288"/>
      <c r="H155" s="288"/>
      <c r="I155" s="96"/>
    </row>
    <row r="156" customFormat="false" ht="13.8" hidden="true" customHeight="false" outlineLevel="0" collapsed="false">
      <c r="A156" s="300" t="s">
        <v>875</v>
      </c>
      <c r="B156" s="55" t="s">
        <v>59</v>
      </c>
      <c r="C156" s="288"/>
      <c r="D156" s="85" t="s">
        <v>592</v>
      </c>
      <c r="E156" s="288" t="s">
        <v>64</v>
      </c>
      <c r="F156" s="288"/>
      <c r="G156" s="288"/>
      <c r="H156" s="288"/>
      <c r="I156" s="96"/>
    </row>
    <row r="157" customFormat="false" ht="13.8" hidden="true" customHeight="false" outlineLevel="0" collapsed="false">
      <c r="A157" s="300" t="s">
        <v>876</v>
      </c>
      <c r="B157" s="55" t="s">
        <v>59</v>
      </c>
      <c r="C157" s="288"/>
      <c r="D157" s="85" t="s">
        <v>508</v>
      </c>
      <c r="E157" s="288" t="s">
        <v>64</v>
      </c>
      <c r="F157" s="288"/>
      <c r="G157" s="288"/>
      <c r="H157" s="288"/>
      <c r="I157" s="96"/>
    </row>
    <row r="158" customFormat="false" ht="13.8" hidden="true" customHeight="false" outlineLevel="0" collapsed="false">
      <c r="A158" s="300" t="s">
        <v>877</v>
      </c>
      <c r="B158" s="55" t="s">
        <v>53</v>
      </c>
      <c r="C158" s="288"/>
      <c r="D158" s="85" t="s">
        <v>639</v>
      </c>
      <c r="E158" s="288" t="s">
        <v>529</v>
      </c>
      <c r="F158" s="288"/>
      <c r="G158" s="288"/>
      <c r="H158" s="288"/>
      <c r="I158" s="96"/>
    </row>
    <row r="159" customFormat="false" ht="13.8" hidden="true" customHeight="false" outlineLevel="0" collapsed="false">
      <c r="A159" s="300" t="s">
        <v>878</v>
      </c>
      <c r="B159" s="55" t="s">
        <v>59</v>
      </c>
      <c r="C159" s="288"/>
      <c r="D159" s="85" t="s">
        <v>701</v>
      </c>
      <c r="E159" s="288" t="s">
        <v>529</v>
      </c>
      <c r="F159" s="288"/>
      <c r="G159" s="288"/>
      <c r="H159" s="288"/>
      <c r="I159" s="96"/>
    </row>
    <row r="160" customFormat="false" ht="13.8" hidden="true" customHeight="false" outlineLevel="0" collapsed="false">
      <c r="A160" s="300" t="s">
        <v>100</v>
      </c>
      <c r="B160" s="55" t="s">
        <v>59</v>
      </c>
      <c r="C160" s="288"/>
      <c r="D160" s="85" t="s">
        <v>640</v>
      </c>
      <c r="E160" s="288" t="s">
        <v>529</v>
      </c>
      <c r="F160" s="288"/>
      <c r="G160" s="288"/>
      <c r="H160" s="288"/>
      <c r="I160" s="96"/>
    </row>
    <row r="161" customFormat="false" ht="13.8" hidden="false" customHeight="false" outlineLevel="0" collapsed="false">
      <c r="A161" s="300" t="s">
        <v>819</v>
      </c>
      <c r="B161" s="55" t="s">
        <v>66</v>
      </c>
      <c r="C161" s="288"/>
      <c r="D161" s="85" t="s">
        <v>616</v>
      </c>
      <c r="E161" s="288" t="s">
        <v>509</v>
      </c>
      <c r="F161" s="288"/>
      <c r="G161" s="288"/>
      <c r="H161" s="288"/>
      <c r="I161" s="96"/>
    </row>
    <row r="162" customFormat="false" ht="13.8" hidden="true" customHeight="false" outlineLevel="0" collapsed="false">
      <c r="A162" s="300" t="s">
        <v>820</v>
      </c>
      <c r="B162" s="55" t="s">
        <v>31</v>
      </c>
      <c r="C162" s="288"/>
      <c r="D162" s="85" t="s">
        <v>582</v>
      </c>
      <c r="E162" s="288" t="s">
        <v>529</v>
      </c>
      <c r="F162" s="288"/>
      <c r="G162" s="288"/>
      <c r="H162" s="288"/>
      <c r="I162" s="96"/>
    </row>
    <row r="163" customFormat="false" ht="13.8" hidden="true" customHeight="false" outlineLevel="0" collapsed="false">
      <c r="A163" s="300" t="s">
        <v>820</v>
      </c>
      <c r="B163" s="55" t="s">
        <v>31</v>
      </c>
      <c r="C163" s="288"/>
      <c r="D163" s="8" t="s">
        <v>759</v>
      </c>
      <c r="E163" s="288" t="s">
        <v>579</v>
      </c>
      <c r="F163" s="288"/>
      <c r="G163" s="288"/>
      <c r="H163" s="288"/>
      <c r="I163" s="96"/>
    </row>
    <row r="164" customFormat="false" ht="15" hidden="false" customHeight="false" outlineLevel="0" collapsed="false">
      <c r="A164" s="300" t="s">
        <v>879</v>
      </c>
      <c r="B164" s="55" t="s">
        <v>391</v>
      </c>
      <c r="C164" s="288"/>
      <c r="D164" s="289"/>
      <c r="E164" s="288"/>
      <c r="F164" s="288"/>
      <c r="G164" s="288"/>
      <c r="H164" s="288"/>
      <c r="I164" s="96"/>
    </row>
    <row r="165" customFormat="false" ht="15" hidden="false" customHeight="false" outlineLevel="0" collapsed="false">
      <c r="A165" s="300" t="s">
        <v>55</v>
      </c>
      <c r="B165" s="55" t="s">
        <v>53</v>
      </c>
      <c r="C165" s="288"/>
      <c r="D165" s="289"/>
      <c r="E165" s="288"/>
      <c r="F165" s="288"/>
      <c r="G165" s="288"/>
      <c r="H165" s="288"/>
      <c r="I165" s="96"/>
    </row>
    <row r="166" customFormat="false" ht="15" hidden="false" customHeight="false" outlineLevel="0" collapsed="false">
      <c r="A166" s="300" t="s">
        <v>880</v>
      </c>
      <c r="B166" s="55" t="s">
        <v>62</v>
      </c>
      <c r="C166" s="288"/>
      <c r="D166" s="289"/>
      <c r="E166" s="288"/>
      <c r="F166" s="288"/>
      <c r="G166" s="288"/>
      <c r="H166" s="288"/>
      <c r="I166" s="96"/>
    </row>
    <row r="167" customFormat="false" ht="15" hidden="false" customHeight="false" outlineLevel="0" collapsed="false">
      <c r="A167" s="300" t="s">
        <v>96</v>
      </c>
      <c r="B167" s="55" t="s">
        <v>59</v>
      </c>
      <c r="C167" s="288"/>
      <c r="D167" s="289"/>
      <c r="E167" s="288"/>
      <c r="F167" s="288"/>
      <c r="G167" s="288"/>
      <c r="H167" s="288"/>
      <c r="I167" s="96"/>
    </row>
    <row r="168" customFormat="false" ht="15" hidden="false" customHeight="false" outlineLevel="0" collapsed="false">
      <c r="A168" s="300" t="s">
        <v>284</v>
      </c>
      <c r="B168" s="55" t="s">
        <v>98</v>
      </c>
      <c r="C168" s="288"/>
      <c r="D168" s="289"/>
      <c r="E168" s="288"/>
      <c r="F168" s="288"/>
      <c r="G168" s="288"/>
      <c r="H168" s="288"/>
      <c r="I168" s="96"/>
    </row>
    <row r="169" customFormat="false" ht="15" hidden="false" customHeight="false" outlineLevel="0" collapsed="false">
      <c r="A169" s="300" t="s">
        <v>881</v>
      </c>
      <c r="B169" s="55" t="s">
        <v>59</v>
      </c>
      <c r="C169" s="288"/>
      <c r="D169" s="289"/>
      <c r="E169" s="288"/>
      <c r="F169" s="288"/>
      <c r="G169" s="288"/>
      <c r="H169" s="288"/>
      <c r="I169" s="96"/>
    </row>
    <row r="170" customFormat="false" ht="15" hidden="false" customHeight="false" outlineLevel="0" collapsed="false">
      <c r="A170" s="300" t="s">
        <v>882</v>
      </c>
      <c r="B170" s="55" t="s">
        <v>59</v>
      </c>
      <c r="C170" s="288"/>
      <c r="D170" s="289"/>
      <c r="E170" s="288"/>
      <c r="F170" s="288"/>
      <c r="G170" s="288"/>
      <c r="H170" s="288"/>
      <c r="I170" s="96"/>
    </row>
    <row r="171" customFormat="false" ht="15" hidden="false" customHeight="false" outlineLevel="0" collapsed="false">
      <c r="A171" s="300" t="s">
        <v>286</v>
      </c>
      <c r="B171" s="55" t="s">
        <v>59</v>
      </c>
      <c r="C171" s="288"/>
      <c r="D171" s="289"/>
      <c r="E171" s="288"/>
      <c r="F171" s="288"/>
      <c r="G171" s="288"/>
      <c r="H171" s="288"/>
      <c r="I171" s="96"/>
    </row>
    <row r="172" customFormat="false" ht="15" hidden="false" customHeight="false" outlineLevel="0" collapsed="false">
      <c r="A172" s="300" t="s">
        <v>883</v>
      </c>
      <c r="B172" s="55" t="s">
        <v>59</v>
      </c>
      <c r="C172" s="288"/>
      <c r="D172" s="289"/>
      <c r="E172" s="288"/>
      <c r="F172" s="288"/>
      <c r="G172" s="288"/>
      <c r="H172" s="288"/>
      <c r="I172" s="96"/>
    </row>
    <row r="173" customFormat="false" ht="15" hidden="false" customHeight="false" outlineLevel="0" collapsed="false">
      <c r="A173" s="300" t="s">
        <v>843</v>
      </c>
      <c r="B173" s="55" t="s">
        <v>59</v>
      </c>
      <c r="C173" s="288"/>
      <c r="D173" s="289"/>
      <c r="E173" s="288"/>
      <c r="F173" s="288"/>
      <c r="G173" s="288"/>
      <c r="H173" s="288"/>
      <c r="I173" s="96"/>
    </row>
    <row r="174" customFormat="false" ht="15" hidden="false" customHeight="false" outlineLevel="0" collapsed="false">
      <c r="A174" s="300" t="s">
        <v>884</v>
      </c>
      <c r="B174" s="55" t="s">
        <v>59</v>
      </c>
      <c r="C174" s="288"/>
      <c r="D174" s="289"/>
      <c r="E174" s="288"/>
      <c r="F174" s="288"/>
      <c r="G174" s="288"/>
      <c r="H174" s="288"/>
      <c r="I174" s="96"/>
    </row>
    <row r="175" customFormat="false" ht="15" hidden="false" customHeight="false" outlineLevel="0" collapsed="false">
      <c r="A175" s="300" t="s">
        <v>102</v>
      </c>
      <c r="B175" s="55" t="s">
        <v>59</v>
      </c>
      <c r="C175" s="288"/>
      <c r="D175" s="289"/>
      <c r="E175" s="288"/>
      <c r="F175" s="288"/>
      <c r="G175" s="288"/>
      <c r="H175" s="288"/>
    </row>
    <row r="176" customFormat="false" ht="15" hidden="false" customHeight="false" outlineLevel="0" collapsed="false">
      <c r="A176" s="300" t="s">
        <v>885</v>
      </c>
      <c r="B176" s="55" t="s">
        <v>57</v>
      </c>
      <c r="C176" s="288"/>
      <c r="D176" s="289"/>
      <c r="E176" s="288"/>
      <c r="F176" s="288"/>
      <c r="G176" s="288"/>
      <c r="H176" s="288"/>
    </row>
    <row r="177" customFormat="false" ht="15" hidden="false" customHeight="false" outlineLevel="0" collapsed="false">
      <c r="A177" s="300" t="s">
        <v>150</v>
      </c>
      <c r="B177" s="55" t="s">
        <v>62</v>
      </c>
      <c r="C177" s="288"/>
      <c r="D177" s="289"/>
      <c r="E177" s="288"/>
      <c r="F177" s="288"/>
      <c r="G177" s="288"/>
      <c r="H177" s="288"/>
    </row>
    <row r="178" customFormat="false" ht="15" hidden="false" customHeight="false" outlineLevel="0" collapsed="false">
      <c r="A178" s="300" t="s">
        <v>104</v>
      </c>
      <c r="B178" s="55" t="s">
        <v>59</v>
      </c>
      <c r="C178" s="288"/>
      <c r="D178" s="289"/>
      <c r="E178" s="288"/>
      <c r="F178" s="288"/>
      <c r="G178" s="288"/>
      <c r="H178" s="288"/>
    </row>
    <row r="179" customFormat="false" ht="15" hidden="false" customHeight="false" outlineLevel="0" collapsed="false">
      <c r="A179" s="300" t="s">
        <v>106</v>
      </c>
      <c r="B179" s="55" t="s">
        <v>64</v>
      </c>
      <c r="C179" s="288"/>
      <c r="D179" s="289"/>
      <c r="E179" s="288"/>
      <c r="F179" s="288"/>
      <c r="G179" s="288"/>
      <c r="H179" s="288"/>
    </row>
    <row r="180" customFormat="false" ht="15" hidden="false" customHeight="false" outlineLevel="0" collapsed="false">
      <c r="A180" s="300" t="s">
        <v>836</v>
      </c>
      <c r="B180" s="55" t="s">
        <v>59</v>
      </c>
      <c r="C180" s="288"/>
      <c r="D180" s="289"/>
      <c r="E180" s="288"/>
      <c r="F180" s="288"/>
      <c r="G180" s="288"/>
      <c r="H180" s="288"/>
    </row>
    <row r="181" customFormat="false" ht="15" hidden="false" customHeight="false" outlineLevel="0" collapsed="false">
      <c r="A181" s="300" t="s">
        <v>107</v>
      </c>
      <c r="B181" s="55" t="s">
        <v>66</v>
      </c>
      <c r="C181" s="288"/>
      <c r="D181" s="289"/>
      <c r="E181" s="288"/>
      <c r="F181" s="288"/>
      <c r="G181" s="288"/>
      <c r="H181" s="288"/>
    </row>
    <row r="182" customFormat="false" ht="15" hidden="false" customHeight="false" outlineLevel="0" collapsed="false">
      <c r="A182" s="300" t="s">
        <v>819</v>
      </c>
      <c r="B182" s="55" t="s">
        <v>66</v>
      </c>
      <c r="C182" s="288"/>
      <c r="D182" s="289"/>
      <c r="E182" s="288"/>
      <c r="F182" s="288"/>
      <c r="G182" s="288"/>
      <c r="H182" s="288"/>
    </row>
    <row r="183" customFormat="false" ht="15" hidden="false" customHeight="false" outlineLevel="0" collapsed="false">
      <c r="A183" s="300" t="s">
        <v>820</v>
      </c>
      <c r="B183" s="55" t="s">
        <v>31</v>
      </c>
      <c r="C183" s="288"/>
      <c r="D183" s="289"/>
      <c r="E183" s="288"/>
      <c r="F183" s="288"/>
      <c r="G183" s="288"/>
      <c r="H183" s="288"/>
    </row>
    <row r="184" customFormat="false" ht="15" hidden="false" customHeight="false" outlineLevel="0" collapsed="false">
      <c r="A184" s="300" t="s">
        <v>886</v>
      </c>
      <c r="B184" s="55" t="s">
        <v>121</v>
      </c>
      <c r="C184" s="288"/>
      <c r="D184" s="289"/>
      <c r="E184" s="288"/>
      <c r="F184" s="288"/>
      <c r="G184" s="288"/>
      <c r="H184" s="288"/>
    </row>
    <row r="185" customFormat="false" ht="15" hidden="false" customHeight="false" outlineLevel="0" collapsed="false">
      <c r="A185" s="300" t="s">
        <v>841</v>
      </c>
      <c r="B185" s="55" t="s">
        <v>31</v>
      </c>
      <c r="C185" s="288"/>
      <c r="D185" s="289"/>
      <c r="E185" s="288"/>
      <c r="F185" s="288"/>
      <c r="G185" s="288"/>
      <c r="H185" s="288"/>
    </row>
    <row r="186" customFormat="false" ht="15" hidden="false" customHeight="false" outlineLevel="0" collapsed="false">
      <c r="A186" s="302" t="s">
        <v>52</v>
      </c>
      <c r="B186" s="55" t="s">
        <v>31</v>
      </c>
      <c r="C186" s="288"/>
      <c r="D186" s="289"/>
      <c r="E186" s="288"/>
      <c r="F186" s="288"/>
      <c r="G186" s="288"/>
      <c r="H186" s="288"/>
    </row>
    <row r="187" customFormat="false" ht="15" hidden="false" customHeight="false" outlineLevel="0" collapsed="false">
      <c r="A187" s="300" t="s">
        <v>821</v>
      </c>
      <c r="B187" s="55" t="s">
        <v>53</v>
      </c>
      <c r="C187" s="288"/>
      <c r="D187" s="289"/>
      <c r="E187" s="288"/>
      <c r="F187" s="289"/>
      <c r="G187" s="289"/>
      <c r="H187" s="288"/>
    </row>
    <row r="188" customFormat="false" ht="15" hidden="false" customHeight="false" outlineLevel="0" collapsed="false">
      <c r="A188" s="300" t="s">
        <v>887</v>
      </c>
      <c r="B188" s="55" t="s">
        <v>59</v>
      </c>
      <c r="C188" s="288"/>
      <c r="D188" s="289"/>
      <c r="E188" s="288"/>
      <c r="F188" s="288"/>
      <c r="G188" s="288"/>
      <c r="H188" s="288"/>
    </row>
    <row r="189" customFormat="false" ht="15" hidden="false" customHeight="false" outlineLevel="0" collapsed="false">
      <c r="A189" s="300" t="s">
        <v>819</v>
      </c>
      <c r="B189" s="55" t="s">
        <v>66</v>
      </c>
      <c r="C189" s="288"/>
      <c r="D189" s="289"/>
      <c r="E189" s="288"/>
      <c r="F189" s="288"/>
      <c r="G189" s="288"/>
      <c r="H189" s="288"/>
    </row>
    <row r="190" customFormat="false" ht="15" hidden="false" customHeight="false" outlineLevel="0" collapsed="false">
      <c r="A190" s="300" t="s">
        <v>888</v>
      </c>
      <c r="B190" s="55" t="s">
        <v>121</v>
      </c>
      <c r="C190" s="288"/>
      <c r="D190" s="289"/>
      <c r="E190" s="288"/>
      <c r="F190" s="288"/>
      <c r="G190" s="288"/>
      <c r="H190" s="288"/>
    </row>
    <row r="191" customFormat="false" ht="15" hidden="false" customHeight="false" outlineLevel="0" collapsed="false">
      <c r="A191" s="300" t="s">
        <v>889</v>
      </c>
      <c r="B191" s="55" t="s">
        <v>121</v>
      </c>
      <c r="C191" s="288"/>
      <c r="D191" s="289"/>
      <c r="E191" s="288"/>
      <c r="F191" s="288"/>
      <c r="G191" s="288"/>
      <c r="H191" s="288"/>
    </row>
    <row r="192" customFormat="false" ht="15" hidden="false" customHeight="false" outlineLevel="0" collapsed="false">
      <c r="A192" s="300" t="s">
        <v>890</v>
      </c>
      <c r="B192" s="55" t="s">
        <v>64</v>
      </c>
      <c r="C192" s="288"/>
      <c r="D192" s="289"/>
      <c r="E192" s="288"/>
      <c r="F192" s="288"/>
      <c r="G192" s="288"/>
      <c r="H192" s="288"/>
    </row>
    <row r="193" customFormat="false" ht="15" hidden="false" customHeight="false" outlineLevel="0" collapsed="false">
      <c r="A193" s="300" t="s">
        <v>362</v>
      </c>
      <c r="B193" s="55" t="s">
        <v>59</v>
      </c>
      <c r="C193" s="288"/>
      <c r="D193" s="289"/>
      <c r="E193" s="288"/>
      <c r="F193" s="288"/>
      <c r="G193" s="288"/>
      <c r="H193" s="288"/>
    </row>
    <row r="194" customFormat="false" ht="15" hidden="false" customHeight="false" outlineLevel="0" collapsed="false">
      <c r="A194" s="300" t="s">
        <v>891</v>
      </c>
      <c r="B194" s="55" t="s">
        <v>59</v>
      </c>
      <c r="C194" s="288"/>
      <c r="D194" s="289"/>
      <c r="E194" s="288"/>
      <c r="F194" s="288"/>
      <c r="G194" s="288"/>
      <c r="H194" s="288"/>
    </row>
    <row r="195" customFormat="false" ht="15" hidden="false" customHeight="false" outlineLevel="0" collapsed="false">
      <c r="A195" s="300" t="s">
        <v>835</v>
      </c>
      <c r="B195" s="55" t="s">
        <v>59</v>
      </c>
      <c r="C195" s="288"/>
      <c r="D195" s="289"/>
      <c r="E195" s="288"/>
      <c r="F195" s="288"/>
      <c r="G195" s="288"/>
      <c r="H195" s="288"/>
    </row>
    <row r="196" customFormat="false" ht="15" hidden="false" customHeight="false" outlineLevel="0" collapsed="false">
      <c r="A196" s="300" t="s">
        <v>283</v>
      </c>
      <c r="B196" s="55" t="s">
        <v>391</v>
      </c>
      <c r="C196" s="288"/>
      <c r="D196" s="289"/>
      <c r="E196" s="288"/>
      <c r="F196" s="288"/>
      <c r="G196" s="288"/>
      <c r="H196" s="288"/>
    </row>
    <row r="197" customFormat="false" ht="15" hidden="false" customHeight="false" outlineLevel="0" collapsed="false">
      <c r="A197" s="300" t="s">
        <v>892</v>
      </c>
      <c r="B197" s="55" t="s">
        <v>59</v>
      </c>
      <c r="C197" s="288"/>
      <c r="D197" s="289"/>
      <c r="E197" s="288"/>
      <c r="F197" s="288"/>
      <c r="G197" s="288"/>
      <c r="H197" s="288"/>
    </row>
    <row r="198" customFormat="false" ht="15" hidden="false" customHeight="false" outlineLevel="0" collapsed="false">
      <c r="A198" s="300" t="s">
        <v>135</v>
      </c>
      <c r="B198" s="55" t="s">
        <v>134</v>
      </c>
      <c r="C198" s="288"/>
      <c r="D198" s="289"/>
      <c r="E198" s="288"/>
      <c r="F198" s="288"/>
      <c r="G198" s="288"/>
      <c r="H198" s="288"/>
    </row>
    <row r="199" customFormat="false" ht="15" hidden="false" customHeight="false" outlineLevel="0" collapsed="false">
      <c r="A199" s="300" t="s">
        <v>86</v>
      </c>
      <c r="B199" s="55" t="s">
        <v>85</v>
      </c>
      <c r="C199" s="288"/>
      <c r="D199" s="289"/>
      <c r="E199" s="288"/>
      <c r="F199" s="288"/>
      <c r="G199" s="288"/>
      <c r="H199" s="288"/>
    </row>
    <row r="200" customFormat="false" ht="15" hidden="false" customHeight="false" outlineLevel="0" collapsed="false">
      <c r="A200" s="300" t="s">
        <v>849</v>
      </c>
      <c r="B200" s="55" t="s">
        <v>31</v>
      </c>
      <c r="C200" s="288"/>
      <c r="D200" s="289"/>
      <c r="E200" s="288"/>
      <c r="F200" s="288"/>
      <c r="G200" s="288"/>
      <c r="H200" s="288"/>
    </row>
    <row r="201" customFormat="false" ht="15" hidden="false" customHeight="false" outlineLevel="0" collapsed="false">
      <c r="A201" s="300" t="s">
        <v>820</v>
      </c>
      <c r="B201" s="55" t="s">
        <v>31</v>
      </c>
      <c r="C201" s="288"/>
      <c r="D201" s="289"/>
      <c r="E201" s="288"/>
      <c r="F201" s="288"/>
      <c r="G201" s="288"/>
      <c r="H201" s="288"/>
    </row>
    <row r="202" customFormat="false" ht="15" hidden="false" customHeight="false" outlineLevel="0" collapsed="false">
      <c r="A202" s="300" t="s">
        <v>116</v>
      </c>
      <c r="B202" s="55" t="s">
        <v>893</v>
      </c>
      <c r="C202" s="288"/>
      <c r="D202" s="289"/>
      <c r="E202" s="288"/>
      <c r="F202" s="288"/>
      <c r="G202" s="288"/>
      <c r="H202" s="288"/>
    </row>
    <row r="203" customFormat="false" ht="15" hidden="false" customHeight="false" outlineLevel="0" collapsed="false">
      <c r="A203" s="300" t="s">
        <v>894</v>
      </c>
      <c r="B203" s="55" t="s">
        <v>64</v>
      </c>
      <c r="C203" s="288"/>
      <c r="D203" s="289"/>
      <c r="E203" s="288"/>
      <c r="F203" s="288"/>
      <c r="G203" s="288"/>
      <c r="H203" s="288"/>
    </row>
    <row r="204" customFormat="false" ht="15" hidden="false" customHeight="false" outlineLevel="0" collapsed="false">
      <c r="A204" s="300" t="s">
        <v>895</v>
      </c>
      <c r="B204" s="55" t="s">
        <v>64</v>
      </c>
      <c r="C204" s="288"/>
      <c r="D204" s="289"/>
      <c r="E204" s="288"/>
      <c r="F204" s="288"/>
      <c r="G204" s="288"/>
      <c r="H204" s="288"/>
    </row>
    <row r="205" customFormat="false" ht="15" hidden="false" customHeight="false" outlineLevel="0" collapsed="false">
      <c r="A205" s="300" t="s">
        <v>896</v>
      </c>
      <c r="B205" s="55" t="s">
        <v>59</v>
      </c>
      <c r="C205" s="288"/>
      <c r="D205" s="289"/>
      <c r="E205" s="288"/>
      <c r="F205" s="288"/>
      <c r="G205" s="288"/>
      <c r="H205" s="288"/>
    </row>
    <row r="206" customFormat="false" ht="15" hidden="false" customHeight="false" outlineLevel="0" collapsed="false">
      <c r="A206" s="300" t="s">
        <v>897</v>
      </c>
      <c r="B206" s="55" t="s">
        <v>159</v>
      </c>
      <c r="C206" s="288"/>
      <c r="D206" s="289"/>
      <c r="E206" s="288"/>
      <c r="F206" s="288"/>
      <c r="G206" s="288"/>
      <c r="H206" s="288"/>
    </row>
    <row r="207" customFormat="false" ht="15" hidden="false" customHeight="false" outlineLevel="0" collapsed="false">
      <c r="A207" s="300" t="s">
        <v>898</v>
      </c>
      <c r="B207" s="55" t="s">
        <v>59</v>
      </c>
      <c r="C207" s="288"/>
      <c r="D207" s="289"/>
      <c r="E207" s="288"/>
      <c r="F207" s="288"/>
      <c r="G207" s="288"/>
      <c r="H207" s="288"/>
    </row>
    <row r="208" customFormat="false" ht="15" hidden="false" customHeight="false" outlineLevel="0" collapsed="false">
      <c r="A208" s="300" t="s">
        <v>835</v>
      </c>
      <c r="B208" s="55" t="s">
        <v>59</v>
      </c>
      <c r="C208" s="288"/>
      <c r="D208" s="289"/>
      <c r="E208" s="288"/>
      <c r="F208" s="288"/>
      <c r="G208" s="288"/>
      <c r="H208" s="288"/>
    </row>
    <row r="209" customFormat="false" ht="15" hidden="false" customHeight="false" outlineLevel="0" collapsed="false">
      <c r="A209" s="300" t="s">
        <v>109</v>
      </c>
      <c r="B209" s="55" t="s">
        <v>108</v>
      </c>
      <c r="C209" s="288"/>
      <c r="D209" s="289"/>
      <c r="E209" s="288"/>
      <c r="F209" s="288"/>
      <c r="G209" s="288"/>
      <c r="H209" s="288"/>
    </row>
    <row r="210" customFormat="false" ht="15" hidden="false" customHeight="false" outlineLevel="0" collapsed="false">
      <c r="A210" s="300" t="s">
        <v>819</v>
      </c>
      <c r="B210" s="55" t="s">
        <v>66</v>
      </c>
      <c r="C210" s="288"/>
      <c r="D210" s="289"/>
      <c r="E210" s="288"/>
      <c r="F210" s="288"/>
      <c r="G210" s="288"/>
      <c r="H210" s="288"/>
    </row>
    <row r="211" customFormat="false" ht="15" hidden="false" customHeight="false" outlineLevel="0" collapsed="false">
      <c r="A211" s="300" t="s">
        <v>820</v>
      </c>
      <c r="B211" s="55" t="s">
        <v>31</v>
      </c>
      <c r="C211" s="288"/>
      <c r="D211" s="289"/>
      <c r="E211" s="288"/>
      <c r="F211" s="288"/>
      <c r="G211" s="288"/>
      <c r="H211" s="288"/>
    </row>
    <row r="212" customFormat="false" ht="15" hidden="false" customHeight="false" outlineLevel="0" collapsed="false">
      <c r="A212" s="300" t="s">
        <v>835</v>
      </c>
      <c r="B212" s="55" t="s">
        <v>59</v>
      </c>
      <c r="C212" s="288"/>
      <c r="D212" s="289"/>
      <c r="E212" s="288"/>
      <c r="F212" s="288"/>
      <c r="G212" s="288"/>
      <c r="H212" s="288"/>
    </row>
    <row r="213" customFormat="false" ht="15" hidden="false" customHeight="false" outlineLevel="0" collapsed="false">
      <c r="A213" s="300" t="s">
        <v>899</v>
      </c>
      <c r="B213" s="55" t="s">
        <v>183</v>
      </c>
      <c r="C213" s="288"/>
      <c r="D213" s="289"/>
      <c r="E213" s="288"/>
      <c r="F213" s="288"/>
      <c r="G213" s="288"/>
      <c r="H213" s="288"/>
    </row>
    <row r="214" customFormat="false" ht="15" hidden="false" customHeight="false" outlineLevel="0" collapsed="false">
      <c r="A214" s="300" t="s">
        <v>819</v>
      </c>
      <c r="B214" s="55" t="s">
        <v>66</v>
      </c>
      <c r="C214" s="288"/>
      <c r="D214" s="289"/>
      <c r="E214" s="288"/>
      <c r="F214" s="288"/>
      <c r="G214" s="288"/>
      <c r="H214" s="288"/>
    </row>
    <row r="215" customFormat="false" ht="15" hidden="false" customHeight="false" outlineLevel="0" collapsed="false">
      <c r="A215" s="300" t="s">
        <v>835</v>
      </c>
      <c r="B215" s="55" t="s">
        <v>59</v>
      </c>
      <c r="C215" s="288"/>
      <c r="D215" s="289"/>
      <c r="E215" s="288"/>
      <c r="F215" s="288"/>
      <c r="G215" s="288"/>
      <c r="H215" s="288"/>
    </row>
    <row r="216" customFormat="false" ht="15" hidden="false" customHeight="false" outlineLevel="0" collapsed="false">
      <c r="A216" s="300" t="s">
        <v>900</v>
      </c>
      <c r="B216" s="55" t="s">
        <v>391</v>
      </c>
      <c r="C216" s="288"/>
      <c r="D216" s="289"/>
      <c r="E216" s="288"/>
      <c r="F216" s="288"/>
      <c r="G216" s="288"/>
      <c r="H216" s="288"/>
    </row>
    <row r="217" customFormat="false" ht="15" hidden="false" customHeight="false" outlineLevel="0" collapsed="false">
      <c r="A217" s="300" t="s">
        <v>895</v>
      </c>
      <c r="B217" s="55" t="s">
        <v>64</v>
      </c>
      <c r="C217" s="288"/>
      <c r="D217" s="289"/>
      <c r="E217" s="288"/>
      <c r="F217" s="288"/>
      <c r="G217" s="288"/>
      <c r="H217" s="288"/>
    </row>
    <row r="218" customFormat="false" ht="15" hidden="false" customHeight="false" outlineLevel="0" collapsed="false">
      <c r="A218" s="300" t="s">
        <v>835</v>
      </c>
      <c r="B218" s="55" t="s">
        <v>59</v>
      </c>
      <c r="C218" s="288"/>
      <c r="D218" s="289"/>
      <c r="E218" s="288"/>
      <c r="F218" s="288"/>
      <c r="G218" s="288"/>
      <c r="H218" s="288"/>
    </row>
    <row r="219" customFormat="false" ht="15" hidden="false" customHeight="false" outlineLevel="0" collapsed="false">
      <c r="A219" s="300" t="s">
        <v>854</v>
      </c>
      <c r="B219" s="55" t="s">
        <v>505</v>
      </c>
      <c r="C219" s="288"/>
      <c r="D219" s="289"/>
      <c r="E219" s="288"/>
      <c r="F219" s="288"/>
      <c r="G219" s="288"/>
      <c r="H219" s="288"/>
    </row>
    <row r="220" customFormat="false" ht="15" hidden="false" customHeight="false" outlineLevel="0" collapsed="false">
      <c r="A220" s="300" t="s">
        <v>901</v>
      </c>
      <c r="B220" s="55" t="s">
        <v>59</v>
      </c>
      <c r="C220" s="288"/>
      <c r="D220" s="289"/>
      <c r="E220" s="288"/>
      <c r="F220" s="288"/>
      <c r="G220" s="288"/>
      <c r="H220" s="288"/>
    </row>
    <row r="221" customFormat="false" ht="15" hidden="false" customHeight="false" outlineLevel="0" collapsed="false">
      <c r="A221" s="300" t="s">
        <v>824</v>
      </c>
      <c r="B221" s="55" t="s">
        <v>59</v>
      </c>
      <c r="C221" s="288"/>
      <c r="D221" s="289"/>
      <c r="E221" s="288"/>
      <c r="F221" s="288"/>
      <c r="G221" s="288"/>
      <c r="H221" s="288"/>
    </row>
    <row r="222" customFormat="false" ht="15" hidden="false" customHeight="false" outlineLevel="0" collapsed="false">
      <c r="A222" s="300" t="s">
        <v>902</v>
      </c>
      <c r="B222" s="55" t="s">
        <v>59</v>
      </c>
      <c r="C222" s="288"/>
      <c r="D222" s="289"/>
      <c r="E222" s="288"/>
      <c r="F222" s="288"/>
      <c r="G222" s="288"/>
      <c r="H222" s="288"/>
    </row>
    <row r="223" customFormat="false" ht="15" hidden="false" customHeight="false" outlineLevel="0" collapsed="false">
      <c r="A223" s="300" t="s">
        <v>903</v>
      </c>
      <c r="B223" s="55" t="s">
        <v>57</v>
      </c>
      <c r="C223" s="288"/>
      <c r="D223" s="289"/>
      <c r="E223" s="288"/>
      <c r="F223" s="288"/>
      <c r="G223" s="288"/>
      <c r="H223" s="288"/>
    </row>
    <row r="224" customFormat="false" ht="15" hidden="false" customHeight="false" outlineLevel="0" collapsed="false">
      <c r="A224" s="300" t="s">
        <v>904</v>
      </c>
      <c r="B224" s="55" t="s">
        <v>121</v>
      </c>
      <c r="C224" s="288"/>
      <c r="D224" s="289"/>
      <c r="E224" s="288"/>
      <c r="F224" s="288"/>
      <c r="G224" s="288"/>
      <c r="H224" s="288"/>
    </row>
    <row r="225" customFormat="false" ht="15" hidden="false" customHeight="false" outlineLevel="0" collapsed="false">
      <c r="A225" s="300" t="s">
        <v>161</v>
      </c>
      <c r="B225" s="55" t="s">
        <v>159</v>
      </c>
      <c r="C225" s="288"/>
      <c r="D225" s="289"/>
      <c r="E225" s="288"/>
      <c r="F225" s="288"/>
      <c r="G225" s="288"/>
      <c r="H225" s="288"/>
    </row>
    <row r="226" customFormat="false" ht="15" hidden="false" customHeight="false" outlineLevel="0" collapsed="false">
      <c r="A226" s="300" t="s">
        <v>905</v>
      </c>
      <c r="B226" s="55" t="s">
        <v>62</v>
      </c>
      <c r="C226" s="288"/>
      <c r="D226" s="289"/>
      <c r="E226" s="288"/>
      <c r="F226" s="288"/>
      <c r="G226" s="288"/>
      <c r="H226" s="288"/>
    </row>
    <row r="227" customFormat="false" ht="15" hidden="false" customHeight="false" outlineLevel="0" collapsed="false">
      <c r="A227" s="300" t="s">
        <v>906</v>
      </c>
      <c r="B227" s="55" t="s">
        <v>62</v>
      </c>
      <c r="C227" s="288"/>
      <c r="D227" s="289"/>
      <c r="E227" s="288"/>
      <c r="F227" s="288"/>
      <c r="G227" s="288"/>
      <c r="H227" s="288"/>
    </row>
    <row r="228" customFormat="false" ht="15" hidden="false" customHeight="false" outlineLevel="0" collapsed="false">
      <c r="A228" s="300" t="s">
        <v>284</v>
      </c>
      <c r="B228" s="55" t="s">
        <v>98</v>
      </c>
      <c r="C228" s="288"/>
      <c r="D228" s="289"/>
      <c r="E228" s="288"/>
      <c r="F228" s="288"/>
      <c r="G228" s="288"/>
      <c r="H228" s="288"/>
    </row>
    <row r="229" customFormat="false" ht="15" hidden="false" customHeight="false" outlineLevel="0" collapsed="false">
      <c r="A229" s="300" t="s">
        <v>146</v>
      </c>
      <c r="B229" s="55" t="s">
        <v>59</v>
      </c>
      <c r="C229" s="288"/>
      <c r="D229" s="289"/>
      <c r="E229" s="288"/>
      <c r="F229" s="288"/>
      <c r="G229" s="288"/>
      <c r="H229" s="288"/>
    </row>
    <row r="230" customFormat="false" ht="15" hidden="false" customHeight="false" outlineLevel="0" collapsed="false">
      <c r="A230" s="300" t="s">
        <v>907</v>
      </c>
      <c r="B230" s="55" t="s">
        <v>59</v>
      </c>
      <c r="C230" s="288"/>
      <c r="D230" s="289"/>
      <c r="E230" s="288"/>
      <c r="F230" s="288"/>
      <c r="G230" s="288"/>
      <c r="H230" s="288"/>
    </row>
    <row r="231" customFormat="false" ht="15" hidden="false" customHeight="false" outlineLevel="0" collapsed="false">
      <c r="A231" s="300" t="s">
        <v>908</v>
      </c>
      <c r="B231" s="55" t="s">
        <v>59</v>
      </c>
      <c r="C231" s="288"/>
      <c r="D231" s="289"/>
      <c r="E231" s="288"/>
      <c r="F231" s="288"/>
      <c r="G231" s="288"/>
      <c r="H231" s="288"/>
    </row>
    <row r="232" customFormat="false" ht="15" hidden="false" customHeight="false" outlineLevel="0" collapsed="false">
      <c r="A232" s="300" t="s">
        <v>909</v>
      </c>
      <c r="B232" s="55" t="s">
        <v>59</v>
      </c>
      <c r="C232" s="288"/>
      <c r="D232" s="289"/>
      <c r="E232" s="288"/>
      <c r="F232" s="288"/>
      <c r="G232" s="288"/>
      <c r="H232" s="288"/>
    </row>
    <row r="233" customFormat="false" ht="15" hidden="false" customHeight="false" outlineLevel="0" collapsed="false">
      <c r="A233" s="300" t="s">
        <v>910</v>
      </c>
      <c r="B233" s="55" t="s">
        <v>64</v>
      </c>
      <c r="C233" s="288"/>
      <c r="D233" s="289"/>
      <c r="E233" s="288"/>
      <c r="F233" s="288"/>
      <c r="G233" s="288"/>
      <c r="H233" s="288"/>
    </row>
    <row r="234" customFormat="false" ht="15" hidden="false" customHeight="false" outlineLevel="0" collapsed="false">
      <c r="A234" s="300" t="s">
        <v>911</v>
      </c>
      <c r="B234" s="55" t="s">
        <v>59</v>
      </c>
      <c r="C234" s="288"/>
      <c r="D234" s="289"/>
      <c r="E234" s="288"/>
      <c r="F234" s="288"/>
      <c r="G234" s="288"/>
      <c r="H234" s="288"/>
    </row>
    <row r="235" customFormat="false" ht="15" hidden="false" customHeight="false" outlineLevel="0" collapsed="false">
      <c r="A235" s="300" t="s">
        <v>912</v>
      </c>
      <c r="B235" s="55" t="s">
        <v>59</v>
      </c>
      <c r="C235" s="288"/>
      <c r="D235" s="289"/>
      <c r="E235" s="288"/>
      <c r="F235" s="288"/>
      <c r="G235" s="288"/>
      <c r="H235" s="288"/>
    </row>
    <row r="236" customFormat="false" ht="15" hidden="false" customHeight="false" outlineLevel="0" collapsed="false">
      <c r="A236" s="300" t="s">
        <v>913</v>
      </c>
      <c r="B236" s="55" t="s">
        <v>148</v>
      </c>
      <c r="C236" s="288"/>
      <c r="D236" s="289"/>
      <c r="E236" s="288"/>
      <c r="F236" s="288"/>
      <c r="G236" s="288"/>
      <c r="H236" s="288"/>
    </row>
    <row r="237" customFormat="false" ht="15" hidden="false" customHeight="false" outlineLevel="0" collapsed="false">
      <c r="A237" s="300" t="s">
        <v>835</v>
      </c>
      <c r="B237" s="55" t="s">
        <v>59</v>
      </c>
      <c r="C237" s="288"/>
      <c r="D237" s="289"/>
      <c r="E237" s="288"/>
      <c r="F237" s="288"/>
      <c r="G237" s="288"/>
      <c r="H237" s="288"/>
    </row>
    <row r="238" customFormat="false" ht="15" hidden="false" customHeight="false" outlineLevel="0" collapsed="false">
      <c r="A238" s="300" t="s">
        <v>106</v>
      </c>
      <c r="B238" s="55" t="s">
        <v>64</v>
      </c>
      <c r="C238" s="288"/>
      <c r="D238" s="289"/>
      <c r="E238" s="288"/>
      <c r="F238" s="288"/>
      <c r="G238" s="288"/>
      <c r="H238" s="288"/>
    </row>
    <row r="239" customFormat="false" ht="15" hidden="false" customHeight="false" outlineLevel="0" collapsed="false">
      <c r="A239" s="300" t="s">
        <v>205</v>
      </c>
      <c r="B239" s="55" t="s">
        <v>64</v>
      </c>
      <c r="C239" s="288"/>
      <c r="D239" s="289"/>
      <c r="E239" s="288"/>
      <c r="F239" s="288"/>
      <c r="G239" s="288"/>
      <c r="H239" s="288"/>
    </row>
    <row r="240" customFormat="false" ht="15" hidden="false" customHeight="false" outlineLevel="0" collapsed="false">
      <c r="A240" s="300" t="s">
        <v>841</v>
      </c>
      <c r="B240" s="55" t="s">
        <v>31</v>
      </c>
      <c r="C240" s="288"/>
      <c r="D240" s="289"/>
      <c r="E240" s="288"/>
      <c r="F240" s="288"/>
      <c r="G240" s="288"/>
      <c r="H240" s="288"/>
    </row>
    <row r="241" customFormat="false" ht="15" hidden="false" customHeight="false" outlineLevel="0" collapsed="false">
      <c r="A241" s="302" t="s">
        <v>52</v>
      </c>
      <c r="B241" s="55" t="s">
        <v>31</v>
      </c>
      <c r="C241" s="288"/>
      <c r="D241" s="289"/>
      <c r="E241" s="288"/>
      <c r="F241" s="288"/>
      <c r="G241" s="288"/>
      <c r="H241" s="288"/>
    </row>
    <row r="242" customFormat="false" ht="15" hidden="false" customHeight="false" outlineLevel="0" collapsed="false">
      <c r="A242" s="300" t="s">
        <v>914</v>
      </c>
      <c r="B242" s="55" t="s">
        <v>62</v>
      </c>
      <c r="C242" s="288"/>
      <c r="D242" s="289"/>
      <c r="E242" s="288"/>
      <c r="F242" s="289"/>
      <c r="G242" s="289"/>
      <c r="H242" s="288"/>
    </row>
    <row r="243" customFormat="false" ht="15" hidden="false" customHeight="false" outlineLevel="0" collapsed="false">
      <c r="A243" s="300" t="s">
        <v>915</v>
      </c>
      <c r="B243" s="55" t="s">
        <v>5</v>
      </c>
      <c r="C243" s="288"/>
      <c r="D243" s="289"/>
      <c r="E243" s="288"/>
      <c r="F243" s="288"/>
      <c r="G243" s="288"/>
      <c r="H243" s="288"/>
    </row>
    <row r="244" customFormat="false" ht="15" hidden="false" customHeight="false" outlineLevel="0" collapsed="false">
      <c r="A244" s="300" t="s">
        <v>835</v>
      </c>
      <c r="B244" s="55" t="s">
        <v>59</v>
      </c>
      <c r="C244" s="288"/>
      <c r="D244" s="289"/>
      <c r="E244" s="288"/>
      <c r="F244" s="288"/>
      <c r="G244" s="288"/>
      <c r="H244" s="288"/>
    </row>
    <row r="245" customFormat="false" ht="15" hidden="false" customHeight="false" outlineLevel="0" collapsed="false">
      <c r="A245" s="300" t="s">
        <v>835</v>
      </c>
      <c r="B245" s="55" t="s">
        <v>59</v>
      </c>
      <c r="C245" s="288"/>
      <c r="D245" s="289"/>
      <c r="E245" s="288"/>
      <c r="F245" s="288"/>
      <c r="G245" s="288"/>
      <c r="H245" s="288"/>
    </row>
    <row r="246" customFormat="false" ht="15" hidden="false" customHeight="false" outlineLevel="0" collapsed="false">
      <c r="A246" s="300" t="s">
        <v>86</v>
      </c>
      <c r="B246" s="55" t="s">
        <v>85</v>
      </c>
      <c r="C246" s="288"/>
      <c r="D246" s="289"/>
      <c r="E246" s="288"/>
      <c r="F246" s="288"/>
      <c r="G246" s="288"/>
      <c r="H246" s="288"/>
    </row>
    <row r="247" customFormat="false" ht="15" hidden="false" customHeight="false" outlineLevel="0" collapsed="false">
      <c r="A247" s="300" t="s">
        <v>849</v>
      </c>
      <c r="B247" s="55" t="s">
        <v>31</v>
      </c>
      <c r="C247" s="288"/>
      <c r="D247" s="289"/>
      <c r="E247" s="288"/>
      <c r="F247" s="288"/>
      <c r="G247" s="288"/>
      <c r="H247" s="288"/>
    </row>
    <row r="248" customFormat="false" ht="15" hidden="false" customHeight="false" outlineLevel="0" collapsed="false">
      <c r="A248" s="300" t="s">
        <v>820</v>
      </c>
      <c r="B248" s="55" t="s">
        <v>31</v>
      </c>
      <c r="C248" s="288"/>
      <c r="D248" s="289"/>
      <c r="E248" s="288"/>
      <c r="F248" s="288"/>
      <c r="G248" s="288"/>
      <c r="H248" s="288"/>
    </row>
    <row r="249" customFormat="false" ht="15" hidden="false" customHeight="false" outlineLevel="0" collapsed="false">
      <c r="A249" s="300" t="s">
        <v>865</v>
      </c>
      <c r="B249" s="55" t="s">
        <v>31</v>
      </c>
      <c r="C249" s="288"/>
      <c r="D249" s="289"/>
      <c r="E249" s="288"/>
      <c r="F249" s="288"/>
      <c r="G249" s="288"/>
      <c r="H249" s="288"/>
    </row>
    <row r="250" customFormat="false" ht="15" hidden="false" customHeight="false" outlineLevel="0" collapsed="false">
      <c r="A250" s="303" t="s">
        <v>813</v>
      </c>
      <c r="B250" s="55" t="s">
        <v>31</v>
      </c>
      <c r="C250" s="288"/>
      <c r="D250" s="289"/>
      <c r="E250" s="288"/>
      <c r="F250" s="288"/>
      <c r="G250" s="288"/>
      <c r="H250" s="288"/>
    </row>
    <row r="251" customFormat="false" ht="15" hidden="false" customHeight="false" outlineLevel="0" collapsed="false">
      <c r="A251" s="303" t="s">
        <v>916</v>
      </c>
      <c r="B251" s="55" t="s">
        <v>121</v>
      </c>
      <c r="C251" s="288"/>
      <c r="D251" s="289"/>
      <c r="E251" s="288"/>
      <c r="F251" s="288"/>
      <c r="G251" s="288"/>
      <c r="H251" s="288"/>
    </row>
    <row r="252" customFormat="false" ht="15" hidden="false" customHeight="false" outlineLevel="0" collapsed="false">
      <c r="A252" s="303" t="s">
        <v>917</v>
      </c>
      <c r="B252" s="55" t="s">
        <v>59</v>
      </c>
      <c r="C252" s="288"/>
      <c r="D252" s="289"/>
      <c r="E252" s="288"/>
      <c r="F252" s="288"/>
      <c r="G252" s="288"/>
      <c r="H252" s="288"/>
    </row>
    <row r="253" customFormat="false" ht="15" hidden="false" customHeight="false" outlineLevel="0" collapsed="false">
      <c r="A253" s="303" t="s">
        <v>871</v>
      </c>
      <c r="B253" s="55" t="s">
        <v>62</v>
      </c>
      <c r="C253" s="288"/>
      <c r="D253" s="289"/>
      <c r="E253" s="288"/>
      <c r="F253" s="288"/>
      <c r="G253" s="288"/>
      <c r="H253" s="288"/>
    </row>
    <row r="254" customFormat="false" ht="15" hidden="false" customHeight="false" outlineLevel="0" collapsed="false">
      <c r="A254" s="303" t="s">
        <v>918</v>
      </c>
      <c r="B254" s="55" t="s">
        <v>59</v>
      </c>
      <c r="C254" s="288"/>
      <c r="D254" s="289"/>
      <c r="E254" s="288"/>
      <c r="F254" s="288"/>
      <c r="G254" s="288"/>
      <c r="H254" s="288"/>
    </row>
    <row r="255" customFormat="false" ht="15" hidden="false" customHeight="false" outlineLevel="0" collapsed="false">
      <c r="A255" s="303" t="s">
        <v>919</v>
      </c>
      <c r="B255" s="55" t="s">
        <v>59</v>
      </c>
      <c r="C255" s="288"/>
      <c r="D255" s="289"/>
      <c r="E255" s="288"/>
      <c r="F255" s="288"/>
      <c r="G255" s="288"/>
      <c r="H255" s="288"/>
    </row>
    <row r="256" customFormat="false" ht="15" hidden="false" customHeight="false" outlineLevel="0" collapsed="false">
      <c r="A256" s="303" t="s">
        <v>920</v>
      </c>
      <c r="B256" s="55" t="s">
        <v>183</v>
      </c>
      <c r="C256" s="288"/>
      <c r="D256" s="289"/>
      <c r="E256" s="288"/>
      <c r="F256" s="288"/>
      <c r="G256" s="288"/>
      <c r="H256" s="288"/>
    </row>
    <row r="257" customFormat="false" ht="15" hidden="false" customHeight="false" outlineLevel="0" collapsed="false">
      <c r="A257" s="303" t="s">
        <v>67</v>
      </c>
      <c r="B257" s="55" t="s">
        <v>66</v>
      </c>
      <c r="C257" s="288"/>
      <c r="D257" s="289"/>
      <c r="E257" s="288"/>
      <c r="F257" s="288"/>
      <c r="G257" s="288"/>
      <c r="H257" s="288"/>
    </row>
    <row r="258" customFormat="false" ht="15" hidden="false" customHeight="false" outlineLevel="0" collapsed="false">
      <c r="A258" s="303" t="s">
        <v>819</v>
      </c>
      <c r="B258" s="55" t="s">
        <v>66</v>
      </c>
      <c r="C258" s="288"/>
      <c r="D258" s="289"/>
      <c r="E258" s="288"/>
      <c r="F258" s="288"/>
      <c r="G258" s="288"/>
      <c r="H258" s="288"/>
    </row>
    <row r="259" customFormat="false" ht="15" hidden="false" customHeight="false" outlineLevel="0" collapsed="false">
      <c r="A259" s="303" t="s">
        <v>820</v>
      </c>
      <c r="B259" s="55" t="s">
        <v>31</v>
      </c>
      <c r="C259" s="288"/>
      <c r="D259" s="289"/>
      <c r="E259" s="288"/>
      <c r="F259" s="288"/>
      <c r="G259" s="288"/>
      <c r="H259" s="288"/>
    </row>
    <row r="260" customFormat="false" ht="15" hidden="false" customHeight="false" outlineLevel="0" collapsed="false">
      <c r="A260" s="303" t="s">
        <v>921</v>
      </c>
      <c r="B260" s="55" t="s">
        <v>66</v>
      </c>
      <c r="C260" s="288"/>
      <c r="D260" s="289"/>
      <c r="E260" s="288"/>
      <c r="F260" s="288"/>
      <c r="G260" s="288"/>
      <c r="H260" s="288"/>
    </row>
    <row r="261" customFormat="false" ht="15" hidden="false" customHeight="false" outlineLevel="0" collapsed="false">
      <c r="A261" s="303" t="s">
        <v>819</v>
      </c>
      <c r="B261" s="55" t="s">
        <v>66</v>
      </c>
      <c r="C261" s="288"/>
      <c r="D261" s="289"/>
      <c r="E261" s="288"/>
      <c r="F261" s="288"/>
      <c r="G261" s="288"/>
      <c r="H261" s="288"/>
    </row>
    <row r="262" customFormat="false" ht="15" hidden="false" customHeight="false" outlineLevel="0" collapsed="false">
      <c r="A262" s="303" t="s">
        <v>820</v>
      </c>
      <c r="B262" s="55" t="s">
        <v>31</v>
      </c>
      <c r="C262" s="288"/>
      <c r="D262" s="289"/>
      <c r="E262" s="288"/>
      <c r="F262" s="288"/>
      <c r="G262" s="288"/>
      <c r="H262" s="288"/>
    </row>
    <row r="263" customFormat="false" ht="15" hidden="false" customHeight="false" outlineLevel="0" collapsed="false">
      <c r="A263" s="303" t="s">
        <v>820</v>
      </c>
      <c r="B263" s="55" t="s">
        <v>31</v>
      </c>
      <c r="C263" s="288"/>
      <c r="D263" s="289"/>
      <c r="E263" s="288"/>
      <c r="F263" s="288"/>
      <c r="G263" s="288"/>
      <c r="H263" s="288"/>
    </row>
    <row r="264" customFormat="false" ht="15" hidden="false" customHeight="false" outlineLevel="0" collapsed="false">
      <c r="A264" s="303" t="s">
        <v>922</v>
      </c>
      <c r="B264" s="55" t="s">
        <v>73</v>
      </c>
      <c r="C264" s="288"/>
      <c r="D264" s="289"/>
      <c r="E264" s="288"/>
      <c r="F264" s="288"/>
      <c r="G264" s="288"/>
      <c r="H264" s="288"/>
    </row>
    <row r="265" customFormat="false" ht="15" hidden="false" customHeight="false" outlineLevel="0" collapsed="false">
      <c r="A265" s="303" t="s">
        <v>819</v>
      </c>
      <c r="B265" s="55" t="s">
        <v>66</v>
      </c>
      <c r="C265" s="288"/>
      <c r="D265" s="289"/>
      <c r="E265" s="288"/>
      <c r="F265" s="288"/>
      <c r="G265" s="288"/>
      <c r="H265" s="288"/>
    </row>
    <row r="266" customFormat="false" ht="15" hidden="false" customHeight="false" outlineLevel="0" collapsed="false">
      <c r="A266" s="303" t="s">
        <v>820</v>
      </c>
      <c r="B266" s="55" t="s">
        <v>31</v>
      </c>
      <c r="C266" s="288"/>
      <c r="D266" s="289"/>
      <c r="E266" s="288"/>
      <c r="F266" s="288"/>
      <c r="G266" s="288"/>
      <c r="H266" s="288"/>
    </row>
    <row r="267" customFormat="false" ht="15" hidden="false" customHeight="false" outlineLevel="0" collapsed="false">
      <c r="A267" s="303" t="s">
        <v>923</v>
      </c>
      <c r="B267" s="55" t="s">
        <v>121</v>
      </c>
      <c r="C267" s="288"/>
      <c r="D267" s="289"/>
      <c r="E267" s="288"/>
      <c r="F267" s="288"/>
      <c r="G267" s="288"/>
      <c r="H267" s="288"/>
    </row>
    <row r="268" customFormat="false" ht="15" hidden="false" customHeight="false" outlineLevel="0" collapsed="false">
      <c r="A268" s="303" t="s">
        <v>924</v>
      </c>
      <c r="B268" s="55" t="s">
        <v>59</v>
      </c>
      <c r="C268" s="288"/>
      <c r="D268" s="289"/>
      <c r="E268" s="288"/>
      <c r="F268" s="288"/>
      <c r="G268" s="288"/>
      <c r="H268" s="288"/>
    </row>
    <row r="269" customFormat="false" ht="15" hidden="false" customHeight="false" outlineLevel="0" collapsed="false">
      <c r="A269" s="303" t="s">
        <v>819</v>
      </c>
      <c r="B269" s="55" t="s">
        <v>66</v>
      </c>
      <c r="C269" s="288"/>
      <c r="D269" s="289"/>
      <c r="E269" s="288"/>
      <c r="F269" s="288"/>
      <c r="G269" s="288"/>
      <c r="H269" s="288"/>
    </row>
    <row r="270" customFormat="false" ht="15" hidden="false" customHeight="false" outlineLevel="0" collapsed="false">
      <c r="A270" s="303" t="s">
        <v>820</v>
      </c>
      <c r="B270" s="55" t="s">
        <v>31</v>
      </c>
      <c r="C270" s="288"/>
      <c r="D270" s="289"/>
      <c r="E270" s="288"/>
      <c r="F270" s="288"/>
      <c r="G270" s="288"/>
      <c r="H270" s="288"/>
    </row>
    <row r="271" customFormat="false" ht="15" hidden="false" customHeight="false" outlineLevel="0" collapsed="false">
      <c r="A271" s="303" t="s">
        <v>925</v>
      </c>
      <c r="B271" s="55" t="s">
        <v>121</v>
      </c>
      <c r="C271" s="288"/>
      <c r="D271" s="289"/>
      <c r="E271" s="288"/>
      <c r="F271" s="288"/>
      <c r="G271" s="288"/>
      <c r="H271" s="288"/>
    </row>
    <row r="272" customFormat="false" ht="15" hidden="false" customHeight="false" outlineLevel="0" collapsed="false">
      <c r="A272" s="303" t="s">
        <v>926</v>
      </c>
      <c r="B272" s="55" t="s">
        <v>57</v>
      </c>
      <c r="C272" s="288"/>
      <c r="D272" s="289"/>
      <c r="E272" s="288"/>
      <c r="F272" s="288"/>
      <c r="G272" s="288"/>
      <c r="H272" s="288"/>
    </row>
    <row r="273" customFormat="false" ht="15" hidden="false" customHeight="false" outlineLevel="0" collapsed="false">
      <c r="A273" s="303" t="s">
        <v>927</v>
      </c>
      <c r="B273" s="55" t="s">
        <v>59</v>
      </c>
      <c r="C273" s="288"/>
      <c r="D273" s="289"/>
      <c r="E273" s="288"/>
      <c r="F273" s="288"/>
      <c r="G273" s="288"/>
      <c r="H273" s="288"/>
    </row>
    <row r="274" customFormat="false" ht="15" hidden="false" customHeight="false" outlineLevel="0" collapsed="false">
      <c r="A274" s="303" t="s">
        <v>109</v>
      </c>
      <c r="B274" s="55" t="s">
        <v>108</v>
      </c>
      <c r="C274" s="288"/>
      <c r="D274" s="289"/>
      <c r="E274" s="288"/>
      <c r="F274" s="288"/>
      <c r="G274" s="288"/>
      <c r="H274" s="288"/>
    </row>
    <row r="275" customFormat="false" ht="15" hidden="false" customHeight="false" outlineLevel="0" collapsed="false">
      <c r="A275" s="303" t="s">
        <v>819</v>
      </c>
      <c r="B275" s="55" t="s">
        <v>66</v>
      </c>
      <c r="C275" s="288"/>
      <c r="D275" s="289"/>
      <c r="E275" s="288"/>
      <c r="F275" s="288"/>
      <c r="G275" s="288"/>
      <c r="H275" s="288"/>
    </row>
    <row r="276" customFormat="false" ht="15" hidden="false" customHeight="false" outlineLevel="0" collapsed="false">
      <c r="A276" s="303" t="s">
        <v>310</v>
      </c>
      <c r="B276" s="55" t="s">
        <v>31</v>
      </c>
      <c r="C276" s="288"/>
      <c r="D276" s="289"/>
      <c r="E276" s="288"/>
      <c r="F276" s="288"/>
      <c r="G276" s="288"/>
      <c r="H276" s="288"/>
    </row>
    <row r="277" customFormat="false" ht="15" hidden="false" customHeight="false" outlineLevel="0" collapsed="false">
      <c r="A277" s="303" t="s">
        <v>820</v>
      </c>
      <c r="B277" s="55" t="s">
        <v>31</v>
      </c>
      <c r="C277" s="288"/>
      <c r="D277" s="289"/>
      <c r="E277" s="288"/>
      <c r="F277" s="288"/>
      <c r="G277" s="288"/>
      <c r="H277" s="288"/>
    </row>
    <row r="278" customFormat="false" ht="15" hidden="false" customHeight="false" outlineLevel="0" collapsed="false">
      <c r="A278" s="303" t="s">
        <v>928</v>
      </c>
      <c r="B278" s="55" t="s">
        <v>59</v>
      </c>
      <c r="C278" s="288"/>
      <c r="D278" s="289"/>
      <c r="E278" s="288"/>
      <c r="F278" s="288"/>
      <c r="G278" s="288"/>
      <c r="H278" s="288"/>
    </row>
    <row r="279" customFormat="false" ht="15" hidden="false" customHeight="false" outlineLevel="0" collapsed="false">
      <c r="A279" s="303" t="s">
        <v>929</v>
      </c>
      <c r="B279" s="55" t="s">
        <v>59</v>
      </c>
      <c r="C279" s="288"/>
      <c r="D279" s="289"/>
      <c r="E279" s="288"/>
      <c r="F279" s="288"/>
      <c r="G279" s="288"/>
      <c r="H279" s="288"/>
    </row>
    <row r="280" customFormat="false" ht="15" hidden="false" customHeight="false" outlineLevel="0" collapsed="false">
      <c r="A280" s="303" t="s">
        <v>107</v>
      </c>
      <c r="B280" s="55" t="s">
        <v>66</v>
      </c>
      <c r="C280" s="288"/>
      <c r="D280" s="289"/>
      <c r="E280" s="288"/>
      <c r="F280" s="288"/>
      <c r="G280" s="288"/>
      <c r="H280" s="288"/>
    </row>
    <row r="281" customFormat="false" ht="15" hidden="false" customHeight="false" outlineLevel="0" collapsed="false">
      <c r="A281" s="303" t="s">
        <v>819</v>
      </c>
      <c r="B281" s="55" t="s">
        <v>66</v>
      </c>
      <c r="C281" s="288"/>
      <c r="D281" s="289"/>
      <c r="E281" s="288"/>
      <c r="F281" s="288"/>
      <c r="G281" s="288"/>
      <c r="H281" s="288"/>
    </row>
    <row r="282" customFormat="false" ht="15" hidden="false" customHeight="false" outlineLevel="0" collapsed="false">
      <c r="A282" s="303" t="s">
        <v>820</v>
      </c>
      <c r="B282" s="55" t="s">
        <v>31</v>
      </c>
      <c r="C282" s="288"/>
      <c r="D282" s="289"/>
      <c r="E282" s="288"/>
      <c r="F282" s="288"/>
      <c r="G282" s="288"/>
      <c r="H282" s="288"/>
    </row>
    <row r="283" customFormat="false" ht="15" hidden="false" customHeight="false" outlineLevel="0" collapsed="false">
      <c r="A283" s="303" t="s">
        <v>930</v>
      </c>
      <c r="B283" s="55" t="s">
        <v>59</v>
      </c>
      <c r="C283" s="288"/>
      <c r="D283" s="289"/>
      <c r="E283" s="288"/>
      <c r="F283" s="288"/>
      <c r="G283" s="288"/>
      <c r="H283" s="288"/>
    </row>
    <row r="284" customFormat="false" ht="15" hidden="false" customHeight="false" outlineLevel="0" collapsed="false">
      <c r="A284" s="303" t="s">
        <v>931</v>
      </c>
      <c r="B284" s="55" t="s">
        <v>59</v>
      </c>
      <c r="C284" s="288"/>
      <c r="D284" s="289"/>
      <c r="E284" s="288"/>
      <c r="F284" s="288"/>
      <c r="G284" s="288"/>
      <c r="H284" s="288"/>
    </row>
    <row r="285" customFormat="false" ht="15" hidden="false" customHeight="false" outlineLevel="0" collapsed="false">
      <c r="A285" s="303" t="s">
        <v>932</v>
      </c>
      <c r="B285" s="55" t="s">
        <v>59</v>
      </c>
      <c r="C285" s="288"/>
      <c r="D285" s="289"/>
      <c r="E285" s="288"/>
      <c r="F285" s="288"/>
      <c r="G285" s="288"/>
      <c r="H285" s="288"/>
    </row>
    <row r="286" customFormat="false" ht="15" hidden="false" customHeight="false" outlineLevel="0" collapsed="false">
      <c r="A286" s="303" t="s">
        <v>819</v>
      </c>
      <c r="B286" s="55" t="s">
        <v>66</v>
      </c>
      <c r="C286" s="288"/>
      <c r="D286" s="289"/>
      <c r="E286" s="288"/>
      <c r="F286" s="288"/>
      <c r="G286" s="288"/>
      <c r="H286" s="288"/>
    </row>
    <row r="287" customFormat="false" ht="15" hidden="false" customHeight="false" outlineLevel="0" collapsed="false">
      <c r="A287" s="303" t="s">
        <v>933</v>
      </c>
      <c r="B287" s="55" t="s">
        <v>62</v>
      </c>
      <c r="C287" s="288"/>
      <c r="D287" s="289"/>
      <c r="E287" s="288"/>
      <c r="F287" s="288"/>
      <c r="G287" s="288"/>
      <c r="H287" s="288"/>
    </row>
    <row r="288" customFormat="false" ht="15" hidden="false" customHeight="false" outlineLevel="0" collapsed="false">
      <c r="A288" s="303" t="s">
        <v>933</v>
      </c>
      <c r="B288" s="55" t="s">
        <v>62</v>
      </c>
      <c r="C288" s="288"/>
      <c r="D288" s="289"/>
      <c r="E288" s="288"/>
      <c r="F288" s="288"/>
      <c r="G288" s="288"/>
      <c r="H288" s="288"/>
    </row>
    <row r="289" customFormat="false" ht="15" hidden="false" customHeight="false" outlineLevel="0" collapsed="false">
      <c r="A289" s="303" t="s">
        <v>934</v>
      </c>
      <c r="B289" s="55" t="s">
        <v>64</v>
      </c>
      <c r="C289" s="288"/>
      <c r="D289" s="289"/>
      <c r="E289" s="288"/>
      <c r="F289" s="288"/>
      <c r="G289" s="288"/>
      <c r="H289" s="288"/>
    </row>
    <row r="290" customFormat="false" ht="15" hidden="false" customHeight="false" outlineLevel="0" collapsed="false">
      <c r="A290" s="303" t="s">
        <v>935</v>
      </c>
      <c r="B290" s="55" t="s">
        <v>80</v>
      </c>
      <c r="C290" s="288"/>
      <c r="D290" s="289"/>
      <c r="E290" s="288"/>
      <c r="F290" s="288"/>
      <c r="G290" s="288"/>
      <c r="H290" s="288"/>
    </row>
    <row r="291" customFormat="false" ht="15" hidden="false" customHeight="false" outlineLevel="0" collapsed="false">
      <c r="A291" s="303" t="s">
        <v>935</v>
      </c>
      <c r="B291" s="55" t="s">
        <v>80</v>
      </c>
      <c r="C291" s="288"/>
      <c r="D291" s="289"/>
      <c r="E291" s="288"/>
      <c r="F291" s="288"/>
      <c r="G291" s="288"/>
      <c r="H291" s="288"/>
    </row>
    <row r="292" customFormat="false" ht="15" hidden="false" customHeight="false" outlineLevel="0" collapsed="false">
      <c r="A292" s="303" t="s">
        <v>936</v>
      </c>
      <c r="B292" s="55" t="s">
        <v>59</v>
      </c>
      <c r="C292" s="288"/>
      <c r="D292" s="289"/>
      <c r="E292" s="288"/>
      <c r="F292" s="288"/>
      <c r="G292" s="288"/>
      <c r="H292" s="288"/>
    </row>
    <row r="293" customFormat="false" ht="15" hidden="false" customHeight="false" outlineLevel="0" collapsed="false">
      <c r="A293" s="303" t="s">
        <v>937</v>
      </c>
      <c r="B293" s="55" t="s">
        <v>59</v>
      </c>
      <c r="C293" s="288"/>
      <c r="D293" s="289"/>
      <c r="E293" s="288"/>
      <c r="F293" s="288"/>
      <c r="G293" s="288"/>
      <c r="H293" s="288"/>
    </row>
    <row r="294" customFormat="false" ht="15" hidden="false" customHeight="false" outlineLevel="0" collapsed="false">
      <c r="A294" s="303" t="s">
        <v>938</v>
      </c>
      <c r="B294" s="55" t="s">
        <v>59</v>
      </c>
      <c r="C294" s="288"/>
      <c r="D294" s="289"/>
      <c r="E294" s="288"/>
      <c r="F294" s="288"/>
      <c r="G294" s="288"/>
      <c r="H294" s="288"/>
    </row>
    <row r="295" customFormat="false" ht="15" hidden="false" customHeight="false" outlineLevel="0" collapsed="false">
      <c r="A295" s="303" t="s">
        <v>939</v>
      </c>
      <c r="B295" s="55" t="s">
        <v>59</v>
      </c>
      <c r="C295" s="288"/>
      <c r="D295" s="289"/>
      <c r="E295" s="288"/>
      <c r="F295" s="288"/>
      <c r="G295" s="288"/>
      <c r="H295" s="288"/>
    </row>
    <row r="296" customFormat="false" ht="15" hidden="false" customHeight="false" outlineLevel="0" collapsed="false">
      <c r="A296" s="303" t="s">
        <v>940</v>
      </c>
      <c r="B296" s="55" t="s">
        <v>59</v>
      </c>
      <c r="C296" s="288"/>
      <c r="D296" s="289"/>
      <c r="E296" s="288"/>
      <c r="F296" s="288"/>
      <c r="G296" s="288"/>
      <c r="H296" s="288"/>
    </row>
    <row r="297" customFormat="false" ht="15" hidden="false" customHeight="false" outlineLevel="0" collapsed="false">
      <c r="A297" s="303" t="s">
        <v>941</v>
      </c>
      <c r="B297" s="55" t="s">
        <v>942</v>
      </c>
      <c r="C297" s="288"/>
      <c r="D297" s="289"/>
      <c r="E297" s="288"/>
      <c r="F297" s="288"/>
      <c r="G297" s="288"/>
      <c r="H297" s="288"/>
    </row>
    <row r="298" customFormat="false" ht="15" hidden="false" customHeight="false" outlineLevel="0" collapsed="false">
      <c r="A298" s="303" t="s">
        <v>116</v>
      </c>
      <c r="B298" s="55" t="s">
        <v>893</v>
      </c>
      <c r="C298" s="288"/>
      <c r="D298" s="289"/>
      <c r="E298" s="288"/>
      <c r="F298" s="288"/>
      <c r="G298" s="288"/>
      <c r="H298" s="288"/>
    </row>
    <row r="299" customFormat="false" ht="15" hidden="false" customHeight="false" outlineLevel="0" collapsed="false">
      <c r="A299" s="303" t="s">
        <v>135</v>
      </c>
      <c r="B299" s="55" t="s">
        <v>134</v>
      </c>
      <c r="C299" s="289"/>
      <c r="D299" s="289"/>
      <c r="E299" s="288"/>
      <c r="F299" s="288"/>
      <c r="G299" s="288"/>
      <c r="H299" s="288"/>
    </row>
    <row r="300" customFormat="false" ht="15" hidden="false" customHeight="false" outlineLevel="0" collapsed="false">
      <c r="A300" s="303" t="s">
        <v>38</v>
      </c>
      <c r="B300" s="55" t="s">
        <v>136</v>
      </c>
      <c r="C300" s="288"/>
      <c r="D300" s="289"/>
      <c r="E300" s="289"/>
      <c r="F300" s="288"/>
      <c r="G300" s="288"/>
      <c r="H300" s="289"/>
    </row>
    <row r="301" customFormat="false" ht="15" hidden="false" customHeight="false" outlineLevel="0" collapsed="false">
      <c r="A301" s="303" t="s">
        <v>86</v>
      </c>
      <c r="B301" s="55" t="s">
        <v>85</v>
      </c>
      <c r="C301" s="288"/>
      <c r="D301" s="289"/>
      <c r="E301" s="288"/>
      <c r="F301" s="288"/>
      <c r="G301" s="288"/>
      <c r="H301" s="288"/>
    </row>
    <row r="302" customFormat="false" ht="15" hidden="false" customHeight="false" outlineLevel="0" collapsed="false">
      <c r="A302" s="303" t="s">
        <v>849</v>
      </c>
      <c r="B302" s="55" t="s">
        <v>31</v>
      </c>
      <c r="C302" s="288"/>
      <c r="D302" s="289"/>
      <c r="E302" s="288"/>
      <c r="F302" s="288"/>
      <c r="G302" s="288"/>
      <c r="H302" s="288"/>
    </row>
    <row r="303" customFormat="false" ht="15" hidden="false" customHeight="false" outlineLevel="0" collapsed="false">
      <c r="A303" s="303" t="s">
        <v>820</v>
      </c>
      <c r="B303" s="55" t="s">
        <v>31</v>
      </c>
      <c r="C303" s="288"/>
      <c r="D303" s="289"/>
      <c r="E303" s="288"/>
      <c r="F303" s="288"/>
      <c r="G303" s="288"/>
      <c r="H303" s="288"/>
    </row>
    <row r="304" customFormat="false" ht="15" hidden="false" customHeight="false" outlineLevel="0" collapsed="false">
      <c r="A304" s="303" t="s">
        <v>841</v>
      </c>
      <c r="B304" s="55" t="s">
        <v>31</v>
      </c>
      <c r="C304" s="288"/>
      <c r="D304" s="289"/>
      <c r="E304" s="288"/>
      <c r="F304" s="288"/>
      <c r="G304" s="288"/>
      <c r="H304" s="288"/>
    </row>
    <row r="305" customFormat="false" ht="15" hidden="false" customHeight="false" outlineLevel="0" collapsed="false">
      <c r="A305" s="304" t="s">
        <v>52</v>
      </c>
      <c r="B305" s="55" t="s">
        <v>31</v>
      </c>
      <c r="C305" s="288"/>
      <c r="D305" s="289"/>
      <c r="E305" s="288"/>
      <c r="F305" s="288"/>
      <c r="G305" s="288"/>
      <c r="H305" s="288"/>
    </row>
    <row r="306" customFormat="false" ht="15" hidden="false" customHeight="false" outlineLevel="0" collapsed="false">
      <c r="A306" s="303" t="s">
        <v>943</v>
      </c>
      <c r="B306" s="55" t="s">
        <v>944</v>
      </c>
      <c r="C306" s="288"/>
      <c r="D306" s="289"/>
      <c r="E306" s="288"/>
      <c r="F306" s="289"/>
      <c r="G306" s="289"/>
      <c r="H306" s="288"/>
    </row>
    <row r="307" customFormat="false" ht="15" hidden="false" customHeight="false" outlineLevel="0" collapsed="false">
      <c r="A307" s="303" t="s">
        <v>945</v>
      </c>
      <c r="B307" s="55" t="s">
        <v>944</v>
      </c>
      <c r="C307" s="288"/>
      <c r="D307" s="289"/>
      <c r="E307" s="288"/>
      <c r="F307" s="288"/>
      <c r="G307" s="288"/>
      <c r="H307" s="288"/>
    </row>
    <row r="308" customFormat="false" ht="15" hidden="false" customHeight="false" outlineLevel="0" collapsed="false">
      <c r="A308" s="303" t="s">
        <v>946</v>
      </c>
      <c r="B308" s="55" t="s">
        <v>944</v>
      </c>
      <c r="C308" s="288"/>
      <c r="D308" s="289"/>
      <c r="E308" s="288"/>
      <c r="F308" s="288"/>
      <c r="G308" s="288"/>
      <c r="H308" s="288"/>
    </row>
    <row r="309" customFormat="false" ht="15" hidden="false" customHeight="false" outlineLevel="0" collapsed="false">
      <c r="A309" s="303" t="s">
        <v>819</v>
      </c>
      <c r="B309" s="55" t="s">
        <v>66</v>
      </c>
      <c r="C309" s="288"/>
      <c r="D309" s="289"/>
      <c r="E309" s="288"/>
      <c r="F309" s="288"/>
      <c r="G309" s="288"/>
      <c r="H309" s="288"/>
    </row>
    <row r="310" customFormat="false" ht="15" hidden="false" customHeight="false" outlineLevel="0" collapsed="false">
      <c r="A310" s="303" t="s">
        <v>820</v>
      </c>
      <c r="B310" s="55" t="s">
        <v>31</v>
      </c>
      <c r="C310" s="288"/>
      <c r="D310" s="289"/>
      <c r="E310" s="288"/>
      <c r="F310" s="288"/>
      <c r="G310" s="288"/>
      <c r="H310" s="288"/>
    </row>
    <row r="311" customFormat="false" ht="15" hidden="false" customHeight="false" outlineLevel="0" collapsed="false">
      <c r="A311" s="303" t="s">
        <v>947</v>
      </c>
      <c r="B311" s="55" t="s">
        <v>944</v>
      </c>
      <c r="C311" s="288"/>
      <c r="D311" s="289"/>
      <c r="E311" s="288"/>
      <c r="F311" s="288"/>
      <c r="G311" s="288"/>
      <c r="H311" s="288"/>
    </row>
    <row r="312" customFormat="false" ht="15" hidden="false" customHeight="false" outlineLevel="0" collapsed="false">
      <c r="A312" s="303" t="s">
        <v>819</v>
      </c>
      <c r="B312" s="55" t="s">
        <v>66</v>
      </c>
      <c r="C312" s="288"/>
      <c r="D312" s="289"/>
      <c r="E312" s="288"/>
      <c r="F312" s="288"/>
      <c r="G312" s="288"/>
      <c r="H312" s="288"/>
    </row>
    <row r="313" customFormat="false" ht="15" hidden="false" customHeight="false" outlineLevel="0" collapsed="false">
      <c r="A313" s="303" t="s">
        <v>820</v>
      </c>
      <c r="B313" s="55" t="s">
        <v>31</v>
      </c>
      <c r="C313" s="288"/>
      <c r="D313" s="289"/>
      <c r="E313" s="288"/>
      <c r="F313" s="288"/>
      <c r="G313" s="288"/>
      <c r="H313" s="288"/>
    </row>
    <row r="314" customFormat="false" ht="15" hidden="false" customHeight="false" outlineLevel="0" collapsed="false">
      <c r="A314" s="303" t="s">
        <v>948</v>
      </c>
      <c r="B314" s="55" t="s">
        <v>944</v>
      </c>
      <c r="C314" s="288"/>
      <c r="D314" s="289"/>
      <c r="E314" s="288"/>
      <c r="F314" s="288"/>
      <c r="G314" s="288"/>
      <c r="H314" s="288"/>
    </row>
    <row r="315" customFormat="false" ht="15" hidden="false" customHeight="false" outlineLevel="0" collapsed="false">
      <c r="A315" s="303" t="s">
        <v>948</v>
      </c>
      <c r="B315" s="55" t="s">
        <v>944</v>
      </c>
      <c r="C315" s="288"/>
      <c r="D315" s="289"/>
      <c r="E315" s="288"/>
      <c r="F315" s="288"/>
      <c r="G315" s="288"/>
      <c r="H315" s="288"/>
    </row>
    <row r="316" customFormat="false" ht="15" hidden="false" customHeight="false" outlineLevel="0" collapsed="false">
      <c r="A316" s="303" t="s">
        <v>949</v>
      </c>
      <c r="B316" s="55" t="s">
        <v>944</v>
      </c>
      <c r="C316" s="288"/>
      <c r="D316" s="289"/>
      <c r="E316" s="288"/>
      <c r="F316" s="288"/>
      <c r="G316" s="288"/>
      <c r="H316" s="288"/>
    </row>
    <row r="317" customFormat="false" ht="15" hidden="false" customHeight="false" outlineLevel="0" collapsed="false">
      <c r="A317" s="303" t="s">
        <v>819</v>
      </c>
      <c r="B317" s="55" t="s">
        <v>66</v>
      </c>
      <c r="C317" s="288"/>
      <c r="D317" s="289"/>
      <c r="E317" s="288"/>
      <c r="F317" s="288"/>
      <c r="G317" s="288"/>
      <c r="H317" s="288"/>
    </row>
    <row r="318" customFormat="false" ht="15" hidden="false" customHeight="false" outlineLevel="0" collapsed="false">
      <c r="A318" s="303" t="s">
        <v>820</v>
      </c>
      <c r="B318" s="55" t="s">
        <v>31</v>
      </c>
      <c r="C318" s="289"/>
      <c r="D318" s="289"/>
      <c r="E318" s="288"/>
      <c r="F318" s="288"/>
      <c r="G318" s="288"/>
      <c r="H318" s="288"/>
    </row>
    <row r="319" customFormat="false" ht="15" hidden="false" customHeight="false" outlineLevel="0" collapsed="false">
      <c r="A319" s="303" t="s">
        <v>950</v>
      </c>
      <c r="B319" s="55" t="s">
        <v>944</v>
      </c>
      <c r="C319" s="288"/>
      <c r="D319" s="289"/>
      <c r="E319" s="289"/>
      <c r="F319" s="288"/>
      <c r="G319" s="288"/>
      <c r="H319" s="289"/>
    </row>
    <row r="320" customFormat="false" ht="15" hidden="false" customHeight="false" outlineLevel="0" collapsed="false">
      <c r="A320" s="303" t="s">
        <v>951</v>
      </c>
      <c r="B320" s="55" t="s">
        <v>944</v>
      </c>
      <c r="C320" s="288"/>
      <c r="D320" s="289"/>
      <c r="E320" s="288"/>
      <c r="F320" s="288"/>
      <c r="G320" s="288"/>
      <c r="H320" s="288"/>
    </row>
    <row r="321" customFormat="false" ht="15" hidden="false" customHeight="false" outlineLevel="0" collapsed="false">
      <c r="A321" s="303" t="s">
        <v>951</v>
      </c>
      <c r="B321" s="55" t="s">
        <v>944</v>
      </c>
      <c r="C321" s="288"/>
      <c r="D321" s="289"/>
      <c r="E321" s="288"/>
      <c r="F321" s="288"/>
      <c r="G321" s="288"/>
      <c r="H321" s="288"/>
    </row>
    <row r="322" customFormat="false" ht="15" hidden="false" customHeight="false" outlineLevel="0" collapsed="false">
      <c r="A322" s="303" t="s">
        <v>819</v>
      </c>
      <c r="B322" s="55" t="s">
        <v>66</v>
      </c>
      <c r="C322" s="288"/>
      <c r="D322" s="289"/>
      <c r="E322" s="288"/>
      <c r="F322" s="288"/>
      <c r="G322" s="288"/>
      <c r="H322" s="288"/>
    </row>
    <row r="323" customFormat="false" ht="15" hidden="false" customHeight="false" outlineLevel="0" collapsed="false">
      <c r="A323" s="303" t="s">
        <v>820</v>
      </c>
      <c r="B323" s="55" t="s">
        <v>31</v>
      </c>
      <c r="C323" s="288"/>
      <c r="D323" s="289"/>
      <c r="E323" s="288"/>
      <c r="F323" s="288"/>
      <c r="G323" s="288"/>
      <c r="H323" s="288"/>
    </row>
    <row r="324" customFormat="false" ht="15" hidden="false" customHeight="false" outlineLevel="0" collapsed="false">
      <c r="A324" s="303" t="s">
        <v>820</v>
      </c>
      <c r="B324" s="55" t="s">
        <v>31</v>
      </c>
      <c r="C324" s="288"/>
      <c r="D324" s="289"/>
      <c r="E324" s="288"/>
      <c r="F324" s="288"/>
      <c r="G324" s="288"/>
      <c r="H324" s="288"/>
    </row>
    <row r="325" customFormat="false" ht="15" hidden="false" customHeight="false" outlineLevel="0" collapsed="false">
      <c r="A325" s="303" t="s">
        <v>952</v>
      </c>
      <c r="B325" s="55" t="s">
        <v>944</v>
      </c>
      <c r="C325" s="288"/>
      <c r="D325" s="289"/>
      <c r="E325" s="288"/>
      <c r="F325" s="288"/>
      <c r="G325" s="288"/>
      <c r="H325" s="288"/>
    </row>
    <row r="326" customFormat="false" ht="15" hidden="false" customHeight="false" outlineLevel="0" collapsed="false">
      <c r="A326" s="303" t="s">
        <v>953</v>
      </c>
      <c r="B326" s="55" t="s">
        <v>944</v>
      </c>
      <c r="C326" s="288"/>
      <c r="D326" s="289"/>
      <c r="E326" s="288"/>
      <c r="F326" s="288"/>
      <c r="G326" s="288"/>
      <c r="H326" s="288"/>
    </row>
    <row r="327" customFormat="false" ht="15" hidden="false" customHeight="false" outlineLevel="0" collapsed="false">
      <c r="A327" s="303" t="s">
        <v>954</v>
      </c>
      <c r="B327" s="55" t="s">
        <v>57</v>
      </c>
      <c r="C327" s="288"/>
      <c r="D327" s="289"/>
      <c r="E327" s="288"/>
      <c r="F327" s="288"/>
      <c r="G327" s="288"/>
      <c r="H327" s="288"/>
    </row>
    <row r="328" customFormat="false" ht="15" hidden="false" customHeight="false" outlineLevel="0" collapsed="false">
      <c r="A328" s="303" t="s">
        <v>955</v>
      </c>
      <c r="B328" s="299" t="s">
        <v>103</v>
      </c>
      <c r="C328" s="288"/>
      <c r="D328" s="289"/>
      <c r="E328" s="288"/>
      <c r="F328" s="288"/>
      <c r="G328" s="288"/>
      <c r="H328" s="288"/>
    </row>
    <row r="329" customFormat="false" ht="15" hidden="false" customHeight="false" outlineLevel="0" collapsed="false">
      <c r="A329" s="303" t="s">
        <v>956</v>
      </c>
      <c r="B329" s="55" t="s">
        <v>64</v>
      </c>
      <c r="C329" s="288"/>
      <c r="D329" s="289"/>
      <c r="E329" s="288"/>
      <c r="F329" s="288"/>
      <c r="G329" s="288"/>
      <c r="H329" s="288"/>
    </row>
    <row r="330" customFormat="false" ht="15" hidden="false" customHeight="false" outlineLevel="0" collapsed="false">
      <c r="A330" s="303" t="s">
        <v>957</v>
      </c>
      <c r="B330" s="55" t="s">
        <v>64</v>
      </c>
      <c r="C330" s="288"/>
      <c r="D330" s="289"/>
      <c r="E330" s="288"/>
      <c r="F330" s="288"/>
      <c r="G330" s="288"/>
      <c r="H330" s="288"/>
    </row>
    <row r="331" customFormat="false" ht="15" hidden="false" customHeight="false" outlineLevel="0" collapsed="false">
      <c r="A331" s="303" t="s">
        <v>958</v>
      </c>
      <c r="B331" s="55" t="s">
        <v>64</v>
      </c>
      <c r="C331" s="288"/>
      <c r="D331" s="289"/>
      <c r="E331" s="288"/>
      <c r="F331" s="288"/>
      <c r="G331" s="288"/>
      <c r="H331" s="288"/>
    </row>
    <row r="332" customFormat="false" ht="15" hidden="false" customHeight="false" outlineLevel="0" collapsed="false">
      <c r="A332" s="303" t="s">
        <v>959</v>
      </c>
      <c r="B332" s="55" t="s">
        <v>64</v>
      </c>
      <c r="C332" s="288"/>
      <c r="D332" s="289"/>
      <c r="E332" s="288"/>
      <c r="F332" s="288"/>
      <c r="G332" s="288"/>
      <c r="H332" s="288"/>
    </row>
    <row r="333" customFormat="false" ht="15" hidden="false" customHeight="false" outlineLevel="0" collapsed="false">
      <c r="A333" s="303" t="s">
        <v>819</v>
      </c>
      <c r="B333" s="55" t="s">
        <v>66</v>
      </c>
      <c r="C333" s="288"/>
      <c r="D333" s="289"/>
      <c r="E333" s="288"/>
      <c r="F333" s="288"/>
      <c r="G333" s="288"/>
      <c r="H333" s="288"/>
    </row>
    <row r="334" customFormat="false" ht="15" hidden="false" customHeight="false" outlineLevel="0" collapsed="false">
      <c r="A334" s="303" t="s">
        <v>310</v>
      </c>
      <c r="B334" s="55" t="s">
        <v>31</v>
      </c>
      <c r="C334" s="288"/>
      <c r="D334" s="289"/>
      <c r="E334" s="288"/>
      <c r="F334" s="288"/>
      <c r="G334" s="288"/>
      <c r="H334" s="288"/>
    </row>
    <row r="335" customFormat="false" ht="15" hidden="false" customHeight="false" outlineLevel="0" collapsed="false">
      <c r="A335" s="303" t="s">
        <v>960</v>
      </c>
      <c r="B335" s="55" t="s">
        <v>57</v>
      </c>
      <c r="C335" s="288"/>
      <c r="D335" s="289"/>
      <c r="E335" s="288"/>
      <c r="F335" s="288"/>
      <c r="G335" s="288"/>
      <c r="H335" s="288"/>
    </row>
    <row r="336" customFormat="false" ht="15" hidden="false" customHeight="false" outlineLevel="0" collapsed="false">
      <c r="A336" s="303" t="s">
        <v>961</v>
      </c>
      <c r="B336" s="55" t="s">
        <v>59</v>
      </c>
      <c r="C336" s="288"/>
      <c r="D336" s="289"/>
      <c r="E336" s="288"/>
      <c r="F336" s="288"/>
      <c r="G336" s="288"/>
      <c r="H336" s="288"/>
    </row>
    <row r="337" customFormat="false" ht="15" hidden="false" customHeight="false" outlineLevel="0" collapsed="false">
      <c r="A337" s="303" t="s">
        <v>283</v>
      </c>
      <c r="B337" s="299" t="s">
        <v>391</v>
      </c>
      <c r="C337" s="288"/>
      <c r="D337" s="289"/>
      <c r="E337" s="288"/>
      <c r="F337" s="288"/>
      <c r="G337" s="288"/>
      <c r="H337" s="288"/>
    </row>
    <row r="338" customFormat="false" ht="15" hidden="false" customHeight="false" outlineLevel="0" collapsed="false">
      <c r="A338" s="303" t="s">
        <v>962</v>
      </c>
      <c r="B338" s="55" t="s">
        <v>57</v>
      </c>
      <c r="C338" s="288"/>
      <c r="D338" s="289"/>
      <c r="E338" s="288"/>
      <c r="F338" s="288"/>
      <c r="G338" s="288"/>
      <c r="H338" s="288"/>
    </row>
    <row r="339" customFormat="false" ht="15" hidden="false" customHeight="false" outlineLevel="0" collapsed="false">
      <c r="A339" s="303" t="s">
        <v>963</v>
      </c>
      <c r="B339" s="55" t="s">
        <v>98</v>
      </c>
      <c r="C339" s="288"/>
      <c r="D339" s="289"/>
      <c r="E339" s="288"/>
      <c r="F339" s="288"/>
      <c r="G339" s="288"/>
      <c r="H339" s="288"/>
    </row>
    <row r="340" customFormat="false" ht="13.8" hidden="false" customHeight="false" outlineLevel="0" collapsed="false">
      <c r="A340" s="303" t="s">
        <v>964</v>
      </c>
      <c r="B340" s="55" t="s">
        <v>59</v>
      </c>
      <c r="D340" s="288"/>
      <c r="E340" s="288"/>
      <c r="F340" s="288"/>
      <c r="G340" s="288"/>
      <c r="H340" s="288"/>
    </row>
    <row r="341" customFormat="false" ht="13.8" hidden="false" customHeight="false" outlineLevel="0" collapsed="false">
      <c r="A341" s="303" t="s">
        <v>965</v>
      </c>
      <c r="B341" s="55" t="s">
        <v>59</v>
      </c>
      <c r="F341" s="288"/>
      <c r="G341" s="288"/>
    </row>
    <row r="342" customFormat="false" ht="13.8" hidden="false" customHeight="false" outlineLevel="0" collapsed="false">
      <c r="A342" s="303" t="s">
        <v>966</v>
      </c>
      <c r="B342" s="55" t="s">
        <v>159</v>
      </c>
      <c r="F342" s="288"/>
      <c r="G342" s="288"/>
    </row>
    <row r="343" customFormat="false" ht="13.8" hidden="false" customHeight="false" outlineLevel="0" collapsed="false">
      <c r="A343" s="303" t="s">
        <v>967</v>
      </c>
      <c r="B343" s="55" t="s">
        <v>64</v>
      </c>
      <c r="F343" s="288"/>
      <c r="G343" s="288"/>
    </row>
    <row r="344" customFormat="false" ht="13.8" hidden="false" customHeight="false" outlineLevel="0" collapsed="false">
      <c r="A344" s="303" t="s">
        <v>968</v>
      </c>
      <c r="B344" s="55" t="s">
        <v>64</v>
      </c>
      <c r="F344" s="288"/>
      <c r="G344" s="288"/>
    </row>
    <row r="345" customFormat="false" ht="13.8" hidden="false" customHeight="false" outlineLevel="0" collapsed="false">
      <c r="A345" s="303" t="s">
        <v>283</v>
      </c>
      <c r="B345" s="299" t="s">
        <v>391</v>
      </c>
      <c r="F345" s="288"/>
      <c r="G345" s="288"/>
    </row>
    <row r="346" customFormat="false" ht="13.8" hidden="false" customHeight="false" outlineLevel="0" collapsed="false">
      <c r="A346" s="303" t="s">
        <v>969</v>
      </c>
      <c r="B346" s="55" t="s">
        <v>108</v>
      </c>
      <c r="F346" s="288"/>
      <c r="G346" s="288"/>
    </row>
    <row r="347" customFormat="false" ht="13.8" hidden="false" customHeight="false" outlineLevel="0" collapsed="false">
      <c r="A347" s="303" t="s">
        <v>970</v>
      </c>
      <c r="B347" s="55" t="s">
        <v>64</v>
      </c>
      <c r="F347" s="288"/>
      <c r="G347" s="288"/>
    </row>
    <row r="348" customFormat="false" ht="13.8" hidden="false" customHeight="false" outlineLevel="0" collapsed="false">
      <c r="A348" s="303" t="s">
        <v>86</v>
      </c>
      <c r="B348" s="55" t="s">
        <v>85</v>
      </c>
      <c r="F348" s="288"/>
      <c r="G348" s="288"/>
    </row>
    <row r="349" customFormat="false" ht="13.8" hidden="false" customHeight="false" outlineLevel="0" collapsed="false">
      <c r="A349" s="303" t="s">
        <v>849</v>
      </c>
      <c r="B349" s="55" t="s">
        <v>31</v>
      </c>
      <c r="F349" s="288"/>
      <c r="G349" s="288"/>
    </row>
    <row r="350" customFormat="false" ht="13.8" hidden="false" customHeight="false" outlineLevel="0" collapsed="false">
      <c r="A350" s="303" t="s">
        <v>820</v>
      </c>
      <c r="B350" s="55" t="s">
        <v>31</v>
      </c>
      <c r="F350" s="288"/>
      <c r="G350" s="288"/>
    </row>
    <row r="351" customFormat="false" ht="13.8" hidden="false" customHeight="false" outlineLevel="0" collapsed="false">
      <c r="A351" s="303" t="s">
        <v>865</v>
      </c>
      <c r="B351" s="55" t="s">
        <v>31</v>
      </c>
      <c r="F351" s="288"/>
      <c r="G351" s="288"/>
    </row>
    <row r="352" customFormat="false" ht="13.8" hidden="false" customHeight="false" outlineLevel="0" collapsed="false">
      <c r="A352" s="300" t="s">
        <v>813</v>
      </c>
      <c r="B352" s="55" t="s">
        <v>31</v>
      </c>
      <c r="F352" s="288"/>
      <c r="G352" s="288"/>
    </row>
    <row r="353" customFormat="false" ht="13.8" hidden="false" customHeight="false" outlineLevel="0" collapsed="false">
      <c r="A353" s="300" t="s">
        <v>971</v>
      </c>
      <c r="B353" s="55" t="s">
        <v>57</v>
      </c>
      <c r="F353" s="288"/>
      <c r="G353" s="288"/>
    </row>
    <row r="354" customFormat="false" ht="13.8" hidden="false" customHeight="false" outlineLevel="0" collapsed="false">
      <c r="A354" s="300" t="s">
        <v>972</v>
      </c>
      <c r="B354" s="55" t="s">
        <v>62</v>
      </c>
      <c r="F354" s="288"/>
      <c r="G354" s="288"/>
    </row>
    <row r="355" customFormat="false" ht="13.8" hidden="false" customHeight="false" outlineLevel="0" collapsed="false">
      <c r="A355" s="300" t="s">
        <v>67</v>
      </c>
      <c r="B355" s="55" t="s">
        <v>66</v>
      </c>
      <c r="F355" s="288"/>
      <c r="G355" s="288"/>
    </row>
    <row r="356" customFormat="false" ht="13.8" hidden="false" customHeight="false" outlineLevel="0" collapsed="false">
      <c r="A356" s="300" t="s">
        <v>819</v>
      </c>
      <c r="B356" s="55" t="s">
        <v>66</v>
      </c>
      <c r="F356" s="288"/>
      <c r="G356" s="288"/>
    </row>
    <row r="357" customFormat="false" ht="13.8" hidden="false" customHeight="false" outlineLevel="0" collapsed="false">
      <c r="A357" s="300" t="s">
        <v>820</v>
      </c>
      <c r="B357" s="55" t="s">
        <v>31</v>
      </c>
      <c r="F357" s="288"/>
      <c r="G357" s="288"/>
    </row>
    <row r="358" customFormat="false" ht="13.8" hidden="false" customHeight="false" outlineLevel="0" collapsed="false">
      <c r="A358" s="300" t="s">
        <v>973</v>
      </c>
      <c r="B358" s="55" t="s">
        <v>66</v>
      </c>
      <c r="F358" s="288"/>
      <c r="G358" s="288"/>
    </row>
    <row r="359" customFormat="false" ht="13.8" hidden="false" customHeight="false" outlineLevel="0" collapsed="false">
      <c r="A359" s="300" t="s">
        <v>819</v>
      </c>
      <c r="B359" s="55" t="s">
        <v>66</v>
      </c>
      <c r="F359" s="288"/>
      <c r="G359" s="288"/>
    </row>
    <row r="360" customFormat="false" ht="13.8" hidden="false" customHeight="false" outlineLevel="0" collapsed="false">
      <c r="A360" s="300" t="s">
        <v>820</v>
      </c>
      <c r="B360" s="55" t="s">
        <v>31</v>
      </c>
      <c r="F360" s="288"/>
      <c r="G360" s="288"/>
    </row>
    <row r="361" customFormat="false" ht="13.8" hidden="false" customHeight="false" outlineLevel="0" collapsed="false">
      <c r="A361" s="300" t="s">
        <v>974</v>
      </c>
      <c r="B361" s="55" t="s">
        <v>59</v>
      </c>
      <c r="F361" s="288"/>
      <c r="G361" s="288"/>
    </row>
    <row r="362" customFormat="false" ht="13.8" hidden="false" customHeight="false" outlineLevel="0" collapsed="false">
      <c r="A362" s="300" t="s">
        <v>975</v>
      </c>
      <c r="B362" s="55" t="s">
        <v>59</v>
      </c>
      <c r="F362" s="288"/>
      <c r="G362" s="288"/>
    </row>
    <row r="363" customFormat="false" ht="13.8" hidden="false" customHeight="false" outlineLevel="0" collapsed="false">
      <c r="A363" s="300" t="s">
        <v>976</v>
      </c>
      <c r="B363" s="55" t="s">
        <v>57</v>
      </c>
      <c r="F363" s="288"/>
      <c r="G363" s="288"/>
    </row>
    <row r="364" customFormat="false" ht="13.8" hidden="false" customHeight="false" outlineLevel="0" collapsed="false">
      <c r="A364" s="300" t="s">
        <v>977</v>
      </c>
      <c r="B364" s="55" t="s">
        <v>64</v>
      </c>
      <c r="F364" s="288"/>
      <c r="G364" s="288"/>
    </row>
    <row r="365" customFormat="false" ht="13.8" hidden="false" customHeight="false" outlineLevel="0" collapsed="false">
      <c r="A365" s="300" t="s">
        <v>819</v>
      </c>
      <c r="B365" s="55" t="s">
        <v>66</v>
      </c>
      <c r="F365" s="288"/>
      <c r="G365" s="288"/>
    </row>
    <row r="366" customFormat="false" ht="13.8" hidden="false" customHeight="false" outlineLevel="0" collapsed="false">
      <c r="A366" s="300" t="s">
        <v>820</v>
      </c>
      <c r="B366" s="55" t="s">
        <v>31</v>
      </c>
      <c r="F366" s="288"/>
      <c r="G366" s="288"/>
    </row>
    <row r="367" customFormat="false" ht="13.8" hidden="false" customHeight="false" outlineLevel="0" collapsed="false">
      <c r="A367" s="300" t="s">
        <v>978</v>
      </c>
      <c r="B367" s="55" t="s">
        <v>121</v>
      </c>
      <c r="F367" s="288"/>
      <c r="G367" s="288"/>
    </row>
    <row r="368" customFormat="false" ht="13.8" hidden="false" customHeight="false" outlineLevel="0" collapsed="false">
      <c r="A368" s="300" t="s">
        <v>979</v>
      </c>
      <c r="B368" s="55" t="s">
        <v>159</v>
      </c>
      <c r="F368" s="288"/>
      <c r="G368" s="288"/>
    </row>
    <row r="369" customFormat="false" ht="13.8" hidden="false" customHeight="false" outlineLevel="0" collapsed="false">
      <c r="A369" s="300" t="s">
        <v>979</v>
      </c>
      <c r="B369" s="55" t="s">
        <v>159</v>
      </c>
      <c r="F369" s="288"/>
      <c r="G369" s="288"/>
    </row>
    <row r="370" customFormat="false" ht="13.8" hidden="false" customHeight="false" outlineLevel="0" collapsed="false">
      <c r="A370" s="300" t="s">
        <v>980</v>
      </c>
      <c r="B370" s="55" t="s">
        <v>59</v>
      </c>
      <c r="F370" s="288"/>
      <c r="G370" s="288"/>
    </row>
    <row r="371" customFormat="false" ht="13.8" hidden="false" customHeight="false" outlineLevel="0" collapsed="false">
      <c r="A371" s="300" t="s">
        <v>981</v>
      </c>
      <c r="B371" s="55" t="s">
        <v>59</v>
      </c>
      <c r="F371" s="288"/>
      <c r="G371" s="288"/>
    </row>
    <row r="372" customFormat="false" ht="13.8" hidden="false" customHeight="false" outlineLevel="0" collapsed="false">
      <c r="A372" s="300" t="s">
        <v>982</v>
      </c>
      <c r="B372" s="55" t="s">
        <v>57</v>
      </c>
      <c r="F372" s="288"/>
      <c r="G372" s="288"/>
    </row>
    <row r="373" customFormat="false" ht="13.8" hidden="false" customHeight="false" outlineLevel="0" collapsed="false">
      <c r="A373" s="300" t="s">
        <v>983</v>
      </c>
      <c r="B373" s="55" t="s">
        <v>57</v>
      </c>
      <c r="F373" s="288"/>
      <c r="G373" s="288"/>
    </row>
    <row r="374" customFormat="false" ht="13.8" hidden="false" customHeight="false" outlineLevel="0" collapsed="false">
      <c r="A374" s="300" t="s">
        <v>983</v>
      </c>
      <c r="B374" s="55" t="s">
        <v>57</v>
      </c>
      <c r="F374" s="288"/>
      <c r="G374" s="288"/>
    </row>
    <row r="375" customFormat="false" ht="13.8" hidden="false" customHeight="false" outlineLevel="0" collapsed="false">
      <c r="A375" s="300" t="s">
        <v>984</v>
      </c>
      <c r="B375" s="55" t="s">
        <v>98</v>
      </c>
      <c r="F375" s="288"/>
      <c r="G375" s="288"/>
    </row>
    <row r="376" customFormat="false" ht="13.8" hidden="false" customHeight="false" outlineLevel="0" collapsed="false">
      <c r="A376" s="300" t="s">
        <v>985</v>
      </c>
      <c r="B376" s="55" t="s">
        <v>59</v>
      </c>
      <c r="F376" s="288"/>
      <c r="G376" s="288"/>
    </row>
    <row r="377" customFormat="false" ht="13.8" hidden="false" customHeight="false" outlineLevel="0" collapsed="false">
      <c r="A377" s="300" t="s">
        <v>986</v>
      </c>
      <c r="B377" s="55" t="s">
        <v>59</v>
      </c>
      <c r="F377" s="288"/>
      <c r="G377" s="288"/>
    </row>
    <row r="378" customFormat="false" ht="13.8" hidden="false" customHeight="false" outlineLevel="0" collapsed="false">
      <c r="A378" s="300" t="s">
        <v>987</v>
      </c>
      <c r="B378" s="55" t="s">
        <v>64</v>
      </c>
      <c r="F378" s="288"/>
      <c r="G378" s="288"/>
    </row>
    <row r="379" customFormat="false" ht="13.8" hidden="false" customHeight="false" outlineLevel="0" collapsed="false">
      <c r="A379" s="300" t="s">
        <v>988</v>
      </c>
      <c r="B379" s="55" t="s">
        <v>57</v>
      </c>
      <c r="F379" s="288"/>
      <c r="G379" s="288"/>
    </row>
    <row r="380" customFormat="false" ht="13.8" hidden="false" customHeight="false" outlineLevel="0" collapsed="false">
      <c r="A380" s="300" t="s">
        <v>989</v>
      </c>
      <c r="B380" s="55" t="s">
        <v>64</v>
      </c>
      <c r="F380" s="288"/>
      <c r="G380" s="288"/>
    </row>
    <row r="381" customFormat="false" ht="13.8" hidden="false" customHeight="false" outlineLevel="0" collapsed="false">
      <c r="A381" s="300" t="s">
        <v>990</v>
      </c>
      <c r="B381" s="55" t="s">
        <v>64</v>
      </c>
      <c r="F381" s="288"/>
      <c r="G381" s="288"/>
    </row>
    <row r="382" customFormat="false" ht="13.8" hidden="false" customHeight="false" outlineLevel="0" collapsed="false">
      <c r="A382" s="300" t="s">
        <v>991</v>
      </c>
      <c r="B382" s="55" t="s">
        <v>64</v>
      </c>
      <c r="F382" s="288"/>
      <c r="G382" s="288"/>
    </row>
    <row r="383" customFormat="false" ht="13.8" hidden="false" customHeight="false" outlineLevel="0" collapsed="false">
      <c r="A383" s="300" t="s">
        <v>819</v>
      </c>
      <c r="B383" s="55" t="s">
        <v>66</v>
      </c>
      <c r="F383" s="288"/>
      <c r="G383" s="288"/>
    </row>
    <row r="384" customFormat="false" ht="13.8" hidden="false" customHeight="false" outlineLevel="0" collapsed="false">
      <c r="A384" s="300" t="s">
        <v>820</v>
      </c>
      <c r="B384" s="55" t="s">
        <v>31</v>
      </c>
      <c r="F384" s="288"/>
      <c r="G384" s="288"/>
    </row>
    <row r="385" customFormat="false" ht="13.8" hidden="false" customHeight="false" outlineLevel="0" collapsed="false">
      <c r="A385" s="300" t="s">
        <v>992</v>
      </c>
      <c r="B385" s="55" t="s">
        <v>64</v>
      </c>
      <c r="F385" s="288"/>
      <c r="G385" s="288"/>
    </row>
    <row r="386" customFormat="false" ht="13.8" hidden="false" customHeight="false" outlineLevel="0" collapsed="false">
      <c r="A386" s="300" t="s">
        <v>993</v>
      </c>
      <c r="B386" s="55" t="s">
        <v>80</v>
      </c>
      <c r="F386" s="288"/>
      <c r="G386" s="288"/>
    </row>
    <row r="387" customFormat="false" ht="13.8" hidden="false" customHeight="false" outlineLevel="0" collapsed="false">
      <c r="A387" s="300" t="s">
        <v>994</v>
      </c>
      <c r="B387" s="55" t="s">
        <v>80</v>
      </c>
      <c r="F387" s="288"/>
      <c r="G387" s="288"/>
    </row>
    <row r="388" customFormat="false" ht="13.8" hidden="false" customHeight="false" outlineLevel="0" collapsed="false">
      <c r="A388" s="300" t="s">
        <v>819</v>
      </c>
      <c r="B388" s="55" t="s">
        <v>66</v>
      </c>
      <c r="F388" s="288"/>
      <c r="G388" s="288"/>
    </row>
    <row r="389" customFormat="false" ht="13.8" hidden="false" customHeight="false" outlineLevel="0" collapsed="false">
      <c r="A389" s="300" t="s">
        <v>820</v>
      </c>
      <c r="B389" s="55" t="s">
        <v>31</v>
      </c>
      <c r="F389" s="288"/>
      <c r="G389" s="288"/>
    </row>
    <row r="390" customFormat="false" ht="13.8" hidden="false" customHeight="false" outlineLevel="0" collapsed="false">
      <c r="A390" s="300" t="s">
        <v>109</v>
      </c>
      <c r="B390" s="55" t="s">
        <v>108</v>
      </c>
      <c r="F390" s="288"/>
      <c r="G390" s="288"/>
    </row>
    <row r="391" customFormat="false" ht="13.8" hidden="false" customHeight="false" outlineLevel="0" collapsed="false">
      <c r="A391" s="300" t="s">
        <v>819</v>
      </c>
      <c r="B391" s="55" t="s">
        <v>66</v>
      </c>
      <c r="F391" s="288"/>
      <c r="G391" s="288"/>
    </row>
    <row r="392" customFormat="false" ht="13.8" hidden="false" customHeight="false" outlineLevel="0" collapsed="false">
      <c r="A392" s="300" t="s">
        <v>820</v>
      </c>
      <c r="B392" s="55" t="s">
        <v>31</v>
      </c>
      <c r="F392" s="288"/>
      <c r="G392" s="288"/>
    </row>
    <row r="393" customFormat="false" ht="13.8" hidden="false" customHeight="false" outlineLevel="0" collapsed="false">
      <c r="A393" s="300" t="s">
        <v>888</v>
      </c>
      <c r="B393" s="55" t="s">
        <v>121</v>
      </c>
      <c r="F393" s="288"/>
      <c r="G393" s="288"/>
    </row>
    <row r="394" customFormat="false" ht="13.8" hidden="false" customHeight="false" outlineLevel="0" collapsed="false">
      <c r="A394" s="300" t="s">
        <v>995</v>
      </c>
      <c r="B394" s="55" t="s">
        <v>159</v>
      </c>
      <c r="F394" s="288"/>
      <c r="G394" s="288"/>
    </row>
    <row r="395" customFormat="false" ht="13.8" hidden="false" customHeight="false" outlineLevel="0" collapsed="false">
      <c r="A395" s="300" t="s">
        <v>819</v>
      </c>
      <c r="B395" s="55" t="s">
        <v>66</v>
      </c>
      <c r="F395" s="288"/>
      <c r="G395" s="288"/>
    </row>
    <row r="396" customFormat="false" ht="13.8" hidden="false" customHeight="false" outlineLevel="0" collapsed="false">
      <c r="A396" s="300" t="s">
        <v>820</v>
      </c>
      <c r="B396" s="55" t="s">
        <v>31</v>
      </c>
      <c r="F396" s="288"/>
      <c r="G396" s="288"/>
    </row>
    <row r="397" customFormat="false" ht="13.8" hidden="false" customHeight="false" outlineLevel="0" collapsed="false">
      <c r="A397" s="300" t="s">
        <v>996</v>
      </c>
      <c r="B397" s="55" t="s">
        <v>53</v>
      </c>
      <c r="F397" s="288"/>
      <c r="G397" s="288"/>
    </row>
    <row r="398" customFormat="false" ht="13.8" hidden="false" customHeight="false" outlineLevel="0" collapsed="false">
      <c r="A398" s="300" t="s">
        <v>997</v>
      </c>
      <c r="B398" s="55" t="s">
        <v>62</v>
      </c>
      <c r="F398" s="288"/>
      <c r="G398" s="288"/>
    </row>
    <row r="399" customFormat="false" ht="13.8" hidden="false" customHeight="false" outlineLevel="0" collapsed="false">
      <c r="A399" s="300" t="s">
        <v>998</v>
      </c>
      <c r="B399" s="55" t="s">
        <v>57</v>
      </c>
      <c r="F399" s="288"/>
      <c r="G399" s="288"/>
    </row>
    <row r="400" customFormat="false" ht="13.8" hidden="false" customHeight="false" outlineLevel="0" collapsed="false">
      <c r="A400" s="300" t="s">
        <v>999</v>
      </c>
      <c r="B400" s="55" t="s">
        <v>62</v>
      </c>
      <c r="F400" s="288"/>
      <c r="G400" s="288"/>
    </row>
    <row r="401" customFormat="false" ht="13.8" hidden="false" customHeight="false" outlineLevel="0" collapsed="false">
      <c r="A401" s="300" t="s">
        <v>1000</v>
      </c>
      <c r="B401" s="55" t="s">
        <v>53</v>
      </c>
      <c r="F401" s="288"/>
      <c r="G401" s="288"/>
    </row>
    <row r="402" customFormat="false" ht="13.8" hidden="false" customHeight="false" outlineLevel="0" collapsed="false">
      <c r="A402" s="300" t="s">
        <v>1001</v>
      </c>
      <c r="B402" s="55" t="s">
        <v>59</v>
      </c>
      <c r="F402" s="288"/>
      <c r="G402" s="288"/>
    </row>
    <row r="403" customFormat="false" ht="13.8" hidden="false" customHeight="false" outlineLevel="0" collapsed="false">
      <c r="A403" s="300" t="s">
        <v>1002</v>
      </c>
      <c r="B403" s="55" t="s">
        <v>64</v>
      </c>
      <c r="F403" s="288"/>
      <c r="G403" s="288"/>
    </row>
    <row r="404" customFormat="false" ht="13.8" hidden="false" customHeight="false" outlineLevel="0" collapsed="false">
      <c r="A404" s="300" t="s">
        <v>1003</v>
      </c>
      <c r="B404" s="55" t="s">
        <v>59</v>
      </c>
      <c r="F404" s="288"/>
      <c r="G404" s="288"/>
    </row>
    <row r="405" customFormat="false" ht="13.8" hidden="false" customHeight="false" outlineLevel="0" collapsed="false">
      <c r="A405" s="300" t="s">
        <v>107</v>
      </c>
      <c r="B405" s="55" t="s">
        <v>66</v>
      </c>
      <c r="F405" s="288"/>
      <c r="G405" s="288"/>
    </row>
    <row r="406" customFormat="false" ht="13.8" hidden="false" customHeight="false" outlineLevel="0" collapsed="false">
      <c r="A406" s="300" t="s">
        <v>841</v>
      </c>
      <c r="B406" s="55" t="s">
        <v>31</v>
      </c>
      <c r="F406" s="288"/>
      <c r="G406" s="288"/>
    </row>
    <row r="407" customFormat="false" ht="15" hidden="false" customHeight="false" outlineLevel="0" collapsed="false">
      <c r="A407" s="302" t="s">
        <v>52</v>
      </c>
      <c r="B407" s="55" t="s">
        <v>31</v>
      </c>
      <c r="F407" s="288"/>
      <c r="G407" s="288"/>
    </row>
    <row r="408" customFormat="false" ht="15" hidden="false" customHeight="false" outlineLevel="0" collapsed="false">
      <c r="A408" s="300" t="s">
        <v>819</v>
      </c>
      <c r="B408" s="55" t="s">
        <v>66</v>
      </c>
      <c r="F408" s="289"/>
      <c r="G408" s="289"/>
    </row>
    <row r="409" customFormat="false" ht="13.8" hidden="false" customHeight="false" outlineLevel="0" collapsed="false">
      <c r="A409" s="300" t="s">
        <v>1004</v>
      </c>
      <c r="B409" s="55" t="s">
        <v>62</v>
      </c>
      <c r="F409" s="288"/>
      <c r="G409" s="288"/>
    </row>
    <row r="410" customFormat="false" ht="13.8" hidden="false" customHeight="false" outlineLevel="0" collapsed="false">
      <c r="A410" s="300" t="s">
        <v>1005</v>
      </c>
      <c r="B410" s="55" t="s">
        <v>64</v>
      </c>
      <c r="F410" s="288"/>
      <c r="G410" s="288"/>
    </row>
    <row r="411" customFormat="false" ht="13.8" hidden="false" customHeight="false" outlineLevel="0" collapsed="false">
      <c r="A411" s="300" t="s">
        <v>1006</v>
      </c>
      <c r="B411" s="55" t="s">
        <v>53</v>
      </c>
      <c r="F411" s="288"/>
      <c r="G411" s="288"/>
    </row>
    <row r="412" customFormat="false" ht="13.8" hidden="false" customHeight="false" outlineLevel="0" collapsed="false">
      <c r="A412" s="300" t="s">
        <v>1007</v>
      </c>
      <c r="B412" s="55" t="s">
        <v>57</v>
      </c>
      <c r="F412" s="288"/>
      <c r="G412" s="288"/>
    </row>
    <row r="413" customFormat="false" ht="13.8" hidden="false" customHeight="false" outlineLevel="0" collapsed="false">
      <c r="A413" s="300" t="s">
        <v>1007</v>
      </c>
      <c r="B413" s="55" t="s">
        <v>57</v>
      </c>
      <c r="F413" s="288"/>
      <c r="G413" s="288"/>
    </row>
    <row r="414" customFormat="false" ht="13.8" hidden="false" customHeight="false" outlineLevel="0" collapsed="false">
      <c r="A414" s="300" t="s">
        <v>1008</v>
      </c>
      <c r="B414" s="55" t="s">
        <v>154</v>
      </c>
      <c r="F414" s="288"/>
      <c r="G414" s="288"/>
    </row>
    <row r="415" customFormat="false" ht="13.8" hidden="false" customHeight="false" outlineLevel="0" collapsed="false">
      <c r="A415" s="300" t="s">
        <v>135</v>
      </c>
      <c r="B415" s="55" t="s">
        <v>134</v>
      </c>
      <c r="F415" s="288"/>
      <c r="G415" s="288"/>
    </row>
    <row r="416" customFormat="false" ht="13.8" hidden="false" customHeight="false" outlineLevel="0" collapsed="false">
      <c r="A416" s="300" t="s">
        <v>38</v>
      </c>
      <c r="B416" s="55" t="s">
        <v>136</v>
      </c>
      <c r="F416" s="288"/>
      <c r="G416" s="288"/>
    </row>
    <row r="417" customFormat="false" ht="13.8" hidden="false" customHeight="false" outlineLevel="0" collapsed="false">
      <c r="A417" s="300" t="s">
        <v>86</v>
      </c>
      <c r="B417" s="55" t="s">
        <v>85</v>
      </c>
      <c r="F417" s="288"/>
      <c r="G417" s="288"/>
    </row>
    <row r="418" customFormat="false" ht="13.8" hidden="false" customHeight="false" outlineLevel="0" collapsed="false">
      <c r="A418" s="300" t="s">
        <v>849</v>
      </c>
      <c r="B418" s="55" t="s">
        <v>31</v>
      </c>
      <c r="F418" s="288"/>
      <c r="G418" s="288"/>
    </row>
    <row r="419" customFormat="false" ht="13.8" hidden="false" customHeight="false" outlineLevel="0" collapsed="false">
      <c r="A419" s="300" t="s">
        <v>820</v>
      </c>
      <c r="B419" s="55" t="s">
        <v>31</v>
      </c>
      <c r="F419" s="288"/>
      <c r="G419" s="288"/>
    </row>
    <row r="420" customFormat="false" ht="13.8" hidden="false" customHeight="false" outlineLevel="0" collapsed="false">
      <c r="A420" s="300" t="s">
        <v>1009</v>
      </c>
      <c r="B420" s="55" t="s">
        <v>59</v>
      </c>
      <c r="F420" s="288"/>
      <c r="G420" s="288"/>
    </row>
    <row r="421" customFormat="false" ht="13.8" hidden="false" customHeight="false" outlineLevel="0" collapsed="false">
      <c r="A421" s="300" t="s">
        <v>1010</v>
      </c>
      <c r="B421" s="55" t="s">
        <v>59</v>
      </c>
      <c r="F421" s="288"/>
      <c r="G421" s="288"/>
    </row>
    <row r="422" customFormat="false" ht="13.8" hidden="false" customHeight="false" outlineLevel="0" collapsed="false">
      <c r="A422" s="300" t="s">
        <v>1011</v>
      </c>
      <c r="B422" s="55" t="s">
        <v>59</v>
      </c>
      <c r="F422" s="288"/>
      <c r="G422" s="288"/>
    </row>
    <row r="423" customFormat="false" ht="13.8" hidden="false" customHeight="false" outlineLevel="0" collapsed="false">
      <c r="A423" s="300" t="s">
        <v>1012</v>
      </c>
      <c r="B423" s="55" t="s">
        <v>59</v>
      </c>
      <c r="F423" s="288"/>
      <c r="G423" s="288"/>
    </row>
    <row r="424" customFormat="false" ht="13.8" hidden="false" customHeight="false" outlineLevel="0" collapsed="false">
      <c r="A424" s="300" t="s">
        <v>1013</v>
      </c>
      <c r="B424" s="55" t="s">
        <v>59</v>
      </c>
      <c r="F424" s="288"/>
      <c r="G424" s="288"/>
    </row>
    <row r="425" customFormat="false" ht="13.8" hidden="false" customHeight="false" outlineLevel="0" collapsed="false">
      <c r="A425" s="300" t="s">
        <v>819</v>
      </c>
      <c r="B425" s="55" t="s">
        <v>66</v>
      </c>
      <c r="F425" s="288"/>
      <c r="G425" s="288"/>
    </row>
    <row r="426" customFormat="false" ht="13.8" hidden="false" customHeight="false" outlineLevel="0" collapsed="false">
      <c r="A426" s="300" t="s">
        <v>820</v>
      </c>
      <c r="B426" s="55" t="s">
        <v>31</v>
      </c>
      <c r="F426" s="288"/>
      <c r="G426" s="288"/>
    </row>
    <row r="427" customFormat="false" ht="13.8" hidden="false" customHeight="false" outlineLevel="0" collapsed="false">
      <c r="A427" s="300" t="s">
        <v>1014</v>
      </c>
      <c r="B427" s="55" t="s">
        <v>57</v>
      </c>
      <c r="F427" s="288"/>
      <c r="G427" s="288"/>
    </row>
    <row r="428" customFormat="false" ht="13.8" hidden="false" customHeight="false" outlineLevel="0" collapsed="false">
      <c r="A428" s="300" t="s">
        <v>819</v>
      </c>
      <c r="B428" s="55" t="s">
        <v>66</v>
      </c>
      <c r="F428" s="288"/>
      <c r="G428" s="288"/>
    </row>
    <row r="429" customFormat="false" ht="13.8" hidden="false" customHeight="false" outlineLevel="0" collapsed="false">
      <c r="A429" s="300" t="s">
        <v>820</v>
      </c>
      <c r="B429" s="55" t="s">
        <v>31</v>
      </c>
      <c r="F429" s="288"/>
      <c r="G429" s="288"/>
    </row>
    <row r="430" customFormat="false" ht="13.8" hidden="false" customHeight="false" outlineLevel="0" collapsed="false">
      <c r="A430" s="300" t="s">
        <v>1015</v>
      </c>
      <c r="B430" s="55" t="s">
        <v>62</v>
      </c>
      <c r="F430" s="288"/>
      <c r="G430" s="288"/>
    </row>
    <row r="431" customFormat="false" ht="13.8" hidden="false" customHeight="false" outlineLevel="0" collapsed="false">
      <c r="A431" s="300" t="s">
        <v>1016</v>
      </c>
      <c r="B431" s="55" t="s">
        <v>53</v>
      </c>
      <c r="F431" s="288"/>
      <c r="G431" s="288"/>
    </row>
    <row r="432" customFormat="false" ht="13.8" hidden="false" customHeight="false" outlineLevel="0" collapsed="false">
      <c r="A432" s="300" t="s">
        <v>1017</v>
      </c>
      <c r="B432" s="55" t="s">
        <v>57</v>
      </c>
      <c r="F432" s="288"/>
      <c r="G432" s="288"/>
    </row>
    <row r="433" customFormat="false" ht="13.8" hidden="false" customHeight="false" outlineLevel="0" collapsed="false">
      <c r="A433" s="300" t="s">
        <v>1018</v>
      </c>
      <c r="B433" s="55" t="s">
        <v>59</v>
      </c>
      <c r="F433" s="288"/>
      <c r="G433" s="288"/>
    </row>
    <row r="434" customFormat="false" ht="13.8" hidden="false" customHeight="false" outlineLevel="0" collapsed="false">
      <c r="A434" s="300" t="s">
        <v>1019</v>
      </c>
      <c r="B434" s="55" t="s">
        <v>57</v>
      </c>
      <c r="F434" s="288"/>
      <c r="G434" s="288"/>
    </row>
    <row r="435" customFormat="false" ht="13.8" hidden="false" customHeight="false" outlineLevel="0" collapsed="false">
      <c r="A435" s="300" t="s">
        <v>1020</v>
      </c>
      <c r="B435" s="55" t="s">
        <v>64</v>
      </c>
      <c r="F435" s="288"/>
      <c r="G435" s="288"/>
    </row>
    <row r="436" customFormat="false" ht="13.8" hidden="false" customHeight="false" outlineLevel="0" collapsed="false">
      <c r="A436" s="300" t="s">
        <v>1021</v>
      </c>
      <c r="B436" s="55" t="s">
        <v>64</v>
      </c>
      <c r="F436" s="288"/>
      <c r="G436" s="288"/>
    </row>
    <row r="437" customFormat="false" ht="13.8" hidden="false" customHeight="false" outlineLevel="0" collapsed="false">
      <c r="A437" s="300" t="s">
        <v>819</v>
      </c>
      <c r="B437" s="55" t="s">
        <v>66</v>
      </c>
      <c r="F437" s="288"/>
      <c r="G437" s="288"/>
    </row>
    <row r="438" customFormat="false" ht="13.8" hidden="false" customHeight="false" outlineLevel="0" collapsed="false">
      <c r="A438" s="300" t="s">
        <v>820</v>
      </c>
      <c r="B438" s="55" t="s">
        <v>31</v>
      </c>
      <c r="F438" s="288"/>
      <c r="G438" s="288"/>
    </row>
    <row r="439" customFormat="false" ht="13.8" hidden="false" customHeight="false" outlineLevel="0" collapsed="false">
      <c r="A439" s="300" t="s">
        <v>1022</v>
      </c>
      <c r="B439" s="55" t="s">
        <v>53</v>
      </c>
      <c r="F439" s="288"/>
      <c r="G439" s="288"/>
    </row>
    <row r="440" customFormat="false" ht="13.8" hidden="false" customHeight="false" outlineLevel="0" collapsed="false">
      <c r="A440" s="300" t="s">
        <v>1023</v>
      </c>
      <c r="B440" s="55" t="s">
        <v>391</v>
      </c>
      <c r="F440" s="288"/>
      <c r="G440" s="288"/>
    </row>
    <row r="441" customFormat="false" ht="13.8" hidden="false" customHeight="false" outlineLevel="0" collapsed="false">
      <c r="A441" s="300" t="s">
        <v>819</v>
      </c>
      <c r="B441" s="55" t="s">
        <v>66</v>
      </c>
      <c r="F441" s="288"/>
      <c r="G441" s="288"/>
    </row>
    <row r="442" customFormat="false" ht="13.8" hidden="false" customHeight="false" outlineLevel="0" collapsed="false">
      <c r="A442" s="300" t="s">
        <v>820</v>
      </c>
      <c r="B442" s="55" t="s">
        <v>31</v>
      </c>
      <c r="F442" s="288"/>
      <c r="G442" s="288"/>
    </row>
    <row r="443" customFormat="false" ht="13.8" hidden="false" customHeight="false" outlineLevel="0" collapsed="false">
      <c r="A443" s="300" t="s">
        <v>1024</v>
      </c>
      <c r="B443" s="55" t="s">
        <v>121</v>
      </c>
      <c r="F443" s="288"/>
      <c r="G443" s="288"/>
    </row>
    <row r="444" customFormat="false" ht="13.8" hidden="false" customHeight="false" outlineLevel="0" collapsed="false">
      <c r="A444" s="300" t="s">
        <v>1025</v>
      </c>
      <c r="B444" s="55" t="s">
        <v>53</v>
      </c>
      <c r="F444" s="288"/>
      <c r="G444" s="288"/>
    </row>
    <row r="445" customFormat="false" ht="13.8" hidden="false" customHeight="false" outlineLevel="0" collapsed="false">
      <c r="A445" s="300" t="s">
        <v>819</v>
      </c>
      <c r="B445" s="55" t="s">
        <v>66</v>
      </c>
      <c r="F445" s="288"/>
      <c r="G445" s="288"/>
    </row>
    <row r="446" customFormat="false" ht="13.8" hidden="false" customHeight="false" outlineLevel="0" collapsed="false">
      <c r="A446" s="300" t="s">
        <v>1026</v>
      </c>
      <c r="B446" s="55" t="s">
        <v>159</v>
      </c>
      <c r="F446" s="288"/>
      <c r="G446" s="288"/>
    </row>
    <row r="447" customFormat="false" ht="13.8" hidden="false" customHeight="false" outlineLevel="0" collapsed="false">
      <c r="A447" s="300" t="s">
        <v>1027</v>
      </c>
      <c r="B447" s="55" t="s">
        <v>64</v>
      </c>
      <c r="F447" s="288"/>
      <c r="G447" s="288"/>
    </row>
    <row r="448" customFormat="false" ht="13.8" hidden="false" customHeight="false" outlineLevel="0" collapsed="false">
      <c r="A448" s="300" t="s">
        <v>1028</v>
      </c>
      <c r="B448" s="55" t="s">
        <v>59</v>
      </c>
      <c r="F448" s="288"/>
      <c r="G448" s="288"/>
    </row>
    <row r="449" customFormat="false" ht="13.8" hidden="false" customHeight="false" outlineLevel="0" collapsed="false">
      <c r="A449" s="300" t="s">
        <v>1029</v>
      </c>
      <c r="B449" s="55" t="s">
        <v>53</v>
      </c>
      <c r="F449" s="288"/>
      <c r="G449" s="288"/>
    </row>
    <row r="450" customFormat="false" ht="13.8" hidden="false" customHeight="false" outlineLevel="0" collapsed="false">
      <c r="A450" s="300" t="s">
        <v>1030</v>
      </c>
      <c r="B450" s="55" t="s">
        <v>159</v>
      </c>
      <c r="F450" s="288"/>
      <c r="G450" s="288"/>
    </row>
    <row r="451" customFormat="false" ht="13.8" hidden="false" customHeight="false" outlineLevel="0" collapsed="false">
      <c r="A451" s="300" t="s">
        <v>1031</v>
      </c>
      <c r="B451" s="55" t="s">
        <v>57</v>
      </c>
      <c r="F451" s="288"/>
      <c r="G451" s="288"/>
    </row>
    <row r="452" customFormat="false" ht="13.8" hidden="false" customHeight="false" outlineLevel="0" collapsed="false">
      <c r="A452" s="300" t="s">
        <v>1032</v>
      </c>
      <c r="B452" s="55" t="s">
        <v>59</v>
      </c>
      <c r="F452" s="288"/>
      <c r="G452" s="288"/>
    </row>
    <row r="453" customFormat="false" ht="13.8" hidden="false" customHeight="false" outlineLevel="0" collapsed="false">
      <c r="A453" s="300" t="s">
        <v>1033</v>
      </c>
      <c r="B453" s="55" t="s">
        <v>62</v>
      </c>
      <c r="F453" s="288"/>
      <c r="G453" s="288"/>
    </row>
    <row r="454" customFormat="false" ht="13.8" hidden="false" customHeight="false" outlineLevel="0" collapsed="false">
      <c r="A454" s="300" t="s">
        <v>1034</v>
      </c>
      <c r="B454" s="55" t="s">
        <v>59</v>
      </c>
      <c r="F454" s="288"/>
      <c r="G454" s="288"/>
    </row>
    <row r="455" customFormat="false" ht="13.8" hidden="false" customHeight="false" outlineLevel="0" collapsed="false">
      <c r="A455" s="300" t="s">
        <v>1035</v>
      </c>
      <c r="B455" s="55" t="s">
        <v>57</v>
      </c>
      <c r="F455" s="288"/>
      <c r="G455" s="288"/>
    </row>
    <row r="456" customFormat="false" ht="13.8" hidden="false" customHeight="false" outlineLevel="0" collapsed="false">
      <c r="A456" s="300" t="s">
        <v>1036</v>
      </c>
      <c r="B456" s="55" t="s">
        <v>64</v>
      </c>
      <c r="F456" s="288"/>
      <c r="G456" s="288"/>
    </row>
    <row r="457" customFormat="false" ht="13.8" hidden="false" customHeight="false" outlineLevel="0" collapsed="false">
      <c r="A457" s="300" t="s">
        <v>1036</v>
      </c>
      <c r="B457" s="55" t="s">
        <v>64</v>
      </c>
      <c r="F457" s="288"/>
      <c r="G457" s="288"/>
    </row>
    <row r="458" customFormat="false" ht="13.8" hidden="false" customHeight="false" outlineLevel="0" collapsed="false">
      <c r="A458" s="300" t="s">
        <v>1037</v>
      </c>
      <c r="B458" s="55" t="s">
        <v>59</v>
      </c>
      <c r="F458" s="288"/>
      <c r="G458" s="288"/>
    </row>
    <row r="459" customFormat="false" ht="13.8" hidden="false" customHeight="false" outlineLevel="0" collapsed="false">
      <c r="A459" s="300" t="s">
        <v>1038</v>
      </c>
      <c r="B459" s="55" t="s">
        <v>121</v>
      </c>
      <c r="F459" s="288"/>
      <c r="G459" s="288"/>
    </row>
    <row r="460" customFormat="false" ht="13.8" hidden="false" customHeight="false" outlineLevel="0" collapsed="false">
      <c r="A460" s="300" t="s">
        <v>1039</v>
      </c>
      <c r="B460" s="55" t="s">
        <v>64</v>
      </c>
      <c r="F460" s="288"/>
      <c r="G460" s="288"/>
    </row>
    <row r="461" customFormat="false" ht="13.8" hidden="false" customHeight="false" outlineLevel="0" collapsed="false">
      <c r="A461" s="300" t="s">
        <v>841</v>
      </c>
      <c r="B461" s="55" t="s">
        <v>31</v>
      </c>
      <c r="F461" s="288"/>
      <c r="G461" s="288"/>
    </row>
    <row r="462" customFormat="false" ht="15" hidden="false" customHeight="false" outlineLevel="0" collapsed="false">
      <c r="A462" s="302" t="s">
        <v>52</v>
      </c>
      <c r="B462" s="55" t="s">
        <v>31</v>
      </c>
      <c r="F462" s="288"/>
      <c r="G462" s="288"/>
    </row>
    <row r="463" customFormat="false" ht="15" hidden="false" customHeight="false" outlineLevel="0" collapsed="false">
      <c r="A463" s="300" t="s">
        <v>1040</v>
      </c>
      <c r="B463" s="55" t="s">
        <v>62</v>
      </c>
      <c r="F463" s="289"/>
      <c r="G463" s="289"/>
    </row>
    <row r="464" customFormat="false" ht="13.8" hidden="false" customHeight="false" outlineLevel="0" collapsed="false">
      <c r="A464" s="300" t="s">
        <v>1041</v>
      </c>
      <c r="B464" s="55" t="s">
        <v>62</v>
      </c>
      <c r="F464" s="288"/>
      <c r="G464" s="288"/>
    </row>
    <row r="465" customFormat="false" ht="13.8" hidden="false" customHeight="false" outlineLevel="0" collapsed="false">
      <c r="A465" s="300" t="s">
        <v>1042</v>
      </c>
      <c r="B465" s="55" t="s">
        <v>391</v>
      </c>
      <c r="F465" s="288"/>
      <c r="G465" s="288"/>
    </row>
    <row r="466" customFormat="false" ht="13.8" hidden="false" customHeight="false" outlineLevel="0" collapsed="false">
      <c r="A466" s="300" t="s">
        <v>1043</v>
      </c>
      <c r="B466" s="55" t="s">
        <v>183</v>
      </c>
      <c r="F466" s="288"/>
      <c r="G466" s="288"/>
    </row>
    <row r="467" customFormat="false" ht="13.8" hidden="false" customHeight="false" outlineLevel="0" collapsed="false">
      <c r="A467" s="300" t="s">
        <v>86</v>
      </c>
      <c r="B467" s="55" t="s">
        <v>85</v>
      </c>
      <c r="F467" s="288"/>
      <c r="G467" s="288"/>
    </row>
    <row r="468" customFormat="false" ht="13.8" hidden="false" customHeight="false" outlineLevel="0" collapsed="false">
      <c r="A468" s="300" t="s">
        <v>849</v>
      </c>
      <c r="B468" s="55" t="s">
        <v>31</v>
      </c>
      <c r="F468" s="288"/>
      <c r="G468" s="288"/>
    </row>
    <row r="469" customFormat="false" ht="13.8" hidden="false" customHeight="false" outlineLevel="0" collapsed="false">
      <c r="A469" s="300" t="s">
        <v>820</v>
      </c>
      <c r="B469" s="55" t="s">
        <v>31</v>
      </c>
      <c r="F469" s="288"/>
      <c r="G469" s="288"/>
    </row>
    <row r="470" customFormat="false" ht="13.8" hidden="false" customHeight="false" outlineLevel="0" collapsed="false">
      <c r="A470" s="300" t="s">
        <v>865</v>
      </c>
      <c r="B470" s="55" t="s">
        <v>31</v>
      </c>
      <c r="F470" s="288"/>
      <c r="G470" s="288"/>
    </row>
    <row r="471" customFormat="false" ht="13.8" hidden="false" customHeight="false" outlineLevel="0" collapsed="false">
      <c r="A471" s="303" t="s">
        <v>813</v>
      </c>
      <c r="B471" s="55" t="s">
        <v>31</v>
      </c>
      <c r="F471" s="288"/>
      <c r="G471" s="288"/>
    </row>
    <row r="472" customFormat="false" ht="13.8" hidden="false" customHeight="false" outlineLevel="0" collapsed="false">
      <c r="A472" s="303" t="s">
        <v>1044</v>
      </c>
      <c r="B472" s="55" t="s">
        <v>59</v>
      </c>
      <c r="F472" s="288"/>
      <c r="G472" s="288"/>
    </row>
    <row r="473" customFormat="false" ht="13.8" hidden="false" customHeight="false" outlineLevel="0" collapsed="false">
      <c r="A473" s="303" t="s">
        <v>1045</v>
      </c>
      <c r="B473" s="55" t="s">
        <v>64</v>
      </c>
      <c r="F473" s="288"/>
      <c r="G473" s="288"/>
    </row>
    <row r="474" customFormat="false" ht="13.8" hidden="false" customHeight="false" outlineLevel="0" collapsed="false">
      <c r="A474" s="303" t="s">
        <v>1046</v>
      </c>
      <c r="B474" s="55" t="s">
        <v>59</v>
      </c>
      <c r="F474" s="288"/>
      <c r="G474" s="288"/>
    </row>
    <row r="475" customFormat="false" ht="13.8" hidden="false" customHeight="false" outlineLevel="0" collapsed="false">
      <c r="A475" s="303" t="s">
        <v>1047</v>
      </c>
      <c r="B475" s="55" t="s">
        <v>159</v>
      </c>
      <c r="F475" s="288"/>
      <c r="G475" s="288"/>
    </row>
    <row r="476" customFormat="false" ht="13.8" hidden="false" customHeight="false" outlineLevel="0" collapsed="false">
      <c r="A476" s="303" t="s">
        <v>1048</v>
      </c>
      <c r="B476" s="55" t="s">
        <v>59</v>
      </c>
      <c r="F476" s="288"/>
      <c r="G476" s="288"/>
    </row>
    <row r="477" customFormat="false" ht="13.8" hidden="false" customHeight="false" outlineLevel="0" collapsed="false">
      <c r="A477" s="303" t="s">
        <v>38</v>
      </c>
      <c r="B477" s="55" t="s">
        <v>41</v>
      </c>
      <c r="F477" s="288"/>
      <c r="G477" s="288"/>
    </row>
    <row r="478" customFormat="false" ht="13.8" hidden="false" customHeight="false" outlineLevel="0" collapsed="false">
      <c r="A478" s="303" t="s">
        <v>819</v>
      </c>
      <c r="B478" s="55" t="s">
        <v>66</v>
      </c>
      <c r="F478" s="288"/>
      <c r="G478" s="288"/>
    </row>
    <row r="479" customFormat="false" ht="13.8" hidden="false" customHeight="false" outlineLevel="0" collapsed="false">
      <c r="A479" s="303" t="s">
        <v>310</v>
      </c>
      <c r="B479" s="55" t="s">
        <v>31</v>
      </c>
      <c r="F479" s="288"/>
      <c r="G479" s="288"/>
    </row>
    <row r="480" customFormat="false" ht="13.8" hidden="false" customHeight="false" outlineLevel="0" collapsed="false">
      <c r="A480" s="303" t="s">
        <v>820</v>
      </c>
      <c r="B480" s="55" t="s">
        <v>31</v>
      </c>
      <c r="F480" s="288"/>
      <c r="G480" s="288"/>
    </row>
    <row r="481" customFormat="false" ht="13.8" hidden="false" customHeight="false" outlineLevel="0" collapsed="false">
      <c r="A481" s="303" t="s">
        <v>1049</v>
      </c>
      <c r="B481" s="55" t="s">
        <v>391</v>
      </c>
      <c r="F481" s="288"/>
      <c r="G481" s="288"/>
    </row>
    <row r="482" customFormat="false" ht="13.8" hidden="false" customHeight="false" outlineLevel="0" collapsed="false">
      <c r="A482" s="303" t="s">
        <v>1050</v>
      </c>
      <c r="B482" s="55" t="s">
        <v>66</v>
      </c>
      <c r="F482" s="288"/>
      <c r="G482" s="288"/>
    </row>
    <row r="483" customFormat="false" ht="13.8" hidden="false" customHeight="false" outlineLevel="0" collapsed="false">
      <c r="A483" s="303" t="s">
        <v>819</v>
      </c>
      <c r="B483" s="55" t="s">
        <v>66</v>
      </c>
      <c r="F483" s="288"/>
      <c r="G483" s="288"/>
    </row>
    <row r="484" customFormat="false" ht="13.8" hidden="false" customHeight="false" outlineLevel="0" collapsed="false">
      <c r="A484" s="303" t="s">
        <v>820</v>
      </c>
      <c r="B484" s="55" t="s">
        <v>31</v>
      </c>
      <c r="F484" s="288"/>
      <c r="G484" s="288"/>
    </row>
    <row r="485" customFormat="false" ht="13.8" hidden="false" customHeight="false" outlineLevel="0" collapsed="false">
      <c r="A485" s="303" t="s">
        <v>820</v>
      </c>
      <c r="B485" s="55" t="s">
        <v>31</v>
      </c>
      <c r="F485" s="288"/>
      <c r="G485" s="288"/>
    </row>
    <row r="486" customFormat="false" ht="13.8" hidden="false" customHeight="false" outlineLevel="0" collapsed="false">
      <c r="A486" s="303" t="s">
        <v>1051</v>
      </c>
      <c r="B486" s="55" t="s">
        <v>121</v>
      </c>
      <c r="F486" s="288"/>
      <c r="G486" s="288"/>
    </row>
    <row r="487" customFormat="false" ht="13.8" hidden="false" customHeight="false" outlineLevel="0" collapsed="false">
      <c r="A487" s="303" t="s">
        <v>819</v>
      </c>
      <c r="B487" s="55" t="s">
        <v>66</v>
      </c>
      <c r="F487" s="288"/>
      <c r="G487" s="288"/>
    </row>
    <row r="488" customFormat="false" ht="13.8" hidden="false" customHeight="false" outlineLevel="0" collapsed="false">
      <c r="A488" s="303" t="s">
        <v>820</v>
      </c>
      <c r="B488" s="55" t="s">
        <v>31</v>
      </c>
      <c r="F488" s="288"/>
      <c r="G488" s="288"/>
    </row>
    <row r="489" customFormat="false" ht="13.8" hidden="false" customHeight="false" outlineLevel="0" collapsed="false">
      <c r="A489" s="303" t="s">
        <v>106</v>
      </c>
      <c r="B489" s="55" t="s">
        <v>64</v>
      </c>
      <c r="F489" s="288"/>
      <c r="G489" s="288"/>
    </row>
    <row r="490" customFormat="false" ht="13.8" hidden="false" customHeight="false" outlineLevel="0" collapsed="false">
      <c r="A490" s="303" t="s">
        <v>819</v>
      </c>
      <c r="B490" s="55" t="s">
        <v>66</v>
      </c>
      <c r="F490" s="288"/>
      <c r="G490" s="288"/>
    </row>
    <row r="491" customFormat="false" ht="13.8" hidden="false" customHeight="false" outlineLevel="0" collapsed="false">
      <c r="A491" s="303" t="s">
        <v>820</v>
      </c>
      <c r="B491" s="55" t="s">
        <v>31</v>
      </c>
      <c r="F491" s="288"/>
      <c r="G491" s="288"/>
    </row>
    <row r="492" customFormat="false" ht="13.8" hidden="false" customHeight="false" outlineLevel="0" collapsed="false">
      <c r="A492" s="303" t="s">
        <v>838</v>
      </c>
      <c r="B492" s="55" t="s">
        <v>62</v>
      </c>
      <c r="F492" s="288"/>
      <c r="G492" s="288"/>
    </row>
    <row r="493" customFormat="false" ht="13.8" hidden="false" customHeight="false" outlineLevel="0" collapsed="false">
      <c r="A493" s="303" t="s">
        <v>1052</v>
      </c>
      <c r="B493" s="55" t="s">
        <v>59</v>
      </c>
      <c r="F493" s="288"/>
      <c r="G493" s="288"/>
    </row>
    <row r="494" customFormat="false" ht="13.8" hidden="false" customHeight="false" outlineLevel="0" collapsed="false">
      <c r="A494" s="303" t="s">
        <v>55</v>
      </c>
      <c r="B494" s="55" t="s">
        <v>53</v>
      </c>
      <c r="F494" s="288"/>
      <c r="G494" s="288"/>
    </row>
    <row r="495" customFormat="false" ht="13.8" hidden="false" customHeight="false" outlineLevel="0" collapsed="false">
      <c r="A495" s="303" t="s">
        <v>55</v>
      </c>
      <c r="B495" s="55" t="s">
        <v>53</v>
      </c>
      <c r="F495" s="288"/>
      <c r="G495" s="288"/>
    </row>
    <row r="496" customFormat="false" ht="13.8" hidden="false" customHeight="false" outlineLevel="0" collapsed="false">
      <c r="A496" s="303" t="s">
        <v>917</v>
      </c>
      <c r="B496" s="55" t="s">
        <v>59</v>
      </c>
      <c r="F496" s="288"/>
      <c r="G496" s="288"/>
    </row>
    <row r="497" customFormat="false" ht="13.8" hidden="false" customHeight="false" outlineLevel="0" collapsed="false">
      <c r="A497" s="303" t="s">
        <v>1053</v>
      </c>
      <c r="B497" s="55" t="s">
        <v>59</v>
      </c>
      <c r="F497" s="288"/>
      <c r="G497" s="288"/>
    </row>
    <row r="498" customFormat="false" ht="13.8" hidden="false" customHeight="false" outlineLevel="0" collapsed="false">
      <c r="A498" s="303" t="s">
        <v>876</v>
      </c>
      <c r="B498" s="55" t="s">
        <v>59</v>
      </c>
      <c r="F498" s="288"/>
      <c r="G498" s="288"/>
    </row>
    <row r="499" customFormat="false" ht="13.8" hidden="false" customHeight="false" outlineLevel="0" collapsed="false">
      <c r="A499" s="303" t="s">
        <v>1054</v>
      </c>
      <c r="B499" s="55" t="s">
        <v>62</v>
      </c>
      <c r="F499" s="288"/>
      <c r="G499" s="288"/>
    </row>
    <row r="500" customFormat="false" ht="13.8" hidden="false" customHeight="false" outlineLevel="0" collapsed="false">
      <c r="A500" s="303" t="s">
        <v>205</v>
      </c>
      <c r="B500" s="55" t="s">
        <v>64</v>
      </c>
      <c r="F500" s="288"/>
      <c r="G500" s="288"/>
    </row>
    <row r="501" customFormat="false" ht="13.8" hidden="false" customHeight="false" outlineLevel="0" collapsed="false">
      <c r="A501" s="303" t="s">
        <v>205</v>
      </c>
      <c r="B501" s="55" t="s">
        <v>64</v>
      </c>
      <c r="F501" s="288"/>
      <c r="G501" s="288"/>
    </row>
    <row r="502" customFormat="false" ht="13.8" hidden="false" customHeight="false" outlineLevel="0" collapsed="false">
      <c r="A502" s="303" t="s">
        <v>107</v>
      </c>
      <c r="B502" s="55" t="s">
        <v>66</v>
      </c>
      <c r="F502" s="288"/>
      <c r="G502" s="288"/>
    </row>
    <row r="503" customFormat="false" ht="13.8" hidden="false" customHeight="false" outlineLevel="0" collapsed="false">
      <c r="A503" s="303" t="s">
        <v>109</v>
      </c>
      <c r="B503" s="55" t="s">
        <v>108</v>
      </c>
      <c r="F503" s="288"/>
      <c r="G503" s="288"/>
    </row>
    <row r="504" customFormat="false" ht="13.8" hidden="false" customHeight="false" outlineLevel="0" collapsed="false">
      <c r="A504" s="303" t="s">
        <v>819</v>
      </c>
      <c r="B504" s="55" t="s">
        <v>66</v>
      </c>
      <c r="F504" s="288"/>
      <c r="G504" s="288"/>
    </row>
    <row r="505" customFormat="false" ht="13.8" hidden="false" customHeight="false" outlineLevel="0" collapsed="false">
      <c r="A505" s="303" t="s">
        <v>310</v>
      </c>
      <c r="B505" s="55" t="s">
        <v>31</v>
      </c>
      <c r="F505" s="288"/>
      <c r="G505" s="288"/>
    </row>
    <row r="506" customFormat="false" ht="13.8" hidden="false" customHeight="false" outlineLevel="0" collapsed="false">
      <c r="A506" s="303" t="s">
        <v>820</v>
      </c>
      <c r="B506" s="55" t="s">
        <v>31</v>
      </c>
      <c r="F506" s="288"/>
      <c r="G506" s="288"/>
    </row>
    <row r="507" customFormat="false" ht="13.8" hidden="false" customHeight="false" outlineLevel="0" collapsed="false">
      <c r="A507" s="303" t="s">
        <v>161</v>
      </c>
      <c r="B507" s="55" t="s">
        <v>159</v>
      </c>
      <c r="F507" s="288"/>
      <c r="G507" s="288"/>
    </row>
    <row r="508" customFormat="false" ht="13.8" hidden="false" customHeight="false" outlineLevel="0" collapsed="false">
      <c r="A508" s="303" t="s">
        <v>819</v>
      </c>
      <c r="B508" s="55" t="s">
        <v>66</v>
      </c>
      <c r="F508" s="288"/>
      <c r="G508" s="288"/>
    </row>
    <row r="509" customFormat="false" ht="13.8" hidden="false" customHeight="false" outlineLevel="0" collapsed="false">
      <c r="A509" s="303" t="s">
        <v>820</v>
      </c>
      <c r="B509" s="55" t="s">
        <v>31</v>
      </c>
      <c r="F509" s="288"/>
      <c r="G509" s="288"/>
    </row>
    <row r="510" customFormat="false" ht="13.8" hidden="false" customHeight="false" outlineLevel="0" collapsed="false">
      <c r="A510" s="303" t="s">
        <v>1055</v>
      </c>
      <c r="B510" s="55" t="s">
        <v>121</v>
      </c>
      <c r="F510" s="288"/>
      <c r="G510" s="288"/>
    </row>
    <row r="511" customFormat="false" ht="13.8" hidden="false" customHeight="false" outlineLevel="0" collapsed="false">
      <c r="A511" s="303" t="s">
        <v>205</v>
      </c>
      <c r="B511" s="55" t="s">
        <v>64</v>
      </c>
      <c r="F511" s="288"/>
      <c r="G511" s="288"/>
    </row>
    <row r="512" customFormat="false" ht="13.8" hidden="false" customHeight="false" outlineLevel="0" collapsed="false">
      <c r="A512" s="303" t="s">
        <v>819</v>
      </c>
      <c r="B512" s="55" t="s">
        <v>66</v>
      </c>
      <c r="F512" s="288"/>
      <c r="G512" s="288"/>
    </row>
    <row r="513" customFormat="false" ht="13.8" hidden="false" customHeight="false" outlineLevel="0" collapsed="false">
      <c r="A513" s="303" t="s">
        <v>820</v>
      </c>
      <c r="B513" s="55" t="s">
        <v>31</v>
      </c>
      <c r="F513" s="288"/>
      <c r="G513" s="288"/>
    </row>
    <row r="514" customFormat="false" ht="13.8" hidden="false" customHeight="false" outlineLevel="0" collapsed="false">
      <c r="A514" s="303" t="s">
        <v>1056</v>
      </c>
      <c r="B514" s="55" t="s">
        <v>80</v>
      </c>
      <c r="F514" s="288"/>
      <c r="G514" s="288"/>
    </row>
    <row r="515" customFormat="false" ht="13.8" hidden="false" customHeight="false" outlineLevel="0" collapsed="false">
      <c r="A515" s="303" t="s">
        <v>1057</v>
      </c>
      <c r="B515" s="55" t="s">
        <v>80</v>
      </c>
      <c r="F515" s="288"/>
      <c r="G515" s="288"/>
    </row>
    <row r="516" customFormat="false" ht="13.8" hidden="false" customHeight="false" outlineLevel="0" collapsed="false">
      <c r="A516" s="303" t="s">
        <v>127</v>
      </c>
      <c r="B516" s="55" t="s">
        <v>59</v>
      </c>
      <c r="F516" s="288"/>
      <c r="G516" s="288"/>
    </row>
    <row r="517" customFormat="false" ht="13.8" hidden="false" customHeight="false" outlineLevel="0" collapsed="false">
      <c r="A517" s="303" t="s">
        <v>205</v>
      </c>
      <c r="B517" s="55" t="s">
        <v>64</v>
      </c>
      <c r="F517" s="288"/>
      <c r="G517" s="288"/>
    </row>
    <row r="518" customFormat="false" ht="13.8" hidden="false" customHeight="false" outlineLevel="0" collapsed="false">
      <c r="A518" s="303" t="s">
        <v>1058</v>
      </c>
      <c r="B518" s="55" t="s">
        <v>80</v>
      </c>
      <c r="F518" s="288"/>
      <c r="G518" s="288"/>
    </row>
    <row r="519" customFormat="false" ht="13.8" hidden="false" customHeight="false" outlineLevel="0" collapsed="false">
      <c r="A519" s="303" t="s">
        <v>819</v>
      </c>
      <c r="B519" s="55" t="s">
        <v>66</v>
      </c>
      <c r="F519" s="288"/>
      <c r="G519" s="288"/>
    </row>
    <row r="520" customFormat="false" ht="13.8" hidden="false" customHeight="false" outlineLevel="0" collapsed="false">
      <c r="A520" s="303" t="s">
        <v>310</v>
      </c>
      <c r="B520" s="55" t="s">
        <v>31</v>
      </c>
      <c r="F520" s="288"/>
      <c r="G520" s="288"/>
    </row>
    <row r="521" customFormat="false" ht="13.8" hidden="false" customHeight="false" outlineLevel="0" collapsed="false">
      <c r="A521" s="303" t="s">
        <v>820</v>
      </c>
      <c r="B521" s="55" t="s">
        <v>31</v>
      </c>
      <c r="F521" s="288"/>
      <c r="G521" s="288"/>
    </row>
    <row r="522" customFormat="false" ht="13.8" hidden="false" customHeight="false" outlineLevel="0" collapsed="false">
      <c r="A522" s="303" t="s">
        <v>838</v>
      </c>
      <c r="B522" s="55" t="s">
        <v>62</v>
      </c>
      <c r="F522" s="288"/>
      <c r="G522" s="288"/>
    </row>
    <row r="523" customFormat="false" ht="13.8" hidden="false" customHeight="false" outlineLevel="0" collapsed="false">
      <c r="A523" s="303" t="s">
        <v>55</v>
      </c>
      <c r="B523" s="55" t="s">
        <v>53</v>
      </c>
      <c r="F523" s="288"/>
      <c r="G523" s="288"/>
    </row>
    <row r="524" customFormat="false" ht="13.8" hidden="false" customHeight="false" outlineLevel="0" collapsed="false">
      <c r="A524" s="303" t="s">
        <v>58</v>
      </c>
      <c r="B524" s="55" t="s">
        <v>57</v>
      </c>
      <c r="F524" s="288"/>
      <c r="G524" s="288"/>
    </row>
    <row r="525" customFormat="false" ht="13.8" hidden="false" customHeight="false" outlineLevel="0" collapsed="false">
      <c r="A525" s="303" t="s">
        <v>841</v>
      </c>
      <c r="B525" s="55" t="s">
        <v>31</v>
      </c>
      <c r="F525" s="288"/>
      <c r="G525" s="288"/>
    </row>
    <row r="526" customFormat="false" ht="15" hidden="false" customHeight="false" outlineLevel="0" collapsed="false">
      <c r="A526" s="304" t="s">
        <v>52</v>
      </c>
      <c r="B526" s="55" t="s">
        <v>31</v>
      </c>
      <c r="F526" s="288"/>
      <c r="G526" s="288"/>
    </row>
    <row r="527" customFormat="false" ht="15" hidden="false" customHeight="false" outlineLevel="0" collapsed="false">
      <c r="A527" s="303" t="s">
        <v>209</v>
      </c>
      <c r="B527" s="55" t="s">
        <v>62</v>
      </c>
      <c r="F527" s="289"/>
      <c r="G527" s="289"/>
    </row>
    <row r="528" customFormat="false" ht="13.8" hidden="false" customHeight="false" outlineLevel="0" collapsed="false">
      <c r="A528" s="303" t="s">
        <v>404</v>
      </c>
      <c r="B528" s="55" t="s">
        <v>59</v>
      </c>
      <c r="F528" s="288"/>
      <c r="G528" s="288"/>
    </row>
    <row r="529" customFormat="false" ht="13.8" hidden="false" customHeight="false" outlineLevel="0" collapsed="false">
      <c r="A529" s="303" t="s">
        <v>135</v>
      </c>
      <c r="B529" s="55" t="s">
        <v>134</v>
      </c>
      <c r="F529" s="288"/>
      <c r="G529" s="288"/>
    </row>
    <row r="530" customFormat="false" ht="13.8" hidden="false" customHeight="false" outlineLevel="0" collapsed="false">
      <c r="A530" s="303" t="s">
        <v>86</v>
      </c>
      <c r="B530" s="55" t="s">
        <v>85</v>
      </c>
      <c r="F530" s="288"/>
      <c r="G530" s="288"/>
    </row>
    <row r="531" customFormat="false" ht="13.8" hidden="false" customHeight="false" outlineLevel="0" collapsed="false">
      <c r="A531" s="303" t="s">
        <v>849</v>
      </c>
      <c r="B531" s="55" t="s">
        <v>31</v>
      </c>
      <c r="F531" s="288"/>
      <c r="G531" s="288"/>
    </row>
    <row r="532" customFormat="false" ht="13.8" hidden="false" customHeight="false" outlineLevel="0" collapsed="false">
      <c r="A532" s="303" t="s">
        <v>820</v>
      </c>
      <c r="B532" s="55" t="s">
        <v>31</v>
      </c>
      <c r="F532" s="288"/>
      <c r="G532" s="288"/>
    </row>
    <row r="533" customFormat="false" ht="13.8" hidden="false" customHeight="false" outlineLevel="0" collapsed="false">
      <c r="A533" s="303" t="s">
        <v>1059</v>
      </c>
      <c r="B533" s="55" t="s">
        <v>121</v>
      </c>
      <c r="F533" s="288"/>
      <c r="G533" s="288"/>
    </row>
    <row r="534" customFormat="false" ht="13.8" hidden="false" customHeight="false" outlineLevel="0" collapsed="false">
      <c r="A534" s="303" t="s">
        <v>55</v>
      </c>
      <c r="B534" s="55" t="s">
        <v>53</v>
      </c>
      <c r="F534" s="288"/>
      <c r="G534" s="288"/>
    </row>
    <row r="535" customFormat="false" ht="13.8" hidden="false" customHeight="false" outlineLevel="0" collapsed="false">
      <c r="A535" s="303" t="s">
        <v>58</v>
      </c>
      <c r="B535" s="55" t="s">
        <v>57</v>
      </c>
      <c r="F535" s="288"/>
      <c r="G535" s="288"/>
    </row>
    <row r="536" customFormat="false" ht="13.8" hidden="false" customHeight="false" outlineLevel="0" collapsed="false">
      <c r="A536" s="303" t="s">
        <v>1060</v>
      </c>
      <c r="B536" s="55" t="s">
        <v>59</v>
      </c>
      <c r="F536" s="288"/>
      <c r="G536" s="288"/>
    </row>
    <row r="537" customFormat="false" ht="13.8" hidden="false" customHeight="false" outlineLevel="0" collapsed="false">
      <c r="A537" s="303" t="s">
        <v>1061</v>
      </c>
      <c r="B537" s="55" t="s">
        <v>62</v>
      </c>
      <c r="F537" s="288"/>
      <c r="G537" s="288"/>
    </row>
    <row r="538" customFormat="false" ht="13.8" hidden="false" customHeight="false" outlineLevel="0" collapsed="false">
      <c r="A538" s="303" t="s">
        <v>832</v>
      </c>
      <c r="B538" s="55" t="s">
        <v>98</v>
      </c>
      <c r="F538" s="288"/>
      <c r="G538" s="288"/>
    </row>
    <row r="539" customFormat="false" ht="13.8" hidden="false" customHeight="false" outlineLevel="0" collapsed="false">
      <c r="A539" s="303" t="s">
        <v>876</v>
      </c>
      <c r="B539" s="55" t="s">
        <v>59</v>
      </c>
      <c r="F539" s="288"/>
      <c r="G539" s="288"/>
    </row>
    <row r="540" customFormat="false" ht="13.8" hidden="false" customHeight="false" outlineLevel="0" collapsed="false">
      <c r="A540" s="303" t="s">
        <v>1062</v>
      </c>
      <c r="B540" s="55" t="s">
        <v>59</v>
      </c>
      <c r="F540" s="288"/>
      <c r="G540" s="288"/>
    </row>
    <row r="541" customFormat="false" ht="13.8" hidden="false" customHeight="false" outlineLevel="0" collapsed="false">
      <c r="A541" s="303" t="s">
        <v>878</v>
      </c>
      <c r="B541" s="55" t="s">
        <v>59</v>
      </c>
      <c r="F541" s="288"/>
      <c r="G541" s="288"/>
    </row>
    <row r="542" customFormat="false" ht="13.8" hidden="false" customHeight="false" outlineLevel="0" collapsed="false">
      <c r="A542" s="303" t="s">
        <v>1063</v>
      </c>
      <c r="B542" s="55" t="s">
        <v>59</v>
      </c>
      <c r="F542" s="288"/>
      <c r="G542" s="288"/>
    </row>
    <row r="543" customFormat="false" ht="13.8" hidden="false" customHeight="false" outlineLevel="0" collapsed="false">
      <c r="A543" s="303" t="s">
        <v>404</v>
      </c>
      <c r="B543" s="55" t="s">
        <v>59</v>
      </c>
      <c r="F543" s="288"/>
      <c r="G543" s="288"/>
    </row>
    <row r="544" customFormat="false" ht="13.8" hidden="false" customHeight="false" outlineLevel="0" collapsed="false">
      <c r="A544" s="303" t="s">
        <v>106</v>
      </c>
      <c r="B544" s="55" t="s">
        <v>64</v>
      </c>
      <c r="F544" s="288"/>
      <c r="G544" s="288"/>
    </row>
    <row r="545" customFormat="false" ht="13.8" hidden="false" customHeight="false" outlineLevel="0" collapsed="false">
      <c r="A545" s="303" t="s">
        <v>819</v>
      </c>
      <c r="B545" s="55" t="s">
        <v>66</v>
      </c>
      <c r="F545" s="288"/>
      <c r="G545" s="288"/>
    </row>
    <row r="546" customFormat="false" ht="13.8" hidden="false" customHeight="false" outlineLevel="0" collapsed="false">
      <c r="A546" s="303" t="s">
        <v>820</v>
      </c>
      <c r="B546" s="55" t="s">
        <v>31</v>
      </c>
      <c r="F546" s="288"/>
      <c r="G546" s="288"/>
    </row>
    <row r="547" customFormat="false" ht="13.8" hidden="false" customHeight="false" outlineLevel="0" collapsed="false">
      <c r="A547" s="303" t="s">
        <v>55</v>
      </c>
      <c r="B547" s="55" t="s">
        <v>53</v>
      </c>
      <c r="F547" s="288"/>
      <c r="G547" s="288"/>
    </row>
    <row r="548" customFormat="false" ht="13.8" hidden="false" customHeight="false" outlineLevel="0" collapsed="false">
      <c r="A548" s="303" t="s">
        <v>161</v>
      </c>
      <c r="B548" s="55" t="s">
        <v>159</v>
      </c>
      <c r="F548" s="288"/>
      <c r="G548" s="288"/>
    </row>
    <row r="549" customFormat="false" ht="13.8" hidden="false" customHeight="false" outlineLevel="0" collapsed="false">
      <c r="A549" s="303" t="s">
        <v>1064</v>
      </c>
      <c r="B549" s="55" t="s">
        <v>59</v>
      </c>
      <c r="F549" s="288"/>
      <c r="G549" s="288"/>
    </row>
    <row r="550" customFormat="false" ht="13.8" hidden="false" customHeight="false" outlineLevel="0" collapsed="false">
      <c r="A550" s="303" t="s">
        <v>1064</v>
      </c>
      <c r="B550" s="55" t="s">
        <v>59</v>
      </c>
      <c r="F550" s="288"/>
      <c r="G550" s="288"/>
    </row>
    <row r="551" customFormat="false" ht="13.8" hidden="false" customHeight="false" outlineLevel="0" collapsed="false">
      <c r="A551" s="303" t="s">
        <v>1065</v>
      </c>
      <c r="B551" s="55" t="s">
        <v>59</v>
      </c>
      <c r="F551" s="288"/>
      <c r="G551" s="288"/>
    </row>
    <row r="552" customFormat="false" ht="13.8" hidden="false" customHeight="false" outlineLevel="0" collapsed="false">
      <c r="A552" s="303" t="s">
        <v>819</v>
      </c>
      <c r="B552" s="55" t="s">
        <v>66</v>
      </c>
      <c r="F552" s="288"/>
      <c r="G552" s="288"/>
    </row>
    <row r="553" customFormat="false" ht="13.8" hidden="false" customHeight="false" outlineLevel="0" collapsed="false">
      <c r="A553" s="303" t="s">
        <v>820</v>
      </c>
      <c r="B553" s="55" t="s">
        <v>31</v>
      </c>
      <c r="F553" s="288"/>
      <c r="G553" s="288"/>
    </row>
    <row r="554" customFormat="false" ht="13.8" hidden="false" customHeight="false" outlineLevel="0" collapsed="false">
      <c r="A554" s="303" t="s">
        <v>1066</v>
      </c>
      <c r="B554" s="55" t="s">
        <v>64</v>
      </c>
      <c r="F554" s="288"/>
      <c r="G554" s="288"/>
    </row>
    <row r="555" customFormat="false" ht="13.8" hidden="false" customHeight="false" outlineLevel="0" collapsed="false">
      <c r="A555" s="303" t="s">
        <v>1066</v>
      </c>
      <c r="B555" s="55" t="s">
        <v>64</v>
      </c>
      <c r="F555" s="288"/>
      <c r="G555" s="288"/>
    </row>
    <row r="556" customFormat="false" ht="13.8" hidden="false" customHeight="false" outlineLevel="0" collapsed="false">
      <c r="A556" s="303" t="s">
        <v>819</v>
      </c>
      <c r="B556" s="55" t="s">
        <v>66</v>
      </c>
      <c r="F556" s="288"/>
      <c r="G556" s="288"/>
    </row>
    <row r="557" customFormat="false" ht="13.8" hidden="false" customHeight="false" outlineLevel="0" collapsed="false">
      <c r="A557" s="303" t="s">
        <v>820</v>
      </c>
      <c r="B557" s="55" t="s">
        <v>31</v>
      </c>
      <c r="F557" s="288"/>
      <c r="G557" s="288"/>
    </row>
    <row r="558" customFormat="false" ht="13.8" hidden="false" customHeight="false" outlineLevel="0" collapsed="false">
      <c r="A558" s="303" t="s">
        <v>820</v>
      </c>
      <c r="B558" s="55" t="s">
        <v>31</v>
      </c>
      <c r="F558" s="288"/>
      <c r="G558" s="288"/>
    </row>
    <row r="559" customFormat="false" ht="13.8" hidden="false" customHeight="false" outlineLevel="0" collapsed="false">
      <c r="A559" s="303" t="s">
        <v>1067</v>
      </c>
      <c r="B559" s="55" t="s">
        <v>59</v>
      </c>
      <c r="F559" s="288"/>
      <c r="G559" s="288"/>
    </row>
    <row r="560" customFormat="false" ht="13.8" hidden="false" customHeight="false" outlineLevel="0" collapsed="false">
      <c r="A560" s="303" t="s">
        <v>1068</v>
      </c>
      <c r="B560" s="55" t="s">
        <v>281</v>
      </c>
      <c r="F560" s="288"/>
      <c r="G560" s="288"/>
    </row>
    <row r="561" customFormat="false" ht="13.8" hidden="false" customHeight="false" outlineLevel="0" collapsed="false">
      <c r="A561" s="303" t="s">
        <v>819</v>
      </c>
      <c r="B561" s="55" t="s">
        <v>66</v>
      </c>
      <c r="F561" s="288"/>
      <c r="G561" s="288"/>
    </row>
    <row r="562" customFormat="false" ht="13.8" hidden="false" customHeight="false" outlineLevel="0" collapsed="false">
      <c r="A562" s="303" t="s">
        <v>820</v>
      </c>
      <c r="B562" s="55" t="s">
        <v>31</v>
      </c>
      <c r="F562" s="288"/>
      <c r="G562" s="288"/>
    </row>
    <row r="563" customFormat="false" ht="13.8" hidden="false" customHeight="false" outlineLevel="0" collapsed="false">
      <c r="A563" s="303" t="s">
        <v>1069</v>
      </c>
      <c r="B563" s="55" t="s">
        <v>121</v>
      </c>
      <c r="F563" s="288"/>
      <c r="G563" s="288"/>
    </row>
    <row r="564" customFormat="false" ht="13.8" hidden="false" customHeight="false" outlineLevel="0" collapsed="false">
      <c r="A564" s="303" t="s">
        <v>55</v>
      </c>
      <c r="B564" s="55" t="s">
        <v>53</v>
      </c>
      <c r="F564" s="288"/>
      <c r="G564" s="288"/>
    </row>
    <row r="565" customFormat="false" ht="13.8" hidden="false" customHeight="false" outlineLevel="0" collapsed="false">
      <c r="A565" s="303" t="s">
        <v>55</v>
      </c>
      <c r="B565" s="55" t="s">
        <v>53</v>
      </c>
      <c r="F565" s="288"/>
      <c r="G565" s="288"/>
    </row>
    <row r="566" customFormat="false" ht="13.8" hidden="false" customHeight="false" outlineLevel="0" collapsed="false">
      <c r="A566" s="303" t="s">
        <v>58</v>
      </c>
      <c r="B566" s="55" t="s">
        <v>57</v>
      </c>
      <c r="F566" s="288"/>
      <c r="G566" s="288"/>
    </row>
    <row r="567" customFormat="false" ht="13.8" hidden="false" customHeight="false" outlineLevel="0" collapsed="false">
      <c r="A567" s="303" t="s">
        <v>130</v>
      </c>
      <c r="B567" s="299" t="s">
        <v>103</v>
      </c>
      <c r="F567" s="288"/>
      <c r="G567" s="288"/>
    </row>
    <row r="568" customFormat="false" ht="13.8" hidden="false" customHeight="false" outlineLevel="0" collapsed="false">
      <c r="A568" s="303" t="s">
        <v>1070</v>
      </c>
      <c r="B568" s="55" t="s">
        <v>59</v>
      </c>
      <c r="F568" s="288"/>
      <c r="G568" s="288"/>
    </row>
    <row r="569" customFormat="false" ht="13.8" hidden="false" customHeight="false" outlineLevel="0" collapsed="false">
      <c r="A569" s="303" t="s">
        <v>819</v>
      </c>
      <c r="B569" s="55" t="s">
        <v>66</v>
      </c>
      <c r="F569" s="288"/>
      <c r="G569" s="288"/>
    </row>
    <row r="570" customFormat="false" ht="13.8" hidden="false" customHeight="false" outlineLevel="0" collapsed="false">
      <c r="A570" s="303" t="s">
        <v>820</v>
      </c>
      <c r="B570" s="55" t="s">
        <v>31</v>
      </c>
      <c r="F570" s="288"/>
      <c r="G570" s="288"/>
    </row>
    <row r="571" customFormat="false" ht="13.8" hidden="false" customHeight="false" outlineLevel="0" collapsed="false">
      <c r="A571" s="303" t="s">
        <v>820</v>
      </c>
      <c r="B571" s="55" t="s">
        <v>31</v>
      </c>
      <c r="F571" s="288"/>
      <c r="G571" s="288"/>
    </row>
    <row r="572" customFormat="false" ht="13.8" hidden="false" customHeight="false" outlineLevel="0" collapsed="false">
      <c r="A572" s="303" t="s">
        <v>820</v>
      </c>
      <c r="B572" s="55" t="s">
        <v>31</v>
      </c>
      <c r="F572" s="288"/>
      <c r="G572" s="288"/>
    </row>
    <row r="573" customFormat="false" ht="13.8" hidden="false" customHeight="false" outlineLevel="0" collapsed="false">
      <c r="A573" s="303" t="s">
        <v>55</v>
      </c>
      <c r="B573" s="55" t="s">
        <v>53</v>
      </c>
      <c r="F573" s="288"/>
      <c r="G573" s="288"/>
    </row>
    <row r="574" customFormat="false" ht="13.8" hidden="false" customHeight="false" outlineLevel="0" collapsed="false">
      <c r="A574" s="303" t="s">
        <v>58</v>
      </c>
      <c r="B574" s="55" t="s">
        <v>57</v>
      </c>
      <c r="F574" s="288"/>
      <c r="G574" s="288"/>
    </row>
    <row r="575" customFormat="false" ht="13.8" hidden="false" customHeight="false" outlineLevel="0" collapsed="false">
      <c r="A575" s="303" t="s">
        <v>819</v>
      </c>
      <c r="B575" s="55" t="s">
        <v>66</v>
      </c>
      <c r="F575" s="288"/>
      <c r="G575" s="288"/>
    </row>
    <row r="576" customFormat="false" ht="13.8" hidden="false" customHeight="false" outlineLevel="0" collapsed="false">
      <c r="A576" s="303" t="s">
        <v>820</v>
      </c>
      <c r="B576" s="55" t="s">
        <v>31</v>
      </c>
      <c r="F576" s="288"/>
      <c r="G576" s="288"/>
    </row>
    <row r="577" customFormat="false" ht="13.8" hidden="false" customHeight="false" outlineLevel="0" collapsed="false">
      <c r="A577" s="303" t="s">
        <v>838</v>
      </c>
      <c r="B577" s="55" t="s">
        <v>62</v>
      </c>
      <c r="F577" s="288"/>
      <c r="G577" s="288"/>
    </row>
    <row r="578" customFormat="false" ht="13.8" hidden="false" customHeight="false" outlineLevel="0" collapsed="false">
      <c r="A578" s="303" t="s">
        <v>55</v>
      </c>
      <c r="B578" s="55" t="s">
        <v>53</v>
      </c>
      <c r="F578" s="288"/>
      <c r="G578" s="288"/>
    </row>
    <row r="579" customFormat="false" ht="13.8" hidden="false" customHeight="false" outlineLevel="0" collapsed="false">
      <c r="A579" s="303" t="s">
        <v>871</v>
      </c>
      <c r="B579" s="55" t="s">
        <v>62</v>
      </c>
      <c r="F579" s="288"/>
      <c r="G579" s="288"/>
    </row>
    <row r="580" customFormat="false" ht="13.8" hidden="false" customHeight="false" outlineLevel="0" collapsed="false">
      <c r="A580" s="303" t="s">
        <v>841</v>
      </c>
      <c r="B580" s="55" t="s">
        <v>31</v>
      </c>
      <c r="F580" s="288"/>
      <c r="G580" s="288"/>
    </row>
    <row r="581" customFormat="false" ht="15" hidden="false" customHeight="false" outlineLevel="0" collapsed="false">
      <c r="A581" s="304" t="s">
        <v>52</v>
      </c>
      <c r="B581" s="55" t="s">
        <v>31</v>
      </c>
      <c r="F581" s="288"/>
      <c r="G581" s="288"/>
    </row>
    <row r="582" customFormat="false" ht="15" hidden="false" customHeight="false" outlineLevel="0" collapsed="false">
      <c r="A582" s="303" t="s">
        <v>170</v>
      </c>
      <c r="B582" s="55" t="s">
        <v>59</v>
      </c>
      <c r="F582" s="289"/>
      <c r="G582" s="289"/>
    </row>
    <row r="583" customFormat="false" ht="13.8" hidden="false" customHeight="false" outlineLevel="0" collapsed="false">
      <c r="A583" s="303" t="s">
        <v>1071</v>
      </c>
      <c r="B583" s="55" t="s">
        <v>59</v>
      </c>
      <c r="F583" s="288"/>
      <c r="G583" s="288"/>
    </row>
    <row r="584" customFormat="false" ht="13.8" hidden="false" customHeight="false" outlineLevel="0" collapsed="false">
      <c r="A584" s="303" t="s">
        <v>1072</v>
      </c>
      <c r="B584" s="55" t="s">
        <v>59</v>
      </c>
      <c r="F584" s="288"/>
      <c r="G584" s="288"/>
    </row>
    <row r="585" customFormat="false" ht="13.8" hidden="false" customHeight="false" outlineLevel="0" collapsed="false">
      <c r="A585" s="303" t="s">
        <v>819</v>
      </c>
      <c r="B585" s="55" t="s">
        <v>66</v>
      </c>
      <c r="F585" s="288"/>
      <c r="G585" s="288"/>
    </row>
    <row r="586" customFormat="false" ht="13.8" hidden="false" customHeight="false" outlineLevel="0" collapsed="false">
      <c r="A586" s="303" t="s">
        <v>865</v>
      </c>
      <c r="B586" s="55" t="s">
        <v>31</v>
      </c>
      <c r="F586" s="288"/>
      <c r="G586" s="288"/>
    </row>
    <row r="587" customFormat="false" ht="15" hidden="false" customHeight="false" outlineLevel="0" collapsed="false">
      <c r="A587" s="302" t="s">
        <v>52</v>
      </c>
      <c r="B587" s="55" t="s">
        <v>31</v>
      </c>
      <c r="F587" s="288"/>
      <c r="G587" s="288"/>
    </row>
    <row r="588" customFormat="false" ht="15" hidden="false" customHeight="false" outlineLevel="0" collapsed="false">
      <c r="A588" s="300" t="s">
        <v>119</v>
      </c>
      <c r="B588" s="55" t="s">
        <v>57</v>
      </c>
      <c r="F588" s="289"/>
      <c r="G588" s="289"/>
    </row>
    <row r="589" customFormat="false" ht="13.8" hidden="false" customHeight="false" outlineLevel="0" collapsed="false">
      <c r="A589" s="300" t="s">
        <v>1073</v>
      </c>
      <c r="B589" s="55" t="s">
        <v>59</v>
      </c>
      <c r="F589" s="288"/>
      <c r="G589" s="288"/>
    </row>
    <row r="590" customFormat="false" ht="13.8" hidden="false" customHeight="false" outlineLevel="0" collapsed="false">
      <c r="A590" s="300" t="s">
        <v>284</v>
      </c>
      <c r="B590" s="55" t="s">
        <v>98</v>
      </c>
      <c r="F590" s="288"/>
      <c r="G590" s="288"/>
    </row>
    <row r="591" customFormat="false" ht="13.8" hidden="false" customHeight="false" outlineLevel="0" collapsed="false">
      <c r="A591" s="300" t="s">
        <v>1074</v>
      </c>
      <c r="B591" s="55" t="s">
        <v>59</v>
      </c>
      <c r="F591" s="288"/>
      <c r="G591" s="288"/>
    </row>
    <row r="592" customFormat="false" ht="13.8" hidden="false" customHeight="false" outlineLevel="0" collapsed="false">
      <c r="A592" s="300" t="s">
        <v>99</v>
      </c>
      <c r="B592" s="55" t="s">
        <v>59</v>
      </c>
      <c r="F592" s="288"/>
      <c r="G592" s="288"/>
    </row>
    <row r="593" customFormat="false" ht="13.8" hidden="false" customHeight="false" outlineLevel="0" collapsed="false">
      <c r="A593" s="300" t="s">
        <v>241</v>
      </c>
      <c r="B593" s="55" t="s">
        <v>59</v>
      </c>
      <c r="F593" s="288"/>
      <c r="G593" s="288"/>
    </row>
    <row r="594" customFormat="false" ht="13.8" hidden="false" customHeight="false" outlineLevel="0" collapsed="false">
      <c r="A594" s="300" t="s">
        <v>1075</v>
      </c>
      <c r="B594" s="55" t="s">
        <v>59</v>
      </c>
      <c r="F594" s="288"/>
      <c r="G594" s="288"/>
    </row>
    <row r="595" customFormat="false" ht="13.8" hidden="false" customHeight="false" outlineLevel="0" collapsed="false">
      <c r="A595" s="300" t="s">
        <v>884</v>
      </c>
      <c r="B595" s="55" t="s">
        <v>59</v>
      </c>
      <c r="F595" s="288"/>
      <c r="G595" s="288"/>
    </row>
    <row r="596" customFormat="false" ht="13.8" hidden="false" customHeight="false" outlineLevel="0" collapsed="false">
      <c r="A596" s="300" t="s">
        <v>106</v>
      </c>
      <c r="B596" s="55" t="s">
        <v>64</v>
      </c>
      <c r="F596" s="288"/>
      <c r="G596" s="288"/>
    </row>
    <row r="597" customFormat="false" ht="15" hidden="false" customHeight="false" outlineLevel="0" collapsed="false">
      <c r="A597" s="302" t="s">
        <v>68</v>
      </c>
      <c r="B597" s="55" t="s">
        <v>31</v>
      </c>
      <c r="F597" s="288"/>
      <c r="G597" s="288"/>
    </row>
    <row r="598" customFormat="false" ht="15" hidden="false" customHeight="false" outlineLevel="0" collapsed="false">
      <c r="A598" s="300" t="s">
        <v>55</v>
      </c>
      <c r="B598" s="55" t="s">
        <v>53</v>
      </c>
      <c r="F598" s="289"/>
      <c r="G598" s="289"/>
    </row>
    <row r="599" customFormat="false" ht="13.8" hidden="false" customHeight="false" outlineLevel="0" collapsed="false">
      <c r="A599" s="300" t="s">
        <v>1076</v>
      </c>
      <c r="B599" s="55" t="s">
        <v>66</v>
      </c>
      <c r="F599" s="288"/>
      <c r="G599" s="288"/>
    </row>
    <row r="600" customFormat="false" ht="15" hidden="false" customHeight="false" outlineLevel="0" collapsed="false">
      <c r="A600" s="302" t="s">
        <v>68</v>
      </c>
      <c r="B600" s="55" t="s">
        <v>31</v>
      </c>
      <c r="F600" s="288"/>
      <c r="G600" s="288"/>
    </row>
    <row r="601" customFormat="false" ht="15" hidden="false" customHeight="false" outlineLevel="0" collapsed="false">
      <c r="A601" s="300" t="s">
        <v>838</v>
      </c>
      <c r="B601" s="55" t="s">
        <v>62</v>
      </c>
      <c r="F601" s="289"/>
      <c r="G601" s="289"/>
    </row>
    <row r="602" customFormat="false" ht="13.8" hidden="false" customHeight="false" outlineLevel="0" collapsed="false">
      <c r="A602" s="300" t="s">
        <v>855</v>
      </c>
      <c r="B602" s="55" t="s">
        <v>64</v>
      </c>
      <c r="F602" s="288"/>
      <c r="G602" s="288"/>
    </row>
    <row r="603" customFormat="false" ht="13.8" hidden="false" customHeight="false" outlineLevel="0" collapsed="false">
      <c r="A603" s="300" t="s">
        <v>58</v>
      </c>
      <c r="B603" s="55" t="s">
        <v>57</v>
      </c>
      <c r="F603" s="288"/>
      <c r="G603" s="288"/>
    </row>
    <row r="604" customFormat="false" ht="15" hidden="false" customHeight="false" outlineLevel="0" collapsed="false">
      <c r="A604" s="302" t="s">
        <v>68</v>
      </c>
      <c r="B604" s="55" t="s">
        <v>31</v>
      </c>
      <c r="F604" s="288"/>
      <c r="G604" s="288"/>
    </row>
    <row r="605" customFormat="false" ht="15" hidden="false" customHeight="false" outlineLevel="0" collapsed="false">
      <c r="A605" s="300" t="s">
        <v>55</v>
      </c>
      <c r="B605" s="55" t="s">
        <v>53</v>
      </c>
      <c r="F605" s="289"/>
      <c r="G605" s="289"/>
    </row>
    <row r="606" customFormat="false" ht="13.8" hidden="false" customHeight="false" outlineLevel="0" collapsed="false">
      <c r="A606" s="300" t="s">
        <v>1077</v>
      </c>
      <c r="B606" s="55" t="s">
        <v>59</v>
      </c>
      <c r="F606" s="288"/>
      <c r="G606" s="288"/>
    </row>
    <row r="607" customFormat="false" ht="13.8" hidden="false" customHeight="false" outlineLevel="0" collapsed="false">
      <c r="A607" s="300" t="s">
        <v>58</v>
      </c>
      <c r="B607" s="55" t="s">
        <v>57</v>
      </c>
      <c r="F607" s="288"/>
      <c r="G607" s="288"/>
    </row>
    <row r="608" customFormat="false" ht="15" hidden="false" customHeight="false" outlineLevel="0" collapsed="false">
      <c r="A608" s="302" t="s">
        <v>68</v>
      </c>
      <c r="B608" s="55" t="s">
        <v>31</v>
      </c>
      <c r="F608" s="288"/>
      <c r="G608" s="288"/>
    </row>
    <row r="609" customFormat="false" ht="15" hidden="false" customHeight="false" outlineLevel="0" collapsed="false">
      <c r="A609" s="300" t="s">
        <v>1078</v>
      </c>
      <c r="B609" s="55" t="s">
        <v>121</v>
      </c>
      <c r="F609" s="289"/>
      <c r="G609" s="289"/>
    </row>
    <row r="610" customFormat="false" ht="13.8" hidden="false" customHeight="false" outlineLevel="0" collapsed="false">
      <c r="A610" s="300" t="s">
        <v>55</v>
      </c>
      <c r="B610" s="55" t="s">
        <v>53</v>
      </c>
      <c r="F610" s="288"/>
      <c r="G610" s="288"/>
    </row>
    <row r="611" customFormat="false" ht="13.8" hidden="false" customHeight="false" outlineLevel="0" collapsed="false">
      <c r="A611" s="300" t="s">
        <v>1079</v>
      </c>
      <c r="B611" s="55" t="s">
        <v>64</v>
      </c>
      <c r="F611" s="288"/>
      <c r="G611" s="288"/>
    </row>
    <row r="612" customFormat="false" ht="13.8" hidden="false" customHeight="false" outlineLevel="0" collapsed="false">
      <c r="A612" s="300" t="s">
        <v>1080</v>
      </c>
      <c r="B612" s="55" t="s">
        <v>59</v>
      </c>
      <c r="F612" s="288"/>
      <c r="G612" s="288"/>
    </row>
    <row r="613" customFormat="false" ht="13.8" hidden="false" customHeight="false" outlineLevel="0" collapsed="false">
      <c r="A613" s="300" t="s">
        <v>94</v>
      </c>
      <c r="B613" s="55" t="s">
        <v>59</v>
      </c>
      <c r="F613" s="288"/>
      <c r="G613" s="288"/>
    </row>
    <row r="614" customFormat="false" ht="13.8" hidden="false" customHeight="false" outlineLevel="0" collapsed="false">
      <c r="A614" s="300" t="s">
        <v>119</v>
      </c>
      <c r="B614" s="55" t="s">
        <v>57</v>
      </c>
      <c r="F614" s="288"/>
      <c r="G614" s="288"/>
    </row>
    <row r="615" customFormat="false" ht="13.8" hidden="false" customHeight="false" outlineLevel="0" collapsed="false">
      <c r="A615" s="300" t="s">
        <v>910</v>
      </c>
      <c r="B615" s="55" t="s">
        <v>64</v>
      </c>
      <c r="F615" s="288"/>
      <c r="G615" s="288"/>
    </row>
    <row r="616" customFormat="false" ht="13.8" hidden="false" customHeight="false" outlineLevel="0" collapsed="false">
      <c r="A616" s="300" t="s">
        <v>99</v>
      </c>
      <c r="B616" s="55" t="s">
        <v>59</v>
      </c>
      <c r="F616" s="288"/>
      <c r="G616" s="288"/>
    </row>
    <row r="617" customFormat="false" ht="13.8" hidden="false" customHeight="false" outlineLevel="0" collapsed="false">
      <c r="A617" s="300" t="s">
        <v>1081</v>
      </c>
      <c r="B617" s="55" t="s">
        <v>62</v>
      </c>
      <c r="F617" s="288"/>
      <c r="G617" s="288"/>
    </row>
    <row r="618" customFormat="false" ht="13.8" hidden="false" customHeight="false" outlineLevel="0" collapsed="false">
      <c r="A618" s="300" t="s">
        <v>1082</v>
      </c>
      <c r="B618" s="55" t="s">
        <v>59</v>
      </c>
      <c r="F618" s="288"/>
      <c r="G618" s="288"/>
    </row>
    <row r="619" customFormat="false" ht="13.8" hidden="false" customHeight="false" outlineLevel="0" collapsed="false">
      <c r="A619" s="300" t="s">
        <v>1082</v>
      </c>
      <c r="B619" s="55" t="s">
        <v>59</v>
      </c>
      <c r="F619" s="288"/>
      <c r="G619" s="288"/>
    </row>
    <row r="620" customFormat="false" ht="13.8" hidden="false" customHeight="false" outlineLevel="0" collapsed="false">
      <c r="A620" s="300" t="s">
        <v>1082</v>
      </c>
      <c r="B620" s="55" t="s">
        <v>59</v>
      </c>
      <c r="F620" s="288"/>
      <c r="G620" s="288"/>
    </row>
    <row r="621" customFormat="false" ht="13.8" hidden="false" customHeight="false" outlineLevel="0" collapsed="false">
      <c r="A621" s="300" t="s">
        <v>205</v>
      </c>
      <c r="B621" s="55" t="s">
        <v>64</v>
      </c>
      <c r="F621" s="288"/>
      <c r="G621" s="288"/>
    </row>
    <row r="622" customFormat="false" ht="15" hidden="false" customHeight="false" outlineLevel="0" collapsed="false">
      <c r="A622" s="302" t="s">
        <v>68</v>
      </c>
      <c r="B622" s="55" t="s">
        <v>31</v>
      </c>
      <c r="F622" s="288"/>
      <c r="G622" s="288"/>
    </row>
    <row r="623" customFormat="false" ht="15" hidden="false" customHeight="false" outlineLevel="0" collapsed="false">
      <c r="A623" s="300" t="s">
        <v>1083</v>
      </c>
      <c r="B623" s="55" t="s">
        <v>80</v>
      </c>
      <c r="F623" s="289"/>
      <c r="G623" s="289"/>
    </row>
    <row r="624" customFormat="false" ht="13.8" hidden="false" customHeight="false" outlineLevel="0" collapsed="false">
      <c r="A624" s="300" t="s">
        <v>1084</v>
      </c>
      <c r="B624" s="55" t="s">
        <v>80</v>
      </c>
      <c r="F624" s="288"/>
      <c r="G624" s="288"/>
    </row>
    <row r="625" customFormat="false" ht="13.8" hidden="false" customHeight="false" outlineLevel="0" collapsed="false">
      <c r="A625" s="300" t="s">
        <v>97</v>
      </c>
      <c r="B625" s="55" t="s">
        <v>59</v>
      </c>
      <c r="F625" s="288"/>
      <c r="G625" s="288"/>
    </row>
    <row r="626" customFormat="false" ht="13.8" hidden="false" customHeight="false" outlineLevel="0" collapsed="false">
      <c r="A626" s="300" t="s">
        <v>910</v>
      </c>
      <c r="B626" s="55" t="s">
        <v>64</v>
      </c>
      <c r="F626" s="288"/>
      <c r="G626" s="288"/>
    </row>
    <row r="627" customFormat="false" ht="13.8" hidden="false" customHeight="false" outlineLevel="0" collapsed="false">
      <c r="A627" s="300" t="s">
        <v>1082</v>
      </c>
      <c r="B627" s="55" t="s">
        <v>59</v>
      </c>
      <c r="F627" s="288"/>
      <c r="G627" s="288"/>
    </row>
    <row r="628" customFormat="false" ht="13.8" hidden="false" customHeight="false" outlineLevel="0" collapsed="false">
      <c r="A628" s="300" t="s">
        <v>107</v>
      </c>
      <c r="B628" s="55" t="s">
        <v>66</v>
      </c>
      <c r="F628" s="288"/>
      <c r="G628" s="288"/>
    </row>
    <row r="629" customFormat="false" ht="15" hidden="false" customHeight="false" outlineLevel="0" collapsed="false">
      <c r="A629" s="302" t="s">
        <v>68</v>
      </c>
      <c r="B629" s="55" t="s">
        <v>31</v>
      </c>
      <c r="F629" s="288"/>
      <c r="G629" s="288"/>
    </row>
    <row r="630" customFormat="false" ht="15" hidden="false" customHeight="false" outlineLevel="0" collapsed="false">
      <c r="A630" s="300" t="s">
        <v>1085</v>
      </c>
      <c r="B630" s="55" t="s">
        <v>391</v>
      </c>
      <c r="F630" s="289"/>
      <c r="G630" s="289"/>
    </row>
    <row r="631" customFormat="false" ht="13.8" hidden="false" customHeight="false" outlineLevel="0" collapsed="false">
      <c r="A631" s="300" t="s">
        <v>283</v>
      </c>
      <c r="B631" s="55" t="s">
        <v>391</v>
      </c>
      <c r="F631" s="288"/>
      <c r="G631" s="288"/>
    </row>
    <row r="632" customFormat="false" ht="13.8" hidden="false" customHeight="false" outlineLevel="0" collapsed="false">
      <c r="A632" s="300" t="s">
        <v>871</v>
      </c>
      <c r="B632" s="55" t="s">
        <v>62</v>
      </c>
      <c r="F632" s="288"/>
      <c r="G632" s="288"/>
    </row>
    <row r="633" customFormat="false" ht="13.8" hidden="false" customHeight="false" outlineLevel="0" collapsed="false">
      <c r="A633" s="300" t="s">
        <v>1086</v>
      </c>
      <c r="B633" s="55" t="s">
        <v>59</v>
      </c>
      <c r="F633" s="288"/>
      <c r="G633" s="288"/>
    </row>
    <row r="634" customFormat="false" ht="13.8" hidden="false" customHeight="false" outlineLevel="0" collapsed="false">
      <c r="A634" s="300" t="s">
        <v>1087</v>
      </c>
      <c r="B634" s="55" t="s">
        <v>59</v>
      </c>
      <c r="F634" s="288"/>
      <c r="G634" s="288"/>
    </row>
    <row r="635" customFormat="false" ht="13.8" hidden="false" customHeight="false" outlineLevel="0" collapsed="false">
      <c r="A635" s="300" t="s">
        <v>1088</v>
      </c>
      <c r="B635" s="55" t="s">
        <v>59</v>
      </c>
      <c r="F635" s="288"/>
      <c r="G635" s="288"/>
    </row>
    <row r="636" customFormat="false" ht="13.8" hidden="false" customHeight="false" outlineLevel="0" collapsed="false">
      <c r="A636" s="300" t="s">
        <v>1089</v>
      </c>
      <c r="B636" s="55" t="s">
        <v>59</v>
      </c>
      <c r="F636" s="288"/>
      <c r="G636" s="288"/>
    </row>
    <row r="637" customFormat="false" ht="13.8" hidden="false" customHeight="false" outlineLevel="0" collapsed="false">
      <c r="A637" s="300" t="s">
        <v>1071</v>
      </c>
      <c r="B637" s="55" t="s">
        <v>59</v>
      </c>
      <c r="F637" s="288"/>
      <c r="G637" s="288"/>
    </row>
    <row r="638" customFormat="false" ht="13.8" hidden="false" customHeight="false" outlineLevel="0" collapsed="false">
      <c r="A638" s="300" t="s">
        <v>109</v>
      </c>
      <c r="B638" s="55" t="s">
        <v>108</v>
      </c>
      <c r="F638" s="288"/>
      <c r="G638" s="288"/>
    </row>
    <row r="639" customFormat="false" ht="15" hidden="false" customHeight="false" outlineLevel="0" collapsed="false">
      <c r="A639" s="302" t="s">
        <v>68</v>
      </c>
      <c r="B639" s="55" t="s">
        <v>31</v>
      </c>
      <c r="F639" s="288"/>
      <c r="G639" s="288"/>
    </row>
    <row r="640" customFormat="false" ht="15" hidden="false" customHeight="false" outlineLevel="0" collapsed="false">
      <c r="A640" s="300" t="s">
        <v>1090</v>
      </c>
      <c r="B640" s="55" t="s">
        <v>121</v>
      </c>
      <c r="F640" s="289"/>
      <c r="G640" s="289"/>
    </row>
    <row r="641" customFormat="false" ht="13.8" hidden="false" customHeight="false" outlineLevel="0" collapsed="false">
      <c r="A641" s="300" t="s">
        <v>55</v>
      </c>
      <c r="B641" s="55" t="s">
        <v>53</v>
      </c>
      <c r="F641" s="288"/>
      <c r="G641" s="288"/>
    </row>
    <row r="642" customFormat="false" ht="13.8" hidden="false" customHeight="false" outlineLevel="0" collapsed="false">
      <c r="A642" s="300" t="s">
        <v>55</v>
      </c>
      <c r="B642" s="55" t="s">
        <v>53</v>
      </c>
      <c r="F642" s="288"/>
      <c r="G642" s="288"/>
    </row>
    <row r="643" customFormat="false" ht="13.8" hidden="false" customHeight="false" outlineLevel="0" collapsed="false">
      <c r="A643" s="300" t="s">
        <v>58</v>
      </c>
      <c r="B643" s="55" t="s">
        <v>57</v>
      </c>
      <c r="F643" s="288"/>
      <c r="G643" s="288"/>
    </row>
    <row r="644" customFormat="false" ht="13.8" hidden="false" customHeight="false" outlineLevel="0" collapsed="false">
      <c r="A644" s="300" t="s">
        <v>1091</v>
      </c>
      <c r="B644" s="55" t="s">
        <v>59</v>
      </c>
      <c r="F644" s="288"/>
      <c r="G644" s="288"/>
    </row>
    <row r="645" customFormat="false" ht="13.8" hidden="false" customHeight="false" outlineLevel="0" collapsed="false">
      <c r="A645" s="300" t="s">
        <v>1092</v>
      </c>
      <c r="B645" s="55" t="s">
        <v>59</v>
      </c>
      <c r="F645" s="288"/>
      <c r="G645" s="288"/>
    </row>
    <row r="646" customFormat="false" ht="13.8" hidden="false" customHeight="false" outlineLevel="0" collapsed="false">
      <c r="A646" s="300" t="s">
        <v>205</v>
      </c>
      <c r="B646" s="55" t="s">
        <v>64</v>
      </c>
      <c r="F646" s="288"/>
      <c r="G646" s="288"/>
    </row>
    <row r="647" customFormat="false" ht="13.8" hidden="false" customHeight="false" outlineLevel="0" collapsed="false">
      <c r="A647" s="300" t="s">
        <v>844</v>
      </c>
      <c r="B647" s="55" t="s">
        <v>59</v>
      </c>
      <c r="F647" s="288"/>
      <c r="G647" s="288"/>
    </row>
    <row r="648" customFormat="false" ht="13.8" hidden="false" customHeight="false" outlineLevel="0" collapsed="false">
      <c r="A648" s="300" t="s">
        <v>135</v>
      </c>
      <c r="B648" s="55" t="s">
        <v>134</v>
      </c>
      <c r="F648" s="288"/>
      <c r="G648" s="288"/>
    </row>
    <row r="649" customFormat="false" ht="13.8" hidden="false" customHeight="false" outlineLevel="0" collapsed="false">
      <c r="A649" s="300" t="s">
        <v>38</v>
      </c>
      <c r="B649" s="55" t="s">
        <v>136</v>
      </c>
      <c r="F649" s="288"/>
      <c r="G649" s="288"/>
    </row>
    <row r="650" customFormat="false" ht="13.8" hidden="false" customHeight="false" outlineLevel="0" collapsed="false">
      <c r="A650" s="300" t="s">
        <v>86</v>
      </c>
      <c r="B650" s="55" t="s">
        <v>85</v>
      </c>
      <c r="F650" s="288"/>
      <c r="G650" s="288"/>
    </row>
    <row r="651" customFormat="false" ht="15" hidden="false" customHeight="false" outlineLevel="0" collapsed="false">
      <c r="A651" s="302" t="s">
        <v>120</v>
      </c>
      <c r="B651" s="55" t="s">
        <v>31</v>
      </c>
      <c r="F651" s="288"/>
      <c r="G651" s="288"/>
    </row>
    <row r="652" customFormat="false" ht="15" hidden="false" customHeight="false" outlineLevel="0" collapsed="false">
      <c r="A652" s="300" t="s">
        <v>161</v>
      </c>
      <c r="B652" s="55" t="s">
        <v>159</v>
      </c>
      <c r="F652" s="289"/>
      <c r="G652" s="289"/>
    </row>
    <row r="653" customFormat="false" ht="13.8" hidden="false" customHeight="false" outlineLevel="0" collapsed="false">
      <c r="A653" s="300" t="s">
        <v>1081</v>
      </c>
      <c r="B653" s="55" t="s">
        <v>62</v>
      </c>
      <c r="F653" s="288"/>
      <c r="G653" s="288"/>
    </row>
    <row r="654" customFormat="false" ht="15" hidden="false" customHeight="false" outlineLevel="0" collapsed="false">
      <c r="A654" s="302" t="s">
        <v>120</v>
      </c>
      <c r="B654" s="55" t="s">
        <v>31</v>
      </c>
      <c r="F654" s="288"/>
      <c r="G654" s="288"/>
    </row>
    <row r="655" customFormat="false" ht="15" hidden="false" customHeight="false" outlineLevel="0" collapsed="false">
      <c r="A655" s="300" t="s">
        <v>1066</v>
      </c>
      <c r="B655" s="55" t="s">
        <v>64</v>
      </c>
      <c r="F655" s="289"/>
      <c r="G655" s="289"/>
    </row>
    <row r="656" customFormat="false" ht="13.8" hidden="false" customHeight="false" outlineLevel="0" collapsed="false">
      <c r="A656" s="300" t="s">
        <v>55</v>
      </c>
      <c r="B656" s="55" t="s">
        <v>53</v>
      </c>
      <c r="F656" s="288"/>
      <c r="G656" s="288"/>
    </row>
    <row r="657" customFormat="false" ht="15" hidden="false" customHeight="false" outlineLevel="0" collapsed="false">
      <c r="A657" s="302" t="s">
        <v>120</v>
      </c>
      <c r="B657" s="55" t="s">
        <v>31</v>
      </c>
      <c r="F657" s="288"/>
      <c r="G657" s="288"/>
    </row>
    <row r="658" customFormat="false" ht="15" hidden="false" customHeight="false" outlineLevel="0" collapsed="false">
      <c r="A658" s="300" t="s">
        <v>58</v>
      </c>
      <c r="B658" s="55" t="s">
        <v>57</v>
      </c>
      <c r="F658" s="289"/>
      <c r="G658" s="289"/>
    </row>
    <row r="659" customFormat="false" ht="15" hidden="false" customHeight="false" outlineLevel="0" collapsed="false">
      <c r="A659" s="302" t="s">
        <v>120</v>
      </c>
      <c r="B659" s="55" t="s">
        <v>31</v>
      </c>
      <c r="F659" s="288"/>
      <c r="G659" s="288"/>
    </row>
    <row r="660" customFormat="false" ht="15" hidden="false" customHeight="false" outlineLevel="0" collapsed="false">
      <c r="A660" s="300" t="s">
        <v>1093</v>
      </c>
      <c r="B660" s="55" t="s">
        <v>59</v>
      </c>
      <c r="F660" s="289"/>
      <c r="G660" s="289"/>
    </row>
    <row r="661" customFormat="false" ht="13.8" hidden="false" customHeight="false" outlineLevel="0" collapsed="false">
      <c r="A661" s="300" t="s">
        <v>1094</v>
      </c>
      <c r="B661" s="55" t="s">
        <v>1095</v>
      </c>
      <c r="F661" s="288"/>
      <c r="G661" s="288"/>
    </row>
    <row r="662" customFormat="false" ht="13.8" hidden="false" customHeight="false" outlineLevel="0" collapsed="false">
      <c r="A662" s="300" t="s">
        <v>844</v>
      </c>
      <c r="B662" s="55" t="s">
        <v>59</v>
      </c>
      <c r="F662" s="288"/>
      <c r="G662" s="288"/>
    </row>
    <row r="663" customFormat="false" ht="15" hidden="false" customHeight="false" outlineLevel="0" collapsed="false">
      <c r="A663" s="302" t="s">
        <v>120</v>
      </c>
      <c r="B663" s="55" t="s">
        <v>31</v>
      </c>
      <c r="F663" s="288"/>
      <c r="G663" s="288"/>
    </row>
    <row r="664" customFormat="false" ht="15" hidden="false" customHeight="false" outlineLevel="0" collapsed="false">
      <c r="A664" s="300" t="s">
        <v>1096</v>
      </c>
      <c r="B664" s="55" t="s">
        <v>391</v>
      </c>
      <c r="F664" s="289"/>
      <c r="G664" s="289"/>
    </row>
    <row r="665" customFormat="false" ht="13.8" hidden="false" customHeight="false" outlineLevel="0" collapsed="false">
      <c r="A665" s="300" t="s">
        <v>1097</v>
      </c>
      <c r="B665" s="55" t="s">
        <v>121</v>
      </c>
      <c r="F665" s="288"/>
      <c r="G665" s="288"/>
    </row>
    <row r="666" customFormat="false" ht="13.8" hidden="false" customHeight="false" outlineLevel="0" collapsed="false">
      <c r="A666" s="300" t="s">
        <v>55</v>
      </c>
      <c r="B666" s="55" t="s">
        <v>53</v>
      </c>
      <c r="F666" s="288"/>
      <c r="G666" s="288"/>
    </row>
    <row r="667" customFormat="false" ht="13.8" hidden="false" customHeight="false" outlineLevel="0" collapsed="false">
      <c r="A667" s="300" t="s">
        <v>79</v>
      </c>
      <c r="B667" s="55" t="s">
        <v>59</v>
      </c>
      <c r="F667" s="288"/>
      <c r="G667" s="288"/>
    </row>
    <row r="668" customFormat="false" ht="13.8" hidden="false" customHeight="false" outlineLevel="0" collapsed="false">
      <c r="A668" s="300" t="s">
        <v>877</v>
      </c>
      <c r="B668" s="55" t="s">
        <v>53</v>
      </c>
      <c r="F668" s="288"/>
      <c r="G668" s="288"/>
    </row>
    <row r="669" customFormat="false" ht="13.8" hidden="false" customHeight="false" outlineLevel="0" collapsed="false">
      <c r="A669" s="300" t="s">
        <v>1098</v>
      </c>
      <c r="B669" s="55" t="s">
        <v>59</v>
      </c>
      <c r="F669" s="288"/>
      <c r="G669" s="288"/>
    </row>
    <row r="670" customFormat="false" ht="13.8" hidden="false" customHeight="false" outlineLevel="0" collapsed="false">
      <c r="A670" s="300" t="s">
        <v>1068</v>
      </c>
      <c r="B670" s="55" t="s">
        <v>281</v>
      </c>
      <c r="F670" s="288"/>
      <c r="G670" s="288"/>
    </row>
    <row r="671" customFormat="false" ht="15" hidden="false" customHeight="false" outlineLevel="0" collapsed="false">
      <c r="A671" s="302" t="s">
        <v>120</v>
      </c>
      <c r="B671" s="55" t="s">
        <v>31</v>
      </c>
      <c r="F671" s="288"/>
      <c r="G671" s="288"/>
    </row>
    <row r="672" customFormat="false" ht="15" hidden="false" customHeight="false" outlineLevel="0" collapsed="false">
      <c r="A672" s="300" t="s">
        <v>55</v>
      </c>
      <c r="B672" s="55" t="s">
        <v>53</v>
      </c>
      <c r="F672" s="289"/>
      <c r="G672" s="289"/>
    </row>
    <row r="673" customFormat="false" ht="13.8" hidden="false" customHeight="false" outlineLevel="0" collapsed="false">
      <c r="A673" s="300" t="s">
        <v>58</v>
      </c>
      <c r="B673" s="55" t="s">
        <v>57</v>
      </c>
      <c r="F673" s="288"/>
      <c r="G673" s="288"/>
    </row>
    <row r="674" customFormat="false" ht="13.8" hidden="false" customHeight="false" outlineLevel="0" collapsed="false">
      <c r="A674" s="300" t="s">
        <v>910</v>
      </c>
      <c r="B674" s="55" t="s">
        <v>64</v>
      </c>
      <c r="F674" s="288"/>
      <c r="G674" s="288"/>
    </row>
    <row r="675" customFormat="false" ht="15" hidden="false" customHeight="false" outlineLevel="0" collapsed="false">
      <c r="A675" s="302" t="s">
        <v>120</v>
      </c>
      <c r="B675" s="55" t="s">
        <v>31</v>
      </c>
      <c r="F675" s="288"/>
      <c r="G675" s="288"/>
    </row>
    <row r="676" customFormat="false" ht="15" hidden="false" customHeight="false" outlineLevel="0" collapsed="false">
      <c r="A676" s="300" t="s">
        <v>55</v>
      </c>
      <c r="B676" s="55" t="s">
        <v>53</v>
      </c>
      <c r="F676" s="289"/>
      <c r="G676" s="289"/>
    </row>
    <row r="677" customFormat="false" ht="13.8" hidden="false" customHeight="false" outlineLevel="0" collapsed="false">
      <c r="A677" s="300" t="s">
        <v>58</v>
      </c>
      <c r="B677" s="55" t="s">
        <v>57</v>
      </c>
      <c r="F677" s="288"/>
      <c r="G677" s="288"/>
    </row>
    <row r="678" customFormat="false" ht="13.8" hidden="false" customHeight="false" outlineLevel="0" collapsed="false">
      <c r="A678" s="300" t="s">
        <v>119</v>
      </c>
      <c r="B678" s="55" t="s">
        <v>57</v>
      </c>
      <c r="F678" s="288"/>
      <c r="G678" s="288"/>
    </row>
    <row r="679" customFormat="false" ht="15" hidden="false" customHeight="false" outlineLevel="0" collapsed="false">
      <c r="A679" s="302" t="s">
        <v>120</v>
      </c>
      <c r="B679" s="55" t="s">
        <v>31</v>
      </c>
      <c r="F679" s="288"/>
      <c r="G679" s="288"/>
    </row>
    <row r="680" customFormat="false" ht="15" hidden="false" customHeight="false" outlineLevel="0" collapsed="false">
      <c r="A680" s="300" t="s">
        <v>55</v>
      </c>
      <c r="B680" s="55" t="s">
        <v>53</v>
      </c>
      <c r="F680" s="289"/>
      <c r="G680" s="289"/>
    </row>
    <row r="681" customFormat="false" ht="13.8" hidden="false" customHeight="false" outlineLevel="0" collapsed="false">
      <c r="A681" s="300" t="s">
        <v>1099</v>
      </c>
      <c r="B681" s="55" t="s">
        <v>59</v>
      </c>
      <c r="F681" s="288"/>
      <c r="G681" s="288"/>
    </row>
    <row r="682" customFormat="false" ht="13.8" hidden="false" customHeight="false" outlineLevel="0" collapsed="false">
      <c r="A682" s="300" t="s">
        <v>129</v>
      </c>
      <c r="B682" s="55" t="s">
        <v>59</v>
      </c>
      <c r="F682" s="288"/>
      <c r="G682" s="288"/>
    </row>
    <row r="683" customFormat="false" ht="13.8" hidden="false" customHeight="false" outlineLevel="0" collapsed="false">
      <c r="A683" s="300" t="s">
        <v>449</v>
      </c>
      <c r="B683" s="55" t="s">
        <v>62</v>
      </c>
      <c r="F683" s="288"/>
      <c r="G683" s="288"/>
    </row>
    <row r="684" customFormat="false" ht="15" hidden="false" customHeight="false" outlineLevel="0" collapsed="false">
      <c r="A684" s="302" t="s">
        <v>68</v>
      </c>
      <c r="B684" s="55" t="s">
        <v>31</v>
      </c>
      <c r="F684" s="288"/>
      <c r="G684" s="288"/>
    </row>
    <row r="685" customFormat="false" ht="15" hidden="false" customHeight="false" outlineLevel="0" collapsed="false">
      <c r="A685" s="300" t="s">
        <v>55</v>
      </c>
      <c r="B685" s="55" t="s">
        <v>53</v>
      </c>
      <c r="F685" s="289"/>
      <c r="G685" s="289"/>
    </row>
    <row r="686" customFormat="false" ht="13.8" hidden="false" customHeight="false" outlineLevel="0" collapsed="false">
      <c r="A686" s="300" t="s">
        <v>871</v>
      </c>
      <c r="B686" s="55" t="s">
        <v>62</v>
      </c>
      <c r="F686" s="288"/>
      <c r="G686" s="288"/>
    </row>
    <row r="687" customFormat="false" ht="13.8" hidden="false" customHeight="false" outlineLevel="0" collapsed="false">
      <c r="A687" s="300" t="s">
        <v>1100</v>
      </c>
      <c r="B687" s="55" t="s">
        <v>59</v>
      </c>
      <c r="F687" s="288"/>
      <c r="G687" s="288"/>
    </row>
    <row r="688" customFormat="false" ht="13.8" hidden="false" customHeight="false" outlineLevel="0" collapsed="false">
      <c r="A688" s="300" t="s">
        <v>163</v>
      </c>
      <c r="B688" s="55" t="s">
        <v>57</v>
      </c>
      <c r="F688" s="288"/>
      <c r="G688" s="288"/>
    </row>
    <row r="689" customFormat="false" ht="15" hidden="false" customHeight="false" outlineLevel="0" collapsed="false">
      <c r="A689" s="302" t="s">
        <v>68</v>
      </c>
      <c r="B689" s="55" t="s">
        <v>31</v>
      </c>
      <c r="F689" s="288"/>
      <c r="G689" s="288"/>
    </row>
    <row r="690" customFormat="false" ht="15" hidden="false" customHeight="false" outlineLevel="0" collapsed="false">
      <c r="A690" s="300" t="s">
        <v>1101</v>
      </c>
      <c r="B690" s="55" t="s">
        <v>391</v>
      </c>
      <c r="F690" s="289"/>
      <c r="G690" s="289"/>
    </row>
    <row r="691" customFormat="false" ht="13.8" hidden="false" customHeight="false" outlineLevel="0" collapsed="false">
      <c r="A691" s="300" t="s">
        <v>1085</v>
      </c>
      <c r="B691" s="55" t="s">
        <v>391</v>
      </c>
      <c r="F691" s="288"/>
      <c r="G691" s="288"/>
    </row>
    <row r="692" customFormat="false" ht="13.8" hidden="false" customHeight="false" outlineLevel="0" collapsed="false">
      <c r="A692" s="300" t="s">
        <v>1085</v>
      </c>
      <c r="B692" s="55" t="s">
        <v>391</v>
      </c>
      <c r="F692" s="288"/>
      <c r="G692" s="288"/>
    </row>
    <row r="693" customFormat="false" ht="13.8" hidden="false" customHeight="false" outlineLevel="0" collapsed="false">
      <c r="A693" s="300" t="s">
        <v>1102</v>
      </c>
      <c r="B693" s="55" t="s">
        <v>121</v>
      </c>
      <c r="F693" s="288"/>
      <c r="G693" s="288"/>
    </row>
    <row r="694" customFormat="false" ht="13.8" hidden="false" customHeight="false" outlineLevel="0" collapsed="false">
      <c r="A694" s="300" t="s">
        <v>1103</v>
      </c>
      <c r="B694" s="55" t="s">
        <v>1104</v>
      </c>
      <c r="F694" s="288"/>
      <c r="G694" s="288"/>
    </row>
    <row r="695" customFormat="false" ht="13.8" hidden="false" customHeight="false" outlineLevel="0" collapsed="false">
      <c r="A695" s="300" t="s">
        <v>1103</v>
      </c>
      <c r="B695" s="55" t="s">
        <v>1104</v>
      </c>
      <c r="F695" s="288"/>
      <c r="G695" s="288"/>
    </row>
    <row r="696" customFormat="false" ht="13.8" hidden="false" customHeight="false" outlineLevel="0" collapsed="false">
      <c r="A696" s="300" t="s">
        <v>1103</v>
      </c>
      <c r="B696" s="55" t="s">
        <v>1104</v>
      </c>
      <c r="F696" s="288"/>
      <c r="G696" s="288"/>
    </row>
    <row r="697" customFormat="false" ht="13.8" hidden="false" customHeight="false" outlineLevel="0" collapsed="false">
      <c r="A697" s="300" t="s">
        <v>1066</v>
      </c>
      <c r="B697" s="55" t="s">
        <v>64</v>
      </c>
      <c r="F697" s="288"/>
      <c r="G697" s="288"/>
    </row>
    <row r="698" customFormat="false" ht="13.8" hidden="false" customHeight="false" outlineLevel="0" collapsed="false">
      <c r="A698" s="300" t="s">
        <v>1105</v>
      </c>
      <c r="B698" s="55" t="s">
        <v>59</v>
      </c>
      <c r="F698" s="288"/>
      <c r="G698" s="288"/>
    </row>
    <row r="699" customFormat="false" ht="13.8" hidden="false" customHeight="false" outlineLevel="0" collapsed="false">
      <c r="A699" s="300" t="s">
        <v>910</v>
      </c>
      <c r="B699" s="55" t="s">
        <v>64</v>
      </c>
      <c r="F699" s="288"/>
      <c r="G699" s="288"/>
    </row>
    <row r="700" customFormat="false" ht="13.8" hidden="false" customHeight="false" outlineLevel="0" collapsed="false">
      <c r="A700" s="300" t="s">
        <v>1062</v>
      </c>
      <c r="B700" s="55" t="s">
        <v>59</v>
      </c>
      <c r="F700" s="288"/>
      <c r="G700" s="288"/>
    </row>
    <row r="701" customFormat="false" ht="13.8" hidden="false" customHeight="false" outlineLevel="0" collapsed="false">
      <c r="A701" s="300" t="s">
        <v>1062</v>
      </c>
      <c r="B701" s="55" t="s">
        <v>59</v>
      </c>
      <c r="F701" s="288"/>
      <c r="G701" s="288"/>
    </row>
    <row r="702" customFormat="false" ht="13.8" hidden="false" customHeight="false" outlineLevel="0" collapsed="false">
      <c r="A702" s="300" t="s">
        <v>130</v>
      </c>
      <c r="B702" s="55" t="s">
        <v>103</v>
      </c>
      <c r="F702" s="288"/>
      <c r="G702" s="288"/>
    </row>
    <row r="703" customFormat="false" ht="13.8" hidden="false" customHeight="false" outlineLevel="0" collapsed="false">
      <c r="A703" s="300" t="s">
        <v>205</v>
      </c>
      <c r="B703" s="55" t="s">
        <v>64</v>
      </c>
      <c r="F703" s="288"/>
      <c r="G703" s="288"/>
    </row>
    <row r="704" customFormat="false" ht="15" hidden="false" customHeight="false" outlineLevel="0" collapsed="false">
      <c r="A704" s="302" t="s">
        <v>68</v>
      </c>
      <c r="B704" s="55" t="s">
        <v>31</v>
      </c>
      <c r="F704" s="288"/>
      <c r="G704" s="288"/>
    </row>
    <row r="705" customFormat="false" ht="15" hidden="false" customHeight="false" outlineLevel="0" collapsed="false">
      <c r="A705" s="300" t="s">
        <v>38</v>
      </c>
      <c r="B705" s="55" t="s">
        <v>41</v>
      </c>
      <c r="F705" s="289"/>
      <c r="G705" s="289"/>
    </row>
    <row r="706" customFormat="false" ht="13.8" hidden="false" customHeight="false" outlineLevel="0" collapsed="false">
      <c r="A706" s="300" t="s">
        <v>86</v>
      </c>
      <c r="B706" s="55" t="s">
        <v>85</v>
      </c>
      <c r="F706" s="288"/>
      <c r="G706" s="288"/>
    </row>
    <row r="707" customFormat="false" ht="15" hidden="false" customHeight="false" outlineLevel="0" collapsed="false">
      <c r="A707" s="302" t="s">
        <v>120</v>
      </c>
      <c r="B707" s="55" t="s">
        <v>31</v>
      </c>
      <c r="F707" s="288"/>
      <c r="G707" s="288"/>
    </row>
    <row r="708" customFormat="false" ht="15" hidden="false" customHeight="false" outlineLevel="0" collapsed="false">
      <c r="A708" s="42" t="s">
        <v>52</v>
      </c>
      <c r="B708" s="55" t="s">
        <v>31</v>
      </c>
      <c r="F708" s="289"/>
      <c r="G708" s="289"/>
    </row>
    <row r="709" customFormat="false" ht="15" hidden="false" customHeight="false" outlineLevel="0" collapsed="false">
      <c r="A709" s="42" t="s">
        <v>52</v>
      </c>
      <c r="B709" s="55" t="s">
        <v>31</v>
      </c>
      <c r="F709" s="289"/>
      <c r="G709" s="289"/>
    </row>
    <row r="710" customFormat="false" ht="15" hidden="false" customHeight="false" outlineLevel="0" collapsed="false">
      <c r="A710" s="48" t="s">
        <v>1066</v>
      </c>
      <c r="B710" s="55" t="s">
        <v>64</v>
      </c>
      <c r="F710" s="289"/>
      <c r="G710" s="289"/>
    </row>
    <row r="711" customFormat="false" ht="13.8" hidden="false" customHeight="false" outlineLevel="0" collapsed="false">
      <c r="A711" s="48" t="s">
        <v>55</v>
      </c>
      <c r="B711" s="55" t="s">
        <v>53</v>
      </c>
      <c r="F711" s="288"/>
      <c r="G711" s="288"/>
    </row>
    <row r="712" customFormat="false" ht="13.8" hidden="false" customHeight="false" outlineLevel="0" collapsed="false">
      <c r="A712" s="48" t="s">
        <v>1106</v>
      </c>
      <c r="B712" s="55" t="s">
        <v>59</v>
      </c>
      <c r="F712" s="288"/>
      <c r="G712" s="288"/>
    </row>
    <row r="713" customFormat="false" ht="13.8" hidden="false" customHeight="false" outlineLevel="0" collapsed="false">
      <c r="A713" s="48" t="s">
        <v>1107</v>
      </c>
      <c r="B713" s="55" t="s">
        <v>59</v>
      </c>
      <c r="F713" s="288"/>
      <c r="G713" s="288"/>
    </row>
    <row r="714" customFormat="false" ht="13.8" hidden="false" customHeight="false" outlineLevel="0" collapsed="false">
      <c r="A714" s="48" t="s">
        <v>1108</v>
      </c>
      <c r="B714" s="55" t="s">
        <v>66</v>
      </c>
      <c r="F714" s="288"/>
      <c r="G714" s="288"/>
    </row>
    <row r="715" customFormat="false" ht="15" hidden="false" customHeight="false" outlineLevel="0" collapsed="false">
      <c r="A715" s="42" t="s">
        <v>120</v>
      </c>
      <c r="B715" s="55" t="s">
        <v>31</v>
      </c>
      <c r="F715" s="288"/>
      <c r="G715" s="288"/>
    </row>
    <row r="716" customFormat="false" ht="15" hidden="false" customHeight="false" outlineLevel="0" collapsed="false">
      <c r="A716" s="42" t="s">
        <v>120</v>
      </c>
      <c r="B716" s="55" t="s">
        <v>31</v>
      </c>
      <c r="F716" s="289"/>
      <c r="G716" s="289"/>
    </row>
    <row r="717" customFormat="false" ht="15" hidden="false" customHeight="false" outlineLevel="0" collapsed="false">
      <c r="A717" s="48" t="s">
        <v>1109</v>
      </c>
      <c r="B717" s="299" t="s">
        <v>391</v>
      </c>
      <c r="F717" s="289"/>
      <c r="G717" s="289"/>
    </row>
    <row r="718" customFormat="false" ht="13.8" hidden="false" customHeight="false" outlineLevel="0" collapsed="false">
      <c r="A718" s="48" t="s">
        <v>1110</v>
      </c>
      <c r="B718" s="55" t="s">
        <v>121</v>
      </c>
      <c r="F718" s="288"/>
      <c r="G718" s="288"/>
    </row>
    <row r="719" customFormat="false" ht="13.8" hidden="false" customHeight="false" outlineLevel="0" collapsed="false">
      <c r="A719" s="48" t="s">
        <v>1111</v>
      </c>
      <c r="B719" s="55" t="s">
        <v>1112</v>
      </c>
      <c r="F719" s="288"/>
      <c r="G719" s="288"/>
    </row>
    <row r="720" customFormat="false" ht="13.8" hidden="false" customHeight="false" outlineLevel="0" collapsed="false">
      <c r="A720" s="48" t="s">
        <v>55</v>
      </c>
      <c r="B720" s="55" t="s">
        <v>53</v>
      </c>
      <c r="F720" s="288"/>
      <c r="G720" s="288"/>
    </row>
    <row r="721" customFormat="false" ht="13.8" hidden="false" customHeight="false" outlineLevel="0" collapsed="false">
      <c r="A721" s="48" t="s">
        <v>449</v>
      </c>
      <c r="B721" s="55" t="s">
        <v>62</v>
      </c>
      <c r="F721" s="288"/>
      <c r="G721" s="288"/>
    </row>
    <row r="722" customFormat="false" ht="13.8" hidden="false" customHeight="false" outlineLevel="0" collapsed="false">
      <c r="A722" s="48" t="s">
        <v>130</v>
      </c>
      <c r="B722" s="299" t="s">
        <v>103</v>
      </c>
      <c r="F722" s="288"/>
      <c r="G722" s="288"/>
    </row>
    <row r="723" customFormat="false" ht="13.8" hidden="false" customHeight="false" outlineLevel="0" collapsed="false">
      <c r="A723" s="48" t="s">
        <v>287</v>
      </c>
      <c r="B723" s="55" t="s">
        <v>59</v>
      </c>
      <c r="F723" s="288"/>
      <c r="G723" s="288"/>
    </row>
    <row r="724" customFormat="false" ht="13.8" hidden="false" customHeight="false" outlineLevel="0" collapsed="false">
      <c r="A724" s="48" t="s">
        <v>1113</v>
      </c>
      <c r="B724" s="55" t="s">
        <v>73</v>
      </c>
      <c r="F724" s="288"/>
      <c r="G724" s="288"/>
    </row>
    <row r="725" customFormat="false" ht="15" hidden="false" customHeight="false" outlineLevel="0" collapsed="false">
      <c r="A725" s="42" t="s">
        <v>120</v>
      </c>
      <c r="B725" s="55" t="s">
        <v>31</v>
      </c>
      <c r="F725" s="288"/>
      <c r="G725" s="288"/>
    </row>
    <row r="726" customFormat="false" ht="15" hidden="false" customHeight="false" outlineLevel="0" collapsed="false">
      <c r="A726" s="48" t="s">
        <v>161</v>
      </c>
      <c r="B726" s="55" t="s">
        <v>159</v>
      </c>
      <c r="F726" s="289"/>
      <c r="G726" s="289"/>
    </row>
    <row r="727" customFormat="false" ht="13.8" hidden="false" customHeight="false" outlineLevel="0" collapsed="false">
      <c r="A727" s="48" t="s">
        <v>871</v>
      </c>
      <c r="B727" s="55" t="s">
        <v>62</v>
      </c>
      <c r="F727" s="288"/>
      <c r="G727" s="288"/>
    </row>
    <row r="728" customFormat="false" ht="13.8" hidden="false" customHeight="false" outlineLevel="0" collapsed="false">
      <c r="A728" s="48" t="s">
        <v>910</v>
      </c>
      <c r="B728" s="55" t="s">
        <v>64</v>
      </c>
      <c r="F728" s="288"/>
      <c r="G728" s="288"/>
    </row>
    <row r="729" customFormat="false" ht="13.8" hidden="false" customHeight="false" outlineLevel="0" collapsed="false">
      <c r="A729" s="48" t="s">
        <v>1082</v>
      </c>
      <c r="B729" s="55" t="s">
        <v>59</v>
      </c>
      <c r="F729" s="288"/>
      <c r="G729" s="288"/>
    </row>
    <row r="730" customFormat="false" ht="15" hidden="false" customHeight="false" outlineLevel="0" collapsed="false">
      <c r="A730" s="42" t="s">
        <v>120</v>
      </c>
      <c r="B730" s="55" t="s">
        <v>31</v>
      </c>
      <c r="F730" s="288"/>
      <c r="G730" s="288"/>
    </row>
    <row r="731" customFormat="false" ht="15" hidden="false" customHeight="false" outlineLevel="0" collapsed="false">
      <c r="A731" s="48" t="s">
        <v>1114</v>
      </c>
      <c r="B731" s="55" t="s">
        <v>80</v>
      </c>
      <c r="F731" s="289"/>
      <c r="G731" s="289"/>
    </row>
    <row r="732" customFormat="false" ht="15" hidden="false" customHeight="false" outlineLevel="0" collapsed="false">
      <c r="A732" s="42" t="s">
        <v>120</v>
      </c>
      <c r="B732" s="55" t="s">
        <v>31</v>
      </c>
    </row>
    <row r="733" customFormat="false" ht="13.8" hidden="false" customHeight="false" outlineLevel="0" collapsed="false">
      <c r="A733" s="48" t="s">
        <v>55</v>
      </c>
      <c r="B733" s="55" t="s">
        <v>53</v>
      </c>
    </row>
    <row r="734" customFormat="false" ht="13.8" hidden="false" customHeight="false" outlineLevel="0" collapsed="false">
      <c r="A734" s="48" t="s">
        <v>205</v>
      </c>
      <c r="B734" s="55" t="s">
        <v>64</v>
      </c>
    </row>
    <row r="735" customFormat="false" ht="15" hidden="false" customHeight="false" outlineLevel="0" collapsed="false">
      <c r="A735" s="42" t="s">
        <v>120</v>
      </c>
      <c r="B735" s="55" t="s">
        <v>31</v>
      </c>
    </row>
    <row r="736" customFormat="false" ht="13.8" hidden="false" customHeight="false" outlineLevel="0" collapsed="false">
      <c r="A736" s="48" t="s">
        <v>1115</v>
      </c>
      <c r="B736" s="55" t="s">
        <v>59</v>
      </c>
    </row>
    <row r="737" customFormat="false" ht="13.8" hidden="false" customHeight="false" outlineLevel="0" collapsed="false">
      <c r="A737" s="48" t="s">
        <v>1116</v>
      </c>
      <c r="B737" s="55" t="s">
        <v>59</v>
      </c>
    </row>
    <row r="738" customFormat="false" ht="13.8" hidden="false" customHeight="false" outlineLevel="0" collapsed="false">
      <c r="A738" s="48" t="s">
        <v>1117</v>
      </c>
      <c r="B738" s="55" t="s">
        <v>59</v>
      </c>
    </row>
    <row r="739" customFormat="false" ht="13.8" hidden="false" customHeight="false" outlineLevel="0" collapsed="false">
      <c r="A739" s="48" t="s">
        <v>107</v>
      </c>
      <c r="B739" s="55" t="s">
        <v>66</v>
      </c>
    </row>
    <row r="740" customFormat="false" ht="13.8" hidden="false" customHeight="false" outlineLevel="0" collapsed="false">
      <c r="A740" s="48" t="s">
        <v>109</v>
      </c>
      <c r="B740" s="55" t="s">
        <v>108</v>
      </c>
    </row>
    <row r="741" customFormat="false" ht="15" hidden="false" customHeight="false" outlineLevel="0" collapsed="false">
      <c r="A741" s="42" t="s">
        <v>120</v>
      </c>
      <c r="B741" s="55" t="s">
        <v>31</v>
      </c>
    </row>
    <row r="742" customFormat="false" ht="13.8" hidden="false" customHeight="false" outlineLevel="0" collapsed="false">
      <c r="A742" s="48" t="s">
        <v>1118</v>
      </c>
      <c r="B742" s="55" t="s">
        <v>121</v>
      </c>
    </row>
    <row r="743" customFormat="false" ht="13.8" hidden="false" customHeight="false" outlineLevel="0" collapsed="false">
      <c r="A743" s="48" t="s">
        <v>1119</v>
      </c>
      <c r="B743" s="55" t="s">
        <v>80</v>
      </c>
    </row>
    <row r="744" customFormat="false" ht="13.8" hidden="false" customHeight="false" outlineLevel="0" collapsed="false">
      <c r="A744" s="48" t="s">
        <v>1120</v>
      </c>
      <c r="B744" s="55" t="s">
        <v>59</v>
      </c>
    </row>
    <row r="745" customFormat="false" ht="13.8" hidden="false" customHeight="false" outlineLevel="0" collapsed="false">
      <c r="A745" s="48" t="s">
        <v>1074</v>
      </c>
      <c r="B745" s="55" t="s">
        <v>59</v>
      </c>
    </row>
    <row r="746" customFormat="false" ht="13.8" hidden="false" customHeight="false" outlineLevel="0" collapsed="false">
      <c r="A746" s="48" t="s">
        <v>1121</v>
      </c>
      <c r="B746" s="55" t="s">
        <v>59</v>
      </c>
    </row>
    <row r="747" customFormat="false" ht="13.8" hidden="false" customHeight="false" outlineLevel="0" collapsed="false">
      <c r="A747" s="48" t="s">
        <v>287</v>
      </c>
      <c r="B747" s="55" t="s">
        <v>59</v>
      </c>
    </row>
    <row r="748" customFormat="false" ht="13.8" hidden="false" customHeight="false" outlineLevel="0" collapsed="false">
      <c r="A748" s="48" t="s">
        <v>106</v>
      </c>
      <c r="B748" s="55" t="s">
        <v>64</v>
      </c>
    </row>
    <row r="749" customFormat="false" ht="13.8" hidden="false" customHeight="false" outlineLevel="0" collapsed="false">
      <c r="A749" s="48" t="s">
        <v>205</v>
      </c>
      <c r="B749" s="55" t="s">
        <v>64</v>
      </c>
    </row>
    <row r="750" customFormat="false" ht="13.8" hidden="false" customHeight="false" outlineLevel="0" collapsed="false">
      <c r="A750" s="48" t="s">
        <v>1122</v>
      </c>
      <c r="B750" s="55" t="s">
        <v>1123</v>
      </c>
    </row>
    <row r="751" customFormat="false" ht="15" hidden="false" customHeight="false" outlineLevel="0" collapsed="false">
      <c r="A751" s="42" t="s">
        <v>120</v>
      </c>
      <c r="B751" s="55" t="s">
        <v>31</v>
      </c>
    </row>
    <row r="752" customFormat="false" ht="13.8" hidden="false" customHeight="false" outlineLevel="0" collapsed="false">
      <c r="A752" s="48" t="s">
        <v>1124</v>
      </c>
      <c r="B752" s="55" t="s">
        <v>1125</v>
      </c>
    </row>
    <row r="753" customFormat="false" ht="13.8" hidden="false" customHeight="false" outlineLevel="0" collapsed="false">
      <c r="A753" s="48" t="s">
        <v>106</v>
      </c>
      <c r="B753" s="55" t="s">
        <v>64</v>
      </c>
    </row>
    <row r="754" customFormat="false" ht="15" hidden="false" customHeight="false" outlineLevel="0" collapsed="false">
      <c r="A754" s="42" t="s">
        <v>68</v>
      </c>
      <c r="B754" s="55" t="s">
        <v>31</v>
      </c>
    </row>
    <row r="755" customFormat="false" ht="13.8" hidden="false" customHeight="false" outlineLevel="0" collapsed="false">
      <c r="A755" s="48" t="s">
        <v>79</v>
      </c>
      <c r="B755" s="55" t="s">
        <v>59</v>
      </c>
    </row>
    <row r="756" customFormat="false" ht="13.8" hidden="false" customHeight="false" outlineLevel="0" collapsed="false">
      <c r="A756" s="48" t="s">
        <v>135</v>
      </c>
      <c r="B756" s="55" t="s">
        <v>134</v>
      </c>
    </row>
    <row r="757" customFormat="false" ht="13.8" hidden="false" customHeight="false" outlineLevel="0" collapsed="false">
      <c r="A757" s="48" t="s">
        <v>1124</v>
      </c>
      <c r="B757" s="55" t="s">
        <v>1125</v>
      </c>
    </row>
    <row r="758" customFormat="false" ht="13.8" hidden="false" customHeight="false" outlineLevel="0" collapsed="false">
      <c r="A758" s="48" t="s">
        <v>86</v>
      </c>
      <c r="B758" s="55" t="s">
        <v>85</v>
      </c>
    </row>
    <row r="759" customFormat="false" ht="15" hidden="false" customHeight="false" outlineLevel="0" collapsed="false">
      <c r="A759" s="42" t="s">
        <v>120</v>
      </c>
      <c r="B759" s="55" t="s">
        <v>31</v>
      </c>
    </row>
    <row r="760" customFormat="false" ht="15" hidden="false" customHeight="false" outlineLevel="0" collapsed="false">
      <c r="A760" s="42" t="s">
        <v>120</v>
      </c>
      <c r="B760" s="55" t="s">
        <v>31</v>
      </c>
    </row>
    <row r="761" customFormat="false" ht="13.8" hidden="false" customHeight="false" outlineLevel="0" collapsed="false">
      <c r="A761" s="48" t="s">
        <v>55</v>
      </c>
      <c r="B761" s="55" t="s">
        <v>53</v>
      </c>
    </row>
    <row r="762" customFormat="false" ht="13.8" hidden="false" customHeight="false" outlineLevel="0" collapsed="false">
      <c r="A762" s="48" t="s">
        <v>1126</v>
      </c>
      <c r="B762" s="55" t="s">
        <v>57</v>
      </c>
    </row>
    <row r="763" customFormat="false" ht="13.8" hidden="false" customHeight="false" outlineLevel="0" collapsed="false">
      <c r="A763" s="48" t="s">
        <v>1127</v>
      </c>
      <c r="B763" s="55" t="s">
        <v>59</v>
      </c>
    </row>
    <row r="764" customFormat="false" ht="13.8" hidden="false" customHeight="false" outlineLevel="0" collapsed="false">
      <c r="A764" s="48" t="s">
        <v>1127</v>
      </c>
      <c r="B764" s="55" t="s">
        <v>59</v>
      </c>
    </row>
    <row r="765" customFormat="false" ht="15" hidden="false" customHeight="false" outlineLevel="0" collapsed="false">
      <c r="A765" s="42" t="s">
        <v>120</v>
      </c>
      <c r="B765" s="55" t="s">
        <v>31</v>
      </c>
    </row>
    <row r="766" customFormat="false" ht="13.8" hidden="false" customHeight="false" outlineLevel="0" collapsed="false">
      <c r="A766" s="48" t="s">
        <v>55</v>
      </c>
      <c r="B766" s="55" t="s">
        <v>53</v>
      </c>
    </row>
    <row r="767" customFormat="false" ht="13.8" hidden="false" customHeight="false" outlineLevel="0" collapsed="false">
      <c r="A767" s="48" t="s">
        <v>130</v>
      </c>
      <c r="B767" s="299" t="s">
        <v>103</v>
      </c>
    </row>
    <row r="768" customFormat="false" ht="13.8" hidden="false" customHeight="false" outlineLevel="0" collapsed="false">
      <c r="A768" s="48" t="s">
        <v>1128</v>
      </c>
      <c r="B768" s="55" t="s">
        <v>59</v>
      </c>
    </row>
    <row r="769" customFormat="false" ht="13.8" hidden="false" customHeight="false" outlineLevel="0" collapsed="false">
      <c r="A769" s="48" t="s">
        <v>1129</v>
      </c>
      <c r="B769" s="55" t="s">
        <v>59</v>
      </c>
    </row>
    <row r="770" customFormat="false" ht="13.8" hidden="false" customHeight="false" outlineLevel="0" collapsed="false">
      <c r="A770" s="48" t="s">
        <v>839</v>
      </c>
      <c r="B770" s="55" t="s">
        <v>64</v>
      </c>
    </row>
    <row r="771" customFormat="false" ht="15" hidden="false" customHeight="false" outlineLevel="0" collapsed="false">
      <c r="A771" s="42" t="s">
        <v>120</v>
      </c>
      <c r="B771" s="55" t="s">
        <v>31</v>
      </c>
    </row>
    <row r="772" customFormat="false" ht="13.8" hidden="false" customHeight="false" outlineLevel="0" collapsed="false">
      <c r="A772" s="48" t="s">
        <v>1130</v>
      </c>
      <c r="B772" s="55" t="s">
        <v>183</v>
      </c>
    </row>
    <row r="773" customFormat="false" ht="15" hidden="false" customHeight="false" outlineLevel="0" collapsed="false">
      <c r="A773" s="42" t="s">
        <v>120</v>
      </c>
      <c r="B773" s="55" t="s">
        <v>31</v>
      </c>
    </row>
    <row r="774" customFormat="false" ht="13.8" hidden="false" customHeight="false" outlineLevel="0" collapsed="false">
      <c r="A774" s="48" t="s">
        <v>55</v>
      </c>
      <c r="B774" s="55" t="s">
        <v>53</v>
      </c>
    </row>
    <row r="775" customFormat="false" ht="13.8" hidden="false" customHeight="false" outlineLevel="0" collapsed="false">
      <c r="A775" s="48" t="s">
        <v>1068</v>
      </c>
      <c r="B775" s="55" t="s">
        <v>281</v>
      </c>
    </row>
    <row r="776" customFormat="false" ht="15" hidden="false" customHeight="false" outlineLevel="0" collapsed="false">
      <c r="A776" s="42" t="s">
        <v>120</v>
      </c>
      <c r="B776" s="55" t="s">
        <v>31</v>
      </c>
    </row>
    <row r="777" customFormat="false" ht="13.8" hidden="false" customHeight="false" outlineLevel="0" collapsed="false">
      <c r="A777" s="48" t="s">
        <v>161</v>
      </c>
      <c r="B777" s="55" t="s">
        <v>159</v>
      </c>
    </row>
    <row r="778" customFormat="false" ht="13.8" hidden="false" customHeight="false" outlineLevel="0" collapsed="false">
      <c r="A778" s="48" t="s">
        <v>205</v>
      </c>
      <c r="B778" s="55" t="s">
        <v>64</v>
      </c>
    </row>
    <row r="779" customFormat="false" ht="13.8" hidden="false" customHeight="false" outlineLevel="0" collapsed="false">
      <c r="A779" s="48" t="s">
        <v>205</v>
      </c>
      <c r="B779" s="55" t="s">
        <v>64</v>
      </c>
    </row>
    <row r="780" customFormat="false" ht="15" hidden="false" customHeight="false" outlineLevel="0" collapsed="false">
      <c r="A780" s="42" t="s">
        <v>68</v>
      </c>
      <c r="B780" s="55" t="s">
        <v>31</v>
      </c>
    </row>
    <row r="781" customFormat="false" ht="13.8" hidden="false" customHeight="false" outlineLevel="0" collapsed="false">
      <c r="A781" s="48" t="s">
        <v>449</v>
      </c>
      <c r="B781" s="55" t="s">
        <v>62</v>
      </c>
    </row>
    <row r="782" customFormat="false" ht="13.8" hidden="false" customHeight="false" outlineLevel="0" collapsed="false">
      <c r="A782" s="48" t="s">
        <v>844</v>
      </c>
      <c r="B782" s="55" t="s">
        <v>59</v>
      </c>
    </row>
    <row r="783" customFormat="false" ht="13.8" hidden="false" customHeight="false" outlineLevel="0" collapsed="false">
      <c r="A783" s="48" t="s">
        <v>1131</v>
      </c>
      <c r="B783" s="55" t="s">
        <v>59</v>
      </c>
    </row>
    <row r="784" customFormat="false" ht="15" hidden="false" customHeight="false" outlineLevel="0" collapsed="false">
      <c r="A784" s="42" t="s">
        <v>68</v>
      </c>
      <c r="B784" s="55" t="s">
        <v>31</v>
      </c>
    </row>
    <row r="785" customFormat="false" ht="13.8" hidden="false" customHeight="false" outlineLevel="0" collapsed="false">
      <c r="A785" s="48" t="s">
        <v>1132</v>
      </c>
      <c r="B785" s="55" t="s">
        <v>121</v>
      </c>
    </row>
    <row r="786" customFormat="false" ht="13.8" hidden="false" customHeight="false" outlineLevel="0" collapsed="false">
      <c r="A786" s="48" t="s">
        <v>1133</v>
      </c>
      <c r="B786" s="55" t="s">
        <v>39</v>
      </c>
    </row>
    <row r="787" customFormat="false" ht="13.8" hidden="false" customHeight="false" outlineLevel="0" collapsed="false">
      <c r="A787" s="48" t="s">
        <v>1134</v>
      </c>
      <c r="B787" s="55" t="s">
        <v>59</v>
      </c>
    </row>
    <row r="788" customFormat="false" ht="13.8" hidden="false" customHeight="false" outlineLevel="0" collapsed="false">
      <c r="A788" s="48" t="s">
        <v>60</v>
      </c>
      <c r="B788" s="55" t="s">
        <v>59</v>
      </c>
    </row>
    <row r="789" customFormat="false" ht="13.8" hidden="false" customHeight="false" outlineLevel="0" collapsed="false">
      <c r="A789" s="48" t="s">
        <v>130</v>
      </c>
      <c r="B789" s="299" t="s">
        <v>103</v>
      </c>
    </row>
    <row r="790" customFormat="false" ht="13.8" hidden="false" customHeight="false" outlineLevel="0" collapsed="false">
      <c r="A790" s="48" t="s">
        <v>140</v>
      </c>
      <c r="B790" s="55" t="s">
        <v>59</v>
      </c>
    </row>
    <row r="791" customFormat="false" ht="13.8" hidden="false" customHeight="false" outlineLevel="0" collapsed="false">
      <c r="A791" s="48" t="s">
        <v>226</v>
      </c>
      <c r="B791" s="55" t="s">
        <v>57</v>
      </c>
    </row>
    <row r="792" customFormat="false" ht="13.8" hidden="false" customHeight="false" outlineLevel="0" collapsed="false">
      <c r="A792" s="48" t="s">
        <v>226</v>
      </c>
      <c r="B792" s="55" t="s">
        <v>57</v>
      </c>
    </row>
    <row r="793" customFormat="false" ht="13.8" hidden="false" customHeight="false" outlineLevel="0" collapsed="false">
      <c r="A793" s="48" t="s">
        <v>106</v>
      </c>
      <c r="B793" s="55" t="s">
        <v>64</v>
      </c>
    </row>
    <row r="794" customFormat="false" ht="13.8" hidden="false" customHeight="false" outlineLevel="0" collapsed="false">
      <c r="A794" s="48" t="s">
        <v>106</v>
      </c>
      <c r="B794" s="55" t="s">
        <v>64</v>
      </c>
    </row>
    <row r="795" customFormat="false" ht="15" hidden="false" customHeight="false" outlineLevel="0" collapsed="false">
      <c r="A795" s="42" t="s">
        <v>68</v>
      </c>
      <c r="B795" s="55" t="s">
        <v>31</v>
      </c>
    </row>
    <row r="796" customFormat="false" ht="13.8" hidden="false" customHeight="false" outlineLevel="0" collapsed="false">
      <c r="A796" s="48" t="s">
        <v>855</v>
      </c>
      <c r="B796" s="55" t="s">
        <v>64</v>
      </c>
    </row>
    <row r="797" customFormat="false" ht="15" hidden="false" customHeight="false" outlineLevel="0" collapsed="false">
      <c r="A797" s="42" t="s">
        <v>68</v>
      </c>
      <c r="B797" s="55" t="s">
        <v>31</v>
      </c>
    </row>
    <row r="798" customFormat="false" ht="13.8" hidden="false" customHeight="false" outlineLevel="0" collapsed="false">
      <c r="A798" s="48" t="s">
        <v>55</v>
      </c>
      <c r="B798" s="55" t="s">
        <v>53</v>
      </c>
    </row>
    <row r="799" customFormat="false" ht="15" hidden="false" customHeight="false" outlineLevel="0" collapsed="false">
      <c r="A799" s="42" t="s">
        <v>68</v>
      </c>
      <c r="B799" s="55" t="s">
        <v>31</v>
      </c>
    </row>
    <row r="800" customFormat="false" ht="13.8" hidden="false" customHeight="false" outlineLevel="0" collapsed="false">
      <c r="A800" s="48" t="s">
        <v>1135</v>
      </c>
      <c r="B800" s="55" t="s">
        <v>57</v>
      </c>
    </row>
    <row r="801" customFormat="false" ht="13.8" hidden="false" customHeight="false" outlineLevel="0" collapsed="false">
      <c r="A801" s="48" t="s">
        <v>1136</v>
      </c>
      <c r="B801" s="55" t="s">
        <v>1137</v>
      </c>
    </row>
    <row r="802" customFormat="false" ht="15" hidden="false" customHeight="false" outlineLevel="0" collapsed="false">
      <c r="A802" s="42" t="s">
        <v>68</v>
      </c>
      <c r="B802" s="55" t="s">
        <v>31</v>
      </c>
    </row>
    <row r="803" customFormat="false" ht="15" hidden="false" customHeight="false" outlineLevel="0" collapsed="false">
      <c r="A803" s="42" t="s">
        <v>1138</v>
      </c>
      <c r="B803" s="55" t="s">
        <v>31</v>
      </c>
    </row>
    <row r="804" customFormat="false" ht="15" hidden="false" customHeight="false" outlineLevel="0" collapsed="false">
      <c r="A804" s="42" t="s">
        <v>1139</v>
      </c>
      <c r="B804" s="55" t="s">
        <v>31</v>
      </c>
    </row>
    <row r="805" customFormat="false" ht="13.8" hidden="false" customHeight="false" outlineLevel="0" collapsed="false">
      <c r="A805" s="48" t="s">
        <v>38</v>
      </c>
      <c r="B805" s="55" t="s">
        <v>41</v>
      </c>
    </row>
    <row r="806" customFormat="false" ht="13.8" hidden="false" customHeight="false" outlineLevel="0" collapsed="false">
      <c r="A806" s="48" t="s">
        <v>55</v>
      </c>
      <c r="B806" s="55" t="s">
        <v>53</v>
      </c>
    </row>
    <row r="807" customFormat="false" ht="13.8" hidden="false" customHeight="false" outlineLevel="0" collapsed="false">
      <c r="A807" s="48" t="s">
        <v>86</v>
      </c>
      <c r="B807" s="55" t="s">
        <v>85</v>
      </c>
    </row>
    <row r="808" customFormat="false" ht="15" hidden="false" customHeight="false" outlineLevel="0" collapsed="false">
      <c r="A808" s="42" t="s">
        <v>120</v>
      </c>
      <c r="B808" s="55" t="s">
        <v>31</v>
      </c>
    </row>
    <row r="809" customFormat="false" ht="15" hidden="false" customHeight="false" outlineLevel="0" collapsed="false">
      <c r="A809" s="42" t="s">
        <v>68</v>
      </c>
      <c r="B809" s="55" t="s">
        <v>31</v>
      </c>
    </row>
    <row r="810" customFormat="false" ht="15" hidden="false" customHeight="false" outlineLevel="0" collapsed="false">
      <c r="A810" s="302" t="s">
        <v>52</v>
      </c>
      <c r="B810" s="55" t="s">
        <v>31</v>
      </c>
    </row>
    <row r="811" customFormat="false" ht="13.8" hidden="false" customHeight="false" outlineLevel="0" collapsed="false">
      <c r="A811" s="300" t="s">
        <v>1140</v>
      </c>
      <c r="B811" s="55" t="s">
        <v>59</v>
      </c>
    </row>
    <row r="812" customFormat="false" ht="13.8" hidden="false" customHeight="false" outlineLevel="0" collapsed="false">
      <c r="A812" s="300" t="s">
        <v>55</v>
      </c>
      <c r="B812" s="55" t="s">
        <v>53</v>
      </c>
    </row>
    <row r="813" customFormat="false" ht="13.8" hidden="false" customHeight="false" outlineLevel="0" collapsed="false">
      <c r="A813" s="300" t="s">
        <v>161</v>
      </c>
      <c r="B813" s="55" t="s">
        <v>159</v>
      </c>
    </row>
    <row r="814" customFormat="false" ht="13.8" hidden="false" customHeight="false" outlineLevel="0" collapsed="false">
      <c r="A814" s="300" t="s">
        <v>144</v>
      </c>
      <c r="B814" s="55" t="s">
        <v>57</v>
      </c>
    </row>
    <row r="815" customFormat="false" ht="13.8" hidden="false" customHeight="false" outlineLevel="0" collapsed="false">
      <c r="A815" s="300" t="s">
        <v>240</v>
      </c>
      <c r="B815" s="55" t="s">
        <v>62</v>
      </c>
    </row>
    <row r="816" customFormat="false" ht="13.8" hidden="false" customHeight="false" outlineLevel="0" collapsed="false">
      <c r="A816" s="300" t="s">
        <v>205</v>
      </c>
      <c r="B816" s="55" t="s">
        <v>64</v>
      </c>
    </row>
    <row r="817" customFormat="false" ht="15" hidden="false" customHeight="false" outlineLevel="0" collapsed="false">
      <c r="A817" s="302" t="s">
        <v>120</v>
      </c>
      <c r="B817" s="55" t="s">
        <v>31</v>
      </c>
    </row>
    <row r="818" customFormat="false" ht="13.8" hidden="false" customHeight="false" outlineLevel="0" collapsed="false">
      <c r="A818" s="300" t="s">
        <v>283</v>
      </c>
      <c r="B818" s="55" t="s">
        <v>391</v>
      </c>
    </row>
    <row r="819" customFormat="false" ht="13.8" hidden="false" customHeight="false" outlineLevel="0" collapsed="false">
      <c r="A819" s="300" t="s">
        <v>55</v>
      </c>
      <c r="B819" s="55" t="s">
        <v>53</v>
      </c>
    </row>
    <row r="820" customFormat="false" ht="13.8" hidden="false" customHeight="false" outlineLevel="0" collapsed="false">
      <c r="A820" s="300" t="s">
        <v>1072</v>
      </c>
      <c r="B820" s="55" t="s">
        <v>59</v>
      </c>
    </row>
    <row r="821" customFormat="false" ht="13.8" hidden="false" customHeight="false" outlineLevel="0" collapsed="false">
      <c r="A821" s="300" t="s">
        <v>1141</v>
      </c>
      <c r="B821" s="55" t="s">
        <v>66</v>
      </c>
    </row>
    <row r="822" customFormat="false" ht="15" hidden="false" customHeight="false" outlineLevel="0" collapsed="false">
      <c r="A822" s="302" t="s">
        <v>120</v>
      </c>
      <c r="B822" s="55" t="s">
        <v>31</v>
      </c>
    </row>
    <row r="823" customFormat="false" ht="13.8" hidden="false" customHeight="false" outlineLevel="0" collapsed="false">
      <c r="A823" s="300" t="s">
        <v>1142</v>
      </c>
      <c r="B823" s="55" t="s">
        <v>80</v>
      </c>
    </row>
    <row r="824" customFormat="false" ht="13.8" hidden="false" customHeight="false" outlineLevel="0" collapsed="false">
      <c r="A824" s="300" t="s">
        <v>1143</v>
      </c>
      <c r="B824" s="55" t="s">
        <v>80</v>
      </c>
    </row>
    <row r="825" customFormat="false" ht="13.8" hidden="false" customHeight="false" outlineLevel="0" collapsed="false">
      <c r="A825" s="300" t="s">
        <v>55</v>
      </c>
      <c r="B825" s="55" t="s">
        <v>53</v>
      </c>
    </row>
    <row r="826" customFormat="false" ht="13.8" hidden="false" customHeight="false" outlineLevel="0" collapsed="false">
      <c r="A826" s="300" t="s">
        <v>1144</v>
      </c>
      <c r="B826" s="55" t="s">
        <v>183</v>
      </c>
    </row>
    <row r="827" customFormat="false" ht="15" hidden="false" customHeight="false" outlineLevel="0" collapsed="false">
      <c r="A827" s="302" t="s">
        <v>120</v>
      </c>
      <c r="B827" s="55" t="s">
        <v>31</v>
      </c>
    </row>
    <row r="828" customFormat="false" ht="13.8" hidden="false" customHeight="false" outlineLevel="0" collapsed="false">
      <c r="A828" s="300" t="s">
        <v>205</v>
      </c>
      <c r="B828" s="55" t="s">
        <v>64</v>
      </c>
    </row>
    <row r="829" customFormat="false" ht="15" hidden="false" customHeight="false" outlineLevel="0" collapsed="false">
      <c r="A829" s="302" t="s">
        <v>120</v>
      </c>
      <c r="B829" s="55" t="s">
        <v>31</v>
      </c>
    </row>
    <row r="830" customFormat="false" ht="13.8" hidden="false" customHeight="false" outlineLevel="0" collapsed="false">
      <c r="A830" s="300" t="s">
        <v>1145</v>
      </c>
      <c r="B830" s="55" t="s">
        <v>59</v>
      </c>
    </row>
    <row r="831" customFormat="false" ht="13.8" hidden="false" customHeight="false" outlineLevel="0" collapsed="false">
      <c r="A831" s="300" t="s">
        <v>1146</v>
      </c>
      <c r="B831" s="55" t="s">
        <v>59</v>
      </c>
    </row>
    <row r="832" customFormat="false" ht="13.8" hidden="false" customHeight="false" outlineLevel="0" collapsed="false">
      <c r="A832" s="300" t="s">
        <v>910</v>
      </c>
      <c r="B832" s="55" t="s">
        <v>64</v>
      </c>
    </row>
    <row r="833" customFormat="false" ht="13.8" hidden="false" customHeight="false" outlineLevel="0" collapsed="false">
      <c r="A833" s="300" t="s">
        <v>910</v>
      </c>
      <c r="B833" s="55" t="s">
        <v>64</v>
      </c>
    </row>
    <row r="834" customFormat="false" ht="13.8" hidden="false" customHeight="false" outlineLevel="0" collapsed="false">
      <c r="A834" s="300" t="s">
        <v>1082</v>
      </c>
      <c r="B834" s="55" t="s">
        <v>59</v>
      </c>
    </row>
    <row r="835" customFormat="false" ht="13.8" hidden="false" customHeight="false" outlineLevel="0" collapsed="false">
      <c r="A835" s="300" t="s">
        <v>1147</v>
      </c>
      <c r="B835" s="55" t="s">
        <v>59</v>
      </c>
    </row>
    <row r="836" customFormat="false" ht="15" hidden="false" customHeight="false" outlineLevel="0" collapsed="false">
      <c r="A836" s="302" t="s">
        <v>120</v>
      </c>
      <c r="B836" s="55" t="s">
        <v>31</v>
      </c>
    </row>
    <row r="837" customFormat="false" ht="13.8" hidden="false" customHeight="false" outlineLevel="0" collapsed="false">
      <c r="A837" s="300" t="s">
        <v>1148</v>
      </c>
      <c r="B837" s="55" t="s">
        <v>391</v>
      </c>
    </row>
    <row r="838" customFormat="false" ht="13.8" hidden="false" customHeight="false" outlineLevel="0" collapsed="false">
      <c r="A838" s="300" t="s">
        <v>55</v>
      </c>
      <c r="B838" s="55" t="s">
        <v>53</v>
      </c>
    </row>
    <row r="839" customFormat="false" ht="13.8" hidden="false" customHeight="false" outlineLevel="0" collapsed="false">
      <c r="A839" s="300" t="s">
        <v>58</v>
      </c>
      <c r="B839" s="55" t="s">
        <v>57</v>
      </c>
    </row>
    <row r="840" customFormat="false" ht="13.8" hidden="false" customHeight="false" outlineLevel="0" collapsed="false">
      <c r="A840" s="300" t="s">
        <v>58</v>
      </c>
      <c r="B840" s="55" t="s">
        <v>57</v>
      </c>
    </row>
    <row r="841" customFormat="false" ht="13.8" hidden="false" customHeight="false" outlineLevel="0" collapsed="false">
      <c r="A841" s="300" t="s">
        <v>1149</v>
      </c>
      <c r="B841" s="55" t="s">
        <v>59</v>
      </c>
    </row>
    <row r="842" customFormat="false" ht="13.8" hidden="false" customHeight="false" outlineLevel="0" collapsed="false">
      <c r="A842" s="300" t="s">
        <v>412</v>
      </c>
      <c r="B842" s="55" t="s">
        <v>211</v>
      </c>
    </row>
    <row r="843" customFormat="false" ht="13.8" hidden="false" customHeight="false" outlineLevel="0" collapsed="false">
      <c r="A843" s="300" t="s">
        <v>107</v>
      </c>
      <c r="B843" s="55" t="s">
        <v>66</v>
      </c>
    </row>
    <row r="844" customFormat="false" ht="13.8" hidden="false" customHeight="false" outlineLevel="0" collapsed="false">
      <c r="A844" s="300" t="s">
        <v>109</v>
      </c>
      <c r="B844" s="55" t="s">
        <v>108</v>
      </c>
    </row>
    <row r="845" customFormat="false" ht="13.8" hidden="false" customHeight="false" outlineLevel="0" collapsed="false">
      <c r="A845" s="300" t="s">
        <v>310</v>
      </c>
      <c r="B845" s="55" t="s">
        <v>31</v>
      </c>
    </row>
    <row r="846" customFormat="false" ht="15" hidden="false" customHeight="false" outlineLevel="0" collapsed="false">
      <c r="A846" s="302" t="s">
        <v>120</v>
      </c>
      <c r="B846" s="55" t="s">
        <v>31</v>
      </c>
    </row>
    <row r="847" customFormat="false" ht="15" hidden="false" customHeight="false" outlineLevel="0" collapsed="false">
      <c r="A847" s="302" t="s">
        <v>120</v>
      </c>
      <c r="B847" s="55" t="s">
        <v>31</v>
      </c>
    </row>
    <row r="848" customFormat="false" ht="13.8" hidden="false" customHeight="false" outlineLevel="0" collapsed="false">
      <c r="A848" s="300" t="s">
        <v>1066</v>
      </c>
      <c r="B848" s="55" t="s">
        <v>64</v>
      </c>
    </row>
    <row r="849" customFormat="false" ht="13.8" hidden="false" customHeight="false" outlineLevel="0" collapsed="false">
      <c r="A849" s="300" t="s">
        <v>1066</v>
      </c>
      <c r="B849" s="55" t="s">
        <v>64</v>
      </c>
    </row>
    <row r="850" customFormat="false" ht="13.8" hidden="false" customHeight="false" outlineLevel="0" collapsed="false">
      <c r="A850" s="300" t="s">
        <v>1150</v>
      </c>
      <c r="B850" s="55" t="s">
        <v>64</v>
      </c>
    </row>
    <row r="851" customFormat="false" ht="15" hidden="false" customHeight="false" outlineLevel="0" collapsed="false">
      <c r="A851" s="302" t="s">
        <v>120</v>
      </c>
      <c r="B851" s="55" t="s">
        <v>31</v>
      </c>
    </row>
    <row r="852" customFormat="false" ht="15" hidden="false" customHeight="false" outlineLevel="0" collapsed="false">
      <c r="A852" s="302" t="s">
        <v>120</v>
      </c>
      <c r="B852" s="55" t="s">
        <v>31</v>
      </c>
    </row>
    <row r="853" customFormat="false" ht="13.8" hidden="false" customHeight="false" outlineLevel="0" collapsed="false">
      <c r="A853" s="300" t="s">
        <v>55</v>
      </c>
      <c r="B853" s="55" t="s">
        <v>53</v>
      </c>
    </row>
    <row r="854" customFormat="false" ht="13.8" hidden="false" customHeight="false" outlineLevel="0" collapsed="false">
      <c r="A854" s="300" t="s">
        <v>55</v>
      </c>
      <c r="B854" s="55" t="s">
        <v>53</v>
      </c>
    </row>
    <row r="855" customFormat="false" ht="13.8" hidden="false" customHeight="false" outlineLevel="0" collapsed="false">
      <c r="A855" s="300" t="s">
        <v>58</v>
      </c>
      <c r="B855" s="55" t="s">
        <v>57</v>
      </c>
    </row>
    <row r="856" customFormat="false" ht="13.8" hidden="false" customHeight="false" outlineLevel="0" collapsed="false">
      <c r="A856" s="300" t="s">
        <v>205</v>
      </c>
      <c r="B856" s="55" t="s">
        <v>64</v>
      </c>
    </row>
    <row r="857" customFormat="false" ht="15" hidden="false" customHeight="false" outlineLevel="0" collapsed="false">
      <c r="A857" s="302" t="s">
        <v>120</v>
      </c>
      <c r="B857" s="55" t="s">
        <v>31</v>
      </c>
    </row>
    <row r="858" customFormat="false" ht="13.8" hidden="false" customHeight="false" outlineLevel="0" collapsed="false">
      <c r="A858" s="300" t="s">
        <v>1151</v>
      </c>
      <c r="B858" s="55" t="s">
        <v>121</v>
      </c>
    </row>
    <row r="859" customFormat="false" ht="13.8" hidden="false" customHeight="false" outlineLevel="0" collapsed="false">
      <c r="A859" s="300" t="s">
        <v>79</v>
      </c>
      <c r="B859" s="55" t="s">
        <v>59</v>
      </c>
    </row>
    <row r="860" customFormat="false" ht="13.8" hidden="false" customHeight="false" outlineLevel="0" collapsed="false">
      <c r="A860" s="300" t="s">
        <v>1080</v>
      </c>
      <c r="B860" s="55" t="s">
        <v>1152</v>
      </c>
    </row>
    <row r="861" customFormat="false" ht="13.8" hidden="false" customHeight="false" outlineLevel="0" collapsed="false">
      <c r="A861" s="300" t="s">
        <v>1080</v>
      </c>
      <c r="B861" s="55" t="s">
        <v>1152</v>
      </c>
    </row>
    <row r="862" customFormat="false" ht="13.8" hidden="false" customHeight="false" outlineLevel="0" collapsed="false">
      <c r="A862" s="300" t="s">
        <v>240</v>
      </c>
      <c r="B862" s="55" t="s">
        <v>62</v>
      </c>
    </row>
    <row r="863" customFormat="false" ht="13.8" hidden="false" customHeight="false" outlineLevel="0" collapsed="false">
      <c r="A863" s="300" t="s">
        <v>130</v>
      </c>
      <c r="B863" s="55" t="s">
        <v>103</v>
      </c>
    </row>
    <row r="864" customFormat="false" ht="13.8" hidden="false" customHeight="false" outlineLevel="0" collapsed="false">
      <c r="A864" s="300" t="s">
        <v>106</v>
      </c>
      <c r="B864" s="55" t="s">
        <v>64</v>
      </c>
    </row>
    <row r="865" customFormat="false" ht="13.8" hidden="false" customHeight="false" outlineLevel="0" collapsed="false">
      <c r="A865" s="300" t="s">
        <v>135</v>
      </c>
      <c r="B865" s="55" t="s">
        <v>134</v>
      </c>
    </row>
    <row r="866" customFormat="false" ht="13.8" hidden="false" customHeight="false" outlineLevel="0" collapsed="false">
      <c r="A866" s="300" t="s">
        <v>86</v>
      </c>
      <c r="B866" s="55" t="s">
        <v>85</v>
      </c>
    </row>
    <row r="867" customFormat="false" ht="15" hidden="false" customHeight="false" outlineLevel="0" collapsed="false">
      <c r="A867" s="302" t="s">
        <v>120</v>
      </c>
      <c r="B867" s="55" t="s">
        <v>31</v>
      </c>
    </row>
    <row r="868" customFormat="false" ht="15" hidden="false" customHeight="false" outlineLevel="0" collapsed="false">
      <c r="A868" s="302" t="s">
        <v>120</v>
      </c>
      <c r="B868" s="55" t="s">
        <v>31</v>
      </c>
    </row>
    <row r="869" customFormat="false" ht="13.8" hidden="false" customHeight="false" outlineLevel="0" collapsed="false">
      <c r="A869" s="300" t="s">
        <v>119</v>
      </c>
      <c r="B869" s="55" t="s">
        <v>57</v>
      </c>
    </row>
    <row r="870" customFormat="false" ht="13.8" hidden="false" customHeight="false" outlineLevel="0" collapsed="false">
      <c r="A870" s="300" t="s">
        <v>205</v>
      </c>
      <c r="B870" s="55" t="s">
        <v>64</v>
      </c>
    </row>
    <row r="871" customFormat="false" ht="15" hidden="false" customHeight="false" outlineLevel="0" collapsed="false">
      <c r="A871" s="302" t="s">
        <v>120</v>
      </c>
      <c r="B871" s="55" t="s">
        <v>31</v>
      </c>
    </row>
    <row r="872" customFormat="false" ht="13.8" hidden="false" customHeight="false" outlineLevel="0" collapsed="false">
      <c r="A872" s="300" t="s">
        <v>907</v>
      </c>
      <c r="B872" s="55" t="s">
        <v>59</v>
      </c>
    </row>
    <row r="873" customFormat="false" ht="15" hidden="false" customHeight="false" outlineLevel="0" collapsed="false">
      <c r="A873" s="302" t="s">
        <v>120</v>
      </c>
      <c r="B873" s="55" t="s">
        <v>31</v>
      </c>
    </row>
    <row r="874" customFormat="false" ht="13.8" hidden="false" customHeight="false" outlineLevel="0" collapsed="false">
      <c r="A874" s="300" t="s">
        <v>55</v>
      </c>
      <c r="B874" s="55" t="s">
        <v>53</v>
      </c>
    </row>
    <row r="875" customFormat="false" ht="13.8" hidden="false" customHeight="false" outlineLevel="0" collapsed="false">
      <c r="A875" s="300" t="s">
        <v>55</v>
      </c>
      <c r="B875" s="55" t="s">
        <v>53</v>
      </c>
    </row>
    <row r="876" customFormat="false" ht="13.8" hidden="false" customHeight="false" outlineLevel="0" collapsed="false">
      <c r="A876" s="300" t="s">
        <v>1153</v>
      </c>
      <c r="B876" s="55" t="s">
        <v>59</v>
      </c>
    </row>
    <row r="877" customFormat="false" ht="13.8" hidden="false" customHeight="false" outlineLevel="0" collapsed="false">
      <c r="A877" s="300" t="s">
        <v>1154</v>
      </c>
      <c r="B877" s="55" t="s">
        <v>53</v>
      </c>
    </row>
    <row r="878" customFormat="false" ht="15" hidden="false" customHeight="false" outlineLevel="0" collapsed="false">
      <c r="A878" s="302" t="s">
        <v>120</v>
      </c>
      <c r="B878" s="55" t="s">
        <v>31</v>
      </c>
    </row>
    <row r="879" customFormat="false" ht="13.8" hidden="false" customHeight="false" outlineLevel="0" collapsed="false">
      <c r="A879" s="300" t="s">
        <v>1155</v>
      </c>
      <c r="B879" s="55" t="s">
        <v>121</v>
      </c>
    </row>
    <row r="880" customFormat="false" ht="13.8" hidden="false" customHeight="false" outlineLevel="0" collapsed="false">
      <c r="A880" s="300" t="s">
        <v>55</v>
      </c>
      <c r="B880" s="55" t="s">
        <v>53</v>
      </c>
    </row>
    <row r="881" customFormat="false" ht="13.8" hidden="false" customHeight="false" outlineLevel="0" collapsed="false">
      <c r="A881" s="300" t="s">
        <v>1156</v>
      </c>
      <c r="B881" s="55" t="s">
        <v>62</v>
      </c>
    </row>
    <row r="882" customFormat="false" ht="13.8" hidden="false" customHeight="false" outlineLevel="0" collapsed="false">
      <c r="A882" s="300" t="s">
        <v>1156</v>
      </c>
      <c r="B882" s="55" t="s">
        <v>62</v>
      </c>
    </row>
    <row r="883" customFormat="false" ht="13.8" hidden="false" customHeight="false" outlineLevel="0" collapsed="false">
      <c r="A883" s="300" t="s">
        <v>1157</v>
      </c>
      <c r="B883" s="55" t="s">
        <v>62</v>
      </c>
    </row>
    <row r="884" customFormat="false" ht="13.8" hidden="false" customHeight="false" outlineLevel="0" collapsed="false">
      <c r="A884" s="300" t="s">
        <v>1054</v>
      </c>
      <c r="B884" s="55" t="s">
        <v>62</v>
      </c>
    </row>
    <row r="885" customFormat="false" ht="13.8" hidden="false" customHeight="false" outlineLevel="0" collapsed="false">
      <c r="A885" s="300" t="s">
        <v>1158</v>
      </c>
      <c r="B885" s="55" t="s">
        <v>1159</v>
      </c>
    </row>
    <row r="886" customFormat="false" ht="13.8" hidden="false" customHeight="false" outlineLevel="0" collapsed="false">
      <c r="A886" s="300" t="s">
        <v>130</v>
      </c>
      <c r="B886" s="55" t="s">
        <v>103</v>
      </c>
    </row>
    <row r="887" customFormat="false" ht="13.8" hidden="false" customHeight="false" outlineLevel="0" collapsed="false">
      <c r="A887" s="300" t="s">
        <v>106</v>
      </c>
      <c r="B887" s="55" t="s">
        <v>64</v>
      </c>
    </row>
    <row r="888" customFormat="false" ht="13.8" hidden="false" customHeight="false" outlineLevel="0" collapsed="false">
      <c r="A888" s="300" t="s">
        <v>205</v>
      </c>
      <c r="B888" s="55" t="s">
        <v>64</v>
      </c>
    </row>
    <row r="889" customFormat="false" ht="13.8" hidden="false" customHeight="false" outlineLevel="0" collapsed="false">
      <c r="A889" s="300" t="s">
        <v>854</v>
      </c>
      <c r="B889" s="55" t="s">
        <v>505</v>
      </c>
    </row>
    <row r="890" customFormat="false" ht="15" hidden="false" customHeight="false" outlineLevel="0" collapsed="false">
      <c r="A890" s="302" t="s">
        <v>120</v>
      </c>
      <c r="B890" s="55" t="s">
        <v>31</v>
      </c>
    </row>
    <row r="891" customFormat="false" ht="13.8" hidden="false" customHeight="false" outlineLevel="0" collapsed="false">
      <c r="A891" s="300" t="s">
        <v>79</v>
      </c>
      <c r="B891" s="55" t="s">
        <v>59</v>
      </c>
    </row>
    <row r="892" customFormat="false" ht="13.8" hidden="false" customHeight="false" outlineLevel="0" collapsed="false">
      <c r="A892" s="300" t="s">
        <v>205</v>
      </c>
      <c r="B892" s="55" t="s">
        <v>64</v>
      </c>
    </row>
    <row r="893" customFormat="false" ht="15" hidden="false" customHeight="false" outlineLevel="0" collapsed="false">
      <c r="A893" s="302" t="s">
        <v>120</v>
      </c>
      <c r="B893" s="55" t="s">
        <v>31</v>
      </c>
    </row>
    <row r="894" customFormat="false" ht="15" hidden="false" customHeight="false" outlineLevel="0" collapsed="false">
      <c r="A894" s="302" t="s">
        <v>120</v>
      </c>
      <c r="B894" s="55" t="s">
        <v>31</v>
      </c>
    </row>
    <row r="895" customFormat="false" ht="13.8" hidden="false" customHeight="false" outlineLevel="0" collapsed="false">
      <c r="A895" s="300" t="s">
        <v>205</v>
      </c>
      <c r="B895" s="55" t="s">
        <v>64</v>
      </c>
    </row>
    <row r="896" customFormat="false" ht="13.8" hidden="false" customHeight="false" outlineLevel="0" collapsed="false">
      <c r="A896" s="300" t="s">
        <v>205</v>
      </c>
      <c r="B896" s="55" t="s">
        <v>64</v>
      </c>
    </row>
    <row r="897" customFormat="false" ht="15" hidden="false" customHeight="false" outlineLevel="0" collapsed="false">
      <c r="A897" s="302" t="s">
        <v>120</v>
      </c>
      <c r="B897" s="55" t="s">
        <v>31</v>
      </c>
    </row>
    <row r="898" customFormat="false" ht="13.8" hidden="false" customHeight="false" outlineLevel="0" collapsed="false">
      <c r="A898" s="300" t="s">
        <v>205</v>
      </c>
      <c r="B898" s="55" t="s">
        <v>64</v>
      </c>
    </row>
    <row r="899" customFormat="false" ht="15" hidden="false" customHeight="false" outlineLevel="0" collapsed="false">
      <c r="A899" s="302" t="s">
        <v>120</v>
      </c>
      <c r="B899" s="55" t="s">
        <v>31</v>
      </c>
    </row>
    <row r="900" customFormat="false" ht="13.8" hidden="false" customHeight="false" outlineLevel="0" collapsed="false">
      <c r="A900" s="300" t="s">
        <v>1160</v>
      </c>
      <c r="B900" s="55" t="s">
        <v>121</v>
      </c>
    </row>
    <row r="901" customFormat="false" ht="13.8" hidden="false" customHeight="false" outlineLevel="0" collapsed="false">
      <c r="A901" s="300" t="s">
        <v>38</v>
      </c>
      <c r="B901" s="55" t="s">
        <v>41</v>
      </c>
    </row>
    <row r="902" customFormat="false" ht="13.8" hidden="false" customHeight="false" outlineLevel="0" collapsed="false">
      <c r="A902" s="300" t="s">
        <v>907</v>
      </c>
      <c r="B902" s="55" t="s">
        <v>59</v>
      </c>
    </row>
    <row r="903" customFormat="false" ht="13.8" hidden="false" customHeight="false" outlineLevel="0" collapsed="false">
      <c r="A903" s="300" t="s">
        <v>449</v>
      </c>
      <c r="B903" s="55" t="s">
        <v>62</v>
      </c>
    </row>
    <row r="904" customFormat="false" ht="13.8" hidden="false" customHeight="false" outlineLevel="0" collapsed="false">
      <c r="A904" s="300" t="s">
        <v>130</v>
      </c>
      <c r="B904" s="55" t="s">
        <v>103</v>
      </c>
    </row>
    <row r="905" customFormat="false" ht="13.8" hidden="false" customHeight="false" outlineLevel="0" collapsed="false">
      <c r="A905" s="300" t="s">
        <v>130</v>
      </c>
      <c r="B905" s="55" t="s">
        <v>103</v>
      </c>
    </row>
    <row r="906" customFormat="false" ht="13.8" hidden="false" customHeight="false" outlineLevel="0" collapsed="false">
      <c r="A906" s="300" t="s">
        <v>162</v>
      </c>
      <c r="B906" s="55" t="s">
        <v>57</v>
      </c>
    </row>
    <row r="907" customFormat="false" ht="13.8" hidden="false" customHeight="false" outlineLevel="0" collapsed="false">
      <c r="A907" s="300" t="s">
        <v>86</v>
      </c>
      <c r="B907" s="55" t="s">
        <v>85</v>
      </c>
    </row>
    <row r="908" customFormat="false" ht="15" hidden="false" customHeight="false" outlineLevel="0" collapsed="false">
      <c r="A908" s="302" t="s">
        <v>120</v>
      </c>
      <c r="B908" s="55" t="s">
        <v>31</v>
      </c>
    </row>
    <row r="909" customFormat="false" ht="15" hidden="false" customHeight="false" outlineLevel="0" collapsed="false">
      <c r="A909" s="302" t="s">
        <v>68</v>
      </c>
      <c r="B909" s="55" t="s">
        <v>31</v>
      </c>
    </row>
    <row r="910" customFormat="false" ht="15" hidden="false" customHeight="false" outlineLevel="0" collapsed="false">
      <c r="A910" s="304" t="s">
        <v>52</v>
      </c>
      <c r="B910" s="55" t="s">
        <v>31</v>
      </c>
    </row>
    <row r="911" customFormat="false" ht="13.8" hidden="false" customHeight="false" outlineLevel="0" collapsed="false">
      <c r="A911" s="303" t="s">
        <v>58</v>
      </c>
      <c r="B911" s="55" t="s">
        <v>57</v>
      </c>
    </row>
    <row r="912" customFormat="false" ht="15" hidden="false" customHeight="false" outlineLevel="0" collapsed="false">
      <c r="A912" s="304" t="s">
        <v>120</v>
      </c>
      <c r="B912" s="55" t="s">
        <v>31</v>
      </c>
    </row>
    <row r="913" customFormat="false" ht="13.8" hidden="false" customHeight="false" outlineLevel="0" collapsed="false">
      <c r="A913" s="303" t="s">
        <v>1161</v>
      </c>
      <c r="B913" s="55" t="s">
        <v>66</v>
      </c>
    </row>
    <row r="914" customFormat="false" ht="15" hidden="false" customHeight="false" outlineLevel="0" collapsed="false">
      <c r="A914" s="304" t="s">
        <v>120</v>
      </c>
      <c r="B914" s="55" t="s">
        <v>31</v>
      </c>
    </row>
    <row r="915" customFormat="false" ht="13.8" hidden="false" customHeight="false" outlineLevel="0" collapsed="false">
      <c r="A915" s="303" t="s">
        <v>205</v>
      </c>
      <c r="B915" s="55" t="s">
        <v>64</v>
      </c>
    </row>
    <row r="916" customFormat="false" ht="15" hidden="false" customHeight="false" outlineLevel="0" collapsed="false">
      <c r="A916" s="304" t="s">
        <v>120</v>
      </c>
      <c r="B916" s="55" t="s">
        <v>31</v>
      </c>
    </row>
    <row r="917" customFormat="false" ht="13.8" hidden="false" customHeight="false" outlineLevel="0" collapsed="false">
      <c r="A917" s="303" t="s">
        <v>903</v>
      </c>
      <c r="B917" s="55" t="s">
        <v>57</v>
      </c>
    </row>
    <row r="918" customFormat="false" ht="15" hidden="false" customHeight="false" outlineLevel="0" collapsed="false">
      <c r="A918" s="304" t="s">
        <v>120</v>
      </c>
      <c r="B918" s="55" t="s">
        <v>31</v>
      </c>
    </row>
    <row r="919" customFormat="false" ht="13.8" hidden="false" customHeight="false" outlineLevel="0" collapsed="false">
      <c r="A919" s="303" t="s">
        <v>1162</v>
      </c>
      <c r="B919" s="55" t="s">
        <v>121</v>
      </c>
    </row>
    <row r="920" customFormat="false" ht="13.8" hidden="false" customHeight="false" outlineLevel="0" collapsed="false">
      <c r="A920" s="303" t="s">
        <v>55</v>
      </c>
      <c r="B920" s="55" t="s">
        <v>53</v>
      </c>
    </row>
    <row r="921" customFormat="false" ht="13.8" hidden="false" customHeight="false" outlineLevel="0" collapsed="false">
      <c r="A921" s="303" t="s">
        <v>55</v>
      </c>
      <c r="B921" s="55" t="s">
        <v>53</v>
      </c>
    </row>
    <row r="922" customFormat="false" ht="13.8" hidden="false" customHeight="false" outlineLevel="0" collapsed="false">
      <c r="A922" s="303" t="s">
        <v>60</v>
      </c>
      <c r="B922" s="55" t="s">
        <v>59</v>
      </c>
    </row>
    <row r="923" customFormat="false" ht="13.8" hidden="false" customHeight="false" outlineLevel="0" collapsed="false">
      <c r="A923" s="303" t="s">
        <v>877</v>
      </c>
      <c r="B923" s="55" t="s">
        <v>53</v>
      </c>
    </row>
    <row r="924" customFormat="false" ht="13.8" hidden="false" customHeight="false" outlineLevel="0" collapsed="false">
      <c r="A924" s="303" t="s">
        <v>130</v>
      </c>
      <c r="B924" s="299" t="s">
        <v>103</v>
      </c>
    </row>
    <row r="925" customFormat="false" ht="13.8" hidden="false" customHeight="false" outlineLevel="0" collapsed="false">
      <c r="A925" s="303" t="s">
        <v>1163</v>
      </c>
      <c r="B925" s="55" t="s">
        <v>857</v>
      </c>
    </row>
    <row r="926" customFormat="false" ht="13.8" hidden="false" customHeight="false" outlineLevel="0" collapsed="false">
      <c r="A926" s="303" t="s">
        <v>106</v>
      </c>
      <c r="B926" s="55" t="s">
        <v>64</v>
      </c>
    </row>
    <row r="927" customFormat="false" ht="13.8" hidden="false" customHeight="false" outlineLevel="0" collapsed="false">
      <c r="A927" s="303" t="s">
        <v>205</v>
      </c>
      <c r="B927" s="55" t="s">
        <v>64</v>
      </c>
    </row>
    <row r="928" customFormat="false" ht="13.8" hidden="false" customHeight="false" outlineLevel="0" collapsed="false">
      <c r="A928" s="303" t="s">
        <v>205</v>
      </c>
      <c r="B928" s="55" t="s">
        <v>64</v>
      </c>
    </row>
    <row r="929" customFormat="false" ht="13.8" hidden="false" customHeight="false" outlineLevel="0" collapsed="false">
      <c r="A929" s="303" t="s">
        <v>844</v>
      </c>
      <c r="B929" s="55" t="s">
        <v>59</v>
      </c>
    </row>
    <row r="930" customFormat="false" ht="15" hidden="false" customHeight="false" outlineLevel="0" collapsed="false">
      <c r="A930" s="304" t="s">
        <v>68</v>
      </c>
      <c r="B930" s="55" t="s">
        <v>31</v>
      </c>
    </row>
    <row r="931" customFormat="false" ht="13.8" hidden="false" customHeight="false" outlineLevel="0" collapsed="false">
      <c r="A931" s="303" t="s">
        <v>1164</v>
      </c>
      <c r="B931" s="55" t="s">
        <v>80</v>
      </c>
    </row>
    <row r="932" customFormat="false" ht="13.8" hidden="false" customHeight="false" outlineLevel="0" collapsed="false">
      <c r="A932" s="303" t="s">
        <v>205</v>
      </c>
      <c r="B932" s="55" t="s">
        <v>64</v>
      </c>
    </row>
    <row r="933" customFormat="false" ht="15" hidden="false" customHeight="false" outlineLevel="0" collapsed="false">
      <c r="A933" s="304" t="s">
        <v>68</v>
      </c>
      <c r="B933" s="55" t="s">
        <v>31</v>
      </c>
    </row>
    <row r="934" customFormat="false" ht="13.8" hidden="false" customHeight="false" outlineLevel="0" collapsed="false">
      <c r="A934" s="303" t="s">
        <v>1165</v>
      </c>
      <c r="B934" s="55" t="s">
        <v>391</v>
      </c>
    </row>
    <row r="935" customFormat="false" ht="13.8" hidden="false" customHeight="false" outlineLevel="0" collapsed="false">
      <c r="A935" s="303" t="s">
        <v>907</v>
      </c>
      <c r="B935" s="55" t="s">
        <v>59</v>
      </c>
    </row>
    <row r="936" customFormat="false" ht="13.8" hidden="false" customHeight="false" outlineLevel="0" collapsed="false">
      <c r="A936" s="303" t="s">
        <v>1166</v>
      </c>
      <c r="B936" s="55" t="s">
        <v>59</v>
      </c>
    </row>
    <row r="937" customFormat="false" ht="13.8" hidden="false" customHeight="false" outlineLevel="0" collapsed="false">
      <c r="A937" s="303" t="s">
        <v>903</v>
      </c>
      <c r="B937" s="55" t="s">
        <v>57</v>
      </c>
    </row>
    <row r="938" customFormat="false" ht="13.8" hidden="false" customHeight="false" outlineLevel="0" collapsed="false">
      <c r="A938" s="303" t="s">
        <v>844</v>
      </c>
      <c r="B938" s="55" t="s">
        <v>59</v>
      </c>
    </row>
    <row r="939" customFormat="false" ht="13.8" hidden="false" customHeight="false" outlineLevel="0" collapsed="false">
      <c r="A939" s="303" t="s">
        <v>107</v>
      </c>
      <c r="B939" s="55" t="s">
        <v>66</v>
      </c>
    </row>
    <row r="940" customFormat="false" ht="15" hidden="false" customHeight="false" outlineLevel="0" collapsed="false">
      <c r="A940" s="304" t="s">
        <v>68</v>
      </c>
      <c r="B940" s="55" t="s">
        <v>31</v>
      </c>
    </row>
    <row r="941" customFormat="false" ht="13.8" hidden="false" customHeight="false" outlineLevel="0" collapsed="false">
      <c r="A941" s="303" t="s">
        <v>283</v>
      </c>
      <c r="B941" s="55" t="s">
        <v>391</v>
      </c>
    </row>
    <row r="942" customFormat="false" ht="13.8" hidden="false" customHeight="false" outlineLevel="0" collapsed="false">
      <c r="A942" s="303" t="s">
        <v>109</v>
      </c>
      <c r="B942" s="55" t="s">
        <v>108</v>
      </c>
    </row>
    <row r="943" customFormat="false" ht="15" hidden="false" customHeight="false" outlineLevel="0" collapsed="false">
      <c r="A943" s="304" t="s">
        <v>68</v>
      </c>
      <c r="B943" s="55" t="s">
        <v>31</v>
      </c>
    </row>
    <row r="944" customFormat="false" ht="13.8" hidden="false" customHeight="false" outlineLevel="0" collapsed="false">
      <c r="A944" s="303" t="s">
        <v>1167</v>
      </c>
      <c r="B944" s="55" t="s">
        <v>121</v>
      </c>
    </row>
    <row r="945" customFormat="false" ht="13.8" hidden="false" customHeight="false" outlineLevel="0" collapsed="false">
      <c r="A945" s="303" t="s">
        <v>1168</v>
      </c>
      <c r="B945" s="55" t="s">
        <v>121</v>
      </c>
    </row>
    <row r="946" customFormat="false" ht="13.8" hidden="false" customHeight="false" outlineLevel="0" collapsed="false">
      <c r="A946" s="303" t="s">
        <v>1169</v>
      </c>
      <c r="B946" s="55" t="s">
        <v>80</v>
      </c>
    </row>
    <row r="947" customFormat="false" ht="13.8" hidden="false" customHeight="false" outlineLevel="0" collapsed="false">
      <c r="A947" s="303" t="s">
        <v>1170</v>
      </c>
      <c r="B947" s="55" t="s">
        <v>59</v>
      </c>
    </row>
    <row r="948" customFormat="false" ht="13.8" hidden="false" customHeight="false" outlineLevel="0" collapsed="false">
      <c r="A948" s="303" t="s">
        <v>1066</v>
      </c>
      <c r="B948" s="55" t="s">
        <v>64</v>
      </c>
    </row>
    <row r="949" customFormat="false" ht="13.8" hidden="false" customHeight="false" outlineLevel="0" collapsed="false">
      <c r="A949" s="303" t="s">
        <v>907</v>
      </c>
      <c r="B949" s="55" t="s">
        <v>59</v>
      </c>
    </row>
    <row r="950" customFormat="false" ht="13.8" hidden="false" customHeight="false" outlineLevel="0" collapsed="false">
      <c r="A950" s="303" t="s">
        <v>127</v>
      </c>
      <c r="B950" s="55" t="s">
        <v>59</v>
      </c>
    </row>
    <row r="951" customFormat="false" ht="13.8" hidden="false" customHeight="false" outlineLevel="0" collapsed="false">
      <c r="A951" s="303" t="s">
        <v>130</v>
      </c>
      <c r="B951" s="299" t="s">
        <v>103</v>
      </c>
    </row>
    <row r="952" customFormat="false" ht="13.8" hidden="false" customHeight="false" outlineLevel="0" collapsed="false">
      <c r="A952" s="303" t="s">
        <v>287</v>
      </c>
      <c r="B952" s="55" t="s">
        <v>59</v>
      </c>
    </row>
    <row r="953" customFormat="false" ht="13.8" hidden="false" customHeight="false" outlineLevel="0" collapsed="false">
      <c r="A953" s="303" t="s">
        <v>106</v>
      </c>
      <c r="B953" s="55" t="s">
        <v>64</v>
      </c>
    </row>
    <row r="954" customFormat="false" ht="15" hidden="false" customHeight="false" outlineLevel="0" collapsed="false">
      <c r="A954" s="304" t="s">
        <v>68</v>
      </c>
      <c r="B954" s="55" t="s">
        <v>31</v>
      </c>
    </row>
    <row r="955" customFormat="false" ht="13.8" hidden="false" customHeight="false" outlineLevel="0" collapsed="false">
      <c r="A955" s="303" t="s">
        <v>1066</v>
      </c>
      <c r="B955" s="55" t="s">
        <v>64</v>
      </c>
    </row>
    <row r="956" customFormat="false" ht="13.8" hidden="false" customHeight="false" outlineLevel="0" collapsed="false">
      <c r="A956" s="303" t="s">
        <v>1157</v>
      </c>
      <c r="B956" s="55" t="s">
        <v>64</v>
      </c>
    </row>
    <row r="957" customFormat="false" ht="13.8" hidden="false" customHeight="false" outlineLevel="0" collapsed="false">
      <c r="A957" s="303" t="s">
        <v>1171</v>
      </c>
      <c r="B957" s="55" t="s">
        <v>64</v>
      </c>
    </row>
    <row r="958" customFormat="false" ht="13.8" hidden="false" customHeight="false" outlineLevel="0" collapsed="false">
      <c r="A958" s="303" t="s">
        <v>903</v>
      </c>
      <c r="B958" s="55" t="s">
        <v>57</v>
      </c>
    </row>
    <row r="959" customFormat="false" ht="13.8" hidden="false" customHeight="false" outlineLevel="0" collapsed="false">
      <c r="A959" s="303" t="s">
        <v>135</v>
      </c>
      <c r="B959" s="55" t="s">
        <v>134</v>
      </c>
    </row>
    <row r="960" customFormat="false" ht="13.8" hidden="false" customHeight="false" outlineLevel="0" collapsed="false">
      <c r="A960" s="303" t="s">
        <v>86</v>
      </c>
      <c r="B960" s="55" t="s">
        <v>85</v>
      </c>
    </row>
    <row r="961" customFormat="false" ht="15" hidden="false" customHeight="false" outlineLevel="0" collapsed="false">
      <c r="A961" s="304" t="s">
        <v>120</v>
      </c>
      <c r="B961" s="55" t="s">
        <v>31</v>
      </c>
    </row>
    <row r="962" customFormat="false" ht="13.8" hidden="false" customHeight="false" outlineLevel="0" collapsed="false">
      <c r="A962" s="303" t="s">
        <v>205</v>
      </c>
      <c r="B962" s="55" t="s">
        <v>64</v>
      </c>
    </row>
    <row r="963" customFormat="false" ht="15" hidden="false" customHeight="false" outlineLevel="0" collapsed="false">
      <c r="A963" s="304" t="s">
        <v>120</v>
      </c>
      <c r="B963" s="55" t="s">
        <v>31</v>
      </c>
    </row>
    <row r="964" customFormat="false" ht="13.8" hidden="false" customHeight="false" outlineLevel="0" collapsed="false">
      <c r="A964" s="303" t="s">
        <v>1172</v>
      </c>
      <c r="B964" s="55" t="s">
        <v>59</v>
      </c>
    </row>
    <row r="965" customFormat="false" ht="13.8" hidden="false" customHeight="false" outlineLevel="0" collapsed="false">
      <c r="A965" s="303" t="s">
        <v>1173</v>
      </c>
      <c r="B965" s="55" t="s">
        <v>59</v>
      </c>
    </row>
    <row r="966" customFormat="false" ht="13.8" hidden="false" customHeight="false" outlineLevel="0" collapsed="false">
      <c r="A966" s="303" t="s">
        <v>205</v>
      </c>
      <c r="B966" s="55" t="s">
        <v>64</v>
      </c>
    </row>
    <row r="967" customFormat="false" ht="15" hidden="false" customHeight="false" outlineLevel="0" collapsed="false">
      <c r="A967" s="304" t="s">
        <v>120</v>
      </c>
      <c r="B967" s="55" t="s">
        <v>31</v>
      </c>
    </row>
    <row r="968" customFormat="false" ht="13.8" hidden="false" customHeight="false" outlineLevel="0" collapsed="false">
      <c r="A968" s="303" t="s">
        <v>907</v>
      </c>
      <c r="B968" s="55" t="s">
        <v>59</v>
      </c>
    </row>
    <row r="969" customFormat="false" ht="13.8" hidden="false" customHeight="false" outlineLevel="0" collapsed="false">
      <c r="A969" s="303" t="s">
        <v>910</v>
      </c>
      <c r="B969" s="55" t="s">
        <v>64</v>
      </c>
    </row>
    <row r="970" customFormat="false" ht="15" hidden="false" customHeight="false" outlineLevel="0" collapsed="false">
      <c r="A970" s="304" t="s">
        <v>120</v>
      </c>
      <c r="B970" s="55" t="s">
        <v>31</v>
      </c>
    </row>
    <row r="971" customFormat="false" ht="13.8" hidden="false" customHeight="false" outlineLevel="0" collapsed="false">
      <c r="A971" s="303" t="s">
        <v>1174</v>
      </c>
      <c r="B971" s="55" t="s">
        <v>1175</v>
      </c>
    </row>
    <row r="972" customFormat="false" ht="13.8" hidden="false" customHeight="false" outlineLevel="0" collapsed="false">
      <c r="A972" s="303" t="s">
        <v>1066</v>
      </c>
      <c r="B972" s="55" t="s">
        <v>64</v>
      </c>
    </row>
    <row r="973" customFormat="false" ht="13.8" hidden="false" customHeight="false" outlineLevel="0" collapsed="false">
      <c r="A973" s="303" t="s">
        <v>1066</v>
      </c>
      <c r="B973" s="55" t="s">
        <v>64</v>
      </c>
    </row>
    <row r="974" customFormat="false" ht="13.8" hidden="false" customHeight="false" outlineLevel="0" collapsed="false">
      <c r="A974" s="303" t="s">
        <v>871</v>
      </c>
      <c r="B974" s="55" t="s">
        <v>62</v>
      </c>
    </row>
    <row r="975" customFormat="false" ht="13.8" hidden="false" customHeight="false" outlineLevel="0" collapsed="false">
      <c r="A975" s="303" t="s">
        <v>209</v>
      </c>
      <c r="B975" s="55" t="s">
        <v>62</v>
      </c>
    </row>
    <row r="976" customFormat="false" ht="13.8" hidden="false" customHeight="false" outlineLevel="0" collapsed="false">
      <c r="A976" s="303" t="s">
        <v>1163</v>
      </c>
      <c r="B976" s="55" t="s">
        <v>62</v>
      </c>
    </row>
    <row r="977" customFormat="false" ht="13.8" hidden="false" customHeight="false" outlineLevel="0" collapsed="false">
      <c r="A977" s="303" t="s">
        <v>903</v>
      </c>
      <c r="B977" s="55" t="s">
        <v>57</v>
      </c>
    </row>
    <row r="978" customFormat="false" ht="13.8" hidden="false" customHeight="false" outlineLevel="0" collapsed="false">
      <c r="A978" s="303" t="s">
        <v>205</v>
      </c>
      <c r="B978" s="55" t="s">
        <v>64</v>
      </c>
    </row>
    <row r="979" customFormat="false" ht="13.8" hidden="false" customHeight="false" outlineLevel="0" collapsed="false">
      <c r="A979" s="303" t="s">
        <v>205</v>
      </c>
      <c r="B979" s="55" t="s">
        <v>64</v>
      </c>
    </row>
    <row r="980" customFormat="false" ht="13.8" hidden="false" customHeight="false" outlineLevel="0" collapsed="false">
      <c r="A980" s="303" t="s">
        <v>844</v>
      </c>
      <c r="B980" s="55" t="s">
        <v>59</v>
      </c>
    </row>
    <row r="981" customFormat="false" ht="15" hidden="false" customHeight="false" outlineLevel="0" collapsed="false">
      <c r="A981" s="304" t="s">
        <v>68</v>
      </c>
      <c r="B981" s="55" t="s">
        <v>31</v>
      </c>
    </row>
    <row r="982" customFormat="false" ht="13.8" hidden="false" customHeight="false" outlineLevel="0" collapsed="false">
      <c r="A982" s="303" t="s">
        <v>79</v>
      </c>
      <c r="B982" s="55" t="s">
        <v>59</v>
      </c>
    </row>
    <row r="983" customFormat="false" ht="13.8" hidden="false" customHeight="false" outlineLevel="0" collapsed="false">
      <c r="A983" s="303" t="s">
        <v>910</v>
      </c>
      <c r="B983" s="55" t="s">
        <v>64</v>
      </c>
    </row>
    <row r="984" customFormat="false" ht="15" hidden="false" customHeight="false" outlineLevel="0" collapsed="false">
      <c r="A984" s="304" t="s">
        <v>68</v>
      </c>
      <c r="B984" s="55" t="s">
        <v>31</v>
      </c>
    </row>
    <row r="985" customFormat="false" ht="13.8" hidden="false" customHeight="false" outlineLevel="0" collapsed="false">
      <c r="A985" s="303" t="s">
        <v>879</v>
      </c>
      <c r="B985" s="55" t="s">
        <v>391</v>
      </c>
    </row>
    <row r="986" customFormat="false" ht="13.8" hidden="false" customHeight="false" outlineLevel="0" collapsed="false">
      <c r="A986" s="303" t="s">
        <v>1157</v>
      </c>
      <c r="B986" s="55" t="s">
        <v>64</v>
      </c>
    </row>
    <row r="987" customFormat="false" ht="13.8" hidden="false" customHeight="false" outlineLevel="0" collapsed="false">
      <c r="A987" s="303" t="s">
        <v>231</v>
      </c>
      <c r="B987" s="55" t="s">
        <v>391</v>
      </c>
    </row>
    <row r="988" customFormat="false" ht="13.8" hidden="false" customHeight="false" outlineLevel="0" collapsed="false">
      <c r="A988" s="303" t="s">
        <v>205</v>
      </c>
      <c r="B988" s="55" t="s">
        <v>64</v>
      </c>
    </row>
    <row r="989" customFormat="false" ht="13.8" hidden="false" customHeight="false" outlineLevel="0" collapsed="false">
      <c r="A989" s="303" t="s">
        <v>1176</v>
      </c>
      <c r="B989" s="55" t="s">
        <v>183</v>
      </c>
    </row>
    <row r="990" customFormat="false" ht="13.8" hidden="false" customHeight="false" outlineLevel="0" collapsed="false">
      <c r="A990" s="303" t="s">
        <v>38</v>
      </c>
      <c r="B990" s="55" t="s">
        <v>136</v>
      </c>
    </row>
    <row r="991" customFormat="false" ht="15" hidden="false" customHeight="false" outlineLevel="0" collapsed="false">
      <c r="A991" s="304" t="s">
        <v>120</v>
      </c>
      <c r="B991" s="55" t="s">
        <v>31</v>
      </c>
    </row>
    <row r="992" customFormat="false" ht="13.8" hidden="false" customHeight="false" outlineLevel="0" collapsed="false">
      <c r="A992" s="303" t="s">
        <v>1177</v>
      </c>
      <c r="B992" s="55" t="s">
        <v>59</v>
      </c>
    </row>
    <row r="993" customFormat="false" ht="13.8" hidden="false" customHeight="false" outlineLevel="0" collapsed="false">
      <c r="A993" s="303" t="s">
        <v>1178</v>
      </c>
      <c r="B993" s="55" t="s">
        <v>59</v>
      </c>
    </row>
    <row r="994" customFormat="false" ht="13.8" hidden="false" customHeight="false" outlineLevel="0" collapsed="false">
      <c r="A994" s="303" t="s">
        <v>127</v>
      </c>
      <c r="B994" s="55" t="s">
        <v>59</v>
      </c>
    </row>
    <row r="995" customFormat="false" ht="13.8" hidden="false" customHeight="false" outlineLevel="0" collapsed="false">
      <c r="A995" s="303" t="s">
        <v>127</v>
      </c>
      <c r="B995" s="55" t="s">
        <v>59</v>
      </c>
    </row>
    <row r="996" customFormat="false" ht="13.8" hidden="false" customHeight="false" outlineLevel="0" collapsed="false">
      <c r="A996" s="303" t="s">
        <v>1179</v>
      </c>
      <c r="B996" s="55" t="s">
        <v>59</v>
      </c>
    </row>
    <row r="997" customFormat="false" ht="13.8" hidden="false" customHeight="false" outlineLevel="0" collapsed="false">
      <c r="A997" s="303" t="s">
        <v>877</v>
      </c>
      <c r="B997" s="55" t="s">
        <v>53</v>
      </c>
    </row>
    <row r="998" customFormat="false" ht="13.8" hidden="false" customHeight="false" outlineLevel="0" collapsed="false">
      <c r="A998" s="303" t="s">
        <v>1180</v>
      </c>
      <c r="B998" s="55" t="s">
        <v>59</v>
      </c>
    </row>
    <row r="999" customFormat="false" ht="13.8" hidden="false" customHeight="false" outlineLevel="0" collapsed="false">
      <c r="A999" s="303" t="s">
        <v>1181</v>
      </c>
      <c r="B999" s="55" t="s">
        <v>59</v>
      </c>
    </row>
    <row r="1000" customFormat="false" ht="13.8" hidden="false" customHeight="false" outlineLevel="0" collapsed="false">
      <c r="A1000" s="303" t="s">
        <v>1182</v>
      </c>
      <c r="B1000" s="55" t="s">
        <v>59</v>
      </c>
    </row>
    <row r="1001" customFormat="false" ht="13.8" hidden="false" customHeight="false" outlineLevel="0" collapsed="false">
      <c r="A1001" s="303" t="s">
        <v>1183</v>
      </c>
      <c r="B1001" s="55" t="s">
        <v>59</v>
      </c>
    </row>
    <row r="1002" customFormat="false" ht="13.8" hidden="false" customHeight="false" outlineLevel="0" collapsed="false">
      <c r="A1002" s="303" t="s">
        <v>1184</v>
      </c>
      <c r="B1002" s="55" t="s">
        <v>62</v>
      </c>
    </row>
    <row r="1003" customFormat="false" ht="13.8" hidden="false" customHeight="false" outlineLevel="0" collapsed="false">
      <c r="A1003" s="303" t="s">
        <v>1185</v>
      </c>
      <c r="B1003" s="55" t="s">
        <v>59</v>
      </c>
    </row>
    <row r="1004" customFormat="false" ht="15" hidden="false" customHeight="false" outlineLevel="0" collapsed="false">
      <c r="A1004" s="304" t="s">
        <v>120</v>
      </c>
      <c r="B1004" s="55" t="s">
        <v>31</v>
      </c>
    </row>
    <row r="1005" customFormat="false" ht="13.8" hidden="false" customHeight="false" outlineLevel="0" collapsed="false">
      <c r="A1005" s="303" t="s">
        <v>161</v>
      </c>
      <c r="B1005" s="55" t="s">
        <v>159</v>
      </c>
    </row>
    <row r="1006" customFormat="false" ht="13.8" hidden="false" customHeight="false" outlineLevel="0" collapsed="false">
      <c r="A1006" s="303" t="s">
        <v>280</v>
      </c>
      <c r="B1006" s="55" t="s">
        <v>59</v>
      </c>
    </row>
    <row r="1007" customFormat="false" ht="13.8" hidden="false" customHeight="false" outlineLevel="0" collapsed="false">
      <c r="A1007" s="303" t="s">
        <v>1186</v>
      </c>
      <c r="B1007" s="55" t="s">
        <v>59</v>
      </c>
    </row>
    <row r="1008" customFormat="false" ht="13.8" hidden="false" customHeight="false" outlineLevel="0" collapsed="false">
      <c r="A1008" s="303" t="s">
        <v>1187</v>
      </c>
      <c r="B1008" s="55" t="s">
        <v>59</v>
      </c>
    </row>
    <row r="1009" customFormat="false" ht="13.8" hidden="false" customHeight="false" outlineLevel="0" collapsed="false">
      <c r="A1009" s="303" t="s">
        <v>1153</v>
      </c>
      <c r="B1009" s="55" t="s">
        <v>59</v>
      </c>
    </row>
    <row r="1010" customFormat="false" ht="13.8" hidden="false" customHeight="false" outlineLevel="0" collapsed="false">
      <c r="A1010" s="303" t="s">
        <v>205</v>
      </c>
      <c r="B1010" s="55" t="s">
        <v>64</v>
      </c>
    </row>
    <row r="1011" customFormat="false" ht="13.8" hidden="false" customHeight="false" outlineLevel="0" collapsed="false">
      <c r="A1011" s="303" t="s">
        <v>205</v>
      </c>
      <c r="B1011" s="55" t="s">
        <v>64</v>
      </c>
    </row>
    <row r="1012" customFormat="false" ht="15" hidden="false" customHeight="false" outlineLevel="0" collapsed="false">
      <c r="A1012" s="304" t="s">
        <v>68</v>
      </c>
      <c r="B1012" s="55" t="s">
        <v>31</v>
      </c>
    </row>
    <row r="1013" customFormat="false" ht="13.8" hidden="false" customHeight="false" outlineLevel="0" collapsed="false">
      <c r="A1013" s="303" t="s">
        <v>1188</v>
      </c>
      <c r="B1013" s="55" t="s">
        <v>121</v>
      </c>
    </row>
    <row r="1014" customFormat="false" ht="13.8" hidden="false" customHeight="false" outlineLevel="0" collapsed="false">
      <c r="A1014" s="303" t="s">
        <v>127</v>
      </c>
      <c r="B1014" s="55" t="s">
        <v>59</v>
      </c>
    </row>
    <row r="1015" customFormat="false" ht="13.8" hidden="false" customHeight="false" outlineLevel="0" collapsed="false">
      <c r="A1015" s="303" t="s">
        <v>449</v>
      </c>
      <c r="B1015" s="55" t="s">
        <v>62</v>
      </c>
    </row>
    <row r="1016" customFormat="false" ht="13.8" hidden="false" customHeight="false" outlineLevel="0" collapsed="false">
      <c r="A1016" s="303" t="s">
        <v>130</v>
      </c>
      <c r="B1016" s="55" t="s">
        <v>103</v>
      </c>
    </row>
    <row r="1017" customFormat="false" ht="13.8" hidden="false" customHeight="false" outlineLevel="0" collapsed="false">
      <c r="A1017" s="303" t="s">
        <v>106</v>
      </c>
      <c r="B1017" s="55" t="s">
        <v>64</v>
      </c>
    </row>
    <row r="1018" customFormat="false" ht="13.8" hidden="false" customHeight="false" outlineLevel="0" collapsed="false">
      <c r="A1018" s="303" t="s">
        <v>205</v>
      </c>
      <c r="B1018" s="55" t="s">
        <v>64</v>
      </c>
    </row>
    <row r="1019" customFormat="false" ht="13.8" hidden="false" customHeight="false" outlineLevel="0" collapsed="false">
      <c r="A1019" s="303" t="s">
        <v>205</v>
      </c>
      <c r="B1019" s="55" t="s">
        <v>64</v>
      </c>
    </row>
    <row r="1020" customFormat="false" ht="15" hidden="false" customHeight="false" outlineLevel="0" collapsed="false">
      <c r="A1020" s="304" t="s">
        <v>68</v>
      </c>
      <c r="B1020" s="55" t="s">
        <v>31</v>
      </c>
    </row>
    <row r="1021" customFormat="false" ht="13.8" hidden="false" customHeight="false" outlineLevel="0" collapsed="false">
      <c r="A1021" s="303" t="s">
        <v>38</v>
      </c>
      <c r="B1021" s="55" t="s">
        <v>41</v>
      </c>
    </row>
    <row r="1022" customFormat="false" ht="13.8" hidden="false" customHeight="false" outlineLevel="0" collapsed="false">
      <c r="A1022" s="303" t="s">
        <v>1189</v>
      </c>
      <c r="B1022" s="55" t="s">
        <v>62</v>
      </c>
    </row>
    <row r="1023" customFormat="false" ht="13.8" hidden="false" customHeight="false" outlineLevel="0" collapsed="false">
      <c r="A1023" s="303" t="s">
        <v>1189</v>
      </c>
      <c r="B1023" s="55" t="s">
        <v>62</v>
      </c>
    </row>
    <row r="1024" customFormat="false" ht="13.8" hidden="false" customHeight="false" outlineLevel="0" collapsed="false">
      <c r="A1024" s="303" t="s">
        <v>163</v>
      </c>
      <c r="B1024" s="55" t="s">
        <v>57</v>
      </c>
    </row>
    <row r="1025" customFormat="false" ht="13.8" hidden="false" customHeight="false" outlineLevel="0" collapsed="false">
      <c r="A1025" s="303" t="s">
        <v>1190</v>
      </c>
      <c r="B1025" s="55" t="s">
        <v>281</v>
      </c>
    </row>
    <row r="1026" customFormat="false" ht="13.8" hidden="false" customHeight="false" outlineLevel="0" collapsed="false">
      <c r="A1026" s="303" t="s">
        <v>86</v>
      </c>
      <c r="B1026" s="55" t="s">
        <v>85</v>
      </c>
    </row>
    <row r="1027" customFormat="false" ht="15" hidden="false" customHeight="false" outlineLevel="0" collapsed="false">
      <c r="A1027" s="304" t="s">
        <v>120</v>
      </c>
      <c r="B1027" s="55" t="s">
        <v>31</v>
      </c>
    </row>
    <row r="1028" customFormat="false" ht="15" hidden="false" customHeight="false" outlineLevel="0" collapsed="false">
      <c r="A1028" s="304" t="s">
        <v>68</v>
      </c>
      <c r="B1028" s="55" t="s">
        <v>31</v>
      </c>
    </row>
    <row r="1029" customFormat="false" ht="15" hidden="false" customHeight="false" outlineLevel="0" collapsed="false">
      <c r="A1029" s="302" t="s">
        <v>52</v>
      </c>
      <c r="B1029" s="55" t="s">
        <v>31</v>
      </c>
    </row>
    <row r="1030" customFormat="false" ht="15" hidden="false" customHeight="false" outlineLevel="0" collapsed="false">
      <c r="A1030" s="302" t="s">
        <v>120</v>
      </c>
      <c r="B1030" s="55" t="s">
        <v>31</v>
      </c>
    </row>
    <row r="1031" customFormat="false" ht="13.8" hidden="false" customHeight="false" outlineLevel="0" collapsed="false">
      <c r="A1031" s="300" t="s">
        <v>1191</v>
      </c>
      <c r="B1031" s="55" t="s">
        <v>66</v>
      </c>
    </row>
    <row r="1032" customFormat="false" ht="15" hidden="false" customHeight="false" outlineLevel="0" collapsed="false">
      <c r="A1032" s="302" t="s">
        <v>120</v>
      </c>
      <c r="B1032" s="55" t="s">
        <v>31</v>
      </c>
    </row>
    <row r="1033" customFormat="false" ht="13.8" hidden="false" customHeight="false" outlineLevel="0" collapsed="false">
      <c r="A1033" s="300" t="s">
        <v>1192</v>
      </c>
      <c r="B1033" s="55" t="s">
        <v>121</v>
      </c>
    </row>
    <row r="1034" customFormat="false" ht="13.8" hidden="false" customHeight="false" outlineLevel="0" collapsed="false">
      <c r="A1034" s="300" t="s">
        <v>1193</v>
      </c>
      <c r="B1034" s="55" t="s">
        <v>62</v>
      </c>
    </row>
    <row r="1035" customFormat="false" ht="13.8" hidden="false" customHeight="false" outlineLevel="0" collapsed="false">
      <c r="A1035" s="300" t="s">
        <v>130</v>
      </c>
      <c r="B1035" s="55" t="s">
        <v>103</v>
      </c>
    </row>
    <row r="1036" customFormat="false" ht="13.8" hidden="false" customHeight="false" outlineLevel="0" collapsed="false">
      <c r="A1036" s="300" t="s">
        <v>1113</v>
      </c>
      <c r="B1036" s="55" t="s">
        <v>73</v>
      </c>
    </row>
    <row r="1037" customFormat="false" ht="15" hidden="false" customHeight="false" outlineLevel="0" collapsed="false">
      <c r="A1037" s="302" t="s">
        <v>120</v>
      </c>
      <c r="B1037" s="55" t="s">
        <v>31</v>
      </c>
    </row>
    <row r="1038" customFormat="false" ht="13.8" hidden="false" customHeight="false" outlineLevel="0" collapsed="false">
      <c r="A1038" s="300" t="s">
        <v>1194</v>
      </c>
      <c r="B1038" s="55" t="s">
        <v>80</v>
      </c>
    </row>
    <row r="1039" customFormat="false" ht="15" hidden="false" customHeight="false" outlineLevel="0" collapsed="false">
      <c r="A1039" s="302" t="s">
        <v>120</v>
      </c>
      <c r="B1039" s="55" t="s">
        <v>31</v>
      </c>
    </row>
    <row r="1040" customFormat="false" ht="13.8" hidden="false" customHeight="false" outlineLevel="0" collapsed="false">
      <c r="A1040" s="300" t="s">
        <v>1195</v>
      </c>
      <c r="B1040" s="55" t="s">
        <v>80</v>
      </c>
    </row>
    <row r="1041" customFormat="false" ht="15" hidden="false" customHeight="false" outlineLevel="0" collapsed="false">
      <c r="A1041" s="302" t="s">
        <v>120</v>
      </c>
      <c r="B1041" s="55" t="s">
        <v>31</v>
      </c>
    </row>
    <row r="1042" customFormat="false" ht="13.8" hidden="false" customHeight="false" outlineLevel="0" collapsed="false">
      <c r="A1042" s="300" t="s">
        <v>161</v>
      </c>
      <c r="B1042" s="55" t="s">
        <v>159</v>
      </c>
    </row>
    <row r="1043" customFormat="false" ht="13.8" hidden="false" customHeight="false" outlineLevel="0" collapsed="false">
      <c r="A1043" s="300" t="s">
        <v>58</v>
      </c>
      <c r="B1043" s="55" t="s">
        <v>57</v>
      </c>
    </row>
    <row r="1044" customFormat="false" ht="15" hidden="false" customHeight="false" outlineLevel="0" collapsed="false">
      <c r="A1044" s="302" t="s">
        <v>120</v>
      </c>
      <c r="B1044" s="55" t="s">
        <v>31</v>
      </c>
    </row>
    <row r="1045" customFormat="false" ht="13.8" hidden="false" customHeight="false" outlineLevel="0" collapsed="false">
      <c r="A1045" s="300" t="s">
        <v>1196</v>
      </c>
      <c r="B1045" s="55" t="s">
        <v>59</v>
      </c>
    </row>
    <row r="1046" customFormat="false" ht="13.8" hidden="false" customHeight="false" outlineLevel="0" collapsed="false">
      <c r="A1046" s="300" t="s">
        <v>205</v>
      </c>
      <c r="B1046" s="55" t="s">
        <v>64</v>
      </c>
    </row>
    <row r="1047" customFormat="false" ht="13.8" hidden="false" customHeight="false" outlineLevel="0" collapsed="false">
      <c r="A1047" s="300" t="s">
        <v>205</v>
      </c>
      <c r="B1047" s="55" t="s">
        <v>64</v>
      </c>
    </row>
    <row r="1048" customFormat="false" ht="13.8" hidden="false" customHeight="false" outlineLevel="0" collapsed="false">
      <c r="A1048" s="300" t="s">
        <v>35</v>
      </c>
      <c r="B1048" s="55" t="s">
        <v>194</v>
      </c>
    </row>
    <row r="1049" customFormat="false" ht="15" hidden="false" customHeight="false" outlineLevel="0" collapsed="false">
      <c r="A1049" s="302" t="s">
        <v>120</v>
      </c>
      <c r="B1049" s="55" t="s">
        <v>31</v>
      </c>
    </row>
    <row r="1050" customFormat="false" ht="13.8" hidden="false" customHeight="false" outlineLevel="0" collapsed="false">
      <c r="A1050" s="300" t="s">
        <v>1197</v>
      </c>
      <c r="B1050" s="55" t="s">
        <v>391</v>
      </c>
    </row>
    <row r="1051" customFormat="false" ht="13.8" hidden="false" customHeight="false" outlineLevel="0" collapsed="false">
      <c r="A1051" s="300" t="s">
        <v>1198</v>
      </c>
      <c r="B1051" s="55" t="s">
        <v>121</v>
      </c>
    </row>
    <row r="1052" customFormat="false" ht="13.8" hidden="false" customHeight="false" outlineLevel="0" collapsed="false">
      <c r="A1052" s="300" t="s">
        <v>1124</v>
      </c>
      <c r="B1052" s="55" t="s">
        <v>1125</v>
      </c>
    </row>
    <row r="1053" customFormat="false" ht="13.8" hidden="false" customHeight="false" outlineLevel="0" collapsed="false">
      <c r="A1053" s="300" t="s">
        <v>55</v>
      </c>
      <c r="B1053" s="55" t="s">
        <v>53</v>
      </c>
    </row>
    <row r="1054" customFormat="false" ht="13.8" hidden="false" customHeight="false" outlineLevel="0" collapsed="false">
      <c r="A1054" s="300" t="s">
        <v>79</v>
      </c>
      <c r="B1054" s="55" t="s">
        <v>59</v>
      </c>
    </row>
    <row r="1055" customFormat="false" ht="13.8" hidden="false" customHeight="false" outlineLevel="0" collapsed="false">
      <c r="A1055" s="300" t="s">
        <v>231</v>
      </c>
      <c r="B1055" s="55" t="s">
        <v>391</v>
      </c>
    </row>
    <row r="1056" customFormat="false" ht="13.8" hidden="false" customHeight="false" outlineLevel="0" collapsed="false">
      <c r="A1056" s="300" t="s">
        <v>163</v>
      </c>
      <c r="B1056" s="55" t="s">
        <v>57</v>
      </c>
    </row>
    <row r="1057" customFormat="false" ht="13.8" hidden="false" customHeight="false" outlineLevel="0" collapsed="false">
      <c r="A1057" s="300" t="s">
        <v>106</v>
      </c>
      <c r="B1057" s="55" t="s">
        <v>64</v>
      </c>
    </row>
    <row r="1058" customFormat="false" ht="13.8" hidden="false" customHeight="false" outlineLevel="0" collapsed="false">
      <c r="A1058" s="300" t="s">
        <v>205</v>
      </c>
      <c r="B1058" s="55" t="s">
        <v>64</v>
      </c>
    </row>
    <row r="1059" customFormat="false" ht="13.8" hidden="false" customHeight="false" outlineLevel="0" collapsed="false">
      <c r="A1059" s="300" t="s">
        <v>107</v>
      </c>
      <c r="B1059" s="55" t="s">
        <v>66</v>
      </c>
    </row>
    <row r="1060" customFormat="false" ht="13.8" hidden="false" customHeight="false" outlineLevel="0" collapsed="false">
      <c r="A1060" s="300" t="s">
        <v>109</v>
      </c>
      <c r="B1060" s="55" t="s">
        <v>108</v>
      </c>
    </row>
    <row r="1061" customFormat="false" ht="15" hidden="false" customHeight="false" outlineLevel="0" collapsed="false">
      <c r="A1061" s="302" t="s">
        <v>68</v>
      </c>
      <c r="B1061" s="55" t="s">
        <v>31</v>
      </c>
    </row>
    <row r="1062" customFormat="false" ht="13.8" hidden="false" customHeight="false" outlineLevel="0" collapsed="false">
      <c r="A1062" s="300" t="s">
        <v>209</v>
      </c>
      <c r="B1062" s="55" t="s">
        <v>62</v>
      </c>
    </row>
    <row r="1063" customFormat="false" ht="13.8" hidden="false" customHeight="false" outlineLevel="0" collapsed="false">
      <c r="A1063" s="300" t="s">
        <v>1199</v>
      </c>
      <c r="B1063" s="55" t="s">
        <v>62</v>
      </c>
    </row>
    <row r="1064" customFormat="false" ht="13.8" hidden="false" customHeight="false" outlineLevel="0" collapsed="false">
      <c r="A1064" s="300" t="s">
        <v>1199</v>
      </c>
      <c r="B1064" s="55" t="s">
        <v>62</v>
      </c>
    </row>
    <row r="1065" customFormat="false" ht="13.8" hidden="false" customHeight="false" outlineLevel="0" collapsed="false">
      <c r="A1065" s="300" t="s">
        <v>1124</v>
      </c>
      <c r="B1065" s="55" t="s">
        <v>1200</v>
      </c>
    </row>
    <row r="1066" customFormat="false" ht="15" hidden="false" customHeight="false" outlineLevel="0" collapsed="false">
      <c r="A1066" s="302" t="s">
        <v>68</v>
      </c>
      <c r="B1066" s="55" t="s">
        <v>31</v>
      </c>
    </row>
    <row r="1067" customFormat="false" ht="13.8" hidden="false" customHeight="false" outlineLevel="0" collapsed="false">
      <c r="A1067" s="300" t="s">
        <v>1201</v>
      </c>
      <c r="B1067" s="55" t="s">
        <v>1200</v>
      </c>
    </row>
    <row r="1068" customFormat="false" ht="13.8" hidden="false" customHeight="false" outlineLevel="0" collapsed="false">
      <c r="A1068" s="300" t="s">
        <v>86</v>
      </c>
      <c r="B1068" s="55" t="s">
        <v>85</v>
      </c>
    </row>
    <row r="1069" customFormat="false" ht="15" hidden="false" customHeight="false" outlineLevel="0" collapsed="false">
      <c r="A1069" s="302" t="s">
        <v>120</v>
      </c>
      <c r="B1069" s="55" t="s">
        <v>31</v>
      </c>
    </row>
    <row r="1070" customFormat="false" ht="13.8" hidden="false" customHeight="false" outlineLevel="0" collapsed="false">
      <c r="A1070" s="300" t="s">
        <v>161</v>
      </c>
      <c r="B1070" s="55" t="s">
        <v>159</v>
      </c>
    </row>
    <row r="1071" customFormat="false" ht="13.8" hidden="false" customHeight="false" outlineLevel="0" collapsed="false">
      <c r="A1071" s="300" t="s">
        <v>135</v>
      </c>
      <c r="B1071" s="55" t="s">
        <v>134</v>
      </c>
    </row>
    <row r="1072" customFormat="false" ht="13.8" hidden="false" customHeight="false" outlineLevel="0" collapsed="false">
      <c r="A1072" s="300" t="s">
        <v>38</v>
      </c>
      <c r="B1072" s="55" t="s">
        <v>136</v>
      </c>
    </row>
    <row r="1073" customFormat="false" ht="15" hidden="false" customHeight="false" outlineLevel="0" collapsed="false">
      <c r="A1073" s="302" t="s">
        <v>120</v>
      </c>
      <c r="B1073" s="55" t="s">
        <v>31</v>
      </c>
    </row>
    <row r="1074" customFormat="false" ht="13.8" hidden="false" customHeight="false" outlineLevel="0" collapsed="false">
      <c r="A1074" s="300" t="s">
        <v>58</v>
      </c>
      <c r="B1074" s="55" t="s">
        <v>57</v>
      </c>
    </row>
    <row r="1075" customFormat="false" ht="13.8" hidden="false" customHeight="false" outlineLevel="0" collapsed="false">
      <c r="A1075" s="300" t="s">
        <v>170</v>
      </c>
      <c r="B1075" s="55" t="s">
        <v>59</v>
      </c>
    </row>
    <row r="1076" customFormat="false" ht="13.8" hidden="false" customHeight="false" outlineLevel="0" collapsed="false">
      <c r="A1076" s="300" t="s">
        <v>127</v>
      </c>
      <c r="B1076" s="55" t="s">
        <v>59</v>
      </c>
    </row>
    <row r="1077" customFormat="false" ht="13.8" hidden="false" customHeight="false" outlineLevel="0" collapsed="false">
      <c r="A1077" s="300" t="s">
        <v>449</v>
      </c>
      <c r="B1077" s="55" t="s">
        <v>62</v>
      </c>
    </row>
    <row r="1078" customFormat="false" ht="13.8" hidden="false" customHeight="false" outlineLevel="0" collapsed="false">
      <c r="A1078" s="300" t="s">
        <v>225</v>
      </c>
      <c r="B1078" s="55" t="s">
        <v>62</v>
      </c>
    </row>
    <row r="1079" customFormat="false" ht="13.8" hidden="false" customHeight="false" outlineLevel="0" collapsed="false">
      <c r="A1079" s="300" t="s">
        <v>130</v>
      </c>
      <c r="B1079" s="55" t="s">
        <v>103</v>
      </c>
    </row>
    <row r="1080" customFormat="false" ht="13.8" hidden="false" customHeight="false" outlineLevel="0" collapsed="false">
      <c r="A1080" s="300" t="s">
        <v>106</v>
      </c>
      <c r="B1080" s="55" t="s">
        <v>64</v>
      </c>
    </row>
    <row r="1081" customFormat="false" ht="13.8" hidden="false" customHeight="false" outlineLevel="0" collapsed="false">
      <c r="A1081" s="300" t="s">
        <v>205</v>
      </c>
      <c r="B1081" s="55" t="s">
        <v>64</v>
      </c>
    </row>
    <row r="1082" customFormat="false" ht="13.8" hidden="false" customHeight="false" outlineLevel="0" collapsed="false">
      <c r="A1082" s="300" t="s">
        <v>1202</v>
      </c>
      <c r="B1082" s="55" t="s">
        <v>121</v>
      </c>
    </row>
    <row r="1083" customFormat="false" ht="15" hidden="false" customHeight="false" outlineLevel="0" collapsed="false">
      <c r="A1083" s="302" t="s">
        <v>68</v>
      </c>
      <c r="B1083" s="55" t="s">
        <v>31</v>
      </c>
    </row>
    <row r="1084" customFormat="false" ht="13.8" hidden="false" customHeight="false" outlineLevel="0" collapsed="false">
      <c r="A1084" s="300" t="s">
        <v>1196</v>
      </c>
      <c r="B1084" s="55" t="s">
        <v>62</v>
      </c>
    </row>
    <row r="1085" customFormat="false" ht="13.8" hidden="false" customHeight="false" outlineLevel="0" collapsed="false">
      <c r="A1085" s="300" t="s">
        <v>205</v>
      </c>
      <c r="B1085" s="55" t="s">
        <v>64</v>
      </c>
    </row>
    <row r="1086" customFormat="false" ht="15" hidden="false" customHeight="false" outlineLevel="0" collapsed="false">
      <c r="A1086" s="302" t="s">
        <v>68</v>
      </c>
      <c r="B1086" s="55" t="s">
        <v>31</v>
      </c>
    </row>
    <row r="1087" customFormat="false" ht="13.8" hidden="false" customHeight="false" outlineLevel="0" collapsed="false">
      <c r="A1087" s="300" t="s">
        <v>1085</v>
      </c>
      <c r="B1087" s="55" t="s">
        <v>391</v>
      </c>
    </row>
    <row r="1088" customFormat="false" ht="13.8" hidden="false" customHeight="false" outlineLevel="0" collapsed="false">
      <c r="A1088" s="300" t="s">
        <v>283</v>
      </c>
      <c r="B1088" s="55" t="s">
        <v>281</v>
      </c>
    </row>
    <row r="1089" customFormat="false" ht="13.8" hidden="false" customHeight="false" outlineLevel="0" collapsed="false">
      <c r="A1089" s="300" t="s">
        <v>105</v>
      </c>
      <c r="B1089" s="55" t="s">
        <v>59</v>
      </c>
    </row>
    <row r="1090" customFormat="false" ht="15" hidden="false" customHeight="false" outlineLevel="0" collapsed="false">
      <c r="A1090" s="302" t="s">
        <v>68</v>
      </c>
      <c r="B1090" s="55" t="s">
        <v>31</v>
      </c>
    </row>
    <row r="1091" customFormat="false" ht="13.8" hidden="false" customHeight="false" outlineLevel="0" collapsed="false">
      <c r="A1091" s="300" t="s">
        <v>65</v>
      </c>
      <c r="B1091" s="55" t="s">
        <v>64</v>
      </c>
    </row>
    <row r="1092" customFormat="false" ht="15" hidden="false" customHeight="false" outlineLevel="0" collapsed="false">
      <c r="A1092" s="302" t="s">
        <v>68</v>
      </c>
      <c r="B1092" s="55" t="s">
        <v>31</v>
      </c>
    </row>
    <row r="1093" customFormat="false" ht="13.8" hidden="false" customHeight="false" outlineLevel="0" collapsed="false">
      <c r="A1093" s="300" t="s">
        <v>1203</v>
      </c>
      <c r="B1093" s="55" t="s">
        <v>1204</v>
      </c>
    </row>
    <row r="1094" customFormat="false" ht="15" hidden="false" customHeight="false" outlineLevel="0" collapsed="false">
      <c r="A1094" s="302" t="s">
        <v>68</v>
      </c>
      <c r="B1094" s="55" t="s">
        <v>31</v>
      </c>
    </row>
    <row r="1095" customFormat="false" ht="13.8" hidden="false" customHeight="false" outlineLevel="0" collapsed="false">
      <c r="A1095" s="300" t="s">
        <v>1205</v>
      </c>
      <c r="B1095" s="55" t="s">
        <v>121</v>
      </c>
    </row>
    <row r="1096" customFormat="false" ht="13.8" hidden="false" customHeight="false" outlineLevel="0" collapsed="false">
      <c r="A1096" s="300" t="s">
        <v>79</v>
      </c>
      <c r="B1096" s="55" t="s">
        <v>59</v>
      </c>
    </row>
    <row r="1097" customFormat="false" ht="13.8" hidden="false" customHeight="false" outlineLevel="0" collapsed="false">
      <c r="A1097" s="300" t="s">
        <v>127</v>
      </c>
      <c r="B1097" s="55" t="s">
        <v>59</v>
      </c>
    </row>
    <row r="1098" customFormat="false" ht="13.8" hidden="false" customHeight="false" outlineLevel="0" collapsed="false">
      <c r="A1098" s="300" t="s">
        <v>1054</v>
      </c>
      <c r="B1098" s="55" t="s">
        <v>62</v>
      </c>
    </row>
    <row r="1099" customFormat="false" ht="15" hidden="false" customHeight="false" outlineLevel="0" collapsed="false">
      <c r="A1099" s="302" t="s">
        <v>68</v>
      </c>
      <c r="B1099" s="55" t="s">
        <v>31</v>
      </c>
    </row>
    <row r="1100" customFormat="false" ht="13.8" hidden="false" customHeight="false" outlineLevel="0" collapsed="false">
      <c r="A1100" s="300" t="s">
        <v>1206</v>
      </c>
      <c r="B1100" s="55" t="s">
        <v>178</v>
      </c>
    </row>
    <row r="1101" customFormat="false" ht="13.8" hidden="false" customHeight="false" outlineLevel="0" collapsed="false">
      <c r="A1101" s="300" t="s">
        <v>1207</v>
      </c>
      <c r="B1101" s="55" t="s">
        <v>31</v>
      </c>
    </row>
    <row r="1102" customFormat="false" ht="13.8" hidden="false" customHeight="false" outlineLevel="0" collapsed="false">
      <c r="A1102" s="300" t="s">
        <v>38</v>
      </c>
      <c r="B1102" s="55" t="s">
        <v>136</v>
      </c>
    </row>
    <row r="1103" customFormat="false" ht="13.8" hidden="false" customHeight="false" outlineLevel="0" collapsed="false">
      <c r="A1103" s="300" t="s">
        <v>38</v>
      </c>
      <c r="B1103" s="55" t="s">
        <v>136</v>
      </c>
    </row>
    <row r="1104" customFormat="false" ht="15" hidden="false" customHeight="false" outlineLevel="0" collapsed="false">
      <c r="A1104" s="302" t="s">
        <v>68</v>
      </c>
      <c r="B1104" s="55" t="s">
        <v>31</v>
      </c>
    </row>
    <row r="1105" customFormat="false" ht="13.8" hidden="false" customHeight="false" outlineLevel="0" collapsed="false">
      <c r="A1105" s="300" t="s">
        <v>1208</v>
      </c>
      <c r="B1105" s="55" t="s">
        <v>31</v>
      </c>
    </row>
    <row r="1106" customFormat="false" ht="13.8" hidden="false" customHeight="false" outlineLevel="0" collapsed="false">
      <c r="A1106" s="300" t="s">
        <v>1196</v>
      </c>
      <c r="B1106" s="55" t="s">
        <v>59</v>
      </c>
    </row>
    <row r="1107" customFormat="false" ht="15" hidden="false" customHeight="false" outlineLevel="0" collapsed="false">
      <c r="A1107" s="302" t="s">
        <v>68</v>
      </c>
      <c r="B1107" s="55" t="s">
        <v>31</v>
      </c>
    </row>
    <row r="1108" customFormat="false" ht="15" hidden="false" customHeight="false" outlineLevel="0" collapsed="false">
      <c r="A1108" s="305" t="s">
        <v>52</v>
      </c>
      <c r="B1108" s="55" t="s">
        <v>31</v>
      </c>
    </row>
    <row r="1109" customFormat="false" ht="13.8" hidden="false" customHeight="false" outlineLevel="0" collapsed="false">
      <c r="A1109" s="306" t="s">
        <v>1209</v>
      </c>
      <c r="B1109" s="55" t="s">
        <v>121</v>
      </c>
    </row>
    <row r="1110" customFormat="false" ht="13.8" hidden="false" customHeight="false" outlineLevel="0" collapsed="false">
      <c r="A1110" s="306" t="s">
        <v>284</v>
      </c>
      <c r="B1110" s="55" t="s">
        <v>98</v>
      </c>
    </row>
    <row r="1111" customFormat="false" ht="13.8" hidden="false" customHeight="false" outlineLevel="0" collapsed="false">
      <c r="A1111" s="306" t="s">
        <v>910</v>
      </c>
      <c r="B1111" s="55" t="s">
        <v>64</v>
      </c>
    </row>
    <row r="1112" customFormat="false" ht="13.8" hidden="false" customHeight="false" outlineLevel="0" collapsed="false">
      <c r="A1112" s="306" t="s">
        <v>910</v>
      </c>
      <c r="B1112" s="55" t="s">
        <v>64</v>
      </c>
    </row>
    <row r="1113" customFormat="false" ht="13.8" hidden="false" customHeight="false" outlineLevel="0" collapsed="false">
      <c r="A1113" s="306" t="s">
        <v>1121</v>
      </c>
      <c r="B1113" s="55" t="s">
        <v>59</v>
      </c>
    </row>
    <row r="1114" customFormat="false" ht="13.8" hidden="false" customHeight="false" outlineLevel="0" collapsed="false">
      <c r="A1114" s="306" t="s">
        <v>130</v>
      </c>
      <c r="B1114" s="55" t="s">
        <v>103</v>
      </c>
    </row>
    <row r="1115" customFormat="false" ht="13.8" hidden="false" customHeight="false" outlineLevel="0" collapsed="false">
      <c r="A1115" s="306" t="s">
        <v>1210</v>
      </c>
      <c r="B1115" s="55" t="s">
        <v>151</v>
      </c>
    </row>
    <row r="1116" customFormat="false" ht="13.8" hidden="false" customHeight="false" outlineLevel="0" collapsed="false">
      <c r="A1116" s="306" t="s">
        <v>1210</v>
      </c>
      <c r="B1116" s="55" t="s">
        <v>151</v>
      </c>
    </row>
    <row r="1117" customFormat="false" ht="13.8" hidden="false" customHeight="false" outlineLevel="0" collapsed="false">
      <c r="A1117" s="306" t="s">
        <v>106</v>
      </c>
      <c r="B1117" s="55" t="s">
        <v>64</v>
      </c>
    </row>
    <row r="1118" customFormat="false" ht="13.8" hidden="false" customHeight="false" outlineLevel="0" collapsed="false">
      <c r="A1118" s="306" t="s">
        <v>205</v>
      </c>
      <c r="B1118" s="55" t="s">
        <v>64</v>
      </c>
    </row>
    <row r="1119" customFormat="false" ht="13.8" hidden="false" customHeight="false" outlineLevel="0" collapsed="false">
      <c r="A1119" s="306" t="s">
        <v>65</v>
      </c>
      <c r="B1119" s="55" t="s">
        <v>64</v>
      </c>
    </row>
    <row r="1120" customFormat="false" ht="13.8" hidden="false" customHeight="false" outlineLevel="0" collapsed="false">
      <c r="A1120" s="306" t="s">
        <v>86</v>
      </c>
      <c r="B1120" s="55" t="s">
        <v>85</v>
      </c>
    </row>
    <row r="1121" customFormat="false" ht="15" hidden="false" customHeight="false" outlineLevel="0" collapsed="false">
      <c r="A1121" s="305" t="s">
        <v>120</v>
      </c>
      <c r="B1121" s="55" t="s">
        <v>31</v>
      </c>
    </row>
    <row r="1122" customFormat="false" ht="13.8" hidden="false" customHeight="false" outlineLevel="0" collapsed="false">
      <c r="A1122" s="306" t="s">
        <v>58</v>
      </c>
      <c r="B1122" s="55" t="s">
        <v>57</v>
      </c>
    </row>
    <row r="1123" customFormat="false" ht="13.8" hidden="false" customHeight="false" outlineLevel="0" collapsed="false">
      <c r="A1123" s="306" t="s">
        <v>1211</v>
      </c>
      <c r="B1123" s="55" t="s">
        <v>66</v>
      </c>
    </row>
    <row r="1124" customFormat="false" ht="15" hidden="false" customHeight="false" outlineLevel="0" collapsed="false">
      <c r="A1124" s="305" t="s">
        <v>120</v>
      </c>
      <c r="B1124" s="55" t="s">
        <v>31</v>
      </c>
    </row>
    <row r="1125" customFormat="false" ht="13.8" hidden="false" customHeight="false" outlineLevel="0" collapsed="false">
      <c r="A1125" s="306" t="s">
        <v>1212</v>
      </c>
      <c r="B1125" s="55" t="s">
        <v>121</v>
      </c>
    </row>
    <row r="1126" customFormat="false" ht="13.8" hidden="false" customHeight="false" outlineLevel="0" collapsed="false">
      <c r="A1126" s="306" t="s">
        <v>97</v>
      </c>
      <c r="B1126" s="55" t="s">
        <v>59</v>
      </c>
    </row>
    <row r="1127" customFormat="false" ht="13.8" hidden="false" customHeight="false" outlineLevel="0" collapsed="false">
      <c r="A1127" s="306" t="s">
        <v>163</v>
      </c>
      <c r="B1127" s="55" t="s">
        <v>57</v>
      </c>
    </row>
    <row r="1128" customFormat="false" ht="13.8" hidden="false" customHeight="false" outlineLevel="0" collapsed="false">
      <c r="A1128" s="306" t="s">
        <v>65</v>
      </c>
      <c r="B1128" s="55" t="s">
        <v>64</v>
      </c>
    </row>
    <row r="1129" customFormat="false" ht="13.8" hidden="false" customHeight="false" outlineLevel="0" collapsed="false">
      <c r="A1129" s="306" t="s">
        <v>65</v>
      </c>
      <c r="B1129" s="55" t="s">
        <v>64</v>
      </c>
    </row>
    <row r="1130" customFormat="false" ht="13.8" hidden="false" customHeight="false" outlineLevel="0" collapsed="false">
      <c r="A1130" s="306" t="s">
        <v>1213</v>
      </c>
      <c r="B1130" s="55" t="s">
        <v>73</v>
      </c>
    </row>
    <row r="1131" customFormat="false" ht="15" hidden="false" customHeight="false" outlineLevel="0" collapsed="false">
      <c r="A1131" s="305" t="s">
        <v>120</v>
      </c>
      <c r="B1131" s="55" t="s">
        <v>31</v>
      </c>
    </row>
    <row r="1132" customFormat="false" ht="13.8" hidden="false" customHeight="false" outlineLevel="0" collapsed="false">
      <c r="A1132" s="306" t="s">
        <v>1214</v>
      </c>
      <c r="B1132" s="55" t="s">
        <v>59</v>
      </c>
    </row>
    <row r="1133" customFormat="false" ht="15" hidden="false" customHeight="false" outlineLevel="0" collapsed="false">
      <c r="A1133" s="305" t="s">
        <v>120</v>
      </c>
      <c r="B1133" s="55" t="s">
        <v>31</v>
      </c>
    </row>
    <row r="1134" customFormat="false" ht="13.8" hidden="false" customHeight="false" outlineLevel="0" collapsed="false">
      <c r="A1134" s="306" t="s">
        <v>1215</v>
      </c>
      <c r="B1134" s="55" t="s">
        <v>391</v>
      </c>
    </row>
    <row r="1135" customFormat="false" ht="13.8" hidden="false" customHeight="false" outlineLevel="0" collapsed="false">
      <c r="A1135" s="306" t="s">
        <v>1216</v>
      </c>
      <c r="B1135" s="55" t="s">
        <v>121</v>
      </c>
    </row>
    <row r="1136" customFormat="false" ht="13.8" hidden="false" customHeight="false" outlineLevel="0" collapsed="false">
      <c r="A1136" s="306" t="s">
        <v>55</v>
      </c>
      <c r="B1136" s="55" t="s">
        <v>53</v>
      </c>
    </row>
    <row r="1137" customFormat="false" ht="13.8" hidden="false" customHeight="false" outlineLevel="0" collapsed="false">
      <c r="A1137" s="306" t="s">
        <v>79</v>
      </c>
      <c r="B1137" s="55" t="s">
        <v>59</v>
      </c>
    </row>
    <row r="1138" customFormat="false" ht="13.8" hidden="false" customHeight="false" outlineLevel="0" collapsed="false">
      <c r="A1138" s="306" t="s">
        <v>423</v>
      </c>
      <c r="B1138" s="55" t="s">
        <v>103</v>
      </c>
    </row>
    <row r="1139" customFormat="false" ht="13.8" hidden="false" customHeight="false" outlineLevel="0" collapsed="false">
      <c r="A1139" s="306" t="s">
        <v>1217</v>
      </c>
      <c r="B1139" s="55" t="s">
        <v>59</v>
      </c>
    </row>
    <row r="1140" customFormat="false" ht="13.8" hidden="false" customHeight="false" outlineLevel="0" collapsed="false">
      <c r="A1140" s="306" t="s">
        <v>58</v>
      </c>
      <c r="B1140" s="55" t="s">
        <v>57</v>
      </c>
    </row>
    <row r="1141" customFormat="false" ht="13.8" hidden="false" customHeight="false" outlineLevel="0" collapsed="false">
      <c r="A1141" s="306" t="s">
        <v>209</v>
      </c>
      <c r="B1141" s="55" t="s">
        <v>62</v>
      </c>
    </row>
    <row r="1142" customFormat="false" ht="13.8" hidden="false" customHeight="false" outlineLevel="0" collapsed="false">
      <c r="A1142" s="306" t="s">
        <v>240</v>
      </c>
      <c r="B1142" s="55" t="s">
        <v>62</v>
      </c>
    </row>
    <row r="1143" customFormat="false" ht="13.8" hidden="false" customHeight="false" outlineLevel="0" collapsed="false">
      <c r="A1143" s="306" t="s">
        <v>65</v>
      </c>
      <c r="B1143" s="55" t="s">
        <v>64</v>
      </c>
    </row>
    <row r="1144" customFormat="false" ht="13.8" hidden="false" customHeight="false" outlineLevel="0" collapsed="false">
      <c r="A1144" s="306" t="s">
        <v>1218</v>
      </c>
      <c r="B1144" s="55" t="s">
        <v>59</v>
      </c>
    </row>
    <row r="1145" customFormat="false" ht="15" hidden="false" customHeight="false" outlineLevel="0" collapsed="false">
      <c r="A1145" s="305" t="s">
        <v>120</v>
      </c>
      <c r="B1145" s="55" t="s">
        <v>31</v>
      </c>
    </row>
    <row r="1146" customFormat="false" ht="13.8" hidden="false" customHeight="false" outlineLevel="0" collapsed="false">
      <c r="A1146" s="306" t="s">
        <v>107</v>
      </c>
      <c r="B1146" s="55" t="s">
        <v>66</v>
      </c>
    </row>
    <row r="1147" customFormat="false" ht="15" hidden="false" customHeight="false" outlineLevel="0" collapsed="false">
      <c r="A1147" s="305" t="s">
        <v>120</v>
      </c>
      <c r="B1147" s="55" t="s">
        <v>31</v>
      </c>
    </row>
    <row r="1148" customFormat="false" ht="13.8" hidden="false" customHeight="false" outlineLevel="0" collapsed="false">
      <c r="A1148" s="306" t="s">
        <v>1219</v>
      </c>
      <c r="B1148" s="55" t="s">
        <v>80</v>
      </c>
    </row>
    <row r="1149" customFormat="false" ht="13.8" hidden="false" customHeight="false" outlineLevel="0" collapsed="false">
      <c r="A1149" s="306" t="s">
        <v>1220</v>
      </c>
      <c r="B1149" s="55" t="s">
        <v>53</v>
      </c>
    </row>
    <row r="1150" customFormat="false" ht="13.8" hidden="false" customHeight="false" outlineLevel="0" collapsed="false">
      <c r="A1150" s="306" t="s">
        <v>58</v>
      </c>
      <c r="B1150" s="55" t="s">
        <v>57</v>
      </c>
    </row>
    <row r="1151" customFormat="false" ht="13.8" hidden="false" customHeight="false" outlineLevel="0" collapsed="false">
      <c r="A1151" s="306" t="s">
        <v>240</v>
      </c>
      <c r="B1151" s="55" t="s">
        <v>62</v>
      </c>
    </row>
    <row r="1152" customFormat="false" ht="13.8" hidden="false" customHeight="false" outlineLevel="0" collapsed="false">
      <c r="A1152" s="306" t="s">
        <v>132</v>
      </c>
      <c r="B1152" s="55" t="s">
        <v>59</v>
      </c>
    </row>
    <row r="1153" customFormat="false" ht="15" hidden="false" customHeight="false" outlineLevel="0" collapsed="false">
      <c r="A1153" s="305" t="s">
        <v>68</v>
      </c>
      <c r="B1153" s="55" t="s">
        <v>31</v>
      </c>
    </row>
    <row r="1154" customFormat="false" ht="13.8" hidden="false" customHeight="false" outlineLevel="0" collapsed="false">
      <c r="A1154" s="306" t="s">
        <v>231</v>
      </c>
      <c r="B1154" s="55" t="s">
        <v>391</v>
      </c>
    </row>
    <row r="1155" customFormat="false" ht="13.8" hidden="false" customHeight="false" outlineLevel="0" collapsed="false">
      <c r="A1155" s="306" t="s">
        <v>65</v>
      </c>
      <c r="B1155" s="55" t="s">
        <v>64</v>
      </c>
    </row>
    <row r="1156" customFormat="false" ht="13.8" hidden="false" customHeight="false" outlineLevel="0" collapsed="false">
      <c r="A1156" s="306" t="s">
        <v>109</v>
      </c>
      <c r="B1156" s="55" t="s">
        <v>108</v>
      </c>
    </row>
    <row r="1157" customFormat="false" ht="15" hidden="false" customHeight="false" outlineLevel="0" collapsed="false">
      <c r="A1157" s="305" t="s">
        <v>68</v>
      </c>
      <c r="B1157" s="55" t="s">
        <v>31</v>
      </c>
    </row>
    <row r="1158" customFormat="false" ht="13.8" hidden="false" customHeight="false" outlineLevel="0" collapsed="false">
      <c r="A1158" s="306" t="s">
        <v>58</v>
      </c>
      <c r="B1158" s="55" t="s">
        <v>57</v>
      </c>
    </row>
    <row r="1159" customFormat="false" ht="13.8" hidden="false" customHeight="false" outlineLevel="0" collapsed="false">
      <c r="A1159" s="306" t="s">
        <v>58</v>
      </c>
      <c r="B1159" s="55" t="s">
        <v>57</v>
      </c>
    </row>
    <row r="1160" customFormat="false" ht="13.8" hidden="false" customHeight="false" outlineLevel="0" collapsed="false">
      <c r="A1160" s="306" t="s">
        <v>65</v>
      </c>
      <c r="B1160" s="55" t="s">
        <v>64</v>
      </c>
    </row>
    <row r="1161" customFormat="false" ht="15" hidden="false" customHeight="false" outlineLevel="0" collapsed="false">
      <c r="A1161" s="305" t="s">
        <v>68</v>
      </c>
      <c r="B1161" s="55" t="s">
        <v>31</v>
      </c>
    </row>
    <row r="1162" customFormat="false" ht="13.8" hidden="false" customHeight="false" outlineLevel="0" collapsed="false">
      <c r="A1162" s="306" t="s">
        <v>1221</v>
      </c>
      <c r="B1162" s="55" t="s">
        <v>121</v>
      </c>
    </row>
    <row r="1163" customFormat="false" ht="13.8" hidden="false" customHeight="false" outlineLevel="0" collapsed="false">
      <c r="A1163" s="306" t="s">
        <v>94</v>
      </c>
      <c r="B1163" s="55" t="s">
        <v>59</v>
      </c>
    </row>
    <row r="1164" customFormat="false" ht="13.8" hidden="false" customHeight="false" outlineLevel="0" collapsed="false">
      <c r="A1164" s="306" t="s">
        <v>209</v>
      </c>
      <c r="B1164" s="55" t="s">
        <v>62</v>
      </c>
    </row>
    <row r="1165" customFormat="false" ht="13.8" hidden="false" customHeight="false" outlineLevel="0" collapsed="false">
      <c r="A1165" s="306" t="s">
        <v>1222</v>
      </c>
      <c r="B1165" s="55" t="s">
        <v>59</v>
      </c>
    </row>
    <row r="1166" customFormat="false" ht="13.8" hidden="false" customHeight="false" outlineLevel="0" collapsed="false">
      <c r="A1166" s="306" t="s">
        <v>127</v>
      </c>
      <c r="B1166" s="55" t="s">
        <v>59</v>
      </c>
    </row>
    <row r="1167" customFormat="false" ht="13.8" hidden="false" customHeight="false" outlineLevel="0" collapsed="false">
      <c r="A1167" s="306" t="s">
        <v>130</v>
      </c>
      <c r="B1167" s="55" t="s">
        <v>103</v>
      </c>
    </row>
    <row r="1168" customFormat="false" ht="13.8" hidden="false" customHeight="false" outlineLevel="0" collapsed="false">
      <c r="A1168" s="306" t="s">
        <v>1223</v>
      </c>
      <c r="B1168" s="55" t="s">
        <v>57</v>
      </c>
    </row>
    <row r="1169" customFormat="false" ht="13.8" hidden="false" customHeight="false" outlineLevel="0" collapsed="false">
      <c r="A1169" s="306" t="s">
        <v>328</v>
      </c>
      <c r="B1169" s="55" t="s">
        <v>62</v>
      </c>
    </row>
    <row r="1170" customFormat="false" ht="13.8" hidden="false" customHeight="false" outlineLevel="0" collapsed="false">
      <c r="A1170" s="306" t="s">
        <v>163</v>
      </c>
      <c r="B1170" s="55" t="s">
        <v>57</v>
      </c>
    </row>
    <row r="1171" customFormat="false" ht="13.8" hidden="false" customHeight="false" outlineLevel="0" collapsed="false">
      <c r="A1171" s="306" t="s">
        <v>65</v>
      </c>
      <c r="B1171" s="55" t="s">
        <v>64</v>
      </c>
    </row>
    <row r="1172" customFormat="false" ht="13.8" hidden="false" customHeight="false" outlineLevel="0" collapsed="false">
      <c r="A1172" s="306" t="s">
        <v>135</v>
      </c>
      <c r="B1172" s="55" t="s">
        <v>134</v>
      </c>
    </row>
    <row r="1173" customFormat="false" ht="13.8" hidden="false" customHeight="false" outlineLevel="0" collapsed="false">
      <c r="A1173" s="306" t="s">
        <v>86</v>
      </c>
      <c r="B1173" s="55" t="s">
        <v>85</v>
      </c>
    </row>
    <row r="1174" customFormat="false" ht="15" hidden="false" customHeight="false" outlineLevel="0" collapsed="false">
      <c r="A1174" s="305" t="s">
        <v>120</v>
      </c>
      <c r="B1174" s="55" t="s">
        <v>31</v>
      </c>
    </row>
    <row r="1175" customFormat="false" ht="13.8" hidden="false" customHeight="false" outlineLevel="0" collapsed="false">
      <c r="A1175" s="306" t="s">
        <v>65</v>
      </c>
      <c r="B1175" s="30" t="s">
        <v>64</v>
      </c>
    </row>
    <row r="1176" customFormat="false" ht="15" hidden="false" customHeight="false" outlineLevel="0" collapsed="false">
      <c r="A1176" s="305" t="s">
        <v>120</v>
      </c>
      <c r="B1176" s="30" t="s">
        <v>31</v>
      </c>
    </row>
    <row r="1177" customFormat="false" ht="13.8" hidden="false" customHeight="false" outlineLevel="0" collapsed="false">
      <c r="A1177" s="306" t="s">
        <v>60</v>
      </c>
      <c r="B1177" s="30" t="s">
        <v>59</v>
      </c>
    </row>
    <row r="1178" customFormat="false" ht="13.8" hidden="false" customHeight="false" outlineLevel="0" collapsed="false">
      <c r="A1178" s="306" t="s">
        <v>231</v>
      </c>
      <c r="B1178" s="30" t="s">
        <v>391</v>
      </c>
    </row>
    <row r="1179" customFormat="false" ht="13.8" hidden="false" customHeight="false" outlineLevel="0" collapsed="false">
      <c r="A1179" s="306" t="s">
        <v>1224</v>
      </c>
      <c r="B1179" s="30" t="s">
        <v>391</v>
      </c>
    </row>
    <row r="1180" customFormat="false" ht="13.8" hidden="false" customHeight="false" outlineLevel="0" collapsed="false">
      <c r="A1180" s="306" t="s">
        <v>65</v>
      </c>
      <c r="B1180" s="30" t="s">
        <v>64</v>
      </c>
    </row>
    <row r="1181" customFormat="false" ht="13.8" hidden="false" customHeight="false" outlineLevel="0" collapsed="false">
      <c r="A1181" s="306" t="s">
        <v>65</v>
      </c>
      <c r="B1181" s="30" t="s">
        <v>64</v>
      </c>
    </row>
    <row r="1182" customFormat="false" ht="15" hidden="false" customHeight="false" outlineLevel="0" collapsed="false">
      <c r="A1182" s="305" t="s">
        <v>120</v>
      </c>
      <c r="B1182" s="30" t="s">
        <v>31</v>
      </c>
    </row>
    <row r="1183" customFormat="false" ht="13.8" hidden="false" customHeight="false" outlineLevel="0" collapsed="false">
      <c r="A1183" s="306" t="s">
        <v>65</v>
      </c>
      <c r="B1183" s="30" t="s">
        <v>64</v>
      </c>
    </row>
    <row r="1184" customFormat="false" ht="13.8" hidden="false" customHeight="false" outlineLevel="0" collapsed="false">
      <c r="A1184" s="306" t="s">
        <v>1225</v>
      </c>
      <c r="B1184" s="30" t="s">
        <v>5</v>
      </c>
    </row>
    <row r="1185" customFormat="false" ht="15" hidden="false" customHeight="false" outlineLevel="0" collapsed="false">
      <c r="A1185" s="305" t="s">
        <v>120</v>
      </c>
      <c r="B1185" s="30" t="s">
        <v>31</v>
      </c>
    </row>
    <row r="1186" customFormat="false" ht="13.8" hidden="false" customHeight="false" outlineLevel="0" collapsed="false">
      <c r="A1186" s="306" t="s">
        <v>155</v>
      </c>
      <c r="B1186" s="30" t="s">
        <v>154</v>
      </c>
    </row>
    <row r="1187" customFormat="false" ht="15" hidden="false" customHeight="false" outlineLevel="0" collapsed="false">
      <c r="A1187" s="305" t="s">
        <v>120</v>
      </c>
      <c r="B1187" s="30" t="s">
        <v>31</v>
      </c>
    </row>
    <row r="1188" customFormat="false" ht="13.8" hidden="false" customHeight="false" outlineLevel="0" collapsed="false">
      <c r="A1188" s="306" t="s">
        <v>79</v>
      </c>
      <c r="B1188" s="30" t="s">
        <v>59</v>
      </c>
    </row>
    <row r="1189" customFormat="false" ht="15" hidden="false" customHeight="false" outlineLevel="0" collapsed="false">
      <c r="A1189" s="305" t="s">
        <v>120</v>
      </c>
      <c r="B1189" s="30" t="s">
        <v>31</v>
      </c>
    </row>
    <row r="1190" customFormat="false" ht="13.8" hidden="false" customHeight="false" outlineLevel="0" collapsed="false">
      <c r="A1190" s="306" t="s">
        <v>65</v>
      </c>
      <c r="B1190" s="30" t="s">
        <v>64</v>
      </c>
    </row>
    <row r="1191" customFormat="false" ht="13.8" hidden="false" customHeight="false" outlineLevel="0" collapsed="false">
      <c r="A1191" s="306" t="s">
        <v>155</v>
      </c>
      <c r="B1191" s="30" t="s">
        <v>154</v>
      </c>
    </row>
    <row r="1192" customFormat="false" ht="15" hidden="false" customHeight="false" outlineLevel="0" collapsed="false">
      <c r="A1192" s="305" t="s">
        <v>120</v>
      </c>
      <c r="B1192" s="30" t="s">
        <v>31</v>
      </c>
    </row>
    <row r="1193" customFormat="false" ht="13.8" hidden="false" customHeight="false" outlineLevel="0" collapsed="false">
      <c r="A1193" s="306" t="s">
        <v>1226</v>
      </c>
      <c r="B1193" s="30" t="s">
        <v>59</v>
      </c>
    </row>
    <row r="1194" customFormat="false" ht="13.8" hidden="false" customHeight="false" outlineLevel="0" collapsed="false">
      <c r="A1194" s="306" t="s">
        <v>1227</v>
      </c>
      <c r="B1194" s="30" t="s">
        <v>59</v>
      </c>
    </row>
    <row r="1195" customFormat="false" ht="13.8" hidden="false" customHeight="false" outlineLevel="0" collapsed="false">
      <c r="A1195" s="306" t="s">
        <v>1228</v>
      </c>
      <c r="B1195" s="30" t="s">
        <v>59</v>
      </c>
    </row>
    <row r="1196" customFormat="false" ht="13.8" hidden="false" customHeight="false" outlineLevel="0" collapsed="false">
      <c r="A1196" s="306" t="s">
        <v>1229</v>
      </c>
      <c r="B1196" s="30" t="s">
        <v>59</v>
      </c>
    </row>
    <row r="1197" customFormat="false" ht="13.8" hidden="false" customHeight="false" outlineLevel="0" collapsed="false">
      <c r="A1197" s="306" t="s">
        <v>225</v>
      </c>
      <c r="B1197" s="30" t="s">
        <v>59</v>
      </c>
    </row>
    <row r="1198" customFormat="false" ht="13.8" hidden="false" customHeight="false" outlineLevel="0" collapsed="false">
      <c r="A1198" s="306" t="s">
        <v>225</v>
      </c>
      <c r="B1198" s="30" t="s">
        <v>59</v>
      </c>
    </row>
    <row r="1199" customFormat="false" ht="13.8" hidden="false" customHeight="false" outlineLevel="0" collapsed="false">
      <c r="A1199" s="306" t="s">
        <v>449</v>
      </c>
      <c r="B1199" s="55" t="s">
        <v>62</v>
      </c>
    </row>
    <row r="1200" customFormat="false" ht="15" hidden="false" customHeight="false" outlineLevel="0" collapsed="false">
      <c r="A1200" s="305" t="s">
        <v>68</v>
      </c>
      <c r="B1200" s="30" t="s">
        <v>31</v>
      </c>
    </row>
    <row r="1201" customFormat="false" ht="13.8" hidden="false" customHeight="false" outlineLevel="0" collapsed="false">
      <c r="A1201" s="306" t="s">
        <v>1230</v>
      </c>
      <c r="B1201" s="55" t="s">
        <v>59</v>
      </c>
    </row>
    <row r="1202" customFormat="false" ht="13.8" hidden="false" customHeight="false" outlineLevel="0" collapsed="false">
      <c r="A1202" s="306" t="s">
        <v>1227</v>
      </c>
      <c r="B1202" s="30" t="s">
        <v>59</v>
      </c>
    </row>
    <row r="1203" customFormat="false" ht="15" hidden="false" customHeight="false" outlineLevel="0" collapsed="false">
      <c r="A1203" s="305" t="s">
        <v>120</v>
      </c>
      <c r="B1203" s="30" t="s">
        <v>31</v>
      </c>
    </row>
    <row r="1204" customFormat="false" ht="13.8" hidden="false" customHeight="false" outlineLevel="0" collapsed="false">
      <c r="A1204" s="306" t="s">
        <v>1231</v>
      </c>
      <c r="B1204" s="30" t="s">
        <v>59</v>
      </c>
    </row>
    <row r="1205" customFormat="false" ht="13.8" hidden="false" customHeight="false" outlineLevel="0" collapsed="false">
      <c r="A1205" s="306" t="s">
        <v>1232</v>
      </c>
      <c r="B1205" s="30" t="s">
        <v>815</v>
      </c>
    </row>
    <row r="1206" customFormat="false" ht="13.8" hidden="false" customHeight="false" outlineLevel="0" collapsed="false">
      <c r="A1206" s="306" t="s">
        <v>1232</v>
      </c>
      <c r="B1206" s="30" t="s">
        <v>815</v>
      </c>
    </row>
    <row r="1207" customFormat="false" ht="13.8" hidden="false" customHeight="false" outlineLevel="0" collapsed="false">
      <c r="A1207" s="306" t="s">
        <v>1233</v>
      </c>
      <c r="B1207" s="30" t="s">
        <v>1234</v>
      </c>
    </row>
    <row r="1208" customFormat="false" ht="13.8" hidden="false" customHeight="false" outlineLevel="0" collapsed="false">
      <c r="A1208" s="306" t="s">
        <v>1233</v>
      </c>
      <c r="B1208" s="30" t="s">
        <v>1234</v>
      </c>
    </row>
    <row r="1209" customFormat="false" ht="15" hidden="false" customHeight="false" outlineLevel="0" collapsed="false">
      <c r="A1209" s="305" t="s">
        <v>120</v>
      </c>
      <c r="B1209" s="30" t="s">
        <v>31</v>
      </c>
    </row>
    <row r="1210" customFormat="false" ht="13.8" hidden="false" customHeight="false" outlineLevel="0" collapsed="false">
      <c r="A1210" s="306" t="s">
        <v>1235</v>
      </c>
      <c r="B1210" s="30" t="s">
        <v>815</v>
      </c>
    </row>
    <row r="1211" customFormat="false" ht="13.8" hidden="false" customHeight="false" outlineLevel="0" collapsed="false">
      <c r="A1211" s="306" t="s">
        <v>79</v>
      </c>
      <c r="B1211" s="30" t="s">
        <v>59</v>
      </c>
    </row>
    <row r="1212" customFormat="false" ht="13.8" hidden="false" customHeight="false" outlineLevel="0" collapsed="false">
      <c r="A1212" s="306" t="s">
        <v>65</v>
      </c>
      <c r="B1212" s="30" t="s">
        <v>64</v>
      </c>
    </row>
    <row r="1213" customFormat="false" ht="13.8" hidden="false" customHeight="false" outlineLevel="0" collapsed="false">
      <c r="A1213" s="306" t="s">
        <v>1236</v>
      </c>
      <c r="B1213" s="30" t="s">
        <v>5</v>
      </c>
    </row>
    <row r="1214" customFormat="false" ht="15" hidden="false" customHeight="false" outlineLevel="0" collapsed="false">
      <c r="A1214" s="305" t="s">
        <v>120</v>
      </c>
      <c r="B1214" s="30" t="s">
        <v>31</v>
      </c>
    </row>
    <row r="1215" customFormat="false" ht="13.8" hidden="false" customHeight="false" outlineLevel="0" collapsed="false">
      <c r="A1215" s="306" t="s">
        <v>1237</v>
      </c>
      <c r="B1215" s="30" t="s">
        <v>124</v>
      </c>
    </row>
    <row r="1216" customFormat="false" ht="13.8" hidden="false" customHeight="false" outlineLevel="0" collapsed="false">
      <c r="A1216" s="306" t="s">
        <v>224</v>
      </c>
      <c r="B1216" s="55" t="s">
        <v>62</v>
      </c>
    </row>
    <row r="1217" customFormat="false" ht="13.8" hidden="false" customHeight="false" outlineLevel="0" collapsed="false">
      <c r="A1217" s="306" t="s">
        <v>1238</v>
      </c>
      <c r="B1217" s="30" t="s">
        <v>98</v>
      </c>
    </row>
    <row r="1218" customFormat="false" ht="13.8" hidden="false" customHeight="false" outlineLevel="0" collapsed="false">
      <c r="A1218" s="306" t="s">
        <v>130</v>
      </c>
      <c r="B1218" s="30" t="s">
        <v>103</v>
      </c>
    </row>
    <row r="1219" customFormat="false" ht="13.8" hidden="false" customHeight="false" outlineLevel="0" collapsed="false">
      <c r="A1219" s="306" t="s">
        <v>1239</v>
      </c>
      <c r="B1219" s="30" t="s">
        <v>85</v>
      </c>
    </row>
    <row r="1220" customFormat="false" ht="15" hidden="false" customHeight="false" outlineLevel="0" collapsed="false">
      <c r="A1220" s="305" t="s">
        <v>68</v>
      </c>
      <c r="B1220" s="30" t="s">
        <v>31</v>
      </c>
    </row>
    <row r="1221" customFormat="false" ht="13.8" hidden="false" customHeight="false" outlineLevel="0" collapsed="false">
      <c r="A1221" s="306" t="s">
        <v>125</v>
      </c>
      <c r="B1221" s="59" t="s">
        <v>124</v>
      </c>
    </row>
    <row r="1222" customFormat="false" ht="13.8" hidden="false" customHeight="false" outlineLevel="0" collapsed="false">
      <c r="A1222" s="306" t="s">
        <v>152</v>
      </c>
      <c r="B1222" s="0" t="s">
        <v>151</v>
      </c>
    </row>
    <row r="1223" customFormat="false" ht="13.8" hidden="false" customHeight="false" outlineLevel="0" collapsed="false">
      <c r="A1223" s="307" t="s">
        <v>189</v>
      </c>
      <c r="B1223" s="0" t="s">
        <v>391</v>
      </c>
    </row>
    <row r="1224" customFormat="false" ht="13.8" hidden="false" customHeight="false" outlineLevel="0" collapsed="false">
      <c r="A1224" s="307" t="s">
        <v>71</v>
      </c>
      <c r="B1224" s="0" t="s">
        <v>73</v>
      </c>
    </row>
    <row r="1225" customFormat="false" ht="13.8" hidden="false" customHeight="false" outlineLevel="0" collapsed="false">
      <c r="A1225" s="307" t="s">
        <v>190</v>
      </c>
      <c r="B1225" s="0" t="s">
        <v>80</v>
      </c>
    </row>
    <row r="1226" customFormat="false" ht="15" hidden="false" customHeight="false" outlineLevel="0" collapsed="false">
      <c r="A1226" s="56" t="s">
        <v>52</v>
      </c>
      <c r="B1226" s="55" t="s">
        <v>31</v>
      </c>
    </row>
    <row r="1227" customFormat="false" ht="13.8" hidden="false" customHeight="false" outlineLevel="0" collapsed="false">
      <c r="A1227" s="27" t="s">
        <v>168</v>
      </c>
      <c r="B1227" s="55" t="s">
        <v>121</v>
      </c>
    </row>
    <row r="1228" customFormat="false" ht="13.8" hidden="false" customHeight="false" outlineLevel="0" collapsed="false">
      <c r="A1228" s="27" t="s">
        <v>55</v>
      </c>
      <c r="B1228" s="55" t="s">
        <v>53</v>
      </c>
    </row>
    <row r="1229" customFormat="false" ht="13.8" hidden="false" customHeight="false" outlineLevel="0" collapsed="false">
      <c r="A1229" s="27" t="s">
        <v>55</v>
      </c>
      <c r="B1229" s="55" t="s">
        <v>53</v>
      </c>
    </row>
    <row r="1230" customFormat="false" ht="13.8" hidden="false" customHeight="false" outlineLevel="0" collapsed="false">
      <c r="A1230" s="27" t="s">
        <v>169</v>
      </c>
      <c r="B1230" s="55" t="s">
        <v>62</v>
      </c>
    </row>
    <row r="1231" customFormat="false" ht="13.8" hidden="false" customHeight="false" outlineLevel="0" collapsed="false">
      <c r="A1231" s="27" t="s">
        <v>79</v>
      </c>
      <c r="B1231" s="55" t="s">
        <v>77</v>
      </c>
    </row>
    <row r="1232" customFormat="false" ht="13.8" hidden="false" customHeight="false" outlineLevel="0" collapsed="false">
      <c r="A1232" s="27" t="s">
        <v>58</v>
      </c>
      <c r="B1232" s="55" t="s">
        <v>57</v>
      </c>
    </row>
    <row r="1233" customFormat="false" ht="13.8" hidden="false" customHeight="false" outlineLevel="0" collapsed="false">
      <c r="A1233" s="27" t="s">
        <v>170</v>
      </c>
      <c r="B1233" s="55" t="s">
        <v>62</v>
      </c>
    </row>
    <row r="1234" customFormat="false" ht="13.8" hidden="false" customHeight="false" outlineLevel="0" collapsed="false">
      <c r="A1234" s="27" t="s">
        <v>130</v>
      </c>
      <c r="B1234" s="55" t="s">
        <v>103</v>
      </c>
    </row>
    <row r="1235" customFormat="false" ht="13.8" hidden="false" customHeight="false" outlineLevel="0" collapsed="false">
      <c r="A1235" s="27" t="s">
        <v>171</v>
      </c>
      <c r="B1235" s="55" t="s">
        <v>85</v>
      </c>
    </row>
    <row r="1236" customFormat="false" ht="13.8" hidden="false" customHeight="false" outlineLevel="0" collapsed="false">
      <c r="A1236" s="27" t="s">
        <v>171</v>
      </c>
      <c r="B1236" s="55" t="s">
        <v>85</v>
      </c>
    </row>
    <row r="1237" customFormat="false" ht="13.8" hidden="false" customHeight="false" outlineLevel="0" collapsed="false">
      <c r="A1237" s="27" t="s">
        <v>67</v>
      </c>
      <c r="B1237" s="55" t="s">
        <v>66</v>
      </c>
    </row>
    <row r="1238" customFormat="false" ht="15" hidden="false" customHeight="false" outlineLevel="0" collapsed="false">
      <c r="A1238" s="56" t="s">
        <v>120</v>
      </c>
      <c r="B1238" s="55" t="s">
        <v>31</v>
      </c>
    </row>
    <row r="1239" customFormat="false" ht="13.8" hidden="false" customHeight="false" outlineLevel="0" collapsed="false">
      <c r="A1239" s="27" t="s">
        <v>38</v>
      </c>
      <c r="B1239" s="55" t="s">
        <v>41</v>
      </c>
    </row>
    <row r="1240" customFormat="false" ht="13.8" hidden="false" customHeight="false" outlineLevel="0" collapsed="false">
      <c r="A1240" s="27" t="s">
        <v>65</v>
      </c>
      <c r="B1240" s="55" t="s">
        <v>64</v>
      </c>
    </row>
    <row r="1241" customFormat="false" ht="13.8" hidden="false" customHeight="false" outlineLevel="0" collapsed="false">
      <c r="A1241" s="27" t="s">
        <v>176</v>
      </c>
      <c r="B1241" s="55" t="s">
        <v>175</v>
      </c>
    </row>
    <row r="1242" customFormat="false" ht="13.8" hidden="false" customHeight="false" outlineLevel="0" collapsed="false">
      <c r="A1242" s="27" t="s">
        <v>35</v>
      </c>
      <c r="B1242" s="55" t="s">
        <v>178</v>
      </c>
    </row>
    <row r="1243" customFormat="false" ht="13.8" hidden="false" customHeight="false" outlineLevel="0" collapsed="false">
      <c r="A1243" s="27" t="s">
        <v>179</v>
      </c>
      <c r="B1243" s="55" t="s">
        <v>66</v>
      </c>
    </row>
    <row r="1244" customFormat="false" ht="15" hidden="false" customHeight="false" outlineLevel="0" collapsed="false">
      <c r="A1244" s="56" t="s">
        <v>120</v>
      </c>
      <c r="B1244" s="55" t="s">
        <v>31</v>
      </c>
    </row>
    <row r="1245" customFormat="false" ht="15" hidden="false" customHeight="false" outlineLevel="0" collapsed="false">
      <c r="A1245" s="56" t="s">
        <v>120</v>
      </c>
      <c r="B1245" s="55" t="s">
        <v>31</v>
      </c>
    </row>
    <row r="1246" customFormat="false" ht="13.8" hidden="false" customHeight="false" outlineLevel="0" collapsed="false">
      <c r="A1246" s="27" t="s">
        <v>182</v>
      </c>
      <c r="B1246" s="55" t="s">
        <v>57</v>
      </c>
    </row>
    <row r="1247" customFormat="false" ht="13.8" hidden="false" customHeight="false" outlineLevel="0" collapsed="false">
      <c r="A1247" s="27" t="s">
        <v>184</v>
      </c>
      <c r="B1247" s="55" t="s">
        <v>183</v>
      </c>
    </row>
    <row r="1248" customFormat="false" ht="15" hidden="false" customHeight="false" outlineLevel="0" collapsed="false">
      <c r="A1248" s="56" t="s">
        <v>120</v>
      </c>
      <c r="B1248" s="55" t="s">
        <v>31</v>
      </c>
    </row>
    <row r="1249" customFormat="false" ht="13.8" hidden="false" customHeight="false" outlineLevel="0" collapsed="false">
      <c r="A1249" s="27" t="s">
        <v>79</v>
      </c>
      <c r="B1249" s="55" t="s">
        <v>77</v>
      </c>
    </row>
    <row r="1250" customFormat="false" ht="13.8" hidden="false" customHeight="false" outlineLevel="0" collapsed="false">
      <c r="A1250" s="27" t="s">
        <v>186</v>
      </c>
      <c r="B1250" s="55" t="s">
        <v>39</v>
      </c>
    </row>
    <row r="1251" customFormat="false" ht="13.8" hidden="false" customHeight="false" outlineLevel="0" collapsed="false">
      <c r="A1251" s="27" t="s">
        <v>187</v>
      </c>
      <c r="B1251" s="55" t="s">
        <v>66</v>
      </c>
    </row>
    <row r="1252" customFormat="false" ht="15" hidden="false" customHeight="false" outlineLevel="0" collapsed="false">
      <c r="A1252" s="56" t="s">
        <v>120</v>
      </c>
      <c r="B1252" s="55" t="s">
        <v>31</v>
      </c>
    </row>
    <row r="1253" customFormat="false" ht="13.8" hidden="false" customHeight="false" outlineLevel="0" collapsed="false">
      <c r="A1253" s="27" t="s">
        <v>189</v>
      </c>
      <c r="B1253" s="55" t="s">
        <v>87</v>
      </c>
    </row>
    <row r="1254" customFormat="false" ht="13.8" hidden="false" customHeight="false" outlineLevel="0" collapsed="false">
      <c r="A1254" s="27" t="s">
        <v>71</v>
      </c>
      <c r="B1254" s="55" t="s">
        <v>69</v>
      </c>
    </row>
    <row r="1255" customFormat="false" ht="13.8" hidden="false" customHeight="false" outlineLevel="0" collapsed="false">
      <c r="A1255" s="27" t="s">
        <v>190</v>
      </c>
      <c r="B1255" s="55" t="s">
        <v>80</v>
      </c>
    </row>
    <row r="1256" customFormat="false" ht="13.8" hidden="false" customHeight="false" outlineLevel="0" collapsed="false">
      <c r="A1256" s="27" t="s">
        <v>161</v>
      </c>
      <c r="B1256" s="55" t="s">
        <v>159</v>
      </c>
    </row>
    <row r="1257" customFormat="false" ht="13.8" hidden="false" customHeight="false" outlineLevel="0" collapsed="false">
      <c r="A1257" s="27" t="s">
        <v>191</v>
      </c>
      <c r="B1257" s="55" t="s">
        <v>59</v>
      </c>
    </row>
    <row r="1258" customFormat="false" ht="13.8" hidden="false" customHeight="false" outlineLevel="0" collapsed="false">
      <c r="A1258" s="27" t="s">
        <v>192</v>
      </c>
      <c r="B1258" s="55" t="s">
        <v>59</v>
      </c>
    </row>
    <row r="1259" customFormat="false" ht="13.8" hidden="false" customHeight="false" outlineLevel="0" collapsed="false">
      <c r="A1259" s="27" t="s">
        <v>193</v>
      </c>
      <c r="B1259" s="55" t="s">
        <v>59</v>
      </c>
    </row>
    <row r="1260" customFormat="false" ht="13.8" hidden="false" customHeight="false" outlineLevel="0" collapsed="false">
      <c r="A1260" s="27" t="s">
        <v>58</v>
      </c>
      <c r="B1260" s="55" t="s">
        <v>57</v>
      </c>
    </row>
    <row r="1261" customFormat="false" ht="13.8" hidden="false" customHeight="false" outlineLevel="0" collapsed="false">
      <c r="A1261" s="27" t="s">
        <v>170</v>
      </c>
      <c r="B1261" s="55" t="s">
        <v>59</v>
      </c>
    </row>
    <row r="1262" customFormat="false" ht="13.8" hidden="false" customHeight="false" outlineLevel="0" collapsed="false">
      <c r="A1262" s="27" t="s">
        <v>170</v>
      </c>
      <c r="B1262" s="55" t="s">
        <v>59</v>
      </c>
    </row>
    <row r="1263" customFormat="false" ht="13.8" hidden="false" customHeight="false" outlineLevel="0" collapsed="false">
      <c r="A1263" s="27" t="s">
        <v>65</v>
      </c>
      <c r="B1263" s="55" t="s">
        <v>64</v>
      </c>
    </row>
    <row r="1264" customFormat="false" ht="13.8" hidden="false" customHeight="false" outlineLevel="0" collapsed="false">
      <c r="A1264" s="27" t="s">
        <v>35</v>
      </c>
      <c r="B1264" s="55" t="s">
        <v>194</v>
      </c>
    </row>
    <row r="1265" customFormat="false" ht="13.8" hidden="false" customHeight="false" outlineLevel="0" collapsed="false">
      <c r="A1265" s="27" t="s">
        <v>36</v>
      </c>
      <c r="B1265" s="55" t="s">
        <v>195</v>
      </c>
    </row>
    <row r="1266" customFormat="false" ht="15" hidden="false" customHeight="false" outlineLevel="0" collapsed="false">
      <c r="A1266" s="56" t="s">
        <v>68</v>
      </c>
      <c r="B1266" s="55" t="s">
        <v>31</v>
      </c>
    </row>
    <row r="1267" customFormat="false" ht="13.8" hidden="false" customHeight="false" outlineLevel="0" collapsed="false">
      <c r="A1267" s="27" t="s">
        <v>198</v>
      </c>
      <c r="B1267" s="55" t="s">
        <v>80</v>
      </c>
    </row>
    <row r="1268" customFormat="false" ht="13.8" hidden="false" customHeight="false" outlineLevel="0" collapsed="false">
      <c r="A1268" s="27" t="s">
        <v>58</v>
      </c>
      <c r="B1268" s="55" t="s">
        <v>57</v>
      </c>
    </row>
    <row r="1269" customFormat="false" ht="15" hidden="false" customHeight="false" outlineLevel="0" collapsed="false">
      <c r="A1269" s="56" t="s">
        <v>68</v>
      </c>
      <c r="B1269" s="55" t="s">
        <v>31</v>
      </c>
    </row>
    <row r="1270" customFormat="false" ht="13.8" hidden="false" customHeight="false" outlineLevel="0" collapsed="false">
      <c r="A1270" s="27" t="s">
        <v>107</v>
      </c>
      <c r="B1270" s="55" t="s">
        <v>66</v>
      </c>
    </row>
    <row r="1271" customFormat="false" ht="15" hidden="false" customHeight="false" outlineLevel="0" collapsed="false">
      <c r="A1271" s="56" t="s">
        <v>68</v>
      </c>
      <c r="B1271" s="55" t="s">
        <v>31</v>
      </c>
    </row>
    <row r="1272" customFormat="false" ht="13.8" hidden="false" customHeight="false" outlineLevel="0" collapsed="false">
      <c r="A1272" s="27" t="s">
        <v>202</v>
      </c>
      <c r="B1272" s="55" t="s">
        <v>200</v>
      </c>
    </row>
    <row r="1273" customFormat="false" ht="13.8" hidden="false" customHeight="false" outlineLevel="0" collapsed="false">
      <c r="A1273" s="27" t="s">
        <v>79</v>
      </c>
      <c r="B1273" s="55" t="s">
        <v>59</v>
      </c>
    </row>
    <row r="1274" customFormat="false" ht="13.8" hidden="false" customHeight="false" outlineLevel="0" collapsed="false">
      <c r="A1274" s="27" t="s">
        <v>65</v>
      </c>
      <c r="B1274" s="55" t="s">
        <v>64</v>
      </c>
    </row>
    <row r="1275" customFormat="false" ht="13.8" hidden="false" customHeight="false" outlineLevel="0" collapsed="false">
      <c r="A1275" s="27" t="s">
        <v>109</v>
      </c>
      <c r="B1275" s="55" t="s">
        <v>108</v>
      </c>
    </row>
    <row r="1276" customFormat="false" ht="15" hidden="false" customHeight="false" outlineLevel="0" collapsed="false">
      <c r="A1276" s="56" t="s">
        <v>68</v>
      </c>
      <c r="B1276" s="55" t="s">
        <v>31</v>
      </c>
    </row>
    <row r="1277" customFormat="false" ht="13.8" hidden="false" customHeight="false" outlineLevel="0" collapsed="false">
      <c r="A1277" s="27" t="s">
        <v>204</v>
      </c>
      <c r="B1277" s="55" t="s">
        <v>59</v>
      </c>
    </row>
    <row r="1278" customFormat="false" ht="13.8" hidden="false" customHeight="false" outlineLevel="0" collapsed="false">
      <c r="A1278" s="27" t="s">
        <v>166</v>
      </c>
      <c r="B1278" s="55" t="s">
        <v>59</v>
      </c>
    </row>
    <row r="1279" customFormat="false" ht="13.8" hidden="false" customHeight="false" outlineLevel="0" collapsed="false">
      <c r="A1279" s="27" t="s">
        <v>205</v>
      </c>
      <c r="B1279" s="55" t="s">
        <v>64</v>
      </c>
    </row>
    <row r="1280" customFormat="false" ht="13.8" hidden="false" customHeight="false" outlineLevel="0" collapsed="false">
      <c r="A1280" s="27" t="s">
        <v>65</v>
      </c>
      <c r="B1280" s="55" t="s">
        <v>64</v>
      </c>
    </row>
    <row r="1281" customFormat="false" ht="15" hidden="false" customHeight="false" outlineLevel="0" collapsed="false">
      <c r="A1281" s="56" t="s">
        <v>68</v>
      </c>
      <c r="B1281" s="55" t="s">
        <v>31</v>
      </c>
    </row>
    <row r="1282" customFormat="false" ht="13.8" hidden="false" customHeight="false" outlineLevel="0" collapsed="false">
      <c r="A1282" s="27" t="s">
        <v>207</v>
      </c>
      <c r="B1282" s="55" t="s">
        <v>121</v>
      </c>
    </row>
    <row r="1283" customFormat="false" ht="13.8" hidden="false" customHeight="false" outlineLevel="0" collapsed="false">
      <c r="A1283" s="27" t="s">
        <v>79</v>
      </c>
      <c r="B1283" s="55" t="s">
        <v>77</v>
      </c>
    </row>
    <row r="1284" customFormat="false" ht="13.8" hidden="false" customHeight="false" outlineLevel="0" collapsed="false">
      <c r="A1284" s="27" t="s">
        <v>58</v>
      </c>
      <c r="B1284" s="55" t="s">
        <v>57</v>
      </c>
    </row>
    <row r="1285" customFormat="false" ht="13.8" hidden="false" customHeight="false" outlineLevel="0" collapsed="false">
      <c r="A1285" s="27" t="s">
        <v>208</v>
      </c>
      <c r="B1285" s="55" t="s">
        <v>59</v>
      </c>
    </row>
    <row r="1286" customFormat="false" ht="13.8" hidden="false" customHeight="false" outlineLevel="0" collapsed="false">
      <c r="A1286" s="27" t="s">
        <v>209</v>
      </c>
      <c r="B1286" s="55" t="s">
        <v>62</v>
      </c>
    </row>
    <row r="1287" customFormat="false" ht="13.8" hidden="false" customHeight="false" outlineLevel="0" collapsed="false">
      <c r="A1287" s="27" t="s">
        <v>210</v>
      </c>
      <c r="B1287" s="55" t="s">
        <v>62</v>
      </c>
    </row>
    <row r="1288" customFormat="false" ht="13.8" hidden="false" customHeight="false" outlineLevel="0" collapsed="false">
      <c r="A1288" s="27" t="s">
        <v>212</v>
      </c>
      <c r="B1288" s="55" t="s">
        <v>211</v>
      </c>
    </row>
    <row r="1289" customFormat="false" ht="13.8" hidden="false" customHeight="false" outlineLevel="0" collapsed="false">
      <c r="A1289" s="27" t="s">
        <v>213</v>
      </c>
      <c r="B1289" s="55" t="s">
        <v>53</v>
      </c>
    </row>
    <row r="1290" customFormat="false" ht="13.8" hidden="false" customHeight="false" outlineLevel="0" collapsed="false">
      <c r="A1290" s="27" t="s">
        <v>130</v>
      </c>
      <c r="B1290" s="55" t="s">
        <v>103</v>
      </c>
    </row>
    <row r="1291" customFormat="false" ht="13.8" hidden="false" customHeight="false" outlineLevel="0" collapsed="false">
      <c r="A1291" s="27" t="s">
        <v>166</v>
      </c>
      <c r="B1291" s="55" t="s">
        <v>59</v>
      </c>
    </row>
    <row r="1292" customFormat="false" ht="13.8" hidden="false" customHeight="false" outlineLevel="0" collapsed="false">
      <c r="A1292" s="27" t="s">
        <v>214</v>
      </c>
      <c r="B1292" s="55" t="s">
        <v>59</v>
      </c>
    </row>
    <row r="1293" customFormat="false" ht="13.8" hidden="false" customHeight="false" outlineLevel="0" collapsed="false">
      <c r="A1293" s="27" t="s">
        <v>162</v>
      </c>
      <c r="B1293" s="55" t="s">
        <v>57</v>
      </c>
    </row>
    <row r="1294" customFormat="false" ht="13.8" hidden="false" customHeight="false" outlineLevel="0" collapsed="false">
      <c r="A1294" s="27" t="s">
        <v>162</v>
      </c>
      <c r="B1294" s="55" t="s">
        <v>57</v>
      </c>
    </row>
    <row r="1295" customFormat="false" ht="13.8" hidden="false" customHeight="false" outlineLevel="0" collapsed="false">
      <c r="A1295" s="27" t="s">
        <v>65</v>
      </c>
      <c r="B1295" s="55" t="s">
        <v>64</v>
      </c>
    </row>
    <row r="1296" customFormat="false" ht="13.8" hidden="false" customHeight="false" outlineLevel="0" collapsed="false">
      <c r="A1296" s="27" t="s">
        <v>65</v>
      </c>
      <c r="B1296" s="55" t="s">
        <v>64</v>
      </c>
    </row>
    <row r="1297" customFormat="false" ht="13.8" hidden="false" customHeight="false" outlineLevel="0" collapsed="false">
      <c r="A1297" s="27" t="s">
        <v>65</v>
      </c>
      <c r="B1297" s="55" t="s">
        <v>64</v>
      </c>
    </row>
    <row r="1298" customFormat="false" ht="13.8" hidden="false" customHeight="false" outlineLevel="0" collapsed="false">
      <c r="A1298" s="27" t="s">
        <v>135</v>
      </c>
      <c r="B1298" s="55" t="s">
        <v>134</v>
      </c>
    </row>
    <row r="1299" customFormat="false" ht="13.8" hidden="false" customHeight="false" outlineLevel="0" collapsed="false">
      <c r="A1299" s="27" t="s">
        <v>38</v>
      </c>
      <c r="B1299" s="55" t="s">
        <v>215</v>
      </c>
    </row>
    <row r="1300" customFormat="false" ht="13.8" hidden="false" customHeight="false" outlineLevel="0" collapsed="false">
      <c r="A1300" s="27" t="s">
        <v>37</v>
      </c>
      <c r="B1300" s="55" t="s">
        <v>195</v>
      </c>
    </row>
    <row r="1301" customFormat="false" ht="13.8" hidden="false" customHeight="false" outlineLevel="0" collapsed="false">
      <c r="A1301" s="27" t="s">
        <v>217</v>
      </c>
      <c r="B1301" s="55" t="s">
        <v>85</v>
      </c>
    </row>
    <row r="1302" customFormat="false" ht="15" hidden="false" customHeight="false" outlineLevel="0" collapsed="false">
      <c r="A1302" s="56" t="s">
        <v>68</v>
      </c>
      <c r="B1302" s="55" t="s">
        <v>31</v>
      </c>
    </row>
    <row r="1303" customFormat="false" ht="13.8" hidden="false" customHeight="false" outlineLevel="0" collapsed="false">
      <c r="A1303" s="27" t="s">
        <v>65</v>
      </c>
      <c r="B1303" s="55" t="s">
        <v>64</v>
      </c>
    </row>
    <row r="1304" customFormat="false" ht="13.8" hidden="false" customHeight="false" outlineLevel="0" collapsed="false">
      <c r="A1304" s="27" t="s">
        <v>219</v>
      </c>
      <c r="B1304" s="55" t="s">
        <v>151</v>
      </c>
    </row>
    <row r="1305" customFormat="false" ht="15" hidden="false" customHeight="false" outlineLevel="0" collapsed="false">
      <c r="A1305" s="56" t="s">
        <v>68</v>
      </c>
      <c r="B1305" s="55" t="s">
        <v>31</v>
      </c>
    </row>
    <row r="1306" customFormat="false" ht="13.8" hidden="false" customHeight="false" outlineLevel="0" collapsed="false">
      <c r="A1306" s="27" t="s">
        <v>192</v>
      </c>
      <c r="B1306" s="55" t="s">
        <v>59</v>
      </c>
    </row>
    <row r="1307" customFormat="false" ht="13.8" hidden="false" customHeight="false" outlineLevel="0" collapsed="false">
      <c r="A1307" s="27" t="s">
        <v>60</v>
      </c>
      <c r="B1307" s="55" t="s">
        <v>59</v>
      </c>
    </row>
    <row r="1308" customFormat="false" ht="13.8" hidden="false" customHeight="false" outlineLevel="0" collapsed="false">
      <c r="A1308" s="27" t="s">
        <v>162</v>
      </c>
      <c r="B1308" s="55" t="s">
        <v>57</v>
      </c>
    </row>
    <row r="1309" customFormat="false" ht="13.8" hidden="false" customHeight="false" outlineLevel="0" collapsed="false">
      <c r="A1309" s="27" t="s">
        <v>65</v>
      </c>
      <c r="B1309" s="55" t="s">
        <v>64</v>
      </c>
    </row>
    <row r="1310" customFormat="false" ht="15" hidden="false" customHeight="false" outlineLevel="0" collapsed="false">
      <c r="A1310" s="56" t="s">
        <v>68</v>
      </c>
      <c r="B1310" s="55" t="s">
        <v>31</v>
      </c>
    </row>
    <row r="1311" customFormat="false" ht="15" hidden="false" customHeight="false" outlineLevel="0" collapsed="false">
      <c r="A1311" s="308" t="s">
        <v>52</v>
      </c>
      <c r="B1311" s="309" t="s">
        <v>31</v>
      </c>
      <c r="C1311" s="310" t="n">
        <v>2021</v>
      </c>
    </row>
    <row r="1312" customFormat="false" ht="13.8" hidden="false" customHeight="false" outlineLevel="0" collapsed="false">
      <c r="A1312" s="306" t="s">
        <v>55</v>
      </c>
      <c r="B1312" s="55" t="s">
        <v>53</v>
      </c>
    </row>
    <row r="1313" customFormat="false" ht="13.8" hidden="false" customHeight="false" outlineLevel="0" collapsed="false">
      <c r="A1313" s="306" t="s">
        <v>58</v>
      </c>
      <c r="B1313" s="55" t="s">
        <v>57</v>
      </c>
    </row>
    <row r="1314" customFormat="false" ht="13.8" hidden="false" customHeight="false" outlineLevel="0" collapsed="false">
      <c r="A1314" s="306" t="s">
        <v>60</v>
      </c>
      <c r="B1314" s="55" t="s">
        <v>59</v>
      </c>
    </row>
    <row r="1315" customFormat="false" ht="13.8" hidden="false" customHeight="false" outlineLevel="0" collapsed="false">
      <c r="A1315" s="306" t="s">
        <v>61</v>
      </c>
      <c r="B1315" s="55" t="s">
        <v>53</v>
      </c>
    </row>
    <row r="1316" customFormat="false" ht="13.8" hidden="false" customHeight="false" outlineLevel="0" collapsed="false">
      <c r="A1316" s="306" t="s">
        <v>63</v>
      </c>
      <c r="B1316" s="55" t="s">
        <v>62</v>
      </c>
    </row>
    <row r="1317" customFormat="false" ht="13.8" hidden="false" customHeight="false" outlineLevel="0" collapsed="false">
      <c r="A1317" s="306" t="s">
        <v>65</v>
      </c>
      <c r="B1317" s="55" t="s">
        <v>64</v>
      </c>
    </row>
    <row r="1318" customFormat="false" ht="13.8" hidden="false" customHeight="false" outlineLevel="0" collapsed="false">
      <c r="A1318" s="306" t="s">
        <v>65</v>
      </c>
      <c r="B1318" s="55" t="s">
        <v>64</v>
      </c>
    </row>
    <row r="1319" customFormat="false" ht="13.8" hidden="false" customHeight="false" outlineLevel="0" collapsed="false">
      <c r="A1319" s="306" t="s">
        <v>67</v>
      </c>
      <c r="B1319" s="55" t="s">
        <v>66</v>
      </c>
    </row>
    <row r="1320" customFormat="false" ht="15" hidden="false" customHeight="false" outlineLevel="0" collapsed="false">
      <c r="A1320" s="305" t="s">
        <v>68</v>
      </c>
      <c r="B1320" s="55" t="s">
        <v>31</v>
      </c>
    </row>
    <row r="1321" customFormat="false" ht="13.8" hidden="false" customHeight="false" outlineLevel="0" collapsed="false">
      <c r="A1321" s="306" t="s">
        <v>71</v>
      </c>
      <c r="B1321" s="55" t="s">
        <v>69</v>
      </c>
    </row>
    <row r="1322" customFormat="false" ht="13.8" hidden="false" customHeight="false" outlineLevel="0" collapsed="false">
      <c r="A1322" s="306" t="s">
        <v>74</v>
      </c>
      <c r="B1322" s="55" t="s">
        <v>73</v>
      </c>
    </row>
    <row r="1323" customFormat="false" ht="13.8" hidden="false" customHeight="false" outlineLevel="0" collapsed="false">
      <c r="A1323" s="306" t="s">
        <v>75</v>
      </c>
      <c r="B1323" s="55" t="s">
        <v>66</v>
      </c>
    </row>
    <row r="1324" customFormat="false" ht="15" hidden="false" customHeight="false" outlineLevel="0" collapsed="false">
      <c r="A1324" s="305" t="s">
        <v>68</v>
      </c>
      <c r="B1324" s="55" t="s">
        <v>31</v>
      </c>
    </row>
    <row r="1325" customFormat="false" ht="13.8" hidden="false" customHeight="false" outlineLevel="0" collapsed="false">
      <c r="A1325" s="306" t="s">
        <v>79</v>
      </c>
      <c r="B1325" s="55" t="s">
        <v>77</v>
      </c>
    </row>
    <row r="1326" customFormat="false" ht="13.8" hidden="false" customHeight="false" outlineLevel="0" collapsed="false">
      <c r="A1326" s="306" t="s">
        <v>58</v>
      </c>
      <c r="B1326" s="55" t="s">
        <v>57</v>
      </c>
    </row>
    <row r="1327" customFormat="false" ht="15" hidden="false" customHeight="false" outlineLevel="0" collapsed="false">
      <c r="A1327" s="305" t="s">
        <v>68</v>
      </c>
      <c r="B1327" s="55" t="s">
        <v>31</v>
      </c>
    </row>
    <row r="1328" customFormat="false" ht="13.8" hidden="false" customHeight="false" outlineLevel="0" collapsed="false">
      <c r="A1328" s="306" t="s">
        <v>82</v>
      </c>
      <c r="B1328" s="55" t="s">
        <v>80</v>
      </c>
    </row>
    <row r="1329" customFormat="false" ht="13.8" hidden="false" customHeight="false" outlineLevel="0" collapsed="false">
      <c r="A1329" s="306" t="s">
        <v>83</v>
      </c>
      <c r="B1329" s="55" t="s">
        <v>80</v>
      </c>
    </row>
    <row r="1330" customFormat="false" ht="13.8" hidden="false" customHeight="false" outlineLevel="0" collapsed="false">
      <c r="A1330" s="306" t="s">
        <v>84</v>
      </c>
      <c r="B1330" s="55" t="s">
        <v>59</v>
      </c>
    </row>
    <row r="1331" customFormat="false" ht="13.8" hidden="false" customHeight="false" outlineLevel="0" collapsed="false">
      <c r="A1331" s="306" t="s">
        <v>86</v>
      </c>
      <c r="B1331" s="55" t="s">
        <v>85</v>
      </c>
    </row>
    <row r="1332" customFormat="false" ht="15" hidden="false" customHeight="false" outlineLevel="0" collapsed="false">
      <c r="A1332" s="305" t="s">
        <v>68</v>
      </c>
      <c r="B1332" s="55" t="s">
        <v>31</v>
      </c>
    </row>
    <row r="1333" customFormat="false" ht="13.8" hidden="false" customHeight="false" outlineLevel="0" collapsed="false">
      <c r="A1333" s="306" t="s">
        <v>89</v>
      </c>
      <c r="B1333" s="296" t="s">
        <v>87</v>
      </c>
    </row>
    <row r="1334" customFormat="false" ht="13.8" hidden="false" customHeight="false" outlineLevel="0" collapsed="false">
      <c r="A1334" s="306" t="s">
        <v>90</v>
      </c>
      <c r="B1334" s="55" t="s">
        <v>59</v>
      </c>
    </row>
    <row r="1335" customFormat="false" ht="13.8" hidden="false" customHeight="false" outlineLevel="0" collapsed="false">
      <c r="A1335" s="306" t="s">
        <v>93</v>
      </c>
      <c r="B1335" s="55" t="s">
        <v>92</v>
      </c>
    </row>
    <row r="1336" customFormat="false" ht="13.8" hidden="false" customHeight="false" outlineLevel="0" collapsed="false">
      <c r="A1336" s="306" t="s">
        <v>79</v>
      </c>
      <c r="B1336" s="55" t="s">
        <v>77</v>
      </c>
    </row>
    <row r="1337" customFormat="false" ht="13.8" hidden="false" customHeight="false" outlineLevel="0" collapsed="false">
      <c r="A1337" s="306" t="s">
        <v>94</v>
      </c>
      <c r="B1337" s="55" t="s">
        <v>59</v>
      </c>
    </row>
    <row r="1338" customFormat="false" ht="13.8" hidden="false" customHeight="false" outlineLevel="0" collapsed="false">
      <c r="A1338" s="306" t="s">
        <v>58</v>
      </c>
      <c r="B1338" s="55" t="s">
        <v>57</v>
      </c>
    </row>
    <row r="1339" customFormat="false" ht="13.8" hidden="false" customHeight="false" outlineLevel="0" collapsed="false">
      <c r="A1339" s="306" t="s">
        <v>95</v>
      </c>
      <c r="B1339" s="55" t="s">
        <v>59</v>
      </c>
    </row>
    <row r="1340" customFormat="false" ht="13.8" hidden="false" customHeight="false" outlineLevel="0" collapsed="false">
      <c r="A1340" s="306" t="s">
        <v>96</v>
      </c>
      <c r="B1340" s="55" t="s">
        <v>59</v>
      </c>
    </row>
    <row r="1341" customFormat="false" ht="13.8" hidden="false" customHeight="false" outlineLevel="0" collapsed="false">
      <c r="A1341" s="306" t="s">
        <v>97</v>
      </c>
      <c r="B1341" s="55" t="s">
        <v>59</v>
      </c>
    </row>
    <row r="1342" customFormat="false" ht="13.8" hidden="false" customHeight="false" outlineLevel="0" collapsed="false">
      <c r="A1342" s="306" t="s">
        <v>99</v>
      </c>
      <c r="B1342" s="55" t="s">
        <v>98</v>
      </c>
    </row>
    <row r="1343" customFormat="false" ht="13.8" hidden="false" customHeight="false" outlineLevel="0" collapsed="false">
      <c r="A1343" s="306" t="s">
        <v>100</v>
      </c>
      <c r="B1343" s="55" t="s">
        <v>98</v>
      </c>
    </row>
    <row r="1344" customFormat="false" ht="13.8" hidden="false" customHeight="false" outlineLevel="0" collapsed="false">
      <c r="A1344" s="306" t="s">
        <v>101</v>
      </c>
      <c r="B1344" s="55" t="s">
        <v>98</v>
      </c>
    </row>
    <row r="1345" customFormat="false" ht="13.8" hidden="false" customHeight="false" outlineLevel="0" collapsed="false">
      <c r="A1345" s="306" t="s">
        <v>102</v>
      </c>
      <c r="B1345" s="55" t="s">
        <v>98</v>
      </c>
    </row>
    <row r="1346" customFormat="false" ht="13.8" hidden="false" customHeight="false" outlineLevel="0" collapsed="false">
      <c r="A1346" s="306" t="s">
        <v>104</v>
      </c>
      <c r="B1346" s="55" t="s">
        <v>103</v>
      </c>
    </row>
    <row r="1347" customFormat="false" ht="13.8" hidden="false" customHeight="false" outlineLevel="0" collapsed="false">
      <c r="A1347" s="306" t="s">
        <v>105</v>
      </c>
      <c r="B1347" s="297" t="s">
        <v>59</v>
      </c>
    </row>
    <row r="1348" customFormat="false" ht="13.8" hidden="false" customHeight="false" outlineLevel="0" collapsed="false">
      <c r="A1348" s="306" t="s">
        <v>106</v>
      </c>
      <c r="B1348" s="139" t="s">
        <v>64</v>
      </c>
    </row>
    <row r="1349" customFormat="false" ht="13.8" hidden="false" customHeight="false" outlineLevel="0" collapsed="false">
      <c r="A1349" s="306" t="s">
        <v>65</v>
      </c>
      <c r="B1349" s="139" t="s">
        <v>64</v>
      </c>
    </row>
    <row r="1350" customFormat="false" ht="13.8" hidden="false" customHeight="false" outlineLevel="0" collapsed="false">
      <c r="A1350" s="306" t="s">
        <v>107</v>
      </c>
      <c r="B1350" s="59" t="s">
        <v>66</v>
      </c>
    </row>
    <row r="1351" customFormat="false" ht="13.8" hidden="false" customHeight="false" outlineLevel="0" collapsed="false">
      <c r="A1351" s="306" t="s">
        <v>109</v>
      </c>
      <c r="B1351" s="139" t="s">
        <v>108</v>
      </c>
    </row>
    <row r="1352" customFormat="false" ht="15" hidden="false" customHeight="false" outlineLevel="0" collapsed="false">
      <c r="A1352" s="305" t="s">
        <v>68</v>
      </c>
      <c r="B1352" s="139" t="s">
        <v>31</v>
      </c>
    </row>
    <row r="1353" customFormat="false" ht="13.8" hidden="false" customHeight="false" outlineLevel="0" collapsed="false">
      <c r="A1353" s="306" t="s">
        <v>111</v>
      </c>
      <c r="B1353" s="59" t="s">
        <v>57</v>
      </c>
    </row>
    <row r="1354" customFormat="false" ht="13.8" hidden="false" customHeight="false" outlineLevel="0" collapsed="false">
      <c r="A1354" s="306" t="s">
        <v>112</v>
      </c>
      <c r="B1354" s="139" t="s">
        <v>64</v>
      </c>
    </row>
    <row r="1355" customFormat="false" ht="13.8" hidden="false" customHeight="false" outlineLevel="0" collapsed="false">
      <c r="A1355" s="306" t="s">
        <v>113</v>
      </c>
      <c r="B1355" s="139" t="s">
        <v>64</v>
      </c>
    </row>
    <row r="1356" customFormat="false" ht="13.8" hidden="false" customHeight="false" outlineLevel="0" collapsed="false">
      <c r="A1356" s="306" t="s">
        <v>65</v>
      </c>
      <c r="B1356" s="139" t="s">
        <v>64</v>
      </c>
    </row>
    <row r="1357" customFormat="false" ht="15" hidden="false" customHeight="false" outlineLevel="0" collapsed="false">
      <c r="A1357" s="305" t="s">
        <v>68</v>
      </c>
      <c r="B1357" s="139" t="s">
        <v>31</v>
      </c>
    </row>
    <row r="1358" customFormat="false" ht="13.8" hidden="false" customHeight="false" outlineLevel="0" collapsed="false">
      <c r="A1358" s="306" t="s">
        <v>116</v>
      </c>
      <c r="B1358" s="59" t="s">
        <v>114</v>
      </c>
    </row>
    <row r="1359" customFormat="false" ht="13.8" hidden="false" customHeight="false" outlineLevel="0" collapsed="false">
      <c r="A1359" s="306" t="s">
        <v>117</v>
      </c>
      <c r="B1359" s="139" t="s">
        <v>114</v>
      </c>
    </row>
    <row r="1360" customFormat="false" ht="15" hidden="false" customHeight="false" outlineLevel="0" collapsed="false">
      <c r="A1360" s="305" t="s">
        <v>68</v>
      </c>
      <c r="B1360" s="59" t="s">
        <v>31</v>
      </c>
    </row>
    <row r="1361" customFormat="false" ht="13.8" hidden="false" customHeight="false" outlineLevel="0" collapsed="false">
      <c r="A1361" s="306" t="s">
        <v>119</v>
      </c>
      <c r="B1361" s="55" t="s">
        <v>57</v>
      </c>
    </row>
    <row r="1362" customFormat="false" ht="13.8" hidden="false" customHeight="false" outlineLevel="0" collapsed="false">
      <c r="A1362" s="306" t="s">
        <v>86</v>
      </c>
      <c r="B1362" s="55" t="s">
        <v>85</v>
      </c>
    </row>
    <row r="1363" customFormat="false" ht="15" hidden="false" customHeight="false" outlineLevel="0" collapsed="false">
      <c r="A1363" s="305" t="s">
        <v>120</v>
      </c>
      <c r="B1363" s="55" t="s">
        <v>31</v>
      </c>
    </row>
    <row r="1364" customFormat="false" ht="13.8" hidden="false" customHeight="false" outlineLevel="0" collapsed="false">
      <c r="A1364" s="306" t="s">
        <v>123</v>
      </c>
      <c r="B1364" s="55" t="s">
        <v>121</v>
      </c>
    </row>
    <row r="1365" customFormat="false" ht="13.8" hidden="false" customHeight="false" outlineLevel="0" collapsed="false">
      <c r="A1365" s="306" t="s">
        <v>58</v>
      </c>
      <c r="B1365" s="55" t="s">
        <v>57</v>
      </c>
    </row>
    <row r="1366" customFormat="false" ht="13.8" hidden="false" customHeight="false" outlineLevel="0" collapsed="false">
      <c r="A1366" s="306" t="s">
        <v>58</v>
      </c>
      <c r="B1366" s="55" t="s">
        <v>57</v>
      </c>
    </row>
    <row r="1367" customFormat="false" ht="13.8" hidden="false" customHeight="false" outlineLevel="0" collapsed="false">
      <c r="A1367" s="306" t="s">
        <v>125</v>
      </c>
      <c r="B1367" s="59" t="s">
        <v>124</v>
      </c>
    </row>
    <row r="1368" customFormat="false" ht="13.8" hidden="false" customHeight="false" outlineLevel="0" collapsed="false">
      <c r="A1368" s="306" t="s">
        <v>126</v>
      </c>
      <c r="B1368" s="55" t="s">
        <v>62</v>
      </c>
    </row>
    <row r="1369" customFormat="false" ht="13.8" hidden="false" customHeight="false" outlineLevel="0" collapsed="false">
      <c r="A1369" s="306" t="s">
        <v>127</v>
      </c>
      <c r="B1369" s="55" t="s">
        <v>59</v>
      </c>
    </row>
    <row r="1370" customFormat="false" ht="13.8" hidden="false" customHeight="false" outlineLevel="0" collapsed="false">
      <c r="A1370" s="306" t="s">
        <v>128</v>
      </c>
      <c r="B1370" s="55" t="s">
        <v>59</v>
      </c>
    </row>
    <row r="1371" customFormat="false" ht="13.8" hidden="false" customHeight="false" outlineLevel="0" collapsed="false">
      <c r="A1371" s="306" t="s">
        <v>129</v>
      </c>
      <c r="B1371" s="139" t="s">
        <v>59</v>
      </c>
    </row>
    <row r="1372" customFormat="false" ht="13.8" hidden="false" customHeight="false" outlineLevel="0" collapsed="false">
      <c r="A1372" s="306" t="s">
        <v>129</v>
      </c>
      <c r="B1372" s="59" t="s">
        <v>59</v>
      </c>
    </row>
    <row r="1373" customFormat="false" ht="13.8" hidden="false" customHeight="false" outlineLevel="0" collapsed="false">
      <c r="A1373" s="306" t="s">
        <v>130</v>
      </c>
      <c r="B1373" s="55" t="s">
        <v>103</v>
      </c>
    </row>
    <row r="1374" customFormat="false" ht="13.8" hidden="false" customHeight="false" outlineLevel="0" collapsed="false">
      <c r="A1374" s="306" t="s">
        <v>131</v>
      </c>
      <c r="B1374" s="299" t="s">
        <v>59</v>
      </c>
    </row>
    <row r="1375" customFormat="false" ht="13.8" hidden="false" customHeight="false" outlineLevel="0" collapsed="false">
      <c r="A1375" s="306" t="s">
        <v>132</v>
      </c>
      <c r="B1375" s="55" t="s">
        <v>59</v>
      </c>
    </row>
    <row r="1376" customFormat="false" ht="13.8" hidden="false" customHeight="false" outlineLevel="0" collapsed="false">
      <c r="A1376" s="306" t="s">
        <v>65</v>
      </c>
      <c r="B1376" s="55" t="s">
        <v>64</v>
      </c>
    </row>
    <row r="1377" customFormat="false" ht="13.8" hidden="false" customHeight="false" outlineLevel="0" collapsed="false">
      <c r="A1377" s="306" t="s">
        <v>65</v>
      </c>
      <c r="B1377" s="55" t="s">
        <v>64</v>
      </c>
    </row>
    <row r="1378" customFormat="false" ht="13.8" hidden="false" customHeight="false" outlineLevel="0" collapsed="false">
      <c r="A1378" s="306" t="s">
        <v>65</v>
      </c>
      <c r="B1378" s="55" t="s">
        <v>64</v>
      </c>
    </row>
    <row r="1379" customFormat="false" ht="13.8" hidden="false" customHeight="false" outlineLevel="0" collapsed="false">
      <c r="A1379" s="306" t="s">
        <v>133</v>
      </c>
      <c r="B1379" s="55" t="s">
        <v>64</v>
      </c>
    </row>
    <row r="1380" customFormat="false" ht="13.8" hidden="false" customHeight="false" outlineLevel="0" collapsed="false">
      <c r="A1380" s="306" t="s">
        <v>135</v>
      </c>
      <c r="B1380" s="55" t="s">
        <v>134</v>
      </c>
    </row>
    <row r="1381" customFormat="false" ht="13.8" hidden="false" customHeight="false" outlineLevel="0" collapsed="false">
      <c r="A1381" s="306" t="s">
        <v>38</v>
      </c>
      <c r="B1381" s="55" t="s">
        <v>136</v>
      </c>
    </row>
    <row r="1382" customFormat="false" ht="15" hidden="false" customHeight="false" outlineLevel="0" collapsed="false">
      <c r="A1382" s="305" t="s">
        <v>68</v>
      </c>
      <c r="B1382" s="55" t="s">
        <v>31</v>
      </c>
    </row>
    <row r="1383" customFormat="false" ht="13.8" hidden="false" customHeight="false" outlineLevel="0" collapsed="false">
      <c r="A1383" s="306" t="s">
        <v>65</v>
      </c>
      <c r="B1383" s="55" t="s">
        <v>64</v>
      </c>
    </row>
    <row r="1384" customFormat="false" ht="15" hidden="false" customHeight="false" outlineLevel="0" collapsed="false">
      <c r="A1384" s="305" t="s">
        <v>68</v>
      </c>
      <c r="B1384" s="55" t="s">
        <v>31</v>
      </c>
    </row>
    <row r="1385" customFormat="false" ht="13.8" hidden="false" customHeight="false" outlineLevel="0" collapsed="false">
      <c r="A1385" s="306" t="s">
        <v>65</v>
      </c>
      <c r="B1385" s="55" t="s">
        <v>64</v>
      </c>
    </row>
    <row r="1386" customFormat="false" ht="15" hidden="false" customHeight="false" outlineLevel="0" collapsed="false">
      <c r="A1386" s="305" t="s">
        <v>68</v>
      </c>
      <c r="B1386" s="55" t="s">
        <v>31</v>
      </c>
    </row>
    <row r="1387" customFormat="false" ht="13.8" hidden="false" customHeight="false" outlineLevel="0" collapsed="false">
      <c r="A1387" s="306" t="s">
        <v>79</v>
      </c>
      <c r="B1387" s="55" t="s">
        <v>77</v>
      </c>
    </row>
    <row r="1388" customFormat="false" ht="13.8" hidden="false" customHeight="false" outlineLevel="0" collapsed="false">
      <c r="A1388" s="306" t="s">
        <v>140</v>
      </c>
      <c r="B1388" s="55" t="s">
        <v>59</v>
      </c>
    </row>
    <row r="1389" customFormat="false" ht="13.8" hidden="false" customHeight="false" outlineLevel="0" collapsed="false">
      <c r="A1389" s="306" t="s">
        <v>65</v>
      </c>
      <c r="B1389" s="55" t="s">
        <v>64</v>
      </c>
    </row>
    <row r="1390" customFormat="false" ht="15" hidden="false" customHeight="false" outlineLevel="0" collapsed="false">
      <c r="A1390" s="305" t="s">
        <v>68</v>
      </c>
      <c r="B1390" s="55" t="s">
        <v>31</v>
      </c>
    </row>
    <row r="1391" customFormat="false" ht="13.8" hidden="false" customHeight="false" outlineLevel="0" collapsed="false">
      <c r="A1391" s="306" t="s">
        <v>142</v>
      </c>
      <c r="B1391" s="55" t="s">
        <v>121</v>
      </c>
    </row>
    <row r="1392" customFormat="false" ht="13.8" hidden="false" customHeight="false" outlineLevel="0" collapsed="false">
      <c r="A1392" s="306" t="s">
        <v>143</v>
      </c>
      <c r="B1392" s="55" t="s">
        <v>59</v>
      </c>
    </row>
    <row r="1393" customFormat="false" ht="13.8" hidden="false" customHeight="false" outlineLevel="0" collapsed="false">
      <c r="A1393" s="306" t="s">
        <v>144</v>
      </c>
      <c r="B1393" s="55" t="s">
        <v>57</v>
      </c>
    </row>
    <row r="1394" customFormat="false" ht="13.8" hidden="false" customHeight="false" outlineLevel="0" collapsed="false">
      <c r="A1394" s="306" t="s">
        <v>145</v>
      </c>
      <c r="B1394" s="55" t="s">
        <v>57</v>
      </c>
    </row>
    <row r="1395" customFormat="false" ht="13.8" hidden="false" customHeight="false" outlineLevel="0" collapsed="false">
      <c r="A1395" s="306" t="s">
        <v>146</v>
      </c>
      <c r="B1395" s="55" t="s">
        <v>59</v>
      </c>
    </row>
    <row r="1396" customFormat="false" ht="13.8" hidden="false" customHeight="false" outlineLevel="0" collapsed="false">
      <c r="A1396" s="306" t="s">
        <v>147</v>
      </c>
      <c r="B1396" s="55" t="s">
        <v>59</v>
      </c>
    </row>
    <row r="1397" customFormat="false" ht="13.8" hidden="false" customHeight="false" outlineLevel="0" collapsed="false">
      <c r="A1397" s="306" t="s">
        <v>149</v>
      </c>
      <c r="B1397" s="55" t="s">
        <v>148</v>
      </c>
    </row>
    <row r="1398" customFormat="false" ht="13.8" hidden="false" customHeight="false" outlineLevel="0" collapsed="false">
      <c r="A1398" s="306" t="s">
        <v>99</v>
      </c>
      <c r="B1398" s="55" t="s">
        <v>59</v>
      </c>
    </row>
    <row r="1399" customFormat="false" ht="13.8" hidden="false" customHeight="false" outlineLevel="0" collapsed="false">
      <c r="A1399" s="306" t="s">
        <v>99</v>
      </c>
      <c r="B1399" s="55" t="s">
        <v>59</v>
      </c>
    </row>
    <row r="1400" customFormat="false" ht="13.8" hidden="false" customHeight="false" outlineLevel="0" collapsed="false">
      <c r="A1400" s="306" t="s">
        <v>130</v>
      </c>
      <c r="B1400" s="55" t="s">
        <v>103</v>
      </c>
    </row>
    <row r="1401" customFormat="false" ht="13.8" hidden="false" customHeight="false" outlineLevel="0" collapsed="false">
      <c r="A1401" s="306" t="s">
        <v>150</v>
      </c>
      <c r="B1401" s="55" t="s">
        <v>62</v>
      </c>
    </row>
    <row r="1402" customFormat="false" ht="13.8" hidden="false" customHeight="false" outlineLevel="0" collapsed="false">
      <c r="A1402" s="306" t="s">
        <v>65</v>
      </c>
      <c r="B1402" s="55" t="s">
        <v>64</v>
      </c>
    </row>
    <row r="1403" customFormat="false" ht="13.8" hidden="false" customHeight="false" outlineLevel="0" collapsed="false">
      <c r="A1403" s="306" t="s">
        <v>65</v>
      </c>
      <c r="B1403" s="55" t="s">
        <v>64</v>
      </c>
    </row>
    <row r="1404" customFormat="false" ht="13.8" hidden="false" customHeight="false" outlineLevel="0" collapsed="false">
      <c r="A1404" s="306" t="s">
        <v>152</v>
      </c>
      <c r="B1404" s="55" t="s">
        <v>151</v>
      </c>
    </row>
    <row r="1405" customFormat="false" ht="13.8" hidden="false" customHeight="false" outlineLevel="0" collapsed="false">
      <c r="A1405" s="306" t="s">
        <v>155</v>
      </c>
      <c r="B1405" s="55" t="s">
        <v>154</v>
      </c>
    </row>
    <row r="1406" customFormat="false" ht="15" hidden="false" customHeight="false" outlineLevel="0" collapsed="false">
      <c r="A1406" s="305" t="s">
        <v>68</v>
      </c>
      <c r="B1406" s="55" t="s">
        <v>31</v>
      </c>
    </row>
    <row r="1407" customFormat="false" ht="13.8" hidden="false" customHeight="false" outlineLevel="0" collapsed="false">
      <c r="A1407" s="306" t="s">
        <v>157</v>
      </c>
      <c r="B1407" s="55" t="s">
        <v>57</v>
      </c>
    </row>
    <row r="1408" customFormat="false" ht="13.8" hidden="false" customHeight="false" outlineLevel="0" collapsed="false">
      <c r="A1408" s="306" t="s">
        <v>158</v>
      </c>
      <c r="B1408" s="55" t="s">
        <v>57</v>
      </c>
    </row>
    <row r="1409" customFormat="false" ht="15" hidden="false" customHeight="false" outlineLevel="0" collapsed="false">
      <c r="A1409" s="305" t="s">
        <v>68</v>
      </c>
      <c r="B1409" s="55" t="s">
        <v>31</v>
      </c>
    </row>
    <row r="1410" customFormat="false" ht="13.8" hidden="false" customHeight="false" outlineLevel="0" collapsed="false">
      <c r="A1410" s="306" t="s">
        <v>161</v>
      </c>
      <c r="B1410" s="55" t="s">
        <v>159</v>
      </c>
    </row>
    <row r="1411" customFormat="false" ht="13.8" hidden="false" customHeight="false" outlineLevel="0" collapsed="false">
      <c r="A1411" s="306" t="s">
        <v>162</v>
      </c>
      <c r="B1411" s="55" t="s">
        <v>57</v>
      </c>
    </row>
    <row r="1412" customFormat="false" ht="13.8" hidden="false" customHeight="false" outlineLevel="0" collapsed="false">
      <c r="A1412" s="306" t="s">
        <v>163</v>
      </c>
      <c r="B1412" s="55" t="s">
        <v>57</v>
      </c>
    </row>
    <row r="1413" customFormat="false" ht="13.8" hidden="false" customHeight="false" outlineLevel="0" collapsed="false">
      <c r="A1413" s="306" t="s">
        <v>164</v>
      </c>
      <c r="B1413" s="55" t="s">
        <v>59</v>
      </c>
    </row>
    <row r="1414" customFormat="false" ht="15" hidden="false" customHeight="false" outlineLevel="0" collapsed="false">
      <c r="A1414" s="305" t="s">
        <v>68</v>
      </c>
      <c r="B1414" s="55" t="s">
        <v>31</v>
      </c>
    </row>
    <row r="1415" customFormat="false" ht="13.8" hidden="false" customHeight="false" outlineLevel="0" collapsed="false">
      <c r="A1415" s="306" t="s">
        <v>79</v>
      </c>
      <c r="B1415" s="55" t="s">
        <v>77</v>
      </c>
    </row>
    <row r="1416" customFormat="false" ht="13.8" hidden="false" customHeight="false" outlineLevel="0" collapsed="false">
      <c r="A1416" s="306" t="s">
        <v>166</v>
      </c>
      <c r="B1416" s="55" t="s">
        <v>59</v>
      </c>
    </row>
    <row r="1417" customFormat="false" ht="15" hidden="false" customHeight="false" outlineLevel="0" collapsed="false">
      <c r="A1417" s="56" t="s">
        <v>52</v>
      </c>
      <c r="B1417" s="55" t="s">
        <v>31</v>
      </c>
    </row>
    <row r="1418" customFormat="false" ht="13.8" hidden="false" customHeight="false" outlineLevel="0" collapsed="false">
      <c r="A1418" s="27" t="s">
        <v>168</v>
      </c>
      <c r="B1418" s="55" t="s">
        <v>121</v>
      </c>
    </row>
    <row r="1419" customFormat="false" ht="13.8" hidden="false" customHeight="false" outlineLevel="0" collapsed="false">
      <c r="A1419" s="27" t="s">
        <v>55</v>
      </c>
      <c r="B1419" s="55" t="s">
        <v>53</v>
      </c>
    </row>
    <row r="1420" customFormat="false" ht="13.8" hidden="false" customHeight="false" outlineLevel="0" collapsed="false">
      <c r="A1420" s="27" t="s">
        <v>55</v>
      </c>
      <c r="B1420" s="55" t="s">
        <v>53</v>
      </c>
    </row>
    <row r="1421" customFormat="false" ht="13.8" hidden="false" customHeight="false" outlineLevel="0" collapsed="false">
      <c r="A1421" s="27" t="s">
        <v>169</v>
      </c>
      <c r="B1421" s="55" t="s">
        <v>62</v>
      </c>
    </row>
    <row r="1422" customFormat="false" ht="13.8" hidden="false" customHeight="false" outlineLevel="0" collapsed="false">
      <c r="A1422" s="27" t="s">
        <v>79</v>
      </c>
      <c r="B1422" s="55" t="s">
        <v>77</v>
      </c>
    </row>
    <row r="1423" customFormat="false" ht="13.8" hidden="false" customHeight="false" outlineLevel="0" collapsed="false">
      <c r="A1423" s="27" t="s">
        <v>58</v>
      </c>
      <c r="B1423" s="55" t="s">
        <v>57</v>
      </c>
    </row>
    <row r="1424" customFormat="false" ht="13.8" hidden="false" customHeight="false" outlineLevel="0" collapsed="false">
      <c r="A1424" s="27" t="s">
        <v>170</v>
      </c>
      <c r="B1424" s="55" t="s">
        <v>62</v>
      </c>
    </row>
    <row r="1425" customFormat="false" ht="13.8" hidden="false" customHeight="false" outlineLevel="0" collapsed="false">
      <c r="A1425" s="27" t="s">
        <v>130</v>
      </c>
      <c r="B1425" s="55" t="s">
        <v>103</v>
      </c>
    </row>
    <row r="1426" customFormat="false" ht="13.8" hidden="false" customHeight="false" outlineLevel="0" collapsed="false">
      <c r="A1426" s="27" t="s">
        <v>171</v>
      </c>
      <c r="B1426" s="55" t="s">
        <v>85</v>
      </c>
    </row>
    <row r="1427" customFormat="false" ht="13.8" hidden="false" customHeight="false" outlineLevel="0" collapsed="false">
      <c r="A1427" s="27" t="s">
        <v>171</v>
      </c>
      <c r="B1427" s="55" t="s">
        <v>85</v>
      </c>
    </row>
    <row r="1428" customFormat="false" ht="13.8" hidden="false" customHeight="false" outlineLevel="0" collapsed="false">
      <c r="A1428" s="27" t="s">
        <v>67</v>
      </c>
      <c r="B1428" s="55" t="s">
        <v>66</v>
      </c>
    </row>
    <row r="1429" customFormat="false" ht="15" hidden="false" customHeight="false" outlineLevel="0" collapsed="false">
      <c r="A1429" s="56" t="s">
        <v>120</v>
      </c>
      <c r="B1429" s="55" t="s">
        <v>31</v>
      </c>
    </row>
    <row r="1430" customFormat="false" ht="13.8" hidden="false" customHeight="false" outlineLevel="0" collapsed="false">
      <c r="A1430" s="27" t="s">
        <v>38</v>
      </c>
      <c r="B1430" s="55" t="s">
        <v>41</v>
      </c>
    </row>
    <row r="1431" customFormat="false" ht="13.8" hidden="false" customHeight="false" outlineLevel="0" collapsed="false">
      <c r="A1431" s="27" t="s">
        <v>65</v>
      </c>
      <c r="B1431" s="55" t="s">
        <v>64</v>
      </c>
    </row>
    <row r="1432" customFormat="false" ht="13.8" hidden="false" customHeight="false" outlineLevel="0" collapsed="false">
      <c r="A1432" s="27" t="s">
        <v>176</v>
      </c>
      <c r="B1432" s="55" t="s">
        <v>175</v>
      </c>
    </row>
    <row r="1433" customFormat="false" ht="13.8" hidden="false" customHeight="false" outlineLevel="0" collapsed="false">
      <c r="A1433" s="27" t="s">
        <v>35</v>
      </c>
      <c r="B1433" s="55" t="s">
        <v>178</v>
      </c>
    </row>
    <row r="1434" customFormat="false" ht="13.8" hidden="false" customHeight="false" outlineLevel="0" collapsed="false">
      <c r="A1434" s="27" t="s">
        <v>179</v>
      </c>
      <c r="B1434" s="55" t="s">
        <v>66</v>
      </c>
    </row>
    <row r="1435" customFormat="false" ht="15" hidden="false" customHeight="false" outlineLevel="0" collapsed="false">
      <c r="A1435" s="56" t="s">
        <v>120</v>
      </c>
      <c r="B1435" s="55" t="s">
        <v>31</v>
      </c>
    </row>
    <row r="1436" customFormat="false" ht="15" hidden="false" customHeight="false" outlineLevel="0" collapsed="false">
      <c r="A1436" s="56" t="s">
        <v>120</v>
      </c>
      <c r="B1436" s="55" t="s">
        <v>31</v>
      </c>
    </row>
    <row r="1437" customFormat="false" ht="13.8" hidden="false" customHeight="false" outlineLevel="0" collapsed="false">
      <c r="A1437" s="27" t="s">
        <v>182</v>
      </c>
      <c r="B1437" s="55" t="s">
        <v>57</v>
      </c>
    </row>
    <row r="1438" customFormat="false" ht="13.8" hidden="false" customHeight="false" outlineLevel="0" collapsed="false">
      <c r="A1438" s="27" t="s">
        <v>184</v>
      </c>
      <c r="B1438" s="55" t="s">
        <v>183</v>
      </c>
    </row>
    <row r="1439" customFormat="false" ht="15" hidden="false" customHeight="false" outlineLevel="0" collapsed="false">
      <c r="A1439" s="56" t="s">
        <v>120</v>
      </c>
      <c r="B1439" s="55" t="s">
        <v>31</v>
      </c>
    </row>
    <row r="1440" customFormat="false" ht="13.8" hidden="false" customHeight="false" outlineLevel="0" collapsed="false">
      <c r="A1440" s="27" t="s">
        <v>79</v>
      </c>
      <c r="B1440" s="55" t="s">
        <v>77</v>
      </c>
    </row>
    <row r="1441" customFormat="false" ht="13.8" hidden="false" customHeight="false" outlineLevel="0" collapsed="false">
      <c r="A1441" s="27" t="s">
        <v>186</v>
      </c>
      <c r="B1441" s="55" t="s">
        <v>39</v>
      </c>
    </row>
    <row r="1442" customFormat="false" ht="13.8" hidden="false" customHeight="false" outlineLevel="0" collapsed="false">
      <c r="A1442" s="27" t="s">
        <v>187</v>
      </c>
      <c r="B1442" s="55" t="s">
        <v>66</v>
      </c>
    </row>
    <row r="1443" customFormat="false" ht="15" hidden="false" customHeight="false" outlineLevel="0" collapsed="false">
      <c r="A1443" s="56" t="s">
        <v>120</v>
      </c>
      <c r="B1443" s="55" t="s">
        <v>31</v>
      </c>
    </row>
    <row r="1444" customFormat="false" ht="13.8" hidden="false" customHeight="false" outlineLevel="0" collapsed="false">
      <c r="A1444" s="27" t="s">
        <v>189</v>
      </c>
      <c r="B1444" s="55" t="s">
        <v>87</v>
      </c>
    </row>
    <row r="1445" customFormat="false" ht="13.8" hidden="false" customHeight="false" outlineLevel="0" collapsed="false">
      <c r="A1445" s="27" t="s">
        <v>71</v>
      </c>
      <c r="B1445" s="55" t="s">
        <v>69</v>
      </c>
    </row>
    <row r="1446" customFormat="false" ht="13.8" hidden="false" customHeight="false" outlineLevel="0" collapsed="false">
      <c r="A1446" s="27" t="s">
        <v>190</v>
      </c>
      <c r="B1446" s="55" t="s">
        <v>80</v>
      </c>
    </row>
    <row r="1447" customFormat="false" ht="13.8" hidden="false" customHeight="false" outlineLevel="0" collapsed="false">
      <c r="A1447" s="27" t="s">
        <v>161</v>
      </c>
      <c r="B1447" s="55" t="s">
        <v>159</v>
      </c>
    </row>
    <row r="1448" customFormat="false" ht="13.8" hidden="false" customHeight="false" outlineLevel="0" collapsed="false">
      <c r="A1448" s="27" t="s">
        <v>191</v>
      </c>
      <c r="B1448" s="55" t="s">
        <v>59</v>
      </c>
    </row>
    <row r="1449" customFormat="false" ht="13.8" hidden="false" customHeight="false" outlineLevel="0" collapsed="false">
      <c r="A1449" s="27" t="s">
        <v>192</v>
      </c>
      <c r="B1449" s="55" t="s">
        <v>59</v>
      </c>
    </row>
    <row r="1450" customFormat="false" ht="13.8" hidden="false" customHeight="false" outlineLevel="0" collapsed="false">
      <c r="A1450" s="27" t="s">
        <v>193</v>
      </c>
      <c r="B1450" s="55" t="s">
        <v>59</v>
      </c>
    </row>
    <row r="1451" customFormat="false" ht="13.8" hidden="false" customHeight="false" outlineLevel="0" collapsed="false">
      <c r="A1451" s="27" t="s">
        <v>58</v>
      </c>
      <c r="B1451" s="55" t="s">
        <v>57</v>
      </c>
    </row>
    <row r="1452" customFormat="false" ht="13.8" hidden="false" customHeight="false" outlineLevel="0" collapsed="false">
      <c r="A1452" s="27" t="s">
        <v>170</v>
      </c>
      <c r="B1452" s="55" t="s">
        <v>59</v>
      </c>
    </row>
    <row r="1453" customFormat="false" ht="13.8" hidden="false" customHeight="false" outlineLevel="0" collapsed="false">
      <c r="A1453" s="27" t="s">
        <v>170</v>
      </c>
      <c r="B1453" s="55" t="s">
        <v>59</v>
      </c>
    </row>
    <row r="1454" customFormat="false" ht="13.8" hidden="false" customHeight="false" outlineLevel="0" collapsed="false">
      <c r="A1454" s="27" t="s">
        <v>65</v>
      </c>
      <c r="B1454" s="55" t="s">
        <v>64</v>
      </c>
    </row>
    <row r="1455" customFormat="false" ht="13.8" hidden="false" customHeight="false" outlineLevel="0" collapsed="false">
      <c r="A1455" s="27" t="s">
        <v>35</v>
      </c>
      <c r="B1455" s="55" t="s">
        <v>194</v>
      </c>
    </row>
    <row r="1456" customFormat="false" ht="13.8" hidden="false" customHeight="false" outlineLevel="0" collapsed="false">
      <c r="A1456" s="27" t="s">
        <v>36</v>
      </c>
      <c r="B1456" s="55" t="s">
        <v>195</v>
      </c>
    </row>
    <row r="1457" customFormat="false" ht="15" hidden="false" customHeight="false" outlineLevel="0" collapsed="false">
      <c r="A1457" s="56" t="s">
        <v>68</v>
      </c>
      <c r="B1457" s="55" t="s">
        <v>31</v>
      </c>
    </row>
    <row r="1458" customFormat="false" ht="13.8" hidden="false" customHeight="false" outlineLevel="0" collapsed="false">
      <c r="A1458" s="27" t="s">
        <v>198</v>
      </c>
      <c r="B1458" s="55" t="s">
        <v>80</v>
      </c>
    </row>
    <row r="1459" customFormat="false" ht="13.8" hidden="false" customHeight="false" outlineLevel="0" collapsed="false">
      <c r="A1459" s="27" t="s">
        <v>58</v>
      </c>
      <c r="B1459" s="55" t="s">
        <v>57</v>
      </c>
    </row>
    <row r="1460" customFormat="false" ht="15" hidden="false" customHeight="false" outlineLevel="0" collapsed="false">
      <c r="A1460" s="56" t="s">
        <v>68</v>
      </c>
      <c r="B1460" s="55" t="s">
        <v>31</v>
      </c>
    </row>
    <row r="1461" customFormat="false" ht="13.8" hidden="false" customHeight="false" outlineLevel="0" collapsed="false">
      <c r="A1461" s="27" t="s">
        <v>107</v>
      </c>
      <c r="B1461" s="55" t="s">
        <v>66</v>
      </c>
    </row>
    <row r="1462" customFormat="false" ht="15" hidden="false" customHeight="false" outlineLevel="0" collapsed="false">
      <c r="A1462" s="56" t="s">
        <v>68</v>
      </c>
      <c r="B1462" s="55" t="s">
        <v>31</v>
      </c>
    </row>
    <row r="1463" customFormat="false" ht="13.8" hidden="false" customHeight="false" outlineLevel="0" collapsed="false">
      <c r="A1463" s="27" t="s">
        <v>202</v>
      </c>
      <c r="B1463" s="55" t="s">
        <v>200</v>
      </c>
    </row>
    <row r="1464" customFormat="false" ht="13.8" hidden="false" customHeight="false" outlineLevel="0" collapsed="false">
      <c r="A1464" s="27" t="s">
        <v>79</v>
      </c>
      <c r="B1464" s="55" t="s">
        <v>59</v>
      </c>
    </row>
    <row r="1465" customFormat="false" ht="13.8" hidden="false" customHeight="false" outlineLevel="0" collapsed="false">
      <c r="A1465" s="27" t="s">
        <v>65</v>
      </c>
      <c r="B1465" s="55" t="s">
        <v>64</v>
      </c>
    </row>
    <row r="1466" customFormat="false" ht="13.8" hidden="false" customHeight="false" outlineLevel="0" collapsed="false">
      <c r="A1466" s="27" t="s">
        <v>109</v>
      </c>
      <c r="B1466" s="55" t="s">
        <v>108</v>
      </c>
    </row>
    <row r="1467" customFormat="false" ht="15" hidden="false" customHeight="false" outlineLevel="0" collapsed="false">
      <c r="A1467" s="56" t="s">
        <v>68</v>
      </c>
      <c r="B1467" s="55" t="s">
        <v>31</v>
      </c>
    </row>
    <row r="1468" customFormat="false" ht="13.8" hidden="false" customHeight="false" outlineLevel="0" collapsed="false">
      <c r="A1468" s="27" t="s">
        <v>204</v>
      </c>
      <c r="B1468" s="55" t="s">
        <v>59</v>
      </c>
    </row>
    <row r="1469" customFormat="false" ht="13.8" hidden="false" customHeight="false" outlineLevel="0" collapsed="false">
      <c r="A1469" s="27" t="s">
        <v>166</v>
      </c>
      <c r="B1469" s="55" t="s">
        <v>59</v>
      </c>
    </row>
    <row r="1470" customFormat="false" ht="13.8" hidden="false" customHeight="false" outlineLevel="0" collapsed="false">
      <c r="A1470" s="27" t="s">
        <v>205</v>
      </c>
      <c r="B1470" s="55" t="s">
        <v>64</v>
      </c>
    </row>
    <row r="1471" customFormat="false" ht="13.8" hidden="false" customHeight="false" outlineLevel="0" collapsed="false">
      <c r="A1471" s="27" t="s">
        <v>65</v>
      </c>
      <c r="B1471" s="55" t="s">
        <v>64</v>
      </c>
    </row>
    <row r="1472" customFormat="false" ht="15" hidden="false" customHeight="false" outlineLevel="0" collapsed="false">
      <c r="A1472" s="56" t="s">
        <v>68</v>
      </c>
      <c r="B1472" s="55" t="s">
        <v>31</v>
      </c>
    </row>
    <row r="1473" customFormat="false" ht="13.8" hidden="false" customHeight="false" outlineLevel="0" collapsed="false">
      <c r="A1473" s="27" t="s">
        <v>207</v>
      </c>
      <c r="B1473" s="55" t="s">
        <v>121</v>
      </c>
    </row>
    <row r="1474" customFormat="false" ht="13.8" hidden="false" customHeight="false" outlineLevel="0" collapsed="false">
      <c r="A1474" s="27" t="s">
        <v>79</v>
      </c>
      <c r="B1474" s="55" t="s">
        <v>77</v>
      </c>
    </row>
    <row r="1475" customFormat="false" ht="13.8" hidden="false" customHeight="false" outlineLevel="0" collapsed="false">
      <c r="A1475" s="27" t="s">
        <v>58</v>
      </c>
      <c r="B1475" s="55" t="s">
        <v>57</v>
      </c>
    </row>
    <row r="1476" customFormat="false" ht="13.8" hidden="false" customHeight="false" outlineLevel="0" collapsed="false">
      <c r="A1476" s="27" t="s">
        <v>208</v>
      </c>
      <c r="B1476" s="55" t="s">
        <v>59</v>
      </c>
    </row>
    <row r="1477" customFormat="false" ht="13.8" hidden="false" customHeight="false" outlineLevel="0" collapsed="false">
      <c r="A1477" s="27" t="s">
        <v>209</v>
      </c>
      <c r="B1477" s="55" t="s">
        <v>62</v>
      </c>
    </row>
    <row r="1478" customFormat="false" ht="13.8" hidden="false" customHeight="false" outlineLevel="0" collapsed="false">
      <c r="A1478" s="27" t="s">
        <v>210</v>
      </c>
      <c r="B1478" s="55" t="s">
        <v>62</v>
      </c>
    </row>
    <row r="1479" customFormat="false" ht="13.8" hidden="false" customHeight="false" outlineLevel="0" collapsed="false">
      <c r="A1479" s="27" t="s">
        <v>212</v>
      </c>
      <c r="B1479" s="55" t="s">
        <v>211</v>
      </c>
    </row>
    <row r="1480" customFormat="false" ht="13.8" hidden="false" customHeight="false" outlineLevel="0" collapsed="false">
      <c r="A1480" s="27" t="s">
        <v>213</v>
      </c>
      <c r="B1480" s="55" t="s">
        <v>53</v>
      </c>
    </row>
    <row r="1481" customFormat="false" ht="13.8" hidden="false" customHeight="false" outlineLevel="0" collapsed="false">
      <c r="A1481" s="27" t="s">
        <v>130</v>
      </c>
      <c r="B1481" s="55" t="s">
        <v>103</v>
      </c>
    </row>
    <row r="1482" customFormat="false" ht="13.8" hidden="false" customHeight="false" outlineLevel="0" collapsed="false">
      <c r="A1482" s="27" t="s">
        <v>166</v>
      </c>
      <c r="B1482" s="55" t="s">
        <v>59</v>
      </c>
    </row>
    <row r="1483" customFormat="false" ht="13.8" hidden="false" customHeight="false" outlineLevel="0" collapsed="false">
      <c r="A1483" s="27" t="s">
        <v>214</v>
      </c>
      <c r="B1483" s="55" t="s">
        <v>59</v>
      </c>
    </row>
    <row r="1484" customFormat="false" ht="13.8" hidden="false" customHeight="false" outlineLevel="0" collapsed="false">
      <c r="A1484" s="27" t="s">
        <v>162</v>
      </c>
      <c r="B1484" s="55" t="s">
        <v>57</v>
      </c>
    </row>
    <row r="1485" customFormat="false" ht="13.8" hidden="false" customHeight="false" outlineLevel="0" collapsed="false">
      <c r="A1485" s="27" t="s">
        <v>162</v>
      </c>
      <c r="B1485" s="55" t="s">
        <v>57</v>
      </c>
    </row>
    <row r="1486" customFormat="false" ht="13.8" hidden="false" customHeight="false" outlineLevel="0" collapsed="false">
      <c r="A1486" s="27" t="s">
        <v>65</v>
      </c>
      <c r="B1486" s="55" t="s">
        <v>64</v>
      </c>
    </row>
    <row r="1487" customFormat="false" ht="13.8" hidden="false" customHeight="false" outlineLevel="0" collapsed="false">
      <c r="A1487" s="27" t="s">
        <v>65</v>
      </c>
      <c r="B1487" s="55" t="s">
        <v>64</v>
      </c>
    </row>
    <row r="1488" customFormat="false" ht="13.8" hidden="false" customHeight="false" outlineLevel="0" collapsed="false">
      <c r="A1488" s="27" t="s">
        <v>65</v>
      </c>
      <c r="B1488" s="55" t="s">
        <v>64</v>
      </c>
    </row>
    <row r="1489" customFormat="false" ht="13.8" hidden="false" customHeight="false" outlineLevel="0" collapsed="false">
      <c r="A1489" s="27" t="s">
        <v>135</v>
      </c>
      <c r="B1489" s="55" t="s">
        <v>134</v>
      </c>
    </row>
    <row r="1490" customFormat="false" ht="13.8" hidden="false" customHeight="false" outlineLevel="0" collapsed="false">
      <c r="A1490" s="27" t="s">
        <v>38</v>
      </c>
      <c r="B1490" s="55" t="s">
        <v>215</v>
      </c>
    </row>
    <row r="1491" customFormat="false" ht="13.8" hidden="false" customHeight="false" outlineLevel="0" collapsed="false">
      <c r="A1491" s="27" t="s">
        <v>37</v>
      </c>
      <c r="B1491" s="55" t="s">
        <v>195</v>
      </c>
    </row>
    <row r="1492" customFormat="false" ht="13.8" hidden="false" customHeight="false" outlineLevel="0" collapsed="false">
      <c r="A1492" s="27" t="s">
        <v>217</v>
      </c>
      <c r="B1492" s="55" t="s">
        <v>85</v>
      </c>
    </row>
    <row r="1493" customFormat="false" ht="15" hidden="false" customHeight="false" outlineLevel="0" collapsed="false">
      <c r="A1493" s="56" t="s">
        <v>68</v>
      </c>
      <c r="B1493" s="55" t="s">
        <v>31</v>
      </c>
    </row>
    <row r="1494" customFormat="false" ht="13.8" hidden="false" customHeight="false" outlineLevel="0" collapsed="false">
      <c r="A1494" s="27" t="s">
        <v>65</v>
      </c>
      <c r="B1494" s="55" t="s">
        <v>64</v>
      </c>
    </row>
    <row r="1495" customFormat="false" ht="13.8" hidden="false" customHeight="false" outlineLevel="0" collapsed="false">
      <c r="A1495" s="27" t="s">
        <v>219</v>
      </c>
      <c r="B1495" s="55" t="s">
        <v>151</v>
      </c>
    </row>
    <row r="1496" customFormat="false" ht="15" hidden="false" customHeight="false" outlineLevel="0" collapsed="false">
      <c r="A1496" s="56" t="s">
        <v>68</v>
      </c>
      <c r="B1496" s="55" t="s">
        <v>31</v>
      </c>
    </row>
    <row r="1497" customFormat="false" ht="13.8" hidden="false" customHeight="false" outlineLevel="0" collapsed="false">
      <c r="A1497" s="27" t="s">
        <v>192</v>
      </c>
      <c r="B1497" s="55" t="s">
        <v>59</v>
      </c>
    </row>
    <row r="1498" customFormat="false" ht="13.8" hidden="false" customHeight="false" outlineLevel="0" collapsed="false">
      <c r="A1498" s="27" t="s">
        <v>60</v>
      </c>
      <c r="B1498" s="55" t="s">
        <v>59</v>
      </c>
    </row>
    <row r="1499" customFormat="false" ht="13.8" hidden="false" customHeight="false" outlineLevel="0" collapsed="false">
      <c r="A1499" s="27" t="s">
        <v>162</v>
      </c>
      <c r="B1499" s="55" t="s">
        <v>57</v>
      </c>
    </row>
    <row r="1500" customFormat="false" ht="13.8" hidden="false" customHeight="false" outlineLevel="0" collapsed="false">
      <c r="A1500" s="27" t="s">
        <v>65</v>
      </c>
      <c r="B1500" s="55" t="s">
        <v>64</v>
      </c>
    </row>
    <row r="1501" customFormat="false" ht="15" hidden="false" customHeight="false" outlineLevel="0" collapsed="false">
      <c r="A1501" s="56" t="s">
        <v>68</v>
      </c>
      <c r="B1501" s="55" t="s">
        <v>31</v>
      </c>
    </row>
    <row r="1502" customFormat="false" ht="13.8" hidden="false" customHeight="false" outlineLevel="0" collapsed="false">
      <c r="A1502" s="27" t="s">
        <v>223</v>
      </c>
      <c r="B1502" s="55" t="s">
        <v>121</v>
      </c>
    </row>
    <row r="1503" customFormat="false" ht="13.8" hidden="false" customHeight="false" outlineLevel="0" collapsed="false">
      <c r="A1503" s="27" t="s">
        <v>94</v>
      </c>
      <c r="B1503" s="55" t="s">
        <v>59</v>
      </c>
    </row>
    <row r="1504" customFormat="false" ht="13.8" hidden="false" customHeight="false" outlineLevel="0" collapsed="false">
      <c r="A1504" s="27" t="s">
        <v>224</v>
      </c>
      <c r="B1504" s="55" t="s">
        <v>62</v>
      </c>
    </row>
    <row r="1505" customFormat="false" ht="13.8" hidden="false" customHeight="false" outlineLevel="0" collapsed="false">
      <c r="A1505" s="27" t="s">
        <v>225</v>
      </c>
      <c r="B1505" s="55" t="s">
        <v>62</v>
      </c>
    </row>
    <row r="1506" customFormat="false" ht="13.8" hidden="false" customHeight="false" outlineLevel="0" collapsed="false">
      <c r="A1506" s="27" t="s">
        <v>130</v>
      </c>
      <c r="B1506" s="55" t="s">
        <v>103</v>
      </c>
    </row>
    <row r="1507" customFormat="false" ht="13.8" hidden="false" customHeight="false" outlineLevel="0" collapsed="false">
      <c r="A1507" s="27" t="s">
        <v>226</v>
      </c>
      <c r="B1507" s="55" t="s">
        <v>57</v>
      </c>
    </row>
    <row r="1508" customFormat="false" ht="13.8" hidden="false" customHeight="false" outlineLevel="0" collapsed="false">
      <c r="A1508" s="27" t="s">
        <v>132</v>
      </c>
      <c r="B1508" s="55" t="s">
        <v>59</v>
      </c>
    </row>
    <row r="1509" customFormat="false" ht="13.8" hidden="false" customHeight="false" outlineLevel="0" collapsed="false">
      <c r="A1509" s="27" t="s">
        <v>227</v>
      </c>
      <c r="B1509" s="55" t="s">
        <v>59</v>
      </c>
    </row>
    <row r="1510" customFormat="false" ht="15" hidden="false" customHeight="false" outlineLevel="0" collapsed="false">
      <c r="A1510" s="56" t="s">
        <v>68</v>
      </c>
      <c r="B1510" s="55" t="s">
        <v>31</v>
      </c>
    </row>
    <row r="1511" customFormat="false" ht="13.8" hidden="false" customHeight="false" outlineLevel="0" collapsed="false">
      <c r="A1511" s="27" t="s">
        <v>205</v>
      </c>
      <c r="B1511" s="55" t="s">
        <v>64</v>
      </c>
    </row>
    <row r="1512" customFormat="false" ht="15" hidden="false" customHeight="false" outlineLevel="0" collapsed="false">
      <c r="A1512" s="56" t="s">
        <v>68</v>
      </c>
      <c r="B1512" s="55" t="s">
        <v>31</v>
      </c>
    </row>
    <row r="1513" customFormat="false" ht="13.8" hidden="false" customHeight="false" outlineLevel="0" collapsed="false">
      <c r="A1513" s="27" t="s">
        <v>231</v>
      </c>
      <c r="B1513" s="55" t="s">
        <v>124</v>
      </c>
    </row>
    <row r="1514" customFormat="false" ht="15" hidden="false" customHeight="false" outlineLevel="0" collapsed="false">
      <c r="A1514" s="56" t="s">
        <v>68</v>
      </c>
      <c r="B1514" s="55" t="s">
        <v>31</v>
      </c>
    </row>
    <row r="1515" customFormat="false" ht="13.8" hidden="false" customHeight="false" outlineLevel="0" collapsed="false">
      <c r="A1515" s="27" t="s">
        <v>233</v>
      </c>
      <c r="B1515" s="55" t="s">
        <v>59</v>
      </c>
    </row>
    <row r="1516" customFormat="false" ht="13.8" hidden="false" customHeight="false" outlineLevel="0" collapsed="false">
      <c r="A1516" s="27" t="s">
        <v>99</v>
      </c>
      <c r="B1516" s="55" t="s">
        <v>59</v>
      </c>
    </row>
    <row r="1517" customFormat="false" ht="13.8" hidden="false" customHeight="false" outlineLevel="0" collapsed="false">
      <c r="A1517" s="27" t="s">
        <v>234</v>
      </c>
      <c r="B1517" s="55" t="s">
        <v>59</v>
      </c>
    </row>
    <row r="1518" customFormat="false" ht="13.8" hidden="false" customHeight="false" outlineLevel="0" collapsed="false">
      <c r="A1518" s="27" t="s">
        <v>235</v>
      </c>
      <c r="B1518" s="55" t="s">
        <v>59</v>
      </c>
    </row>
    <row r="1519" customFormat="false" ht="13.8" hidden="false" customHeight="false" outlineLevel="0" collapsed="false">
      <c r="A1519" s="27" t="s">
        <v>65</v>
      </c>
      <c r="B1519" s="55" t="s">
        <v>64</v>
      </c>
    </row>
    <row r="1520" customFormat="false" ht="15" hidden="false" customHeight="false" outlineLevel="0" collapsed="false">
      <c r="A1520" s="56" t="s">
        <v>68</v>
      </c>
      <c r="B1520" s="55" t="s">
        <v>31</v>
      </c>
    </row>
    <row r="1521" customFormat="false" ht="13.8" hidden="false" customHeight="false" outlineLevel="0" collapsed="false">
      <c r="A1521" s="27" t="s">
        <v>58</v>
      </c>
      <c r="B1521" s="55" t="s">
        <v>57</v>
      </c>
    </row>
    <row r="1522" customFormat="false" ht="13.8" hidden="false" customHeight="false" outlineLevel="0" collapsed="false">
      <c r="A1522" s="27" t="s">
        <v>65</v>
      </c>
      <c r="B1522" s="55" t="s">
        <v>64</v>
      </c>
    </row>
    <row r="1523" customFormat="false" ht="15" hidden="false" customHeight="false" outlineLevel="0" collapsed="false">
      <c r="A1523" s="56" t="s">
        <v>68</v>
      </c>
      <c r="B1523" s="55" t="s">
        <v>31</v>
      </c>
    </row>
    <row r="1524" customFormat="false" ht="15" hidden="false" customHeight="false" outlineLevel="0" collapsed="false">
      <c r="A1524" s="311" t="s">
        <v>52</v>
      </c>
      <c r="B1524" s="299" t="s">
        <v>31</v>
      </c>
    </row>
    <row r="1525" customFormat="false" ht="13.8" hidden="false" customHeight="false" outlineLevel="0" collapsed="false">
      <c r="A1525" s="312" t="s">
        <v>239</v>
      </c>
      <c r="B1525" s="299" t="s">
        <v>121</v>
      </c>
    </row>
    <row r="1526" customFormat="false" ht="13.8" hidden="false" customHeight="false" outlineLevel="0" collapsed="false">
      <c r="A1526" s="312" t="s">
        <v>58</v>
      </c>
      <c r="B1526" s="299" t="s">
        <v>57</v>
      </c>
    </row>
    <row r="1527" customFormat="false" ht="13.8" hidden="false" customHeight="false" outlineLevel="0" collapsed="false">
      <c r="A1527" s="312" t="s">
        <v>145</v>
      </c>
      <c r="B1527" s="299" t="s">
        <v>59</v>
      </c>
    </row>
    <row r="1528" customFormat="false" ht="13.8" hidden="false" customHeight="false" outlineLevel="0" collapsed="false">
      <c r="A1528" s="312" t="s">
        <v>240</v>
      </c>
      <c r="B1528" s="55" t="s">
        <v>62</v>
      </c>
    </row>
    <row r="1529" customFormat="false" ht="13.8" hidden="false" customHeight="false" outlineLevel="0" collapsed="false">
      <c r="A1529" s="312" t="s">
        <v>130</v>
      </c>
      <c r="B1529" s="299" t="s">
        <v>103</v>
      </c>
    </row>
    <row r="1530" customFormat="false" ht="13.8" hidden="false" customHeight="false" outlineLevel="0" collapsed="false">
      <c r="A1530" s="312" t="s">
        <v>241</v>
      </c>
      <c r="B1530" s="299" t="s">
        <v>59</v>
      </c>
    </row>
    <row r="1531" customFormat="false" ht="13.8" hidden="false" customHeight="false" outlineLevel="0" collapsed="false">
      <c r="A1531" s="312" t="s">
        <v>162</v>
      </c>
      <c r="B1531" s="299" t="s">
        <v>57</v>
      </c>
    </row>
    <row r="1532" customFormat="false" ht="13.8" hidden="false" customHeight="false" outlineLevel="0" collapsed="false">
      <c r="A1532" s="312" t="s">
        <v>226</v>
      </c>
      <c r="B1532" s="299" t="s">
        <v>57</v>
      </c>
    </row>
    <row r="1533" customFormat="false" ht="13.8" hidden="false" customHeight="false" outlineLevel="0" collapsed="false">
      <c r="A1533" s="312" t="s">
        <v>242</v>
      </c>
      <c r="B1533" s="299" t="s">
        <v>59</v>
      </c>
    </row>
    <row r="1534" customFormat="false" ht="13.8" hidden="false" customHeight="false" outlineLevel="0" collapsed="false">
      <c r="A1534" s="312" t="s">
        <v>243</v>
      </c>
      <c r="B1534" s="299" t="s">
        <v>85</v>
      </c>
    </row>
    <row r="1535" customFormat="false" ht="13.8" hidden="false" customHeight="false" outlineLevel="0" collapsed="false">
      <c r="A1535" s="312" t="s">
        <v>67</v>
      </c>
      <c r="B1535" s="299" t="s">
        <v>66</v>
      </c>
    </row>
    <row r="1536" customFormat="false" ht="15" hidden="false" customHeight="false" outlineLevel="0" collapsed="false">
      <c r="A1536" s="311" t="s">
        <v>120</v>
      </c>
      <c r="B1536" s="299" t="s">
        <v>31</v>
      </c>
    </row>
    <row r="1537" customFormat="false" ht="13.8" hidden="false" customHeight="false" outlineLevel="0" collapsed="false">
      <c r="A1537" s="312" t="s">
        <v>166</v>
      </c>
      <c r="B1537" s="299" t="s">
        <v>59</v>
      </c>
    </row>
    <row r="1538" customFormat="false" ht="13.8" hidden="false" customHeight="false" outlineLevel="0" collapsed="false">
      <c r="A1538" s="312" t="s">
        <v>246</v>
      </c>
      <c r="B1538" s="299" t="s">
        <v>64</v>
      </c>
    </row>
    <row r="1539" customFormat="false" ht="13.8" hidden="false" customHeight="false" outlineLevel="0" collapsed="false">
      <c r="A1539" s="312" t="s">
        <v>247</v>
      </c>
      <c r="B1539" s="299" t="s">
        <v>66</v>
      </c>
    </row>
    <row r="1540" customFormat="false" ht="15" hidden="false" customHeight="false" outlineLevel="0" collapsed="false">
      <c r="A1540" s="311" t="s">
        <v>120</v>
      </c>
      <c r="B1540" s="299" t="s">
        <v>31</v>
      </c>
    </row>
    <row r="1541" customFormat="false" ht="13.8" hidden="false" customHeight="false" outlineLevel="0" collapsed="false">
      <c r="A1541" s="312" t="s">
        <v>249</v>
      </c>
      <c r="B1541" s="299" t="s">
        <v>200</v>
      </c>
    </row>
    <row r="1542" customFormat="false" ht="13.8" hidden="false" customHeight="false" outlineLevel="0" collapsed="false">
      <c r="A1542" s="312" t="s">
        <v>250</v>
      </c>
      <c r="B1542" s="299" t="s">
        <v>87</v>
      </c>
    </row>
    <row r="1543" customFormat="false" ht="13.8" hidden="false" customHeight="false" outlineLevel="0" collapsed="false">
      <c r="A1543" s="312" t="s">
        <v>251</v>
      </c>
      <c r="B1543" s="299" t="s">
        <v>59</v>
      </c>
    </row>
    <row r="1544" customFormat="false" ht="15" hidden="false" customHeight="false" outlineLevel="0" collapsed="false">
      <c r="A1544" s="311" t="s">
        <v>120</v>
      </c>
      <c r="B1544" s="299" t="s">
        <v>31</v>
      </c>
    </row>
    <row r="1545" customFormat="false" ht="13.8" hidden="false" customHeight="false" outlineLevel="0" collapsed="false">
      <c r="A1545" s="312" t="s">
        <v>253</v>
      </c>
      <c r="B1545" s="299" t="s">
        <v>121</v>
      </c>
    </row>
    <row r="1546" customFormat="false" ht="13.8" hidden="false" customHeight="false" outlineLevel="0" collapsed="false">
      <c r="A1546" s="312" t="s">
        <v>255</v>
      </c>
      <c r="B1546" s="299" t="s">
        <v>254</v>
      </c>
    </row>
    <row r="1547" customFormat="false" ht="13.8" hidden="false" customHeight="false" outlineLevel="0" collapsed="false">
      <c r="A1547" s="312" t="s">
        <v>166</v>
      </c>
      <c r="B1547" s="299" t="s">
        <v>59</v>
      </c>
    </row>
    <row r="1548" customFormat="false" ht="13.8" hidden="false" customHeight="false" outlineLevel="0" collapsed="false">
      <c r="A1548" s="312" t="s">
        <v>256</v>
      </c>
      <c r="B1548" s="299" t="s">
        <v>39</v>
      </c>
    </row>
    <row r="1549" customFormat="false" ht="15" hidden="false" customHeight="false" outlineLevel="0" collapsed="false">
      <c r="A1549" s="311" t="s">
        <v>120</v>
      </c>
      <c r="B1549" s="299" t="s">
        <v>31</v>
      </c>
    </row>
    <row r="1550" customFormat="false" ht="13.8" hidden="false" customHeight="false" outlineLevel="0" collapsed="false">
      <c r="A1550" s="312" t="s">
        <v>259</v>
      </c>
      <c r="B1550" s="299" t="s">
        <v>66</v>
      </c>
    </row>
    <row r="1551" customFormat="false" ht="15" hidden="false" customHeight="false" outlineLevel="0" collapsed="false">
      <c r="A1551" s="311" t="s">
        <v>120</v>
      </c>
      <c r="B1551" s="299" t="s">
        <v>31</v>
      </c>
    </row>
    <row r="1552" customFormat="false" ht="13.8" hidden="false" customHeight="false" outlineLevel="0" collapsed="false">
      <c r="A1552" s="312" t="s">
        <v>261</v>
      </c>
      <c r="B1552" s="299" t="s">
        <v>121</v>
      </c>
    </row>
    <row r="1553" customFormat="false" ht="13.8" hidden="false" customHeight="false" outlineLevel="0" collapsed="false">
      <c r="A1553" s="312" t="s">
        <v>79</v>
      </c>
      <c r="B1553" s="299" t="s">
        <v>59</v>
      </c>
    </row>
    <row r="1554" customFormat="false" ht="13.8" hidden="false" customHeight="false" outlineLevel="0" collapsed="false">
      <c r="A1554" s="312" t="s">
        <v>126</v>
      </c>
      <c r="B1554" s="299" t="s">
        <v>59</v>
      </c>
    </row>
    <row r="1555" customFormat="false" ht="13.8" hidden="false" customHeight="false" outlineLevel="0" collapsed="false">
      <c r="A1555" s="312" t="s">
        <v>128</v>
      </c>
      <c r="B1555" s="55" t="s">
        <v>62</v>
      </c>
    </row>
    <row r="1556" customFormat="false" ht="13.8" hidden="false" customHeight="false" outlineLevel="0" collapsed="false">
      <c r="A1556" s="312" t="s">
        <v>130</v>
      </c>
      <c r="B1556" s="299" t="s">
        <v>103</v>
      </c>
    </row>
    <row r="1557" customFormat="false" ht="13.8" hidden="false" customHeight="false" outlineLevel="0" collapsed="false">
      <c r="A1557" s="312" t="s">
        <v>106</v>
      </c>
      <c r="B1557" s="299" t="s">
        <v>64</v>
      </c>
    </row>
    <row r="1558" customFormat="false" ht="13.8" hidden="false" customHeight="false" outlineLevel="0" collapsed="false">
      <c r="A1558" s="312" t="s">
        <v>246</v>
      </c>
      <c r="B1558" s="299" t="s">
        <v>64</v>
      </c>
    </row>
    <row r="1559" customFormat="false" ht="15" hidden="false" customHeight="false" outlineLevel="0" collapsed="false">
      <c r="A1559" s="311" t="s">
        <v>120</v>
      </c>
      <c r="B1559" s="299" t="s">
        <v>31</v>
      </c>
    </row>
    <row r="1560" customFormat="false" ht="15" hidden="false" customHeight="false" outlineLevel="0" collapsed="false">
      <c r="A1560" s="311" t="s">
        <v>120</v>
      </c>
      <c r="B1560" s="299" t="s">
        <v>31</v>
      </c>
    </row>
    <row r="1561" customFormat="false" ht="13.8" hidden="false" customHeight="false" outlineLevel="0" collapsed="false">
      <c r="A1561" s="312" t="s">
        <v>107</v>
      </c>
      <c r="B1561" s="299" t="s">
        <v>66</v>
      </c>
    </row>
    <row r="1562" customFormat="false" ht="15" hidden="false" customHeight="false" outlineLevel="0" collapsed="false">
      <c r="A1562" s="311" t="s">
        <v>120</v>
      </c>
      <c r="B1562" s="299" t="s">
        <v>31</v>
      </c>
    </row>
    <row r="1563" customFormat="false" ht="13.8" hidden="false" customHeight="false" outlineLevel="0" collapsed="false">
      <c r="A1563" s="312" t="s">
        <v>162</v>
      </c>
      <c r="B1563" s="299" t="s">
        <v>57</v>
      </c>
    </row>
    <row r="1564" customFormat="false" ht="13.8" hidden="false" customHeight="false" outlineLevel="0" collapsed="false">
      <c r="A1564" s="312" t="s">
        <v>246</v>
      </c>
      <c r="B1564" s="299" t="s">
        <v>64</v>
      </c>
    </row>
    <row r="1565" customFormat="false" ht="13.8" hidden="false" customHeight="false" outlineLevel="0" collapsed="false">
      <c r="A1565" s="312" t="s">
        <v>246</v>
      </c>
      <c r="B1565" s="299" t="s">
        <v>64</v>
      </c>
    </row>
    <row r="1566" customFormat="false" ht="15" hidden="false" customHeight="false" outlineLevel="0" collapsed="false">
      <c r="A1566" s="311" t="s">
        <v>120</v>
      </c>
      <c r="B1566" s="299" t="s">
        <v>31</v>
      </c>
    </row>
    <row r="1567" customFormat="false" ht="13.8" hidden="false" customHeight="false" outlineLevel="0" collapsed="false">
      <c r="A1567" s="312" t="s">
        <v>266</v>
      </c>
      <c r="B1567" s="299" t="s">
        <v>80</v>
      </c>
    </row>
    <row r="1568" customFormat="false" ht="13.8" hidden="false" customHeight="false" outlineLevel="0" collapsed="false">
      <c r="A1568" s="312" t="s">
        <v>267</v>
      </c>
      <c r="B1568" s="299" t="s">
        <v>80</v>
      </c>
    </row>
    <row r="1569" customFormat="false" ht="13.8" hidden="false" customHeight="false" outlineLevel="0" collapsed="false">
      <c r="A1569" s="312" t="s">
        <v>268</v>
      </c>
      <c r="B1569" s="299" t="s">
        <v>183</v>
      </c>
    </row>
    <row r="1570" customFormat="false" ht="15" hidden="false" customHeight="false" outlineLevel="0" collapsed="false">
      <c r="A1570" s="56" t="s">
        <v>52</v>
      </c>
      <c r="B1570" s="55" t="s">
        <v>31</v>
      </c>
    </row>
    <row r="1571" customFormat="false" ht="13.8" hidden="false" customHeight="false" outlineLevel="0" collapsed="false">
      <c r="A1571" s="27" t="s">
        <v>55</v>
      </c>
      <c r="B1571" s="55" t="s">
        <v>53</v>
      </c>
    </row>
    <row r="1572" customFormat="false" ht="13.8" hidden="false" customHeight="false" outlineLevel="0" collapsed="false">
      <c r="A1572" s="27" t="s">
        <v>127</v>
      </c>
      <c r="B1572" s="55" t="s">
        <v>59</v>
      </c>
    </row>
    <row r="1573" customFormat="false" ht="15" hidden="false" customHeight="false" outlineLevel="0" collapsed="false">
      <c r="A1573" s="56" t="s">
        <v>120</v>
      </c>
      <c r="B1573" s="55" t="s">
        <v>31</v>
      </c>
    </row>
    <row r="1574" customFormat="false" ht="13.8" hidden="false" customHeight="false" outlineLevel="0" collapsed="false">
      <c r="A1574" s="27" t="s">
        <v>301</v>
      </c>
      <c r="B1574" s="55" t="s">
        <v>87</v>
      </c>
    </row>
    <row r="1575" customFormat="false" ht="13.8" hidden="false" customHeight="false" outlineLevel="0" collapsed="false">
      <c r="A1575" s="27" t="s">
        <v>38</v>
      </c>
      <c r="B1575" s="55" t="s">
        <v>136</v>
      </c>
    </row>
    <row r="1576" customFormat="false" ht="13.8" hidden="false" customHeight="false" outlineLevel="0" collapsed="false">
      <c r="A1576" s="27" t="s">
        <v>302</v>
      </c>
      <c r="B1576" s="55" t="s">
        <v>80</v>
      </c>
    </row>
    <row r="1577" customFormat="false" ht="13.8" hidden="false" customHeight="false" outlineLevel="0" collapsed="false">
      <c r="A1577" s="27" t="s">
        <v>303</v>
      </c>
      <c r="B1577" s="55" t="s">
        <v>80</v>
      </c>
    </row>
    <row r="1578" customFormat="false" ht="13.8" hidden="false" customHeight="false" outlineLevel="0" collapsed="false">
      <c r="A1578" s="27" t="s">
        <v>304</v>
      </c>
      <c r="B1578" s="55" t="s">
        <v>151</v>
      </c>
    </row>
    <row r="1579" customFormat="false" ht="13.8" hidden="false" customHeight="false" outlineLevel="0" collapsed="false">
      <c r="A1579" s="27" t="s">
        <v>305</v>
      </c>
      <c r="B1579" s="55" t="s">
        <v>108</v>
      </c>
    </row>
    <row r="1580" customFormat="false" ht="13.8" hidden="false" customHeight="false" outlineLevel="0" collapsed="false">
      <c r="A1580" s="27" t="s">
        <v>307</v>
      </c>
      <c r="B1580" s="55" t="s">
        <v>62</v>
      </c>
    </row>
    <row r="1581" customFormat="false" ht="13.8" hidden="false" customHeight="false" outlineLevel="0" collapsed="false">
      <c r="A1581" s="27" t="s">
        <v>309</v>
      </c>
      <c r="B1581" s="55" t="s">
        <v>66</v>
      </c>
    </row>
    <row r="1582" customFormat="false" ht="13.8" hidden="false" customHeight="false" outlineLevel="0" collapsed="false">
      <c r="A1582" s="27" t="s">
        <v>310</v>
      </c>
      <c r="B1582" s="55" t="s">
        <v>31</v>
      </c>
    </row>
    <row r="1583" customFormat="false" ht="15" hidden="false" customHeight="false" outlineLevel="0" collapsed="false">
      <c r="A1583" s="56" t="s">
        <v>120</v>
      </c>
      <c r="B1583" s="55" t="s">
        <v>31</v>
      </c>
    </row>
    <row r="1584" customFormat="false" ht="15" hidden="false" customHeight="false" outlineLevel="0" collapsed="false">
      <c r="A1584" s="56" t="s">
        <v>120</v>
      </c>
      <c r="B1584" s="55" t="s">
        <v>31</v>
      </c>
    </row>
    <row r="1585" customFormat="false" ht="15" hidden="false" customHeight="false" outlineLevel="0" collapsed="false">
      <c r="A1585" s="56" t="s">
        <v>120</v>
      </c>
      <c r="B1585" s="55" t="s">
        <v>31</v>
      </c>
    </row>
    <row r="1586" customFormat="false" ht="13.8" hidden="false" customHeight="false" outlineLevel="0" collapsed="false">
      <c r="A1586" s="27" t="s">
        <v>314</v>
      </c>
      <c r="B1586" s="55" t="s">
        <v>200</v>
      </c>
    </row>
    <row r="1587" customFormat="false" ht="13.8" hidden="false" customHeight="false" outlineLevel="0" collapsed="false">
      <c r="A1587" s="27" t="s">
        <v>246</v>
      </c>
      <c r="B1587" s="55" t="s">
        <v>64</v>
      </c>
    </row>
    <row r="1588" customFormat="false" ht="15" hidden="false" customHeight="false" outlineLevel="0" collapsed="false">
      <c r="A1588" s="56" t="s">
        <v>120</v>
      </c>
      <c r="B1588" s="55" t="s">
        <v>31</v>
      </c>
    </row>
    <row r="1589" customFormat="false" ht="15" hidden="false" customHeight="false" outlineLevel="0" collapsed="false">
      <c r="A1589" s="56" t="s">
        <v>120</v>
      </c>
      <c r="B1589" s="55" t="s">
        <v>31</v>
      </c>
    </row>
    <row r="1590" customFormat="false" ht="13.8" hidden="false" customHeight="false" outlineLevel="0" collapsed="false">
      <c r="A1590" s="27" t="s">
        <v>317</v>
      </c>
      <c r="B1590" s="55" t="s">
        <v>121</v>
      </c>
    </row>
    <row r="1591" customFormat="false" ht="13.8" hidden="false" customHeight="false" outlineLevel="0" collapsed="false">
      <c r="A1591" s="27" t="s">
        <v>318</v>
      </c>
      <c r="B1591" s="55" t="s">
        <v>121</v>
      </c>
    </row>
    <row r="1592" customFormat="false" ht="13.8" hidden="false" customHeight="false" outlineLevel="0" collapsed="false">
      <c r="A1592" s="27" t="s">
        <v>161</v>
      </c>
      <c r="B1592" s="55" t="s">
        <v>159</v>
      </c>
    </row>
    <row r="1593" customFormat="false" ht="13.8" hidden="false" customHeight="false" outlineLevel="0" collapsed="false">
      <c r="A1593" s="27" t="s">
        <v>130</v>
      </c>
      <c r="B1593" s="55" t="s">
        <v>103</v>
      </c>
    </row>
    <row r="1594" customFormat="false" ht="13.8" hidden="false" customHeight="false" outlineLevel="0" collapsed="false">
      <c r="A1594" s="27" t="s">
        <v>113</v>
      </c>
      <c r="B1594" s="55" t="s">
        <v>62</v>
      </c>
    </row>
    <row r="1595" customFormat="false" ht="15.8" hidden="false" customHeight="false" outlineLevel="0" collapsed="false">
      <c r="A1595" s="27" t="s">
        <v>107</v>
      </c>
      <c r="B1595" s="55" t="s">
        <v>66</v>
      </c>
    </row>
    <row r="1596" customFormat="false" ht="15.8" hidden="false" customHeight="false" outlineLevel="0" collapsed="false">
      <c r="A1596" s="27" t="s">
        <v>109</v>
      </c>
      <c r="B1596" s="55" t="s">
        <v>108</v>
      </c>
    </row>
    <row r="1597" customFormat="false" ht="17" hidden="false" customHeight="false" outlineLevel="0" collapsed="false">
      <c r="A1597" s="56" t="s">
        <v>68</v>
      </c>
      <c r="B1597" s="55" t="s">
        <v>31</v>
      </c>
    </row>
    <row r="1598" customFormat="false" ht="15.8" hidden="false" customHeight="false" outlineLevel="0" collapsed="false">
      <c r="A1598" s="27" t="s">
        <v>55</v>
      </c>
      <c r="B1598" s="55" t="s">
        <v>53</v>
      </c>
    </row>
    <row r="1599" customFormat="false" ht="15.8" hidden="false" customHeight="false" outlineLevel="0" collapsed="false">
      <c r="A1599" s="27" t="s">
        <v>320</v>
      </c>
      <c r="B1599" s="55" t="s">
        <v>69</v>
      </c>
    </row>
    <row r="1600" customFormat="false" ht="17" hidden="false" customHeight="false" outlineLevel="0" collapsed="false">
      <c r="A1600" s="56" t="s">
        <v>68</v>
      </c>
      <c r="B1600" s="55" t="s">
        <v>31</v>
      </c>
    </row>
    <row r="1601" customFormat="false" ht="15.8" hidden="false" customHeight="false" outlineLevel="0" collapsed="false">
      <c r="A1601" s="27" t="s">
        <v>322</v>
      </c>
      <c r="B1601" s="55" t="s">
        <v>271</v>
      </c>
    </row>
    <row r="1602" customFormat="false" ht="15.8" hidden="false" customHeight="false" outlineLevel="0" collapsed="false">
      <c r="A1602" s="27" t="s">
        <v>35</v>
      </c>
      <c r="B1602" s="55" t="s">
        <v>194</v>
      </c>
    </row>
    <row r="1603" customFormat="false" ht="15.8" hidden="false" customHeight="false" outlineLevel="0" collapsed="false">
      <c r="A1603" s="27" t="s">
        <v>323</v>
      </c>
      <c r="B1603" s="55" t="s">
        <v>59</v>
      </c>
    </row>
    <row r="1604" customFormat="false" ht="17" hidden="false" customHeight="false" outlineLevel="0" collapsed="false">
      <c r="A1604" s="56" t="s">
        <v>120</v>
      </c>
      <c r="B1604" s="55" t="s">
        <v>31</v>
      </c>
    </row>
    <row r="1605" customFormat="false" ht="15.8" hidden="false" customHeight="false" outlineLevel="0" collapsed="false">
      <c r="A1605" s="27" t="s">
        <v>246</v>
      </c>
      <c r="B1605" s="55" t="s">
        <v>64</v>
      </c>
    </row>
    <row r="1606" customFormat="false" ht="15.8" hidden="false" customHeight="false" outlineLevel="0" collapsed="false">
      <c r="A1606" s="27" t="s">
        <v>135</v>
      </c>
      <c r="B1606" s="55" t="s">
        <v>134</v>
      </c>
    </row>
  </sheetData>
  <autoFilter ref="A1:B1606">
    <filterColumn colId="1">
      <customFilters and="true">
        <customFilter operator="equal" val="posto gasolina"/>
      </customFilters>
    </filterColumn>
  </autoFilter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23890</TotalTime>
  <Application>LibreOffice/6.0.7.3$Linux_X86_64 LibreOffice_project/00m0$Build-3</Application>
  <Company>IBM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2011-04-26T13:46:03Z</dcterms:created>
  <dc:creator>Administrator</dc:creator>
  <dc:description/>
  <dc:language>pt-BR</dc:language>
  <cp:lastModifiedBy/>
  <cp:lastPrinted>2019-01-13T03:49:06Z</cp:lastPrinted>
  <dcterms:modified xsi:type="dcterms:W3CDTF">2021-07-07T10:14:05Z</dcterms:modified>
  <cp:revision>500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mpany">
    <vt:lpwstr>IBM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
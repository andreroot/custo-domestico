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tyles.xml" ContentType="application/vnd.openxmlformats-officedocument.spreadsheetml.styles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8.xml.rels" ContentType="application/vnd.openxmlformats-package.relationships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1.xml" ContentType="application/vnd.openxmlformats-officedocument.spreadsheetml.worksheet+xml"/>
  <Override PartName="/xl/worksheets/sheet13.xml" ContentType="application/vnd.openxmlformats-officedocument.spreadsheetml.worksheet+xml"/>
  <Override PartName="/xl/worksheets/sheet3.xml" ContentType="application/vnd.openxmlformats-officedocument.spreadsheetml.worksheet+xml"/>
  <Override PartName="/xl/worksheets/sheet1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workbook.xml" ContentType="application/vnd.ms-excel.sheet.macroEnabled.main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1"/>
  </bookViews>
  <sheets>
    <sheet name="entrada" sheetId="1" state="visible" r:id="rId2"/>
    <sheet name="desconto_folha" sheetId="2" state="visible" r:id="rId3"/>
    <sheet name="utilizacao" sheetId="3" state="visible" r:id="rId4"/>
    <sheet name="debito" sheetId="4" state="visible" r:id="rId5"/>
    <sheet name="25102020" sheetId="5" state="visible" r:id="rId6"/>
    <sheet name="16112020" sheetId="6" state="visible" r:id="rId7"/>
    <sheet name="07122020" sheetId="7" state="visible" r:id="rId8"/>
    <sheet name="Pivot Table_debito_1" sheetId="8" state="visible" r:id="rId9"/>
    <sheet name="pend_debito" sheetId="9" state="visible" r:id="rId10"/>
    <sheet name="credito" sheetId="10" state="visible" r:id="rId11"/>
    <sheet name="pend_crd" sheetId="11" state="visible" r:id="rId12"/>
    <sheet name="planilha" sheetId="12" state="visible" r:id="rId13"/>
    <sheet name="poupança" sheetId="13" state="visible" r:id="rId14"/>
    <sheet name="de-para" sheetId="14" state="visible" r:id="rId15"/>
  </sheets>
  <definedNames>
    <definedName function="false" hidden="true" localSheetId="9" name="_xlnm._FilterDatabase" vbProcedure="false">credito!$A$1:$D$281</definedName>
    <definedName function="false" hidden="true" localSheetId="3" name="_xlnm._FilterDatabase" vbProcedure="false">debito!$A$1:$H$1303</definedName>
    <definedName function="false" hidden="false" localSheetId="3" name="_xlnm._FilterDatabase_0" vbProcedure="false">debito!$A$1:$H$1262</definedName>
    <definedName function="false" hidden="false" localSheetId="3" name="_xlnm._FilterDatabase_0_0" vbProcedure="false">debito!$A$1:$H$1245</definedName>
    <definedName function="false" hidden="false" localSheetId="3" name="_xlnm._FilterDatabase_0_0_0" vbProcedure="false">debito!$A$1:$H$1221</definedName>
    <definedName function="false" hidden="false" localSheetId="3" name="_xlnm._FilterDatabase_0_0_0_0" vbProcedure="false">debito!$A$1:$H$1174</definedName>
    <definedName function="false" hidden="false" localSheetId="3" name="_xlnm._FilterDatabase_0_0_0_0_0" vbProcedure="false">debito!$A$1:$H$1120</definedName>
    <definedName function="false" hidden="false" localSheetId="3" name="_xlnm._FilterDatabase_0_0_0_0_0_0" vbProcedure="false">debito!$A$1:$H$1097</definedName>
    <definedName function="false" hidden="false" localSheetId="3" name="_xlnm._FilterDatabase_0_0_0_0_0_0_0" vbProcedure="false">debito!$A$1:$H$1027</definedName>
    <definedName function="false" hidden="false" localSheetId="3" name="_xlnm._FilterDatabase_0_0_0_0_0_0_0_0" vbProcedure="false">debito!$A$1:$H$960</definedName>
    <definedName function="false" hidden="false" localSheetId="3" name="_xlnm._FilterDatabase_0_0_0_0_0_0_0_0_0" vbProcedure="false">debito!$A$1:$H$815</definedName>
    <definedName function="false" hidden="false" localSheetId="3" name="_xlnm._FilterDatabase_0_0_0_0_0_0_0_0_0_0" vbProcedure="false">debito!$A$1:$H$866</definedName>
    <definedName function="false" hidden="false" localSheetId="3" name="_xlnm._FilterDatabase_0_0_0_0_0_0_0_0_0_0_0" vbProcedure="false">debito!$A$1:$H$768</definedName>
    <definedName function="false" hidden="false" localSheetId="3" name="_xlnm._FilterDatabase_0_0_0_0_0_0_0_0_0_0_0_0" vbProcedure="false">debito!$A$1:$H$745</definedName>
    <definedName function="false" hidden="false" localSheetId="3" name="_xlnm._FilterDatabase_0_0_0_0_0_0_0_0_0_0_0_0_0" vbProcedure="false">debito!$A$1:$H$647</definedName>
    <definedName function="false" hidden="false" localSheetId="3" name="_xlnm._FilterDatabase_0_0_0_0_0_0_0_0_0_0_0_0_0_0" vbProcedure="false">debito!$A$1:$H$730</definedName>
    <definedName function="false" hidden="false" localSheetId="3" name="_xlnm._FilterDatabase_0_0_0_0_0_0_0_0_0_0_0_0_0_0_0" vbProcedure="false">debito!$A$1:$H$722</definedName>
    <definedName function="false" hidden="false" localSheetId="3" name="_xlnm._FilterDatabase_0_0_0_0_0_0_0_0_0_0_0_0_0_0_0_0" vbProcedure="false">debito!$A$1:$H$646</definedName>
    <definedName function="false" hidden="false" localSheetId="3" name="_xlnm._FilterDatabase_0_0_0_0_0_0_0_0_0_0_0_0_0_0_0_0_0" vbProcedure="false">debito!$A$1:$H$163</definedName>
    <definedName function="false" hidden="false" localSheetId="3" name="_xlnm._FilterDatabase_0_0_0_0_0_0_0_0_0_0_0_0_0_0_0_0_0_0" vbProcedure="false">debito!$A$1:$H$594</definedName>
    <definedName function="false" hidden="false" localSheetId="3" name="_xlnm._FilterDatabase_0_0_0_0_0_0_0_0_0_0_0_0_0_0_0_0_0_0_0" vbProcedure="false">debito!$A$1:$H$163</definedName>
    <definedName function="false" hidden="false" localSheetId="9" name="_FilterDatabase_0" vbProcedure="false">credito!$A$1:$H$1</definedName>
    <definedName function="false" hidden="false" localSheetId="9" name="_FilterDatabase_0_0" vbProcedure="false">credito!$A$1:$H$1</definedName>
    <definedName function="false" hidden="false" localSheetId="9" name="_xlnm._FilterDatabase" vbProcedure="false">credito!$A$1:$D$255</definedName>
    <definedName function="false" hidden="false" localSheetId="9" name="_xlnm._FilterDatabase_0_0" vbProcedure="false">credito!$A$1:$G$281</definedName>
    <definedName function="false" hidden="false" localSheetId="9" name="_xlnm._FilterDatabase_0_0_0" vbProcedure="false">credito!$A$1:$G$255</definedName>
    <definedName function="false" hidden="false" localSheetId="9" name="_xlnm._FilterDatabase_0_0_0_0" vbProcedure="false">credito!$A$1:$G$225</definedName>
    <definedName function="false" hidden="false" localSheetId="9" name="_xlnm._FilterDatabase_0_0_0_0_0" vbProcedure="false">credito!$A$1:$D$115</definedName>
    <definedName function="false" hidden="false" localSheetId="9" name="_xlnm._FilterDatabase_0_0_0_0_0_0" vbProcedure="false">credito!$A$1:$G$208</definedName>
    <definedName function="false" hidden="false" localSheetId="9" name="_xlnm._FilterDatabase_0_0_0_0_0_0_0" vbProcedure="false">credito!$A$1:$G$196</definedName>
    <definedName function="false" hidden="false" localSheetId="9" name="_xlnm._FilterDatabase_0_0_0_0_0_0_0_0" vbProcedure="false">credito!$A$1:$G$45</definedName>
    <definedName function="false" hidden="false" localSheetId="13" name="_xlnm._FilterDatabase" vbProcedure="false">'de-para'!$A$1:$B$745</definedName>
    <definedName function="false" hidden="false" localSheetId="13" name="_xlnm._FilterDatabase_0" vbProcedure="false">'de-para'!$A$1:$B$888</definedName>
  </definedNames>
  <calcPr iterateCount="100" refMode="A1" iterate="false" iterateDelta="0.0001"/>
  <pivotCaches>
    <pivotCache cacheId="1" r:id="rId17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<sst xmlns="http://schemas.openxmlformats.org/spreadsheetml/2006/main" count="8650" uniqueCount="1249">
  <si>
    <t xml:space="preserve">salariobase</t>
  </si>
  <si>
    <t xml:space="preserve">Recebido_15</t>
  </si>
  <si>
    <t xml:space="preserve">Recebido_30</t>
  </si>
  <si>
    <t xml:space="preserve">diff_salario_recebido</t>
  </si>
  <si>
    <t xml:space="preserve">messalario</t>
  </si>
  <si>
    <t xml:space="preserve">entrada</t>
  </si>
  <si>
    <t xml:space="preserve">desconto</t>
  </si>
  <si>
    <t xml:space="preserve">valor</t>
  </si>
  <si>
    <t xml:space="preserve">mês </t>
  </si>
  <si>
    <t xml:space="preserve">seguro de vida</t>
  </si>
  <si>
    <t xml:space="preserve">contrib sindical</t>
  </si>
  <si>
    <t xml:space="preserve">compra associa</t>
  </si>
  <si>
    <t xml:space="preserve">assist. Odonto ami</t>
  </si>
  <si>
    <t xml:space="preserve">assist. Odonto dep</t>
  </si>
  <si>
    <t xml:space="preserve">assist medica fix</t>
  </si>
  <si>
    <t xml:space="preserve">assist medica dep</t>
  </si>
  <si>
    <t xml:space="preserve">util. Medica assoc</t>
  </si>
  <si>
    <t xml:space="preserve">util. Medica depend</t>
  </si>
  <si>
    <t xml:space="preserve">vr associado</t>
  </si>
  <si>
    <t xml:space="preserve">inss</t>
  </si>
  <si>
    <t xml:space="preserve">irrf</t>
  </si>
  <si>
    <t xml:space="preserve">contribuicao assistencia</t>
  </si>
  <si>
    <t xml:space="preserve">saldo devedor</t>
  </si>
  <si>
    <t xml:space="preserve">vr alimentacao</t>
  </si>
  <si>
    <t xml:space="preserve">mês</t>
  </si>
  <si>
    <t xml:space="preserve">data_entrada</t>
  </si>
  <si>
    <t xml:space="preserve">forma</t>
  </si>
  <si>
    <t xml:space="preserve">previsão</t>
  </si>
  <si>
    <t xml:space="preserve">recebido</t>
  </si>
  <si>
    <t xml:space="preserve">saldo</t>
  </si>
  <si>
    <t xml:space="preserve">07/01/2020</t>
  </si>
  <si>
    <t xml:space="preserve">deposito sitio</t>
  </si>
  <si>
    <t xml:space="preserve">Salario_1</t>
  </si>
  <si>
    <t xml:space="preserve">michelle</t>
  </si>
  <si>
    <t xml:space="preserve">rifa</t>
  </si>
  <si>
    <t xml:space="preserve">poupança</t>
  </si>
  <si>
    <t xml:space="preserve">POU</t>
  </si>
  <si>
    <t xml:space="preserve">Salario_2</t>
  </si>
  <si>
    <t xml:space="preserve">Salario_2+fer</t>
  </si>
  <si>
    <t xml:space="preserve">Salario_2+dec terc</t>
  </si>
  <si>
    <t xml:space="preserve">DIF_1</t>
  </si>
  <si>
    <t xml:space="preserve">restituicao</t>
  </si>
  <si>
    <t xml:space="preserve">devolução</t>
  </si>
  <si>
    <t xml:space="preserve">Salario_2+horaext</t>
  </si>
  <si>
    <t xml:space="preserve">Reembolso</t>
  </si>
  <si>
    <t xml:space="preserve">estorno</t>
  </si>
  <si>
    <t xml:space="preserve">BO  PROMOCAO PIX CADAST</t>
  </si>
  <si>
    <t xml:space="preserve">ted samuel</t>
  </si>
  <si>
    <t xml:space="preserve">decimo</t>
  </si>
  <si>
    <t xml:space="preserve">descrição</t>
  </si>
  <si>
    <t xml:space="preserve">data</t>
  </si>
  <si>
    <t xml:space="preserve">lançamento</t>
  </si>
  <si>
    <t xml:space="preserve">ag./origem</t>
  </si>
  <si>
    <t xml:space="preserve">valor (R$)</t>
  </si>
  <si>
    <t xml:space="preserve">valor_convertido_saida (R$)</t>
  </si>
  <si>
    <t xml:space="preserve">valor_convertido_entrada (R$)</t>
  </si>
  <si>
    <t xml:space="preserve">REF</t>
  </si>
  <si>
    <t xml:space="preserve">02/01/2020</t>
  </si>
  <si>
    <t xml:space="preserve">SALDO INICIAL</t>
  </si>
  <si>
    <t xml:space="preserve">transferencia</t>
  </si>
  <si>
    <t xml:space="preserve">DOC INT 098997</t>
  </si>
  <si>
    <t xml:space="preserve">4175</t>
  </si>
  <si>
    <t xml:space="preserve">transporte</t>
  </si>
  <si>
    <t xml:space="preserve">ELECTRONPERTO METRO</t>
  </si>
  <si>
    <t xml:space="preserve">9212</t>
  </si>
  <si>
    <t xml:space="preserve">compras</t>
  </si>
  <si>
    <t xml:space="preserve">ELECTRONRETRO EXPLO</t>
  </si>
  <si>
    <t xml:space="preserve">banco</t>
  </si>
  <si>
    <t xml:space="preserve">IOF</t>
  </si>
  <si>
    <t xml:space="preserve">RES APLIC AUT MAIS</t>
  </si>
  <si>
    <t xml:space="preserve">SALDO APLIC AUT MAIS</t>
  </si>
  <si>
    <t xml:space="preserve">padaria</t>
  </si>
  <si>
    <t xml:space="preserve">03/01/2020</t>
  </si>
  <si>
    <t xml:space="preserve">ELECTRONBELLA ATALI</t>
  </si>
  <si>
    <t xml:space="preserve">farmacia</t>
  </si>
  <si>
    <t xml:space="preserve">ELECTRONDROGASIL 17</t>
  </si>
  <si>
    <t xml:space="preserve">alimentação</t>
  </si>
  <si>
    <t xml:space="preserve">ELECTRONMILK SHAKE</t>
  </si>
  <si>
    <t xml:space="preserve">ELECTRONPAG*WpaperM</t>
  </si>
  <si>
    <t xml:space="preserve">ELECTRONTTOMATOES</t>
  </si>
  <si>
    <t xml:space="preserve">ELECTRONVILACHIC</t>
  </si>
  <si>
    <t xml:space="preserve">TAR PACOTE ITAU   DEZ/19</t>
  </si>
  <si>
    <t xml:space="preserve">9293</t>
  </si>
  <si>
    <t xml:space="preserve">06/01/2020</t>
  </si>
  <si>
    <t xml:space="preserve">DOC INT 381229</t>
  </si>
  <si>
    <t xml:space="preserve">ELECTRONARIZONA PAE</t>
  </si>
  <si>
    <t xml:space="preserve">ELECTRONEMPORIO ROM</t>
  </si>
  <si>
    <t xml:space="preserve">feira</t>
  </si>
  <si>
    <t xml:space="preserve">ELECTRONFEIRANTE</t>
  </si>
  <si>
    <t xml:space="preserve">ELECTRONHEROES PLAY</t>
  </si>
  <si>
    <t xml:space="preserve">ELECTRONIRMAOS BAST</t>
  </si>
  <si>
    <t xml:space="preserve">ELECTRONJ E VERDURA</t>
  </si>
  <si>
    <t xml:space="preserve">ELECTRONMC DONALDS</t>
  </si>
  <si>
    <t xml:space="preserve">ELECTRONPAG*ChinaPe</t>
  </si>
  <si>
    <t xml:space="preserve">ELECTRONPAG*Geraldo</t>
  </si>
  <si>
    <t xml:space="preserve">ELECTRONPAG*HajimeT</t>
  </si>
  <si>
    <t xml:space="preserve">ELECTRONREINALDO DE</t>
  </si>
  <si>
    <t xml:space="preserve">ELECTRONSHOKITI</t>
  </si>
  <si>
    <t xml:space="preserve">mercado</t>
  </si>
  <si>
    <t xml:space="preserve">ELECTRONSONDA JACAN</t>
  </si>
  <si>
    <t xml:space="preserve">ELECTRONSTELO*MARIO</t>
  </si>
  <si>
    <t xml:space="preserve">ELECTRONUNIDOS DA V</t>
  </si>
  <si>
    <t xml:space="preserve">ELECTRONADEGA DO AL</t>
  </si>
  <si>
    <t xml:space="preserve">ELECTRONSUPERMERCAD</t>
  </si>
  <si>
    <t xml:space="preserve">TBI 0190.72508-5     C/C</t>
  </si>
  <si>
    <t xml:space="preserve">08/01/2020</t>
  </si>
  <si>
    <t xml:space="preserve">09/01/2020</t>
  </si>
  <si>
    <t xml:space="preserve">ELECTRONAUTOPASS</t>
  </si>
  <si>
    <t xml:space="preserve">10/01/2020</t>
  </si>
  <si>
    <t xml:space="preserve">SEGURO CARTAO</t>
  </si>
  <si>
    <t xml:space="preserve">SALDO PARCIAL</t>
  </si>
  <si>
    <t xml:space="preserve">SALDO ANTERIOR</t>
  </si>
  <si>
    <t xml:space="preserve">13/01/2020</t>
  </si>
  <si>
    <t xml:space="preserve">TBI 1491.48993-4     C/C</t>
  </si>
  <si>
    <t xml:space="preserve">ELECTRONPAG*Eduardo</t>
  </si>
  <si>
    <t xml:space="preserve">ELECTRONSTELO S A *</t>
  </si>
  <si>
    <t xml:space="preserve">ELECTRONSUN MARINA</t>
  </si>
  <si>
    <t xml:space="preserve">14/01/2020</t>
  </si>
  <si>
    <t xml:space="preserve">ELECTRONGRAO ESPRES</t>
  </si>
  <si>
    <t xml:space="preserve">boleto</t>
  </si>
  <si>
    <t xml:space="preserve">15/01/2020</t>
  </si>
  <si>
    <t xml:space="preserve">INT PAG TIT 109000333418</t>
  </si>
  <si>
    <t xml:space="preserve">cartão de credito</t>
  </si>
  <si>
    <t xml:space="preserve">INT ITAUCARD</t>
  </si>
  <si>
    <t xml:space="preserve">deposito</t>
  </si>
  <si>
    <t xml:space="preserve">TEC DEPOSITO DINHEIRO</t>
  </si>
  <si>
    <t xml:space="preserve">3130</t>
  </si>
  <si>
    <t xml:space="preserve">salario</t>
  </si>
  <si>
    <t xml:space="preserve">TED 237.2846ANDRE N BARB</t>
  </si>
  <si>
    <t xml:space="preserve">APL APLIC AUT MAIS</t>
  </si>
  <si>
    <t xml:space="preserve">doação</t>
  </si>
  <si>
    <t xml:space="preserve">DEB AUTOR UNICEF</t>
  </si>
  <si>
    <t xml:space="preserve">16/01/2020</t>
  </si>
  <si>
    <t xml:space="preserve">ELECTRONPERTO</t>
  </si>
  <si>
    <t xml:space="preserve">17/01/2020</t>
  </si>
  <si>
    <t xml:space="preserve">ELECTRONMINIMERCADO</t>
  </si>
  <si>
    <t xml:space="preserve">ELECTRONP3 PAPELARI</t>
  </si>
  <si>
    <t xml:space="preserve">ELECTRONQUITANDA ME</t>
  </si>
  <si>
    <t xml:space="preserve">TED 260.0001ANDERSON A S</t>
  </si>
  <si>
    <t xml:space="preserve">20/01/2020</t>
  </si>
  <si>
    <t xml:space="preserve">21/01/2020</t>
  </si>
  <si>
    <t xml:space="preserve">22/01/2020</t>
  </si>
  <si>
    <t xml:space="preserve">academia</t>
  </si>
  <si>
    <t xml:space="preserve">ELECTRONSUA ACADEMI</t>
  </si>
  <si>
    <t xml:space="preserve">23/01/2020</t>
  </si>
  <si>
    <t xml:space="preserve">24/01/2020</t>
  </si>
  <si>
    <t xml:space="preserve">ELECTRONASSAI ATACA</t>
  </si>
  <si>
    <t xml:space="preserve">27/01/2020</t>
  </si>
  <si>
    <t xml:space="preserve">restaurante</t>
  </si>
  <si>
    <t xml:space="preserve">ELECTRONCELEIRO DA</t>
  </si>
  <si>
    <t xml:space="preserve">ELECTRONEVANDRO G N</t>
  </si>
  <si>
    <t xml:space="preserve">ELECTRONI9PARK ESTA</t>
  </si>
  <si>
    <t xml:space="preserve">ELECTRONPAG*ADRIANA</t>
  </si>
  <si>
    <t xml:space="preserve">ELECTRONPAG*CleliaA</t>
  </si>
  <si>
    <t xml:space="preserve">ELECTRONPAG*MariaAp</t>
  </si>
  <si>
    <t xml:space="preserve">ELECTRONPROMOFARMA</t>
  </si>
  <si>
    <t xml:space="preserve">ELECTRONRAIA 47</t>
  </si>
  <si>
    <t xml:space="preserve">ELECTRONSESTINI</t>
  </si>
  <si>
    <t xml:space="preserve">INT TED 104354400005640</t>
  </si>
  <si>
    <t xml:space="preserve">28/01/2020</t>
  </si>
  <si>
    <t xml:space="preserve">29/01/2020</t>
  </si>
  <si>
    <t xml:space="preserve">ELECTRONPAG*RegisRe</t>
  </si>
  <si>
    <t xml:space="preserve">30/01/2020</t>
  </si>
  <si>
    <t xml:space="preserve">ELECTRONFURACAO DA</t>
  </si>
  <si>
    <t xml:space="preserve">ELECTRONSTELO S A*R</t>
  </si>
  <si>
    <t xml:space="preserve">31/01/2020</t>
  </si>
  <si>
    <t xml:space="preserve">ELECTRONMOBILE MANI</t>
  </si>
  <si>
    <t xml:space="preserve">resgate</t>
  </si>
  <si>
    <t xml:space="preserve">TBI 9293.22915-0/500</t>
  </si>
  <si>
    <t xml:space="preserve">SALDO FINAL</t>
  </si>
  <si>
    <t xml:space="preserve">03/02/2020</t>
  </si>
  <si>
    <t xml:space="preserve">TBI 0747.56106-6     C/C</t>
  </si>
  <si>
    <t xml:space="preserve">ELECTRONAVIGOS BEAU</t>
  </si>
  <si>
    <t xml:space="preserve">ELECTRONFERNANDA VA</t>
  </si>
  <si>
    <t xml:space="preserve">ELECTRONNZLOG</t>
  </si>
  <si>
    <t xml:space="preserve">ELECTRONPAG*SempreB</t>
  </si>
  <si>
    <t xml:space="preserve">celular</t>
  </si>
  <si>
    <t xml:space="preserve">04/02/2020</t>
  </si>
  <si>
    <t xml:space="preserve">INT NEXTEL 9099999739334</t>
  </si>
  <si>
    <t xml:space="preserve">ELECTRONDEPOSITO DO</t>
  </si>
  <si>
    <t xml:space="preserve">ELECTRONSONDA TREME</t>
  </si>
  <si>
    <t xml:space="preserve">seminario</t>
  </si>
  <si>
    <t xml:space="preserve">INT TED  561369 SEMI</t>
  </si>
  <si>
    <t xml:space="preserve">05/02/2020</t>
  </si>
  <si>
    <t xml:space="preserve">INT NEXTEL 9199999739334</t>
  </si>
  <si>
    <t xml:space="preserve">TAR PACOTE ITAU   JAN/20</t>
  </si>
  <si>
    <t xml:space="preserve">06/02/2020</t>
  </si>
  <si>
    <t xml:space="preserve">ELECTRONMARCO ANTON</t>
  </si>
  <si>
    <t xml:space="preserve">ELECTRONMARIA LUCIA</t>
  </si>
  <si>
    <t xml:space="preserve">ELECTRONPADARIA PAL</t>
  </si>
  <si>
    <t xml:space="preserve">ELECTRONPAG*Antonio</t>
  </si>
  <si>
    <t xml:space="preserve">ELECTRONPAG*Rosange</t>
  </si>
  <si>
    <t xml:space="preserve">07/02/2020</t>
  </si>
  <si>
    <t xml:space="preserve">10/02/2020</t>
  </si>
  <si>
    <t xml:space="preserve">INT  PAG TIT BANCO 001</t>
  </si>
  <si>
    <t xml:space="preserve">ELECTRONCHOCO MIX</t>
  </si>
  <si>
    <t xml:space="preserve">ELECTRONLOBO DO REA</t>
  </si>
  <si>
    <t xml:space="preserve">ELECTRONPAG*CiceroF</t>
  </si>
  <si>
    <t xml:space="preserve">ELECTRONPAG*DanielF</t>
  </si>
  <si>
    <t xml:space="preserve">ELECTRONPAG*RafaelF</t>
  </si>
  <si>
    <t xml:space="preserve">ELECTRONPAG*Verdura</t>
  </si>
  <si>
    <t xml:space="preserve">ELECTRONRAIA 133</t>
  </si>
  <si>
    <t xml:space="preserve">ELECTRONRAVIOLITALI</t>
  </si>
  <si>
    <t xml:space="preserve">saque</t>
  </si>
  <si>
    <t xml:space="preserve">11/02/2020</t>
  </si>
  <si>
    <t xml:space="preserve">CXE     000554 SAQUE</t>
  </si>
  <si>
    <t xml:space="preserve">0762</t>
  </si>
  <si>
    <t xml:space="preserve">ELECTRONSUELICATESS</t>
  </si>
  <si>
    <t xml:space="preserve">12/02/2020</t>
  </si>
  <si>
    <t xml:space="preserve">CXE     000331 SAQUE</t>
  </si>
  <si>
    <t xml:space="preserve">1024</t>
  </si>
  <si>
    <t xml:space="preserve">CXE     001966 SAQUE</t>
  </si>
  <si>
    <t xml:space="preserve">ELECTRONVARANDA FRU</t>
  </si>
  <si>
    <t xml:space="preserve">13/02/2020</t>
  </si>
  <si>
    <t xml:space="preserve">ELECTRONANTONIO SER</t>
  </si>
  <si>
    <t xml:space="preserve">ELECTRONRYMA MINI M</t>
  </si>
  <si>
    <t xml:space="preserve">14/02/2020</t>
  </si>
  <si>
    <t xml:space="preserve">INT  PAG TIT BANCO 237</t>
  </si>
  <si>
    <t xml:space="preserve">ELECTRONANTHONNY CA</t>
  </si>
  <si>
    <t xml:space="preserve">ipva</t>
  </si>
  <si>
    <t xml:space="preserve">17/02/2020</t>
  </si>
  <si>
    <t xml:space="preserve">INT IPVA-SP HOH-6396</t>
  </si>
  <si>
    <t xml:space="preserve">ELECTRONHORTIFRUTI</t>
  </si>
  <si>
    <t xml:space="preserve">ELECTRONMERCADOPAGO</t>
  </si>
  <si>
    <t xml:space="preserve">ELECTRONPAG*Natalia</t>
  </si>
  <si>
    <t xml:space="preserve">gasolina</t>
  </si>
  <si>
    <t xml:space="preserve">ELECTRONPOSTO M G M</t>
  </si>
  <si>
    <t xml:space="preserve">ELECTRONSARA MARIA</t>
  </si>
  <si>
    <t xml:space="preserve">18/02/2020</t>
  </si>
  <si>
    <t xml:space="preserve">INT TED  225223 SEMINRI</t>
  </si>
  <si>
    <t xml:space="preserve">19/02/2020</t>
  </si>
  <si>
    <t xml:space="preserve">INT DOC 260000135246778</t>
  </si>
  <si>
    <t xml:space="preserve">20/02/2020</t>
  </si>
  <si>
    <t xml:space="preserve">21/02/2020</t>
  </si>
  <si>
    <t xml:space="preserve">ELECTRONPAG*VictorM</t>
  </si>
  <si>
    <t xml:space="preserve">ELECTRONPOINT DO SU</t>
  </si>
  <si>
    <t xml:space="preserve">ELECTRONPROMO FARMA</t>
  </si>
  <si>
    <t xml:space="preserve">26/02/2020</t>
  </si>
  <si>
    <t xml:space="preserve">CXE 000273 SAQUE 22/02</t>
  </si>
  <si>
    <t xml:space="preserve">6855</t>
  </si>
  <si>
    <t xml:space="preserve">ELECTRONAUTO POSTO</t>
  </si>
  <si>
    <t xml:space="preserve">ELECTRONBK SHOPPING</t>
  </si>
  <si>
    <t xml:space="preserve">ELECTRONCHICO HAMBU</t>
  </si>
  <si>
    <t xml:space="preserve">ELECTRONINDIGO</t>
  </si>
  <si>
    <t xml:space="preserve">ELECTRONLEVI DA SIL</t>
  </si>
  <si>
    <t xml:space="preserve">ELECTRONLIVORNO EXP</t>
  </si>
  <si>
    <t xml:space="preserve">ELECTRONMILLENIUM P</t>
  </si>
  <si>
    <t xml:space="preserve">ELECTRONOURINHOS SU</t>
  </si>
  <si>
    <t xml:space="preserve">ELECTRONPAG*Familia</t>
  </si>
  <si>
    <t xml:space="preserve">ELECTRONPAG*Valdeci</t>
  </si>
  <si>
    <t xml:space="preserve">lazer</t>
  </si>
  <si>
    <t xml:space="preserve">ELECTRONPLAYCENTER</t>
  </si>
  <si>
    <t xml:space="preserve">ELECTRONSUBWAY ARIC</t>
  </si>
  <si>
    <t xml:space="preserve">TBI 4833.46062-1/500</t>
  </si>
  <si>
    <t xml:space="preserve">27/02/2020</t>
  </si>
  <si>
    <t xml:space="preserve">28/02/2020</t>
  </si>
  <si>
    <t xml:space="preserve">02/03/2020</t>
  </si>
  <si>
    <t xml:space="preserve">CXE 000141 SAQUE 29/02</t>
  </si>
  <si>
    <t xml:space="preserve">ELECTRONCOM DE FRAN</t>
  </si>
  <si>
    <t xml:space="preserve">ELECTRONPAG*Danubia</t>
  </si>
  <si>
    <t xml:space="preserve">ELECTRONTIAGO COELH</t>
  </si>
  <si>
    <t xml:space="preserve">INT TED  040954 SEMINRI</t>
  </si>
  <si>
    <t xml:space="preserve">03/03/2020</t>
  </si>
  <si>
    <t xml:space="preserve">TAR PACOTE ITAU   FEV/20</t>
  </si>
  <si>
    <t xml:space="preserve">04/03/2020</t>
  </si>
  <si>
    <t xml:space="preserve">juros</t>
  </si>
  <si>
    <t xml:space="preserve">05/03/2020</t>
  </si>
  <si>
    <t xml:space="preserve">LIS/JUROS     12 DIAS</t>
  </si>
  <si>
    <t xml:space="preserve">06/03/2020</t>
  </si>
  <si>
    <t xml:space="preserve">SAQUE CARTAO MAGNETICO</t>
  </si>
  <si>
    <t xml:space="preserve">RSHOP-AUTOPASS   -06/03</t>
  </si>
  <si>
    <t xml:space="preserve">5934</t>
  </si>
  <si>
    <t xml:space="preserve">09/03/2020</t>
  </si>
  <si>
    <t xml:space="preserve">CXE 001370 SAQUE 07/03</t>
  </si>
  <si>
    <t xml:space="preserve">3036</t>
  </si>
  <si>
    <t xml:space="preserve">RSHOP-DROGARIA PR-07/03</t>
  </si>
  <si>
    <t xml:space="preserve">RSHOP-LOJAS BECKE-07/03</t>
  </si>
  <si>
    <t xml:space="preserve">REND PAGO APLIC AUT MAIS</t>
  </si>
  <si>
    <t xml:space="preserve">10/03/2020</t>
  </si>
  <si>
    <t xml:space="preserve">RSHOP-PERTO METRO-10/03</t>
  </si>
  <si>
    <t xml:space="preserve">RSHOP-SHOKITI    -10/03</t>
  </si>
  <si>
    <t xml:space="preserve">11/03/2020</t>
  </si>
  <si>
    <t xml:space="preserve">RSHOP-LOJAS RENNE-11/03</t>
  </si>
  <si>
    <t xml:space="preserve">RSHOP-RIACHUELO 1-11/03</t>
  </si>
  <si>
    <t xml:space="preserve">RSHOP-SANTA FE   -11/03</t>
  </si>
  <si>
    <t xml:space="preserve">12/03/2020</t>
  </si>
  <si>
    <t xml:space="preserve">RSHOP-MC DONALDS -12/03</t>
  </si>
  <si>
    <t xml:space="preserve">RSHOP-SONDA TREME-12/03</t>
  </si>
  <si>
    <t xml:space="preserve">INT NEXTEL 9999999734880</t>
  </si>
  <si>
    <t xml:space="preserve">13/03/2020</t>
  </si>
  <si>
    <t xml:space="preserve">RSHOP-PAG*PointDo-13/03</t>
  </si>
  <si>
    <t xml:space="preserve">RSHOP-PAG*WpaperM-13/03</t>
  </si>
  <si>
    <t xml:space="preserve">RSHOP-PAO TO GO  -13/03</t>
  </si>
  <si>
    <t xml:space="preserve">RSHOP-PRINCESA DA-13/03</t>
  </si>
  <si>
    <t xml:space="preserve">RSHOP-SHOKITI    -13/03</t>
  </si>
  <si>
    <t xml:space="preserve">dpvat</t>
  </si>
  <si>
    <t xml:space="preserve">INT DPVAT-SP HOH-6396</t>
  </si>
  <si>
    <t xml:space="preserve">viagem</t>
  </si>
  <si>
    <t xml:space="preserve">16/03/2020</t>
  </si>
  <si>
    <t xml:space="preserve">RSHOP-IRA CAVALCA-16/03</t>
  </si>
  <si>
    <t xml:space="preserve">RSHOP-KETENE     -15/03</t>
  </si>
  <si>
    <t xml:space="preserve">RSHOP-LGA LANCHON-14/03</t>
  </si>
  <si>
    <t xml:space="preserve">17/03/2020</t>
  </si>
  <si>
    <t xml:space="preserve">RSHOP-PAG*Givaldo-17/03</t>
  </si>
  <si>
    <t xml:space="preserve">18/03/2020</t>
  </si>
  <si>
    <t xml:space="preserve">RSHOP-PAG*Sebasti-18/03</t>
  </si>
  <si>
    <t xml:space="preserve">RSHOP-ZP *CICERO -18/03</t>
  </si>
  <si>
    <t xml:space="preserve">19/03/2020</t>
  </si>
  <si>
    <t xml:space="preserve">RSHOP-PAG*Restaur-19/03</t>
  </si>
  <si>
    <t xml:space="preserve">RSHOP-SUPERMAR   -19/03</t>
  </si>
  <si>
    <t xml:space="preserve">20/03/2020</t>
  </si>
  <si>
    <t xml:space="preserve">23/03/2020</t>
  </si>
  <si>
    <t xml:space="preserve">CXE 000646 SAQUE 22/03</t>
  </si>
  <si>
    <t xml:space="preserve">0748</t>
  </si>
  <si>
    <t xml:space="preserve">RSHOP-CIA DA LAGO-21/03</t>
  </si>
  <si>
    <t xml:space="preserve">RSHOP-DROGARIA PR-23/03</t>
  </si>
  <si>
    <t xml:space="preserve">frango</t>
  </si>
  <si>
    <t xml:space="preserve">RSHOP-PAG*Frigott-22/03</t>
  </si>
  <si>
    <t xml:space="preserve">RSHOP-SONDA JACAN-22/03</t>
  </si>
  <si>
    <t xml:space="preserve">RSHOP-SONDA JACAN-23/03</t>
  </si>
  <si>
    <t xml:space="preserve">RSHOP-SONDA TREME-22/03</t>
  </si>
  <si>
    <t xml:space="preserve">RSHOP-SONDA TREME-23/03</t>
  </si>
  <si>
    <t xml:space="preserve">24/03/2020</t>
  </si>
  <si>
    <t xml:space="preserve">RSHOP-DROGARIA PR-24/03</t>
  </si>
  <si>
    <t xml:space="preserve">25/03/2020</t>
  </si>
  <si>
    <t xml:space="preserve">RSHOP-PAG*barraca-25/03</t>
  </si>
  <si>
    <t xml:space="preserve">27/03/2020</t>
  </si>
  <si>
    <t xml:space="preserve">30/03/2020</t>
  </si>
  <si>
    <t xml:space="preserve">RSHOP-DROGARIA MA-29/03</t>
  </si>
  <si>
    <t xml:space="preserve">RSHOP-FEIRANTE   -29/03</t>
  </si>
  <si>
    <t xml:space="preserve">RSHOP-PAG*CleliaA-29/03</t>
  </si>
  <si>
    <t xml:space="preserve">RSHOP-PAG*RafaelF-29/03</t>
  </si>
  <si>
    <t xml:space="preserve">RSHOP-POSTO FLORI-28/03</t>
  </si>
  <si>
    <t xml:space="preserve">RSHOP-SONDA JACAN-29/03</t>
  </si>
  <si>
    <t xml:space="preserve">RSHOP-SONDA TREME-28/03</t>
  </si>
  <si>
    <t xml:space="preserve">TBI 0057.13714-3DILSHAD</t>
  </si>
  <si>
    <t xml:space="preserve">31/03/2020</t>
  </si>
  <si>
    <t xml:space="preserve">RSHOP-SONDA TREME-31/03</t>
  </si>
  <si>
    <t xml:space="preserve">01/04/2020</t>
  </si>
  <si>
    <t xml:space="preserve">RSHOP-DROGARIA PR-01/04</t>
  </si>
  <si>
    <t xml:space="preserve">RSHOP-SWIFT NOVA -01/04</t>
  </si>
  <si>
    <t xml:space="preserve">02/04/2020</t>
  </si>
  <si>
    <t xml:space="preserve">TAR PACOTE ITAU   MAR/20</t>
  </si>
  <si>
    <t xml:space="preserve">03/04/2020</t>
  </si>
  <si>
    <t xml:space="preserve">RSHOP-LOJAS AMERI-03/04</t>
  </si>
  <si>
    <t xml:space="preserve">RSHOP-MARTINS &amp; R-03/04</t>
  </si>
  <si>
    <t xml:space="preserve">RSHOP-RAIA 47    -03/04</t>
  </si>
  <si>
    <t xml:space="preserve">RSHOP-SONDA TREME-03/04</t>
  </si>
  <si>
    <t xml:space="preserve">06/04/2020</t>
  </si>
  <si>
    <t xml:space="preserve">CXE 000547 SAQUE 04/04</t>
  </si>
  <si>
    <t xml:space="preserve">RSHOP-AUTO POSTO -04/04</t>
  </si>
  <si>
    <t xml:space="preserve">RSHOP-DICICO TREM-04/04</t>
  </si>
  <si>
    <t xml:space="preserve">RSHOP-DOM JOSE   -04/04</t>
  </si>
  <si>
    <t xml:space="preserve">RSHOP-DROGARIA PR-06/04</t>
  </si>
  <si>
    <t xml:space="preserve">RSHOP-DROGARIA NO-04/04</t>
  </si>
  <si>
    <t xml:space="preserve">RSHOP-HORTIFRUTI -04/04</t>
  </si>
  <si>
    <t xml:space="preserve">RSHOP-LEVI DA SIL-04/04</t>
  </si>
  <si>
    <t xml:space="preserve">RSHOP-M A KOCH LA-04/04</t>
  </si>
  <si>
    <t xml:space="preserve">RSHOP-MERCADINHO -04/04</t>
  </si>
  <si>
    <t xml:space="preserve">RSHOP-RAIA 153   -04/04</t>
  </si>
  <si>
    <t xml:space="preserve">RSHOP-SONDA TREME-04/04</t>
  </si>
  <si>
    <t xml:space="preserve">RSHOP-SONDA TREME-05/04</t>
  </si>
  <si>
    <t xml:space="preserve">RSHOP-SONDA TREME-06/04</t>
  </si>
  <si>
    <t xml:space="preserve">07/04/2020</t>
  </si>
  <si>
    <t xml:space="preserve">RSHOP-SONDA TREME-07/04</t>
  </si>
  <si>
    <t xml:space="preserve">INT NEXTEL 9099999730370</t>
  </si>
  <si>
    <t xml:space="preserve">INT NEXTEL 9199999730370</t>
  </si>
  <si>
    <t xml:space="preserve">08/04/2020</t>
  </si>
  <si>
    <t xml:space="preserve">09/04/2020</t>
  </si>
  <si>
    <t xml:space="preserve">RSHOP-AUTO POSTO -09/04</t>
  </si>
  <si>
    <t xml:space="preserve">13/04/2020</t>
  </si>
  <si>
    <t xml:space="preserve">RSHOP-ARIZONA PAE-13/04</t>
  </si>
  <si>
    <t xml:space="preserve">RSHOP-CHOCOLATES -12/04</t>
  </si>
  <si>
    <t xml:space="preserve">RSHOP-DROGARIA PR-11/04</t>
  </si>
  <si>
    <t xml:space="preserve">RSHOP-ESPETO DO V-11/04</t>
  </si>
  <si>
    <t xml:space="preserve">RSHOP-PADARIA NOV-12/04</t>
  </si>
  <si>
    <t xml:space="preserve">RSHOP-PAG*JoseGil-12/04</t>
  </si>
  <si>
    <t xml:space="preserve">RSHOP-SONDA JACAN-12/04</t>
  </si>
  <si>
    <t xml:space="preserve">RSHOP-STELO*MARIO-12/04</t>
  </si>
  <si>
    <t xml:space="preserve">14/04/2020</t>
  </si>
  <si>
    <t xml:space="preserve">RSHOP-HABIBS     -14/04</t>
  </si>
  <si>
    <t xml:space="preserve">RSHOP-SONDA JACAN-14/04</t>
  </si>
  <si>
    <t xml:space="preserve">15/04/2020</t>
  </si>
  <si>
    <t xml:space="preserve">RSHOP-ARIZONA PAE-15/04</t>
  </si>
  <si>
    <t xml:space="preserve">RSHOP-PAG*FarmaEF-15/04</t>
  </si>
  <si>
    <t xml:space="preserve">TBI 2948.08717-2     C/C</t>
  </si>
  <si>
    <t xml:space="preserve">16/04/2020</t>
  </si>
  <si>
    <t xml:space="preserve">RSHOP-COMANDO JOV-16/04</t>
  </si>
  <si>
    <t xml:space="preserve">RSHOP-COMERCIO DE-16/04</t>
  </si>
  <si>
    <t xml:space="preserve">RSHOP-ECIVALDO CA-16/04</t>
  </si>
  <si>
    <t xml:space="preserve">RSHOP-PAG*diegoej-16/04</t>
  </si>
  <si>
    <t xml:space="preserve">RSHOP-PAG*Taylane-16/04</t>
  </si>
  <si>
    <t xml:space="preserve">17/04/2020</t>
  </si>
  <si>
    <t xml:space="preserve">RSHOP-DROGARIA PR-17/04</t>
  </si>
  <si>
    <t xml:space="preserve">20/04/2020</t>
  </si>
  <si>
    <t xml:space="preserve">RSHOP-ADEGA DO AL-18/04</t>
  </si>
  <si>
    <t xml:space="preserve">RSHOP-ARIZONA PAE-18/04</t>
  </si>
  <si>
    <t xml:space="preserve">RSHOP-DROGARIA MA-19/04</t>
  </si>
  <si>
    <t xml:space="preserve">RSHOP-EVANDRO G N-19/04</t>
  </si>
  <si>
    <t xml:space="preserve">RSHOP-FARMAVAN XI-18/04</t>
  </si>
  <si>
    <t xml:space="preserve">RSHOP-OURINHOS SU-18/04</t>
  </si>
  <si>
    <t xml:space="preserve">RSHOP-SONDA JACAN-19/04</t>
  </si>
  <si>
    <t xml:space="preserve">22/04/2020</t>
  </si>
  <si>
    <t xml:space="preserve">RSHOP-ARIZONA PAE-21/04</t>
  </si>
  <si>
    <t xml:space="preserve">INT TED D   404795 SEGUR</t>
  </si>
  <si>
    <t xml:space="preserve">23/04/2020</t>
  </si>
  <si>
    <t xml:space="preserve">CXE     000133 SAQUE</t>
  </si>
  <si>
    <t xml:space="preserve">RSHOP-ARIZONA PAE-23/04</t>
  </si>
  <si>
    <t xml:space="preserve">24/04/2020</t>
  </si>
  <si>
    <t xml:space="preserve">RSHOP-AUTO POSTO -24/04</t>
  </si>
  <si>
    <t xml:space="preserve">RSHOP-MERCADINHO -24/04</t>
  </si>
  <si>
    <t xml:space="preserve">27/04/2020</t>
  </si>
  <si>
    <t xml:space="preserve">RSHOP-ARBYS SUPER-26/04</t>
  </si>
  <si>
    <t xml:space="preserve">RSHOP-ARIZONA PAE-27/04</t>
  </si>
  <si>
    <t xml:space="preserve">RSHOP-AUTO POSTO -26/04</t>
  </si>
  <si>
    <t xml:space="preserve">RSHOP-DROGARIA PR-27/04</t>
  </si>
  <si>
    <t xml:space="preserve">RSHOP-LEROY MERLI-25/04</t>
  </si>
  <si>
    <t xml:space="preserve">RSHOP-MC DONALDS -25/04</t>
  </si>
  <si>
    <t xml:space="preserve">RSHOP-PAG*IgorDeA-25/04</t>
  </si>
  <si>
    <t xml:space="preserve">RSHOP-RAIA 47    -27/04</t>
  </si>
  <si>
    <t xml:space="preserve">RSHOP-SONDA TREME-25/04</t>
  </si>
  <si>
    <t xml:space="preserve">29/04/2020</t>
  </si>
  <si>
    <t xml:space="preserve">RSHOP-LEROY MERLI-29/04</t>
  </si>
  <si>
    <t xml:space="preserve">30/04/2020</t>
  </si>
  <si>
    <t xml:space="preserve">CXE     000620 SAQUE</t>
  </si>
  <si>
    <t xml:space="preserve">RSHOP-ANDORINHA H-30/04</t>
  </si>
  <si>
    <t xml:space="preserve">RSHOP-PASTEIS M M-30/04</t>
  </si>
  <si>
    <t xml:space="preserve">RSHOP-PASTEIS YAS-30/04</t>
  </si>
  <si>
    <t xml:space="preserve">INT TED  511000</t>
  </si>
  <si>
    <t xml:space="preserve">INT TED  513437 SEMI</t>
  </si>
  <si>
    <t xml:space="preserve">04/05/2020</t>
  </si>
  <si>
    <t xml:space="preserve">RSHOP-LOJAS AMERI-03/05</t>
  </si>
  <si>
    <t xml:space="preserve">RSHOP-MERCADINHO -03/05</t>
  </si>
  <si>
    <t xml:space="preserve">RSHOP-PAG*MarcosD-01/05</t>
  </si>
  <si>
    <t xml:space="preserve">RSHOP-POSTO AMMA -04/05</t>
  </si>
  <si>
    <t xml:space="preserve">RSHOP-STELO S A *-02/05</t>
  </si>
  <si>
    <t xml:space="preserve">05/05/2020</t>
  </si>
  <si>
    <t xml:space="preserve">INT TED 033072610089869</t>
  </si>
  <si>
    <t xml:space="preserve">TAR PACOTE ITAU   ABR/20</t>
  </si>
  <si>
    <t xml:space="preserve">06/05/2020</t>
  </si>
  <si>
    <t xml:space="preserve">07/05/2020</t>
  </si>
  <si>
    <t xml:space="preserve">CXE     000406 SAQUE</t>
  </si>
  <si>
    <t xml:space="preserve">08/05/2020</t>
  </si>
  <si>
    <t xml:space="preserve">11/05/2020</t>
  </si>
  <si>
    <t xml:space="preserve">ELECTRONARIANA DIAS</t>
  </si>
  <si>
    <t xml:space="preserve">ELECTRONDRIVE DUMON</t>
  </si>
  <si>
    <t xml:space="preserve">ELECTRONMOCOTO REST</t>
  </si>
  <si>
    <t xml:space="preserve">12/05/2020</t>
  </si>
  <si>
    <t xml:space="preserve">13/05/2020</t>
  </si>
  <si>
    <t xml:space="preserve">CXE     000026 SAQUE</t>
  </si>
  <si>
    <t xml:space="preserve">6254</t>
  </si>
  <si>
    <t xml:space="preserve">14/05/2020</t>
  </si>
  <si>
    <t xml:space="preserve">INT NEXTEL 9599999726182</t>
  </si>
  <si>
    <t xml:space="preserve">INT NEXTEL 9899999726181</t>
  </si>
  <si>
    <t xml:space="preserve">ELECTRONLOJAS AMERI</t>
  </si>
  <si>
    <t xml:space="preserve">ELECTRONVG CELULARE</t>
  </si>
  <si>
    <t xml:space="preserve">15/05/2020</t>
  </si>
  <si>
    <t xml:space="preserve">ELECTRONDROGARIA PR</t>
  </si>
  <si>
    <t xml:space="preserve">ELECTRONHABIBS</t>
  </si>
  <si>
    <t xml:space="preserve">ELECTRONS KOMESU MA</t>
  </si>
  <si>
    <t xml:space="preserve">18/05/2020</t>
  </si>
  <si>
    <t xml:space="preserve">CXE 001628 SAQUE 17/05</t>
  </si>
  <si>
    <t xml:space="preserve">ELECTRONEDIVALDO PE</t>
  </si>
  <si>
    <t xml:space="preserve">ELECTRONFRANGOS E V</t>
  </si>
  <si>
    <t xml:space="preserve">ELECTRONPAG*diegoej</t>
  </si>
  <si>
    <t xml:space="preserve">ELECTRONPAG*Severin</t>
  </si>
  <si>
    <t xml:space="preserve">19/05/2020</t>
  </si>
  <si>
    <t xml:space="preserve">ELECTRONBANCA DUDUC</t>
  </si>
  <si>
    <t xml:space="preserve">ELECTRONBOM FILET</t>
  </si>
  <si>
    <t xml:space="preserve">20/05/2020</t>
  </si>
  <si>
    <t xml:space="preserve">ELECTRONANDORINHA H</t>
  </si>
  <si>
    <t xml:space="preserve">21/05/2020</t>
  </si>
  <si>
    <t xml:space="preserve">22/05/2020</t>
  </si>
  <si>
    <t xml:space="preserve">ELECTRONROTA CANTAR</t>
  </si>
  <si>
    <t xml:space="preserve">seguro</t>
  </si>
  <si>
    <t xml:space="preserve">INT TED 237284600601853</t>
  </si>
  <si>
    <t xml:space="preserve">25/05/2020</t>
  </si>
  <si>
    <t xml:space="preserve">SAQUE 24H 08741753 24/05</t>
  </si>
  <si>
    <t xml:space="preserve">5086</t>
  </si>
  <si>
    <t xml:space="preserve">ELECTRONPAG*Frigott</t>
  </si>
  <si>
    <t xml:space="preserve">ELECTRONSTELO*Banca</t>
  </si>
  <si>
    <t xml:space="preserve">26/05/2020</t>
  </si>
  <si>
    <t xml:space="preserve">27/05/2020</t>
  </si>
  <si>
    <t xml:space="preserve">28/05/2020</t>
  </si>
  <si>
    <t xml:space="preserve">29/05/2020</t>
  </si>
  <si>
    <t xml:space="preserve">ELECTRONFERNANDA GO</t>
  </si>
  <si>
    <t xml:space="preserve">ELECTRONO REI 1</t>
  </si>
  <si>
    <t xml:space="preserve">ELECTRONPAG*hprospe</t>
  </si>
  <si>
    <t xml:space="preserve">01/06/2020</t>
  </si>
  <si>
    <t xml:space="preserve">ELECTRONDROGARIA SA</t>
  </si>
  <si>
    <t xml:space="preserve">ELECTRONEURIPEDES D</t>
  </si>
  <si>
    <t xml:space="preserve">ELECTRONMARTINS &amp; R</t>
  </si>
  <si>
    <t xml:space="preserve">ELECTRONPAG*galasso</t>
  </si>
  <si>
    <t xml:space="preserve">ELECTRONPAG*PerfecS</t>
  </si>
  <si>
    <t xml:space="preserve">SALDO DO DIA</t>
  </si>
  <si>
    <t xml:space="preserve">02/06/2020</t>
  </si>
  <si>
    <t xml:space="preserve">TAR PACOTE ITAU   MAI/20</t>
  </si>
  <si>
    <t xml:space="preserve">03/06/2020</t>
  </si>
  <si>
    <t xml:space="preserve">05/06/2020</t>
  </si>
  <si>
    <t xml:space="preserve">ELECTRONB LA MILETT</t>
  </si>
  <si>
    <t xml:space="preserve">08/06/2020</t>
  </si>
  <si>
    <t xml:space="preserve">SAQUE 24H 14645709 07/06</t>
  </si>
  <si>
    <t xml:space="preserve">ELECTRONATACADAO DA</t>
  </si>
  <si>
    <t xml:space="preserve">ELECTRONDICICO TREM</t>
  </si>
  <si>
    <t xml:space="preserve">almoço</t>
  </si>
  <si>
    <t xml:space="preserve">ELECTRONDONAJU</t>
  </si>
  <si>
    <t xml:space="preserve">ELECTRONPIZZA DELIG</t>
  </si>
  <si>
    <t xml:space="preserve">ELECTRONR M SHIMABU</t>
  </si>
  <si>
    <t xml:space="preserve">10/06/2020</t>
  </si>
  <si>
    <t xml:space="preserve">INT NEXTEL 9299999721677</t>
  </si>
  <si>
    <t xml:space="preserve">INT NEXTEL 9999999721700</t>
  </si>
  <si>
    <t xml:space="preserve">12/06/2020</t>
  </si>
  <si>
    <t xml:space="preserve">INT  PAG TIT BANCO 033</t>
  </si>
  <si>
    <t xml:space="preserve">ELECTRONFOTOMANIA</t>
  </si>
  <si>
    <t xml:space="preserve">ELECTRONJOSEFA MARL</t>
  </si>
  <si>
    <t xml:space="preserve">ELECTRONLOJA PROGRE</t>
  </si>
  <si>
    <t xml:space="preserve">ELECTRONMUNDIAL CAL</t>
  </si>
  <si>
    <t xml:space="preserve">15/06/2020</t>
  </si>
  <si>
    <t xml:space="preserve">SAQUE 24H 11143138 14/06</t>
  </si>
  <si>
    <t xml:space="preserve">ELECTRONDV3</t>
  </si>
  <si>
    <t xml:space="preserve">ELECTRONRUMO LESTE</t>
  </si>
  <si>
    <t xml:space="preserve">SDO CTA/APL AUTOMATICAS</t>
  </si>
  <si>
    <t xml:space="preserve">16/06/2020</t>
  </si>
  <si>
    <t xml:space="preserve">17/06/2020</t>
  </si>
  <si>
    <t xml:space="preserve">18/06/2020</t>
  </si>
  <si>
    <t xml:space="preserve">19/06/2020</t>
  </si>
  <si>
    <t xml:space="preserve">ELECTRONAGUA FRIA P</t>
  </si>
  <si>
    <t xml:space="preserve">Pç carro</t>
  </si>
  <si>
    <t xml:space="preserve">ELECTRONMERCADOCAR</t>
  </si>
  <si>
    <t xml:space="preserve">22/06/2020</t>
  </si>
  <si>
    <t xml:space="preserve">INT PAG TIT 176008796308</t>
  </si>
  <si>
    <t xml:space="preserve">SAQUE 24H 11661220 21/06</t>
  </si>
  <si>
    <t xml:space="preserve">agua</t>
  </si>
  <si>
    <t xml:space="preserve">ELECTRONBD</t>
  </si>
  <si>
    <t xml:space="preserve">ELECTRONVON BEBEER</t>
  </si>
  <si>
    <t xml:space="preserve">23/06/2020</t>
  </si>
  <si>
    <t xml:space="preserve">24/06/2020</t>
  </si>
  <si>
    <t xml:space="preserve">25/06/2020</t>
  </si>
  <si>
    <t xml:space="preserve">ELECTRONDIB FERNAND</t>
  </si>
  <si>
    <t xml:space="preserve">ELECTRONMARELLAS CA</t>
  </si>
  <si>
    <t xml:space="preserve">26/06/2020</t>
  </si>
  <si>
    <t xml:space="preserve">ELECTRONJARDIM MODA</t>
  </si>
  <si>
    <t xml:space="preserve">29/06/2020</t>
  </si>
  <si>
    <t xml:space="preserve">INT PAG TIT 109804018839</t>
  </si>
  <si>
    <t xml:space="preserve">SAQUE 24H 08799322 28/06</t>
  </si>
  <si>
    <t xml:space="preserve">divida</t>
  </si>
  <si>
    <t xml:space="preserve">INT NET SERV COMUNICAC 4</t>
  </si>
  <si>
    <t xml:space="preserve">ELECTRONDIA BRASIL</t>
  </si>
  <si>
    <t xml:space="preserve">30/06/2020</t>
  </si>
  <si>
    <t xml:space="preserve">01/07/2020</t>
  </si>
  <si>
    <t xml:space="preserve">02/07/2020</t>
  </si>
  <si>
    <t xml:space="preserve">ELECTRONPOSTO FLORI</t>
  </si>
  <si>
    <t xml:space="preserve">ELECTRONREDE DE CAR</t>
  </si>
  <si>
    <t xml:space="preserve">TAR PACOTE ITAU   JUN/20</t>
  </si>
  <si>
    <t xml:space="preserve">03/07/2020</t>
  </si>
  <si>
    <t xml:space="preserve">06/07/2020</t>
  </si>
  <si>
    <t xml:space="preserve">INT PAG TIT 109001140044</t>
  </si>
  <si>
    <t xml:space="preserve">SAQUE 24H 13784251 05/07</t>
  </si>
  <si>
    <t xml:space="preserve">conserto maquina</t>
  </si>
  <si>
    <t xml:space="preserve">SAQUE 24H 18568832</t>
  </si>
  <si>
    <t xml:space="preserve">ELECTRONSERGIO EIZO</t>
  </si>
  <si>
    <t xml:space="preserve">LIS/JUROS     14 DIAS</t>
  </si>
  <si>
    <t xml:space="preserve">07/07/2020</t>
  </si>
  <si>
    <t xml:space="preserve">08/07/2020</t>
  </si>
  <si>
    <t xml:space="preserve">INT NEXTEL 9699999717361</t>
  </si>
  <si>
    <t xml:space="preserve">09/07/2020</t>
  </si>
  <si>
    <t xml:space="preserve">10/07/2020</t>
  </si>
  <si>
    <t xml:space="preserve">ELECTRONDIA FRANQUI</t>
  </si>
  <si>
    <t xml:space="preserve">ELECTRONMAHAL LANCH</t>
  </si>
  <si>
    <t xml:space="preserve">ELECTRON2081  - PA</t>
  </si>
  <si>
    <t xml:space="preserve">13/07/2020</t>
  </si>
  <si>
    <t xml:space="preserve">SAQUE 24H 10992964 12/07</t>
  </si>
  <si>
    <t xml:space="preserve">INT NEXTEL 9499999717361</t>
  </si>
  <si>
    <t xml:space="preserve">ELECTRONFAZ MASTER</t>
  </si>
  <si>
    <t xml:space="preserve">ELECTRONPAG*CamilaT</t>
  </si>
  <si>
    <t xml:space="preserve">manutenção</t>
  </si>
  <si>
    <t xml:space="preserve">INT TED  451045 DOMINGOS</t>
  </si>
  <si>
    <t xml:space="preserve">emprestimo</t>
  </si>
  <si>
    <t xml:space="preserve">14/07/2020</t>
  </si>
  <si>
    <t xml:space="preserve">TBI 0747.56106-6</t>
  </si>
  <si>
    <t xml:space="preserve">9120</t>
  </si>
  <si>
    <t xml:space="preserve">15/07/2020</t>
  </si>
  <si>
    <t xml:space="preserve">9136</t>
  </si>
  <si>
    <t xml:space="preserve">16/07/2020</t>
  </si>
  <si>
    <t xml:space="preserve">17/07/2020</t>
  </si>
  <si>
    <t xml:space="preserve">ELECTRONDROGARIA VE</t>
  </si>
  <si>
    <t xml:space="preserve">ELECTRONPAG*Phoenix</t>
  </si>
  <si>
    <t xml:space="preserve">20/07/2020</t>
  </si>
  <si>
    <t xml:space="preserve">ELECTRONRRM EST E G</t>
  </si>
  <si>
    <t xml:space="preserve">ELECTRONSONIA NORIK</t>
  </si>
  <si>
    <t xml:space="preserve">21/07/2020</t>
  </si>
  <si>
    <t xml:space="preserve">INT TED 237274100473111</t>
  </si>
  <si>
    <t xml:space="preserve">22/07/2020</t>
  </si>
  <si>
    <t xml:space="preserve">23/07/2020</t>
  </si>
  <si>
    <t xml:space="preserve">24/07/2020</t>
  </si>
  <si>
    <t xml:space="preserve">INT TED 212000112860972</t>
  </si>
  <si>
    <t xml:space="preserve">27/07/2020</t>
  </si>
  <si>
    <t xml:space="preserve">SAQUE 24H 09919556 26/07</t>
  </si>
  <si>
    <t xml:space="preserve">TBI 1491.48993-4michelle</t>
  </si>
  <si>
    <t xml:space="preserve">9779</t>
  </si>
  <si>
    <t xml:space="preserve">ELECTRONLJ 17 GLOBA</t>
  </si>
  <si>
    <t xml:space="preserve">ELECTRONM A KOCH LA</t>
  </si>
  <si>
    <t xml:space="preserve">ELECTRONPERFUMARIA</t>
  </si>
  <si>
    <t xml:space="preserve">ELECTRONR C P FARMA</t>
  </si>
  <si>
    <t xml:space="preserve">28/07/2020</t>
  </si>
  <si>
    <t xml:space="preserve">29/07/2020</t>
  </si>
  <si>
    <t xml:space="preserve">30/07/2020</t>
  </si>
  <si>
    <t xml:space="preserve">ELECTRONPAG*FarmaEF</t>
  </si>
  <si>
    <t xml:space="preserve">restituição irpf</t>
  </si>
  <si>
    <t xml:space="preserve">DOC 001.REST. IR</t>
  </si>
  <si>
    <t xml:space="preserve">(-) SALDO A LIBERAR</t>
  </si>
  <si>
    <t xml:space="preserve">SALDO FINAL DEVEDOR</t>
  </si>
  <si>
    <t xml:space="preserve">31/07/2020</t>
  </si>
  <si>
    <t xml:space="preserve">03/08/2020</t>
  </si>
  <si>
    <t xml:space="preserve">ELECTRONALTO DA SER</t>
  </si>
  <si>
    <t xml:space="preserve">ELECTRONDROG SAO PA</t>
  </si>
  <si>
    <t xml:space="preserve">ELECTRONMEU CHAPA B</t>
  </si>
  <si>
    <t xml:space="preserve">04/08/2020</t>
  </si>
  <si>
    <t xml:space="preserve">TAR PACOTE ITAU   JUL/20</t>
  </si>
  <si>
    <t xml:space="preserve">05/08/2020</t>
  </si>
  <si>
    <t xml:space="preserve">INT NEXTEL 9399999712769</t>
  </si>
  <si>
    <t xml:space="preserve">INT NEXTEL 9399999712844</t>
  </si>
  <si>
    <t xml:space="preserve">INT TED  189541 SEMI</t>
  </si>
  <si>
    <t xml:space="preserve">06/08/2020</t>
  </si>
  <si>
    <t xml:space="preserve">07/08/2020</t>
  </si>
  <si>
    <t xml:space="preserve">ELECTRONCOZINHART E</t>
  </si>
  <si>
    <t xml:space="preserve">ELECTRONKALUNGA NOV</t>
  </si>
  <si>
    <t xml:space="preserve">ELECTRONRUFPLAST</t>
  </si>
  <si>
    <t xml:space="preserve">10/08/2020</t>
  </si>
  <si>
    <t xml:space="preserve">INT PAG TIT 109001179554</t>
  </si>
  <si>
    <t xml:space="preserve">ELECTRONGABRIELLA C</t>
  </si>
  <si>
    <t xml:space="preserve">roupa</t>
  </si>
  <si>
    <t xml:space="preserve">ELECTRONTORRA TORRA</t>
  </si>
  <si>
    <t xml:space="preserve">11/08/2020</t>
  </si>
  <si>
    <t xml:space="preserve">12/08/2020</t>
  </si>
  <si>
    <t xml:space="preserve">ELECTRONBRILHO REAL</t>
  </si>
  <si>
    <t xml:space="preserve">13/08/2020</t>
  </si>
  <si>
    <t xml:space="preserve">14/08/2020</t>
  </si>
  <si>
    <t xml:space="preserve">17/08/2020</t>
  </si>
  <si>
    <t xml:space="preserve">SAQUE 24H 11269792 16/08</t>
  </si>
  <si>
    <t xml:space="preserve">material casa</t>
  </si>
  <si>
    <t xml:space="preserve">18/08/2020</t>
  </si>
  <si>
    <t xml:space="preserve">19/08/2020</t>
  </si>
  <si>
    <t xml:space="preserve">20/08/2020</t>
  </si>
  <si>
    <t xml:space="preserve">21/08/2020</t>
  </si>
  <si>
    <t xml:space="preserve">ELECTRONMAYARA SEGA</t>
  </si>
  <si>
    <t xml:space="preserve">ELECTRONPAD CONF JD</t>
  </si>
  <si>
    <t xml:space="preserve">24/08/2020</t>
  </si>
  <si>
    <t xml:space="preserve">SAQUE 24H 10350379 23/08</t>
  </si>
  <si>
    <t xml:space="preserve">ELECTRONCASAS DE BO</t>
  </si>
  <si>
    <t xml:space="preserve">ELECTRONCENTRO AUTO</t>
  </si>
  <si>
    <t xml:space="preserve">chaveiro</t>
  </si>
  <si>
    <t xml:space="preserve">ELECTRONPAG*Chaveir</t>
  </si>
  <si>
    <t xml:space="preserve">25/08/2020</t>
  </si>
  <si>
    <t xml:space="preserve">26/08/2020</t>
  </si>
  <si>
    <t xml:space="preserve">27/08/2020</t>
  </si>
  <si>
    <t xml:space="preserve">28/08/2020</t>
  </si>
  <si>
    <t xml:space="preserve">31/08/2020</t>
  </si>
  <si>
    <t xml:space="preserve">SAQUE 24H 12686085 30/08</t>
  </si>
  <si>
    <t xml:space="preserve">01/09/2020</t>
  </si>
  <si>
    <t xml:space="preserve">02/09/2020</t>
  </si>
  <si>
    <t xml:space="preserve">TAR PACOTE ITAU   AGO/20</t>
  </si>
  <si>
    <t xml:space="preserve">03/09/2020</t>
  </si>
  <si>
    <t xml:space="preserve">04/09/2020</t>
  </si>
  <si>
    <t xml:space="preserve">08/09/2020</t>
  </si>
  <si>
    <t xml:space="preserve">SAQUE 24H 16358012 06/09</t>
  </si>
  <si>
    <t xml:space="preserve">ELECTRONPAG*OPESCAD</t>
  </si>
  <si>
    <t xml:space="preserve">09/09/2020</t>
  </si>
  <si>
    <t xml:space="preserve">INT NEXTEL 9099999708303</t>
  </si>
  <si>
    <t xml:space="preserve">10/09/2020</t>
  </si>
  <si>
    <t xml:space="preserve">INT PAG TIT 109016422561</t>
  </si>
  <si>
    <t xml:space="preserve">ELECTRONPAG*Mercado</t>
  </si>
  <si>
    <t xml:space="preserve">11/09/2020</t>
  </si>
  <si>
    <t xml:space="preserve">14/09/2020</t>
  </si>
  <si>
    <t xml:space="preserve">CXE 000844 SAQUE 13/09</t>
  </si>
  <si>
    <t xml:space="preserve">SAQUE 24H 10588358 13/09</t>
  </si>
  <si>
    <t xml:space="preserve">INT NEXTEL 9399999708378</t>
  </si>
  <si>
    <t xml:space="preserve">ELECTRONADRIANO CHI</t>
  </si>
  <si>
    <t xml:space="preserve">15/09/2020</t>
  </si>
  <si>
    <t xml:space="preserve">ELECTRONMG COMERCIO</t>
  </si>
  <si>
    <t xml:space="preserve">16/09/2020</t>
  </si>
  <si>
    <t xml:space="preserve">17/09/2020</t>
  </si>
  <si>
    <t xml:space="preserve">ELECTRONLINDA VIVI</t>
  </si>
  <si>
    <t xml:space="preserve">ELECTRONPAG*bancado</t>
  </si>
  <si>
    <t xml:space="preserve">18/09/2020</t>
  </si>
  <si>
    <t xml:space="preserve">aniversario samuel(entr+van)</t>
  </si>
  <si>
    <t xml:space="preserve">21/09/2020</t>
  </si>
  <si>
    <t xml:space="preserve">SAQUE 24H 09674540 19/09</t>
  </si>
  <si>
    <t xml:space="preserve">22/09/2020</t>
  </si>
  <si>
    <t xml:space="preserve">23/09/2020</t>
  </si>
  <si>
    <t xml:space="preserve">ELECTRONPARK NOW ES</t>
  </si>
  <si>
    <t xml:space="preserve">INT TED  498255 SEMI</t>
  </si>
  <si>
    <t xml:space="preserve">24/09/2020</t>
  </si>
  <si>
    <t xml:space="preserve">ELECTRONJ A SABAO C</t>
  </si>
  <si>
    <t xml:space="preserve">ELECTRONLOIRASSA BA</t>
  </si>
  <si>
    <t xml:space="preserve">ELECTRONMARIA AMALI</t>
  </si>
  <si>
    <t xml:space="preserve">ELECTRONPAG*CarlaGo</t>
  </si>
  <si>
    <t xml:space="preserve">ELECTRONPAG*Joseane</t>
  </si>
  <si>
    <t xml:space="preserve">ELECTRONPAG*Mariaap</t>
  </si>
  <si>
    <t xml:space="preserve">ELECTRONPAG*SERGIOY</t>
  </si>
  <si>
    <t xml:space="preserve">ELECTRONPASTEIS M M</t>
  </si>
  <si>
    <t xml:space="preserve">ELECTRONRICARDO VIA</t>
  </si>
  <si>
    <t xml:space="preserve">25/09/2020</t>
  </si>
  <si>
    <t xml:space="preserve">ELECTRONLOJASMEL SA</t>
  </si>
  <si>
    <t xml:space="preserve">ELECTRONM S H</t>
  </si>
  <si>
    <t xml:space="preserve">ELECTRONMARCELO ROD</t>
  </si>
  <si>
    <t xml:space="preserve">28/09/2020</t>
  </si>
  <si>
    <t xml:space="preserve">SAQUE 24H 10744894 27/09</t>
  </si>
  <si>
    <t xml:space="preserve">30/09/2020</t>
  </si>
  <si>
    <t xml:space="preserve">ELECTRONPASTEIS TAN</t>
  </si>
  <si>
    <t xml:space="preserve">INT TED  160641 SEGURO</t>
  </si>
  <si>
    <t xml:space="preserve">01/10/2020</t>
  </si>
  <si>
    <t xml:space="preserve">02/10/2020</t>
  </si>
  <si>
    <t xml:space="preserve">TAR PACOTE ITAU   SET/20</t>
  </si>
  <si>
    <t xml:space="preserve">05/10/2020</t>
  </si>
  <si>
    <t xml:space="preserve">SAQUE 24H 14082226 04/10</t>
  </si>
  <si>
    <t xml:space="preserve">ELECTRONPAG*BOMBONI</t>
  </si>
  <si>
    <t xml:space="preserve">06/10/2020</t>
  </si>
  <si>
    <t xml:space="preserve">INT NEXTEL 9699999704015</t>
  </si>
  <si>
    <t xml:space="preserve">07/10/2020</t>
  </si>
  <si>
    <t xml:space="preserve">INT NEXTEL 9699999703948</t>
  </si>
  <si>
    <t xml:space="preserve">08/10/2020</t>
  </si>
  <si>
    <t xml:space="preserve">09/10/2020</t>
  </si>
  <si>
    <t xml:space="preserve">ELECTRONFCIA PAGUE</t>
  </si>
  <si>
    <t xml:space="preserve">rembolso</t>
  </si>
  <si>
    <t xml:space="preserve">TED 237.0001BRADESCO SAU</t>
  </si>
  <si>
    <t xml:space="preserve">13/10/2020</t>
  </si>
  <si>
    <t xml:space="preserve">INT PAG TIT 109022757711</t>
  </si>
  <si>
    <t xml:space="preserve">SAQUE 24H 12755310 11/10</t>
  </si>
  <si>
    <t xml:space="preserve">9132</t>
  </si>
  <si>
    <t xml:space="preserve">14/10/2020</t>
  </si>
  <si>
    <t xml:space="preserve">ELECTRONRAGAZZO CAE</t>
  </si>
  <si>
    <t xml:space="preserve">9028</t>
  </si>
  <si>
    <t xml:space="preserve">15/10/2020</t>
  </si>
  <si>
    <t xml:space="preserve">CEI     000021 DINHEIRO</t>
  </si>
  <si>
    <t xml:space="preserve">16/10/2020</t>
  </si>
  <si>
    <t xml:space="preserve">19/10/2020</t>
  </si>
  <si>
    <t xml:space="preserve">ELECTRONMERCPAGO</t>
  </si>
  <si>
    <t xml:space="preserve">SAQUE S/CARTAO 24H109864</t>
  </si>
  <si>
    <t xml:space="preserve">20/10/2020</t>
  </si>
  <si>
    <t xml:space="preserve">21/10/2020</t>
  </si>
  <si>
    <t xml:space="preserve">ELECTRONSILVIO NAKA</t>
  </si>
  <si>
    <t xml:space="preserve">22/10/2020</t>
  </si>
  <si>
    <t xml:space="preserve">ELECTRONTRIMAIS SUP</t>
  </si>
  <si>
    <t xml:space="preserve">azul</t>
  </si>
  <si>
    <t xml:space="preserve">23/10/2020</t>
  </si>
  <si>
    <t xml:space="preserve">TBI 7633.10704-514522</t>
  </si>
  <si>
    <t xml:space="preserve">26/10/2020</t>
  </si>
  <si>
    <t xml:space="preserve">SAQUE 24H 10705093 25/10</t>
  </si>
  <si>
    <t xml:space="preserve">reembolso</t>
  </si>
  <si>
    <t xml:space="preserve">27/10/2020</t>
  </si>
  <si>
    <t xml:space="preserve">TBI 2959.24196-5     C/C</t>
  </si>
  <si>
    <t xml:space="preserve">INT TED  554013 SEMI</t>
  </si>
  <si>
    <t xml:space="preserve">30/10/2020</t>
  </si>
  <si>
    <t xml:space="preserve">TBI 0534.18071-6     C/C</t>
  </si>
  <si>
    <t xml:space="preserve">03/11/2020</t>
  </si>
  <si>
    <t xml:space="preserve">SAQUE 24H 13727318 01/11</t>
  </si>
  <si>
    <t xml:space="preserve">cabeleireiro</t>
  </si>
  <si>
    <t xml:space="preserve">ELECTRONSANDROHAIR</t>
  </si>
  <si>
    <t xml:space="preserve">04/11/2020</t>
  </si>
  <si>
    <t xml:space="preserve">TAR PACOTE ITAU   OUT/20</t>
  </si>
  <si>
    <t xml:space="preserve">05/11/2020</t>
  </si>
  <si>
    <t xml:space="preserve">TBI 0057.13714-3     C/C</t>
  </si>
  <si>
    <t xml:space="preserve">LIS/JUROS     17 DIAS</t>
  </si>
  <si>
    <t xml:space="preserve">06/11/2020</t>
  </si>
  <si>
    <t xml:space="preserve">ELECTRONCANTAREIRA</t>
  </si>
  <si>
    <t xml:space="preserve">09/11/2020</t>
  </si>
  <si>
    <t xml:space="preserve">INT PAG TIT 109027453506</t>
  </si>
  <si>
    <t xml:space="preserve">SAQUE 24H 17920331 08/11</t>
  </si>
  <si>
    <t xml:space="preserve">ELECTRONCARLOS REIS</t>
  </si>
  <si>
    <t xml:space="preserve">ELECTRONCLAUDIA KAN</t>
  </si>
  <si>
    <t xml:space="preserve">ELECTRONVALENS BAR</t>
  </si>
  <si>
    <t xml:space="preserve">10/11/2020</t>
  </si>
  <si>
    <t xml:space="preserve">11/11/2020</t>
  </si>
  <si>
    <t xml:space="preserve">INT NEXTEL 9799999699806</t>
  </si>
  <si>
    <t xml:space="preserve">ELECTRONCENTURY PAE</t>
  </si>
  <si>
    <t xml:space="preserve">ELECTRONSONEDA PERF</t>
  </si>
  <si>
    <t xml:space="preserve">12/11/2020</t>
  </si>
  <si>
    <t xml:space="preserve">13/11/2020</t>
  </si>
  <si>
    <t xml:space="preserve">16/11/2020</t>
  </si>
  <si>
    <t xml:space="preserve">SAQUE 24H 12468625 15/11</t>
  </si>
  <si>
    <t xml:space="preserve">ELECTRONJAILSON BAL</t>
  </si>
  <si>
    <t xml:space="preserve">ELECTRONPAG*HiroCal</t>
  </si>
  <si>
    <t xml:space="preserve">ELECTRONPASTEIS NIS</t>
  </si>
  <si>
    <t xml:space="preserve">17/11/2020</t>
  </si>
  <si>
    <t xml:space="preserve">18/11/2020</t>
  </si>
  <si>
    <t xml:space="preserve">ELECTRONSANTO GOLE</t>
  </si>
  <si>
    <t xml:space="preserve">19/11/2020</t>
  </si>
  <si>
    <t xml:space="preserve">TED 340.0000SAMUEL JOSE</t>
  </si>
  <si>
    <t xml:space="preserve">20/11/2020</t>
  </si>
  <si>
    <t xml:space="preserve">23/11/2020</t>
  </si>
  <si>
    <t xml:space="preserve">24/11/2020</t>
  </si>
  <si>
    <t xml:space="preserve">25/11/2020</t>
  </si>
  <si>
    <t xml:space="preserve">INT NEXTEL 9299999693841</t>
  </si>
  <si>
    <t xml:space="preserve">ELECTRONARLINDO VAL</t>
  </si>
  <si>
    <t xml:space="preserve">ELECTRONJOHNNYS 535</t>
  </si>
  <si>
    <t xml:space="preserve">ELECTRONPAG*CaioVin</t>
  </si>
  <si>
    <t xml:space="preserve">ELECTRONPLAYLAND -</t>
  </si>
  <si>
    <t xml:space="preserve">ELECTRONSANTANA DRI</t>
  </si>
  <si>
    <t xml:space="preserve">26/11/2020</t>
  </si>
  <si>
    <t xml:space="preserve">ELECTRONCANDYMELL</t>
  </si>
  <si>
    <t xml:space="preserve">PIX TRANSF  FRANCIS26/11</t>
  </si>
  <si>
    <t xml:space="preserve">9130</t>
  </si>
  <si>
    <t xml:space="preserve">EST PIX TF  FRANCISCO</t>
  </si>
  <si>
    <t xml:space="preserve">9129</t>
  </si>
  <si>
    <t xml:space="preserve">27/11/2020</t>
  </si>
  <si>
    <t xml:space="preserve">TBI 0745.13546-7     C/C</t>
  </si>
  <si>
    <t xml:space="preserve">30/11/2020</t>
  </si>
  <si>
    <t xml:space="preserve">SAQUE 24H 15720220 29/11</t>
  </si>
  <si>
    <t xml:space="preserve">ELECTRONHABIB S</t>
  </si>
  <si>
    <t xml:space="preserve">estacionamento</t>
  </si>
  <si>
    <t xml:space="preserve">ELECTRONPARK PLACE</t>
  </si>
  <si>
    <t xml:space="preserve">INT TED  207161</t>
  </si>
  <si>
    <t xml:space="preserve">oferta igreja</t>
  </si>
  <si>
    <t xml:space="preserve">INT TED  280351</t>
  </si>
  <si>
    <t xml:space="preserve">01/12/2020</t>
  </si>
  <si>
    <t xml:space="preserve">02/12/2020</t>
  </si>
  <si>
    <t xml:space="preserve">TAR PACOTE ITAU   NOV/20</t>
  </si>
  <si>
    <t xml:space="preserve">03/12/2020</t>
  </si>
  <si>
    <t xml:space="preserve">CXE     000117 SAQUE</t>
  </si>
  <si>
    <t xml:space="preserve">04/12/2020</t>
  </si>
  <si>
    <t xml:space="preserve">07/12/2020</t>
  </si>
  <si>
    <t xml:space="preserve">SAQUE 24H 03668290 05/12</t>
  </si>
  <si>
    <t xml:space="preserve">SAQUE 24H 18334508 06/12</t>
  </si>
  <si>
    <t xml:space="preserve">apadrinhamento</t>
  </si>
  <si>
    <t xml:space="preserve">ELECTRONABDOU LAHAT</t>
  </si>
  <si>
    <t xml:space="preserve">ELECTRONMUNDIAL LJ</t>
  </si>
  <si>
    <t xml:space="preserve">ELECTRONVITORIA BAB</t>
  </si>
  <si>
    <t xml:space="preserve">08/12/2020</t>
  </si>
  <si>
    <t xml:space="preserve">lavanderia</t>
  </si>
  <si>
    <t xml:space="preserve">09/12/2020</t>
  </si>
  <si>
    <t xml:space="preserve">ELECTRONLAVANDERIA</t>
  </si>
  <si>
    <t xml:space="preserve">creche</t>
  </si>
  <si>
    <t xml:space="preserve">INT TED  491869</t>
  </si>
  <si>
    <t xml:space="preserve">10/12/2020</t>
  </si>
  <si>
    <t xml:space="preserve">INT PAG TIT 109032617590</t>
  </si>
  <si>
    <t xml:space="preserve">TBI 2959.24196-5</t>
  </si>
  <si>
    <t xml:space="preserve">INT NEXTEL 9199999691464</t>
  </si>
  <si>
    <t xml:space="preserve">INT NEXTEL 9399999691464</t>
  </si>
  <si>
    <t xml:space="preserve">11/12/2020</t>
  </si>
  <si>
    <t xml:space="preserve">14/12/2020</t>
  </si>
  <si>
    <t xml:space="preserve">SAQUE 24H 12883500 13/12</t>
  </si>
  <si>
    <t xml:space="preserve">transferencia(presente)</t>
  </si>
  <si>
    <t xml:space="preserve">15/12/2020</t>
  </si>
  <si>
    <t xml:space="preserve">TBI 0746.65425-0CREC</t>
  </si>
  <si>
    <t xml:space="preserve">transferencia(cufa)</t>
  </si>
  <si>
    <t xml:space="preserve">16/12/2020</t>
  </si>
  <si>
    <t xml:space="preserve">INT TED  2b3f06e0</t>
  </si>
  <si>
    <t xml:space="preserve">17/12/2020</t>
  </si>
  <si>
    <t xml:space="preserve">18/12/2020</t>
  </si>
  <si>
    <t xml:space="preserve">transferencia(creche)</t>
  </si>
  <si>
    <t xml:space="preserve">INT TED  ad435a8c</t>
  </si>
  <si>
    <t xml:space="preserve">9125</t>
  </si>
  <si>
    <t xml:space="preserve">boleto(roupa)</t>
  </si>
  <si>
    <t xml:space="preserve">21/12/2020</t>
  </si>
  <si>
    <t xml:space="preserve">SAQUE 24H 16554123 20/12</t>
  </si>
  <si>
    <t xml:space="preserve">transferencia(ceia de natal)</t>
  </si>
  <si>
    <t xml:space="preserve">TBI 7129.17425-1</t>
  </si>
  <si>
    <t xml:space="preserve">ELECTRONPAG*SrDaMan</t>
  </si>
  <si>
    <t xml:space="preserve">22/12/2020</t>
  </si>
  <si>
    <t xml:space="preserve">CXE     000307 SAQUE</t>
  </si>
  <si>
    <t xml:space="preserve">0728</t>
  </si>
  <si>
    <t xml:space="preserve">presente</t>
  </si>
  <si>
    <t xml:space="preserve">ELECTRONA R CONFECC</t>
  </si>
  <si>
    <t xml:space="preserve">ELECTRONFENIX INDUS</t>
  </si>
  <si>
    <t xml:space="preserve">ELECTRONGATA TOP</t>
  </si>
  <si>
    <t xml:space="preserve">ELECTRONLinxPay*AUT</t>
  </si>
  <si>
    <t xml:space="preserve">ELECTRONPAG*AirtonA</t>
  </si>
  <si>
    <t xml:space="preserve">ELECTRONPAG*ANDERSO</t>
  </si>
  <si>
    <t xml:space="preserve">ELECTRONPAG*Crispin</t>
  </si>
  <si>
    <t xml:space="preserve">ELECTRONWF SPORTS</t>
  </si>
  <si>
    <t xml:space="preserve">transferencia(bio)</t>
  </si>
  <si>
    <t xml:space="preserve">23/12/2020</t>
  </si>
  <si>
    <t xml:space="preserve">DOC INT 715961 BIO</t>
  </si>
  <si>
    <t xml:space="preserve">24/12/2020</t>
  </si>
  <si>
    <t xml:space="preserve">SAQUE 24H 02727261</t>
  </si>
  <si>
    <t xml:space="preserve">ELECTRONANDRE HIDEK</t>
  </si>
  <si>
    <t xml:space="preserve">ELECTRONPAG*BarDoMa</t>
  </si>
  <si>
    <t xml:space="preserve">ELECTRONPAG*Marcelo</t>
  </si>
  <si>
    <t xml:space="preserve">28/12/2020</t>
  </si>
  <si>
    <t xml:space="preserve">passaporte</t>
  </si>
  <si>
    <t xml:space="preserve">29/12/2020</t>
  </si>
  <si>
    <t xml:space="preserve">INT TED  297949</t>
  </si>
  <si>
    <t xml:space="preserve">advogado</t>
  </si>
  <si>
    <t xml:space="preserve">INT TED  298568</t>
  </si>
  <si>
    <t xml:space="preserve">30/12/2020</t>
  </si>
  <si>
    <t xml:space="preserve">31/12/2020</t>
  </si>
  <si>
    <t xml:space="preserve">SAQUE 24H 03724580</t>
  </si>
  <si>
    <t xml:space="preserve">dizimo</t>
  </si>
  <si>
    <t xml:space="preserve">ELECTRONIMW 3 R VIL</t>
  </si>
  <si>
    <t xml:space="preserve">SEGURO AUTO</t>
  </si>
  <si>
    <t xml:space="preserve">Sum - valor_convertido_saida (R$)</t>
  </si>
  <si>
    <t xml:space="preserve">Total Result</t>
  </si>
  <si>
    <t xml:space="preserve">dif</t>
  </si>
  <si>
    <t xml:space="preserve">soma</t>
  </si>
  <si>
    <t xml:space="preserve">DIFF</t>
  </si>
  <si>
    <t xml:space="preserve">total</t>
  </si>
  <si>
    <t xml:space="preserve">custo</t>
  </si>
  <si>
    <t xml:space="preserve">ref</t>
  </si>
  <si>
    <t xml:space="preserve">pend</t>
  </si>
  <si>
    <t xml:space="preserve">valor real</t>
  </si>
  <si>
    <t xml:space="preserve">% acima da meta</t>
  </si>
  <si>
    <t xml:space="preserve">data atingimento</t>
  </si>
  <si>
    <t xml:space="preserve">casa</t>
  </si>
  <si>
    <t xml:space="preserve">PG</t>
  </si>
  <si>
    <t xml:space="preserve">nextel</t>
  </si>
  <si>
    <t xml:space="preserve">maquina de lavar</t>
  </si>
  <si>
    <t xml:space="preserve">alessandro</t>
  </si>
  <si>
    <t xml:space="preserve">parcela_imposto_emp</t>
  </si>
  <si>
    <t xml:space="preserve">seminario 2x</t>
  </si>
  <si>
    <t xml:space="preserve">pg</t>
  </si>
  <si>
    <t xml:space="preserve">custo_vida</t>
  </si>
  <si>
    <t xml:space="preserve">custo vida 15d</t>
  </si>
  <si>
    <t xml:space="preserve">custo vida 30d</t>
  </si>
  <si>
    <t xml:space="preserve">oferta</t>
  </si>
  <si>
    <t xml:space="preserve">Olibone Pneus     04/04</t>
  </si>
  <si>
    <t xml:space="preserve">Supermercado Bergamini</t>
  </si>
  <si>
    <t xml:space="preserve">Filial Hiper Bergamini</t>
  </si>
  <si>
    <t xml:space="preserve">Posto Amma</t>
  </si>
  <si>
    <t xml:space="preserve">Casa De Esfiha Vila Am</t>
  </si>
  <si>
    <t xml:space="preserve">Academia Corpo E M01/03</t>
  </si>
  <si>
    <t xml:space="preserve">Cachoeora D Mandaqui</t>
  </si>
  <si>
    <t xml:space="preserve">Uber Do Brasil Tecnolog</t>
  </si>
  <si>
    <t xml:space="preserve">B La Milette Paes</t>
  </si>
  <si>
    <t xml:space="preserve">Fernanda Vargas De Fre</t>
  </si>
  <si>
    <t xml:space="preserve">Sacolao Da Fartura</t>
  </si>
  <si>
    <t xml:space="preserve">Vilachic</t>
  </si>
  <si>
    <t xml:space="preserve">Geraldo Pedro Dos Sant</t>
  </si>
  <si>
    <t xml:space="preserve">Unidos Da Vila</t>
  </si>
  <si>
    <t xml:space="preserve">Shokiti</t>
  </si>
  <si>
    <t xml:space="preserve">Bella Ataliba P Doces</t>
  </si>
  <si>
    <t xml:space="preserve">Ebanx Spotify</t>
  </si>
  <si>
    <t xml:space="preserve">Arna Cafeteria</t>
  </si>
  <si>
    <t xml:space="preserve">Pag*seucafedamanh</t>
  </si>
  <si>
    <t xml:space="preserve">Ri Happy - Lj 34</t>
  </si>
  <si>
    <t xml:space="preserve">Lojas Americanas 1279</t>
  </si>
  <si>
    <t xml:space="preserve">Vitally Sorvertes</t>
  </si>
  <si>
    <t xml:space="preserve">Assai Atacadista</t>
  </si>
  <si>
    <t xml:space="preserve">Promofarma</t>
  </si>
  <si>
    <t xml:space="preserve">Posto Florida</t>
  </si>
  <si>
    <t xml:space="preserve">Armazen Galdino</t>
  </si>
  <si>
    <t xml:space="preserve">Martins &amp; Ribeiro</t>
  </si>
  <si>
    <t xml:space="preserve">Arizona Paes E Doces</t>
  </si>
  <si>
    <t xml:space="preserve">Auto Posto Edu</t>
  </si>
  <si>
    <t xml:space="preserve">Fundacao Abrinq</t>
  </si>
  <si>
    <t xml:space="preserve">Centauro - Ce 166 01/03</t>
  </si>
  <si>
    <t xml:space="preserve">Sestini           01/04</t>
  </si>
  <si>
    <t xml:space="preserve">Conectcar</t>
  </si>
  <si>
    <t xml:space="preserve">Parc Fatura Seg 04/04 </t>
  </si>
  <si>
    <t xml:space="preserve">Academia Corpo E M02/03</t>
  </si>
  <si>
    <t xml:space="preserve">Centauro - Ce 166 02/03</t>
  </si>
  <si>
    <t xml:space="preserve">Sestini           02/04</t>
  </si>
  <si>
    <t xml:space="preserve">Promofarma Tucuruvi</t>
  </si>
  <si>
    <t xml:space="preserve">Posto M G M E</t>
  </si>
  <si>
    <t xml:space="preserve">Evandro G Novais</t>
  </si>
  <si>
    <t xml:space="preserve">Pag*bancanene</t>
  </si>
  <si>
    <t xml:space="preserve">Reinaldo De Souza Borg</t>
  </si>
  <si>
    <t xml:space="preserve">Sonda Tremembe</t>
  </si>
  <si>
    <t xml:space="preserve">Super Troca De Ole01/02</t>
  </si>
  <si>
    <t xml:space="preserve">Sonda Tremembe    01/02</t>
  </si>
  <si>
    <t xml:space="preserve">Eliel Feirante</t>
  </si>
  <si>
    <t xml:space="preserve">Pag*cleliaaparecidari</t>
  </si>
  <si>
    <t xml:space="preserve">Sonda Jacana</t>
  </si>
  <si>
    <t xml:space="preserve">Taxa De Embarque</t>
  </si>
  <si>
    <t xml:space="preserve">Parc=112gol Qnlrrg01/12</t>
  </si>
  <si>
    <t xml:space="preserve">Drogaria Mandaqui</t>
  </si>
  <si>
    <t xml:space="preserve">Pag*diegoejane7</t>
  </si>
  <si>
    <t xml:space="preserve">Pag*silvacomercio</t>
  </si>
  <si>
    <t xml:space="preserve">Ikesaki</t>
  </si>
  <si>
    <t xml:space="preserve">Pag*wpapermix</t>
  </si>
  <si>
    <t xml:space="preserve">Riachuelo 101     01/02</t>
  </si>
  <si>
    <t xml:space="preserve">A2k Calcados E Con01/02</t>
  </si>
  <si>
    <t xml:space="preserve">Stelo S.a.*sandrohair</t>
  </si>
  <si>
    <t xml:space="preserve">Deposito Doces Malu </t>
  </si>
  <si>
    <t xml:space="preserve">Academia Corpo E M03/03</t>
  </si>
  <si>
    <t xml:space="preserve">Centauro - Ce 166 03/03</t>
  </si>
  <si>
    <t xml:space="preserve">Sestini           03/04</t>
  </si>
  <si>
    <t xml:space="preserve">Super Troca De Ole02/02</t>
  </si>
  <si>
    <t xml:space="preserve">Sonda Tremembe    02/02</t>
  </si>
  <si>
    <t xml:space="preserve">Parc=112gol Qnlrrg02/12</t>
  </si>
  <si>
    <t xml:space="preserve">Riachuelo 101     02/02</t>
  </si>
  <si>
    <t xml:space="preserve">A2k Calcados E Con02/02</t>
  </si>
  <si>
    <t xml:space="preserve">Marte Veiculos 01/04 </t>
  </si>
  <si>
    <t xml:space="preserve">Auto Posto Cibele </t>
  </si>
  <si>
    <t xml:space="preserve">Promofarma Loja 20 </t>
  </si>
  <si>
    <t xml:space="preserve">Ourinhos Supermercado </t>
  </si>
  <si>
    <t xml:space="preserve">Sala De A Philadelphia </t>
  </si>
  <si>
    <t xml:space="preserve">Pag*diegoejane7 </t>
  </si>
  <si>
    <t xml:space="preserve">Maria De Fatima Rodrig </t>
  </si>
  <si>
    <t xml:space="preserve">bergamais supermercado</t>
  </si>
  <si>
    <t xml:space="preserve">pag*adriana</t>
  </si>
  <si>
    <t xml:space="preserve">Pernambucanas-fl.074</t>
  </si>
  <si>
    <t xml:space="preserve">Mac Bijuterias</t>
  </si>
  <si>
    <t xml:space="preserve">Drogaria Promofarma</t>
  </si>
  <si>
    <t xml:space="preserve">Rgr Modas 01/03</t>
  </si>
  <si>
    <t xml:space="preserve">Adega Do Alemao</t>
  </si>
  <si>
    <t xml:space="preserve">Donaju</t>
  </si>
  <si>
    <t xml:space="preserve">Drogaria Manoel Gaya</t>
  </si>
  <si>
    <t xml:space="preserve">Retirada Pais</t>
  </si>
  <si>
    <t xml:space="preserve">Fundacao Abr</t>
  </si>
  <si>
    <t xml:space="preserve">Tarif Retirada Pais Cei</t>
  </si>
  <si>
    <t xml:space="preserve">Posto Jaguar</t>
  </si>
  <si>
    <t xml:space="preserve">Trimais</t>
  </si>
  <si>
    <t xml:space="preserve">1pay.lu *canva8626</t>
  </si>
  <si>
    <t xml:space="preserve">Pag*chillibeans 01/02</t>
  </si>
  <si>
    <t xml:space="preserve">Juros Retiradas-pais</t>
  </si>
  <si>
    <t xml:space="preserve">Parc=112gol Qnlrrg04/12</t>
  </si>
  <si>
    <t xml:space="preserve">Marte Veiculos 03/04 </t>
  </si>
  <si>
    <t xml:space="preserve">Sestini           04/04</t>
  </si>
  <si>
    <t xml:space="preserve">Parc=112gol Qnlrrg03/12</t>
  </si>
  <si>
    <t xml:space="preserve">Marte Veiculos    02/04</t>
  </si>
  <si>
    <t xml:space="preserve">Rgr Modas         02/03</t>
  </si>
  <si>
    <t xml:space="preserve">Pag*chillibeans   02/02</t>
  </si>
  <si>
    <t xml:space="preserve">Sam Modas</t>
  </si>
  <si>
    <t xml:space="preserve">Drog Sao Paulo Fl 145</t>
  </si>
  <si>
    <t xml:space="preserve">Teruya</t>
  </si>
  <si>
    <t xml:space="preserve">Pag*ronildoconfeccoes</t>
  </si>
  <si>
    <t xml:space="preserve">Mercadopago *fredcoss</t>
  </si>
  <si>
    <t xml:space="preserve">Evellyn Calcados</t>
  </si>
  <si>
    <t xml:space="preserve">Armarinhos Kemuel</t>
  </si>
  <si>
    <t xml:space="preserve">R S Modas Intimas</t>
  </si>
  <si>
    <t xml:space="preserve">Multipark Campinas</t>
  </si>
  <si>
    <t xml:space="preserve">I C Menezes Armarinhos</t>
  </si>
  <si>
    <t xml:space="preserve">Acq*live Garotas Modas</t>
  </si>
  <si>
    <t xml:space="preserve">Auto Posto Lutaif</t>
  </si>
  <si>
    <t xml:space="preserve">Tolezano Com Alim</t>
  </si>
  <si>
    <t xml:space="preserve">Fabiano Rizzo</t>
  </si>
  <si>
    <t xml:space="preserve">Qkiki Bijoux Ltda</t>
  </si>
  <si>
    <t xml:space="preserve">Teruya            01/02</t>
  </si>
  <si>
    <t xml:space="preserve">Drogaria Promofarm01/03</t>
  </si>
  <si>
    <t xml:space="preserve">Bello Artb</t>
  </si>
  <si>
    <t xml:space="preserve">Stop Point</t>
  </si>
  <si>
    <t xml:space="preserve">Pag*erikaregianecasta</t>
  </si>
  <si>
    <t xml:space="preserve">Localiza Rent A Ca01/06</t>
  </si>
  <si>
    <t xml:space="preserve">Posto Quatroxquatro</t>
  </si>
  <si>
    <t xml:space="preserve">Auto Posto Comandatuba</t>
  </si>
  <si>
    <t xml:space="preserve">Pag*cleidsonlucena</t>
  </si>
  <si>
    <t xml:space="preserve">Pag*mariamarciasilvad</t>
  </si>
  <si>
    <t xml:space="preserve">Google Storage</t>
  </si>
  <si>
    <t xml:space="preserve">Localiza Rent A Car Sa</t>
  </si>
  <si>
    <t xml:space="preserve">Autopel</t>
  </si>
  <si>
    <t xml:space="preserve">Pag*phoenix</t>
  </si>
  <si>
    <t xml:space="preserve">Ec*spotify</t>
  </si>
  <si>
    <t xml:space="preserve">Cia Da Lagosta/vil01/03</t>
  </si>
  <si>
    <t xml:space="preserve">Raia 47</t>
  </si>
  <si>
    <t xml:space="preserve">Carlos Reis</t>
  </si>
  <si>
    <t xml:space="preserve">Pag*taylanelopeslima</t>
  </si>
  <si>
    <t xml:space="preserve">Zoom.us</t>
  </si>
  <si>
    <t xml:space="preserve">Iof Retirada-pais</t>
  </si>
  <si>
    <t xml:space="preserve">Localiza Rent A Car(02/06)</t>
  </si>
  <si>
    <t xml:space="preserve">Drogaria Promofarma(02/03)</t>
  </si>
  <si>
    <t xml:space="preserve">Cia Da Lagosta/vila(02/03)</t>
  </si>
  <si>
    <t xml:space="preserve">Rgr Modas         03/03</t>
  </si>
  <si>
    <t xml:space="preserve">Teruya            02/02</t>
  </si>
  <si>
    <t xml:space="preserve">Drogaria Promofarm02/03</t>
  </si>
  <si>
    <t xml:space="preserve">Google Youtube Videos</t>
  </si>
  <si>
    <t xml:space="preserve">Localiza Multa Transit</t>
  </si>
  <si>
    <t xml:space="preserve">Supermercado Berga01/02</t>
  </si>
  <si>
    <t xml:space="preserve">Marte Veiculos    03/04</t>
  </si>
  <si>
    <t xml:space="preserve">Localiza Rent A Ca02/06</t>
  </si>
  <si>
    <t xml:space="preserve">Cia Da Lagosta/vil02/03</t>
  </si>
  <si>
    <t xml:space="preserve">Acom Mkt Place</t>
  </si>
  <si>
    <t xml:space="preserve">Ifood       *ifood</t>
  </si>
  <si>
    <t xml:space="preserve">Ourinhos Supermercado</t>
  </si>
  <si>
    <t xml:space="preserve">19/01/2020</t>
  </si>
  <si>
    <t xml:space="preserve">Parc=112gol Qnlrrg05/12</t>
  </si>
  <si>
    <t xml:space="preserve">Marte Veiculos    04/04</t>
  </si>
  <si>
    <t xml:space="preserve">Drogaria Promofarm03/03</t>
  </si>
  <si>
    <t xml:space="preserve">14/03/2020</t>
  </si>
  <si>
    <t xml:space="preserve">Localiza Rent A Ca03/06</t>
  </si>
  <si>
    <t xml:space="preserve">21/03/2020</t>
  </si>
  <si>
    <t xml:space="preserve">Cia Da Lagosta/vil03/03</t>
  </si>
  <si>
    <t xml:space="preserve">18/04/2020</t>
  </si>
  <si>
    <t xml:space="preserve">Supermercado Berga02/02</t>
  </si>
  <si>
    <t xml:space="preserve">Pharmer S</t>
  </si>
  <si>
    <t xml:space="preserve">Auto Posto Duque Dumon</t>
  </si>
  <si>
    <t xml:space="preserve">Americanas Com    01/05</t>
  </si>
  <si>
    <t xml:space="preserve">Acom Mkt Place    01/05</t>
  </si>
  <si>
    <t xml:space="preserve">Google Play</t>
  </si>
  <si>
    <t xml:space="preserve">16/05/2020</t>
  </si>
  <si>
    <t xml:space="preserve">Leroy Merlin Norte</t>
  </si>
  <si>
    <t xml:space="preserve">Netflix.com</t>
  </si>
  <si>
    <t xml:space="preserve">23/05/2020</t>
  </si>
  <si>
    <t xml:space="preserve">V A Espeto E Comercio</t>
  </si>
  <si>
    <t xml:space="preserve">24/05/2020</t>
  </si>
  <si>
    <t xml:space="preserve">Sonda Jacana      01/02</t>
  </si>
  <si>
    <t xml:space="preserve">Ipiranga Abastece Ai</t>
  </si>
  <si>
    <t xml:space="preserve">30/05/2020</t>
  </si>
  <si>
    <t xml:space="preserve">Centauro Com Br</t>
  </si>
  <si>
    <t xml:space="preserve">dólar de conversão</t>
  </si>
  <si>
    <t xml:space="preserve">Lucidchart.com/* Trial</t>
  </si>
  <si>
    <t xml:space="preserve">United States</t>
  </si>
  <si>
    <t xml:space="preserve">total de lançamentos internacionais (titular + adicionais)</t>
  </si>
  <si>
    <t xml:space="preserve">Parc=112gol Qnlrrg06/12</t>
  </si>
  <si>
    <t xml:space="preserve">Localiza Rent A Ca04/06</t>
  </si>
  <si>
    <t xml:space="preserve">Americanas Com</t>
  </si>
  <si>
    <t xml:space="preserve">Americanas Com    02/05</t>
  </si>
  <si>
    <t xml:space="preserve">Acom Mkt Place    02/05</t>
  </si>
  <si>
    <t xml:space="preserve">Sonda Jacana      02/02</t>
  </si>
  <si>
    <t xml:space="preserve">Valor Principal</t>
  </si>
  <si>
    <t xml:space="preserve">Juros</t>
  </si>
  <si>
    <t xml:space="preserve">11/06/2020</t>
  </si>
  <si>
    <t xml:space="preserve">14/06/2020</t>
  </si>
  <si>
    <t xml:space="preserve">20/06/2020</t>
  </si>
  <si>
    <t xml:space="preserve">21/06/2020</t>
  </si>
  <si>
    <t xml:space="preserve">Amazonprimebr</t>
  </si>
  <si>
    <t xml:space="preserve">04/07/2020</t>
  </si>
  <si>
    <t xml:space="preserve">Ame Digital</t>
  </si>
  <si>
    <t xml:space="preserve">27/06/2020</t>
  </si>
  <si>
    <t xml:space="preserve">IOF - transação internacional</t>
  </si>
  <si>
    <t xml:space="preserve">Parc=112gol Qnlrrg07/12</t>
  </si>
  <si>
    <t xml:space="preserve">Localiza Rent A Ca05/06</t>
  </si>
  <si>
    <t xml:space="preserve">Americanas Com    03/05</t>
  </si>
  <si>
    <t xml:space="preserve">Acom Mkt Place    03/05</t>
  </si>
  <si>
    <t xml:space="preserve">Zul 2 Cartoes 9tukt</t>
  </si>
  <si>
    <t xml:space="preserve">Ec          *spotify</t>
  </si>
  <si>
    <t xml:space="preserve">25/07/2020</t>
  </si>
  <si>
    <t xml:space="preserve">Zul 2 Cartoes 9vhnu</t>
  </si>
  <si>
    <t xml:space="preserve">Zul 1 Cartao 9viss</t>
  </si>
  <si>
    <t xml:space="preserve">total de retirada no exterior</t>
  </si>
  <si>
    <t xml:space="preserve">total internacional do cartão - final  1280 (titular)</t>
  </si>
  <si>
    <t xml:space="preserve">parcela cartao de credito</t>
  </si>
  <si>
    <t xml:space="preserve">Parc=112gol Qnlrrg09/12</t>
  </si>
  <si>
    <t xml:space="preserve">Americanas Com    05/05</t>
  </si>
  <si>
    <t xml:space="preserve">Acom Mkt Place    05/05</t>
  </si>
  <si>
    <t xml:space="preserve">22/08/2020</t>
  </si>
  <si>
    <t xml:space="preserve">Pag*lupo          02/02</t>
  </si>
  <si>
    <t xml:space="preserve">07/09/2020</t>
  </si>
  <si>
    <t xml:space="preserve">13/09/2020</t>
  </si>
  <si>
    <t xml:space="preserve">Peixaria Popular</t>
  </si>
  <si>
    <t xml:space="preserve">Aai         *...</t>
  </si>
  <si>
    <t xml:space="preserve">Estantevirt</t>
  </si>
  <si>
    <t xml:space="preserve">Zul 2 Cartoes Addn4</t>
  </si>
  <si>
    <t xml:space="preserve">Zul 2 Cartoes Adkfb</t>
  </si>
  <si>
    <t xml:space="preserve">Fini</t>
  </si>
  <si>
    <t xml:space="preserve">Cea Scn 160       01/02</t>
  </si>
  <si>
    <t xml:space="preserve">19/09/2020</t>
  </si>
  <si>
    <t xml:space="preserve">Dl     *google Google</t>
  </si>
  <si>
    <t xml:space="preserve">20/09/2020</t>
  </si>
  <si>
    <t xml:space="preserve">Super Troca De Oleo</t>
  </si>
  <si>
    <t xml:space="preserve">Posto Serv Avantgarde</t>
  </si>
  <si>
    <t xml:space="preserve">Parc=112dieta E Sa01/12</t>
  </si>
  <si>
    <t xml:space="preserve">29/09/2020</t>
  </si>
  <si>
    <t xml:space="preserve">Zul 2 Cartoes Ahpm4</t>
  </si>
  <si>
    <t xml:space="preserve">Zul 1 Cartao Ahqw9</t>
  </si>
  <si>
    <t xml:space="preserve">Sua Academia</t>
  </si>
  <si>
    <t xml:space="preserve">Parcelamen Fatura 02/05</t>
  </si>
  <si>
    <t xml:space="preserve">27/09/2020</t>
  </si>
  <si>
    <t xml:space="preserve">Parc=112gol Qnlrrg10/12</t>
  </si>
  <si>
    <t xml:space="preserve">Cea Scn 160       02/02</t>
  </si>
  <si>
    <t xml:space="preserve">Parc=112dieta E Sa02/12</t>
  </si>
  <si>
    <t xml:space="preserve">12/10/2020</t>
  </si>
  <si>
    <t xml:space="preserve">Restaurante E Lazer Lu</t>
  </si>
  <si>
    <t xml:space="preserve">Esperanca Calcados 003</t>
  </si>
  <si>
    <t xml:space="preserve">Fast Shoes Calcados E</t>
  </si>
  <si>
    <t xml:space="preserve">24/10/2020</t>
  </si>
  <si>
    <t xml:space="preserve">Fcia Pague Menos 1079</t>
  </si>
  <si>
    <t xml:space="preserve">Trimais Supermercados</t>
  </si>
  <si>
    <t xml:space="preserve">25/10/2020</t>
  </si>
  <si>
    <t xml:space="preserve">Drogaria Sao Carlos</t>
  </si>
  <si>
    <t xml:space="preserve">Ebanx*spotify</t>
  </si>
  <si>
    <t xml:space="preserve">Zul 2 Cartoes Ascor</t>
  </si>
  <si>
    <t xml:space="preserve">Paypal Do Brasil</t>
  </si>
  <si>
    <t xml:space="preserve">28/10/2020</t>
  </si>
  <si>
    <t xml:space="preserve">01/11/2020</t>
  </si>
  <si>
    <t xml:space="preserve">02/11/2020</t>
  </si>
  <si>
    <t xml:space="preserve">Jin Jin</t>
  </si>
  <si>
    <t xml:space="preserve">Eventim Brasil Sao Pau</t>
  </si>
  <si>
    <t xml:space="preserve">Promofarma L29    01/02</t>
  </si>
  <si>
    <t xml:space="preserve">Parcelamen Fatura 03/05</t>
  </si>
  <si>
    <t xml:space="preserve">Parc=112gol Qnlrrg11/12</t>
  </si>
  <si>
    <t xml:space="preserve">Parc=112dieta E Sa03/12</t>
  </si>
  <si>
    <t xml:space="preserve">Promofarma L29    02/02</t>
  </si>
  <si>
    <t xml:space="preserve">08/11/2020</t>
  </si>
  <si>
    <t xml:space="preserve">Mc Donalds  Ajb</t>
  </si>
  <si>
    <t xml:space="preserve">Floresta Hotel</t>
  </si>
  <si>
    <t xml:space="preserve">Fernanda Goncalves Sil</t>
  </si>
  <si>
    <t xml:space="preserve">14/11/2020</t>
  </si>
  <si>
    <t xml:space="preserve">Confeccoes Caedu</t>
  </si>
  <si>
    <t xml:space="preserve">Ma Rongduan Bijuterias</t>
  </si>
  <si>
    <t xml:space="preserve">Salao Fernanda Vargas</t>
  </si>
  <si>
    <t xml:space="preserve">Dona Deola</t>
  </si>
  <si>
    <t xml:space="preserve">21/11/2020</t>
  </si>
  <si>
    <t xml:space="preserve">Meu Chapa Bar &amp; Grill</t>
  </si>
  <si>
    <t xml:space="preserve">Novo Millenium</t>
  </si>
  <si>
    <t xml:space="preserve">22/11/2020</t>
  </si>
  <si>
    <t xml:space="preserve">Dicico Tremembe</t>
  </si>
  <si>
    <t xml:space="preserve">Raia 133</t>
  </si>
  <si>
    <t xml:space="preserve">The Walt Disney Company</t>
  </si>
  <si>
    <t xml:space="preserve">Parc=104americanas01/04</t>
  </si>
  <si>
    <t xml:space="preserve">Madero Center Norte St</t>
  </si>
  <si>
    <t xml:space="preserve">Mc Donalds Scn</t>
  </si>
  <si>
    <t xml:space="preserve">Centro Automotivo Agua</t>
  </si>
  <si>
    <t xml:space="preserve">Estapar Shop Center No</t>
  </si>
  <si>
    <t xml:space="preserve">Box Car     -ct</t>
  </si>
  <si>
    <t xml:space="preserve">Matriz</t>
  </si>
  <si>
    <t xml:space="preserve">Acom Mkt Place    01/02</t>
  </si>
  <si>
    <t xml:space="preserve">28/11/2020</t>
  </si>
  <si>
    <t xml:space="preserve">Elyon</t>
  </si>
  <si>
    <t xml:space="preserve">Celeiro Da Fazenda</t>
  </si>
  <si>
    <t xml:space="preserve">Auto Posto Altino Ii</t>
  </si>
  <si>
    <t xml:space="preserve">29/11/2020</t>
  </si>
  <si>
    <t xml:space="preserve">Juno*bebechegou.com</t>
  </si>
  <si>
    <t xml:space="preserve">Kalunga Nova Cantareir</t>
  </si>
  <si>
    <t xml:space="preserve">05/12/2020</t>
  </si>
  <si>
    <t xml:space="preserve">Armarinhos Fernando</t>
  </si>
  <si>
    <t xml:space="preserve">Zul 2 Cartoes Ba7vk</t>
  </si>
  <si>
    <t xml:space="preserve">Armarinhos Fernand01/02</t>
  </si>
  <si>
    <t xml:space="preserve">Parcelamen Fatura 04/05</t>
  </si>
  <si>
    <t xml:space="preserve">Parc=112gol Qnlrrg08/12</t>
  </si>
  <si>
    <t xml:space="preserve">Localiza Rent A Ca06/06</t>
  </si>
  <si>
    <t xml:space="preserve">Americanas Com    04/05</t>
  </si>
  <si>
    <t xml:space="preserve">Acom Mkt Place    04/05</t>
  </si>
  <si>
    <t xml:space="preserve">09/08/2020</t>
  </si>
  <si>
    <t xml:space="preserve">Conectcar Recargaapp</t>
  </si>
  <si>
    <t xml:space="preserve">Pbkids Brinquedos</t>
  </si>
  <si>
    <t xml:space="preserve">Pag*lupo          01/02</t>
  </si>
  <si>
    <t xml:space="preserve">Ipiranga    *...</t>
  </si>
  <si>
    <t xml:space="preserve">05/09/2020</t>
  </si>
  <si>
    <t xml:space="preserve">27/08/20</t>
  </si>
  <si>
    <t xml:space="preserve"> </t>
  </si>
  <si>
    <t xml:space="preserve">entrada previsto</t>
  </si>
  <si>
    <t xml:space="preserve">saida</t>
  </si>
  <si>
    <t xml:space="preserve">custo previsto</t>
  </si>
  <si>
    <t xml:space="preserve">limite</t>
  </si>
  <si>
    <t xml:space="preserve">utilizado</t>
  </si>
  <si>
    <t xml:space="preserve">saldo atual</t>
  </si>
  <si>
    <t xml:space="preserve">saldo previsto</t>
  </si>
  <si>
    <t xml:space="preserve">Saldo prev + limite</t>
  </si>
  <si>
    <t xml:space="preserve">Saldo Debito + Limite</t>
  </si>
  <si>
    <t xml:space="preserve">custo credito</t>
  </si>
  <si>
    <t xml:space="preserve">cred_pend</t>
  </si>
  <si>
    <t xml:space="preserve">disponivel</t>
  </si>
  <si>
    <t xml:space="preserve">dias decorridos</t>
  </si>
  <si>
    <t xml:space="preserve">dias faltantes</t>
  </si>
  <si>
    <t xml:space="preserve">TOTAL</t>
  </si>
  <si>
    <t xml:space="preserve">MEDIA</t>
  </si>
  <si>
    <t xml:space="preserve">valor pend</t>
  </si>
  <si>
    <t xml:space="preserve">retirada</t>
  </si>
  <si>
    <t xml:space="preserve">atual</t>
  </si>
  <si>
    <t xml:space="preserve">investimento</t>
  </si>
  <si>
    <t xml:space="preserve">rendimento</t>
  </si>
  <si>
    <t xml:space="preserve">validação</t>
  </si>
  <si>
    <t xml:space="preserve">meta antiga</t>
  </si>
  <si>
    <t xml:space="preserve">margem abaixo</t>
  </si>
  <si>
    <t xml:space="preserve">meta nova – 30/11</t>
  </si>
  <si>
    <t xml:space="preserve">margem acima</t>
  </si>
  <si>
    <t xml:space="preserve">RETIRADA POUPANÇA</t>
  </si>
  <si>
    <t xml:space="preserve">De-para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</si>
</sst>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D/M/YYYY"/>
    <numFmt numFmtId="166" formatCode="0.00"/>
    <numFmt numFmtId="167" formatCode="&quot; R$ &quot;* #,##0.00\ ;&quot; R$ &quot;* \(#,##0.00\);&quot; R$ &quot;* \-#\ ;@\ "/>
    <numFmt numFmtId="168" formatCode="[$R$-416]\ #,##0.00;[RED]\-[$R$-416]\ #,##0.00"/>
    <numFmt numFmtId="169" formatCode="DD/MM/YY"/>
    <numFmt numFmtId="170" formatCode="0000\ "/>
    <numFmt numFmtId="171" formatCode="DD/MM/YYYY"/>
    <numFmt numFmtId="172" formatCode="#,##0.00"/>
    <numFmt numFmtId="173" formatCode="#0000_-"/>
    <numFmt numFmtId="174" formatCode="[$R$-pt-BR]\ * #,##0.00"/>
    <numFmt numFmtId="175" formatCode="&quot;$ &quot;* #,##0.00"/>
    <numFmt numFmtId="176" formatCode="@"/>
    <numFmt numFmtId="177" formatCode="DD/MM/YY\ HH:MM"/>
    <numFmt numFmtId="178" formatCode="[$R$]\ * #,##0.00"/>
  </numFmts>
  <fonts count="33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name val="Arial"/>
      <family val="0"/>
      <charset val="1"/>
    </font>
    <font>
      <sz val="11"/>
      <name val="Arial"/>
      <family val="0"/>
      <charset val="1"/>
    </font>
    <font>
      <b val="true"/>
      <sz val="11"/>
      <name val="Arial"/>
      <family val="0"/>
      <charset val="1"/>
    </font>
    <font>
      <sz val="11"/>
      <color rgb="FF008000"/>
      <name val="Arial"/>
      <family val="0"/>
      <charset val="1"/>
    </font>
    <font>
      <sz val="10"/>
      <color rgb="FFFF0000"/>
      <name val="Arial"/>
      <family val="2"/>
      <charset val="1"/>
    </font>
    <font>
      <sz val="10"/>
      <name val="Times New Roman"/>
      <family val="1"/>
      <charset val="1"/>
    </font>
    <font>
      <b val="true"/>
      <sz val="12"/>
      <name val="Arial"/>
      <family val="0"/>
      <charset val="1"/>
    </font>
    <font>
      <b val="true"/>
      <sz val="12"/>
      <color rgb="FFFF0000"/>
      <name val="Arial"/>
      <family val="0"/>
      <charset val="1"/>
    </font>
    <font>
      <sz val="10"/>
      <color rgb="FFC9211E"/>
      <name val="Times New Roman"/>
      <family val="1"/>
      <charset val="1"/>
    </font>
    <font>
      <b val="true"/>
      <sz val="12"/>
      <color rgb="FF008000"/>
      <name val="Arial"/>
      <family val="0"/>
      <charset val="1"/>
    </font>
    <font>
      <sz val="11"/>
      <name val="Arial"/>
      <family val="0"/>
    </font>
    <font>
      <b val="true"/>
      <sz val="12"/>
      <name val="Arial"/>
      <family val="0"/>
    </font>
    <font>
      <b val="true"/>
      <sz val="12"/>
      <color rgb="FF008000"/>
      <name val="Arial"/>
      <family val="0"/>
    </font>
    <font>
      <sz val="11"/>
      <color rgb="FF008000"/>
      <name val="Arial"/>
      <family val="0"/>
    </font>
    <font>
      <b val="true"/>
      <sz val="12"/>
      <color rgb="FFFF0000"/>
      <name val="Arial"/>
      <family val="0"/>
    </font>
    <font>
      <b val="true"/>
      <sz val="11"/>
      <color rgb="FFCE181E"/>
      <name val="Arial"/>
      <family val="2"/>
      <charset val="1"/>
    </font>
    <font>
      <b val="true"/>
      <sz val="10"/>
      <color rgb="FFCE181E"/>
      <name val="Arial"/>
      <family val="2"/>
      <charset val="1"/>
    </font>
    <font>
      <b val="true"/>
      <sz val="10"/>
      <color rgb="FFC9211E"/>
      <name val="Arial"/>
      <family val="2"/>
      <charset val="1"/>
    </font>
    <font>
      <b val="true"/>
      <sz val="12"/>
      <name val="Times New Roman"/>
      <family val="1"/>
      <charset val="1"/>
    </font>
    <font>
      <sz val="12"/>
      <name val="Times New Roman"/>
      <family val="1"/>
      <charset val="1"/>
    </font>
    <font>
      <sz val="8"/>
      <name val="Arial"/>
      <family val="2"/>
      <charset val="1"/>
    </font>
    <font>
      <sz val="12"/>
      <name val="Arial"/>
      <family val="0"/>
      <charset val="1"/>
    </font>
    <font>
      <sz val="10"/>
      <name val="Callibri"/>
      <family val="0"/>
      <charset val="1"/>
    </font>
    <font>
      <b val="true"/>
      <sz val="10"/>
      <name val="Callibri"/>
      <family val="0"/>
      <charset val="1"/>
    </font>
    <font>
      <sz val="10"/>
      <color rgb="FFCE181E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CCCCC"/>
        <bgColor rgb="FFC0C0C0"/>
      </patternFill>
    </fill>
    <fill>
      <patternFill patternType="solid">
        <fgColor rgb="FFFFF200"/>
        <bgColor rgb="FFFFFF00"/>
      </patternFill>
    </fill>
    <fill>
      <patternFill patternType="solid">
        <fgColor rgb="FFB2B2B2"/>
        <bgColor rgb="FFC0C0C0"/>
      </patternFill>
    </fill>
    <fill>
      <patternFill patternType="solid">
        <fgColor rgb="FFDDDDDD"/>
        <bgColor rgb="FFCCCCCC"/>
      </patternFill>
    </fill>
    <fill>
      <patternFill patternType="solid">
        <fgColor rgb="FFFFFF00"/>
        <bgColor rgb="FFFFF200"/>
      </patternFill>
    </fill>
  </fills>
  <borders count="31">
    <border diagonalUp="false" diagonalDown="false">
      <left/>
      <right/>
      <top/>
      <bottom/>
      <diagonal/>
    </border>
    <border diagonalUp="false" diagonalDown="false">
      <left/>
      <right/>
      <top/>
      <bottom style="thin">
        <color rgb="FFC0C0C0"/>
      </bottom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thin"/>
      <bottom style="medium"/>
      <diagonal/>
    </border>
  </borders>
  <cellStyleXfs count="2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7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6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2" borderId="0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7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4" fillId="3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4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2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7" fillId="0" borderId="0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8" fillId="3" borderId="0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8" fillId="0" borderId="0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9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4" borderId="0" xfId="17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4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7" fontId="4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4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0" fillId="4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9" fillId="0" borderId="1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9" fillId="4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1" fontId="0" fillId="0" borderId="0" xfId="17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4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" fillId="5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5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7" fillId="5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3" fontId="7" fillId="5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5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7" fillId="5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0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1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5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13" fillId="5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2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7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3" fontId="7" fillId="0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1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7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4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13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7" fillId="2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7" fillId="2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3" fontId="7" fillId="2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9" fillId="2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7" fillId="2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2" fillId="2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15" fillId="2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13" fillId="2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15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15" fillId="5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5" fontId="1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4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3" fontId="7" fillId="4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13" fillId="4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7" fillId="4" borderId="2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2" fontId="7" fillId="4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15" fillId="4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12" fillId="0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6" fillId="0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7" fillId="0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3" fontId="16" fillId="0" borderId="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2" fontId="18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16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19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2" fontId="20" fillId="0" borderId="2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71" fontId="0" fillId="0" borderId="2" xfId="17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0" borderId="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0" fillId="0" borderId="8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0" fillId="0" borderId="9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4" fillId="0" borderId="10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2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3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4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1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17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0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8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9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7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18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6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17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0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8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9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0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2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3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4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21" fillId="0" borderId="9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2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1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12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13" xfId="26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4" borderId="14" xfId="26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1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4" borderId="18" xfId="26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4" borderId="19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1" fillId="0" borderId="18" xfId="26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2" fillId="4" borderId="18" xfId="26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2" fillId="0" borderId="18" xfId="26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2" fillId="0" borderId="20" xfId="26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2" fillId="0" borderId="2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2" fillId="4" borderId="23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5" borderId="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2" fillId="5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9" fontId="0" fillId="5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4" fillId="0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4" fillId="5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22" fillId="5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6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0" fillId="0" borderId="9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5" fontId="4" fillId="0" borderId="10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9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1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2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3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4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23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23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7" fontId="0" fillId="0" borderId="0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24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24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24" fillId="4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1" fontId="25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25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25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25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25" fillId="0" borderId="2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8" fontId="2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5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1" fontId="2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7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25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25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25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25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7" fontId="25" fillId="0" borderId="2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25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25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25" fillId="0" borderId="2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9" fontId="25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27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7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1" fontId="27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7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0" fillId="0" borderId="2" xfId="0" applyFont="false" applyBorder="true" applyAlignment="true" applyProtection="false">
      <alignment horizontal="general" vertical="top" textRotation="0" wrapText="false" indent="0" shrinkToFit="false"/>
      <protection locked="true" hidden="false"/>
    </xf>
    <xf numFmtId="167" fontId="7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2" xfId="17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12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7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28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28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28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28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28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28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29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29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28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2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71" fontId="27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7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12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1" fontId="24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4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24" fillId="4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6" fontId="27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4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4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4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30" fillId="4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0" fillId="4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5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5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5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5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22" fillId="5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5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30" fillId="5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30" fillId="5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30" fillId="5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3" fillId="5" borderId="2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2" fillId="5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0" fillId="5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5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23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23" fillId="0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23" fillId="0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23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23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23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3" fillId="0" borderId="28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31" fillId="5" borderId="29" xfId="17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31" fillId="5" borderId="4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5" borderId="4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5" borderId="4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32" fillId="5" borderId="4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31" fillId="5" borderId="2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31" fillId="5" borderId="30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1" fillId="5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6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6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6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6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31" fillId="6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6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" fillId="0" borderId="2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4" fillId="0" borderId="27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7" fontId="31" fillId="0" borderId="2" xfId="17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2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7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" fillId="2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2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4" borderId="2" xfId="0" applyFont="true" applyBorder="true" applyAlignment="true" applyProtection="false">
      <alignment horizontal="left" vertical="center" textRotation="0" wrapText="false" indent="1" shrinkToFit="false"/>
      <protection locked="true" hidden="false"/>
    </xf>
  </cellXfs>
  <cellStyles count="1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Pivot Table Corner" xfId="20" builtinId="53" customBuiltin="true"/>
    <cellStyle name="Pivot Table Value" xfId="21" builtinId="53" customBuiltin="true"/>
    <cellStyle name="Pivot Table Field" xfId="22" builtinId="53" customBuiltin="true"/>
    <cellStyle name="Pivot Table Category" xfId="23" builtinId="53" customBuiltin="true"/>
    <cellStyle name="Pivot Table Title" xfId="24" builtinId="53" customBuiltin="true"/>
    <cellStyle name="Pivot Table Result" xfId="25" builtinId="53" customBuiltin="true"/>
    <cellStyle name="Excel Built-in Explanatory Text" xfId="26" builtinId="53" customBuiltin="true"/>
  </cellStyles>
  <dxfs count="1">
    <dxf>
      <font>
        <name val="Arial"/>
        <charset val="1"/>
        <family val="2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CE181E"/>
      <rgbColor rgb="FFFFFFCC"/>
      <rgbColor rgb="FFCCFFFF"/>
      <rgbColor rgb="FF660066"/>
      <rgbColor rgb="FFFF8080"/>
      <rgbColor rgb="FF0066CC"/>
      <rgbColor rgb="FFCCCCCC"/>
      <rgbColor rgb="FF000080"/>
      <rgbColor rgb="FFFF00FF"/>
      <rgbColor rgb="FFFFF200"/>
      <rgbColor rgb="FF00FFFF"/>
      <rgbColor rgb="FF800080"/>
      <rgbColor rgb="FF800000"/>
      <rgbColor rgb="FF008080"/>
      <rgbColor rgb="FF0000FF"/>
      <rgbColor rgb="FF00CCFF"/>
      <rgbColor rgb="FFCCFFFF"/>
      <rgbColor rgb="FFDDDDDD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C9211E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sharedStrings" Target="sharedStrings.xml"/><Relationship Id="rId17" Type="http://schemas.openxmlformats.org/officeDocument/2006/relationships/pivotCacheDefinition" Target="pivotCache/pivotCacheDefinition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321" createdVersion="3">
  <cacheSource type="worksheet">
    <worksheetSource ref="A1:H1322" sheet="debito"/>
  </cacheSource>
  <cacheFields count="8">
    <cacheField name="descrição" numFmtId="0">
      <sharedItems count="65">
        <s v="academia"/>
        <s v="advogado"/>
        <s v="agua"/>
        <s v="alimentação"/>
        <s v="almoço"/>
        <s v="aniversario samuel(entr+van)"/>
        <s v="apadrinhamento"/>
        <s v="azul"/>
        <s v="banco"/>
        <s v="boleto"/>
        <s v="boleto(roupa)"/>
        <s v="cabeleireiro"/>
        <s v="cartão de credito"/>
        <s v="celular"/>
        <s v="chaveiro"/>
        <s v="compras"/>
        <s v="conserto maquina"/>
        <s v="creche"/>
        <s v="deposito"/>
        <s v="devolução"/>
        <s v="divida"/>
        <s v="dizimo"/>
        <s v="doação"/>
        <s v="dpvat"/>
        <s v="emprestimo"/>
        <s v="entrada"/>
        <s v="estacionamento"/>
        <s v="estorno"/>
        <s v="farmacia"/>
        <s v="feira"/>
        <s v="frango"/>
        <s v="gasolina"/>
        <s v="ipva"/>
        <s v="juros"/>
        <s v="lavanderia"/>
        <s v="lazer"/>
        <s v="manutenção"/>
        <s v="material casa"/>
        <s v="mercado"/>
        <s v="michelle"/>
        <s v="oferta igreja"/>
        <s v="padaria"/>
        <s v="passaporte"/>
        <s v="Pç carro"/>
        <s v="poupança"/>
        <s v="presente"/>
        <s v="reembolso"/>
        <s v="rembolso"/>
        <s v="resgate"/>
        <s v="restaurante"/>
        <s v="restituição irpf"/>
        <s v="roupa"/>
        <s v="salario"/>
        <s v="saldo"/>
        <s v="saque"/>
        <s v="seguro"/>
        <s v="seminario"/>
        <s v="transferencia"/>
        <s v="transferencia(bio)"/>
        <s v="transferencia(ceia de natal)"/>
        <s v="transferencia(creche)"/>
        <s v="transferencia(cufa)"/>
        <s v="transferencia(presente)"/>
        <s v="transporte"/>
        <s v="viagem"/>
      </sharedItems>
    </cacheField>
    <cacheField name="data" numFmtId="0">
      <sharedItems containsDate="1" containsMixedTypes="1" minDate="2020-12-21T00:00:00" maxDate="2020-12-21T00:00:00" count="245">
        <d v="2020-12-21T00:00:00"/>
        <s v="01/04/2020"/>
        <s v="01/06/2020"/>
        <s v="01/07/2020"/>
        <s v="01/09/2020"/>
        <s v="01/10/2020"/>
        <s v="01/12/2020"/>
        <s v="02/01/2020"/>
        <s v="02/03/2020"/>
        <s v="02/04/2020"/>
        <s v="02/06/2020"/>
        <s v="02/07/2020"/>
        <s v="02/09/2020"/>
        <s v="02/10/2020"/>
        <s v="02/12/2020"/>
        <s v="03/01/2020"/>
        <s v="03/02/2020"/>
        <s v="03/03/2020"/>
        <s v="03/04/2020"/>
        <s v="03/06/2020"/>
        <s v="03/07/2020"/>
        <s v="03/08/2020"/>
        <s v="03/09/2020"/>
        <s v="03/11/2020"/>
        <s v="03/12/2020"/>
        <s v="04/02/2020"/>
        <s v="04/03/2020"/>
        <s v="04/05/2020"/>
        <s v="04/08/2020"/>
        <s v="04/09/2020"/>
        <s v="04/11/2020"/>
        <s v="04/12/2020"/>
        <s v="05/02/2020"/>
        <s v="05/03/2020"/>
        <s v="05/05/2020"/>
        <s v="05/06/2020"/>
        <s v="05/08/2020"/>
        <s v="05/10/2020"/>
        <s v="05/11/2020"/>
        <s v="06/01/2020"/>
        <s v="06/02/2020"/>
        <s v="06/03/2020"/>
        <s v="06/04/2020"/>
        <s v="06/05/2020"/>
        <s v="06/07/2020"/>
        <s v="06/08/2020"/>
        <s v="06/10/2020"/>
        <s v="06/11/2020"/>
        <s v="07/01/2020"/>
        <s v="07/02/2020"/>
        <s v="07/04/2020"/>
        <s v="07/05/2020"/>
        <s v="07/07/2020"/>
        <s v="07/08/2020"/>
        <s v="07/10/2020"/>
        <s v="07/12/2020"/>
        <s v="08/01/2020"/>
        <s v="08/04/2020"/>
        <s v="08/05/2020"/>
        <s v="08/06/2020"/>
        <s v="08/07/2020"/>
        <s v="08/09/2020"/>
        <s v="08/10/2020"/>
        <s v="08/12/2020"/>
        <s v="09/01/2020"/>
        <s v="09/03/2020"/>
        <s v="09/04/2020"/>
        <s v="09/07/2020"/>
        <s v="09/09/2020"/>
        <s v="09/10/2020"/>
        <s v="09/11/2020"/>
        <s v="09/12/2020"/>
        <s v="10/01/2020"/>
        <s v="10/02/2020"/>
        <s v="10/03/2020"/>
        <s v="10/06/2020"/>
        <s v="10/07/2020"/>
        <s v="10/08/2020"/>
        <s v="10/09/2020"/>
        <s v="10/11/2020"/>
        <s v="10/12/2020"/>
        <s v="11/02/2020"/>
        <s v="11/03/2020"/>
        <s v="11/05/2020"/>
        <s v="11/08/2020"/>
        <s v="11/09/2020"/>
        <s v="11/11/2020"/>
        <s v="11/12/2020"/>
        <s v="12/02/2020"/>
        <s v="12/03/2020"/>
        <s v="12/05/2020"/>
        <s v="12/06/2020"/>
        <s v="12/08/2020"/>
        <s v="12/11/2020"/>
        <s v="13/01/2020"/>
        <s v="13/02/2020"/>
        <s v="13/03/2020"/>
        <s v="13/04/2020"/>
        <s v="13/05/2020"/>
        <s v="13/07/2020"/>
        <s v="13/08/2020"/>
        <s v="13/10/2020"/>
        <s v="13/11/2020"/>
        <s v="14/01/2020"/>
        <s v="14/02/2020"/>
        <s v="14/04/2020"/>
        <s v="14/05/2020"/>
        <s v="14/07/2020"/>
        <s v="14/08/2020"/>
        <s v="14/09/2020"/>
        <s v="14/10/2020"/>
        <s v="14/12/2020"/>
        <s v="15/01/2020"/>
        <s v="15/04/2020"/>
        <s v="15/05/2020"/>
        <s v="15/06/2020"/>
        <s v="15/07/2020"/>
        <s v="15/09/2020"/>
        <s v="15/10/2020"/>
        <s v="15/12/2020"/>
        <s v="16/01/2020"/>
        <s v="16/03/2020"/>
        <s v="16/04/2020"/>
        <s v="16/06/2020"/>
        <s v="16/07/2020"/>
        <s v="16/09/2020"/>
        <s v="16/10/2020"/>
        <s v="16/11/2020"/>
        <s v="16/12/2020"/>
        <s v="17/01/2020"/>
        <s v="17/02/2020"/>
        <s v="17/03/2020"/>
        <s v="17/04/2020"/>
        <s v="17/06/2020"/>
        <s v="17/07/2020"/>
        <s v="17/08/2020"/>
        <s v="17/09/2020"/>
        <s v="17/11/2020"/>
        <s v="17/12/2020"/>
        <s v="18/02/2020"/>
        <s v="18/03/2020"/>
        <s v="18/05/2020"/>
        <s v="18/06/2020"/>
        <s v="18/08/2020"/>
        <s v="18/09/2020"/>
        <s v="18/11/2020"/>
        <s v="18/12/2020"/>
        <s v="19/02/2020"/>
        <s v="19/03/2020"/>
        <s v="19/05/2020"/>
        <s v="19/06/2020"/>
        <s v="19/08/2020"/>
        <s v="19/10/2020"/>
        <s v="19/11/2020"/>
        <s v="20/01/2020"/>
        <s v="20/02/2020"/>
        <s v="20/03/2020"/>
        <s v="20/04/2020"/>
        <s v="20/05/2020"/>
        <s v="20/07/2020"/>
        <s v="20/08/2020"/>
        <s v="20/10/2020"/>
        <s v="20/11/2020"/>
        <s v="21/01/2020"/>
        <s v="21/02/2020"/>
        <s v="21/05/2020"/>
        <s v="21/07/2020"/>
        <s v="21/08/2020"/>
        <s v="21/09/2020"/>
        <s v="21/10/2020"/>
        <s v="21/12/2020"/>
        <s v="22/01/2020"/>
        <s v="22/04/2020"/>
        <s v="22/05/2020"/>
        <s v="22/06/2020"/>
        <s v="22/07/2020"/>
        <s v="22/09/2020"/>
        <s v="22/10/2020"/>
        <s v="22/12/2020"/>
        <s v="23/01/2020"/>
        <s v="23/03/2020"/>
        <s v="23/04/2020"/>
        <s v="23/06/2020"/>
        <s v="23/07/2020"/>
        <s v="23/09/2020"/>
        <s v="23/10/2020"/>
        <s v="23/11/2020"/>
        <s v="23/12/2020"/>
        <s v="24/01/2020"/>
        <s v="24/03/2020"/>
        <s v="24/04/2020"/>
        <s v="24/06/2020"/>
        <s v="24/07/2020"/>
        <s v="24/08/2020"/>
        <s v="24/09/2020"/>
        <s v="24/11/2020"/>
        <s v="24/12/2020"/>
        <s v="25/03/2020"/>
        <s v="25/05/2020"/>
        <s v="25/06/2020"/>
        <s v="25/08/2020"/>
        <s v="25/09/2020"/>
        <s v="25/11/2020"/>
        <s v="26/02/2020"/>
        <s v="26/05/2020"/>
        <s v="26/06/2020"/>
        <s v="26/08/2020"/>
        <s v="26/10/2020"/>
        <s v="26/11/2020"/>
        <s v="27/01/2020"/>
        <s v="27/02/2020"/>
        <s v="27/03/2020"/>
        <s v="27/04/2020"/>
        <s v="27/05/2020"/>
        <s v="27/07/2020"/>
        <s v="27/08/2020"/>
        <s v="27/10/2020"/>
        <s v="27/11/2020"/>
        <s v="28/01/2020"/>
        <s v="28/02/2020"/>
        <s v="28/05/2020"/>
        <s v="28/07/2020"/>
        <s v="28/08/2020"/>
        <s v="28/09/2020"/>
        <s v="28/12/2020"/>
        <s v="29/01/2020"/>
        <s v="29/04/2020"/>
        <s v="29/05/2020"/>
        <s v="29/06/2020"/>
        <s v="29/07/2020"/>
        <s v="29/12/2020"/>
        <s v="30/01/2020"/>
        <s v="30/03/2020"/>
        <s v="30/04/2020"/>
        <s v="30/06/2020"/>
        <s v="30/07/2020"/>
        <s v="30/09/2020"/>
        <s v="30/10/2020"/>
        <s v="30/11/2020"/>
        <s v="30/12/2020"/>
        <s v="31/01/2020"/>
        <s v="31/03/2020"/>
        <s v="31/07/2020"/>
        <s v="31/08/2020"/>
        <s v="31/12/2020"/>
      </sharedItems>
    </cacheField>
    <cacheField name="lançamento" numFmtId="0">
      <sharedItems count="511">
        <s v="(-) SALDO A LIBERAR"/>
        <s v="APL APLIC AUT MAIS"/>
        <s v="BO  PROMOCAO PIX CADAST"/>
        <s v="CEI     000021 DINHEIRO"/>
        <s v="CXE     000026 SAQUE"/>
        <s v="CXE     000117 SAQUE"/>
        <s v="CXE     000133 SAQUE"/>
        <s v="CXE     000307 SAQUE"/>
        <s v="CXE     000331 SAQUE"/>
        <s v="CXE     000406 SAQUE"/>
        <s v="CXE     000554 SAQUE"/>
        <s v="CXE     000620 SAQUE"/>
        <s v="CXE     001966 SAQUE"/>
        <s v="CXE 000141 SAQUE 29/02"/>
        <s v="CXE 000273 SAQUE 22/02"/>
        <s v="CXE 000547 SAQUE 04/04"/>
        <s v="CXE 000646 SAQUE 22/03"/>
        <s v="CXE 000844 SAQUE 13/09"/>
        <s v="CXE 001370 SAQUE 07/03"/>
        <s v="CXE 001628 SAQUE 17/05"/>
        <s v="DEB AUTOR UNICEF"/>
        <s v="DOC 001.REST. IR"/>
        <s v="DOC INT 098997"/>
        <s v="DOC INT 381229"/>
        <s v="DOC INT 715961 BIO"/>
        <s v="ELECTRON2081  - PA"/>
        <s v="ELECTRONA R CONFECC"/>
        <s v="ELECTRONABDOU LAHAT"/>
        <s v="ELECTRONADEGA DO AL"/>
        <s v="ELECTRONADRIANO CHI"/>
        <s v="ELECTRONAGUA FRIA P"/>
        <s v="ELECTRONALTO DA SER"/>
        <s v="ELECTRONANDORINHA H"/>
        <s v="ELECTRONANDRE HIDEK"/>
        <s v="ELECTRONANTHONNY CA"/>
        <s v="ELECTRONANTONIO SER"/>
        <s v="ELECTRONARIANA DIAS"/>
        <s v="ELECTRONARIZONA PAE"/>
        <s v="ELECTRONARLINDO VAL"/>
        <s v="ELECTRONASSAI ATACA"/>
        <s v="ELECTRONATACADAO DA"/>
        <s v="ELECTRONAUTO POSTO"/>
        <s v="ELECTRONAUTOPASS"/>
        <s v="ELECTRONAVIGOS BEAU"/>
        <s v="ELECTRONB LA MILETT"/>
        <s v="ELECTRONBANCA DUDUC"/>
        <s v="ELECTRONBD"/>
        <s v="ELECTRONBELLA ATALI"/>
        <s v="ELECTRONBK SHOPPING"/>
        <s v="ELECTRONBOM FILET"/>
        <s v="ELECTRONBRILHO REAL"/>
        <s v="ELECTRONCANDYMELL"/>
        <s v="ELECTRONCANTAREIRA"/>
        <s v="ELECTRONCARLOS REIS"/>
        <s v="ELECTRONCASAS DE BO"/>
        <s v="ELECTRONCELEIRO DA"/>
        <s v="ELECTRONCENTRO AUTO"/>
        <s v="ELECTRONCENTURY PAE"/>
        <s v="ELECTRONCHICO HAMBU"/>
        <s v="ELECTRONCHOCO MIX"/>
        <s v="ELECTRONCLAUDIA KAN"/>
        <s v="ELECTRONCOM DE FRAN"/>
        <s v="ELECTRONCOZINHART E"/>
        <s v="ELECTRONDEPOSITO DO"/>
        <s v="ELECTRONDIA BRASIL"/>
        <s v="ELECTRONDIA FRANQUI"/>
        <s v="ELECTRONDIB FERNAND"/>
        <s v="ELECTRONDICICO TREM"/>
        <s v="ELECTRONDONAJU"/>
        <s v="ELECTRONDRIVE DUMON"/>
        <s v="ELECTRONDROG SAO PA"/>
        <s v="ELECTRONDROGARIA PR"/>
        <s v="ELECTRONDROGARIA SA"/>
        <s v="ELECTRONDROGARIA VE"/>
        <s v="ELECTRONDROGASIL 17"/>
        <s v="ELECTRONDV3"/>
        <s v="ELECTRONEDIVALDO PE"/>
        <s v="ELECTRONEMPORIO ROM"/>
        <s v="ELECTRONEURIPEDES D"/>
        <s v="ELECTRONEVANDRO G N"/>
        <s v="ELECTRONFAZ MASTER"/>
        <s v="ELECTRONFCIA PAGUE"/>
        <s v="ELECTRONFEIRANTE"/>
        <s v="ELECTRONFENIX INDUS"/>
        <s v="ELECTRONFERNANDA GO"/>
        <s v="ELECTRONFERNANDA VA"/>
        <s v="ELECTRONFOTOMANIA"/>
        <s v="ELECTRONFRANGOS E V"/>
        <s v="ELECTRONFURACAO DA"/>
        <s v="ELECTRONGABRIELLA C"/>
        <s v="ELECTRONGATA TOP"/>
        <s v="ELECTRONGRAO ESPRES"/>
        <s v="ELECTRONHABIB S"/>
        <s v="ELECTRONHABIBS"/>
        <s v="ELECTRONHEROES PLAY"/>
        <s v="ELECTRONHORTIFRUTI"/>
        <s v="ELECTRONI9PARK ESTA"/>
        <s v="ELECTRONIMW 3 R VIL"/>
        <s v="ELECTRONINDIGO"/>
        <s v="ELECTRONIRMAOS BAST"/>
        <s v="ELECTRONJ A SABAO C"/>
        <s v="ELECTRONJ E VERDURA"/>
        <s v="ELECTRONJAILSON BAL"/>
        <s v="ELECTRONJARDIM MODA"/>
        <s v="ELECTRONJOHNNYS 535"/>
        <s v="ELECTRONJOSEFA MARL"/>
        <s v="ELECTRONKALUNGA NOV"/>
        <s v="ELECTRONLAVANDERIA"/>
        <s v="ELECTRONLEVI DA SIL"/>
        <s v="ELECTRONLINDA VIVI"/>
        <s v="ELECTRONLinxPay*AUT"/>
        <s v="ELECTRONLIVORNO EXP"/>
        <s v="ELECTRONLJ 17 GLOBA"/>
        <s v="ELECTRONLOBO DO REA"/>
        <s v="ELECTRONLOIRASSA BA"/>
        <s v="ELECTRONLOJA PROGRE"/>
        <s v="ELECTRONLOJAS AMERI"/>
        <s v="ELECTRONLOJASMEL SA"/>
        <s v="ELECTRONM A KOCH LA"/>
        <s v="ELECTRONM S H"/>
        <s v="ELECTRONMAHAL LANCH"/>
        <s v="ELECTRONMARCELO ROD"/>
        <s v="ELECTRONMARCO ANTON"/>
        <s v="ELECTRONMARELLAS CA"/>
        <s v="ELECTRONMARIA AMALI"/>
        <s v="ELECTRONMARIA LUCIA"/>
        <s v="ELECTRONMARTINS &amp; R"/>
        <s v="ELECTRONMAYARA SEGA"/>
        <s v="ELECTRONMC DONALDS"/>
        <s v="ELECTRONMERCADOCAR"/>
        <s v="ELECTRONMERCADOPAGO"/>
        <s v="ELECTRONMERCPAGO"/>
        <s v="ELECTRONMEU CHAPA B"/>
        <s v="ELECTRONMG COMERCIO"/>
        <s v="ELECTRONMILK SHAKE"/>
        <s v="ELECTRONMILLENIUM P"/>
        <s v="ELECTRONMINIMERCADO"/>
        <s v="ELECTRONMOBILE MANI"/>
        <s v="ELECTRONMOCOTO REST"/>
        <s v="ELECTRONMUNDIAL CAL"/>
        <s v="ELECTRONMUNDIAL LJ"/>
        <s v="ELECTRONNZLOG"/>
        <s v="ELECTRONO REI 1"/>
        <s v="ELECTRONOURINHOS SU"/>
        <s v="ELECTRONP3 PAPELARI"/>
        <s v="ELECTRONPAD CONF JD"/>
        <s v="ELECTRONPADARIA PAL"/>
        <s v="ELECTRONPAG*ADRIANA"/>
        <s v="ELECTRONPAG*AirtonA"/>
        <s v="ELECTRONPAG*ANDERSO"/>
        <s v="ELECTRONPAG*Antonio"/>
        <s v="ELECTRONPAG*bancado"/>
        <s v="ELECTRONPAG*BarDoMa"/>
        <s v="ELECTRONPAG*BOMBONI"/>
        <s v="ELECTRONPAG*CaioVin"/>
        <s v="ELECTRONPAG*CamilaT"/>
        <s v="ELECTRONPAG*CarlaGo"/>
        <s v="ELECTRONPAG*Chaveir"/>
        <s v="ELECTRONPAG*ChinaPe"/>
        <s v="ELECTRONPAG*CiceroF"/>
        <s v="ELECTRONPAG*CleliaA"/>
        <s v="ELECTRONPAG*Crispin"/>
        <s v="ELECTRONPAG*DanielF"/>
        <s v="ELECTRONPAG*Danubia"/>
        <s v="ELECTRONPAG*diegoej"/>
        <s v="ELECTRONPAG*Eduardo"/>
        <s v="ELECTRONPAG*Familia"/>
        <s v="ELECTRONPAG*FarmaEF"/>
        <s v="ELECTRONPAG*Frigott"/>
        <s v="ELECTRONPAG*galasso"/>
        <s v="ELECTRONPAG*Geraldo"/>
        <s v="ELECTRONPAG*HajimeT"/>
        <s v="ELECTRONPAG*HiroCal"/>
        <s v="ELECTRONPAG*hprospe"/>
        <s v="ELECTRONPAG*Joseane"/>
        <s v="ELECTRONPAG*Marcelo"/>
        <s v="ELECTRONPAG*MariaAp"/>
        <s v="ELECTRONPAG*Mercado"/>
        <s v="ELECTRONPAG*Natalia"/>
        <s v="ELECTRONPAG*OPESCAD"/>
        <s v="ELECTRONPAG*PerfecS"/>
        <s v="ELECTRONPAG*Phoenix"/>
        <s v="ELECTRONPAG*RafaelF"/>
        <s v="ELECTRONPAG*RegisRe"/>
        <s v="ELECTRONPAG*Rosange"/>
        <s v="ELECTRONPAG*SempreB"/>
        <s v="ELECTRONPAG*SERGIOY"/>
        <s v="ELECTRONPAG*Severin"/>
        <s v="ELECTRONPAG*SrDaMan"/>
        <s v="ELECTRONPAG*Valdeci"/>
        <s v="ELECTRONPAG*Verdura"/>
        <s v="ELECTRONPAG*VictorM"/>
        <s v="ELECTRONPAG*WpaperM"/>
        <s v="ELECTRONPARK NOW ES"/>
        <s v="ELECTRONPARK PLACE"/>
        <s v="ELECTRONPASTEIS M M"/>
        <s v="ELECTRONPASTEIS NIS"/>
        <s v="ELECTRONPASTEIS TAN"/>
        <s v="ELECTRONPERFUMARIA"/>
        <s v="ELECTRONPERTO"/>
        <s v="ELECTRONPERTO METRO"/>
        <s v="ELECTRONPIZZA DELIG"/>
        <s v="ELECTRONPLAYCENTER"/>
        <s v="ELECTRONPLAYLAND -"/>
        <s v="ELECTRONPOINT DO SU"/>
        <s v="ELECTRONPOSTO FLORI"/>
        <s v="ELECTRONPOSTO M G M"/>
        <s v="ELECTRONPROMO FARMA"/>
        <s v="ELECTRONPROMOFARMA"/>
        <s v="ELECTRONQUITANDA ME"/>
        <s v="ELECTRONR C P FARMA"/>
        <s v="ELECTRONR M SHIMABU"/>
        <s v="ELECTRONRAGAZZO CAE"/>
        <s v="ELECTRONRAIA 133"/>
        <s v="ELECTRONRAIA 47"/>
        <s v="ELECTRONRAVIOLITALI"/>
        <s v="ELECTRONREDE DE CAR"/>
        <s v="ELECTRONREINALDO DE"/>
        <s v="ELECTRONRETRO EXPLO"/>
        <s v="ELECTRONRICARDO VIA"/>
        <s v="ELECTRONROTA CANTAR"/>
        <s v="ELECTRONRRM EST E G"/>
        <s v="ELECTRONRUFPLAST"/>
        <s v="ELECTRONRUMO LESTE"/>
        <s v="ELECTRONRYMA MINI M"/>
        <s v="ELECTRONS KOMESU MA"/>
        <s v="ELECTRONSANDROHAIR"/>
        <s v="ELECTRONSANTANA DRI"/>
        <s v="ELECTRONSANTO GOLE"/>
        <s v="ELECTRONSARA MARIA"/>
        <s v="ELECTRONSERGIO EIZO"/>
        <s v="ELECTRONSESTINI"/>
        <s v="ELECTRONSHOKITI"/>
        <s v="ELECTRONSILVIO NAKA"/>
        <s v="ELECTRONSONDA JACAN"/>
        <s v="ELECTRONSONDA TREME"/>
        <s v="ELECTRONSONEDA PERF"/>
        <s v="ELECTRONSONIA NORIK"/>
        <s v="ELECTRONSTELO S A *"/>
        <s v="ELECTRONSTELO S A*R"/>
        <s v="ELECTRONSTELO*Banca"/>
        <s v="ELECTRONSTELO*MARIO"/>
        <s v="ELECTRONSUA ACADEMI"/>
        <s v="ELECTRONSUBWAY ARIC"/>
        <s v="ELECTRONSUELICATESS"/>
        <s v="ELECTRONSUN MARINA"/>
        <s v="ELECTRONSUPERMERCAD"/>
        <s v="ELECTRONTIAGO COELH"/>
        <s v="ELECTRONTORRA TORRA"/>
        <s v="ELECTRONTRIMAIS SUP"/>
        <s v="ELECTRONTTOMATOES"/>
        <s v="ELECTRONUNIDOS DA V"/>
        <s v="ELECTRONVALENS BAR"/>
        <s v="ELECTRONVARANDA FRU"/>
        <s v="ELECTRONVG CELULARE"/>
        <s v="ELECTRONVILACHIC"/>
        <s v="ELECTRONVITORIA BAB"/>
        <s v="ELECTRONVON BEBEER"/>
        <s v="ELECTRONWF SPORTS"/>
        <s v="EST PIX TF  FRANCISCO"/>
        <s v="INT  PAG TIT BANCO 001"/>
        <s v="INT  PAG TIT BANCO 033"/>
        <s v="INT  PAG TIT BANCO 237"/>
        <s v="INT DOC 260000135246778"/>
        <s v="INT DPVAT-SP HOH-6396"/>
        <s v="INT IPVA-SP HOH-6396"/>
        <s v="INT ITAUCARD"/>
        <s v="INT NET SERV COMUNICAC 4"/>
        <s v="INT NEXTEL 9099999708303"/>
        <s v="INT NEXTEL 9099999730370"/>
        <s v="INT NEXTEL 9099999739334"/>
        <s v="INT NEXTEL 9199999691464"/>
        <s v="INT NEXTEL 9199999730370"/>
        <s v="INT NEXTEL 9199999739334"/>
        <s v="INT NEXTEL 9299999693841"/>
        <s v="INT NEXTEL 9299999721677"/>
        <s v="INT NEXTEL 9399999691464"/>
        <s v="INT NEXTEL 9399999708378"/>
        <s v="INT NEXTEL 9399999712769"/>
        <s v="INT NEXTEL 9399999712844"/>
        <s v="INT NEXTEL 9499999717361"/>
        <s v="INT NEXTEL 9599999726182"/>
        <s v="INT NEXTEL 9699999703948"/>
        <s v="INT NEXTEL 9699999704015"/>
        <s v="INT NEXTEL 9699999717361"/>
        <s v="INT NEXTEL 9799999699806"/>
        <s v="INT NEXTEL 9899999726181"/>
        <s v="INT NEXTEL 9999999721700"/>
        <s v="INT NEXTEL 9999999734880"/>
        <s v="INT PAG TIT 109000333418"/>
        <s v="INT PAG TIT 109001140044"/>
        <s v="INT PAG TIT 109001179554"/>
        <s v="INT PAG TIT 109016422561"/>
        <s v="INT PAG TIT 109022757711"/>
        <s v="INT PAG TIT 109027453506"/>
        <s v="INT PAG TIT 109032617590"/>
        <s v="INT PAG TIT 109804018839"/>
        <s v="INT PAG TIT 176008796308"/>
        <s v="INT TED  040954 SEMINRI"/>
        <s v="INT TED  160641 SEGURO"/>
        <s v="INT TED  189541 SEMI"/>
        <s v="INT TED  207161"/>
        <s v="INT TED  225223 SEMINRI"/>
        <s v="INT TED  280351"/>
        <s v="INT TED  297949"/>
        <s v="INT TED  298568"/>
        <s v="INT TED  2b3f06e0"/>
        <s v="INT TED  451045 DOMINGOS"/>
        <s v="INT TED  491869"/>
        <s v="INT TED  498255 SEMI"/>
        <s v="INT TED  511000"/>
        <s v="INT TED  513437 SEMI"/>
        <s v="INT TED  554013 SEMI"/>
        <s v="INT TED  561369 SEMI"/>
        <s v="INT TED  ad435a8c"/>
        <s v="INT TED 033072610089869"/>
        <s v="INT TED 104354400005640"/>
        <s v="INT TED 212000112860972"/>
        <s v="INT TED 237274100473111"/>
        <s v="INT TED 237284600601853"/>
        <s v="INT TED D   404795 SEGUR"/>
        <s v="IOF"/>
        <s v="LIS/JUROS     12 DIAS"/>
        <s v="LIS/JUROS     14 DIAS"/>
        <s v="LIS/JUROS     17 DIAS"/>
        <s v="PIX TRANSF  FRANCIS26/11"/>
        <s v="REND PAGO APLIC AUT MAIS"/>
        <s v="RES APLIC AUT MAIS"/>
        <s v="RSHOP-ADEGA DO AL-18/04"/>
        <s v="RSHOP-ANDORINHA H-30/04"/>
        <s v="RSHOP-ARBYS SUPER-26/04"/>
        <s v="RSHOP-ARIZONA PAE-13/04"/>
        <s v="RSHOP-ARIZONA PAE-15/04"/>
        <s v="RSHOP-ARIZONA PAE-18/04"/>
        <s v="RSHOP-ARIZONA PAE-21/04"/>
        <s v="RSHOP-ARIZONA PAE-23/04"/>
        <s v="RSHOP-ARIZONA PAE-27/04"/>
        <s v="RSHOP-AUTO POSTO -04/04"/>
        <s v="RSHOP-AUTO POSTO -09/04"/>
        <s v="RSHOP-AUTO POSTO -24/04"/>
        <s v="RSHOP-AUTO POSTO -26/04"/>
        <s v="RSHOP-AUTOPASS   -06/03"/>
        <s v="RSHOP-CHOCOLATES -12/04"/>
        <s v="RSHOP-CIA DA LAGO-21/03"/>
        <s v="RSHOP-COMANDO JOV-16/04"/>
        <s v="RSHOP-COMERCIO DE-16/04"/>
        <s v="RSHOP-DICICO TREM-04/04"/>
        <s v="RSHOP-DOM JOSE   -04/04"/>
        <s v="RSHOP-DROGARIA MA-19/04"/>
        <s v="RSHOP-DROGARIA MA-29/03"/>
        <s v="RSHOP-DROGARIA NO-04/04"/>
        <s v="RSHOP-DROGARIA PR-01/04"/>
        <s v="RSHOP-DROGARIA PR-06/04"/>
        <s v="RSHOP-DROGARIA PR-07/03"/>
        <s v="RSHOP-DROGARIA PR-11/04"/>
        <s v="RSHOP-DROGARIA PR-17/04"/>
        <s v="RSHOP-DROGARIA PR-23/03"/>
        <s v="RSHOP-DROGARIA PR-24/03"/>
        <s v="RSHOP-DROGARIA PR-27/04"/>
        <s v="RSHOP-ECIVALDO CA-16/04"/>
        <s v="RSHOP-ESPETO DO V-11/04"/>
        <s v="RSHOP-EVANDRO G N-19/04"/>
        <s v="RSHOP-FARMAVAN XI-18/04"/>
        <s v="RSHOP-FEIRANTE   -29/03"/>
        <s v="RSHOP-HABIBS     -14/04"/>
        <s v="RSHOP-HORTIFRUTI -04/04"/>
        <s v="RSHOP-IRA CAVALCA-16/03"/>
        <s v="RSHOP-KETENE     -15/03"/>
        <s v="RSHOP-LEROY MERLI-25/04"/>
        <s v="RSHOP-LEROY MERLI-29/04"/>
        <s v="RSHOP-LEVI DA SIL-04/04"/>
        <s v="RSHOP-LGA LANCHON-14/03"/>
        <s v="RSHOP-LOJAS AMERI-03/04"/>
        <s v="RSHOP-LOJAS AMERI-03/05"/>
        <s v="RSHOP-LOJAS BECKE-07/03"/>
        <s v="RSHOP-LOJAS RENNE-11/03"/>
        <s v="RSHOP-M A KOCH LA-04/04"/>
        <s v="RSHOP-MARTINS &amp; R-03/04"/>
        <s v="RSHOP-MC DONALDS -12/03"/>
        <s v="RSHOP-MC DONALDS -25/04"/>
        <s v="RSHOP-MERCADINHO -03/05"/>
        <s v="RSHOP-MERCADINHO -04/04"/>
        <s v="RSHOP-MERCADINHO -24/04"/>
        <s v="RSHOP-OURINHOS SU-18/04"/>
        <s v="RSHOP-PADARIA NOV-12/04"/>
        <s v="RSHOP-PAG*barraca-25/03"/>
        <s v="RSHOP-PAG*CleliaA-29/03"/>
        <s v="RSHOP-PAG*diegoej-16/04"/>
        <s v="RSHOP-PAG*FarmaEF-15/04"/>
        <s v="RSHOP-PAG*Frigott-22/03"/>
        <s v="RSHOP-PAG*Givaldo-17/03"/>
        <s v="RSHOP-PAG*IgorDeA-25/04"/>
        <s v="RSHOP-PAG*JoseGil-12/04"/>
        <s v="RSHOP-PAG*MarcosD-01/05"/>
        <s v="RSHOP-PAG*PointDo-13/03"/>
        <s v="RSHOP-PAG*RafaelF-29/03"/>
        <s v="RSHOP-PAG*Restaur-19/03"/>
        <s v="RSHOP-PAG*Sebasti-18/03"/>
        <s v="RSHOP-PAG*Taylane-16/04"/>
        <s v="RSHOP-PAG*WpaperM-13/03"/>
        <s v="RSHOP-PAO TO GO  -13/03"/>
        <s v="RSHOP-PASTEIS M M-30/04"/>
        <s v="RSHOP-PASTEIS YAS-30/04"/>
        <s v="RSHOP-PERTO METRO-10/03"/>
        <s v="RSHOP-POSTO AMMA -04/05"/>
        <s v="RSHOP-POSTO FLORI-28/03"/>
        <s v="RSHOP-PRINCESA DA-13/03"/>
        <s v="RSHOP-RAIA 153   -04/04"/>
        <s v="RSHOP-RAIA 47    -03/04"/>
        <s v="RSHOP-RAIA 47    -27/04"/>
        <s v="RSHOP-RIACHUELO 1-11/03"/>
        <s v="RSHOP-SANTA FE   -11/03"/>
        <s v="RSHOP-SHOKITI    -10/03"/>
        <s v="RSHOP-SHOKITI    -13/03"/>
        <s v="RSHOP-SONDA JACAN-12/04"/>
        <s v="RSHOP-SONDA JACAN-14/04"/>
        <s v="RSHOP-SONDA JACAN-19/04"/>
        <s v="RSHOP-SONDA JACAN-22/03"/>
        <s v="RSHOP-SONDA JACAN-23/03"/>
        <s v="RSHOP-SONDA JACAN-29/03"/>
        <s v="RSHOP-SONDA TREME-03/04"/>
        <s v="RSHOP-SONDA TREME-04/04"/>
        <s v="RSHOP-SONDA TREME-05/04"/>
        <s v="RSHOP-SONDA TREME-06/04"/>
        <s v="RSHOP-SONDA TREME-07/04"/>
        <s v="RSHOP-SONDA TREME-12/03"/>
        <s v="RSHOP-SONDA TREME-22/03"/>
        <s v="RSHOP-SONDA TREME-23/03"/>
        <s v="RSHOP-SONDA TREME-25/04"/>
        <s v="RSHOP-SONDA TREME-28/03"/>
        <s v="RSHOP-SONDA TREME-31/03"/>
        <s v="RSHOP-STELO S A *-02/05"/>
        <s v="RSHOP-STELO*MARIO-12/04"/>
        <s v="RSHOP-SUPERMAR   -19/03"/>
        <s v="RSHOP-SWIFT NOVA -01/04"/>
        <s v="RSHOP-ZP *CICERO -18/03"/>
        <s v="SALDO ANTERIOR"/>
        <s v="SALDO APLIC AUT MAIS"/>
        <s v="SALDO DO DIA"/>
        <s v="SALDO FINAL"/>
        <s v="SALDO FINAL DEVEDOR"/>
        <s v="SALDO INICIAL"/>
        <s v="SALDO PARCIAL"/>
        <s v="SAQUE 24H 02727261"/>
        <s v="SAQUE 24H 03668290 05/12"/>
        <s v="SAQUE 24H 03724580"/>
        <s v="SAQUE 24H 08741753 24/05"/>
        <s v="SAQUE 24H 08799322 28/06"/>
        <s v="SAQUE 24H 09674540 19/09"/>
        <s v="SAQUE 24H 09919556 26/07"/>
        <s v="SAQUE 24H 10350379 23/08"/>
        <s v="SAQUE 24H 10588358 13/09"/>
        <s v="SAQUE 24H 10705093 25/10"/>
        <s v="SAQUE 24H 10744894 27/09"/>
        <s v="SAQUE 24H 10992964 12/07"/>
        <s v="SAQUE 24H 11143138 14/06"/>
        <s v="SAQUE 24H 11269792 16/08"/>
        <s v="SAQUE 24H 11661220 21/06"/>
        <s v="SAQUE 24H 12468625 15/11"/>
        <s v="SAQUE 24H 12686085 30/08"/>
        <s v="SAQUE 24H 12755310 11/10"/>
        <s v="SAQUE 24H 12883500 13/12"/>
        <s v="SAQUE 24H 13727318 01/11"/>
        <s v="SAQUE 24H 13784251 05/07"/>
        <s v="SAQUE 24H 14082226 04/10"/>
        <s v="SAQUE 24H 14645709 07/06"/>
        <s v="SAQUE 24H 15720220 29/11"/>
        <s v="SAQUE 24H 16358012 06/09"/>
        <s v="SAQUE 24H 16554123 20/12"/>
        <s v="SAQUE 24H 17920331 08/11"/>
        <s v="SAQUE 24H 18334508 06/12"/>
        <s v="SAQUE 24H 18568832"/>
        <s v="SAQUE CARTAO MAGNETICO"/>
        <s v="SAQUE S/CARTAO 24H109864"/>
        <s v="SDO CTA/APL AUTOMATICAS"/>
        <s v="SEGURO AUTO"/>
        <s v="SEGURO CARTAO"/>
        <s v="TAR PACOTE ITAU   ABR/20"/>
        <s v="TAR PACOTE ITAU   AGO/20"/>
        <s v="TAR PACOTE ITAU   DEZ/19"/>
        <s v="TAR PACOTE ITAU   FEV/20"/>
        <s v="TAR PACOTE ITAU   JAN/20"/>
        <s v="TAR PACOTE ITAU   JUL/20"/>
        <s v="TAR PACOTE ITAU   JUN/20"/>
        <s v="TAR PACOTE ITAU   MAI/20"/>
        <s v="TAR PACOTE ITAU   MAR/20"/>
        <s v="TAR PACOTE ITAU   NOV/20"/>
        <s v="TAR PACOTE ITAU   OUT/20"/>
        <s v="TAR PACOTE ITAU   SET/20"/>
        <s v="TBI 0057.13714-3     C/C"/>
        <s v="TBI 0057.13714-3DILSHAD"/>
        <s v="TBI 0190.72508-5     C/C"/>
        <s v="TBI 0534.18071-6     C/C"/>
        <s v="TBI 0745.13546-7     C/C"/>
        <s v="TBI 0746.65425-0CREC"/>
        <s v="TBI 0747.56106-6"/>
        <s v="TBI 0747.56106-6     C/C"/>
        <s v="TBI 1491.48993-4     C/C"/>
        <s v="TBI 1491.48993-4michelle"/>
        <s v="TBI 2948.08717-2     C/C"/>
        <s v="TBI 2959.24196-5"/>
        <s v="TBI 2959.24196-5     C/C"/>
        <s v="TBI 4833.46062-1/500"/>
        <s v="TBI 7129.17425-1"/>
        <s v="TBI 7633.10704-514522"/>
        <s v="TBI 9293.22915-0/500"/>
        <s v="TEC DEPOSITO DINHEIRO"/>
        <s v="TED 237.0001BRADESCO SAU"/>
        <s v="TED 237.2846ANDRE N BARB"/>
        <s v="TED 260.0001ANDERSON A S"/>
        <s v="TED 340.0000SAMUEL JOSE"/>
      </sharedItems>
    </cacheField>
    <cacheField name="ag./origem" numFmtId="0">
      <sharedItems containsBlank="1" count="22">
        <s v="0728"/>
        <s v="0748"/>
        <s v="0762"/>
        <s v="1024"/>
        <s v="3036"/>
        <s v="3130"/>
        <s v="4175"/>
        <s v="5086"/>
        <s v="5934"/>
        <s v="6254"/>
        <s v="6855"/>
        <s v="9028"/>
        <s v="9120"/>
        <s v="9125"/>
        <s v="9129"/>
        <s v="9130"/>
        <s v="9132"/>
        <s v="9136"/>
        <s v="9212"/>
        <s v="9293"/>
        <s v="9779"/>
        <m/>
      </sharedItems>
    </cacheField>
    <cacheField name="valor (R$)" numFmtId="0">
      <sharedItems containsSemiMixedTypes="0" containsString="0" containsNumber="1" minValue="-8237.5" maxValue="10976.56" count="838">
        <n v="-8237.5"/>
        <n v="-7000"/>
        <n v="-5558.24"/>
        <n v="-5000"/>
        <n v="-4992.46"/>
        <n v="-4018.57"/>
        <n v="-3946.04"/>
        <n v="-3859.33"/>
        <n v="-3164.72"/>
        <n v="-3009.75"/>
        <n v="-3000"/>
        <n v="-2972.19"/>
        <n v="-2923.72"/>
        <n v="-2912.75"/>
        <n v="-2800"/>
        <n v="-2700"/>
        <n v="-2615.49"/>
        <n v="-2552.79"/>
        <n v="-2239.32"/>
        <n v="-2130.06"/>
        <n v="-2000"/>
        <n v="-1662.62"/>
        <n v="-1662.2"/>
        <n v="-1567.25"/>
        <n v="-1542.73"/>
        <n v="-1485.2"/>
        <n v="-1477.7"/>
        <n v="-1414.56"/>
        <n v="-1389.66"/>
        <n v="-1384.53"/>
        <n v="-1382.86"/>
        <n v="-1233.47"/>
        <n v="-1208.44"/>
        <n v="-1111.34"/>
        <n v="-1087.47"/>
        <n v="-1078.74"/>
        <n v="-1055.32"/>
        <n v="-1045.07"/>
        <n v="-1036.34"/>
        <n v="-1000"/>
        <n v="-940"/>
        <n v="-877.11"/>
        <n v="-865.86"/>
        <n v="-834.39"/>
        <n v="-814.18"/>
        <n v="-809.18"/>
        <n v="-803.04"/>
        <n v="-800"/>
        <n v="-779.18"/>
        <n v="-753.86"/>
        <n v="-749.66"/>
        <n v="-748.35"/>
        <n v="-746.84"/>
        <n v="-715.82"/>
        <n v="-700"/>
        <n v="-664.9"/>
        <n v="-638.24"/>
        <n v="-601.24"/>
        <n v="-597.42"/>
        <n v="-569.07"/>
        <n v="-567.76"/>
        <n v="-567"/>
        <n v="-566.82"/>
        <n v="-549.13"/>
        <n v="-546.36"/>
        <n v="-545.45"/>
        <n v="-542.99"/>
        <n v="-534.37"/>
        <n v="-500"/>
        <n v="-473.45"/>
        <n v="-435.49"/>
        <n v="-431.12"/>
        <n v="-422"/>
        <n v="-421.83"/>
        <n v="-419.87"/>
        <n v="-414.21"/>
        <n v="-410.83"/>
        <n v="-400"/>
        <n v="-393.14"/>
        <n v="-360.77"/>
        <n v="-352.18"/>
        <n v="-351.87"/>
        <n v="-347.6"/>
        <n v="-346.32"/>
        <n v="-338"/>
        <n v="-335.36"/>
        <n v="-320"/>
        <n v="-317.9"/>
        <n v="-309.24"/>
        <n v="-302.61"/>
        <n v="-293.98"/>
        <n v="-285.44"/>
        <n v="-283.5"/>
        <n v="-283"/>
        <n v="-282.07"/>
        <n v="-270"/>
        <n v="-262.04"/>
        <n v="-261"/>
        <n v="-257.25"/>
        <n v="-251.44"/>
        <n v="-251.16"/>
        <n v="-248.09"/>
        <n v="-240"/>
        <n v="-236.73"/>
        <n v="-232.82"/>
        <n v="-231.95"/>
        <n v="-230.29"/>
        <n v="-225.53"/>
        <n v="-219.4"/>
        <n v="-217.29"/>
        <n v="-209.78"/>
        <n v="-208.44"/>
        <n v="-204.21"/>
        <n v="-203.27"/>
        <n v="-200"/>
        <n v="-198.79"/>
        <n v="-198.13"/>
        <n v="-198"/>
        <n v="-197.78"/>
        <n v="-197.75"/>
        <n v="-197.59"/>
        <n v="-197.54"/>
        <n v="-195.83"/>
        <n v="-195.82"/>
        <n v="-194"/>
        <n v="-189.39"/>
        <n v="-184.71"/>
        <n v="-183.48"/>
        <n v="-182.62"/>
        <n v="-182.17"/>
        <n v="-179.51"/>
        <n v="-178"/>
        <n v="-176.6"/>
        <n v="-173.6"/>
        <n v="-173.52"/>
        <n v="-172"/>
        <n v="-170.97"/>
        <n v="-170"/>
        <n v="-164.94"/>
        <n v="-164.92"/>
        <n v="-161.2"/>
        <n v="-157.9"/>
        <n v="-153.56"/>
        <n v="-150"/>
        <n v="-145.45"/>
        <n v="-145.27"/>
        <n v="-144.47"/>
        <n v="-143.13"/>
        <n v="-141"/>
        <n v="-140.95"/>
        <n v="-140.08"/>
        <n v="-135.18"/>
        <n v="-133.1"/>
        <n v="-132.01"/>
        <n v="-130.97"/>
        <n v="-130.53"/>
        <n v="-130"/>
        <n v="-129.11"/>
        <n v="-129"/>
        <n v="-128.55"/>
        <n v="-126.92"/>
        <n v="-125.74"/>
        <n v="-125.11"/>
        <n v="-125"/>
        <n v="-121.5"/>
        <n v="-120.17"/>
        <n v="-119.63"/>
        <n v="-118.25"/>
        <n v="-117.29"/>
        <n v="-115.28"/>
        <n v="-114"/>
        <n v="-113.66"/>
        <n v="-111.18"/>
        <n v="-110"/>
        <n v="-109.7"/>
        <n v="-108.06"/>
        <n v="-107"/>
        <n v="-106.1"/>
        <n v="-105.89"/>
        <n v="-104.37"/>
        <n v="-103.8"/>
        <n v="-102.6"/>
        <n v="-102.29"/>
        <n v="-100.8"/>
        <n v="-100.66"/>
        <n v="-100"/>
        <n v="-99.11"/>
        <n v="-97.37"/>
        <n v="-97"/>
        <n v="-95.99"/>
        <n v="-95.16"/>
        <n v="-93.98"/>
        <n v="-93.87"/>
        <n v="-93.2"/>
        <n v="-93.17"/>
        <n v="-92.33"/>
        <n v="-92.16"/>
        <n v="-92.09"/>
        <n v="-91.95"/>
        <n v="-90"/>
        <n v="-88.72"/>
        <n v="-88"/>
        <n v="-86.74"/>
        <n v="-86.19"/>
        <n v="-85"/>
        <n v="-84.26"/>
        <n v="-83"/>
        <n v="-82.19"/>
        <n v="-81.47"/>
        <n v="-81"/>
        <n v="-80.8"/>
        <n v="-80.44"/>
        <n v="-80.2"/>
        <n v="-80.13"/>
        <n v="-80"/>
        <n v="-79.98"/>
        <n v="-79.5"/>
        <n v="-79.21"/>
        <n v="-78.52"/>
        <n v="-77.74"/>
        <n v="-76.98"/>
        <n v="-76.9"/>
        <n v="-76.77"/>
        <n v="-76.07"/>
        <n v="-75.56"/>
        <n v="-75.48"/>
        <n v="-75.01"/>
        <n v="-75"/>
        <n v="-74.58"/>
        <n v="-72.96"/>
        <n v="-72.16"/>
        <n v="-72"/>
        <n v="-71.42"/>
        <n v="-71.36"/>
        <n v="-70.96"/>
        <n v="-69.36"/>
        <n v="-67"/>
        <n v="-65.6"/>
        <n v="-64.97"/>
        <n v="-64.8"/>
        <n v="-64.56"/>
        <n v="-63.97"/>
        <n v="-63.79"/>
        <n v="-63.48"/>
        <n v="-62.58"/>
        <n v="-62.34"/>
        <n v="-61.44"/>
        <n v="-61.3"/>
        <n v="-61.29"/>
        <n v="-61.18"/>
        <n v="-60.47"/>
        <n v="-60.23"/>
        <n v="-60"/>
        <n v="-59.99"/>
        <n v="-59.87"/>
        <n v="-59.61"/>
        <n v="-58.61"/>
        <n v="-57.73"/>
        <n v="-57.35"/>
        <n v="-57"/>
        <n v="-56.44"/>
        <n v="-56.23"/>
        <n v="-56.15"/>
        <n v="-56"/>
        <n v="-55.69"/>
        <n v="-55.5"/>
        <n v="-55.38"/>
        <n v="-55.02"/>
        <n v="-55"/>
        <n v="-54.57"/>
        <n v="-54.33"/>
        <n v="-54.26"/>
        <n v="-53.19"/>
        <n v="-52.99"/>
        <n v="-51.95"/>
        <n v="-51.8"/>
        <n v="-51"/>
        <n v="-50.96"/>
        <n v="-50.35"/>
        <n v="-50"/>
        <n v="-49.99"/>
        <n v="-49.9"/>
        <n v="-49.5"/>
        <n v="-49.35"/>
        <n v="-48.93"/>
        <n v="-48.49"/>
        <n v="-48.47"/>
        <n v="-48.28"/>
        <n v="-48.2"/>
        <n v="-48"/>
        <n v="-47.96"/>
        <n v="-47.7"/>
        <n v="-47.45"/>
        <n v="-47.14"/>
        <n v="-46.47"/>
        <n v="-46.4"/>
        <n v="-45.94"/>
        <n v="-45.5"/>
        <n v="-45.3"/>
        <n v="-45"/>
        <n v="-44"/>
        <n v="-43.98"/>
        <n v="-43.68"/>
        <n v="-43.59"/>
        <n v="-43.44"/>
        <n v="-43.26"/>
        <n v="-43"/>
        <n v="-42.64"/>
        <n v="-42.58"/>
        <n v="-42.54"/>
        <n v="-42.19"/>
        <n v="-42"/>
        <n v="-41.97"/>
        <n v="-41.62"/>
        <n v="-41"/>
        <n v="-40.7"/>
        <n v="-40.19"/>
        <n v="-40.14"/>
        <n v="-40"/>
        <n v="-39.99"/>
        <n v="-39.9"/>
        <n v="-39.73"/>
        <n v="-39.61"/>
        <n v="-39.6"/>
        <n v="-39.26"/>
        <n v="-39.14"/>
        <n v="-38.98"/>
        <n v="-38.96"/>
        <n v="-38.85"/>
        <n v="-38.21"/>
        <n v="-38.15"/>
        <n v="-37.98"/>
        <n v="-37.5"/>
        <n v="-37"/>
        <n v="-36.57"/>
        <n v="-36.46"/>
        <n v="-36.29"/>
        <n v="-35.9"/>
        <n v="-35.86"/>
        <n v="-35.8"/>
        <n v="-35.7"/>
        <n v="-35.54"/>
        <n v="-35.04"/>
        <n v="-35"/>
        <n v="-34.99"/>
        <n v="-34.91"/>
        <n v="-34.7"/>
        <n v="-34.36"/>
        <n v="-34"/>
        <n v="-33.68"/>
        <n v="-33.32"/>
        <n v="-33"/>
        <n v="-32.99"/>
        <n v="-32.59"/>
        <n v="-32.5"/>
        <n v="-32.2"/>
        <n v="-32"/>
        <n v="-31.98"/>
        <n v="-31.87"/>
        <n v="-31.61"/>
        <n v="-31.6"/>
        <n v="-31.58"/>
        <n v="-31.37"/>
        <n v="-31.16"/>
        <n v="-31.14"/>
        <n v="-31.05"/>
        <n v="-30.8"/>
        <n v="-30"/>
        <n v="-29.97"/>
        <n v="-29.9"/>
        <n v="-29.88"/>
        <n v="-29.68"/>
        <n v="-29.65"/>
        <n v="-29.5"/>
        <n v="-29"/>
        <n v="-28.91"/>
        <n v="-28.4"/>
        <n v="-28.31"/>
        <n v="-28.29"/>
        <n v="-28"/>
        <n v="-27.59"/>
        <n v="-27.49"/>
        <n v="-27.32"/>
        <n v="-27.29"/>
        <n v="-27.2"/>
        <n v="-27.17"/>
        <n v="-27.11"/>
        <n v="-27"/>
        <n v="-26.8"/>
        <n v="-26.3"/>
        <n v="-26.08"/>
        <n v="-25.9"/>
        <n v="-25.8"/>
        <n v="-25.5"/>
        <n v="-25.42"/>
        <n v="-25.38"/>
        <n v="-25.32"/>
        <n v="-25.25"/>
        <n v="-25.23"/>
        <n v="-25.08"/>
        <n v="-25"/>
        <n v="-24.99"/>
        <n v="-24.23"/>
        <n v="-24.04"/>
        <n v="-24"/>
        <n v="-23.87"/>
        <n v="-23.8"/>
        <n v="-23.78"/>
        <n v="-23.65"/>
        <n v="-23.6"/>
        <n v="-23.5"/>
        <n v="-23.49"/>
        <n v="-23.48"/>
        <n v="-23"/>
        <n v="-22.87"/>
        <n v="-22.61"/>
        <n v="-22.37"/>
        <n v="-22.32"/>
        <n v="-22.28"/>
        <n v="-22.06"/>
        <n v="-22"/>
        <n v="-21.99"/>
        <n v="-21.97"/>
        <n v="-21.95"/>
        <n v="-21.94"/>
        <n v="-21.8"/>
        <n v="-21.7"/>
        <n v="-21.58"/>
        <n v="-21.5"/>
        <n v="-21.49"/>
        <n v="-21.4"/>
        <n v="-21.09"/>
        <n v="-21"/>
        <n v="-20.99"/>
        <n v="-20.9"/>
        <n v="-20.7"/>
        <n v="-20.65"/>
        <n v="-20.58"/>
        <n v="-20.46"/>
        <n v="-20.02"/>
        <n v="-20"/>
        <n v="-19.99"/>
        <n v="-19.92"/>
        <n v="-19.9"/>
        <n v="-19.88"/>
        <n v="-19.7"/>
        <n v="-19.5"/>
        <n v="-19"/>
        <n v="-18.99"/>
        <n v="-18.72"/>
        <n v="-18.67"/>
        <n v="-18.57"/>
        <n v="-18.47"/>
        <n v="-18.38"/>
        <n v="-18.25"/>
        <n v="-18.19"/>
        <n v="-18"/>
        <n v="-17.99"/>
        <n v="-17.97"/>
        <n v="-17.91"/>
        <n v="-17.85"/>
        <n v="-17.8"/>
        <n v="-17.7"/>
        <n v="-17.56"/>
        <n v="-17.31"/>
        <n v="-17.24"/>
        <n v="-17.19"/>
        <n v="-17.02"/>
        <n v="-17"/>
        <n v="-16.89"/>
        <n v="-16.8"/>
        <n v="-16.69"/>
        <n v="-16.59"/>
        <n v="-16.5"/>
        <n v="-16.38"/>
        <n v="-16.26"/>
        <n v="-16"/>
        <n v="-15.9"/>
        <n v="-15.86"/>
        <n v="-15.82"/>
        <n v="-15.8"/>
        <n v="-15.73"/>
        <n v="-15.6"/>
        <n v="-15.55"/>
        <n v="-15.29"/>
        <n v="-15.28"/>
        <n v="-15.14"/>
        <n v="-15"/>
        <n v="-14.99"/>
        <n v="-14.9"/>
        <n v="-14.88"/>
        <n v="-14.42"/>
        <n v="-14.31"/>
        <n v="-14.3"/>
        <n v="-14.26"/>
        <n v="-14.1"/>
        <n v="-14"/>
        <n v="-13.98"/>
        <n v="-13.9"/>
        <n v="-13.6"/>
        <n v="-13.57"/>
        <n v="-13.32"/>
        <n v="-13.02"/>
        <n v="-13"/>
        <n v="-12.99"/>
        <n v="-12.71"/>
        <n v="-12.67"/>
        <n v="-12.5"/>
        <n v="-12"/>
        <n v="-11.99"/>
        <n v="-11.96"/>
        <n v="-11.9"/>
        <n v="-11.7"/>
        <n v="-11.53"/>
        <n v="-11.49"/>
        <n v="-11.15"/>
        <n v="-11.07"/>
        <n v="-11"/>
        <n v="-10.99"/>
        <n v="-10.98"/>
        <n v="-10.9"/>
        <n v="-10.8"/>
        <n v="-10.7"/>
        <n v="-10.5"/>
        <n v="-10.09"/>
        <n v="-10"/>
        <n v="-9.98"/>
        <n v="-9.9"/>
        <n v="-9.58"/>
        <n v="-9.45"/>
        <n v="-9.19"/>
        <n v="-9"/>
        <n v="-8.99"/>
        <n v="-8.9"/>
        <n v="-8.78"/>
        <n v="-8.75"/>
        <n v="-8.5"/>
        <n v="-8.48"/>
        <n v="-8.37"/>
        <n v="-8.34"/>
        <n v="-8.3"/>
        <n v="-8"/>
        <n v="-7.66"/>
        <n v="-7.61"/>
        <n v="-7.56"/>
        <n v="-7.5"/>
        <n v="-7.44"/>
        <n v="-7.18"/>
        <n v="-7"/>
        <n v="-6.98"/>
        <n v="-6.94"/>
        <n v="-6.9"/>
        <n v="-6.87"/>
        <n v="-6.75"/>
        <n v="-6.61"/>
        <n v="-6.5"/>
        <n v="-6.43"/>
        <n v="-6.41"/>
        <n v="-6.39"/>
        <n v="-6.03"/>
        <n v="-6"/>
        <n v="-5.99"/>
        <n v="-5.84"/>
        <n v="-5.7"/>
        <n v="-5.69"/>
        <n v="-5.5"/>
        <n v="-5.39"/>
        <n v="-5.31"/>
        <n v="-5.29"/>
        <n v="-5.23"/>
        <n v="-5.18"/>
        <n v="-5"/>
        <n v="-4.79"/>
        <n v="-4.55"/>
        <n v="-4.5"/>
        <n v="-4.34"/>
        <n v="-4.29"/>
        <n v="-4.2"/>
        <n v="-4.17"/>
        <n v="-4.16"/>
        <n v="-4"/>
        <n v="-3.99"/>
        <n v="-3.92"/>
        <n v="-3.79"/>
        <n v="-3.76"/>
        <n v="-3.68"/>
        <n v="-3.5"/>
        <n v="-3.49"/>
        <n v="-3.29"/>
        <n v="-3.26"/>
        <n v="-3"/>
        <n v="-2.99"/>
        <n v="-2.57"/>
        <n v="-2.5"/>
        <n v="-2"/>
        <n v="-1.99"/>
        <n v="-1.98"/>
        <n v="-0.24"/>
        <n v="0.01"/>
        <n v="5"/>
        <n v="8.07"/>
        <n v="10"/>
        <n v="11.19"/>
        <n v="12.89"/>
        <n v="14.26"/>
        <n v="15"/>
        <n v="15.29"/>
        <n v="18.57"/>
        <n v="20"/>
        <n v="23.49"/>
        <n v="28.9"/>
        <n v="30"/>
        <n v="35.86"/>
        <n v="44.88"/>
        <n v="49.52"/>
        <n v="50"/>
        <n v="50.29"/>
        <n v="51.88"/>
        <n v="55"/>
        <n v="57.48"/>
        <n v="59.4"/>
        <n v="62.47"/>
        <n v="64.14"/>
        <n v="66.04"/>
        <n v="75"/>
        <n v="76.9"/>
        <n v="81.13"/>
        <n v="86.07"/>
        <n v="91.73"/>
        <n v="97.1"/>
        <n v="98"/>
        <n v="98.93"/>
        <n v="100"/>
        <n v="109.68"/>
        <n v="110.38"/>
        <n v="113.94"/>
        <n v="117.97"/>
        <n v="121.87"/>
        <n v="121.95"/>
        <n v="125"/>
        <n v="130.17"/>
        <n v="135.58"/>
        <n v="136.24"/>
        <n v="136.9"/>
        <n v="146.87"/>
        <n v="148.71"/>
        <n v="150"/>
        <n v="152.21"/>
        <n v="152.24"/>
        <n v="154.23"/>
        <n v="155.22"/>
        <n v="164.75"/>
        <n v="164.94"/>
        <n v="170"/>
        <n v="170.38"/>
        <n v="172.5"/>
        <n v="180.35"/>
        <n v="190.97"/>
        <n v="194.33"/>
        <n v="200"/>
        <n v="200.94"/>
        <n v="203.22"/>
        <n v="203.62"/>
        <n v="207"/>
        <n v="214.88"/>
        <n v="216.14"/>
        <n v="218.37"/>
        <n v="221.87"/>
        <n v="226.98"/>
        <n v="229.32"/>
        <n v="237.97"/>
        <n v="240"/>
        <n v="243"/>
        <n v="248.44"/>
        <n v="256.88"/>
        <n v="260.38"/>
        <n v="261"/>
        <n v="274.43"/>
        <n v="291.78"/>
        <n v="293.07"/>
        <n v="293.34"/>
        <n v="302.35"/>
        <n v="307.66"/>
        <n v="310.64"/>
        <n v="333.39"/>
        <n v="337.95"/>
        <n v="343.9"/>
        <n v="346.28"/>
        <n v="347.08"/>
        <n v="356.52"/>
        <n v="360.03"/>
        <n v="360.54"/>
        <n v="370.03"/>
        <n v="370.24"/>
        <n v="386.62"/>
        <n v="393.09"/>
        <n v="396.86"/>
        <n v="408.62"/>
        <n v="412.42"/>
        <n v="412.78"/>
        <n v="414.71"/>
        <n v="418.2"/>
        <n v="418.99"/>
        <n v="445.03"/>
        <n v="446.01"/>
        <n v="446.31"/>
        <n v="448.85"/>
        <n v="454.34"/>
        <n v="466.81"/>
        <n v="492.8"/>
        <n v="495.4"/>
        <n v="502.66"/>
        <n v="504.9"/>
        <n v="506.53"/>
        <n v="509.34"/>
        <n v="509.63"/>
        <n v="512.91"/>
        <n v="522.91"/>
        <n v="534.37"/>
        <n v="548.2"/>
        <n v="556.47"/>
        <n v="564.68"/>
        <n v="574.68"/>
        <n v="585.84"/>
        <n v="594.33"/>
        <n v="604.68"/>
        <n v="611.92"/>
        <n v="617.82"/>
        <n v="622.27"/>
        <n v="638.24"/>
        <n v="644.49"/>
        <n v="645.94"/>
        <n v="646.24"/>
        <n v="672.14"/>
        <n v="678.9"/>
        <n v="700"/>
        <n v="700.6"/>
        <n v="709.47"/>
        <n v="709.81"/>
        <n v="715.82"/>
        <n v="762.66"/>
        <n v="776.9"/>
        <n v="785.02"/>
        <n v="794.01"/>
        <n v="830.87"/>
        <n v="836.03"/>
        <n v="893.5"/>
        <n v="902.65"/>
        <n v="940"/>
        <n v="944.01"/>
        <n v="959.3"/>
        <n v="964.09"/>
        <n v="973.56"/>
        <n v="1000"/>
        <n v="1036.2"/>
        <n v="1071.9"/>
        <n v="1084.15"/>
        <n v="1102.9"/>
        <n v="1109.22"/>
        <n v="1109.64"/>
        <n v="1110.2"/>
        <n v="1136.64"/>
        <n v="1167.03"/>
        <n v="1206.23"/>
        <n v="1210.29"/>
        <n v="1211.51"/>
        <n v="1216.14"/>
        <n v="1254.88"/>
        <n v="1255.33"/>
        <n v="1258.12"/>
        <n v="1297.28"/>
        <n v="1300.19"/>
        <n v="1346.65"/>
        <n v="1351.39"/>
        <n v="1367.8"/>
        <n v="1371.65"/>
        <n v="1390.37"/>
        <n v="1399.32"/>
        <n v="1433.18"/>
        <n v="1440.83"/>
        <n v="1448.75"/>
        <n v="1464.32"/>
        <n v="1465.13"/>
        <n v="1482.27"/>
        <n v="1496.09"/>
        <n v="1496.53"/>
        <n v="1517.73"/>
        <n v="1536.33"/>
        <n v="1542.73"/>
        <n v="1543.67"/>
        <n v="1546.33"/>
        <n v="1567.25"/>
        <n v="1581.48"/>
        <n v="1662.62"/>
        <n v="1673.91"/>
        <n v="1675.97"/>
        <n v="1719.41"/>
        <n v="1745.27"/>
        <n v="1792.37"/>
        <n v="1859.21"/>
        <n v="1883.99"/>
        <n v="1964.68"/>
        <n v="1968.89"/>
        <n v="2000"/>
        <n v="2144.03"/>
        <n v="2179.89"/>
        <n v="2188.61"/>
        <n v="2208.89"/>
        <n v="2209.7"/>
        <n v="2279.89"/>
        <n v="2298.58"/>
        <n v="2358.02"/>
        <n v="2552.79"/>
        <n v="2618.65"/>
        <n v="2661.81"/>
        <n v="2743.86"/>
        <n v="2763"/>
        <n v="2817.82"/>
        <n v="2871.15"/>
        <n v="2945.18"/>
        <n v="3056.79"/>
        <n v="3065.34"/>
        <n v="3075.09"/>
        <n v="3120.07"/>
        <n v="3148.16"/>
        <n v="3174.77"/>
        <n v="3241.95"/>
        <n v="3285.26"/>
        <n v="3434.68"/>
        <n v="4280.95"/>
        <n v="4390"/>
        <n v="4799.86"/>
        <n v="5000"/>
        <n v="5180.71"/>
        <n v="7248.2"/>
        <n v="8237.5"/>
        <n v="9490"/>
        <n v="10976.56"/>
      </sharedItems>
    </cacheField>
    <cacheField name="valor_convertido_saida (R$)" numFmtId="0">
      <sharedItems containsSemiMixedTypes="0" containsString="0" containsNumber="1" minValue="0" maxValue="7000" count="539">
        <n v="0"/>
        <n v="0.24"/>
        <n v="1.98"/>
        <n v="1.99"/>
        <n v="2"/>
        <n v="2.5"/>
        <n v="2.57"/>
        <n v="2.99"/>
        <n v="3"/>
        <n v="3.26"/>
        <n v="3.29"/>
        <n v="3.49"/>
        <n v="3.5"/>
        <n v="3.68"/>
        <n v="3.76"/>
        <n v="3.79"/>
        <n v="3.92"/>
        <n v="3.99"/>
        <n v="4"/>
        <n v="4.16"/>
        <n v="4.17"/>
        <n v="4.2"/>
        <n v="4.29"/>
        <n v="4.34"/>
        <n v="4.5"/>
        <n v="4.55"/>
        <n v="4.79"/>
        <n v="5"/>
        <n v="5.18"/>
        <n v="5.23"/>
        <n v="5.29"/>
        <n v="5.31"/>
        <n v="5.39"/>
        <n v="5.5"/>
        <n v="5.69"/>
        <n v="5.7"/>
        <n v="5.84"/>
        <n v="5.99"/>
        <n v="6"/>
        <n v="6.03"/>
        <n v="6.39"/>
        <n v="6.41"/>
        <n v="6.43"/>
        <n v="6.5"/>
        <n v="6.61"/>
        <n v="6.75"/>
        <n v="6.87"/>
        <n v="6.9"/>
        <n v="6.94"/>
        <n v="6.98"/>
        <n v="7"/>
        <n v="7.18"/>
        <n v="7.44"/>
        <n v="7.5"/>
        <n v="7.56"/>
        <n v="7.61"/>
        <n v="7.66"/>
        <n v="8"/>
        <n v="8.3"/>
        <n v="8.34"/>
        <n v="8.37"/>
        <n v="8.48"/>
        <n v="8.5"/>
        <n v="8.75"/>
        <n v="8.78"/>
        <n v="8.9"/>
        <n v="8.99"/>
        <n v="9"/>
        <n v="9.19"/>
        <n v="9.45"/>
        <n v="9.58"/>
        <n v="9.9"/>
        <n v="9.98"/>
        <n v="10"/>
        <n v="10.09"/>
        <n v="10.5"/>
        <n v="10.7"/>
        <n v="10.8"/>
        <n v="10.9"/>
        <n v="10.98"/>
        <n v="10.99"/>
        <n v="11"/>
        <n v="11.07"/>
        <n v="11.15"/>
        <n v="11.49"/>
        <n v="11.53"/>
        <n v="11.7"/>
        <n v="11.9"/>
        <n v="11.96"/>
        <n v="11.99"/>
        <n v="12"/>
        <n v="12.5"/>
        <n v="12.67"/>
        <n v="12.71"/>
        <n v="12.99"/>
        <n v="13"/>
        <n v="13.02"/>
        <n v="13.32"/>
        <n v="13.57"/>
        <n v="13.6"/>
        <n v="13.9"/>
        <n v="13.98"/>
        <n v="14"/>
        <n v="14.1"/>
        <n v="14.26"/>
        <n v="14.3"/>
        <n v="14.31"/>
        <n v="14.42"/>
        <n v="14.88"/>
        <n v="14.9"/>
        <n v="14.99"/>
        <n v="15"/>
        <n v="15.14"/>
        <n v="15.28"/>
        <n v="15.29"/>
        <n v="15.55"/>
        <n v="15.6"/>
        <n v="15.73"/>
        <n v="15.8"/>
        <n v="15.82"/>
        <n v="15.86"/>
        <n v="15.9"/>
        <n v="16"/>
        <n v="16.26"/>
        <n v="16.38"/>
        <n v="16.5"/>
        <n v="16.59"/>
        <n v="16.69"/>
        <n v="16.8"/>
        <n v="16.89"/>
        <n v="17"/>
        <n v="17.02"/>
        <n v="17.19"/>
        <n v="17.24"/>
        <n v="17.56"/>
        <n v="17.7"/>
        <n v="17.8"/>
        <n v="17.85"/>
        <n v="17.91"/>
        <n v="17.97"/>
        <n v="17.99"/>
        <n v="18"/>
        <n v="18.19"/>
        <n v="18.25"/>
        <n v="18.38"/>
        <n v="18.47"/>
        <n v="18.57"/>
        <n v="18.67"/>
        <n v="18.72"/>
        <n v="18.99"/>
        <n v="19"/>
        <n v="19.5"/>
        <n v="19.7"/>
        <n v="19.88"/>
        <n v="19.9"/>
        <n v="19.92"/>
        <n v="19.99"/>
        <n v="20"/>
        <n v="20.02"/>
        <n v="20.46"/>
        <n v="20.58"/>
        <n v="20.65"/>
        <n v="20.7"/>
        <n v="20.9"/>
        <n v="20.99"/>
        <n v="21"/>
        <n v="21.09"/>
        <n v="21.4"/>
        <n v="21.49"/>
        <n v="21.5"/>
        <n v="21.58"/>
        <n v="21.7"/>
        <n v="21.8"/>
        <n v="21.94"/>
        <n v="21.95"/>
        <n v="21.97"/>
        <n v="21.99"/>
        <n v="22"/>
        <n v="22.06"/>
        <n v="22.28"/>
        <n v="22.32"/>
        <n v="22.37"/>
        <n v="22.61"/>
        <n v="22.87"/>
        <n v="23"/>
        <n v="23.48"/>
        <n v="23.49"/>
        <n v="23.5"/>
        <n v="23.6"/>
        <n v="23.65"/>
        <n v="23.78"/>
        <n v="23.8"/>
        <n v="23.87"/>
        <n v="24"/>
        <n v="24.04"/>
        <n v="24.23"/>
        <n v="24.99"/>
        <n v="25"/>
        <n v="25.08"/>
        <n v="25.23"/>
        <n v="25.25"/>
        <n v="25.32"/>
        <n v="25.38"/>
        <n v="25.42"/>
        <n v="25.5"/>
        <n v="25.8"/>
        <n v="25.9"/>
        <n v="26.08"/>
        <n v="26.3"/>
        <n v="26.8"/>
        <n v="27"/>
        <n v="27.11"/>
        <n v="27.17"/>
        <n v="27.2"/>
        <n v="27.29"/>
        <n v="27.49"/>
        <n v="27.59"/>
        <n v="28"/>
        <n v="28.29"/>
        <n v="28.31"/>
        <n v="28.4"/>
        <n v="28.91"/>
        <n v="29"/>
        <n v="29.5"/>
        <n v="29.65"/>
        <n v="29.68"/>
        <n v="29.88"/>
        <n v="29.9"/>
        <n v="29.97"/>
        <n v="30"/>
        <n v="30.8"/>
        <n v="31.05"/>
        <n v="31.14"/>
        <n v="31.16"/>
        <n v="31.37"/>
        <n v="31.58"/>
        <n v="31.6"/>
        <n v="31.61"/>
        <n v="31.87"/>
        <n v="31.98"/>
        <n v="32"/>
        <n v="32.2"/>
        <n v="32.5"/>
        <n v="32.59"/>
        <n v="32.99"/>
        <n v="33"/>
        <n v="33.32"/>
        <n v="33.68"/>
        <n v="34"/>
        <n v="34.36"/>
        <n v="34.7"/>
        <n v="34.91"/>
        <n v="34.99"/>
        <n v="35"/>
        <n v="35.04"/>
        <n v="35.54"/>
        <n v="35.7"/>
        <n v="35.8"/>
        <n v="35.86"/>
        <n v="35.9"/>
        <n v="36.29"/>
        <n v="36.46"/>
        <n v="36.57"/>
        <n v="37"/>
        <n v="37.5"/>
        <n v="37.98"/>
        <n v="38.15"/>
        <n v="38.21"/>
        <n v="38.96"/>
        <n v="38.98"/>
        <n v="39.14"/>
        <n v="39.26"/>
        <n v="39.6"/>
        <n v="39.61"/>
        <n v="39.73"/>
        <n v="39.9"/>
        <n v="39.99"/>
        <n v="40"/>
        <n v="40.14"/>
        <n v="40.19"/>
        <n v="40.7"/>
        <n v="41"/>
        <n v="41.62"/>
        <n v="41.97"/>
        <n v="42"/>
        <n v="42.19"/>
        <n v="42.54"/>
        <n v="42.58"/>
        <n v="42.64"/>
        <n v="43"/>
        <n v="43.26"/>
        <n v="43.44"/>
        <n v="43.59"/>
        <n v="43.68"/>
        <n v="43.98"/>
        <n v="44"/>
        <n v="45"/>
        <n v="45.3"/>
        <n v="45.5"/>
        <n v="45.94"/>
        <n v="46.4"/>
        <n v="46.47"/>
        <n v="47.14"/>
        <n v="47.45"/>
        <n v="47.7"/>
        <n v="47.96"/>
        <n v="48"/>
        <n v="48.2"/>
        <n v="48.28"/>
        <n v="48.47"/>
        <n v="48.49"/>
        <n v="48.93"/>
        <n v="49.35"/>
        <n v="49.5"/>
        <n v="49.9"/>
        <n v="49.99"/>
        <n v="50"/>
        <n v="50.35"/>
        <n v="50.96"/>
        <n v="51"/>
        <n v="51.8"/>
        <n v="51.95"/>
        <n v="52.99"/>
        <n v="53.19"/>
        <n v="54.26"/>
        <n v="54.33"/>
        <n v="54.57"/>
        <n v="55"/>
        <n v="55.02"/>
        <n v="55.38"/>
        <n v="55.5"/>
        <n v="55.69"/>
        <n v="56"/>
        <n v="56.15"/>
        <n v="56.23"/>
        <n v="56.44"/>
        <n v="57"/>
        <n v="57.35"/>
        <n v="57.73"/>
        <n v="58.61"/>
        <n v="59.61"/>
        <n v="59.99"/>
        <n v="60"/>
        <n v="60.23"/>
        <n v="60.47"/>
        <n v="61.18"/>
        <n v="61.29"/>
        <n v="61.3"/>
        <n v="61.44"/>
        <n v="62.34"/>
        <n v="62.58"/>
        <n v="63.48"/>
        <n v="63.79"/>
        <n v="63.97"/>
        <n v="64.8"/>
        <n v="65.6"/>
        <n v="67"/>
        <n v="69.36"/>
        <n v="70.96"/>
        <n v="71.42"/>
        <n v="72"/>
        <n v="72.16"/>
        <n v="72.96"/>
        <n v="74.58"/>
        <n v="75"/>
        <n v="75.01"/>
        <n v="75.48"/>
        <n v="75.56"/>
        <n v="76.77"/>
        <n v="76.9"/>
        <n v="76.98"/>
        <n v="77.74"/>
        <n v="78.52"/>
        <n v="79.21"/>
        <n v="79.5"/>
        <n v="79.98"/>
        <n v="80"/>
        <n v="80.13"/>
        <n v="80.2"/>
        <n v="80.44"/>
        <n v="80.8"/>
        <n v="81"/>
        <n v="81.47"/>
        <n v="82.19"/>
        <n v="83"/>
        <n v="84.26"/>
        <n v="85"/>
        <n v="86.19"/>
        <n v="86.74"/>
        <n v="88"/>
        <n v="88.72"/>
        <n v="90"/>
        <n v="91.95"/>
        <n v="92.09"/>
        <n v="92.16"/>
        <n v="92.33"/>
        <n v="93.17"/>
        <n v="93.2"/>
        <n v="93.87"/>
        <n v="93.98"/>
        <n v="95.16"/>
        <n v="95.99"/>
        <n v="97"/>
        <n v="97.37"/>
        <n v="100"/>
        <n v="100.66"/>
        <n v="100.8"/>
        <n v="102.29"/>
        <n v="102.6"/>
        <n v="103.8"/>
        <n v="104.37"/>
        <n v="105.89"/>
        <n v="106.1"/>
        <n v="107"/>
        <n v="108.06"/>
        <n v="109.7"/>
        <n v="110"/>
        <n v="113.66"/>
        <n v="114"/>
        <n v="115.28"/>
        <n v="117.29"/>
        <n v="118.25"/>
        <n v="119.63"/>
        <n v="120.17"/>
        <n v="121.5"/>
        <n v="125"/>
        <n v="125.11"/>
        <n v="125.74"/>
        <n v="126.92"/>
        <n v="128.55"/>
        <n v="129"/>
        <n v="129.11"/>
        <n v="130"/>
        <n v="130.53"/>
        <n v="130.97"/>
        <n v="132.01"/>
        <n v="133.1"/>
        <n v="135.18"/>
        <n v="140.08"/>
        <n v="140.95"/>
        <n v="141"/>
        <n v="143.13"/>
        <n v="144.47"/>
        <n v="145.27"/>
        <n v="145.45"/>
        <n v="150"/>
        <n v="153.56"/>
        <n v="157.9"/>
        <n v="161.2"/>
        <n v="164.94"/>
        <n v="170"/>
        <n v="170.97"/>
        <n v="172"/>
        <n v="173.52"/>
        <n v="173.6"/>
        <n v="176.6"/>
        <n v="178"/>
        <n v="179.51"/>
        <n v="183.48"/>
        <n v="184.71"/>
        <n v="189.39"/>
        <n v="194"/>
        <n v="197.54"/>
        <n v="197.59"/>
        <n v="197.75"/>
        <n v="197.78"/>
        <n v="198"/>
        <n v="198.13"/>
        <n v="198.79"/>
        <n v="200"/>
        <n v="203.27"/>
        <n v="204.21"/>
        <n v="208.44"/>
        <n v="209.78"/>
        <n v="217.29"/>
        <n v="219.4"/>
        <n v="225.53"/>
        <n v="230.29"/>
        <n v="231.95"/>
        <n v="232.82"/>
        <n v="236.73"/>
        <n v="240"/>
        <n v="248.09"/>
        <n v="251.16"/>
        <n v="251.44"/>
        <n v="257.25"/>
        <n v="261"/>
        <n v="262.04"/>
        <n v="270"/>
        <n v="282.07"/>
        <n v="283"/>
        <n v="283.5"/>
        <n v="293.98"/>
        <n v="302.61"/>
        <n v="317.9"/>
        <n v="320"/>
        <n v="335.36"/>
        <n v="338"/>
        <n v="352.18"/>
        <n v="360.77"/>
        <n v="400"/>
        <n v="410.83"/>
        <n v="414.21"/>
        <n v="422"/>
        <n v="435.49"/>
        <n v="500"/>
        <n v="542.99"/>
        <n v="546.36"/>
        <n v="549.13"/>
        <n v="566.82"/>
        <n v="567"/>
        <n v="567.76"/>
        <n v="569.07"/>
        <n v="597.42"/>
        <n v="664.9"/>
        <n v="700"/>
        <n v="800"/>
        <n v="803.04"/>
        <n v="834.39"/>
        <n v="940"/>
        <n v="1000"/>
        <n v="1477.7"/>
        <n v="2000"/>
        <n v="2239.32"/>
        <n v="2700"/>
        <n v="2800"/>
        <n v="2912.75"/>
        <n v="2923.72"/>
        <n v="2972.19"/>
        <n v="3000"/>
        <n v="3009.75"/>
        <n v="3164.72"/>
        <n v="3859.33"/>
        <n v="3946.04"/>
        <n v="4018.57"/>
        <n v="4992.46"/>
        <n v="5000"/>
        <n v="5558.24"/>
        <n v="7000"/>
      </sharedItems>
    </cacheField>
    <cacheField name="valor_convertido_entrada (R$)" numFmtId="0">
      <sharedItems containsSemiMixedTypes="0" containsString="0" containsNumber="1" minValue="-8237.5" maxValue="10976.56" count="156">
        <n v="-8237.5"/>
        <n v="-2552.79"/>
        <n v="-1662.62"/>
        <n v="-1567.25"/>
        <n v="-1542.73"/>
        <n v="-1087.47"/>
        <n v="-715.82"/>
        <n v="-638.24"/>
        <n v="-534.37"/>
        <n v="0"/>
        <n v="0.01"/>
        <n v="5"/>
        <n v="10"/>
        <n v="12.89"/>
        <n v="14.26"/>
        <n v="15"/>
        <n v="15.29"/>
        <n v="18.57"/>
        <n v="20"/>
        <n v="23.49"/>
        <n v="28.9"/>
        <n v="30"/>
        <n v="35.86"/>
        <n v="44.88"/>
        <n v="49.52"/>
        <n v="50"/>
        <n v="51.88"/>
        <n v="55"/>
        <n v="57.48"/>
        <n v="59.4"/>
        <n v="62.47"/>
        <n v="64.14"/>
        <n v="75"/>
        <n v="76.9"/>
        <n v="81.13"/>
        <n v="86.07"/>
        <n v="98"/>
        <n v="98.93"/>
        <n v="100"/>
        <n v="109.68"/>
        <n v="113.94"/>
        <n v="117.97"/>
        <n v="121.87"/>
        <n v="121.95"/>
        <n v="125"/>
        <n v="130.17"/>
        <n v="135.58"/>
        <n v="136.9"/>
        <n v="146.87"/>
        <n v="150"/>
        <n v="152.24"/>
        <n v="154.23"/>
        <n v="155.22"/>
        <n v="164.94"/>
        <n v="170"/>
        <n v="180.35"/>
        <n v="190.97"/>
        <n v="200"/>
        <n v="203.22"/>
        <n v="203.62"/>
        <n v="207"/>
        <n v="216.14"/>
        <n v="218.37"/>
        <n v="221.87"/>
        <n v="226.98"/>
        <n v="229.32"/>
        <n v="237.97"/>
        <n v="240"/>
        <n v="243"/>
        <n v="248.44"/>
        <n v="261"/>
        <n v="291.78"/>
        <n v="293.07"/>
        <n v="307.66"/>
        <n v="333.39"/>
        <n v="337.95"/>
        <n v="343.9"/>
        <n v="346.28"/>
        <n v="356.52"/>
        <n v="360.54"/>
        <n v="393.09"/>
        <n v="396.86"/>
        <n v="408.62"/>
        <n v="412.42"/>
        <n v="448.85"/>
        <n v="454.34"/>
        <n v="466.81"/>
        <n v="495.4"/>
        <n v="502.66"/>
        <n v="506.53"/>
        <n v="509.34"/>
        <n v="534.37"/>
        <n v="585.84"/>
        <n v="594.33"/>
        <n v="617.82"/>
        <n v="638.24"/>
        <n v="646.24"/>
        <n v="672.14"/>
        <n v="678.9"/>
        <n v="700"/>
        <n v="700.6"/>
        <n v="709.81"/>
        <n v="715.82"/>
        <n v="762.66"/>
        <n v="776.9"/>
        <n v="794.01"/>
        <n v="836.03"/>
        <n v="893.5"/>
        <n v="944.01"/>
        <n v="959.3"/>
        <n v="973.56"/>
        <n v="1000"/>
        <n v="1036.2"/>
        <n v="1102.9"/>
        <n v="1109.22"/>
        <n v="1109.64"/>
        <n v="1110.2"/>
        <n v="1211.51"/>
        <n v="1258.12"/>
        <n v="1300.19"/>
        <n v="1440.83"/>
        <n v="1465.13"/>
        <n v="1482.27"/>
        <n v="1496.09"/>
        <n v="1517.73"/>
        <n v="1542.73"/>
        <n v="1567.25"/>
        <n v="1662.62"/>
        <n v="1745.27"/>
        <n v="1859.21"/>
        <n v="1968.89"/>
        <n v="2000"/>
        <n v="2144.03"/>
        <n v="2179.89"/>
        <n v="2208.89"/>
        <n v="2279.89"/>
        <n v="2552.79"/>
        <n v="2618.65"/>
        <n v="2743.86"/>
        <n v="2945.18"/>
        <n v="3056.79"/>
        <n v="3065.34"/>
        <n v="3075.09"/>
        <n v="3120.07"/>
        <n v="3148.16"/>
        <n v="3174.77"/>
        <n v="3285.26"/>
        <n v="4280.95"/>
        <n v="4390"/>
        <n v="4799.86"/>
        <n v="5000"/>
        <n v="5180.71"/>
        <n v="7248.2"/>
        <n v="8237.5"/>
        <n v="9490"/>
        <n v="10976.56"/>
      </sharedItems>
    </cacheField>
    <cacheField name="REF" numFmtId="0">
      <sharedItems containsSemiMixedTypes="0" containsNonDate="0" containsDate="1" containsString="0" minDate="2020-01-01T00:00:00" maxDate="2020-12-01T00:00:00" count="12"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21">
  <r>
    <x v="53"/>
    <x v="7"/>
    <x v="441"/>
    <x v="21"/>
    <x v="601"/>
    <x v="0"/>
    <x v="12"/>
    <x v="0"/>
  </r>
  <r>
    <x v="57"/>
    <x v="7"/>
    <x v="22"/>
    <x v="6"/>
    <x v="185"/>
    <x v="404"/>
    <x v="9"/>
    <x v="0"/>
  </r>
  <r>
    <x v="63"/>
    <x v="7"/>
    <x v="200"/>
    <x v="18"/>
    <x v="279"/>
    <x v="316"/>
    <x v="9"/>
    <x v="0"/>
  </r>
  <r>
    <x v="15"/>
    <x v="7"/>
    <x v="218"/>
    <x v="18"/>
    <x v="594"/>
    <x v="4"/>
    <x v="9"/>
    <x v="0"/>
  </r>
  <r>
    <x v="8"/>
    <x v="7"/>
    <x v="321"/>
    <x v="21"/>
    <x v="597"/>
    <x v="1"/>
    <x v="9"/>
    <x v="0"/>
  </r>
  <r>
    <x v="8"/>
    <x v="7"/>
    <x v="327"/>
    <x v="21"/>
    <x v="648"/>
    <x v="0"/>
    <x v="50"/>
    <x v="0"/>
  </r>
  <r>
    <x v="53"/>
    <x v="7"/>
    <x v="437"/>
    <x v="21"/>
    <x v="759"/>
    <x v="0"/>
    <x v="115"/>
    <x v="0"/>
  </r>
  <r>
    <x v="41"/>
    <x v="15"/>
    <x v="47"/>
    <x v="18"/>
    <x v="389"/>
    <x v="208"/>
    <x v="9"/>
    <x v="0"/>
  </r>
  <r>
    <x v="28"/>
    <x v="15"/>
    <x v="74"/>
    <x v="18"/>
    <x v="514"/>
    <x v="84"/>
    <x v="9"/>
    <x v="0"/>
  </r>
  <r>
    <x v="28"/>
    <x v="15"/>
    <x v="74"/>
    <x v="18"/>
    <x v="265"/>
    <x v="330"/>
    <x v="9"/>
    <x v="0"/>
  </r>
  <r>
    <x v="3"/>
    <x v="15"/>
    <x v="134"/>
    <x v="18"/>
    <x v="517"/>
    <x v="81"/>
    <x v="9"/>
    <x v="0"/>
  </r>
  <r>
    <x v="15"/>
    <x v="15"/>
    <x v="192"/>
    <x v="18"/>
    <x v="440"/>
    <x v="157"/>
    <x v="9"/>
    <x v="0"/>
  </r>
  <r>
    <x v="3"/>
    <x v="15"/>
    <x v="250"/>
    <x v="18"/>
    <x v="529"/>
    <x v="69"/>
    <x v="9"/>
    <x v="0"/>
  </r>
  <r>
    <x v="15"/>
    <x v="15"/>
    <x v="255"/>
    <x v="18"/>
    <x v="565"/>
    <x v="33"/>
    <x v="9"/>
    <x v="0"/>
  </r>
  <r>
    <x v="8"/>
    <x v="15"/>
    <x v="479"/>
    <x v="19"/>
    <x v="221"/>
    <x v="369"/>
    <x v="9"/>
    <x v="0"/>
  </r>
  <r>
    <x v="8"/>
    <x v="15"/>
    <x v="327"/>
    <x v="21"/>
    <x v="665"/>
    <x v="0"/>
    <x v="61"/>
    <x v="0"/>
  </r>
  <r>
    <x v="53"/>
    <x v="15"/>
    <x v="437"/>
    <x v="21"/>
    <x v="746"/>
    <x v="0"/>
    <x v="107"/>
    <x v="0"/>
  </r>
  <r>
    <x v="57"/>
    <x v="39"/>
    <x v="23"/>
    <x v="6"/>
    <x v="487"/>
    <x v="111"/>
    <x v="9"/>
    <x v="0"/>
  </r>
  <r>
    <x v="41"/>
    <x v="39"/>
    <x v="37"/>
    <x v="18"/>
    <x v="512"/>
    <x v="86"/>
    <x v="9"/>
    <x v="0"/>
  </r>
  <r>
    <x v="15"/>
    <x v="39"/>
    <x v="77"/>
    <x v="18"/>
    <x v="571"/>
    <x v="27"/>
    <x v="9"/>
    <x v="0"/>
  </r>
  <r>
    <x v="29"/>
    <x v="39"/>
    <x v="82"/>
    <x v="18"/>
    <x v="517"/>
    <x v="81"/>
    <x v="9"/>
    <x v="0"/>
  </r>
  <r>
    <x v="15"/>
    <x v="39"/>
    <x v="94"/>
    <x v="18"/>
    <x v="548"/>
    <x v="50"/>
    <x v="9"/>
    <x v="0"/>
  </r>
  <r>
    <x v="15"/>
    <x v="39"/>
    <x v="94"/>
    <x v="18"/>
    <x v="420"/>
    <x v="177"/>
    <x v="9"/>
    <x v="0"/>
  </r>
  <r>
    <x v="15"/>
    <x v="39"/>
    <x v="99"/>
    <x v="18"/>
    <x v="555"/>
    <x v="43"/>
    <x v="9"/>
    <x v="0"/>
  </r>
  <r>
    <x v="29"/>
    <x v="39"/>
    <x v="101"/>
    <x v="18"/>
    <x v="560"/>
    <x v="38"/>
    <x v="9"/>
    <x v="0"/>
  </r>
  <r>
    <x v="3"/>
    <x v="39"/>
    <x v="128"/>
    <x v="18"/>
    <x v="346"/>
    <x v="250"/>
    <x v="9"/>
    <x v="0"/>
  </r>
  <r>
    <x v="15"/>
    <x v="39"/>
    <x v="158"/>
    <x v="18"/>
    <x v="456"/>
    <x v="141"/>
    <x v="9"/>
    <x v="0"/>
  </r>
  <r>
    <x v="15"/>
    <x v="39"/>
    <x v="170"/>
    <x v="18"/>
    <x v="531"/>
    <x v="67"/>
    <x v="9"/>
    <x v="0"/>
  </r>
  <r>
    <x v="15"/>
    <x v="39"/>
    <x v="171"/>
    <x v="18"/>
    <x v="434"/>
    <x v="163"/>
    <x v="9"/>
    <x v="0"/>
  </r>
  <r>
    <x v="63"/>
    <x v="39"/>
    <x v="200"/>
    <x v="18"/>
    <x v="279"/>
    <x v="316"/>
    <x v="9"/>
    <x v="0"/>
  </r>
  <r>
    <x v="15"/>
    <x v="39"/>
    <x v="217"/>
    <x v="18"/>
    <x v="420"/>
    <x v="177"/>
    <x v="9"/>
    <x v="0"/>
  </r>
  <r>
    <x v="15"/>
    <x v="39"/>
    <x v="232"/>
    <x v="18"/>
    <x v="509"/>
    <x v="89"/>
    <x v="9"/>
    <x v="0"/>
  </r>
  <r>
    <x v="38"/>
    <x v="39"/>
    <x v="234"/>
    <x v="18"/>
    <x v="358"/>
    <x v="238"/>
    <x v="9"/>
    <x v="0"/>
  </r>
  <r>
    <x v="15"/>
    <x v="39"/>
    <x v="241"/>
    <x v="18"/>
    <x v="525"/>
    <x v="73"/>
    <x v="9"/>
    <x v="0"/>
  </r>
  <r>
    <x v="15"/>
    <x v="39"/>
    <x v="251"/>
    <x v="18"/>
    <x v="487"/>
    <x v="111"/>
    <x v="9"/>
    <x v="0"/>
  </r>
  <r>
    <x v="8"/>
    <x v="39"/>
    <x v="327"/>
    <x v="21"/>
    <x v="682"/>
    <x v="0"/>
    <x v="73"/>
    <x v="0"/>
  </r>
  <r>
    <x v="53"/>
    <x v="39"/>
    <x v="437"/>
    <x v="21"/>
    <x v="723"/>
    <x v="0"/>
    <x v="92"/>
    <x v="0"/>
  </r>
  <r>
    <x v="3"/>
    <x v="48"/>
    <x v="28"/>
    <x v="18"/>
    <x v="525"/>
    <x v="73"/>
    <x v="9"/>
    <x v="0"/>
  </r>
  <r>
    <x v="41"/>
    <x v="48"/>
    <x v="37"/>
    <x v="18"/>
    <x v="453"/>
    <x v="144"/>
    <x v="9"/>
    <x v="0"/>
  </r>
  <r>
    <x v="38"/>
    <x v="48"/>
    <x v="246"/>
    <x v="18"/>
    <x v="94"/>
    <x v="489"/>
    <x v="9"/>
    <x v="0"/>
  </r>
  <r>
    <x v="25"/>
    <x v="48"/>
    <x v="491"/>
    <x v="6"/>
    <x v="626"/>
    <x v="0"/>
    <x v="34"/>
    <x v="0"/>
  </r>
  <r>
    <x v="8"/>
    <x v="48"/>
    <x v="327"/>
    <x v="21"/>
    <x v="669"/>
    <x v="0"/>
    <x v="65"/>
    <x v="0"/>
  </r>
  <r>
    <x v="53"/>
    <x v="48"/>
    <x v="437"/>
    <x v="21"/>
    <x v="689"/>
    <x v="0"/>
    <x v="78"/>
    <x v="0"/>
  </r>
  <r>
    <x v="15"/>
    <x v="56"/>
    <x v="232"/>
    <x v="18"/>
    <x v="451"/>
    <x v="146"/>
    <x v="9"/>
    <x v="0"/>
  </r>
  <r>
    <x v="8"/>
    <x v="56"/>
    <x v="327"/>
    <x v="21"/>
    <x v="607"/>
    <x v="0"/>
    <x v="17"/>
    <x v="0"/>
  </r>
  <r>
    <x v="53"/>
    <x v="56"/>
    <x v="437"/>
    <x v="21"/>
    <x v="685"/>
    <x v="0"/>
    <x v="75"/>
    <x v="0"/>
  </r>
  <r>
    <x v="15"/>
    <x v="64"/>
    <x v="42"/>
    <x v="18"/>
    <x v="367"/>
    <x v="229"/>
    <x v="9"/>
    <x v="0"/>
  </r>
  <r>
    <x v="15"/>
    <x v="64"/>
    <x v="232"/>
    <x v="18"/>
    <x v="490"/>
    <x v="108"/>
    <x v="9"/>
    <x v="0"/>
  </r>
  <r>
    <x v="8"/>
    <x v="64"/>
    <x v="327"/>
    <x v="21"/>
    <x v="613"/>
    <x v="0"/>
    <x v="23"/>
    <x v="0"/>
  </r>
  <r>
    <x v="53"/>
    <x v="64"/>
    <x v="437"/>
    <x v="21"/>
    <x v="679"/>
    <x v="0"/>
    <x v="72"/>
    <x v="0"/>
  </r>
  <r>
    <x v="41"/>
    <x v="72"/>
    <x v="37"/>
    <x v="18"/>
    <x v="272"/>
    <x v="323"/>
    <x v="9"/>
    <x v="0"/>
  </r>
  <r>
    <x v="41"/>
    <x v="72"/>
    <x v="47"/>
    <x v="18"/>
    <x v="469"/>
    <x v="129"/>
    <x v="9"/>
    <x v="0"/>
  </r>
  <r>
    <x v="15"/>
    <x v="72"/>
    <x v="232"/>
    <x v="18"/>
    <x v="528"/>
    <x v="70"/>
    <x v="9"/>
    <x v="0"/>
  </r>
  <r>
    <x v="8"/>
    <x v="72"/>
    <x v="476"/>
    <x v="19"/>
    <x v="557"/>
    <x v="41"/>
    <x v="9"/>
    <x v="0"/>
  </r>
  <r>
    <x v="53"/>
    <x v="72"/>
    <x v="442"/>
    <x v="21"/>
    <x v="223"/>
    <x v="0"/>
    <x v="9"/>
    <x v="0"/>
  </r>
  <r>
    <x v="53"/>
    <x v="72"/>
    <x v="436"/>
    <x v="21"/>
    <x v="223"/>
    <x v="0"/>
    <x v="9"/>
    <x v="0"/>
  </r>
  <r>
    <x v="8"/>
    <x v="72"/>
    <x v="327"/>
    <x v="21"/>
    <x v="627"/>
    <x v="0"/>
    <x v="35"/>
    <x v="0"/>
  </r>
  <r>
    <x v="53"/>
    <x v="72"/>
    <x v="437"/>
    <x v="21"/>
    <x v="663"/>
    <x v="0"/>
    <x v="60"/>
    <x v="0"/>
  </r>
  <r>
    <x v="39"/>
    <x v="94"/>
    <x v="497"/>
    <x v="6"/>
    <x v="40"/>
    <x v="519"/>
    <x v="9"/>
    <x v="0"/>
  </r>
  <r>
    <x v="15"/>
    <x v="94"/>
    <x v="42"/>
    <x v="18"/>
    <x v="440"/>
    <x v="157"/>
    <x v="9"/>
    <x v="0"/>
  </r>
  <r>
    <x v="15"/>
    <x v="94"/>
    <x v="165"/>
    <x v="18"/>
    <x v="560"/>
    <x v="38"/>
    <x v="9"/>
    <x v="0"/>
  </r>
  <r>
    <x v="15"/>
    <x v="94"/>
    <x v="232"/>
    <x v="18"/>
    <x v="479"/>
    <x v="119"/>
    <x v="9"/>
    <x v="0"/>
  </r>
  <r>
    <x v="15"/>
    <x v="94"/>
    <x v="238"/>
    <x v="18"/>
    <x v="400"/>
    <x v="197"/>
    <x v="9"/>
    <x v="0"/>
  </r>
  <r>
    <x v="15"/>
    <x v="94"/>
    <x v="245"/>
    <x v="18"/>
    <x v="436"/>
    <x v="161"/>
    <x v="9"/>
    <x v="0"/>
  </r>
  <r>
    <x v="8"/>
    <x v="94"/>
    <x v="327"/>
    <x v="21"/>
    <x v="663"/>
    <x v="0"/>
    <x v="60"/>
    <x v="0"/>
  </r>
  <r>
    <x v="3"/>
    <x v="103"/>
    <x v="91"/>
    <x v="18"/>
    <x v="574"/>
    <x v="24"/>
    <x v="9"/>
    <x v="0"/>
  </r>
  <r>
    <x v="9"/>
    <x v="112"/>
    <x v="289"/>
    <x v="6"/>
    <x v="43"/>
    <x v="518"/>
    <x v="9"/>
    <x v="0"/>
  </r>
  <r>
    <x v="15"/>
    <x v="112"/>
    <x v="232"/>
    <x v="18"/>
    <x v="475"/>
    <x v="123"/>
    <x v="9"/>
    <x v="0"/>
  </r>
  <r>
    <x v="12"/>
    <x v="112"/>
    <x v="266"/>
    <x v="6"/>
    <x v="5"/>
    <x v="534"/>
    <x v="9"/>
    <x v="0"/>
  </r>
  <r>
    <x v="18"/>
    <x v="112"/>
    <x v="506"/>
    <x v="5"/>
    <x v="748"/>
    <x v="0"/>
    <x v="9"/>
    <x v="0"/>
  </r>
  <r>
    <x v="52"/>
    <x v="112"/>
    <x v="508"/>
    <x v="21"/>
    <x v="830"/>
    <x v="0"/>
    <x v="148"/>
    <x v="0"/>
  </r>
  <r>
    <x v="52"/>
    <x v="112"/>
    <x v="508"/>
    <x v="21"/>
    <x v="752"/>
    <x v="0"/>
    <x v="110"/>
    <x v="0"/>
  </r>
  <r>
    <x v="53"/>
    <x v="112"/>
    <x v="1"/>
    <x v="21"/>
    <x v="67"/>
    <x v="0"/>
    <x v="8"/>
    <x v="0"/>
  </r>
  <r>
    <x v="22"/>
    <x v="112"/>
    <x v="20"/>
    <x v="19"/>
    <x v="227"/>
    <x v="364"/>
    <x v="9"/>
    <x v="0"/>
  </r>
  <r>
    <x v="53"/>
    <x v="112"/>
    <x v="437"/>
    <x v="21"/>
    <x v="718"/>
    <x v="0"/>
    <x v="91"/>
    <x v="0"/>
  </r>
  <r>
    <x v="63"/>
    <x v="120"/>
    <x v="199"/>
    <x v="18"/>
    <x v="185"/>
    <x v="404"/>
    <x v="9"/>
    <x v="0"/>
  </r>
  <r>
    <x v="15"/>
    <x v="120"/>
    <x v="232"/>
    <x v="18"/>
    <x v="423"/>
    <x v="174"/>
    <x v="9"/>
    <x v="0"/>
  </r>
  <r>
    <x v="8"/>
    <x v="120"/>
    <x v="327"/>
    <x v="21"/>
    <x v="638"/>
    <x v="0"/>
    <x v="43"/>
    <x v="0"/>
  </r>
  <r>
    <x v="53"/>
    <x v="120"/>
    <x v="437"/>
    <x v="21"/>
    <x v="698"/>
    <x v="0"/>
    <x v="83"/>
    <x v="0"/>
  </r>
  <r>
    <x v="38"/>
    <x v="129"/>
    <x v="136"/>
    <x v="18"/>
    <x v="331"/>
    <x v="265"/>
    <x v="9"/>
    <x v="0"/>
  </r>
  <r>
    <x v="15"/>
    <x v="129"/>
    <x v="144"/>
    <x v="18"/>
    <x v="420"/>
    <x v="177"/>
    <x v="9"/>
    <x v="0"/>
  </r>
  <r>
    <x v="3"/>
    <x v="129"/>
    <x v="209"/>
    <x v="18"/>
    <x v="551"/>
    <x v="47"/>
    <x v="9"/>
    <x v="0"/>
  </r>
  <r>
    <x v="22"/>
    <x v="129"/>
    <x v="509"/>
    <x v="21"/>
    <x v="605"/>
    <x v="0"/>
    <x v="15"/>
    <x v="0"/>
  </r>
  <r>
    <x v="8"/>
    <x v="129"/>
    <x v="327"/>
    <x v="21"/>
    <x v="617"/>
    <x v="0"/>
    <x v="26"/>
    <x v="0"/>
  </r>
  <r>
    <x v="53"/>
    <x v="129"/>
    <x v="437"/>
    <x v="21"/>
    <x v="691"/>
    <x v="0"/>
    <x v="79"/>
    <x v="0"/>
  </r>
  <r>
    <x v="15"/>
    <x v="154"/>
    <x v="232"/>
    <x v="18"/>
    <x v="494"/>
    <x v="104"/>
    <x v="9"/>
    <x v="0"/>
  </r>
  <r>
    <x v="8"/>
    <x v="154"/>
    <x v="327"/>
    <x v="21"/>
    <x v="604"/>
    <x v="0"/>
    <x v="14"/>
    <x v="0"/>
  </r>
  <r>
    <x v="53"/>
    <x v="154"/>
    <x v="437"/>
    <x v="21"/>
    <x v="687"/>
    <x v="0"/>
    <x v="77"/>
    <x v="0"/>
  </r>
  <r>
    <x v="53"/>
    <x v="163"/>
    <x v="437"/>
    <x v="21"/>
    <x v="687"/>
    <x v="0"/>
    <x v="77"/>
    <x v="0"/>
  </r>
  <r>
    <x v="15"/>
    <x v="171"/>
    <x v="232"/>
    <x v="18"/>
    <x v="591"/>
    <x v="7"/>
    <x v="9"/>
    <x v="0"/>
  </r>
  <r>
    <x v="0"/>
    <x v="171"/>
    <x v="242"/>
    <x v="18"/>
    <x v="527"/>
    <x v="71"/>
    <x v="9"/>
    <x v="0"/>
  </r>
  <r>
    <x v="8"/>
    <x v="171"/>
    <x v="327"/>
    <x v="21"/>
    <x v="603"/>
    <x v="0"/>
    <x v="13"/>
    <x v="0"/>
  </r>
  <r>
    <x v="53"/>
    <x v="171"/>
    <x v="437"/>
    <x v="21"/>
    <x v="684"/>
    <x v="0"/>
    <x v="74"/>
    <x v="0"/>
  </r>
  <r>
    <x v="53"/>
    <x v="179"/>
    <x v="437"/>
    <x v="21"/>
    <x v="684"/>
    <x v="0"/>
    <x v="74"/>
    <x v="0"/>
  </r>
  <r>
    <x v="3"/>
    <x v="188"/>
    <x v="28"/>
    <x v="18"/>
    <x v="525"/>
    <x v="73"/>
    <x v="9"/>
    <x v="0"/>
  </r>
  <r>
    <x v="38"/>
    <x v="188"/>
    <x v="39"/>
    <x v="18"/>
    <x v="165"/>
    <x v="423"/>
    <x v="9"/>
    <x v="0"/>
  </r>
  <r>
    <x v="8"/>
    <x v="188"/>
    <x v="327"/>
    <x v="21"/>
    <x v="640"/>
    <x v="0"/>
    <x v="45"/>
    <x v="0"/>
  </r>
  <r>
    <x v="53"/>
    <x v="188"/>
    <x v="437"/>
    <x v="21"/>
    <x v="661"/>
    <x v="0"/>
    <x v="58"/>
    <x v="0"/>
  </r>
  <r>
    <x v="41"/>
    <x v="209"/>
    <x v="37"/>
    <x v="18"/>
    <x v="498"/>
    <x v="100"/>
    <x v="9"/>
    <x v="0"/>
  </r>
  <r>
    <x v="49"/>
    <x v="209"/>
    <x v="55"/>
    <x v="18"/>
    <x v="152"/>
    <x v="436"/>
    <x v="9"/>
    <x v="0"/>
  </r>
  <r>
    <x v="15"/>
    <x v="209"/>
    <x v="79"/>
    <x v="18"/>
    <x v="571"/>
    <x v="27"/>
    <x v="9"/>
    <x v="0"/>
  </r>
  <r>
    <x v="15"/>
    <x v="209"/>
    <x v="96"/>
    <x v="18"/>
    <x v="314"/>
    <x v="281"/>
    <x v="9"/>
    <x v="0"/>
  </r>
  <r>
    <x v="15"/>
    <x v="209"/>
    <x v="147"/>
    <x v="18"/>
    <x v="545"/>
    <x v="53"/>
    <x v="9"/>
    <x v="0"/>
  </r>
  <r>
    <x v="15"/>
    <x v="209"/>
    <x v="160"/>
    <x v="18"/>
    <x v="571"/>
    <x v="27"/>
    <x v="9"/>
    <x v="0"/>
  </r>
  <r>
    <x v="15"/>
    <x v="209"/>
    <x v="176"/>
    <x v="18"/>
    <x v="440"/>
    <x v="157"/>
    <x v="9"/>
    <x v="0"/>
  </r>
  <r>
    <x v="63"/>
    <x v="209"/>
    <x v="199"/>
    <x v="18"/>
    <x v="279"/>
    <x v="316"/>
    <x v="9"/>
    <x v="0"/>
  </r>
  <r>
    <x v="28"/>
    <x v="209"/>
    <x v="208"/>
    <x v="18"/>
    <x v="457"/>
    <x v="140"/>
    <x v="9"/>
    <x v="0"/>
  </r>
  <r>
    <x v="28"/>
    <x v="209"/>
    <x v="214"/>
    <x v="18"/>
    <x v="544"/>
    <x v="54"/>
    <x v="9"/>
    <x v="0"/>
  </r>
  <r>
    <x v="28"/>
    <x v="209"/>
    <x v="214"/>
    <x v="18"/>
    <x v="455"/>
    <x v="142"/>
    <x v="9"/>
    <x v="0"/>
  </r>
  <r>
    <x v="53"/>
    <x v="209"/>
    <x v="442"/>
    <x v="21"/>
    <x v="88"/>
    <x v="0"/>
    <x v="9"/>
    <x v="0"/>
  </r>
  <r>
    <x v="53"/>
    <x v="209"/>
    <x v="436"/>
    <x v="21"/>
    <x v="88"/>
    <x v="0"/>
    <x v="9"/>
    <x v="0"/>
  </r>
  <r>
    <x v="15"/>
    <x v="209"/>
    <x v="231"/>
    <x v="18"/>
    <x v="574"/>
    <x v="24"/>
    <x v="9"/>
    <x v="0"/>
  </r>
  <r>
    <x v="38"/>
    <x v="209"/>
    <x v="234"/>
    <x v="18"/>
    <x v="273"/>
    <x v="322"/>
    <x v="9"/>
    <x v="0"/>
  </r>
  <r>
    <x v="9"/>
    <x v="209"/>
    <x v="316"/>
    <x v="6"/>
    <x v="14"/>
    <x v="525"/>
    <x v="9"/>
    <x v="0"/>
  </r>
  <r>
    <x v="8"/>
    <x v="209"/>
    <x v="327"/>
    <x v="21"/>
    <x v="661"/>
    <x v="0"/>
    <x v="58"/>
    <x v="0"/>
  </r>
  <r>
    <x v="15"/>
    <x v="218"/>
    <x v="232"/>
    <x v="18"/>
    <x v="591"/>
    <x v="7"/>
    <x v="9"/>
    <x v="0"/>
  </r>
  <r>
    <x v="15"/>
    <x v="225"/>
    <x v="183"/>
    <x v="18"/>
    <x v="571"/>
    <x v="27"/>
    <x v="9"/>
    <x v="0"/>
  </r>
  <r>
    <x v="15"/>
    <x v="231"/>
    <x v="42"/>
    <x v="18"/>
    <x v="84"/>
    <x v="497"/>
    <x v="9"/>
    <x v="0"/>
  </r>
  <r>
    <x v="15"/>
    <x v="231"/>
    <x v="88"/>
    <x v="18"/>
    <x v="373"/>
    <x v="223"/>
    <x v="9"/>
    <x v="0"/>
  </r>
  <r>
    <x v="15"/>
    <x v="231"/>
    <x v="239"/>
    <x v="18"/>
    <x v="440"/>
    <x v="157"/>
    <x v="9"/>
    <x v="0"/>
  </r>
  <r>
    <x v="15"/>
    <x v="231"/>
    <x v="239"/>
    <x v="18"/>
    <x v="525"/>
    <x v="73"/>
    <x v="9"/>
    <x v="0"/>
  </r>
  <r>
    <x v="41"/>
    <x v="240"/>
    <x v="47"/>
    <x v="18"/>
    <x v="481"/>
    <x v="117"/>
    <x v="9"/>
    <x v="0"/>
  </r>
  <r>
    <x v="15"/>
    <x v="240"/>
    <x v="137"/>
    <x v="18"/>
    <x v="571"/>
    <x v="27"/>
    <x v="9"/>
    <x v="0"/>
  </r>
  <r>
    <x v="15"/>
    <x v="240"/>
    <x v="232"/>
    <x v="18"/>
    <x v="591"/>
    <x v="7"/>
    <x v="9"/>
    <x v="0"/>
  </r>
  <r>
    <x v="48"/>
    <x v="240"/>
    <x v="505"/>
    <x v="6"/>
    <x v="803"/>
    <x v="0"/>
    <x v="131"/>
    <x v="0"/>
  </r>
  <r>
    <x v="52"/>
    <x v="240"/>
    <x v="508"/>
    <x v="21"/>
    <x v="821"/>
    <x v="0"/>
    <x v="141"/>
    <x v="0"/>
  </r>
  <r>
    <x v="53"/>
    <x v="240"/>
    <x v="1"/>
    <x v="21"/>
    <x v="21"/>
    <x v="0"/>
    <x v="2"/>
    <x v="0"/>
  </r>
  <r>
    <x v="53"/>
    <x v="240"/>
    <x v="437"/>
    <x v="21"/>
    <x v="793"/>
    <x v="0"/>
    <x v="127"/>
    <x v="0"/>
  </r>
  <r>
    <x v="53"/>
    <x v="240"/>
    <x v="439"/>
    <x v="21"/>
    <x v="601"/>
    <x v="0"/>
    <x v="12"/>
    <x v="0"/>
  </r>
  <r>
    <x v="53"/>
    <x v="16"/>
    <x v="441"/>
    <x v="21"/>
    <x v="601"/>
    <x v="0"/>
    <x v="12"/>
    <x v="1"/>
  </r>
  <r>
    <x v="18"/>
    <x v="16"/>
    <x v="496"/>
    <x v="6"/>
    <x v="440"/>
    <x v="157"/>
    <x v="9"/>
    <x v="1"/>
  </r>
  <r>
    <x v="15"/>
    <x v="16"/>
    <x v="43"/>
    <x v="18"/>
    <x v="580"/>
    <x v="18"/>
    <x v="9"/>
    <x v="1"/>
  </r>
  <r>
    <x v="15"/>
    <x v="16"/>
    <x v="85"/>
    <x v="18"/>
    <x v="343"/>
    <x v="253"/>
    <x v="9"/>
    <x v="1"/>
  </r>
  <r>
    <x v="15"/>
    <x v="16"/>
    <x v="141"/>
    <x v="18"/>
    <x v="590"/>
    <x v="8"/>
    <x v="9"/>
    <x v="1"/>
  </r>
  <r>
    <x v="15"/>
    <x v="16"/>
    <x v="185"/>
    <x v="18"/>
    <x v="367"/>
    <x v="229"/>
    <x v="9"/>
    <x v="1"/>
  </r>
  <r>
    <x v="28"/>
    <x v="16"/>
    <x v="208"/>
    <x v="18"/>
    <x v="457"/>
    <x v="140"/>
    <x v="9"/>
    <x v="1"/>
  </r>
  <r>
    <x v="15"/>
    <x v="16"/>
    <x v="232"/>
    <x v="18"/>
    <x v="591"/>
    <x v="7"/>
    <x v="9"/>
    <x v="1"/>
  </r>
  <r>
    <x v="38"/>
    <x v="16"/>
    <x v="234"/>
    <x v="18"/>
    <x v="278"/>
    <x v="317"/>
    <x v="9"/>
    <x v="1"/>
  </r>
  <r>
    <x v="8"/>
    <x v="16"/>
    <x v="321"/>
    <x v="21"/>
    <x v="467"/>
    <x v="131"/>
    <x v="9"/>
    <x v="1"/>
  </r>
  <r>
    <x v="8"/>
    <x v="16"/>
    <x v="327"/>
    <x v="21"/>
    <x v="656"/>
    <x v="0"/>
    <x v="55"/>
    <x v="1"/>
  </r>
  <r>
    <x v="53"/>
    <x v="16"/>
    <x v="437"/>
    <x v="21"/>
    <x v="783"/>
    <x v="0"/>
    <x v="122"/>
    <x v="1"/>
  </r>
  <r>
    <x v="13"/>
    <x v="25"/>
    <x v="270"/>
    <x v="6"/>
    <x v="199"/>
    <x v="391"/>
    <x v="9"/>
    <x v="1"/>
  </r>
  <r>
    <x v="38"/>
    <x v="25"/>
    <x v="39"/>
    <x v="18"/>
    <x v="208"/>
    <x v="382"/>
    <x v="9"/>
    <x v="1"/>
  </r>
  <r>
    <x v="3"/>
    <x v="25"/>
    <x v="63"/>
    <x v="18"/>
    <x v="228"/>
    <x v="363"/>
    <x v="9"/>
    <x v="1"/>
  </r>
  <r>
    <x v="28"/>
    <x v="25"/>
    <x v="208"/>
    <x v="18"/>
    <x v="256"/>
    <x v="339"/>
    <x v="9"/>
    <x v="1"/>
  </r>
  <r>
    <x v="38"/>
    <x v="25"/>
    <x v="235"/>
    <x v="18"/>
    <x v="362"/>
    <x v="234"/>
    <x v="9"/>
    <x v="1"/>
  </r>
  <r>
    <x v="56"/>
    <x v="25"/>
    <x v="313"/>
    <x v="6"/>
    <x v="68"/>
    <x v="505"/>
    <x v="9"/>
    <x v="1"/>
  </r>
  <r>
    <x v="8"/>
    <x v="25"/>
    <x v="327"/>
    <x v="21"/>
    <x v="745"/>
    <x v="0"/>
    <x v="106"/>
    <x v="1"/>
  </r>
  <r>
    <x v="53"/>
    <x v="25"/>
    <x v="437"/>
    <x v="21"/>
    <x v="732"/>
    <x v="0"/>
    <x v="96"/>
    <x v="1"/>
  </r>
  <r>
    <x v="13"/>
    <x v="32"/>
    <x v="273"/>
    <x v="6"/>
    <x v="252"/>
    <x v="342"/>
    <x v="9"/>
    <x v="1"/>
  </r>
  <r>
    <x v="8"/>
    <x v="32"/>
    <x v="481"/>
    <x v="19"/>
    <x v="221"/>
    <x v="369"/>
    <x v="9"/>
    <x v="1"/>
  </r>
  <r>
    <x v="8"/>
    <x v="32"/>
    <x v="327"/>
    <x v="21"/>
    <x v="643"/>
    <x v="0"/>
    <x v="47"/>
    <x v="1"/>
  </r>
  <r>
    <x v="53"/>
    <x v="32"/>
    <x v="437"/>
    <x v="21"/>
    <x v="714"/>
    <x v="0"/>
    <x v="90"/>
    <x v="1"/>
  </r>
  <r>
    <x v="3"/>
    <x v="40"/>
    <x v="28"/>
    <x v="18"/>
    <x v="525"/>
    <x v="73"/>
    <x v="9"/>
    <x v="1"/>
  </r>
  <r>
    <x v="15"/>
    <x v="40"/>
    <x v="122"/>
    <x v="18"/>
    <x v="413"/>
    <x v="184"/>
    <x v="9"/>
    <x v="1"/>
  </r>
  <r>
    <x v="15"/>
    <x v="40"/>
    <x v="125"/>
    <x v="18"/>
    <x v="541"/>
    <x v="57"/>
    <x v="9"/>
    <x v="1"/>
  </r>
  <r>
    <x v="41"/>
    <x v="40"/>
    <x v="146"/>
    <x v="18"/>
    <x v="560"/>
    <x v="38"/>
    <x v="9"/>
    <x v="1"/>
  </r>
  <r>
    <x v="15"/>
    <x v="40"/>
    <x v="150"/>
    <x v="18"/>
    <x v="590"/>
    <x v="8"/>
    <x v="9"/>
    <x v="1"/>
  </r>
  <r>
    <x v="15"/>
    <x v="40"/>
    <x v="184"/>
    <x v="18"/>
    <x v="571"/>
    <x v="27"/>
    <x v="9"/>
    <x v="1"/>
  </r>
  <r>
    <x v="8"/>
    <x v="40"/>
    <x v="327"/>
    <x v="21"/>
    <x v="618"/>
    <x v="0"/>
    <x v="27"/>
    <x v="1"/>
  </r>
  <r>
    <x v="53"/>
    <x v="40"/>
    <x v="437"/>
    <x v="21"/>
    <x v="707"/>
    <x v="0"/>
    <x v="85"/>
    <x v="1"/>
  </r>
  <r>
    <x v="53"/>
    <x v="49"/>
    <x v="437"/>
    <x v="21"/>
    <x v="707"/>
    <x v="0"/>
    <x v="85"/>
    <x v="1"/>
  </r>
  <r>
    <x v="9"/>
    <x v="73"/>
    <x v="260"/>
    <x v="6"/>
    <x v="366"/>
    <x v="230"/>
    <x v="9"/>
    <x v="1"/>
  </r>
  <r>
    <x v="41"/>
    <x v="73"/>
    <x v="37"/>
    <x v="18"/>
    <x v="589"/>
    <x v="9"/>
    <x v="9"/>
    <x v="1"/>
  </r>
  <r>
    <x v="3"/>
    <x v="73"/>
    <x v="59"/>
    <x v="18"/>
    <x v="594"/>
    <x v="4"/>
    <x v="9"/>
    <x v="1"/>
  </r>
  <r>
    <x v="15"/>
    <x v="73"/>
    <x v="79"/>
    <x v="18"/>
    <x v="571"/>
    <x v="27"/>
    <x v="9"/>
    <x v="1"/>
  </r>
  <r>
    <x v="29"/>
    <x v="73"/>
    <x v="82"/>
    <x v="18"/>
    <x v="580"/>
    <x v="18"/>
    <x v="9"/>
    <x v="1"/>
  </r>
  <r>
    <x v="15"/>
    <x v="73"/>
    <x v="113"/>
    <x v="18"/>
    <x v="506"/>
    <x v="92"/>
    <x v="9"/>
    <x v="1"/>
  </r>
  <r>
    <x v="15"/>
    <x v="73"/>
    <x v="159"/>
    <x v="18"/>
    <x v="571"/>
    <x v="27"/>
    <x v="9"/>
    <x v="1"/>
  </r>
  <r>
    <x v="15"/>
    <x v="73"/>
    <x v="160"/>
    <x v="18"/>
    <x v="571"/>
    <x v="27"/>
    <x v="9"/>
    <x v="1"/>
  </r>
  <r>
    <x v="15"/>
    <x v="73"/>
    <x v="162"/>
    <x v="18"/>
    <x v="560"/>
    <x v="38"/>
    <x v="9"/>
    <x v="1"/>
  </r>
  <r>
    <x v="15"/>
    <x v="73"/>
    <x v="165"/>
    <x v="18"/>
    <x v="580"/>
    <x v="18"/>
    <x v="9"/>
    <x v="1"/>
  </r>
  <r>
    <x v="15"/>
    <x v="73"/>
    <x v="182"/>
    <x v="18"/>
    <x v="560"/>
    <x v="38"/>
    <x v="9"/>
    <x v="1"/>
  </r>
  <r>
    <x v="15"/>
    <x v="73"/>
    <x v="190"/>
    <x v="18"/>
    <x v="571"/>
    <x v="27"/>
    <x v="9"/>
    <x v="1"/>
  </r>
  <r>
    <x v="28"/>
    <x v="73"/>
    <x v="213"/>
    <x v="18"/>
    <x v="288"/>
    <x v="307"/>
    <x v="9"/>
    <x v="1"/>
  </r>
  <r>
    <x v="3"/>
    <x v="73"/>
    <x v="215"/>
    <x v="18"/>
    <x v="379"/>
    <x v="217"/>
    <x v="9"/>
    <x v="1"/>
  </r>
  <r>
    <x v="15"/>
    <x v="73"/>
    <x v="217"/>
    <x v="18"/>
    <x v="318"/>
    <x v="277"/>
    <x v="9"/>
    <x v="1"/>
  </r>
  <r>
    <x v="38"/>
    <x v="73"/>
    <x v="234"/>
    <x v="18"/>
    <x v="134"/>
    <x v="453"/>
    <x v="9"/>
    <x v="1"/>
  </r>
  <r>
    <x v="15"/>
    <x v="73"/>
    <x v="241"/>
    <x v="18"/>
    <x v="508"/>
    <x v="90"/>
    <x v="9"/>
    <x v="1"/>
  </r>
  <r>
    <x v="8"/>
    <x v="73"/>
    <x v="476"/>
    <x v="19"/>
    <x v="557"/>
    <x v="41"/>
    <x v="9"/>
    <x v="1"/>
  </r>
  <r>
    <x v="8"/>
    <x v="73"/>
    <x v="327"/>
    <x v="21"/>
    <x v="696"/>
    <x v="0"/>
    <x v="81"/>
    <x v="1"/>
  </r>
  <r>
    <x v="53"/>
    <x v="73"/>
    <x v="437"/>
    <x v="21"/>
    <x v="619"/>
    <x v="0"/>
    <x v="28"/>
    <x v="1"/>
  </r>
  <r>
    <x v="54"/>
    <x v="81"/>
    <x v="10"/>
    <x v="2"/>
    <x v="440"/>
    <x v="157"/>
    <x v="9"/>
    <x v="1"/>
  </r>
  <r>
    <x v="53"/>
    <x v="81"/>
    <x v="442"/>
    <x v="21"/>
    <x v="525"/>
    <x v="0"/>
    <x v="9"/>
    <x v="1"/>
  </r>
  <r>
    <x v="53"/>
    <x v="81"/>
    <x v="436"/>
    <x v="21"/>
    <x v="525"/>
    <x v="0"/>
    <x v="9"/>
    <x v="1"/>
  </r>
  <r>
    <x v="41"/>
    <x v="81"/>
    <x v="47"/>
    <x v="18"/>
    <x v="495"/>
    <x v="103"/>
    <x v="9"/>
    <x v="1"/>
  </r>
  <r>
    <x v="15"/>
    <x v="81"/>
    <x v="244"/>
    <x v="18"/>
    <x v="527"/>
    <x v="71"/>
    <x v="9"/>
    <x v="1"/>
  </r>
  <r>
    <x v="8"/>
    <x v="81"/>
    <x v="327"/>
    <x v="21"/>
    <x v="619"/>
    <x v="0"/>
    <x v="28"/>
    <x v="1"/>
  </r>
  <r>
    <x v="54"/>
    <x v="88"/>
    <x v="8"/>
    <x v="3"/>
    <x v="440"/>
    <x v="157"/>
    <x v="9"/>
    <x v="1"/>
  </r>
  <r>
    <x v="54"/>
    <x v="88"/>
    <x v="12"/>
    <x v="5"/>
    <x v="279"/>
    <x v="316"/>
    <x v="9"/>
    <x v="1"/>
  </r>
  <r>
    <x v="38"/>
    <x v="88"/>
    <x v="253"/>
    <x v="18"/>
    <x v="528"/>
    <x v="70"/>
    <x v="9"/>
    <x v="1"/>
  </r>
  <r>
    <x v="15"/>
    <x v="95"/>
    <x v="35"/>
    <x v="18"/>
    <x v="86"/>
    <x v="495"/>
    <x v="9"/>
    <x v="1"/>
  </r>
  <r>
    <x v="15"/>
    <x v="95"/>
    <x v="224"/>
    <x v="18"/>
    <x v="449"/>
    <x v="148"/>
    <x v="9"/>
    <x v="1"/>
  </r>
  <r>
    <x v="15"/>
    <x v="95"/>
    <x v="232"/>
    <x v="18"/>
    <x v="497"/>
    <x v="101"/>
    <x v="9"/>
    <x v="1"/>
  </r>
  <r>
    <x v="9"/>
    <x v="104"/>
    <x v="262"/>
    <x v="6"/>
    <x v="75"/>
    <x v="502"/>
    <x v="9"/>
    <x v="1"/>
  </r>
  <r>
    <x v="15"/>
    <x v="104"/>
    <x v="34"/>
    <x v="18"/>
    <x v="560"/>
    <x v="38"/>
    <x v="9"/>
    <x v="1"/>
  </r>
  <r>
    <x v="12"/>
    <x v="104"/>
    <x v="266"/>
    <x v="6"/>
    <x v="13"/>
    <x v="526"/>
    <x v="9"/>
    <x v="1"/>
  </r>
  <r>
    <x v="52"/>
    <x v="104"/>
    <x v="508"/>
    <x v="21"/>
    <x v="830"/>
    <x v="0"/>
    <x v="148"/>
    <x v="1"/>
  </r>
  <r>
    <x v="53"/>
    <x v="104"/>
    <x v="1"/>
    <x v="21"/>
    <x v="56"/>
    <x v="0"/>
    <x v="7"/>
    <x v="1"/>
  </r>
  <r>
    <x v="53"/>
    <x v="104"/>
    <x v="437"/>
    <x v="21"/>
    <x v="729"/>
    <x v="0"/>
    <x v="95"/>
    <x v="1"/>
  </r>
  <r>
    <x v="32"/>
    <x v="130"/>
    <x v="265"/>
    <x v="6"/>
    <x v="79"/>
    <x v="499"/>
    <x v="9"/>
    <x v="1"/>
  </r>
  <r>
    <x v="38"/>
    <x v="130"/>
    <x v="95"/>
    <x v="18"/>
    <x v="594"/>
    <x v="4"/>
    <x v="9"/>
    <x v="1"/>
  </r>
  <r>
    <x v="38"/>
    <x v="130"/>
    <x v="130"/>
    <x v="18"/>
    <x v="590"/>
    <x v="8"/>
    <x v="9"/>
    <x v="1"/>
  </r>
  <r>
    <x v="15"/>
    <x v="130"/>
    <x v="178"/>
    <x v="18"/>
    <x v="498"/>
    <x v="100"/>
    <x v="9"/>
    <x v="1"/>
  </r>
  <r>
    <x v="31"/>
    <x v="130"/>
    <x v="206"/>
    <x v="18"/>
    <x v="318"/>
    <x v="277"/>
    <x v="9"/>
    <x v="1"/>
  </r>
  <r>
    <x v="15"/>
    <x v="130"/>
    <x v="229"/>
    <x v="18"/>
    <x v="571"/>
    <x v="27"/>
    <x v="9"/>
    <x v="1"/>
  </r>
  <r>
    <x v="15"/>
    <x v="130"/>
    <x v="232"/>
    <x v="18"/>
    <x v="591"/>
    <x v="7"/>
    <x v="9"/>
    <x v="1"/>
  </r>
  <r>
    <x v="22"/>
    <x v="130"/>
    <x v="20"/>
    <x v="19"/>
    <x v="227"/>
    <x v="364"/>
    <x v="9"/>
    <x v="1"/>
  </r>
  <r>
    <x v="8"/>
    <x v="130"/>
    <x v="327"/>
    <x v="21"/>
    <x v="711"/>
    <x v="0"/>
    <x v="88"/>
    <x v="1"/>
  </r>
  <r>
    <x v="53"/>
    <x v="130"/>
    <x v="437"/>
    <x v="21"/>
    <x v="641"/>
    <x v="0"/>
    <x v="46"/>
    <x v="1"/>
  </r>
  <r>
    <x v="15"/>
    <x v="139"/>
    <x v="232"/>
    <x v="18"/>
    <x v="591"/>
    <x v="7"/>
    <x v="9"/>
    <x v="1"/>
  </r>
  <r>
    <x v="56"/>
    <x v="139"/>
    <x v="302"/>
    <x v="6"/>
    <x v="92"/>
    <x v="491"/>
    <x v="9"/>
    <x v="1"/>
  </r>
  <r>
    <x v="8"/>
    <x v="139"/>
    <x v="327"/>
    <x v="21"/>
    <x v="641"/>
    <x v="0"/>
    <x v="46"/>
    <x v="1"/>
  </r>
  <r>
    <x v="15"/>
    <x v="147"/>
    <x v="232"/>
    <x v="18"/>
    <x v="526"/>
    <x v="72"/>
    <x v="9"/>
    <x v="1"/>
  </r>
  <r>
    <x v="9"/>
    <x v="147"/>
    <x v="263"/>
    <x v="6"/>
    <x v="199"/>
    <x v="391"/>
    <x v="9"/>
    <x v="1"/>
  </r>
  <r>
    <x v="38"/>
    <x v="155"/>
    <x v="130"/>
    <x v="18"/>
    <x v="586"/>
    <x v="12"/>
    <x v="9"/>
    <x v="1"/>
  </r>
  <r>
    <x v="15"/>
    <x v="155"/>
    <x v="232"/>
    <x v="18"/>
    <x v="591"/>
    <x v="7"/>
    <x v="9"/>
    <x v="1"/>
  </r>
  <r>
    <x v="0"/>
    <x v="155"/>
    <x v="242"/>
    <x v="18"/>
    <x v="169"/>
    <x v="419"/>
    <x v="9"/>
    <x v="1"/>
  </r>
  <r>
    <x v="15"/>
    <x v="164"/>
    <x v="191"/>
    <x v="18"/>
    <x v="400"/>
    <x v="197"/>
    <x v="9"/>
    <x v="1"/>
  </r>
  <r>
    <x v="15"/>
    <x v="164"/>
    <x v="192"/>
    <x v="18"/>
    <x v="507"/>
    <x v="91"/>
    <x v="9"/>
    <x v="1"/>
  </r>
  <r>
    <x v="15"/>
    <x v="164"/>
    <x v="204"/>
    <x v="18"/>
    <x v="565"/>
    <x v="33"/>
    <x v="9"/>
    <x v="1"/>
  </r>
  <r>
    <x v="28"/>
    <x v="164"/>
    <x v="207"/>
    <x v="18"/>
    <x v="441"/>
    <x v="156"/>
    <x v="9"/>
    <x v="1"/>
  </r>
  <r>
    <x v="54"/>
    <x v="203"/>
    <x v="14"/>
    <x v="10"/>
    <x v="185"/>
    <x v="404"/>
    <x v="9"/>
    <x v="1"/>
  </r>
  <r>
    <x v="31"/>
    <x v="203"/>
    <x v="41"/>
    <x v="18"/>
    <x v="105"/>
    <x v="478"/>
    <x v="9"/>
    <x v="1"/>
  </r>
  <r>
    <x v="3"/>
    <x v="203"/>
    <x v="48"/>
    <x v="18"/>
    <x v="406"/>
    <x v="191"/>
    <x v="9"/>
    <x v="1"/>
  </r>
  <r>
    <x v="3"/>
    <x v="203"/>
    <x v="58"/>
    <x v="18"/>
    <x v="314"/>
    <x v="281"/>
    <x v="9"/>
    <x v="1"/>
  </r>
  <r>
    <x v="29"/>
    <x v="203"/>
    <x v="82"/>
    <x v="18"/>
    <x v="555"/>
    <x v="43"/>
    <x v="9"/>
    <x v="1"/>
  </r>
  <r>
    <x v="15"/>
    <x v="203"/>
    <x v="98"/>
    <x v="18"/>
    <x v="496"/>
    <x v="102"/>
    <x v="9"/>
    <x v="1"/>
  </r>
  <r>
    <x v="15"/>
    <x v="203"/>
    <x v="108"/>
    <x v="18"/>
    <x v="525"/>
    <x v="73"/>
    <x v="9"/>
    <x v="1"/>
  </r>
  <r>
    <x v="15"/>
    <x v="203"/>
    <x v="111"/>
    <x v="18"/>
    <x v="290"/>
    <x v="305"/>
    <x v="9"/>
    <x v="1"/>
  </r>
  <r>
    <x v="15"/>
    <x v="203"/>
    <x v="135"/>
    <x v="18"/>
    <x v="517"/>
    <x v="81"/>
    <x v="9"/>
    <x v="1"/>
  </r>
  <r>
    <x v="38"/>
    <x v="203"/>
    <x v="143"/>
    <x v="18"/>
    <x v="264"/>
    <x v="331"/>
    <x v="9"/>
    <x v="1"/>
  </r>
  <r>
    <x v="15"/>
    <x v="203"/>
    <x v="166"/>
    <x v="18"/>
    <x v="440"/>
    <x v="157"/>
    <x v="9"/>
    <x v="1"/>
  </r>
  <r>
    <x v="15"/>
    <x v="203"/>
    <x v="189"/>
    <x v="18"/>
    <x v="560"/>
    <x v="38"/>
    <x v="9"/>
    <x v="1"/>
  </r>
  <r>
    <x v="35"/>
    <x v="203"/>
    <x v="202"/>
    <x v="18"/>
    <x v="206"/>
    <x v="384"/>
    <x v="9"/>
    <x v="1"/>
  </r>
  <r>
    <x v="15"/>
    <x v="203"/>
    <x v="232"/>
    <x v="18"/>
    <x v="591"/>
    <x v="7"/>
    <x v="9"/>
    <x v="1"/>
  </r>
  <r>
    <x v="38"/>
    <x v="203"/>
    <x v="234"/>
    <x v="18"/>
    <x v="334"/>
    <x v="262"/>
    <x v="9"/>
    <x v="1"/>
  </r>
  <r>
    <x v="38"/>
    <x v="203"/>
    <x v="235"/>
    <x v="18"/>
    <x v="195"/>
    <x v="395"/>
    <x v="9"/>
    <x v="1"/>
  </r>
  <r>
    <x v="53"/>
    <x v="203"/>
    <x v="442"/>
    <x v="21"/>
    <x v="32"/>
    <x v="0"/>
    <x v="9"/>
    <x v="1"/>
  </r>
  <r>
    <x v="53"/>
    <x v="203"/>
    <x v="436"/>
    <x v="21"/>
    <x v="32"/>
    <x v="0"/>
    <x v="9"/>
    <x v="1"/>
  </r>
  <r>
    <x v="3"/>
    <x v="203"/>
    <x v="243"/>
    <x v="18"/>
    <x v="432"/>
    <x v="165"/>
    <x v="9"/>
    <x v="1"/>
  </r>
  <r>
    <x v="25"/>
    <x v="203"/>
    <x v="502"/>
    <x v="6"/>
    <x v="653"/>
    <x v="0"/>
    <x v="54"/>
    <x v="1"/>
  </r>
  <r>
    <x v="15"/>
    <x v="210"/>
    <x v="232"/>
    <x v="18"/>
    <x v="587"/>
    <x v="11"/>
    <x v="9"/>
    <x v="1"/>
  </r>
  <r>
    <x v="15"/>
    <x v="219"/>
    <x v="232"/>
    <x v="18"/>
    <x v="591"/>
    <x v="7"/>
    <x v="9"/>
    <x v="1"/>
  </r>
  <r>
    <x v="52"/>
    <x v="219"/>
    <x v="508"/>
    <x v="21"/>
    <x v="813"/>
    <x v="0"/>
    <x v="137"/>
    <x v="1"/>
  </r>
  <r>
    <x v="53"/>
    <x v="219"/>
    <x v="1"/>
    <x v="21"/>
    <x v="24"/>
    <x v="0"/>
    <x v="4"/>
    <x v="1"/>
  </r>
  <r>
    <x v="53"/>
    <x v="219"/>
    <x v="437"/>
    <x v="21"/>
    <x v="788"/>
    <x v="0"/>
    <x v="125"/>
    <x v="1"/>
  </r>
  <r>
    <x v="53"/>
    <x v="219"/>
    <x v="439"/>
    <x v="21"/>
    <x v="601"/>
    <x v="0"/>
    <x v="12"/>
    <x v="1"/>
  </r>
  <r>
    <x v="53"/>
    <x v="8"/>
    <x v="441"/>
    <x v="21"/>
    <x v="601"/>
    <x v="0"/>
    <x v="12"/>
    <x v="2"/>
  </r>
  <r>
    <x v="54"/>
    <x v="8"/>
    <x v="13"/>
    <x v="10"/>
    <x v="143"/>
    <x v="445"/>
    <x v="9"/>
    <x v="2"/>
  </r>
  <r>
    <x v="15"/>
    <x v="8"/>
    <x v="61"/>
    <x v="18"/>
    <x v="440"/>
    <x v="157"/>
    <x v="9"/>
    <x v="2"/>
  </r>
  <r>
    <x v="3"/>
    <x v="8"/>
    <x v="63"/>
    <x v="18"/>
    <x v="374"/>
    <x v="222"/>
    <x v="9"/>
    <x v="2"/>
  </r>
  <r>
    <x v="15"/>
    <x v="8"/>
    <x v="163"/>
    <x v="18"/>
    <x v="541"/>
    <x v="57"/>
    <x v="9"/>
    <x v="2"/>
  </r>
  <r>
    <x v="15"/>
    <x v="8"/>
    <x v="247"/>
    <x v="18"/>
    <x v="525"/>
    <x v="73"/>
    <x v="9"/>
    <x v="2"/>
  </r>
  <r>
    <x v="56"/>
    <x v="8"/>
    <x v="298"/>
    <x v="6"/>
    <x v="92"/>
    <x v="491"/>
    <x v="9"/>
    <x v="2"/>
  </r>
  <r>
    <x v="8"/>
    <x v="8"/>
    <x v="321"/>
    <x v="21"/>
    <x v="559"/>
    <x v="39"/>
    <x v="9"/>
    <x v="2"/>
  </r>
  <r>
    <x v="8"/>
    <x v="8"/>
    <x v="327"/>
    <x v="21"/>
    <x v="713"/>
    <x v="0"/>
    <x v="89"/>
    <x v="2"/>
  </r>
  <r>
    <x v="53"/>
    <x v="8"/>
    <x v="437"/>
    <x v="21"/>
    <x v="754"/>
    <x v="0"/>
    <x v="112"/>
    <x v="2"/>
  </r>
  <r>
    <x v="8"/>
    <x v="17"/>
    <x v="480"/>
    <x v="19"/>
    <x v="221"/>
    <x v="369"/>
    <x v="9"/>
    <x v="2"/>
  </r>
  <r>
    <x v="8"/>
    <x v="17"/>
    <x v="327"/>
    <x v="21"/>
    <x v="625"/>
    <x v="0"/>
    <x v="33"/>
    <x v="2"/>
  </r>
  <r>
    <x v="53"/>
    <x v="17"/>
    <x v="437"/>
    <x v="21"/>
    <x v="750"/>
    <x v="0"/>
    <x v="109"/>
    <x v="2"/>
  </r>
  <r>
    <x v="53"/>
    <x v="26"/>
    <x v="437"/>
    <x v="21"/>
    <x v="750"/>
    <x v="0"/>
    <x v="109"/>
    <x v="2"/>
  </r>
  <r>
    <x v="33"/>
    <x v="33"/>
    <x v="322"/>
    <x v="21"/>
    <x v="484"/>
    <x v="114"/>
    <x v="9"/>
    <x v="2"/>
  </r>
  <r>
    <x v="8"/>
    <x v="33"/>
    <x v="327"/>
    <x v="21"/>
    <x v="606"/>
    <x v="0"/>
    <x v="16"/>
    <x v="2"/>
  </r>
  <r>
    <x v="53"/>
    <x v="33"/>
    <x v="437"/>
    <x v="21"/>
    <x v="749"/>
    <x v="0"/>
    <x v="108"/>
    <x v="2"/>
  </r>
  <r>
    <x v="54"/>
    <x v="41"/>
    <x v="472"/>
    <x v="5"/>
    <x v="185"/>
    <x v="404"/>
    <x v="9"/>
    <x v="2"/>
  </r>
  <r>
    <x v="15"/>
    <x v="41"/>
    <x v="341"/>
    <x v="8"/>
    <x v="279"/>
    <x v="316"/>
    <x v="9"/>
    <x v="2"/>
  </r>
  <r>
    <x v="8"/>
    <x v="41"/>
    <x v="327"/>
    <x v="21"/>
    <x v="646"/>
    <x v="0"/>
    <x v="49"/>
    <x v="2"/>
  </r>
  <r>
    <x v="53"/>
    <x v="41"/>
    <x v="437"/>
    <x v="21"/>
    <x v="743"/>
    <x v="0"/>
    <x v="105"/>
    <x v="2"/>
  </r>
  <r>
    <x v="54"/>
    <x v="65"/>
    <x v="18"/>
    <x v="4"/>
    <x v="68"/>
    <x v="505"/>
    <x v="9"/>
    <x v="2"/>
  </r>
  <r>
    <x v="28"/>
    <x v="65"/>
    <x v="353"/>
    <x v="8"/>
    <x v="230"/>
    <x v="361"/>
    <x v="9"/>
    <x v="2"/>
  </r>
  <r>
    <x v="15"/>
    <x v="65"/>
    <x v="374"/>
    <x v="8"/>
    <x v="401"/>
    <x v="196"/>
    <x v="9"/>
    <x v="2"/>
  </r>
  <r>
    <x v="22"/>
    <x v="65"/>
    <x v="20"/>
    <x v="19"/>
    <x v="227"/>
    <x v="364"/>
    <x v="9"/>
    <x v="2"/>
  </r>
  <r>
    <x v="8"/>
    <x v="65"/>
    <x v="327"/>
    <x v="21"/>
    <x v="733"/>
    <x v="0"/>
    <x v="97"/>
    <x v="2"/>
  </r>
  <r>
    <x v="53"/>
    <x v="65"/>
    <x v="326"/>
    <x v="21"/>
    <x v="598"/>
    <x v="0"/>
    <x v="10"/>
    <x v="2"/>
  </r>
  <r>
    <x v="53"/>
    <x v="65"/>
    <x v="437"/>
    <x v="21"/>
    <x v="637"/>
    <x v="0"/>
    <x v="42"/>
    <x v="2"/>
  </r>
  <r>
    <x v="15"/>
    <x v="74"/>
    <x v="403"/>
    <x v="8"/>
    <x v="279"/>
    <x v="316"/>
    <x v="9"/>
    <x v="2"/>
  </r>
  <r>
    <x v="15"/>
    <x v="74"/>
    <x v="412"/>
    <x v="8"/>
    <x v="591"/>
    <x v="7"/>
    <x v="9"/>
    <x v="2"/>
  </r>
  <r>
    <x v="8"/>
    <x v="74"/>
    <x v="476"/>
    <x v="19"/>
    <x v="557"/>
    <x v="41"/>
    <x v="9"/>
    <x v="2"/>
  </r>
  <r>
    <x v="8"/>
    <x v="74"/>
    <x v="327"/>
    <x v="21"/>
    <x v="620"/>
    <x v="0"/>
    <x v="29"/>
    <x v="2"/>
  </r>
  <r>
    <x v="53"/>
    <x v="74"/>
    <x v="437"/>
    <x v="21"/>
    <x v="621"/>
    <x v="0"/>
    <x v="30"/>
    <x v="2"/>
  </r>
  <r>
    <x v="15"/>
    <x v="82"/>
    <x v="375"/>
    <x v="8"/>
    <x v="108"/>
    <x v="475"/>
    <x v="9"/>
    <x v="2"/>
  </r>
  <r>
    <x v="15"/>
    <x v="82"/>
    <x v="410"/>
    <x v="8"/>
    <x v="337"/>
    <x v="259"/>
    <x v="9"/>
    <x v="2"/>
  </r>
  <r>
    <x v="15"/>
    <x v="82"/>
    <x v="411"/>
    <x v="8"/>
    <x v="405"/>
    <x v="192"/>
    <x v="9"/>
    <x v="2"/>
  </r>
  <r>
    <x v="8"/>
    <x v="82"/>
    <x v="327"/>
    <x v="21"/>
    <x v="621"/>
    <x v="0"/>
    <x v="30"/>
    <x v="2"/>
  </r>
  <r>
    <x v="3"/>
    <x v="89"/>
    <x v="378"/>
    <x v="8"/>
    <x v="446"/>
    <x v="151"/>
    <x v="9"/>
    <x v="2"/>
  </r>
  <r>
    <x v="3"/>
    <x v="89"/>
    <x v="378"/>
    <x v="8"/>
    <x v="489"/>
    <x v="109"/>
    <x v="9"/>
    <x v="2"/>
  </r>
  <r>
    <x v="38"/>
    <x v="89"/>
    <x v="425"/>
    <x v="8"/>
    <x v="417"/>
    <x v="180"/>
    <x v="9"/>
    <x v="2"/>
  </r>
  <r>
    <x v="13"/>
    <x v="89"/>
    <x v="288"/>
    <x v="6"/>
    <x v="252"/>
    <x v="342"/>
    <x v="9"/>
    <x v="2"/>
  </r>
  <r>
    <x v="13"/>
    <x v="89"/>
    <x v="288"/>
    <x v="6"/>
    <x v="199"/>
    <x v="391"/>
    <x v="9"/>
    <x v="2"/>
  </r>
  <r>
    <x v="15"/>
    <x v="96"/>
    <x v="394"/>
    <x v="8"/>
    <x v="565"/>
    <x v="33"/>
    <x v="9"/>
    <x v="2"/>
  </r>
  <r>
    <x v="15"/>
    <x v="96"/>
    <x v="399"/>
    <x v="8"/>
    <x v="393"/>
    <x v="204"/>
    <x v="9"/>
    <x v="2"/>
  </r>
  <r>
    <x v="15"/>
    <x v="96"/>
    <x v="400"/>
    <x v="8"/>
    <x v="447"/>
    <x v="150"/>
    <x v="9"/>
    <x v="2"/>
  </r>
  <r>
    <x v="15"/>
    <x v="96"/>
    <x v="406"/>
    <x v="8"/>
    <x v="415"/>
    <x v="182"/>
    <x v="9"/>
    <x v="2"/>
  </r>
  <r>
    <x v="15"/>
    <x v="96"/>
    <x v="413"/>
    <x v="8"/>
    <x v="591"/>
    <x v="7"/>
    <x v="9"/>
    <x v="2"/>
  </r>
  <r>
    <x v="23"/>
    <x v="96"/>
    <x v="264"/>
    <x v="6"/>
    <x v="569"/>
    <x v="29"/>
    <x v="9"/>
    <x v="2"/>
  </r>
  <r>
    <x v="32"/>
    <x v="96"/>
    <x v="265"/>
    <x v="6"/>
    <x v="79"/>
    <x v="499"/>
    <x v="9"/>
    <x v="2"/>
  </r>
  <r>
    <x v="12"/>
    <x v="96"/>
    <x v="266"/>
    <x v="6"/>
    <x v="11"/>
    <x v="528"/>
    <x v="9"/>
    <x v="2"/>
  </r>
  <r>
    <x v="48"/>
    <x v="96"/>
    <x v="505"/>
    <x v="6"/>
    <x v="803"/>
    <x v="0"/>
    <x v="131"/>
    <x v="2"/>
  </r>
  <r>
    <x v="52"/>
    <x v="96"/>
    <x v="508"/>
    <x v="21"/>
    <x v="830"/>
    <x v="0"/>
    <x v="148"/>
    <x v="2"/>
  </r>
  <r>
    <x v="53"/>
    <x v="96"/>
    <x v="1"/>
    <x v="21"/>
    <x v="17"/>
    <x v="0"/>
    <x v="1"/>
    <x v="2"/>
  </r>
  <r>
    <x v="53"/>
    <x v="96"/>
    <x v="437"/>
    <x v="21"/>
    <x v="812"/>
    <x v="0"/>
    <x v="136"/>
    <x v="2"/>
  </r>
  <r>
    <x v="53"/>
    <x v="96"/>
    <x v="442"/>
    <x v="21"/>
    <x v="601"/>
    <x v="0"/>
    <x v="12"/>
    <x v="2"/>
  </r>
  <r>
    <x v="53"/>
    <x v="96"/>
    <x v="436"/>
    <x v="21"/>
    <x v="601"/>
    <x v="0"/>
    <x v="9"/>
    <x v="2"/>
  </r>
  <r>
    <x v="64"/>
    <x v="121"/>
    <x v="366"/>
    <x v="8"/>
    <x v="87"/>
    <x v="494"/>
    <x v="9"/>
    <x v="2"/>
  </r>
  <r>
    <x v="64"/>
    <x v="121"/>
    <x v="367"/>
    <x v="8"/>
    <x v="531"/>
    <x v="67"/>
    <x v="9"/>
    <x v="2"/>
  </r>
  <r>
    <x v="64"/>
    <x v="121"/>
    <x v="371"/>
    <x v="8"/>
    <x v="468"/>
    <x v="130"/>
    <x v="9"/>
    <x v="2"/>
  </r>
  <r>
    <x v="8"/>
    <x v="121"/>
    <x v="327"/>
    <x v="21"/>
    <x v="686"/>
    <x v="0"/>
    <x v="76"/>
    <x v="2"/>
  </r>
  <r>
    <x v="53"/>
    <x v="121"/>
    <x v="437"/>
    <x v="21"/>
    <x v="807"/>
    <x v="0"/>
    <x v="134"/>
    <x v="2"/>
  </r>
  <r>
    <x v="64"/>
    <x v="131"/>
    <x v="390"/>
    <x v="8"/>
    <x v="102"/>
    <x v="481"/>
    <x v="9"/>
    <x v="2"/>
  </r>
  <r>
    <x v="8"/>
    <x v="131"/>
    <x v="327"/>
    <x v="21"/>
    <x v="671"/>
    <x v="0"/>
    <x v="67"/>
    <x v="2"/>
  </r>
  <r>
    <x v="53"/>
    <x v="131"/>
    <x v="437"/>
    <x v="21"/>
    <x v="802"/>
    <x v="0"/>
    <x v="130"/>
    <x v="2"/>
  </r>
  <r>
    <x v="64"/>
    <x v="140"/>
    <x v="397"/>
    <x v="8"/>
    <x v="384"/>
    <x v="213"/>
    <x v="9"/>
    <x v="2"/>
  </r>
  <r>
    <x v="64"/>
    <x v="140"/>
    <x v="397"/>
    <x v="8"/>
    <x v="548"/>
    <x v="50"/>
    <x v="9"/>
    <x v="2"/>
  </r>
  <r>
    <x v="64"/>
    <x v="140"/>
    <x v="435"/>
    <x v="8"/>
    <x v="225"/>
    <x v="366"/>
    <x v="9"/>
    <x v="2"/>
  </r>
  <r>
    <x v="8"/>
    <x v="140"/>
    <x v="327"/>
    <x v="21"/>
    <x v="633"/>
    <x v="0"/>
    <x v="39"/>
    <x v="2"/>
  </r>
  <r>
    <x v="53"/>
    <x v="140"/>
    <x v="437"/>
    <x v="21"/>
    <x v="799"/>
    <x v="0"/>
    <x v="129"/>
    <x v="2"/>
  </r>
  <r>
    <x v="64"/>
    <x v="148"/>
    <x v="396"/>
    <x v="8"/>
    <x v="185"/>
    <x v="404"/>
    <x v="9"/>
    <x v="2"/>
  </r>
  <r>
    <x v="64"/>
    <x v="148"/>
    <x v="433"/>
    <x v="8"/>
    <x v="510"/>
    <x v="88"/>
    <x v="9"/>
    <x v="2"/>
  </r>
  <r>
    <x v="64"/>
    <x v="148"/>
    <x v="433"/>
    <x v="8"/>
    <x v="596"/>
    <x v="2"/>
    <x v="9"/>
    <x v="2"/>
  </r>
  <r>
    <x v="8"/>
    <x v="148"/>
    <x v="327"/>
    <x v="21"/>
    <x v="635"/>
    <x v="0"/>
    <x v="40"/>
    <x v="2"/>
  </r>
  <r>
    <x v="53"/>
    <x v="148"/>
    <x v="437"/>
    <x v="21"/>
    <x v="797"/>
    <x v="0"/>
    <x v="128"/>
    <x v="2"/>
  </r>
  <r>
    <x v="53"/>
    <x v="156"/>
    <x v="437"/>
    <x v="21"/>
    <x v="797"/>
    <x v="0"/>
    <x v="128"/>
    <x v="2"/>
  </r>
  <r>
    <x v="64"/>
    <x v="180"/>
    <x v="16"/>
    <x v="1"/>
    <x v="185"/>
    <x v="404"/>
    <x v="9"/>
    <x v="2"/>
  </r>
  <r>
    <x v="64"/>
    <x v="180"/>
    <x v="343"/>
    <x v="8"/>
    <x v="39"/>
    <x v="520"/>
    <x v="9"/>
    <x v="2"/>
  </r>
  <r>
    <x v="28"/>
    <x v="180"/>
    <x v="356"/>
    <x v="8"/>
    <x v="284"/>
    <x v="311"/>
    <x v="9"/>
    <x v="2"/>
  </r>
  <r>
    <x v="30"/>
    <x v="180"/>
    <x v="389"/>
    <x v="8"/>
    <x v="297"/>
    <x v="298"/>
    <x v="9"/>
    <x v="2"/>
  </r>
  <r>
    <x v="38"/>
    <x v="180"/>
    <x v="417"/>
    <x v="8"/>
    <x v="55"/>
    <x v="514"/>
    <x v="9"/>
    <x v="2"/>
  </r>
  <r>
    <x v="38"/>
    <x v="180"/>
    <x v="418"/>
    <x v="8"/>
    <x v="556"/>
    <x v="42"/>
    <x v="9"/>
    <x v="2"/>
  </r>
  <r>
    <x v="38"/>
    <x v="180"/>
    <x v="426"/>
    <x v="8"/>
    <x v="167"/>
    <x v="421"/>
    <x v="9"/>
    <x v="2"/>
  </r>
  <r>
    <x v="38"/>
    <x v="180"/>
    <x v="427"/>
    <x v="8"/>
    <x v="412"/>
    <x v="185"/>
    <x v="9"/>
    <x v="2"/>
  </r>
  <r>
    <x v="8"/>
    <x v="180"/>
    <x v="327"/>
    <x v="21"/>
    <x v="797"/>
    <x v="0"/>
    <x v="128"/>
    <x v="2"/>
  </r>
  <r>
    <x v="53"/>
    <x v="180"/>
    <x v="326"/>
    <x v="21"/>
    <x v="598"/>
    <x v="0"/>
    <x v="10"/>
    <x v="2"/>
  </r>
  <r>
    <x v="28"/>
    <x v="189"/>
    <x v="357"/>
    <x v="8"/>
    <x v="341"/>
    <x v="255"/>
    <x v="9"/>
    <x v="2"/>
  </r>
  <r>
    <x v="15"/>
    <x v="197"/>
    <x v="385"/>
    <x v="8"/>
    <x v="468"/>
    <x v="130"/>
    <x v="9"/>
    <x v="2"/>
  </r>
  <r>
    <x v="9"/>
    <x v="211"/>
    <x v="262"/>
    <x v="6"/>
    <x v="76"/>
    <x v="501"/>
    <x v="9"/>
    <x v="2"/>
  </r>
  <r>
    <x v="28"/>
    <x v="232"/>
    <x v="349"/>
    <x v="8"/>
    <x v="532"/>
    <x v="66"/>
    <x v="9"/>
    <x v="2"/>
  </r>
  <r>
    <x v="29"/>
    <x v="232"/>
    <x v="363"/>
    <x v="8"/>
    <x v="525"/>
    <x v="73"/>
    <x v="9"/>
    <x v="2"/>
  </r>
  <r>
    <x v="15"/>
    <x v="232"/>
    <x v="386"/>
    <x v="8"/>
    <x v="541"/>
    <x v="57"/>
    <x v="9"/>
    <x v="2"/>
  </r>
  <r>
    <x v="15"/>
    <x v="232"/>
    <x v="395"/>
    <x v="8"/>
    <x v="525"/>
    <x v="73"/>
    <x v="9"/>
    <x v="2"/>
  </r>
  <r>
    <x v="31"/>
    <x v="232"/>
    <x v="405"/>
    <x v="8"/>
    <x v="148"/>
    <x v="440"/>
    <x v="9"/>
    <x v="2"/>
  </r>
  <r>
    <x v="38"/>
    <x v="232"/>
    <x v="419"/>
    <x v="8"/>
    <x v="353"/>
    <x v="243"/>
    <x v="9"/>
    <x v="2"/>
  </r>
  <r>
    <x v="38"/>
    <x v="232"/>
    <x v="429"/>
    <x v="8"/>
    <x v="99"/>
    <x v="484"/>
    <x v="9"/>
    <x v="2"/>
  </r>
  <r>
    <x v="9"/>
    <x v="232"/>
    <x v="262"/>
    <x v="6"/>
    <x v="120"/>
    <x v="463"/>
    <x v="9"/>
    <x v="2"/>
  </r>
  <r>
    <x v="22"/>
    <x v="232"/>
    <x v="490"/>
    <x v="6"/>
    <x v="185"/>
    <x v="404"/>
    <x v="9"/>
    <x v="2"/>
  </r>
  <r>
    <x v="38"/>
    <x v="241"/>
    <x v="430"/>
    <x v="8"/>
    <x v="104"/>
    <x v="479"/>
    <x v="9"/>
    <x v="2"/>
  </r>
  <r>
    <x v="52"/>
    <x v="241"/>
    <x v="508"/>
    <x v="21"/>
    <x v="827"/>
    <x v="0"/>
    <x v="146"/>
    <x v="2"/>
  </r>
  <r>
    <x v="53"/>
    <x v="241"/>
    <x v="1"/>
    <x v="21"/>
    <x v="23"/>
    <x v="0"/>
    <x v="3"/>
    <x v="2"/>
  </r>
  <r>
    <x v="53"/>
    <x v="241"/>
    <x v="437"/>
    <x v="21"/>
    <x v="791"/>
    <x v="0"/>
    <x v="126"/>
    <x v="2"/>
  </r>
  <r>
    <x v="53"/>
    <x v="241"/>
    <x v="439"/>
    <x v="21"/>
    <x v="601"/>
    <x v="0"/>
    <x v="12"/>
    <x v="2"/>
  </r>
  <r>
    <x v="53"/>
    <x v="1"/>
    <x v="441"/>
    <x v="21"/>
    <x v="601"/>
    <x v="0"/>
    <x v="12"/>
    <x v="3"/>
  </r>
  <r>
    <x v="28"/>
    <x v="1"/>
    <x v="351"/>
    <x v="8"/>
    <x v="421"/>
    <x v="176"/>
    <x v="9"/>
    <x v="3"/>
  </r>
  <r>
    <x v="3"/>
    <x v="1"/>
    <x v="434"/>
    <x v="8"/>
    <x v="442"/>
    <x v="155"/>
    <x v="9"/>
    <x v="3"/>
  </r>
  <r>
    <x v="8"/>
    <x v="1"/>
    <x v="321"/>
    <x v="21"/>
    <x v="543"/>
    <x v="55"/>
    <x v="9"/>
    <x v="3"/>
  </r>
  <r>
    <x v="8"/>
    <x v="1"/>
    <x v="327"/>
    <x v="21"/>
    <x v="614"/>
    <x v="0"/>
    <x v="24"/>
    <x v="3"/>
  </r>
  <r>
    <x v="53"/>
    <x v="1"/>
    <x v="437"/>
    <x v="21"/>
    <x v="786"/>
    <x v="0"/>
    <x v="124"/>
    <x v="3"/>
  </r>
  <r>
    <x v="8"/>
    <x v="9"/>
    <x v="485"/>
    <x v="19"/>
    <x v="221"/>
    <x v="369"/>
    <x v="9"/>
    <x v="3"/>
  </r>
  <r>
    <x v="8"/>
    <x v="9"/>
    <x v="327"/>
    <x v="21"/>
    <x v="625"/>
    <x v="0"/>
    <x v="33"/>
    <x v="3"/>
  </r>
  <r>
    <x v="53"/>
    <x v="9"/>
    <x v="437"/>
    <x v="21"/>
    <x v="779"/>
    <x v="0"/>
    <x v="120"/>
    <x v="3"/>
  </r>
  <r>
    <x v="15"/>
    <x v="18"/>
    <x v="372"/>
    <x v="8"/>
    <x v="237"/>
    <x v="355"/>
    <x v="9"/>
    <x v="3"/>
  </r>
  <r>
    <x v="15"/>
    <x v="18"/>
    <x v="377"/>
    <x v="8"/>
    <x v="348"/>
    <x v="248"/>
    <x v="9"/>
    <x v="3"/>
  </r>
  <r>
    <x v="28"/>
    <x v="18"/>
    <x v="408"/>
    <x v="8"/>
    <x v="524"/>
    <x v="74"/>
    <x v="9"/>
    <x v="3"/>
  </r>
  <r>
    <x v="38"/>
    <x v="18"/>
    <x v="420"/>
    <x v="8"/>
    <x v="166"/>
    <x v="422"/>
    <x v="9"/>
    <x v="3"/>
  </r>
  <r>
    <x v="8"/>
    <x v="18"/>
    <x v="327"/>
    <x v="21"/>
    <x v="669"/>
    <x v="0"/>
    <x v="65"/>
    <x v="3"/>
  </r>
  <r>
    <x v="53"/>
    <x v="18"/>
    <x v="437"/>
    <x v="21"/>
    <x v="765"/>
    <x v="0"/>
    <x v="117"/>
    <x v="3"/>
  </r>
  <r>
    <x v="54"/>
    <x v="42"/>
    <x v="15"/>
    <x v="10"/>
    <x v="185"/>
    <x v="404"/>
    <x v="9"/>
    <x v="3"/>
  </r>
  <r>
    <x v="31"/>
    <x v="42"/>
    <x v="337"/>
    <x v="8"/>
    <x v="376"/>
    <x v="220"/>
    <x v="9"/>
    <x v="3"/>
  </r>
  <r>
    <x v="31"/>
    <x v="42"/>
    <x v="337"/>
    <x v="8"/>
    <x v="191"/>
    <x v="399"/>
    <x v="9"/>
    <x v="3"/>
  </r>
  <r>
    <x v="15"/>
    <x v="42"/>
    <x v="346"/>
    <x v="8"/>
    <x v="184"/>
    <x v="405"/>
    <x v="9"/>
    <x v="3"/>
  </r>
  <r>
    <x v="15"/>
    <x v="42"/>
    <x v="347"/>
    <x v="8"/>
    <x v="276"/>
    <x v="319"/>
    <x v="9"/>
    <x v="3"/>
  </r>
  <r>
    <x v="28"/>
    <x v="42"/>
    <x v="352"/>
    <x v="8"/>
    <x v="421"/>
    <x v="176"/>
    <x v="9"/>
    <x v="3"/>
  </r>
  <r>
    <x v="28"/>
    <x v="42"/>
    <x v="350"/>
    <x v="8"/>
    <x v="586"/>
    <x v="12"/>
    <x v="9"/>
    <x v="3"/>
  </r>
  <r>
    <x v="28"/>
    <x v="42"/>
    <x v="350"/>
    <x v="8"/>
    <x v="413"/>
    <x v="184"/>
    <x v="9"/>
    <x v="3"/>
  </r>
  <r>
    <x v="29"/>
    <x v="42"/>
    <x v="365"/>
    <x v="8"/>
    <x v="476"/>
    <x v="122"/>
    <x v="9"/>
    <x v="3"/>
  </r>
  <r>
    <x v="15"/>
    <x v="42"/>
    <x v="370"/>
    <x v="8"/>
    <x v="525"/>
    <x v="73"/>
    <x v="9"/>
    <x v="3"/>
  </r>
  <r>
    <x v="15"/>
    <x v="42"/>
    <x v="376"/>
    <x v="8"/>
    <x v="343"/>
    <x v="253"/>
    <x v="9"/>
    <x v="3"/>
  </r>
  <r>
    <x v="38"/>
    <x v="42"/>
    <x v="381"/>
    <x v="8"/>
    <x v="542"/>
    <x v="56"/>
    <x v="9"/>
    <x v="3"/>
  </r>
  <r>
    <x v="28"/>
    <x v="42"/>
    <x v="407"/>
    <x v="8"/>
    <x v="564"/>
    <x v="34"/>
    <x v="9"/>
    <x v="3"/>
  </r>
  <r>
    <x v="38"/>
    <x v="42"/>
    <x v="421"/>
    <x v="8"/>
    <x v="307"/>
    <x v="288"/>
    <x v="9"/>
    <x v="3"/>
  </r>
  <r>
    <x v="38"/>
    <x v="42"/>
    <x v="422"/>
    <x v="8"/>
    <x v="207"/>
    <x v="383"/>
    <x v="9"/>
    <x v="3"/>
  </r>
  <r>
    <x v="38"/>
    <x v="42"/>
    <x v="423"/>
    <x v="8"/>
    <x v="149"/>
    <x v="439"/>
    <x v="9"/>
    <x v="3"/>
  </r>
  <r>
    <x v="8"/>
    <x v="42"/>
    <x v="327"/>
    <x v="21"/>
    <x v="740"/>
    <x v="0"/>
    <x v="103"/>
    <x v="3"/>
  </r>
  <r>
    <x v="53"/>
    <x v="42"/>
    <x v="437"/>
    <x v="21"/>
    <x v="706"/>
    <x v="0"/>
    <x v="84"/>
    <x v="3"/>
  </r>
  <r>
    <x v="38"/>
    <x v="50"/>
    <x v="424"/>
    <x v="8"/>
    <x v="220"/>
    <x v="370"/>
    <x v="9"/>
    <x v="3"/>
  </r>
  <r>
    <x v="13"/>
    <x v="50"/>
    <x v="269"/>
    <x v="6"/>
    <x v="199"/>
    <x v="391"/>
    <x v="9"/>
    <x v="3"/>
  </r>
  <r>
    <x v="13"/>
    <x v="50"/>
    <x v="272"/>
    <x v="6"/>
    <x v="252"/>
    <x v="342"/>
    <x v="9"/>
    <x v="3"/>
  </r>
  <r>
    <x v="8"/>
    <x v="50"/>
    <x v="327"/>
    <x v="21"/>
    <x v="668"/>
    <x v="0"/>
    <x v="64"/>
    <x v="3"/>
  </r>
  <r>
    <x v="53"/>
    <x v="50"/>
    <x v="437"/>
    <x v="21"/>
    <x v="667"/>
    <x v="0"/>
    <x v="63"/>
    <x v="3"/>
  </r>
  <r>
    <x v="22"/>
    <x v="57"/>
    <x v="20"/>
    <x v="19"/>
    <x v="227"/>
    <x v="364"/>
    <x v="9"/>
    <x v="3"/>
  </r>
  <r>
    <x v="8"/>
    <x v="57"/>
    <x v="327"/>
    <x v="21"/>
    <x v="624"/>
    <x v="0"/>
    <x v="32"/>
    <x v="3"/>
  </r>
  <r>
    <x v="53"/>
    <x v="57"/>
    <x v="437"/>
    <x v="21"/>
    <x v="644"/>
    <x v="0"/>
    <x v="48"/>
    <x v="3"/>
  </r>
  <r>
    <x v="54"/>
    <x v="66"/>
    <x v="8"/>
    <x v="4"/>
    <x v="185"/>
    <x v="404"/>
    <x v="9"/>
    <x v="3"/>
  </r>
  <r>
    <x v="31"/>
    <x v="66"/>
    <x v="338"/>
    <x v="8"/>
    <x v="458"/>
    <x v="139"/>
    <x v="9"/>
    <x v="3"/>
  </r>
  <r>
    <x v="8"/>
    <x v="66"/>
    <x v="327"/>
    <x v="21"/>
    <x v="636"/>
    <x v="0"/>
    <x v="41"/>
    <x v="3"/>
  </r>
  <r>
    <x v="53"/>
    <x v="66"/>
    <x v="437"/>
    <x v="21"/>
    <x v="610"/>
    <x v="0"/>
    <x v="20"/>
    <x v="3"/>
  </r>
  <r>
    <x v="41"/>
    <x v="97"/>
    <x v="331"/>
    <x v="8"/>
    <x v="546"/>
    <x v="52"/>
    <x v="9"/>
    <x v="3"/>
  </r>
  <r>
    <x v="3"/>
    <x v="97"/>
    <x v="342"/>
    <x v="8"/>
    <x v="177"/>
    <x v="412"/>
    <x v="9"/>
    <x v="3"/>
  </r>
  <r>
    <x v="28"/>
    <x v="97"/>
    <x v="354"/>
    <x v="8"/>
    <x v="421"/>
    <x v="176"/>
    <x v="9"/>
    <x v="3"/>
  </r>
  <r>
    <x v="3"/>
    <x v="97"/>
    <x v="360"/>
    <x v="8"/>
    <x v="185"/>
    <x v="404"/>
    <x v="9"/>
    <x v="3"/>
  </r>
  <r>
    <x v="41"/>
    <x v="97"/>
    <x v="384"/>
    <x v="8"/>
    <x v="400"/>
    <x v="197"/>
    <x v="9"/>
    <x v="3"/>
  </r>
  <r>
    <x v="15"/>
    <x v="97"/>
    <x v="392"/>
    <x v="8"/>
    <x v="525"/>
    <x v="73"/>
    <x v="9"/>
    <x v="3"/>
  </r>
  <r>
    <x v="38"/>
    <x v="97"/>
    <x v="414"/>
    <x v="8"/>
    <x v="229"/>
    <x v="362"/>
    <x v="9"/>
    <x v="3"/>
  </r>
  <r>
    <x v="15"/>
    <x v="97"/>
    <x v="432"/>
    <x v="8"/>
    <x v="545"/>
    <x v="53"/>
    <x v="9"/>
    <x v="3"/>
  </r>
  <r>
    <x v="8"/>
    <x v="97"/>
    <x v="476"/>
    <x v="19"/>
    <x v="554"/>
    <x v="44"/>
    <x v="9"/>
    <x v="3"/>
  </r>
  <r>
    <x v="53"/>
    <x v="97"/>
    <x v="442"/>
    <x v="21"/>
    <x v="82"/>
    <x v="0"/>
    <x v="9"/>
    <x v="3"/>
  </r>
  <r>
    <x v="53"/>
    <x v="97"/>
    <x v="436"/>
    <x v="21"/>
    <x v="82"/>
    <x v="0"/>
    <x v="9"/>
    <x v="3"/>
  </r>
  <r>
    <x v="8"/>
    <x v="97"/>
    <x v="327"/>
    <x v="21"/>
    <x v="610"/>
    <x v="0"/>
    <x v="20"/>
    <x v="3"/>
  </r>
  <r>
    <x v="3"/>
    <x v="105"/>
    <x v="364"/>
    <x v="8"/>
    <x v="332"/>
    <x v="264"/>
    <x v="9"/>
    <x v="3"/>
  </r>
  <r>
    <x v="38"/>
    <x v="105"/>
    <x v="415"/>
    <x v="8"/>
    <x v="202"/>
    <x v="388"/>
    <x v="9"/>
    <x v="3"/>
  </r>
  <r>
    <x v="41"/>
    <x v="113"/>
    <x v="332"/>
    <x v="8"/>
    <x v="491"/>
    <x v="107"/>
    <x v="9"/>
    <x v="3"/>
  </r>
  <r>
    <x v="28"/>
    <x v="113"/>
    <x v="388"/>
    <x v="8"/>
    <x v="488"/>
    <x v="110"/>
    <x v="9"/>
    <x v="3"/>
  </r>
  <r>
    <x v="28"/>
    <x v="113"/>
    <x v="388"/>
    <x v="8"/>
    <x v="593"/>
    <x v="5"/>
    <x v="9"/>
    <x v="3"/>
  </r>
  <r>
    <x v="18"/>
    <x v="113"/>
    <x v="499"/>
    <x v="6"/>
    <x v="367"/>
    <x v="229"/>
    <x v="9"/>
    <x v="3"/>
  </r>
  <r>
    <x v="12"/>
    <x v="113"/>
    <x v="266"/>
    <x v="6"/>
    <x v="7"/>
    <x v="532"/>
    <x v="9"/>
    <x v="3"/>
  </r>
  <r>
    <x v="48"/>
    <x v="113"/>
    <x v="505"/>
    <x v="6"/>
    <x v="735"/>
    <x v="0"/>
    <x v="99"/>
    <x v="3"/>
  </r>
  <r>
    <x v="52"/>
    <x v="113"/>
    <x v="508"/>
    <x v="21"/>
    <x v="830"/>
    <x v="0"/>
    <x v="148"/>
    <x v="3"/>
  </r>
  <r>
    <x v="53"/>
    <x v="113"/>
    <x v="1"/>
    <x v="21"/>
    <x v="53"/>
    <x v="0"/>
    <x v="6"/>
    <x v="3"/>
  </r>
  <r>
    <x v="53"/>
    <x v="113"/>
    <x v="437"/>
    <x v="21"/>
    <x v="739"/>
    <x v="0"/>
    <x v="102"/>
    <x v="3"/>
  </r>
  <r>
    <x v="15"/>
    <x v="122"/>
    <x v="344"/>
    <x v="8"/>
    <x v="541"/>
    <x v="57"/>
    <x v="9"/>
    <x v="3"/>
  </r>
  <r>
    <x v="15"/>
    <x v="122"/>
    <x v="345"/>
    <x v="8"/>
    <x v="476"/>
    <x v="122"/>
    <x v="9"/>
    <x v="3"/>
  </r>
  <r>
    <x v="15"/>
    <x v="122"/>
    <x v="359"/>
    <x v="8"/>
    <x v="252"/>
    <x v="342"/>
    <x v="9"/>
    <x v="3"/>
  </r>
  <r>
    <x v="15"/>
    <x v="122"/>
    <x v="387"/>
    <x v="8"/>
    <x v="580"/>
    <x v="18"/>
    <x v="9"/>
    <x v="3"/>
  </r>
  <r>
    <x v="15"/>
    <x v="122"/>
    <x v="398"/>
    <x v="8"/>
    <x v="525"/>
    <x v="73"/>
    <x v="9"/>
    <x v="3"/>
  </r>
  <r>
    <x v="8"/>
    <x v="122"/>
    <x v="327"/>
    <x v="21"/>
    <x v="630"/>
    <x v="0"/>
    <x v="36"/>
    <x v="3"/>
  </r>
  <r>
    <x v="53"/>
    <x v="122"/>
    <x v="437"/>
    <x v="21"/>
    <x v="727"/>
    <x v="0"/>
    <x v="94"/>
    <x v="3"/>
  </r>
  <r>
    <x v="28"/>
    <x v="132"/>
    <x v="355"/>
    <x v="8"/>
    <x v="411"/>
    <x v="186"/>
    <x v="9"/>
    <x v="3"/>
  </r>
  <r>
    <x v="8"/>
    <x v="132"/>
    <x v="327"/>
    <x v="21"/>
    <x v="609"/>
    <x v="0"/>
    <x v="19"/>
    <x v="3"/>
  </r>
  <r>
    <x v="53"/>
    <x v="132"/>
    <x v="437"/>
    <x v="21"/>
    <x v="724"/>
    <x v="0"/>
    <x v="93"/>
    <x v="3"/>
  </r>
  <r>
    <x v="3"/>
    <x v="157"/>
    <x v="328"/>
    <x v="8"/>
    <x v="525"/>
    <x v="73"/>
    <x v="9"/>
    <x v="3"/>
  </r>
  <r>
    <x v="41"/>
    <x v="157"/>
    <x v="333"/>
    <x v="8"/>
    <x v="550"/>
    <x v="48"/>
    <x v="9"/>
    <x v="3"/>
  </r>
  <r>
    <x v="28"/>
    <x v="157"/>
    <x v="348"/>
    <x v="8"/>
    <x v="491"/>
    <x v="107"/>
    <x v="9"/>
    <x v="3"/>
  </r>
  <r>
    <x v="15"/>
    <x v="157"/>
    <x v="361"/>
    <x v="8"/>
    <x v="354"/>
    <x v="242"/>
    <x v="9"/>
    <x v="3"/>
  </r>
  <r>
    <x v="28"/>
    <x v="157"/>
    <x v="362"/>
    <x v="8"/>
    <x v="581"/>
    <x v="17"/>
    <x v="9"/>
    <x v="3"/>
  </r>
  <r>
    <x v="38"/>
    <x v="157"/>
    <x v="383"/>
    <x v="8"/>
    <x v="560"/>
    <x v="38"/>
    <x v="9"/>
    <x v="3"/>
  </r>
  <r>
    <x v="38"/>
    <x v="157"/>
    <x v="416"/>
    <x v="8"/>
    <x v="399"/>
    <x v="198"/>
    <x v="9"/>
    <x v="3"/>
  </r>
  <r>
    <x v="8"/>
    <x v="157"/>
    <x v="327"/>
    <x v="21"/>
    <x v="631"/>
    <x v="0"/>
    <x v="37"/>
    <x v="3"/>
  </r>
  <r>
    <x v="53"/>
    <x v="157"/>
    <x v="437"/>
    <x v="21"/>
    <x v="710"/>
    <x v="0"/>
    <x v="87"/>
    <x v="3"/>
  </r>
  <r>
    <x v="41"/>
    <x v="172"/>
    <x v="334"/>
    <x v="8"/>
    <x v="562"/>
    <x v="36"/>
    <x v="9"/>
    <x v="3"/>
  </r>
  <r>
    <x v="9"/>
    <x v="172"/>
    <x v="320"/>
    <x v="6"/>
    <x v="118"/>
    <x v="465"/>
    <x v="9"/>
    <x v="3"/>
  </r>
  <r>
    <x v="8"/>
    <x v="172"/>
    <x v="327"/>
    <x v="21"/>
    <x v="662"/>
    <x v="0"/>
    <x v="59"/>
    <x v="3"/>
  </r>
  <r>
    <x v="53"/>
    <x v="172"/>
    <x v="437"/>
    <x v="21"/>
    <x v="678"/>
    <x v="0"/>
    <x v="71"/>
    <x v="3"/>
  </r>
  <r>
    <x v="54"/>
    <x v="181"/>
    <x v="6"/>
    <x v="4"/>
    <x v="68"/>
    <x v="505"/>
    <x v="9"/>
    <x v="3"/>
  </r>
  <r>
    <x v="41"/>
    <x v="181"/>
    <x v="335"/>
    <x v="8"/>
    <x v="470"/>
    <x v="128"/>
    <x v="9"/>
    <x v="3"/>
  </r>
  <r>
    <x v="8"/>
    <x v="181"/>
    <x v="327"/>
    <x v="21"/>
    <x v="678"/>
    <x v="0"/>
    <x v="71"/>
    <x v="3"/>
  </r>
  <r>
    <x v="31"/>
    <x v="190"/>
    <x v="339"/>
    <x v="8"/>
    <x v="279"/>
    <x v="316"/>
    <x v="9"/>
    <x v="3"/>
  </r>
  <r>
    <x v="38"/>
    <x v="190"/>
    <x v="382"/>
    <x v="8"/>
    <x v="385"/>
    <x v="212"/>
    <x v="9"/>
    <x v="3"/>
  </r>
  <r>
    <x v="15"/>
    <x v="212"/>
    <x v="330"/>
    <x v="8"/>
    <x v="281"/>
    <x v="314"/>
    <x v="9"/>
    <x v="3"/>
  </r>
  <r>
    <x v="41"/>
    <x v="212"/>
    <x v="336"/>
    <x v="8"/>
    <x v="516"/>
    <x v="82"/>
    <x v="9"/>
    <x v="3"/>
  </r>
  <r>
    <x v="31"/>
    <x v="212"/>
    <x v="340"/>
    <x v="8"/>
    <x v="115"/>
    <x v="468"/>
    <x v="9"/>
    <x v="3"/>
  </r>
  <r>
    <x v="28"/>
    <x v="212"/>
    <x v="358"/>
    <x v="8"/>
    <x v="421"/>
    <x v="176"/>
    <x v="9"/>
    <x v="3"/>
  </r>
  <r>
    <x v="15"/>
    <x v="212"/>
    <x v="368"/>
    <x v="8"/>
    <x v="224"/>
    <x v="367"/>
    <x v="9"/>
    <x v="3"/>
  </r>
  <r>
    <x v="3"/>
    <x v="212"/>
    <x v="379"/>
    <x v="8"/>
    <x v="298"/>
    <x v="297"/>
    <x v="9"/>
    <x v="3"/>
  </r>
  <r>
    <x v="15"/>
    <x v="212"/>
    <x v="391"/>
    <x v="8"/>
    <x v="355"/>
    <x v="241"/>
    <x v="9"/>
    <x v="3"/>
  </r>
  <r>
    <x v="28"/>
    <x v="212"/>
    <x v="409"/>
    <x v="8"/>
    <x v="283"/>
    <x v="312"/>
    <x v="9"/>
    <x v="3"/>
  </r>
  <r>
    <x v="38"/>
    <x v="212"/>
    <x v="428"/>
    <x v="8"/>
    <x v="522"/>
    <x v="76"/>
    <x v="9"/>
    <x v="3"/>
  </r>
  <r>
    <x v="38"/>
    <x v="212"/>
    <x v="428"/>
    <x v="8"/>
    <x v="144"/>
    <x v="444"/>
    <x v="9"/>
    <x v="3"/>
  </r>
  <r>
    <x v="15"/>
    <x v="226"/>
    <x v="369"/>
    <x v="8"/>
    <x v="370"/>
    <x v="226"/>
    <x v="9"/>
    <x v="3"/>
  </r>
  <r>
    <x v="54"/>
    <x v="233"/>
    <x v="11"/>
    <x v="4"/>
    <x v="185"/>
    <x v="404"/>
    <x v="9"/>
    <x v="3"/>
  </r>
  <r>
    <x v="38"/>
    <x v="233"/>
    <x v="329"/>
    <x v="8"/>
    <x v="80"/>
    <x v="498"/>
    <x v="9"/>
    <x v="3"/>
  </r>
  <r>
    <x v="53"/>
    <x v="233"/>
    <x v="442"/>
    <x v="21"/>
    <x v="27"/>
    <x v="0"/>
    <x v="9"/>
    <x v="3"/>
  </r>
  <r>
    <x v="53"/>
    <x v="233"/>
    <x v="436"/>
    <x v="21"/>
    <x v="27"/>
    <x v="0"/>
    <x v="9"/>
    <x v="3"/>
  </r>
  <r>
    <x v="3"/>
    <x v="233"/>
    <x v="401"/>
    <x v="8"/>
    <x v="432"/>
    <x v="165"/>
    <x v="9"/>
    <x v="3"/>
  </r>
  <r>
    <x v="3"/>
    <x v="233"/>
    <x v="402"/>
    <x v="8"/>
    <x v="525"/>
    <x v="73"/>
    <x v="9"/>
    <x v="3"/>
  </r>
  <r>
    <x v="9"/>
    <x v="233"/>
    <x v="310"/>
    <x v="6"/>
    <x v="39"/>
    <x v="520"/>
    <x v="9"/>
    <x v="3"/>
  </r>
  <r>
    <x v="56"/>
    <x v="233"/>
    <x v="311"/>
    <x v="6"/>
    <x v="92"/>
    <x v="491"/>
    <x v="9"/>
    <x v="3"/>
  </r>
  <r>
    <x v="52"/>
    <x v="233"/>
    <x v="508"/>
    <x v="21"/>
    <x v="837"/>
    <x v="0"/>
    <x v="155"/>
    <x v="3"/>
  </r>
  <r>
    <x v="53"/>
    <x v="233"/>
    <x v="1"/>
    <x v="21"/>
    <x v="0"/>
    <x v="0"/>
    <x v="0"/>
    <x v="3"/>
  </r>
  <r>
    <x v="53"/>
    <x v="233"/>
    <x v="437"/>
    <x v="21"/>
    <x v="835"/>
    <x v="0"/>
    <x v="153"/>
    <x v="3"/>
  </r>
  <r>
    <x v="53"/>
    <x v="233"/>
    <x v="439"/>
    <x v="21"/>
    <x v="601"/>
    <x v="0"/>
    <x v="12"/>
    <x v="3"/>
  </r>
  <r>
    <x v="53"/>
    <x v="27"/>
    <x v="441"/>
    <x v="21"/>
    <x v="601"/>
    <x v="0"/>
    <x v="12"/>
    <x v="4"/>
  </r>
  <r>
    <x v="15"/>
    <x v="27"/>
    <x v="373"/>
    <x v="8"/>
    <x v="296"/>
    <x v="299"/>
    <x v="9"/>
    <x v="4"/>
  </r>
  <r>
    <x v="38"/>
    <x v="27"/>
    <x v="380"/>
    <x v="8"/>
    <x v="433"/>
    <x v="164"/>
    <x v="9"/>
    <x v="4"/>
  </r>
  <r>
    <x v="15"/>
    <x v="27"/>
    <x v="393"/>
    <x v="8"/>
    <x v="242"/>
    <x v="352"/>
    <x v="9"/>
    <x v="4"/>
  </r>
  <r>
    <x v="31"/>
    <x v="27"/>
    <x v="404"/>
    <x v="8"/>
    <x v="400"/>
    <x v="197"/>
    <x v="9"/>
    <x v="4"/>
  </r>
  <r>
    <x v="15"/>
    <x v="27"/>
    <x v="431"/>
    <x v="8"/>
    <x v="400"/>
    <x v="197"/>
    <x v="9"/>
    <x v="4"/>
  </r>
  <r>
    <x v="44"/>
    <x v="27"/>
    <x v="505"/>
    <x v="6"/>
    <x v="3"/>
    <x v="536"/>
    <x v="9"/>
    <x v="4"/>
  </r>
  <r>
    <x v="8"/>
    <x v="27"/>
    <x v="327"/>
    <x v="21"/>
    <x v="833"/>
    <x v="0"/>
    <x v="151"/>
    <x v="4"/>
  </r>
  <r>
    <x v="53"/>
    <x v="27"/>
    <x v="326"/>
    <x v="21"/>
    <x v="598"/>
    <x v="0"/>
    <x v="10"/>
    <x v="4"/>
  </r>
  <r>
    <x v="53"/>
    <x v="27"/>
    <x v="437"/>
    <x v="21"/>
    <x v="820"/>
    <x v="0"/>
    <x v="140"/>
    <x v="4"/>
  </r>
  <r>
    <x v="9"/>
    <x v="34"/>
    <x v="315"/>
    <x v="6"/>
    <x v="54"/>
    <x v="515"/>
    <x v="9"/>
    <x v="4"/>
  </r>
  <r>
    <x v="8"/>
    <x v="34"/>
    <x v="477"/>
    <x v="19"/>
    <x v="221"/>
    <x v="369"/>
    <x v="9"/>
    <x v="4"/>
  </r>
  <r>
    <x v="8"/>
    <x v="34"/>
    <x v="327"/>
    <x v="21"/>
    <x v="741"/>
    <x v="0"/>
    <x v="104"/>
    <x v="4"/>
  </r>
  <r>
    <x v="53"/>
    <x v="34"/>
    <x v="437"/>
    <x v="21"/>
    <x v="809"/>
    <x v="0"/>
    <x v="135"/>
    <x v="4"/>
  </r>
  <r>
    <x v="53"/>
    <x v="43"/>
    <x v="437"/>
    <x v="21"/>
    <x v="809"/>
    <x v="0"/>
    <x v="135"/>
    <x v="4"/>
  </r>
  <r>
    <x v="54"/>
    <x v="51"/>
    <x v="9"/>
    <x v="19"/>
    <x v="185"/>
    <x v="404"/>
    <x v="9"/>
    <x v="4"/>
  </r>
  <r>
    <x v="8"/>
    <x v="51"/>
    <x v="327"/>
    <x v="21"/>
    <x v="632"/>
    <x v="0"/>
    <x v="38"/>
    <x v="4"/>
  </r>
  <r>
    <x v="53"/>
    <x v="51"/>
    <x v="437"/>
    <x v="21"/>
    <x v="805"/>
    <x v="0"/>
    <x v="133"/>
    <x v="4"/>
  </r>
  <r>
    <x v="38"/>
    <x v="58"/>
    <x v="234"/>
    <x v="18"/>
    <x v="338"/>
    <x v="258"/>
    <x v="9"/>
    <x v="4"/>
  </r>
  <r>
    <x v="8"/>
    <x v="58"/>
    <x v="327"/>
    <x v="21"/>
    <x v="612"/>
    <x v="0"/>
    <x v="22"/>
    <x v="4"/>
  </r>
  <r>
    <x v="53"/>
    <x v="58"/>
    <x v="437"/>
    <x v="21"/>
    <x v="804"/>
    <x v="0"/>
    <x v="132"/>
    <x v="4"/>
  </r>
  <r>
    <x v="3"/>
    <x v="83"/>
    <x v="28"/>
    <x v="18"/>
    <x v="525"/>
    <x v="73"/>
    <x v="9"/>
    <x v="4"/>
  </r>
  <r>
    <x v="15"/>
    <x v="83"/>
    <x v="36"/>
    <x v="18"/>
    <x v="580"/>
    <x v="18"/>
    <x v="9"/>
    <x v="4"/>
  </r>
  <r>
    <x v="41"/>
    <x v="83"/>
    <x v="37"/>
    <x v="18"/>
    <x v="430"/>
    <x v="167"/>
    <x v="9"/>
    <x v="4"/>
  </r>
  <r>
    <x v="41"/>
    <x v="83"/>
    <x v="37"/>
    <x v="18"/>
    <x v="159"/>
    <x v="429"/>
    <x v="9"/>
    <x v="4"/>
  </r>
  <r>
    <x v="15"/>
    <x v="83"/>
    <x v="61"/>
    <x v="18"/>
    <x v="318"/>
    <x v="277"/>
    <x v="9"/>
    <x v="4"/>
  </r>
  <r>
    <x v="15"/>
    <x v="83"/>
    <x v="69"/>
    <x v="18"/>
    <x v="384"/>
    <x v="213"/>
    <x v="9"/>
    <x v="4"/>
  </r>
  <r>
    <x v="15"/>
    <x v="83"/>
    <x v="125"/>
    <x v="18"/>
    <x v="404"/>
    <x v="193"/>
    <x v="9"/>
    <x v="4"/>
  </r>
  <r>
    <x v="3"/>
    <x v="83"/>
    <x v="138"/>
    <x v="18"/>
    <x v="181"/>
    <x v="408"/>
    <x v="9"/>
    <x v="4"/>
  </r>
  <r>
    <x v="38"/>
    <x v="83"/>
    <x v="235"/>
    <x v="18"/>
    <x v="179"/>
    <x v="410"/>
    <x v="9"/>
    <x v="4"/>
  </r>
  <r>
    <x v="38"/>
    <x v="83"/>
    <x v="235"/>
    <x v="18"/>
    <x v="151"/>
    <x v="437"/>
    <x v="9"/>
    <x v="4"/>
  </r>
  <r>
    <x v="8"/>
    <x v="83"/>
    <x v="476"/>
    <x v="19"/>
    <x v="554"/>
    <x v="44"/>
    <x v="9"/>
    <x v="4"/>
  </r>
  <r>
    <x v="22"/>
    <x v="83"/>
    <x v="20"/>
    <x v="19"/>
    <x v="227"/>
    <x v="364"/>
    <x v="9"/>
    <x v="4"/>
  </r>
  <r>
    <x v="8"/>
    <x v="83"/>
    <x v="327"/>
    <x v="21"/>
    <x v="734"/>
    <x v="0"/>
    <x v="98"/>
    <x v="4"/>
  </r>
  <r>
    <x v="53"/>
    <x v="83"/>
    <x v="326"/>
    <x v="21"/>
    <x v="598"/>
    <x v="0"/>
    <x v="10"/>
    <x v="4"/>
  </r>
  <r>
    <x v="53"/>
    <x v="83"/>
    <x v="437"/>
    <x v="21"/>
    <x v="782"/>
    <x v="0"/>
    <x v="121"/>
    <x v="4"/>
  </r>
  <r>
    <x v="31"/>
    <x v="90"/>
    <x v="41"/>
    <x v="18"/>
    <x v="138"/>
    <x v="449"/>
    <x v="9"/>
    <x v="4"/>
  </r>
  <r>
    <x v="8"/>
    <x v="90"/>
    <x v="327"/>
    <x v="21"/>
    <x v="652"/>
    <x v="0"/>
    <x v="53"/>
    <x v="4"/>
  </r>
  <r>
    <x v="53"/>
    <x v="90"/>
    <x v="437"/>
    <x v="21"/>
    <x v="771"/>
    <x v="0"/>
    <x v="119"/>
    <x v="4"/>
  </r>
  <r>
    <x v="54"/>
    <x v="98"/>
    <x v="4"/>
    <x v="9"/>
    <x v="440"/>
    <x v="157"/>
    <x v="9"/>
    <x v="4"/>
  </r>
  <r>
    <x v="38"/>
    <x v="98"/>
    <x v="235"/>
    <x v="18"/>
    <x v="136"/>
    <x v="451"/>
    <x v="9"/>
    <x v="4"/>
  </r>
  <r>
    <x v="8"/>
    <x v="98"/>
    <x v="327"/>
    <x v="21"/>
    <x v="657"/>
    <x v="0"/>
    <x v="56"/>
    <x v="4"/>
  </r>
  <r>
    <x v="53"/>
    <x v="98"/>
    <x v="437"/>
    <x v="21"/>
    <x v="758"/>
    <x v="0"/>
    <x v="114"/>
    <x v="4"/>
  </r>
  <r>
    <x v="13"/>
    <x v="106"/>
    <x v="281"/>
    <x v="6"/>
    <x v="244"/>
    <x v="350"/>
    <x v="9"/>
    <x v="4"/>
  </r>
  <r>
    <x v="13"/>
    <x v="106"/>
    <x v="286"/>
    <x v="6"/>
    <x v="192"/>
    <x v="398"/>
    <x v="9"/>
    <x v="4"/>
  </r>
  <r>
    <x v="15"/>
    <x v="106"/>
    <x v="116"/>
    <x v="18"/>
    <x v="277"/>
    <x v="318"/>
    <x v="9"/>
    <x v="4"/>
  </r>
  <r>
    <x v="38"/>
    <x v="106"/>
    <x v="235"/>
    <x v="18"/>
    <x v="193"/>
    <x v="397"/>
    <x v="9"/>
    <x v="4"/>
  </r>
  <r>
    <x v="13"/>
    <x v="106"/>
    <x v="254"/>
    <x v="18"/>
    <x v="77"/>
    <x v="500"/>
    <x v="9"/>
    <x v="4"/>
  </r>
  <r>
    <x v="8"/>
    <x v="106"/>
    <x v="327"/>
    <x v="21"/>
    <x v="736"/>
    <x v="0"/>
    <x v="100"/>
    <x v="4"/>
  </r>
  <r>
    <x v="53"/>
    <x v="106"/>
    <x v="326"/>
    <x v="21"/>
    <x v="598"/>
    <x v="0"/>
    <x v="10"/>
    <x v="4"/>
  </r>
  <r>
    <x v="53"/>
    <x v="106"/>
    <x v="437"/>
    <x v="21"/>
    <x v="697"/>
    <x v="0"/>
    <x v="82"/>
    <x v="4"/>
  </r>
  <r>
    <x v="3"/>
    <x v="114"/>
    <x v="28"/>
    <x v="18"/>
    <x v="525"/>
    <x v="73"/>
    <x v="9"/>
    <x v="4"/>
  </r>
  <r>
    <x v="41"/>
    <x v="114"/>
    <x v="37"/>
    <x v="18"/>
    <x v="347"/>
    <x v="249"/>
    <x v="9"/>
    <x v="4"/>
  </r>
  <r>
    <x v="28"/>
    <x v="114"/>
    <x v="71"/>
    <x v="18"/>
    <x v="333"/>
    <x v="263"/>
    <x v="9"/>
    <x v="4"/>
  </r>
  <r>
    <x v="53"/>
    <x v="114"/>
    <x v="442"/>
    <x v="21"/>
    <x v="233"/>
    <x v="0"/>
    <x v="9"/>
    <x v="4"/>
  </r>
  <r>
    <x v="53"/>
    <x v="114"/>
    <x v="436"/>
    <x v="21"/>
    <x v="233"/>
    <x v="0"/>
    <x v="9"/>
    <x v="4"/>
  </r>
  <r>
    <x v="3"/>
    <x v="114"/>
    <x v="93"/>
    <x v="18"/>
    <x v="291"/>
    <x v="304"/>
    <x v="9"/>
    <x v="4"/>
  </r>
  <r>
    <x v="15"/>
    <x v="114"/>
    <x v="225"/>
    <x v="18"/>
    <x v="535"/>
    <x v="63"/>
    <x v="9"/>
    <x v="4"/>
  </r>
  <r>
    <x v="12"/>
    <x v="114"/>
    <x v="266"/>
    <x v="6"/>
    <x v="8"/>
    <x v="531"/>
    <x v="9"/>
    <x v="4"/>
  </r>
  <r>
    <x v="52"/>
    <x v="114"/>
    <x v="508"/>
    <x v="21"/>
    <x v="830"/>
    <x v="0"/>
    <x v="148"/>
    <x v="4"/>
  </r>
  <r>
    <x v="53"/>
    <x v="114"/>
    <x v="1"/>
    <x v="21"/>
    <x v="34"/>
    <x v="0"/>
    <x v="5"/>
    <x v="4"/>
  </r>
  <r>
    <x v="53"/>
    <x v="114"/>
    <x v="437"/>
    <x v="21"/>
    <x v="784"/>
    <x v="0"/>
    <x v="123"/>
    <x v="4"/>
  </r>
  <r>
    <x v="54"/>
    <x v="141"/>
    <x v="19"/>
    <x v="10"/>
    <x v="185"/>
    <x v="404"/>
    <x v="9"/>
    <x v="4"/>
  </r>
  <r>
    <x v="41"/>
    <x v="141"/>
    <x v="37"/>
    <x v="18"/>
    <x v="330"/>
    <x v="266"/>
    <x v="9"/>
    <x v="4"/>
  </r>
  <r>
    <x v="28"/>
    <x v="141"/>
    <x v="71"/>
    <x v="18"/>
    <x v="429"/>
    <x v="168"/>
    <x v="9"/>
    <x v="4"/>
  </r>
  <r>
    <x v="15"/>
    <x v="141"/>
    <x v="76"/>
    <x v="18"/>
    <x v="525"/>
    <x v="73"/>
    <x v="9"/>
    <x v="4"/>
  </r>
  <r>
    <x v="3"/>
    <x v="141"/>
    <x v="87"/>
    <x v="18"/>
    <x v="461"/>
    <x v="136"/>
    <x v="9"/>
    <x v="4"/>
  </r>
  <r>
    <x v="29"/>
    <x v="141"/>
    <x v="101"/>
    <x v="18"/>
    <x v="560"/>
    <x v="38"/>
    <x v="9"/>
    <x v="4"/>
  </r>
  <r>
    <x v="15"/>
    <x v="141"/>
    <x v="125"/>
    <x v="18"/>
    <x v="525"/>
    <x v="73"/>
    <x v="9"/>
    <x v="4"/>
  </r>
  <r>
    <x v="15"/>
    <x v="141"/>
    <x v="164"/>
    <x v="18"/>
    <x v="571"/>
    <x v="27"/>
    <x v="9"/>
    <x v="4"/>
  </r>
  <r>
    <x v="15"/>
    <x v="141"/>
    <x v="150"/>
    <x v="18"/>
    <x v="580"/>
    <x v="18"/>
    <x v="9"/>
    <x v="4"/>
  </r>
  <r>
    <x v="15"/>
    <x v="141"/>
    <x v="187"/>
    <x v="18"/>
    <x v="525"/>
    <x v="73"/>
    <x v="9"/>
    <x v="4"/>
  </r>
  <r>
    <x v="15"/>
    <x v="141"/>
    <x v="225"/>
    <x v="18"/>
    <x v="553"/>
    <x v="45"/>
    <x v="9"/>
    <x v="4"/>
  </r>
  <r>
    <x v="38"/>
    <x v="141"/>
    <x v="234"/>
    <x v="18"/>
    <x v="534"/>
    <x v="64"/>
    <x v="9"/>
    <x v="4"/>
  </r>
  <r>
    <x v="8"/>
    <x v="141"/>
    <x v="327"/>
    <x v="21"/>
    <x v="670"/>
    <x v="0"/>
    <x v="66"/>
    <x v="4"/>
  </r>
  <r>
    <x v="53"/>
    <x v="141"/>
    <x v="437"/>
    <x v="21"/>
    <x v="769"/>
    <x v="0"/>
    <x v="118"/>
    <x v="4"/>
  </r>
  <r>
    <x v="41"/>
    <x v="149"/>
    <x v="37"/>
    <x v="18"/>
    <x v="419"/>
    <x v="178"/>
    <x v="9"/>
    <x v="4"/>
  </r>
  <r>
    <x v="31"/>
    <x v="149"/>
    <x v="41"/>
    <x v="18"/>
    <x v="279"/>
    <x v="316"/>
    <x v="9"/>
    <x v="4"/>
  </r>
  <r>
    <x v="15"/>
    <x v="149"/>
    <x v="45"/>
    <x v="18"/>
    <x v="477"/>
    <x v="121"/>
    <x v="9"/>
    <x v="4"/>
  </r>
  <r>
    <x v="15"/>
    <x v="149"/>
    <x v="45"/>
    <x v="18"/>
    <x v="379"/>
    <x v="217"/>
    <x v="9"/>
    <x v="4"/>
  </r>
  <r>
    <x v="15"/>
    <x v="149"/>
    <x v="49"/>
    <x v="18"/>
    <x v="324"/>
    <x v="271"/>
    <x v="9"/>
    <x v="4"/>
  </r>
  <r>
    <x v="8"/>
    <x v="149"/>
    <x v="327"/>
    <x v="21"/>
    <x v="650"/>
    <x v="0"/>
    <x v="52"/>
    <x v="4"/>
  </r>
  <r>
    <x v="53"/>
    <x v="149"/>
    <x v="437"/>
    <x v="21"/>
    <x v="757"/>
    <x v="0"/>
    <x v="113"/>
    <x v="4"/>
  </r>
  <r>
    <x v="38"/>
    <x v="158"/>
    <x v="32"/>
    <x v="18"/>
    <x v="85"/>
    <x v="496"/>
    <x v="9"/>
    <x v="4"/>
  </r>
  <r>
    <x v="38"/>
    <x v="158"/>
    <x v="32"/>
    <x v="18"/>
    <x v="257"/>
    <x v="338"/>
    <x v="9"/>
    <x v="4"/>
  </r>
  <r>
    <x v="8"/>
    <x v="158"/>
    <x v="327"/>
    <x v="21"/>
    <x v="695"/>
    <x v="0"/>
    <x v="80"/>
    <x v="4"/>
  </r>
  <r>
    <x v="53"/>
    <x v="158"/>
    <x v="437"/>
    <x v="21"/>
    <x v="738"/>
    <x v="0"/>
    <x v="101"/>
    <x v="4"/>
  </r>
  <r>
    <x v="53"/>
    <x v="165"/>
    <x v="437"/>
    <x v="21"/>
    <x v="738"/>
    <x v="0"/>
    <x v="101"/>
    <x v="4"/>
  </r>
  <r>
    <x v="15"/>
    <x v="173"/>
    <x v="220"/>
    <x v="18"/>
    <x v="299"/>
    <x v="296"/>
    <x v="9"/>
    <x v="4"/>
  </r>
  <r>
    <x v="55"/>
    <x v="173"/>
    <x v="319"/>
    <x v="6"/>
    <x v="117"/>
    <x v="466"/>
    <x v="9"/>
    <x v="4"/>
  </r>
  <r>
    <x v="8"/>
    <x v="173"/>
    <x v="327"/>
    <x v="21"/>
    <x v="672"/>
    <x v="0"/>
    <x v="68"/>
    <x v="4"/>
  </r>
  <r>
    <x v="53"/>
    <x v="173"/>
    <x v="437"/>
    <x v="21"/>
    <x v="708"/>
    <x v="0"/>
    <x v="86"/>
    <x v="4"/>
  </r>
  <r>
    <x v="54"/>
    <x v="198"/>
    <x v="446"/>
    <x v="7"/>
    <x v="185"/>
    <x v="404"/>
    <x v="9"/>
    <x v="4"/>
  </r>
  <r>
    <x v="41"/>
    <x v="198"/>
    <x v="37"/>
    <x v="18"/>
    <x v="378"/>
    <x v="218"/>
    <x v="9"/>
    <x v="4"/>
  </r>
  <r>
    <x v="41"/>
    <x v="198"/>
    <x v="37"/>
    <x v="18"/>
    <x v="530"/>
    <x v="68"/>
    <x v="9"/>
    <x v="4"/>
  </r>
  <r>
    <x v="28"/>
    <x v="198"/>
    <x v="71"/>
    <x v="18"/>
    <x v="234"/>
    <x v="358"/>
    <x v="9"/>
    <x v="4"/>
  </r>
  <r>
    <x v="30"/>
    <x v="198"/>
    <x v="168"/>
    <x v="18"/>
    <x v="410"/>
    <x v="187"/>
    <x v="9"/>
    <x v="4"/>
  </r>
  <r>
    <x v="15"/>
    <x v="198"/>
    <x v="240"/>
    <x v="18"/>
    <x v="473"/>
    <x v="125"/>
    <x v="9"/>
    <x v="4"/>
  </r>
  <r>
    <x v="8"/>
    <x v="198"/>
    <x v="327"/>
    <x v="21"/>
    <x v="673"/>
    <x v="0"/>
    <x v="69"/>
    <x v="4"/>
  </r>
  <r>
    <x v="53"/>
    <x v="198"/>
    <x v="437"/>
    <x v="21"/>
    <x v="666"/>
    <x v="0"/>
    <x v="62"/>
    <x v="4"/>
  </r>
  <r>
    <x v="53"/>
    <x v="204"/>
    <x v="437"/>
    <x v="21"/>
    <x v="666"/>
    <x v="0"/>
    <x v="62"/>
    <x v="4"/>
  </r>
  <r>
    <x v="53"/>
    <x v="213"/>
    <x v="437"/>
    <x v="21"/>
    <x v="666"/>
    <x v="0"/>
    <x v="62"/>
    <x v="4"/>
  </r>
  <r>
    <x v="41"/>
    <x v="220"/>
    <x v="37"/>
    <x v="18"/>
    <x v="435"/>
    <x v="162"/>
    <x v="9"/>
    <x v="4"/>
  </r>
  <r>
    <x v="28"/>
    <x v="220"/>
    <x v="71"/>
    <x v="18"/>
    <x v="304"/>
    <x v="291"/>
    <x v="9"/>
    <x v="4"/>
  </r>
  <r>
    <x v="8"/>
    <x v="220"/>
    <x v="327"/>
    <x v="21"/>
    <x v="622"/>
    <x v="0"/>
    <x v="31"/>
    <x v="4"/>
  </r>
  <r>
    <x v="53"/>
    <x v="220"/>
    <x v="437"/>
    <x v="21"/>
    <x v="649"/>
    <x v="0"/>
    <x v="51"/>
    <x v="4"/>
  </r>
  <r>
    <x v="3"/>
    <x v="227"/>
    <x v="28"/>
    <x v="18"/>
    <x v="525"/>
    <x v="73"/>
    <x v="9"/>
    <x v="4"/>
  </r>
  <r>
    <x v="41"/>
    <x v="227"/>
    <x v="37"/>
    <x v="18"/>
    <x v="213"/>
    <x v="377"/>
    <x v="9"/>
    <x v="4"/>
  </r>
  <r>
    <x v="3"/>
    <x v="227"/>
    <x v="63"/>
    <x v="18"/>
    <x v="365"/>
    <x v="231"/>
    <x v="9"/>
    <x v="4"/>
  </r>
  <r>
    <x v="53"/>
    <x v="227"/>
    <x v="442"/>
    <x v="21"/>
    <x v="172"/>
    <x v="0"/>
    <x v="9"/>
    <x v="4"/>
  </r>
  <r>
    <x v="53"/>
    <x v="227"/>
    <x v="436"/>
    <x v="21"/>
    <x v="172"/>
    <x v="0"/>
    <x v="9"/>
    <x v="4"/>
  </r>
  <r>
    <x v="15"/>
    <x v="227"/>
    <x v="84"/>
    <x v="18"/>
    <x v="367"/>
    <x v="229"/>
    <x v="9"/>
    <x v="4"/>
  </r>
  <r>
    <x v="15"/>
    <x v="227"/>
    <x v="142"/>
    <x v="18"/>
    <x v="511"/>
    <x v="87"/>
    <x v="9"/>
    <x v="4"/>
  </r>
  <r>
    <x v="15"/>
    <x v="227"/>
    <x v="173"/>
    <x v="18"/>
    <x v="318"/>
    <x v="277"/>
    <x v="9"/>
    <x v="4"/>
  </r>
  <r>
    <x v="8"/>
    <x v="227"/>
    <x v="327"/>
    <x v="21"/>
    <x v="649"/>
    <x v="0"/>
    <x v="51"/>
    <x v="4"/>
  </r>
  <r>
    <x v="53"/>
    <x v="227"/>
    <x v="439"/>
    <x v="21"/>
    <x v="328"/>
    <x v="0"/>
    <x v="9"/>
    <x v="4"/>
  </r>
  <r>
    <x v="53"/>
    <x v="227"/>
    <x v="436"/>
    <x v="21"/>
    <x v="328"/>
    <x v="0"/>
    <x v="9"/>
    <x v="5"/>
  </r>
  <r>
    <x v="28"/>
    <x v="2"/>
    <x v="72"/>
    <x v="18"/>
    <x v="583"/>
    <x v="15"/>
    <x v="9"/>
    <x v="5"/>
  </r>
  <r>
    <x v="15"/>
    <x v="2"/>
    <x v="78"/>
    <x v="18"/>
    <x v="571"/>
    <x v="27"/>
    <x v="9"/>
    <x v="5"/>
  </r>
  <r>
    <x v="29"/>
    <x v="2"/>
    <x v="82"/>
    <x v="18"/>
    <x v="525"/>
    <x v="73"/>
    <x v="9"/>
    <x v="5"/>
  </r>
  <r>
    <x v="15"/>
    <x v="2"/>
    <x v="126"/>
    <x v="18"/>
    <x v="356"/>
    <x v="240"/>
    <x v="9"/>
    <x v="5"/>
  </r>
  <r>
    <x v="15"/>
    <x v="2"/>
    <x v="169"/>
    <x v="18"/>
    <x v="571"/>
    <x v="27"/>
    <x v="9"/>
    <x v="5"/>
  </r>
  <r>
    <x v="15"/>
    <x v="2"/>
    <x v="170"/>
    <x v="18"/>
    <x v="590"/>
    <x v="8"/>
    <x v="9"/>
    <x v="5"/>
  </r>
  <r>
    <x v="15"/>
    <x v="2"/>
    <x v="180"/>
    <x v="18"/>
    <x v="541"/>
    <x v="57"/>
    <x v="9"/>
    <x v="5"/>
  </r>
  <r>
    <x v="15"/>
    <x v="2"/>
    <x v="182"/>
    <x v="18"/>
    <x v="580"/>
    <x v="18"/>
    <x v="9"/>
    <x v="5"/>
  </r>
  <r>
    <x v="38"/>
    <x v="2"/>
    <x v="234"/>
    <x v="18"/>
    <x v="203"/>
    <x v="387"/>
    <x v="9"/>
    <x v="5"/>
  </r>
  <r>
    <x v="53"/>
    <x v="2"/>
    <x v="438"/>
    <x v="21"/>
    <x v="122"/>
    <x v="0"/>
    <x v="9"/>
    <x v="5"/>
  </r>
  <r>
    <x v="41"/>
    <x v="10"/>
    <x v="37"/>
    <x v="18"/>
    <x v="505"/>
    <x v="93"/>
    <x v="9"/>
    <x v="5"/>
  </r>
  <r>
    <x v="8"/>
    <x v="10"/>
    <x v="484"/>
    <x v="19"/>
    <x v="221"/>
    <x v="369"/>
    <x v="9"/>
    <x v="5"/>
  </r>
  <r>
    <x v="53"/>
    <x v="10"/>
    <x v="438"/>
    <x v="21"/>
    <x v="91"/>
    <x v="0"/>
    <x v="9"/>
    <x v="5"/>
  </r>
  <r>
    <x v="3"/>
    <x v="19"/>
    <x v="28"/>
    <x v="18"/>
    <x v="508"/>
    <x v="90"/>
    <x v="9"/>
    <x v="5"/>
  </r>
  <r>
    <x v="38"/>
    <x v="19"/>
    <x v="39"/>
    <x v="18"/>
    <x v="408"/>
    <x v="189"/>
    <x v="9"/>
    <x v="5"/>
  </r>
  <r>
    <x v="28"/>
    <x v="19"/>
    <x v="71"/>
    <x v="18"/>
    <x v="398"/>
    <x v="199"/>
    <x v="9"/>
    <x v="5"/>
  </r>
  <r>
    <x v="53"/>
    <x v="19"/>
    <x v="438"/>
    <x v="21"/>
    <x v="83"/>
    <x v="0"/>
    <x v="9"/>
    <x v="5"/>
  </r>
  <r>
    <x v="41"/>
    <x v="35"/>
    <x v="37"/>
    <x v="18"/>
    <x v="317"/>
    <x v="278"/>
    <x v="9"/>
    <x v="5"/>
  </r>
  <r>
    <x v="15"/>
    <x v="35"/>
    <x v="44"/>
    <x v="18"/>
    <x v="336"/>
    <x v="260"/>
    <x v="9"/>
    <x v="5"/>
  </r>
  <r>
    <x v="28"/>
    <x v="35"/>
    <x v="71"/>
    <x v="18"/>
    <x v="538"/>
    <x v="60"/>
    <x v="9"/>
    <x v="5"/>
  </r>
  <r>
    <x v="53"/>
    <x v="35"/>
    <x v="438"/>
    <x v="21"/>
    <x v="71"/>
    <x v="0"/>
    <x v="9"/>
    <x v="5"/>
  </r>
  <r>
    <x v="54"/>
    <x v="59"/>
    <x v="465"/>
    <x v="7"/>
    <x v="185"/>
    <x v="404"/>
    <x v="9"/>
    <x v="5"/>
  </r>
  <r>
    <x v="41"/>
    <x v="59"/>
    <x v="37"/>
    <x v="18"/>
    <x v="547"/>
    <x v="51"/>
    <x v="9"/>
    <x v="5"/>
  </r>
  <r>
    <x v="38"/>
    <x v="59"/>
    <x v="40"/>
    <x v="18"/>
    <x v="219"/>
    <x v="371"/>
    <x v="9"/>
    <x v="5"/>
  </r>
  <r>
    <x v="15"/>
    <x v="59"/>
    <x v="67"/>
    <x v="18"/>
    <x v="520"/>
    <x v="78"/>
    <x v="9"/>
    <x v="5"/>
  </r>
  <r>
    <x v="4"/>
    <x v="59"/>
    <x v="68"/>
    <x v="18"/>
    <x v="268"/>
    <x v="327"/>
    <x v="9"/>
    <x v="5"/>
  </r>
  <r>
    <x v="28"/>
    <x v="59"/>
    <x v="72"/>
    <x v="18"/>
    <x v="171"/>
    <x v="417"/>
    <x v="9"/>
    <x v="5"/>
  </r>
  <r>
    <x v="38"/>
    <x v="59"/>
    <x v="143"/>
    <x v="18"/>
    <x v="160"/>
    <x v="428"/>
    <x v="9"/>
    <x v="5"/>
  </r>
  <r>
    <x v="15"/>
    <x v="59"/>
    <x v="169"/>
    <x v="18"/>
    <x v="525"/>
    <x v="73"/>
    <x v="9"/>
    <x v="5"/>
  </r>
  <r>
    <x v="3"/>
    <x v="59"/>
    <x v="201"/>
    <x v="18"/>
    <x v="425"/>
    <x v="172"/>
    <x v="9"/>
    <x v="5"/>
  </r>
  <r>
    <x v="15"/>
    <x v="59"/>
    <x v="211"/>
    <x v="18"/>
    <x v="448"/>
    <x v="149"/>
    <x v="9"/>
    <x v="5"/>
  </r>
  <r>
    <x v="15"/>
    <x v="59"/>
    <x v="211"/>
    <x v="18"/>
    <x v="402"/>
    <x v="195"/>
    <x v="9"/>
    <x v="5"/>
  </r>
  <r>
    <x v="15"/>
    <x v="59"/>
    <x v="211"/>
    <x v="18"/>
    <x v="595"/>
    <x v="3"/>
    <x v="9"/>
    <x v="5"/>
  </r>
  <r>
    <x v="38"/>
    <x v="59"/>
    <x v="235"/>
    <x v="18"/>
    <x v="217"/>
    <x v="373"/>
    <x v="9"/>
    <x v="5"/>
  </r>
  <r>
    <x v="53"/>
    <x v="59"/>
    <x v="438"/>
    <x v="21"/>
    <x v="35"/>
    <x v="0"/>
    <x v="9"/>
    <x v="5"/>
  </r>
  <r>
    <x v="13"/>
    <x v="75"/>
    <x v="275"/>
    <x v="6"/>
    <x v="252"/>
    <x v="342"/>
    <x v="9"/>
    <x v="5"/>
  </r>
  <r>
    <x v="13"/>
    <x v="75"/>
    <x v="287"/>
    <x v="6"/>
    <x v="199"/>
    <x v="391"/>
    <x v="9"/>
    <x v="5"/>
  </r>
  <r>
    <x v="15"/>
    <x v="75"/>
    <x v="88"/>
    <x v="18"/>
    <x v="279"/>
    <x v="316"/>
    <x v="9"/>
    <x v="5"/>
  </r>
  <r>
    <x v="38"/>
    <x v="75"/>
    <x v="143"/>
    <x v="18"/>
    <x v="218"/>
    <x v="372"/>
    <x v="9"/>
    <x v="5"/>
  </r>
  <r>
    <x v="15"/>
    <x v="75"/>
    <x v="211"/>
    <x v="18"/>
    <x v="448"/>
    <x v="149"/>
    <x v="9"/>
    <x v="5"/>
  </r>
  <r>
    <x v="8"/>
    <x v="75"/>
    <x v="476"/>
    <x v="19"/>
    <x v="554"/>
    <x v="44"/>
    <x v="9"/>
    <x v="5"/>
  </r>
  <r>
    <x v="53"/>
    <x v="75"/>
    <x v="438"/>
    <x v="21"/>
    <x v="30"/>
    <x v="0"/>
    <x v="9"/>
    <x v="5"/>
  </r>
  <r>
    <x v="9"/>
    <x v="91"/>
    <x v="261"/>
    <x v="6"/>
    <x v="132"/>
    <x v="455"/>
    <x v="9"/>
    <x v="5"/>
  </r>
  <r>
    <x v="9"/>
    <x v="91"/>
    <x v="262"/>
    <x v="6"/>
    <x v="46"/>
    <x v="517"/>
    <x v="9"/>
    <x v="5"/>
  </r>
  <r>
    <x v="3"/>
    <x v="91"/>
    <x v="63"/>
    <x v="18"/>
    <x v="274"/>
    <x v="321"/>
    <x v="9"/>
    <x v="5"/>
  </r>
  <r>
    <x v="15"/>
    <x v="91"/>
    <x v="86"/>
    <x v="18"/>
    <x v="440"/>
    <x v="157"/>
    <x v="9"/>
    <x v="5"/>
  </r>
  <r>
    <x v="15"/>
    <x v="91"/>
    <x v="105"/>
    <x v="18"/>
    <x v="525"/>
    <x v="73"/>
    <x v="9"/>
    <x v="5"/>
  </r>
  <r>
    <x v="15"/>
    <x v="91"/>
    <x v="115"/>
    <x v="18"/>
    <x v="368"/>
    <x v="228"/>
    <x v="9"/>
    <x v="5"/>
  </r>
  <r>
    <x v="15"/>
    <x v="91"/>
    <x v="139"/>
    <x v="18"/>
    <x v="319"/>
    <x v="276"/>
    <x v="9"/>
    <x v="5"/>
  </r>
  <r>
    <x v="15"/>
    <x v="91"/>
    <x v="142"/>
    <x v="18"/>
    <x v="390"/>
    <x v="207"/>
    <x v="9"/>
    <x v="5"/>
  </r>
  <r>
    <x v="22"/>
    <x v="91"/>
    <x v="20"/>
    <x v="19"/>
    <x v="227"/>
    <x v="364"/>
    <x v="9"/>
    <x v="5"/>
  </r>
  <r>
    <x v="53"/>
    <x v="91"/>
    <x v="438"/>
    <x v="21"/>
    <x v="16"/>
    <x v="0"/>
    <x v="9"/>
    <x v="5"/>
  </r>
  <r>
    <x v="54"/>
    <x v="115"/>
    <x v="455"/>
    <x v="7"/>
    <x v="185"/>
    <x v="404"/>
    <x v="9"/>
    <x v="5"/>
  </r>
  <r>
    <x v="41"/>
    <x v="115"/>
    <x v="37"/>
    <x v="18"/>
    <x v="513"/>
    <x v="85"/>
    <x v="9"/>
    <x v="5"/>
  </r>
  <r>
    <x v="41"/>
    <x v="115"/>
    <x v="37"/>
    <x v="18"/>
    <x v="412"/>
    <x v="185"/>
    <x v="9"/>
    <x v="5"/>
  </r>
  <r>
    <x v="28"/>
    <x v="115"/>
    <x v="71"/>
    <x v="18"/>
    <x v="301"/>
    <x v="294"/>
    <x v="9"/>
    <x v="5"/>
  </r>
  <r>
    <x v="15"/>
    <x v="115"/>
    <x v="75"/>
    <x v="18"/>
    <x v="124"/>
    <x v="461"/>
    <x v="9"/>
    <x v="5"/>
  </r>
  <r>
    <x v="15"/>
    <x v="115"/>
    <x v="223"/>
    <x v="18"/>
    <x v="403"/>
    <x v="194"/>
    <x v="9"/>
    <x v="5"/>
  </r>
  <r>
    <x v="38"/>
    <x v="115"/>
    <x v="235"/>
    <x v="18"/>
    <x v="250"/>
    <x v="344"/>
    <x v="9"/>
    <x v="5"/>
  </r>
  <r>
    <x v="15"/>
    <x v="115"/>
    <x v="238"/>
    <x v="18"/>
    <x v="487"/>
    <x v="111"/>
    <x v="9"/>
    <x v="5"/>
  </r>
  <r>
    <x v="12"/>
    <x v="115"/>
    <x v="266"/>
    <x v="6"/>
    <x v="4"/>
    <x v="535"/>
    <x v="9"/>
    <x v="5"/>
  </r>
  <r>
    <x v="48"/>
    <x v="115"/>
    <x v="505"/>
    <x v="6"/>
    <x v="832"/>
    <x v="0"/>
    <x v="150"/>
    <x v="5"/>
  </r>
  <r>
    <x v="52"/>
    <x v="115"/>
    <x v="508"/>
    <x v="21"/>
    <x v="831"/>
    <x v="0"/>
    <x v="149"/>
    <x v="5"/>
  </r>
  <r>
    <x v="53"/>
    <x v="115"/>
    <x v="474"/>
    <x v="21"/>
    <x v="796"/>
    <x v="0"/>
    <x v="9"/>
    <x v="5"/>
  </r>
  <r>
    <x v="31"/>
    <x v="123"/>
    <x v="41"/>
    <x v="18"/>
    <x v="369"/>
    <x v="227"/>
    <x v="9"/>
    <x v="5"/>
  </r>
  <r>
    <x v="3"/>
    <x v="123"/>
    <x v="201"/>
    <x v="18"/>
    <x v="482"/>
    <x v="116"/>
    <x v="9"/>
    <x v="5"/>
  </r>
  <r>
    <x v="53"/>
    <x v="123"/>
    <x v="474"/>
    <x v="21"/>
    <x v="794"/>
    <x v="0"/>
    <x v="9"/>
    <x v="5"/>
  </r>
  <r>
    <x v="38"/>
    <x v="133"/>
    <x v="32"/>
    <x v="18"/>
    <x v="96"/>
    <x v="487"/>
    <x v="9"/>
    <x v="5"/>
  </r>
  <r>
    <x v="41"/>
    <x v="133"/>
    <x v="37"/>
    <x v="18"/>
    <x v="428"/>
    <x v="169"/>
    <x v="9"/>
    <x v="5"/>
  </r>
  <r>
    <x v="53"/>
    <x v="133"/>
    <x v="474"/>
    <x v="21"/>
    <x v="776"/>
    <x v="0"/>
    <x v="9"/>
    <x v="5"/>
  </r>
  <r>
    <x v="28"/>
    <x v="142"/>
    <x v="71"/>
    <x v="18"/>
    <x v="326"/>
    <x v="269"/>
    <x v="9"/>
    <x v="5"/>
  </r>
  <r>
    <x v="53"/>
    <x v="142"/>
    <x v="474"/>
    <x v="21"/>
    <x v="773"/>
    <x v="0"/>
    <x v="9"/>
    <x v="5"/>
  </r>
  <r>
    <x v="15"/>
    <x v="150"/>
    <x v="30"/>
    <x v="18"/>
    <x v="320"/>
    <x v="275"/>
    <x v="9"/>
    <x v="5"/>
  </r>
  <r>
    <x v="43"/>
    <x v="150"/>
    <x v="129"/>
    <x v="18"/>
    <x v="359"/>
    <x v="237"/>
    <x v="9"/>
    <x v="5"/>
  </r>
  <r>
    <x v="15"/>
    <x v="150"/>
    <x v="238"/>
    <x v="18"/>
    <x v="400"/>
    <x v="197"/>
    <x v="9"/>
    <x v="5"/>
  </r>
  <r>
    <x v="53"/>
    <x v="150"/>
    <x v="474"/>
    <x v="21"/>
    <x v="767"/>
    <x v="0"/>
    <x v="9"/>
    <x v="5"/>
  </r>
  <r>
    <x v="9"/>
    <x v="174"/>
    <x v="297"/>
    <x v="6"/>
    <x v="103"/>
    <x v="480"/>
    <x v="9"/>
    <x v="5"/>
  </r>
  <r>
    <x v="54"/>
    <x v="174"/>
    <x v="457"/>
    <x v="7"/>
    <x v="185"/>
    <x v="404"/>
    <x v="9"/>
    <x v="5"/>
  </r>
  <r>
    <x v="41"/>
    <x v="174"/>
    <x v="37"/>
    <x v="18"/>
    <x v="501"/>
    <x v="97"/>
    <x v="9"/>
    <x v="5"/>
  </r>
  <r>
    <x v="2"/>
    <x v="174"/>
    <x v="46"/>
    <x v="18"/>
    <x v="525"/>
    <x v="73"/>
    <x v="9"/>
    <x v="5"/>
  </r>
  <r>
    <x v="41"/>
    <x v="174"/>
    <x v="146"/>
    <x v="18"/>
    <x v="463"/>
    <x v="134"/>
    <x v="9"/>
    <x v="5"/>
  </r>
  <r>
    <x v="15"/>
    <x v="174"/>
    <x v="257"/>
    <x v="18"/>
    <x v="259"/>
    <x v="336"/>
    <x v="9"/>
    <x v="5"/>
  </r>
  <r>
    <x v="55"/>
    <x v="174"/>
    <x v="319"/>
    <x v="6"/>
    <x v="117"/>
    <x v="466"/>
    <x v="9"/>
    <x v="5"/>
  </r>
  <r>
    <x v="53"/>
    <x v="174"/>
    <x v="474"/>
    <x v="21"/>
    <x v="728"/>
    <x v="0"/>
    <x v="9"/>
    <x v="5"/>
  </r>
  <r>
    <x v="41"/>
    <x v="182"/>
    <x v="37"/>
    <x v="18"/>
    <x v="472"/>
    <x v="126"/>
    <x v="9"/>
    <x v="5"/>
  </r>
  <r>
    <x v="28"/>
    <x v="182"/>
    <x v="71"/>
    <x v="18"/>
    <x v="377"/>
    <x v="219"/>
    <x v="9"/>
    <x v="5"/>
  </r>
  <r>
    <x v="38"/>
    <x v="182"/>
    <x v="143"/>
    <x v="18"/>
    <x v="106"/>
    <x v="477"/>
    <x v="9"/>
    <x v="5"/>
  </r>
  <r>
    <x v="53"/>
    <x v="182"/>
    <x v="474"/>
    <x v="21"/>
    <x v="688"/>
    <x v="0"/>
    <x v="9"/>
    <x v="5"/>
  </r>
  <r>
    <x v="41"/>
    <x v="191"/>
    <x v="37"/>
    <x v="18"/>
    <x v="573"/>
    <x v="25"/>
    <x v="9"/>
    <x v="5"/>
  </r>
  <r>
    <x v="28"/>
    <x v="191"/>
    <x v="71"/>
    <x v="18"/>
    <x v="443"/>
    <x v="154"/>
    <x v="9"/>
    <x v="5"/>
  </r>
  <r>
    <x v="28"/>
    <x v="191"/>
    <x v="72"/>
    <x v="18"/>
    <x v="107"/>
    <x v="476"/>
    <x v="9"/>
    <x v="5"/>
  </r>
  <r>
    <x v="53"/>
    <x v="191"/>
    <x v="474"/>
    <x v="21"/>
    <x v="629"/>
    <x v="0"/>
    <x v="9"/>
    <x v="5"/>
  </r>
  <r>
    <x v="41"/>
    <x v="199"/>
    <x v="37"/>
    <x v="18"/>
    <x v="386"/>
    <x v="211"/>
    <x v="9"/>
    <x v="5"/>
  </r>
  <r>
    <x v="15"/>
    <x v="199"/>
    <x v="66"/>
    <x v="18"/>
    <x v="487"/>
    <x v="111"/>
    <x v="9"/>
    <x v="5"/>
  </r>
  <r>
    <x v="15"/>
    <x v="199"/>
    <x v="123"/>
    <x v="18"/>
    <x v="541"/>
    <x v="57"/>
    <x v="9"/>
    <x v="5"/>
  </r>
  <r>
    <x v="3"/>
    <x v="199"/>
    <x v="128"/>
    <x v="18"/>
    <x v="339"/>
    <x v="257"/>
    <x v="9"/>
    <x v="5"/>
  </r>
  <r>
    <x v="53"/>
    <x v="199"/>
    <x v="438"/>
    <x v="21"/>
    <x v="602"/>
    <x v="0"/>
    <x v="9"/>
    <x v="5"/>
  </r>
  <r>
    <x v="41"/>
    <x v="205"/>
    <x v="37"/>
    <x v="18"/>
    <x v="437"/>
    <x v="160"/>
    <x v="9"/>
    <x v="5"/>
  </r>
  <r>
    <x v="3"/>
    <x v="205"/>
    <x v="63"/>
    <x v="18"/>
    <x v="211"/>
    <x v="379"/>
    <x v="9"/>
    <x v="5"/>
  </r>
  <r>
    <x v="15"/>
    <x v="205"/>
    <x v="103"/>
    <x v="18"/>
    <x v="188"/>
    <x v="402"/>
    <x v="9"/>
    <x v="5"/>
  </r>
  <r>
    <x v="28"/>
    <x v="205"/>
    <x v="214"/>
    <x v="18"/>
    <x v="532"/>
    <x v="66"/>
    <x v="9"/>
    <x v="5"/>
  </r>
  <r>
    <x v="53"/>
    <x v="205"/>
    <x v="438"/>
    <x v="21"/>
    <x v="123"/>
    <x v="0"/>
    <x v="9"/>
    <x v="5"/>
  </r>
  <r>
    <x v="9"/>
    <x v="228"/>
    <x v="296"/>
    <x v="6"/>
    <x v="493"/>
    <x v="105"/>
    <x v="9"/>
    <x v="5"/>
  </r>
  <r>
    <x v="9"/>
    <x v="228"/>
    <x v="261"/>
    <x v="6"/>
    <x v="95"/>
    <x v="488"/>
    <x v="9"/>
    <x v="5"/>
  </r>
  <r>
    <x v="9"/>
    <x v="228"/>
    <x v="261"/>
    <x v="6"/>
    <x v="101"/>
    <x v="482"/>
    <x v="9"/>
    <x v="5"/>
  </r>
  <r>
    <x v="54"/>
    <x v="228"/>
    <x v="447"/>
    <x v="7"/>
    <x v="185"/>
    <x v="404"/>
    <x v="9"/>
    <x v="5"/>
  </r>
  <r>
    <x v="20"/>
    <x v="228"/>
    <x v="267"/>
    <x v="6"/>
    <x v="162"/>
    <x v="426"/>
    <x v="9"/>
    <x v="5"/>
  </r>
  <r>
    <x v="20"/>
    <x v="228"/>
    <x v="267"/>
    <x v="6"/>
    <x v="303"/>
    <x v="292"/>
    <x v="9"/>
    <x v="5"/>
  </r>
  <r>
    <x v="20"/>
    <x v="228"/>
    <x v="267"/>
    <x v="6"/>
    <x v="226"/>
    <x v="365"/>
    <x v="9"/>
    <x v="5"/>
  </r>
  <r>
    <x v="38"/>
    <x v="228"/>
    <x v="32"/>
    <x v="18"/>
    <x v="89"/>
    <x v="493"/>
    <x v="9"/>
    <x v="5"/>
  </r>
  <r>
    <x v="15"/>
    <x v="228"/>
    <x v="64"/>
    <x v="18"/>
    <x v="568"/>
    <x v="30"/>
    <x v="9"/>
    <x v="5"/>
  </r>
  <r>
    <x v="38"/>
    <x v="228"/>
    <x v="143"/>
    <x v="18"/>
    <x v="406"/>
    <x v="191"/>
    <x v="9"/>
    <x v="5"/>
  </r>
  <r>
    <x v="15"/>
    <x v="228"/>
    <x v="164"/>
    <x v="18"/>
    <x v="590"/>
    <x v="8"/>
    <x v="9"/>
    <x v="5"/>
  </r>
  <r>
    <x v="15"/>
    <x v="228"/>
    <x v="164"/>
    <x v="18"/>
    <x v="540"/>
    <x v="58"/>
    <x v="9"/>
    <x v="5"/>
  </r>
  <r>
    <x v="30"/>
    <x v="228"/>
    <x v="168"/>
    <x v="18"/>
    <x v="420"/>
    <x v="177"/>
    <x v="9"/>
    <x v="5"/>
  </r>
  <r>
    <x v="38"/>
    <x v="228"/>
    <x v="235"/>
    <x v="18"/>
    <x v="287"/>
    <x v="308"/>
    <x v="9"/>
    <x v="5"/>
  </r>
  <r>
    <x v="53"/>
    <x v="228"/>
    <x v="438"/>
    <x v="21"/>
    <x v="25"/>
    <x v="0"/>
    <x v="9"/>
    <x v="5"/>
  </r>
  <r>
    <x v="44"/>
    <x v="234"/>
    <x v="505"/>
    <x v="6"/>
    <x v="10"/>
    <x v="529"/>
    <x v="9"/>
    <x v="5"/>
  </r>
  <r>
    <x v="52"/>
    <x v="234"/>
    <x v="508"/>
    <x v="21"/>
    <x v="834"/>
    <x v="0"/>
    <x v="152"/>
    <x v="5"/>
  </r>
  <r>
    <x v="53"/>
    <x v="234"/>
    <x v="474"/>
    <x v="21"/>
    <x v="816"/>
    <x v="0"/>
    <x v="9"/>
    <x v="5"/>
  </r>
  <r>
    <x v="53"/>
    <x v="234"/>
    <x v="436"/>
    <x v="21"/>
    <x v="816"/>
    <x v="0"/>
    <x v="9"/>
    <x v="6"/>
  </r>
  <r>
    <x v="53"/>
    <x v="3"/>
    <x v="436"/>
    <x v="21"/>
    <x v="601"/>
    <x v="0"/>
    <x v="9"/>
    <x v="6"/>
  </r>
  <r>
    <x v="38"/>
    <x v="11"/>
    <x v="32"/>
    <x v="18"/>
    <x v="113"/>
    <x v="470"/>
    <x v="9"/>
    <x v="6"/>
  </r>
  <r>
    <x v="41"/>
    <x v="11"/>
    <x v="37"/>
    <x v="18"/>
    <x v="486"/>
    <x v="112"/>
    <x v="9"/>
    <x v="6"/>
  </r>
  <r>
    <x v="15"/>
    <x v="11"/>
    <x v="205"/>
    <x v="18"/>
    <x v="318"/>
    <x v="277"/>
    <x v="9"/>
    <x v="6"/>
  </r>
  <r>
    <x v="15"/>
    <x v="11"/>
    <x v="216"/>
    <x v="18"/>
    <x v="157"/>
    <x v="431"/>
    <x v="9"/>
    <x v="6"/>
  </r>
  <r>
    <x v="8"/>
    <x v="11"/>
    <x v="483"/>
    <x v="19"/>
    <x v="221"/>
    <x v="369"/>
    <x v="9"/>
    <x v="6"/>
  </r>
  <r>
    <x v="53"/>
    <x v="11"/>
    <x v="474"/>
    <x v="21"/>
    <x v="810"/>
    <x v="0"/>
    <x v="9"/>
    <x v="6"/>
  </r>
  <r>
    <x v="53"/>
    <x v="20"/>
    <x v="474"/>
    <x v="21"/>
    <x v="810"/>
    <x v="0"/>
    <x v="9"/>
    <x v="6"/>
  </r>
  <r>
    <x v="9"/>
    <x v="44"/>
    <x v="290"/>
    <x v="6"/>
    <x v="59"/>
    <x v="512"/>
    <x v="9"/>
    <x v="6"/>
  </r>
  <r>
    <x v="54"/>
    <x v="44"/>
    <x v="463"/>
    <x v="7"/>
    <x v="279"/>
    <x v="316"/>
    <x v="9"/>
    <x v="6"/>
  </r>
  <r>
    <x v="16"/>
    <x v="44"/>
    <x v="471"/>
    <x v="7"/>
    <x v="77"/>
    <x v="500"/>
    <x v="9"/>
    <x v="6"/>
  </r>
  <r>
    <x v="41"/>
    <x v="44"/>
    <x v="37"/>
    <x v="18"/>
    <x v="407"/>
    <x v="190"/>
    <x v="9"/>
    <x v="6"/>
  </r>
  <r>
    <x v="3"/>
    <x v="44"/>
    <x v="128"/>
    <x v="18"/>
    <x v="176"/>
    <x v="413"/>
    <x v="9"/>
    <x v="6"/>
  </r>
  <r>
    <x v="30"/>
    <x v="44"/>
    <x v="168"/>
    <x v="18"/>
    <x v="413"/>
    <x v="184"/>
    <x v="9"/>
    <x v="6"/>
  </r>
  <r>
    <x v="15"/>
    <x v="44"/>
    <x v="230"/>
    <x v="18"/>
    <x v="525"/>
    <x v="73"/>
    <x v="9"/>
    <x v="6"/>
  </r>
  <r>
    <x v="33"/>
    <x v="44"/>
    <x v="323"/>
    <x v="21"/>
    <x v="361"/>
    <x v="235"/>
    <x v="9"/>
    <x v="6"/>
  </r>
  <r>
    <x v="53"/>
    <x v="44"/>
    <x v="474"/>
    <x v="21"/>
    <x v="756"/>
    <x v="0"/>
    <x v="9"/>
    <x v="6"/>
  </r>
  <r>
    <x v="31"/>
    <x v="52"/>
    <x v="41"/>
    <x v="18"/>
    <x v="438"/>
    <x v="159"/>
    <x v="9"/>
    <x v="6"/>
  </r>
  <r>
    <x v="3"/>
    <x v="52"/>
    <x v="63"/>
    <x v="18"/>
    <x v="570"/>
    <x v="28"/>
    <x v="9"/>
    <x v="6"/>
  </r>
  <r>
    <x v="38"/>
    <x v="52"/>
    <x v="143"/>
    <x v="18"/>
    <x v="260"/>
    <x v="335"/>
    <x v="9"/>
    <x v="6"/>
  </r>
  <r>
    <x v="15"/>
    <x v="52"/>
    <x v="211"/>
    <x v="18"/>
    <x v="331"/>
    <x v="265"/>
    <x v="9"/>
    <x v="6"/>
  </r>
  <r>
    <x v="53"/>
    <x v="52"/>
    <x v="474"/>
    <x v="21"/>
    <x v="751"/>
    <x v="0"/>
    <x v="9"/>
    <x v="6"/>
  </r>
  <r>
    <x v="13"/>
    <x v="60"/>
    <x v="284"/>
    <x v="6"/>
    <x v="246"/>
    <x v="348"/>
    <x v="9"/>
    <x v="6"/>
  </r>
  <r>
    <x v="53"/>
    <x v="60"/>
    <x v="474"/>
    <x v="21"/>
    <x v="747"/>
    <x v="0"/>
    <x v="9"/>
    <x v="6"/>
  </r>
  <r>
    <x v="41"/>
    <x v="67"/>
    <x v="37"/>
    <x v="18"/>
    <x v="483"/>
    <x v="115"/>
    <x v="9"/>
    <x v="6"/>
  </r>
  <r>
    <x v="38"/>
    <x v="67"/>
    <x v="235"/>
    <x v="18"/>
    <x v="261"/>
    <x v="334"/>
    <x v="9"/>
    <x v="6"/>
  </r>
  <r>
    <x v="53"/>
    <x v="67"/>
    <x v="474"/>
    <x v="21"/>
    <x v="744"/>
    <x v="0"/>
    <x v="9"/>
    <x v="6"/>
  </r>
  <r>
    <x v="15"/>
    <x v="76"/>
    <x v="65"/>
    <x v="18"/>
    <x v="416"/>
    <x v="181"/>
    <x v="9"/>
    <x v="6"/>
  </r>
  <r>
    <x v="15"/>
    <x v="76"/>
    <x v="120"/>
    <x v="18"/>
    <x v="590"/>
    <x v="8"/>
    <x v="9"/>
    <x v="6"/>
  </r>
  <r>
    <x v="15"/>
    <x v="76"/>
    <x v="25"/>
    <x v="18"/>
    <x v="491"/>
    <x v="107"/>
    <x v="9"/>
    <x v="6"/>
  </r>
  <r>
    <x v="8"/>
    <x v="76"/>
    <x v="476"/>
    <x v="19"/>
    <x v="554"/>
    <x v="44"/>
    <x v="9"/>
    <x v="6"/>
  </r>
  <r>
    <x v="22"/>
    <x v="76"/>
    <x v="20"/>
    <x v="19"/>
    <x v="227"/>
    <x v="364"/>
    <x v="9"/>
    <x v="6"/>
  </r>
  <r>
    <x v="53"/>
    <x v="76"/>
    <x v="474"/>
    <x v="21"/>
    <x v="737"/>
    <x v="0"/>
    <x v="9"/>
    <x v="6"/>
  </r>
  <r>
    <x v="54"/>
    <x v="99"/>
    <x v="454"/>
    <x v="7"/>
    <x v="279"/>
    <x v="316"/>
    <x v="9"/>
    <x v="6"/>
  </r>
  <r>
    <x v="13"/>
    <x v="99"/>
    <x v="280"/>
    <x v="6"/>
    <x v="196"/>
    <x v="394"/>
    <x v="9"/>
    <x v="6"/>
  </r>
  <r>
    <x v="15"/>
    <x v="99"/>
    <x v="80"/>
    <x v="18"/>
    <x v="194"/>
    <x v="396"/>
    <x v="9"/>
    <x v="6"/>
  </r>
  <r>
    <x v="15"/>
    <x v="99"/>
    <x v="126"/>
    <x v="18"/>
    <x v="387"/>
    <x v="210"/>
    <x v="9"/>
    <x v="6"/>
  </r>
  <r>
    <x v="15"/>
    <x v="99"/>
    <x v="155"/>
    <x v="18"/>
    <x v="420"/>
    <x v="177"/>
    <x v="9"/>
    <x v="6"/>
  </r>
  <r>
    <x v="15"/>
    <x v="99"/>
    <x v="230"/>
    <x v="18"/>
    <x v="440"/>
    <x v="157"/>
    <x v="9"/>
    <x v="6"/>
  </r>
  <r>
    <x v="38"/>
    <x v="99"/>
    <x v="234"/>
    <x v="18"/>
    <x v="125"/>
    <x v="460"/>
    <x v="9"/>
    <x v="6"/>
  </r>
  <r>
    <x v="38"/>
    <x v="99"/>
    <x v="235"/>
    <x v="18"/>
    <x v="271"/>
    <x v="324"/>
    <x v="9"/>
    <x v="6"/>
  </r>
  <r>
    <x v="36"/>
    <x v="99"/>
    <x v="307"/>
    <x v="6"/>
    <x v="397"/>
    <x v="200"/>
    <x v="9"/>
    <x v="6"/>
  </r>
  <r>
    <x v="53"/>
    <x v="99"/>
    <x v="474"/>
    <x v="21"/>
    <x v="642"/>
    <x v="0"/>
    <x v="9"/>
    <x v="6"/>
  </r>
  <r>
    <x v="24"/>
    <x v="107"/>
    <x v="495"/>
    <x v="12"/>
    <x v="279"/>
    <x v="316"/>
    <x v="9"/>
    <x v="6"/>
  </r>
  <r>
    <x v="38"/>
    <x v="107"/>
    <x v="234"/>
    <x v="18"/>
    <x v="100"/>
    <x v="483"/>
    <x v="9"/>
    <x v="6"/>
  </r>
  <r>
    <x v="53"/>
    <x v="107"/>
    <x v="438"/>
    <x v="21"/>
    <x v="139"/>
    <x v="0"/>
    <x v="9"/>
    <x v="6"/>
  </r>
  <r>
    <x v="2"/>
    <x v="116"/>
    <x v="46"/>
    <x v="18"/>
    <x v="525"/>
    <x v="73"/>
    <x v="9"/>
    <x v="6"/>
  </r>
  <r>
    <x v="12"/>
    <x v="116"/>
    <x v="266"/>
    <x v="6"/>
    <x v="9"/>
    <x v="530"/>
    <x v="9"/>
    <x v="6"/>
  </r>
  <r>
    <x v="24"/>
    <x v="116"/>
    <x v="495"/>
    <x v="17"/>
    <x v="615"/>
    <x v="0"/>
    <x v="25"/>
    <x v="6"/>
  </r>
  <r>
    <x v="52"/>
    <x v="116"/>
    <x v="508"/>
    <x v="21"/>
    <x v="830"/>
    <x v="0"/>
    <x v="148"/>
    <x v="6"/>
  </r>
  <r>
    <x v="53"/>
    <x v="116"/>
    <x v="474"/>
    <x v="21"/>
    <x v="768"/>
    <x v="0"/>
    <x v="9"/>
    <x v="6"/>
  </r>
  <r>
    <x v="53"/>
    <x v="124"/>
    <x v="474"/>
    <x v="21"/>
    <x v="768"/>
    <x v="0"/>
    <x v="9"/>
    <x v="6"/>
  </r>
  <r>
    <x v="41"/>
    <x v="134"/>
    <x v="37"/>
    <x v="18"/>
    <x v="577"/>
    <x v="21"/>
    <x v="9"/>
    <x v="6"/>
  </r>
  <r>
    <x v="28"/>
    <x v="134"/>
    <x v="73"/>
    <x v="18"/>
    <x v="527"/>
    <x v="71"/>
    <x v="9"/>
    <x v="6"/>
  </r>
  <r>
    <x v="15"/>
    <x v="134"/>
    <x v="181"/>
    <x v="18"/>
    <x v="367"/>
    <x v="229"/>
    <x v="9"/>
    <x v="6"/>
  </r>
  <r>
    <x v="15"/>
    <x v="134"/>
    <x v="181"/>
    <x v="18"/>
    <x v="571"/>
    <x v="27"/>
    <x v="9"/>
    <x v="6"/>
  </r>
  <r>
    <x v="53"/>
    <x v="134"/>
    <x v="474"/>
    <x v="21"/>
    <x v="763"/>
    <x v="0"/>
    <x v="9"/>
    <x v="6"/>
  </r>
  <r>
    <x v="41"/>
    <x v="159"/>
    <x v="37"/>
    <x v="18"/>
    <x v="409"/>
    <x v="188"/>
    <x v="9"/>
    <x v="6"/>
  </r>
  <r>
    <x v="30"/>
    <x v="159"/>
    <x v="168"/>
    <x v="18"/>
    <x v="300"/>
    <x v="295"/>
    <x v="9"/>
    <x v="6"/>
  </r>
  <r>
    <x v="15"/>
    <x v="159"/>
    <x v="221"/>
    <x v="18"/>
    <x v="503"/>
    <x v="95"/>
    <x v="9"/>
    <x v="6"/>
  </r>
  <r>
    <x v="15"/>
    <x v="159"/>
    <x v="237"/>
    <x v="18"/>
    <x v="496"/>
    <x v="102"/>
    <x v="9"/>
    <x v="6"/>
  </r>
  <r>
    <x v="38"/>
    <x v="159"/>
    <x v="246"/>
    <x v="18"/>
    <x v="321"/>
    <x v="274"/>
    <x v="9"/>
    <x v="6"/>
  </r>
  <r>
    <x v="53"/>
    <x v="159"/>
    <x v="474"/>
    <x v="21"/>
    <x v="755"/>
    <x v="0"/>
    <x v="9"/>
    <x v="6"/>
  </r>
  <r>
    <x v="56"/>
    <x v="166"/>
    <x v="318"/>
    <x v="6"/>
    <x v="61"/>
    <x v="510"/>
    <x v="9"/>
    <x v="6"/>
  </r>
  <r>
    <x v="53"/>
    <x v="166"/>
    <x v="474"/>
    <x v="21"/>
    <x v="712"/>
    <x v="0"/>
    <x v="9"/>
    <x v="6"/>
  </r>
  <r>
    <x v="41"/>
    <x v="175"/>
    <x v="37"/>
    <x v="18"/>
    <x v="573"/>
    <x v="25"/>
    <x v="9"/>
    <x v="6"/>
  </r>
  <r>
    <x v="55"/>
    <x v="175"/>
    <x v="319"/>
    <x v="6"/>
    <x v="117"/>
    <x v="466"/>
    <x v="9"/>
    <x v="6"/>
  </r>
  <r>
    <x v="53"/>
    <x v="175"/>
    <x v="474"/>
    <x v="21"/>
    <x v="681"/>
    <x v="0"/>
    <x v="9"/>
    <x v="6"/>
  </r>
  <r>
    <x v="31"/>
    <x v="183"/>
    <x v="41"/>
    <x v="18"/>
    <x v="127"/>
    <x v="458"/>
    <x v="9"/>
    <x v="6"/>
  </r>
  <r>
    <x v="38"/>
    <x v="183"/>
    <x v="235"/>
    <x v="18"/>
    <x v="153"/>
    <x v="435"/>
    <x v="9"/>
    <x v="6"/>
  </r>
  <r>
    <x v="38"/>
    <x v="183"/>
    <x v="235"/>
    <x v="18"/>
    <x v="578"/>
    <x v="20"/>
    <x v="9"/>
    <x v="6"/>
  </r>
  <r>
    <x v="53"/>
    <x v="183"/>
    <x v="438"/>
    <x v="21"/>
    <x v="464"/>
    <x v="0"/>
    <x v="9"/>
    <x v="6"/>
  </r>
  <r>
    <x v="3"/>
    <x v="192"/>
    <x v="128"/>
    <x v="18"/>
    <x v="388"/>
    <x v="209"/>
    <x v="9"/>
    <x v="6"/>
  </r>
  <r>
    <x v="15"/>
    <x v="192"/>
    <x v="238"/>
    <x v="18"/>
    <x v="400"/>
    <x v="197"/>
    <x v="9"/>
    <x v="6"/>
  </r>
  <r>
    <x v="15"/>
    <x v="192"/>
    <x v="317"/>
    <x v="6"/>
    <x v="367"/>
    <x v="229"/>
    <x v="9"/>
    <x v="6"/>
  </r>
  <r>
    <x v="53"/>
    <x v="192"/>
    <x v="438"/>
    <x v="21"/>
    <x v="186"/>
    <x v="0"/>
    <x v="9"/>
    <x v="6"/>
  </r>
  <r>
    <x v="54"/>
    <x v="214"/>
    <x v="449"/>
    <x v="7"/>
    <x v="185"/>
    <x v="404"/>
    <x v="9"/>
    <x v="6"/>
  </r>
  <r>
    <x v="39"/>
    <x v="214"/>
    <x v="498"/>
    <x v="20"/>
    <x v="214"/>
    <x v="376"/>
    <x v="9"/>
    <x v="6"/>
  </r>
  <r>
    <x v="15"/>
    <x v="214"/>
    <x v="112"/>
    <x v="18"/>
    <x v="185"/>
    <x v="404"/>
    <x v="9"/>
    <x v="6"/>
  </r>
  <r>
    <x v="15"/>
    <x v="214"/>
    <x v="118"/>
    <x v="18"/>
    <x v="318"/>
    <x v="277"/>
    <x v="9"/>
    <x v="6"/>
  </r>
  <r>
    <x v="30"/>
    <x v="214"/>
    <x v="168"/>
    <x v="18"/>
    <x v="425"/>
    <x v="172"/>
    <x v="9"/>
    <x v="6"/>
  </r>
  <r>
    <x v="15"/>
    <x v="214"/>
    <x v="198"/>
    <x v="18"/>
    <x v="422"/>
    <x v="175"/>
    <x v="9"/>
    <x v="6"/>
  </r>
  <r>
    <x v="28"/>
    <x v="214"/>
    <x v="210"/>
    <x v="18"/>
    <x v="567"/>
    <x v="31"/>
    <x v="9"/>
    <x v="6"/>
  </r>
  <r>
    <x v="28"/>
    <x v="214"/>
    <x v="210"/>
    <x v="18"/>
    <x v="372"/>
    <x v="224"/>
    <x v="9"/>
    <x v="6"/>
  </r>
  <r>
    <x v="38"/>
    <x v="214"/>
    <x v="234"/>
    <x v="18"/>
    <x v="380"/>
    <x v="216"/>
    <x v="9"/>
    <x v="6"/>
  </r>
  <r>
    <x v="38"/>
    <x v="214"/>
    <x v="234"/>
    <x v="18"/>
    <x v="439"/>
    <x v="158"/>
    <x v="9"/>
    <x v="6"/>
  </r>
  <r>
    <x v="53"/>
    <x v="214"/>
    <x v="438"/>
    <x v="21"/>
    <x v="65"/>
    <x v="0"/>
    <x v="9"/>
    <x v="6"/>
  </r>
  <r>
    <x v="38"/>
    <x v="221"/>
    <x v="39"/>
    <x v="18"/>
    <x v="112"/>
    <x v="471"/>
    <x v="9"/>
    <x v="6"/>
  </r>
  <r>
    <x v="53"/>
    <x v="221"/>
    <x v="438"/>
    <x v="21"/>
    <x v="50"/>
    <x v="0"/>
    <x v="9"/>
    <x v="6"/>
  </r>
  <r>
    <x v="41"/>
    <x v="229"/>
    <x v="37"/>
    <x v="18"/>
    <x v="577"/>
    <x v="21"/>
    <x v="9"/>
    <x v="6"/>
  </r>
  <r>
    <x v="53"/>
    <x v="229"/>
    <x v="438"/>
    <x v="21"/>
    <x v="49"/>
    <x v="0"/>
    <x v="9"/>
    <x v="6"/>
  </r>
  <r>
    <x v="28"/>
    <x v="235"/>
    <x v="167"/>
    <x v="18"/>
    <x v="396"/>
    <x v="201"/>
    <x v="9"/>
    <x v="6"/>
  </r>
  <r>
    <x v="50"/>
    <x v="235"/>
    <x v="21"/>
    <x v="21"/>
    <x v="815"/>
    <x v="0"/>
    <x v="138"/>
    <x v="6"/>
  </r>
  <r>
    <x v="53"/>
    <x v="235"/>
    <x v="438"/>
    <x v="21"/>
    <x v="801"/>
    <x v="0"/>
    <x v="9"/>
    <x v="6"/>
  </r>
  <r>
    <x v="53"/>
    <x v="235"/>
    <x v="0"/>
    <x v="21"/>
    <x v="815"/>
    <x v="0"/>
    <x v="9"/>
    <x v="6"/>
  </r>
  <r>
    <x v="53"/>
    <x v="235"/>
    <x v="440"/>
    <x v="21"/>
    <x v="48"/>
    <x v="0"/>
    <x v="9"/>
    <x v="6"/>
  </r>
  <r>
    <x v="44"/>
    <x v="242"/>
    <x v="505"/>
    <x v="6"/>
    <x v="10"/>
    <x v="529"/>
    <x v="9"/>
    <x v="6"/>
  </r>
  <r>
    <x v="41"/>
    <x v="242"/>
    <x v="37"/>
    <x v="18"/>
    <x v="585"/>
    <x v="13"/>
    <x v="9"/>
    <x v="6"/>
  </r>
  <r>
    <x v="52"/>
    <x v="242"/>
    <x v="508"/>
    <x v="21"/>
    <x v="829"/>
    <x v="0"/>
    <x v="147"/>
    <x v="6"/>
  </r>
  <r>
    <x v="53"/>
    <x v="242"/>
    <x v="474"/>
    <x v="21"/>
    <x v="826"/>
    <x v="0"/>
    <x v="9"/>
    <x v="6"/>
  </r>
  <r>
    <x v="53"/>
    <x v="242"/>
    <x v="438"/>
    <x v="21"/>
    <x v="601"/>
    <x v="0"/>
    <x v="9"/>
    <x v="6"/>
  </r>
  <r>
    <x v="53"/>
    <x v="242"/>
    <x v="436"/>
    <x v="21"/>
    <x v="601"/>
    <x v="0"/>
    <x v="9"/>
    <x v="7"/>
  </r>
  <r>
    <x v="15"/>
    <x v="21"/>
    <x v="31"/>
    <x v="18"/>
    <x v="279"/>
    <x v="316"/>
    <x v="9"/>
    <x v="7"/>
  </r>
  <r>
    <x v="41"/>
    <x v="21"/>
    <x v="37"/>
    <x v="18"/>
    <x v="579"/>
    <x v="19"/>
    <x v="9"/>
    <x v="7"/>
  </r>
  <r>
    <x v="31"/>
    <x v="21"/>
    <x v="41"/>
    <x v="18"/>
    <x v="452"/>
    <x v="145"/>
    <x v="9"/>
    <x v="7"/>
  </r>
  <r>
    <x v="28"/>
    <x v="21"/>
    <x v="70"/>
    <x v="18"/>
    <x v="281"/>
    <x v="314"/>
    <x v="9"/>
    <x v="7"/>
  </r>
  <r>
    <x v="3"/>
    <x v="21"/>
    <x v="132"/>
    <x v="18"/>
    <x v="180"/>
    <x v="409"/>
    <x v="9"/>
    <x v="7"/>
  </r>
  <r>
    <x v="38"/>
    <x v="21"/>
    <x v="235"/>
    <x v="18"/>
    <x v="146"/>
    <x v="442"/>
    <x v="9"/>
    <x v="7"/>
  </r>
  <r>
    <x v="53"/>
    <x v="21"/>
    <x v="474"/>
    <x v="21"/>
    <x v="818"/>
    <x v="0"/>
    <x v="9"/>
    <x v="7"/>
  </r>
  <r>
    <x v="9"/>
    <x v="28"/>
    <x v="262"/>
    <x v="6"/>
    <x v="262"/>
    <x v="333"/>
    <x v="9"/>
    <x v="7"/>
  </r>
  <r>
    <x v="41"/>
    <x v="28"/>
    <x v="37"/>
    <x v="18"/>
    <x v="576"/>
    <x v="22"/>
    <x v="9"/>
    <x v="7"/>
  </r>
  <r>
    <x v="15"/>
    <x v="28"/>
    <x v="173"/>
    <x v="18"/>
    <x v="231"/>
    <x v="360"/>
    <x v="9"/>
    <x v="7"/>
  </r>
  <r>
    <x v="8"/>
    <x v="28"/>
    <x v="482"/>
    <x v="19"/>
    <x v="221"/>
    <x v="369"/>
    <x v="9"/>
    <x v="7"/>
  </r>
  <r>
    <x v="53"/>
    <x v="28"/>
    <x v="474"/>
    <x v="21"/>
    <x v="814"/>
    <x v="0"/>
    <x v="9"/>
    <x v="7"/>
  </r>
  <r>
    <x v="13"/>
    <x v="36"/>
    <x v="278"/>
    <x v="6"/>
    <x v="247"/>
    <x v="347"/>
    <x v="9"/>
    <x v="7"/>
  </r>
  <r>
    <x v="13"/>
    <x v="36"/>
    <x v="279"/>
    <x v="6"/>
    <x v="198"/>
    <x v="392"/>
    <x v="9"/>
    <x v="7"/>
  </r>
  <r>
    <x v="41"/>
    <x v="36"/>
    <x v="37"/>
    <x v="18"/>
    <x v="478"/>
    <x v="120"/>
    <x v="9"/>
    <x v="7"/>
  </r>
  <r>
    <x v="56"/>
    <x v="36"/>
    <x v="300"/>
    <x v="6"/>
    <x v="93"/>
    <x v="490"/>
    <x v="9"/>
    <x v="7"/>
  </r>
  <r>
    <x v="53"/>
    <x v="36"/>
    <x v="474"/>
    <x v="21"/>
    <x v="808"/>
    <x v="0"/>
    <x v="9"/>
    <x v="7"/>
  </r>
  <r>
    <x v="38"/>
    <x v="45"/>
    <x v="235"/>
    <x v="18"/>
    <x v="431"/>
    <x v="166"/>
    <x v="9"/>
    <x v="7"/>
  </r>
  <r>
    <x v="53"/>
    <x v="45"/>
    <x v="474"/>
    <x v="21"/>
    <x v="806"/>
    <x v="0"/>
    <x v="9"/>
    <x v="7"/>
  </r>
  <r>
    <x v="15"/>
    <x v="53"/>
    <x v="62"/>
    <x v="18"/>
    <x v="432"/>
    <x v="165"/>
    <x v="9"/>
    <x v="7"/>
  </r>
  <r>
    <x v="15"/>
    <x v="53"/>
    <x v="106"/>
    <x v="18"/>
    <x v="140"/>
    <x v="448"/>
    <x v="9"/>
    <x v="7"/>
  </r>
  <r>
    <x v="38"/>
    <x v="53"/>
    <x v="143"/>
    <x v="18"/>
    <x v="142"/>
    <x v="446"/>
    <x v="9"/>
    <x v="7"/>
  </r>
  <r>
    <x v="38"/>
    <x v="53"/>
    <x v="143"/>
    <x v="18"/>
    <x v="560"/>
    <x v="38"/>
    <x v="9"/>
    <x v="7"/>
  </r>
  <r>
    <x v="15"/>
    <x v="53"/>
    <x v="211"/>
    <x v="18"/>
    <x v="561"/>
    <x v="37"/>
    <x v="9"/>
    <x v="7"/>
  </r>
  <r>
    <x v="15"/>
    <x v="53"/>
    <x v="222"/>
    <x v="18"/>
    <x v="285"/>
    <x v="310"/>
    <x v="9"/>
    <x v="7"/>
  </r>
  <r>
    <x v="53"/>
    <x v="53"/>
    <x v="474"/>
    <x v="21"/>
    <x v="798"/>
    <x v="0"/>
    <x v="9"/>
    <x v="7"/>
  </r>
  <r>
    <x v="9"/>
    <x v="77"/>
    <x v="291"/>
    <x v="6"/>
    <x v="66"/>
    <x v="506"/>
    <x v="9"/>
    <x v="7"/>
  </r>
  <r>
    <x v="41"/>
    <x v="77"/>
    <x v="37"/>
    <x v="18"/>
    <x v="444"/>
    <x v="153"/>
    <x v="9"/>
    <x v="7"/>
  </r>
  <r>
    <x v="28"/>
    <x v="77"/>
    <x v="71"/>
    <x v="18"/>
    <x v="357"/>
    <x v="239"/>
    <x v="9"/>
    <x v="7"/>
  </r>
  <r>
    <x v="28"/>
    <x v="77"/>
    <x v="71"/>
    <x v="18"/>
    <x v="441"/>
    <x v="156"/>
    <x v="9"/>
    <x v="7"/>
  </r>
  <r>
    <x v="15"/>
    <x v="77"/>
    <x v="89"/>
    <x v="18"/>
    <x v="280"/>
    <x v="315"/>
    <x v="9"/>
    <x v="7"/>
  </r>
  <r>
    <x v="51"/>
    <x v="77"/>
    <x v="248"/>
    <x v="18"/>
    <x v="77"/>
    <x v="500"/>
    <x v="9"/>
    <x v="7"/>
  </r>
  <r>
    <x v="8"/>
    <x v="77"/>
    <x v="476"/>
    <x v="19"/>
    <x v="554"/>
    <x v="44"/>
    <x v="9"/>
    <x v="7"/>
  </r>
  <r>
    <x v="22"/>
    <x v="77"/>
    <x v="20"/>
    <x v="19"/>
    <x v="227"/>
    <x v="364"/>
    <x v="9"/>
    <x v="7"/>
  </r>
  <r>
    <x v="53"/>
    <x v="77"/>
    <x v="326"/>
    <x v="21"/>
    <x v="598"/>
    <x v="0"/>
    <x v="10"/>
    <x v="7"/>
  </r>
  <r>
    <x v="53"/>
    <x v="77"/>
    <x v="474"/>
    <x v="21"/>
    <x v="731"/>
    <x v="0"/>
    <x v="9"/>
    <x v="7"/>
  </r>
  <r>
    <x v="53"/>
    <x v="84"/>
    <x v="474"/>
    <x v="21"/>
    <x v="731"/>
    <x v="0"/>
    <x v="9"/>
    <x v="7"/>
  </r>
  <r>
    <x v="38"/>
    <x v="92"/>
    <x v="32"/>
    <x v="18"/>
    <x v="70"/>
    <x v="504"/>
    <x v="9"/>
    <x v="7"/>
  </r>
  <r>
    <x v="38"/>
    <x v="92"/>
    <x v="32"/>
    <x v="18"/>
    <x v="445"/>
    <x v="152"/>
    <x v="9"/>
    <x v="7"/>
  </r>
  <r>
    <x v="38"/>
    <x v="92"/>
    <x v="50"/>
    <x v="18"/>
    <x v="454"/>
    <x v="143"/>
    <x v="9"/>
    <x v="7"/>
  </r>
  <r>
    <x v="53"/>
    <x v="92"/>
    <x v="474"/>
    <x v="21"/>
    <x v="655"/>
    <x v="0"/>
    <x v="9"/>
    <x v="7"/>
  </r>
  <r>
    <x v="53"/>
    <x v="100"/>
    <x v="474"/>
    <x v="21"/>
    <x v="655"/>
    <x v="0"/>
    <x v="9"/>
    <x v="7"/>
  </r>
  <r>
    <x v="41"/>
    <x v="108"/>
    <x v="37"/>
    <x v="18"/>
    <x v="558"/>
    <x v="40"/>
    <x v="9"/>
    <x v="7"/>
  </r>
  <r>
    <x v="41"/>
    <x v="108"/>
    <x v="37"/>
    <x v="18"/>
    <x v="498"/>
    <x v="100"/>
    <x v="9"/>
    <x v="7"/>
  </r>
  <r>
    <x v="28"/>
    <x v="108"/>
    <x v="71"/>
    <x v="18"/>
    <x v="301"/>
    <x v="294"/>
    <x v="9"/>
    <x v="7"/>
  </r>
  <r>
    <x v="38"/>
    <x v="108"/>
    <x v="235"/>
    <x v="18"/>
    <x v="310"/>
    <x v="285"/>
    <x v="9"/>
    <x v="7"/>
  </r>
  <r>
    <x v="53"/>
    <x v="108"/>
    <x v="474"/>
    <x v="21"/>
    <x v="623"/>
    <x v="0"/>
    <x v="9"/>
    <x v="7"/>
  </r>
  <r>
    <x v="54"/>
    <x v="135"/>
    <x v="456"/>
    <x v="7"/>
    <x v="185"/>
    <x v="404"/>
    <x v="9"/>
    <x v="7"/>
  </r>
  <r>
    <x v="2"/>
    <x v="135"/>
    <x v="46"/>
    <x v="18"/>
    <x v="525"/>
    <x v="73"/>
    <x v="9"/>
    <x v="7"/>
  </r>
  <r>
    <x v="37"/>
    <x v="135"/>
    <x v="67"/>
    <x v="18"/>
    <x v="235"/>
    <x v="357"/>
    <x v="9"/>
    <x v="7"/>
  </r>
  <r>
    <x v="37"/>
    <x v="135"/>
    <x v="67"/>
    <x v="18"/>
    <x v="563"/>
    <x v="35"/>
    <x v="9"/>
    <x v="7"/>
  </r>
  <r>
    <x v="3"/>
    <x v="135"/>
    <x v="132"/>
    <x v="18"/>
    <x v="210"/>
    <x v="380"/>
    <x v="9"/>
    <x v="7"/>
  </r>
  <r>
    <x v="30"/>
    <x v="135"/>
    <x v="168"/>
    <x v="18"/>
    <x v="300"/>
    <x v="295"/>
    <x v="9"/>
    <x v="7"/>
  </r>
  <r>
    <x v="38"/>
    <x v="135"/>
    <x v="234"/>
    <x v="18"/>
    <x v="414"/>
    <x v="183"/>
    <x v="9"/>
    <x v="7"/>
  </r>
  <r>
    <x v="12"/>
    <x v="135"/>
    <x v="266"/>
    <x v="6"/>
    <x v="18"/>
    <x v="523"/>
    <x v="9"/>
    <x v="7"/>
  </r>
  <r>
    <x v="52"/>
    <x v="135"/>
    <x v="508"/>
    <x v="21"/>
    <x v="830"/>
    <x v="0"/>
    <x v="148"/>
    <x v="7"/>
  </r>
  <r>
    <x v="53"/>
    <x v="135"/>
    <x v="474"/>
    <x v="21"/>
    <x v="800"/>
    <x v="0"/>
    <x v="9"/>
    <x v="7"/>
  </r>
  <r>
    <x v="53"/>
    <x v="143"/>
    <x v="474"/>
    <x v="21"/>
    <x v="800"/>
    <x v="0"/>
    <x v="9"/>
    <x v="7"/>
  </r>
  <r>
    <x v="28"/>
    <x v="151"/>
    <x v="72"/>
    <x v="18"/>
    <x v="302"/>
    <x v="293"/>
    <x v="9"/>
    <x v="7"/>
  </r>
  <r>
    <x v="38"/>
    <x v="151"/>
    <x v="235"/>
    <x v="18"/>
    <x v="90"/>
    <x v="492"/>
    <x v="9"/>
    <x v="7"/>
  </r>
  <r>
    <x v="53"/>
    <x v="151"/>
    <x v="474"/>
    <x v="21"/>
    <x v="790"/>
    <x v="0"/>
    <x v="9"/>
    <x v="7"/>
  </r>
  <r>
    <x v="15"/>
    <x v="160"/>
    <x v="108"/>
    <x v="18"/>
    <x v="525"/>
    <x v="73"/>
    <x v="9"/>
    <x v="7"/>
  </r>
  <r>
    <x v="53"/>
    <x v="160"/>
    <x v="474"/>
    <x v="21"/>
    <x v="787"/>
    <x v="0"/>
    <x v="9"/>
    <x v="7"/>
  </r>
  <r>
    <x v="41"/>
    <x v="167"/>
    <x v="37"/>
    <x v="18"/>
    <x v="418"/>
    <x v="179"/>
    <x v="9"/>
    <x v="7"/>
  </r>
  <r>
    <x v="41"/>
    <x v="167"/>
    <x v="37"/>
    <x v="18"/>
    <x v="499"/>
    <x v="99"/>
    <x v="9"/>
    <x v="7"/>
  </r>
  <r>
    <x v="15"/>
    <x v="167"/>
    <x v="127"/>
    <x v="18"/>
    <x v="318"/>
    <x v="277"/>
    <x v="9"/>
    <x v="7"/>
  </r>
  <r>
    <x v="41"/>
    <x v="167"/>
    <x v="145"/>
    <x v="18"/>
    <x v="512"/>
    <x v="86"/>
    <x v="9"/>
    <x v="7"/>
  </r>
  <r>
    <x v="53"/>
    <x v="167"/>
    <x v="474"/>
    <x v="21"/>
    <x v="780"/>
    <x v="0"/>
    <x v="9"/>
    <x v="7"/>
  </r>
  <r>
    <x v="54"/>
    <x v="193"/>
    <x v="450"/>
    <x v="7"/>
    <x v="185"/>
    <x v="404"/>
    <x v="9"/>
    <x v="7"/>
  </r>
  <r>
    <x v="41"/>
    <x v="193"/>
    <x v="37"/>
    <x v="18"/>
    <x v="575"/>
    <x v="23"/>
    <x v="9"/>
    <x v="7"/>
  </r>
  <r>
    <x v="3"/>
    <x v="193"/>
    <x v="54"/>
    <x v="18"/>
    <x v="560"/>
    <x v="38"/>
    <x v="9"/>
    <x v="7"/>
  </r>
  <r>
    <x v="3"/>
    <x v="193"/>
    <x v="54"/>
    <x v="18"/>
    <x v="391"/>
    <x v="206"/>
    <x v="9"/>
    <x v="7"/>
  </r>
  <r>
    <x v="3"/>
    <x v="193"/>
    <x v="56"/>
    <x v="18"/>
    <x v="586"/>
    <x v="12"/>
    <x v="9"/>
    <x v="7"/>
  </r>
  <r>
    <x v="3"/>
    <x v="193"/>
    <x v="138"/>
    <x v="18"/>
    <x v="133"/>
    <x v="454"/>
    <x v="9"/>
    <x v="7"/>
  </r>
  <r>
    <x v="14"/>
    <x v="193"/>
    <x v="157"/>
    <x v="18"/>
    <x v="508"/>
    <x v="90"/>
    <x v="9"/>
    <x v="7"/>
  </r>
  <r>
    <x v="30"/>
    <x v="193"/>
    <x v="168"/>
    <x v="18"/>
    <x v="263"/>
    <x v="332"/>
    <x v="9"/>
    <x v="7"/>
  </r>
  <r>
    <x v="38"/>
    <x v="193"/>
    <x v="234"/>
    <x v="18"/>
    <x v="502"/>
    <x v="96"/>
    <x v="9"/>
    <x v="7"/>
  </r>
  <r>
    <x v="38"/>
    <x v="193"/>
    <x v="235"/>
    <x v="18"/>
    <x v="187"/>
    <x v="403"/>
    <x v="9"/>
    <x v="7"/>
  </r>
  <r>
    <x v="0"/>
    <x v="193"/>
    <x v="242"/>
    <x v="18"/>
    <x v="135"/>
    <x v="452"/>
    <x v="9"/>
    <x v="7"/>
  </r>
  <r>
    <x v="53"/>
    <x v="193"/>
    <x v="474"/>
    <x v="21"/>
    <x v="742"/>
    <x v="0"/>
    <x v="9"/>
    <x v="7"/>
  </r>
  <r>
    <x v="2"/>
    <x v="200"/>
    <x v="46"/>
    <x v="18"/>
    <x v="525"/>
    <x v="73"/>
    <x v="9"/>
    <x v="7"/>
  </r>
  <r>
    <x v="38"/>
    <x v="200"/>
    <x v="235"/>
    <x v="18"/>
    <x v="155"/>
    <x v="433"/>
    <x v="9"/>
    <x v="7"/>
  </r>
  <r>
    <x v="53"/>
    <x v="200"/>
    <x v="474"/>
    <x v="21"/>
    <x v="730"/>
    <x v="0"/>
    <x v="9"/>
    <x v="7"/>
  </r>
  <r>
    <x v="53"/>
    <x v="206"/>
    <x v="474"/>
    <x v="21"/>
    <x v="730"/>
    <x v="0"/>
    <x v="9"/>
    <x v="7"/>
  </r>
  <r>
    <x v="38"/>
    <x v="215"/>
    <x v="235"/>
    <x v="18"/>
    <x v="450"/>
    <x v="147"/>
    <x v="9"/>
    <x v="7"/>
  </r>
  <r>
    <x v="38"/>
    <x v="215"/>
    <x v="235"/>
    <x v="18"/>
    <x v="130"/>
    <x v="457"/>
    <x v="9"/>
    <x v="7"/>
  </r>
  <r>
    <x v="53"/>
    <x v="215"/>
    <x v="474"/>
    <x v="21"/>
    <x v="705"/>
    <x v="0"/>
    <x v="9"/>
    <x v="7"/>
  </r>
  <r>
    <x v="38"/>
    <x v="222"/>
    <x v="235"/>
    <x v="18"/>
    <x v="360"/>
    <x v="236"/>
    <x v="9"/>
    <x v="7"/>
  </r>
  <r>
    <x v="53"/>
    <x v="222"/>
    <x v="474"/>
    <x v="21"/>
    <x v="700"/>
    <x v="0"/>
    <x v="9"/>
    <x v="7"/>
  </r>
  <r>
    <x v="54"/>
    <x v="243"/>
    <x v="459"/>
    <x v="7"/>
    <x v="185"/>
    <x v="404"/>
    <x v="9"/>
    <x v="7"/>
  </r>
  <r>
    <x v="44"/>
    <x v="243"/>
    <x v="505"/>
    <x v="6"/>
    <x v="15"/>
    <x v="524"/>
    <x v="9"/>
    <x v="7"/>
  </r>
  <r>
    <x v="15"/>
    <x v="243"/>
    <x v="108"/>
    <x v="18"/>
    <x v="525"/>
    <x v="73"/>
    <x v="9"/>
    <x v="7"/>
  </r>
  <r>
    <x v="3"/>
    <x v="243"/>
    <x v="128"/>
    <x v="18"/>
    <x v="432"/>
    <x v="165"/>
    <x v="9"/>
    <x v="7"/>
  </r>
  <r>
    <x v="30"/>
    <x v="243"/>
    <x v="168"/>
    <x v="18"/>
    <x v="306"/>
    <x v="289"/>
    <x v="9"/>
    <x v="7"/>
  </r>
  <r>
    <x v="30"/>
    <x v="243"/>
    <x v="168"/>
    <x v="18"/>
    <x v="289"/>
    <x v="306"/>
    <x v="9"/>
    <x v="7"/>
  </r>
  <r>
    <x v="28"/>
    <x v="243"/>
    <x v="208"/>
    <x v="18"/>
    <x v="114"/>
    <x v="469"/>
    <x v="9"/>
    <x v="7"/>
  </r>
  <r>
    <x v="52"/>
    <x v="243"/>
    <x v="508"/>
    <x v="21"/>
    <x v="823"/>
    <x v="0"/>
    <x v="143"/>
    <x v="7"/>
  </r>
  <r>
    <x v="53"/>
    <x v="243"/>
    <x v="474"/>
    <x v="21"/>
    <x v="699"/>
    <x v="0"/>
    <x v="9"/>
    <x v="7"/>
  </r>
  <r>
    <x v="53"/>
    <x v="243"/>
    <x v="438"/>
    <x v="21"/>
    <x v="600"/>
    <x v="0"/>
    <x v="9"/>
    <x v="7"/>
  </r>
  <r>
    <x v="53"/>
    <x v="243"/>
    <x v="436"/>
    <x v="21"/>
    <x v="600"/>
    <x v="0"/>
    <x v="9"/>
    <x v="8"/>
  </r>
  <r>
    <x v="28"/>
    <x v="4"/>
    <x v="71"/>
    <x v="18"/>
    <x v="309"/>
    <x v="286"/>
    <x v="9"/>
    <x v="8"/>
  </r>
  <r>
    <x v="53"/>
    <x v="4"/>
    <x v="474"/>
    <x v="21"/>
    <x v="693"/>
    <x v="0"/>
    <x v="9"/>
    <x v="8"/>
  </r>
  <r>
    <x v="8"/>
    <x v="12"/>
    <x v="478"/>
    <x v="19"/>
    <x v="221"/>
    <x v="369"/>
    <x v="9"/>
    <x v="8"/>
  </r>
  <r>
    <x v="53"/>
    <x v="12"/>
    <x v="474"/>
    <x v="21"/>
    <x v="680"/>
    <x v="0"/>
    <x v="9"/>
    <x v="8"/>
  </r>
  <r>
    <x v="38"/>
    <x v="22"/>
    <x v="235"/>
    <x v="18"/>
    <x v="335"/>
    <x v="261"/>
    <x v="9"/>
    <x v="8"/>
  </r>
  <r>
    <x v="53"/>
    <x v="22"/>
    <x v="474"/>
    <x v="21"/>
    <x v="674"/>
    <x v="0"/>
    <x v="9"/>
    <x v="8"/>
  </r>
  <r>
    <x v="28"/>
    <x v="29"/>
    <x v="207"/>
    <x v="18"/>
    <x v="311"/>
    <x v="284"/>
    <x v="9"/>
    <x v="8"/>
  </r>
  <r>
    <x v="53"/>
    <x v="29"/>
    <x v="474"/>
    <x v="21"/>
    <x v="664"/>
    <x v="0"/>
    <x v="9"/>
    <x v="8"/>
  </r>
  <r>
    <x v="54"/>
    <x v="61"/>
    <x v="467"/>
    <x v="7"/>
    <x v="185"/>
    <x v="404"/>
    <x v="9"/>
    <x v="8"/>
  </r>
  <r>
    <x v="41"/>
    <x v="61"/>
    <x v="37"/>
    <x v="18"/>
    <x v="375"/>
    <x v="221"/>
    <x v="9"/>
    <x v="8"/>
  </r>
  <r>
    <x v="41"/>
    <x v="61"/>
    <x v="37"/>
    <x v="18"/>
    <x v="539"/>
    <x v="59"/>
    <x v="9"/>
    <x v="8"/>
  </r>
  <r>
    <x v="15"/>
    <x v="61"/>
    <x v="118"/>
    <x v="18"/>
    <x v="318"/>
    <x v="277"/>
    <x v="9"/>
    <x v="8"/>
  </r>
  <r>
    <x v="41"/>
    <x v="61"/>
    <x v="146"/>
    <x v="18"/>
    <x v="560"/>
    <x v="38"/>
    <x v="9"/>
    <x v="8"/>
  </r>
  <r>
    <x v="30"/>
    <x v="61"/>
    <x v="168"/>
    <x v="18"/>
    <x v="279"/>
    <x v="316"/>
    <x v="9"/>
    <x v="8"/>
  </r>
  <r>
    <x v="49"/>
    <x v="61"/>
    <x v="179"/>
    <x v="18"/>
    <x v="143"/>
    <x v="445"/>
    <x v="9"/>
    <x v="8"/>
  </r>
  <r>
    <x v="38"/>
    <x v="61"/>
    <x v="234"/>
    <x v="18"/>
    <x v="109"/>
    <x v="474"/>
    <x v="9"/>
    <x v="8"/>
  </r>
  <r>
    <x v="38"/>
    <x v="61"/>
    <x v="235"/>
    <x v="18"/>
    <x v="147"/>
    <x v="441"/>
    <x v="9"/>
    <x v="8"/>
  </r>
  <r>
    <x v="38"/>
    <x v="61"/>
    <x v="235"/>
    <x v="18"/>
    <x v="292"/>
    <x v="303"/>
    <x v="9"/>
    <x v="8"/>
  </r>
  <r>
    <x v="15"/>
    <x v="61"/>
    <x v="238"/>
    <x v="18"/>
    <x v="400"/>
    <x v="197"/>
    <x v="9"/>
    <x v="8"/>
  </r>
  <r>
    <x v="53"/>
    <x v="61"/>
    <x v="438"/>
    <x v="21"/>
    <x v="57"/>
    <x v="0"/>
    <x v="9"/>
    <x v="8"/>
  </r>
  <r>
    <x v="13"/>
    <x v="68"/>
    <x v="268"/>
    <x v="6"/>
    <x v="197"/>
    <x v="393"/>
    <x v="9"/>
    <x v="8"/>
  </r>
  <r>
    <x v="38"/>
    <x v="68"/>
    <x v="235"/>
    <x v="18"/>
    <x v="267"/>
    <x v="328"/>
    <x v="9"/>
    <x v="8"/>
  </r>
  <r>
    <x v="53"/>
    <x v="68"/>
    <x v="438"/>
    <x v="21"/>
    <x v="51"/>
    <x v="0"/>
    <x v="9"/>
    <x v="8"/>
  </r>
  <r>
    <x v="9"/>
    <x v="78"/>
    <x v="292"/>
    <x v="6"/>
    <x v="63"/>
    <x v="508"/>
    <x v="9"/>
    <x v="8"/>
  </r>
  <r>
    <x v="15"/>
    <x v="78"/>
    <x v="108"/>
    <x v="18"/>
    <x v="525"/>
    <x v="73"/>
    <x v="9"/>
    <x v="8"/>
  </r>
  <r>
    <x v="15"/>
    <x v="78"/>
    <x v="177"/>
    <x v="18"/>
    <x v="531"/>
    <x v="67"/>
    <x v="9"/>
    <x v="8"/>
  </r>
  <r>
    <x v="28"/>
    <x v="78"/>
    <x v="207"/>
    <x v="18"/>
    <x v="269"/>
    <x v="326"/>
    <x v="9"/>
    <x v="8"/>
  </r>
  <r>
    <x v="15"/>
    <x v="78"/>
    <x v="238"/>
    <x v="18"/>
    <x v="508"/>
    <x v="90"/>
    <x v="9"/>
    <x v="8"/>
  </r>
  <r>
    <x v="8"/>
    <x v="78"/>
    <x v="476"/>
    <x v="19"/>
    <x v="554"/>
    <x v="44"/>
    <x v="9"/>
    <x v="8"/>
  </r>
  <r>
    <x v="53"/>
    <x v="78"/>
    <x v="438"/>
    <x v="21"/>
    <x v="28"/>
    <x v="0"/>
    <x v="9"/>
    <x v="8"/>
  </r>
  <r>
    <x v="9"/>
    <x v="85"/>
    <x v="262"/>
    <x v="6"/>
    <x v="121"/>
    <x v="462"/>
    <x v="9"/>
    <x v="8"/>
  </r>
  <r>
    <x v="22"/>
    <x v="85"/>
    <x v="20"/>
    <x v="19"/>
    <x v="227"/>
    <x v="364"/>
    <x v="9"/>
    <x v="8"/>
  </r>
  <r>
    <x v="53"/>
    <x v="85"/>
    <x v="438"/>
    <x v="21"/>
    <x v="22"/>
    <x v="0"/>
    <x v="9"/>
    <x v="8"/>
  </r>
  <r>
    <x v="54"/>
    <x v="109"/>
    <x v="17"/>
    <x v="10"/>
    <x v="185"/>
    <x v="404"/>
    <x v="9"/>
    <x v="8"/>
  </r>
  <r>
    <x v="54"/>
    <x v="109"/>
    <x v="451"/>
    <x v="7"/>
    <x v="185"/>
    <x v="404"/>
    <x v="9"/>
    <x v="8"/>
  </r>
  <r>
    <x v="13"/>
    <x v="109"/>
    <x v="277"/>
    <x v="6"/>
    <x v="248"/>
    <x v="346"/>
    <x v="9"/>
    <x v="8"/>
  </r>
  <r>
    <x v="15"/>
    <x v="109"/>
    <x v="29"/>
    <x v="18"/>
    <x v="548"/>
    <x v="50"/>
    <x v="9"/>
    <x v="8"/>
  </r>
  <r>
    <x v="38"/>
    <x v="109"/>
    <x v="32"/>
    <x v="18"/>
    <x v="168"/>
    <x v="420"/>
    <x v="9"/>
    <x v="8"/>
  </r>
  <r>
    <x v="15"/>
    <x v="109"/>
    <x v="108"/>
    <x v="18"/>
    <x v="525"/>
    <x v="73"/>
    <x v="9"/>
    <x v="8"/>
  </r>
  <r>
    <x v="15"/>
    <x v="109"/>
    <x v="116"/>
    <x v="18"/>
    <x v="488"/>
    <x v="110"/>
    <x v="9"/>
    <x v="8"/>
  </r>
  <r>
    <x v="30"/>
    <x v="109"/>
    <x v="168"/>
    <x v="18"/>
    <x v="279"/>
    <x v="316"/>
    <x v="9"/>
    <x v="8"/>
  </r>
  <r>
    <x v="15"/>
    <x v="109"/>
    <x v="230"/>
    <x v="18"/>
    <x v="580"/>
    <x v="18"/>
    <x v="9"/>
    <x v="8"/>
  </r>
  <r>
    <x v="38"/>
    <x v="109"/>
    <x v="234"/>
    <x v="18"/>
    <x v="588"/>
    <x v="10"/>
    <x v="9"/>
    <x v="8"/>
  </r>
  <r>
    <x v="53"/>
    <x v="109"/>
    <x v="438"/>
    <x v="21"/>
    <x v="19"/>
    <x v="0"/>
    <x v="9"/>
    <x v="8"/>
  </r>
  <r>
    <x v="38"/>
    <x v="117"/>
    <x v="32"/>
    <x v="18"/>
    <x v="471"/>
    <x v="127"/>
    <x v="9"/>
    <x v="8"/>
  </r>
  <r>
    <x v="38"/>
    <x v="117"/>
    <x v="56"/>
    <x v="18"/>
    <x v="531"/>
    <x v="67"/>
    <x v="9"/>
    <x v="8"/>
  </r>
  <r>
    <x v="38"/>
    <x v="117"/>
    <x v="133"/>
    <x v="18"/>
    <x v="371"/>
    <x v="225"/>
    <x v="9"/>
    <x v="8"/>
  </r>
  <r>
    <x v="28"/>
    <x v="117"/>
    <x v="207"/>
    <x v="18"/>
    <x v="243"/>
    <x v="351"/>
    <x v="9"/>
    <x v="8"/>
  </r>
  <r>
    <x v="12"/>
    <x v="117"/>
    <x v="266"/>
    <x v="6"/>
    <x v="58"/>
    <x v="513"/>
    <x v="9"/>
    <x v="8"/>
  </r>
  <r>
    <x v="52"/>
    <x v="117"/>
    <x v="508"/>
    <x v="21"/>
    <x v="830"/>
    <x v="0"/>
    <x v="148"/>
    <x v="8"/>
  </r>
  <r>
    <x v="53"/>
    <x v="117"/>
    <x v="474"/>
    <x v="21"/>
    <x v="789"/>
    <x v="0"/>
    <x v="9"/>
    <x v="8"/>
  </r>
  <r>
    <x v="38"/>
    <x v="125"/>
    <x v="235"/>
    <x v="18"/>
    <x v="293"/>
    <x v="302"/>
    <x v="9"/>
    <x v="8"/>
  </r>
  <r>
    <x v="53"/>
    <x v="125"/>
    <x v="474"/>
    <x v="21"/>
    <x v="785"/>
    <x v="0"/>
    <x v="9"/>
    <x v="8"/>
  </r>
  <r>
    <x v="15"/>
    <x v="136"/>
    <x v="109"/>
    <x v="18"/>
    <x v="460"/>
    <x v="137"/>
    <x v="9"/>
    <x v="8"/>
  </r>
  <r>
    <x v="15"/>
    <x v="136"/>
    <x v="151"/>
    <x v="18"/>
    <x v="333"/>
    <x v="263"/>
    <x v="9"/>
    <x v="8"/>
  </r>
  <r>
    <x v="38"/>
    <x v="136"/>
    <x v="235"/>
    <x v="18"/>
    <x v="536"/>
    <x v="62"/>
    <x v="9"/>
    <x v="8"/>
  </r>
  <r>
    <x v="53"/>
    <x v="136"/>
    <x v="474"/>
    <x v="21"/>
    <x v="778"/>
    <x v="0"/>
    <x v="9"/>
    <x v="8"/>
  </r>
  <r>
    <x v="15"/>
    <x v="144"/>
    <x v="108"/>
    <x v="18"/>
    <x v="525"/>
    <x v="73"/>
    <x v="9"/>
    <x v="8"/>
  </r>
  <r>
    <x v="38"/>
    <x v="144"/>
    <x v="143"/>
    <x v="18"/>
    <x v="266"/>
    <x v="329"/>
    <x v="9"/>
    <x v="8"/>
  </r>
  <r>
    <x v="53"/>
    <x v="144"/>
    <x v="474"/>
    <x v="21"/>
    <x v="774"/>
    <x v="0"/>
    <x v="9"/>
    <x v="8"/>
  </r>
  <r>
    <x v="5"/>
    <x v="168"/>
    <x v="448"/>
    <x v="7"/>
    <x v="54"/>
    <x v="515"/>
    <x v="9"/>
    <x v="8"/>
  </r>
  <r>
    <x v="38"/>
    <x v="168"/>
    <x v="32"/>
    <x v="18"/>
    <x v="150"/>
    <x v="438"/>
    <x v="9"/>
    <x v="8"/>
  </r>
  <r>
    <x v="38"/>
    <x v="168"/>
    <x v="32"/>
    <x v="18"/>
    <x v="145"/>
    <x v="443"/>
    <x v="9"/>
    <x v="8"/>
  </r>
  <r>
    <x v="3"/>
    <x v="168"/>
    <x v="63"/>
    <x v="18"/>
    <x v="555"/>
    <x v="43"/>
    <x v="9"/>
    <x v="8"/>
  </r>
  <r>
    <x v="3"/>
    <x v="168"/>
    <x v="93"/>
    <x v="18"/>
    <x v="174"/>
    <x v="415"/>
    <x v="9"/>
    <x v="8"/>
  </r>
  <r>
    <x v="3"/>
    <x v="168"/>
    <x v="179"/>
    <x v="18"/>
    <x v="258"/>
    <x v="337"/>
    <x v="9"/>
    <x v="8"/>
  </r>
  <r>
    <x v="28"/>
    <x v="168"/>
    <x v="207"/>
    <x v="18"/>
    <x v="286"/>
    <x v="309"/>
    <x v="9"/>
    <x v="8"/>
  </r>
  <r>
    <x v="38"/>
    <x v="168"/>
    <x v="235"/>
    <x v="18"/>
    <x v="485"/>
    <x v="113"/>
    <x v="9"/>
    <x v="8"/>
  </r>
  <r>
    <x v="38"/>
    <x v="168"/>
    <x v="235"/>
    <x v="18"/>
    <x v="126"/>
    <x v="459"/>
    <x v="9"/>
    <x v="8"/>
  </r>
  <r>
    <x v="15"/>
    <x v="168"/>
    <x v="238"/>
    <x v="18"/>
    <x v="400"/>
    <x v="197"/>
    <x v="9"/>
    <x v="8"/>
  </r>
  <r>
    <x v="53"/>
    <x v="168"/>
    <x v="438"/>
    <x v="21"/>
    <x v="240"/>
    <x v="0"/>
    <x v="9"/>
    <x v="8"/>
  </r>
  <r>
    <x v="2"/>
    <x v="176"/>
    <x v="46"/>
    <x v="18"/>
    <x v="525"/>
    <x v="73"/>
    <x v="9"/>
    <x v="8"/>
  </r>
  <r>
    <x v="38"/>
    <x v="176"/>
    <x v="143"/>
    <x v="18"/>
    <x v="175"/>
    <x v="414"/>
    <x v="9"/>
    <x v="8"/>
  </r>
  <r>
    <x v="53"/>
    <x v="176"/>
    <x v="438"/>
    <x v="21"/>
    <x v="128"/>
    <x v="0"/>
    <x v="9"/>
    <x v="8"/>
  </r>
  <r>
    <x v="9"/>
    <x v="184"/>
    <x v="260"/>
    <x v="6"/>
    <x v="185"/>
    <x v="404"/>
    <x v="9"/>
    <x v="8"/>
  </r>
  <r>
    <x v="38"/>
    <x v="184"/>
    <x v="56"/>
    <x v="18"/>
    <x v="548"/>
    <x v="50"/>
    <x v="9"/>
    <x v="8"/>
  </r>
  <r>
    <x v="9"/>
    <x v="184"/>
    <x v="193"/>
    <x v="18"/>
    <x v="571"/>
    <x v="27"/>
    <x v="9"/>
    <x v="8"/>
  </r>
  <r>
    <x v="38"/>
    <x v="184"/>
    <x v="235"/>
    <x v="18"/>
    <x v="308"/>
    <x v="287"/>
    <x v="9"/>
    <x v="8"/>
  </r>
  <r>
    <x v="56"/>
    <x v="184"/>
    <x v="309"/>
    <x v="6"/>
    <x v="137"/>
    <x v="450"/>
    <x v="9"/>
    <x v="8"/>
  </r>
  <r>
    <x v="48"/>
    <x v="184"/>
    <x v="505"/>
    <x v="6"/>
    <x v="753"/>
    <x v="0"/>
    <x v="111"/>
    <x v="8"/>
  </r>
  <r>
    <x v="53"/>
    <x v="184"/>
    <x v="474"/>
    <x v="21"/>
    <x v="709"/>
    <x v="0"/>
    <x v="9"/>
    <x v="8"/>
  </r>
  <r>
    <x v="15"/>
    <x v="194"/>
    <x v="100"/>
    <x v="18"/>
    <x v="571"/>
    <x v="27"/>
    <x v="9"/>
    <x v="8"/>
  </r>
  <r>
    <x v="15"/>
    <x v="194"/>
    <x v="114"/>
    <x v="18"/>
    <x v="566"/>
    <x v="32"/>
    <x v="9"/>
    <x v="8"/>
  </r>
  <r>
    <x v="15"/>
    <x v="194"/>
    <x v="116"/>
    <x v="18"/>
    <x v="518"/>
    <x v="80"/>
    <x v="9"/>
    <x v="8"/>
  </r>
  <r>
    <x v="15"/>
    <x v="194"/>
    <x v="116"/>
    <x v="18"/>
    <x v="525"/>
    <x v="73"/>
    <x v="9"/>
    <x v="8"/>
  </r>
  <r>
    <x v="15"/>
    <x v="194"/>
    <x v="124"/>
    <x v="18"/>
    <x v="504"/>
    <x v="94"/>
    <x v="9"/>
    <x v="8"/>
  </r>
  <r>
    <x v="41"/>
    <x v="194"/>
    <x v="146"/>
    <x v="18"/>
    <x v="523"/>
    <x v="75"/>
    <x v="9"/>
    <x v="8"/>
  </r>
  <r>
    <x v="15"/>
    <x v="194"/>
    <x v="156"/>
    <x v="18"/>
    <x v="541"/>
    <x v="57"/>
    <x v="9"/>
    <x v="8"/>
  </r>
  <r>
    <x v="15"/>
    <x v="194"/>
    <x v="174"/>
    <x v="18"/>
    <x v="571"/>
    <x v="27"/>
    <x v="9"/>
    <x v="8"/>
  </r>
  <r>
    <x v="15"/>
    <x v="194"/>
    <x v="176"/>
    <x v="18"/>
    <x v="590"/>
    <x v="8"/>
    <x v="9"/>
    <x v="8"/>
  </r>
  <r>
    <x v="15"/>
    <x v="194"/>
    <x v="186"/>
    <x v="18"/>
    <x v="508"/>
    <x v="90"/>
    <x v="9"/>
    <x v="8"/>
  </r>
  <r>
    <x v="3"/>
    <x v="194"/>
    <x v="195"/>
    <x v="18"/>
    <x v="496"/>
    <x v="102"/>
    <x v="9"/>
    <x v="8"/>
  </r>
  <r>
    <x v="15"/>
    <x v="194"/>
    <x v="219"/>
    <x v="18"/>
    <x v="164"/>
    <x v="424"/>
    <x v="9"/>
    <x v="8"/>
  </r>
  <r>
    <x v="53"/>
    <x v="194"/>
    <x v="474"/>
    <x v="21"/>
    <x v="677"/>
    <x v="0"/>
    <x v="9"/>
    <x v="8"/>
  </r>
  <r>
    <x v="31"/>
    <x v="201"/>
    <x v="41"/>
    <x v="18"/>
    <x v="352"/>
    <x v="244"/>
    <x v="9"/>
    <x v="8"/>
  </r>
  <r>
    <x v="15"/>
    <x v="201"/>
    <x v="117"/>
    <x v="18"/>
    <x v="312"/>
    <x v="283"/>
    <x v="9"/>
    <x v="8"/>
  </r>
  <r>
    <x v="15"/>
    <x v="201"/>
    <x v="119"/>
    <x v="18"/>
    <x v="170"/>
    <x v="418"/>
    <x v="9"/>
    <x v="8"/>
  </r>
  <r>
    <x v="15"/>
    <x v="201"/>
    <x v="121"/>
    <x v="18"/>
    <x v="314"/>
    <x v="281"/>
    <x v="9"/>
    <x v="8"/>
  </r>
  <r>
    <x v="15"/>
    <x v="201"/>
    <x v="127"/>
    <x v="18"/>
    <x v="332"/>
    <x v="264"/>
    <x v="9"/>
    <x v="8"/>
  </r>
  <r>
    <x v="38"/>
    <x v="201"/>
    <x v="235"/>
    <x v="18"/>
    <x v="474"/>
    <x v="124"/>
    <x v="9"/>
    <x v="8"/>
  </r>
  <r>
    <x v="38"/>
    <x v="201"/>
    <x v="235"/>
    <x v="18"/>
    <x v="459"/>
    <x v="138"/>
    <x v="9"/>
    <x v="8"/>
  </r>
  <r>
    <x v="53"/>
    <x v="201"/>
    <x v="438"/>
    <x v="21"/>
    <x v="382"/>
    <x v="0"/>
    <x v="9"/>
    <x v="8"/>
  </r>
  <r>
    <x v="54"/>
    <x v="223"/>
    <x v="453"/>
    <x v="7"/>
    <x v="185"/>
    <x v="404"/>
    <x v="9"/>
    <x v="8"/>
  </r>
  <r>
    <x v="15"/>
    <x v="223"/>
    <x v="116"/>
    <x v="18"/>
    <x v="344"/>
    <x v="252"/>
    <x v="9"/>
    <x v="8"/>
  </r>
  <r>
    <x v="3"/>
    <x v="223"/>
    <x v="128"/>
    <x v="18"/>
    <x v="406"/>
    <x v="191"/>
    <x v="9"/>
    <x v="8"/>
  </r>
  <r>
    <x v="30"/>
    <x v="223"/>
    <x v="168"/>
    <x v="18"/>
    <x v="236"/>
    <x v="356"/>
    <x v="9"/>
    <x v="8"/>
  </r>
  <r>
    <x v="38"/>
    <x v="223"/>
    <x v="234"/>
    <x v="18"/>
    <x v="212"/>
    <x v="378"/>
    <x v="9"/>
    <x v="8"/>
  </r>
  <r>
    <x v="38"/>
    <x v="223"/>
    <x v="235"/>
    <x v="18"/>
    <x v="249"/>
    <x v="345"/>
    <x v="9"/>
    <x v="8"/>
  </r>
  <r>
    <x v="38"/>
    <x v="223"/>
    <x v="235"/>
    <x v="18"/>
    <x v="395"/>
    <x v="202"/>
    <x v="9"/>
    <x v="8"/>
  </r>
  <r>
    <x v="53"/>
    <x v="223"/>
    <x v="438"/>
    <x v="21"/>
    <x v="74"/>
    <x v="0"/>
    <x v="9"/>
    <x v="8"/>
  </r>
  <r>
    <x v="44"/>
    <x v="236"/>
    <x v="505"/>
    <x v="6"/>
    <x v="20"/>
    <x v="522"/>
    <x v="9"/>
    <x v="8"/>
  </r>
  <r>
    <x v="3"/>
    <x v="236"/>
    <x v="197"/>
    <x v="18"/>
    <x v="571"/>
    <x v="27"/>
    <x v="9"/>
    <x v="8"/>
  </r>
  <r>
    <x v="3"/>
    <x v="236"/>
    <x v="197"/>
    <x v="18"/>
    <x v="548"/>
    <x v="50"/>
    <x v="9"/>
    <x v="8"/>
  </r>
  <r>
    <x v="28"/>
    <x v="236"/>
    <x v="214"/>
    <x v="18"/>
    <x v="421"/>
    <x v="176"/>
    <x v="9"/>
    <x v="8"/>
  </r>
  <r>
    <x v="55"/>
    <x v="236"/>
    <x v="299"/>
    <x v="6"/>
    <x v="117"/>
    <x v="466"/>
    <x v="9"/>
    <x v="8"/>
  </r>
  <r>
    <x v="52"/>
    <x v="236"/>
    <x v="508"/>
    <x v="21"/>
    <x v="825"/>
    <x v="0"/>
    <x v="145"/>
    <x v="8"/>
  </r>
  <r>
    <x v="53"/>
    <x v="236"/>
    <x v="474"/>
    <x v="21"/>
    <x v="716"/>
    <x v="0"/>
    <x v="9"/>
    <x v="8"/>
  </r>
  <r>
    <x v="53"/>
    <x v="236"/>
    <x v="438"/>
    <x v="21"/>
    <x v="601"/>
    <x v="0"/>
    <x v="9"/>
    <x v="8"/>
  </r>
  <r>
    <x v="53"/>
    <x v="236"/>
    <x v="436"/>
    <x v="21"/>
    <x v="717"/>
    <x v="0"/>
    <x v="9"/>
    <x v="9"/>
  </r>
  <r>
    <x v="53"/>
    <x v="5"/>
    <x v="474"/>
    <x v="21"/>
    <x v="717"/>
    <x v="0"/>
    <x v="9"/>
    <x v="9"/>
  </r>
  <r>
    <x v="8"/>
    <x v="13"/>
    <x v="488"/>
    <x v="19"/>
    <x v="221"/>
    <x v="369"/>
    <x v="9"/>
    <x v="9"/>
  </r>
  <r>
    <x v="53"/>
    <x v="13"/>
    <x v="474"/>
    <x v="21"/>
    <x v="704"/>
    <x v="0"/>
    <x v="9"/>
    <x v="9"/>
  </r>
  <r>
    <x v="54"/>
    <x v="37"/>
    <x v="464"/>
    <x v="7"/>
    <x v="185"/>
    <x v="404"/>
    <x v="9"/>
    <x v="9"/>
  </r>
  <r>
    <x v="3"/>
    <x v="37"/>
    <x v="153"/>
    <x v="18"/>
    <x v="587"/>
    <x v="11"/>
    <x v="9"/>
    <x v="9"/>
  </r>
  <r>
    <x v="30"/>
    <x v="37"/>
    <x v="168"/>
    <x v="18"/>
    <x v="276"/>
    <x v="319"/>
    <x v="9"/>
    <x v="9"/>
  </r>
  <r>
    <x v="33"/>
    <x v="37"/>
    <x v="323"/>
    <x v="21"/>
    <x v="364"/>
    <x v="232"/>
    <x v="9"/>
    <x v="9"/>
  </r>
  <r>
    <x v="53"/>
    <x v="37"/>
    <x v="474"/>
    <x v="21"/>
    <x v="675"/>
    <x v="0"/>
    <x v="9"/>
    <x v="9"/>
  </r>
  <r>
    <x v="13"/>
    <x v="46"/>
    <x v="283"/>
    <x v="6"/>
    <x v="199"/>
    <x v="391"/>
    <x v="9"/>
    <x v="9"/>
  </r>
  <r>
    <x v="53"/>
    <x v="46"/>
    <x v="474"/>
    <x v="21"/>
    <x v="654"/>
    <x v="0"/>
    <x v="9"/>
    <x v="9"/>
  </r>
  <r>
    <x v="13"/>
    <x v="54"/>
    <x v="282"/>
    <x v="6"/>
    <x v="252"/>
    <x v="342"/>
    <x v="9"/>
    <x v="9"/>
  </r>
  <r>
    <x v="53"/>
    <x v="54"/>
    <x v="474"/>
    <x v="21"/>
    <x v="634"/>
    <x v="0"/>
    <x v="9"/>
    <x v="9"/>
  </r>
  <r>
    <x v="31"/>
    <x v="62"/>
    <x v="41"/>
    <x v="18"/>
    <x v="545"/>
    <x v="53"/>
    <x v="9"/>
    <x v="9"/>
  </r>
  <r>
    <x v="28"/>
    <x v="62"/>
    <x v="71"/>
    <x v="18"/>
    <x v="515"/>
    <x v="83"/>
    <x v="9"/>
    <x v="9"/>
  </r>
  <r>
    <x v="53"/>
    <x v="62"/>
    <x v="474"/>
    <x v="21"/>
    <x v="628"/>
    <x v="0"/>
    <x v="9"/>
    <x v="9"/>
  </r>
  <r>
    <x v="15"/>
    <x v="69"/>
    <x v="81"/>
    <x v="18"/>
    <x v="586"/>
    <x v="12"/>
    <x v="9"/>
    <x v="9"/>
  </r>
  <r>
    <x v="38"/>
    <x v="69"/>
    <x v="235"/>
    <x v="18"/>
    <x v="500"/>
    <x v="98"/>
    <x v="9"/>
    <x v="9"/>
  </r>
  <r>
    <x v="38"/>
    <x v="69"/>
    <x v="235"/>
    <x v="18"/>
    <x v="345"/>
    <x v="251"/>
    <x v="9"/>
    <x v="9"/>
  </r>
  <r>
    <x v="47"/>
    <x v="69"/>
    <x v="507"/>
    <x v="21"/>
    <x v="639"/>
    <x v="0"/>
    <x v="44"/>
    <x v="9"/>
  </r>
  <r>
    <x v="53"/>
    <x v="69"/>
    <x v="474"/>
    <x v="21"/>
    <x v="651"/>
    <x v="0"/>
    <x v="9"/>
    <x v="9"/>
  </r>
  <r>
    <x v="9"/>
    <x v="101"/>
    <x v="293"/>
    <x v="6"/>
    <x v="64"/>
    <x v="507"/>
    <x v="9"/>
    <x v="9"/>
  </r>
  <r>
    <x v="54"/>
    <x v="101"/>
    <x v="460"/>
    <x v="7"/>
    <x v="185"/>
    <x v="404"/>
    <x v="9"/>
    <x v="9"/>
  </r>
  <r>
    <x v="24"/>
    <x v="101"/>
    <x v="495"/>
    <x v="16"/>
    <x v="156"/>
    <x v="432"/>
    <x v="9"/>
    <x v="9"/>
  </r>
  <r>
    <x v="41"/>
    <x v="101"/>
    <x v="37"/>
    <x v="18"/>
    <x v="582"/>
    <x v="16"/>
    <x v="9"/>
    <x v="9"/>
  </r>
  <r>
    <x v="2"/>
    <x v="101"/>
    <x v="46"/>
    <x v="18"/>
    <x v="525"/>
    <x v="73"/>
    <x v="9"/>
    <x v="9"/>
  </r>
  <r>
    <x v="9"/>
    <x v="101"/>
    <x v="193"/>
    <x v="18"/>
    <x v="571"/>
    <x v="27"/>
    <x v="9"/>
    <x v="9"/>
  </r>
  <r>
    <x v="28"/>
    <x v="101"/>
    <x v="214"/>
    <x v="18"/>
    <x v="421"/>
    <x v="176"/>
    <x v="9"/>
    <x v="9"/>
  </r>
  <r>
    <x v="38"/>
    <x v="101"/>
    <x v="234"/>
    <x v="18"/>
    <x v="465"/>
    <x v="133"/>
    <x v="9"/>
    <x v="9"/>
  </r>
  <r>
    <x v="38"/>
    <x v="101"/>
    <x v="235"/>
    <x v="18"/>
    <x v="161"/>
    <x v="427"/>
    <x v="9"/>
    <x v="9"/>
  </r>
  <r>
    <x v="8"/>
    <x v="101"/>
    <x v="476"/>
    <x v="19"/>
    <x v="554"/>
    <x v="44"/>
    <x v="9"/>
    <x v="9"/>
  </r>
  <r>
    <x v="22"/>
    <x v="101"/>
    <x v="20"/>
    <x v="19"/>
    <x v="227"/>
    <x v="364"/>
    <x v="9"/>
    <x v="9"/>
  </r>
  <r>
    <x v="53"/>
    <x v="101"/>
    <x v="438"/>
    <x v="21"/>
    <x v="41"/>
    <x v="0"/>
    <x v="9"/>
    <x v="9"/>
  </r>
  <r>
    <x v="3"/>
    <x v="110"/>
    <x v="93"/>
    <x v="18"/>
    <x v="158"/>
    <x v="430"/>
    <x v="9"/>
    <x v="9"/>
  </r>
  <r>
    <x v="3"/>
    <x v="110"/>
    <x v="212"/>
    <x v="18"/>
    <x v="322"/>
    <x v="273"/>
    <x v="9"/>
    <x v="9"/>
  </r>
  <r>
    <x v="3"/>
    <x v="110"/>
    <x v="212"/>
    <x v="18"/>
    <x v="323"/>
    <x v="272"/>
    <x v="9"/>
    <x v="9"/>
  </r>
  <r>
    <x v="19"/>
    <x v="110"/>
    <x v="495"/>
    <x v="11"/>
    <x v="611"/>
    <x v="0"/>
    <x v="21"/>
    <x v="9"/>
  </r>
  <r>
    <x v="53"/>
    <x v="110"/>
    <x v="438"/>
    <x v="21"/>
    <x v="36"/>
    <x v="0"/>
    <x v="9"/>
    <x v="9"/>
  </r>
  <r>
    <x v="19"/>
    <x v="118"/>
    <x v="3"/>
    <x v="10"/>
    <x v="632"/>
    <x v="0"/>
    <x v="38"/>
    <x v="9"/>
  </r>
  <r>
    <x v="52"/>
    <x v="118"/>
    <x v="508"/>
    <x v="21"/>
    <x v="830"/>
    <x v="0"/>
    <x v="148"/>
    <x v="9"/>
  </r>
  <r>
    <x v="53"/>
    <x v="118"/>
    <x v="474"/>
    <x v="21"/>
    <x v="828"/>
    <x v="0"/>
    <x v="9"/>
    <x v="9"/>
  </r>
  <r>
    <x v="31"/>
    <x v="126"/>
    <x v="41"/>
    <x v="18"/>
    <x v="131"/>
    <x v="456"/>
    <x v="9"/>
    <x v="9"/>
  </r>
  <r>
    <x v="12"/>
    <x v="126"/>
    <x v="266"/>
    <x v="6"/>
    <x v="6"/>
    <x v="533"/>
    <x v="9"/>
    <x v="9"/>
  </r>
  <r>
    <x v="48"/>
    <x v="126"/>
    <x v="505"/>
    <x v="6"/>
    <x v="753"/>
    <x v="0"/>
    <x v="111"/>
    <x v="9"/>
  </r>
  <r>
    <x v="53"/>
    <x v="126"/>
    <x v="474"/>
    <x v="21"/>
    <x v="683"/>
    <x v="0"/>
    <x v="9"/>
    <x v="9"/>
  </r>
  <r>
    <x v="28"/>
    <x v="152"/>
    <x v="71"/>
    <x v="18"/>
    <x v="190"/>
    <x v="400"/>
    <x v="9"/>
    <x v="9"/>
  </r>
  <r>
    <x v="15"/>
    <x v="152"/>
    <x v="84"/>
    <x v="18"/>
    <x v="170"/>
    <x v="418"/>
    <x v="9"/>
    <x v="9"/>
  </r>
  <r>
    <x v="15"/>
    <x v="152"/>
    <x v="116"/>
    <x v="18"/>
    <x v="518"/>
    <x v="80"/>
    <x v="9"/>
    <x v="9"/>
  </r>
  <r>
    <x v="3"/>
    <x v="152"/>
    <x v="128"/>
    <x v="18"/>
    <x v="392"/>
    <x v="205"/>
    <x v="9"/>
    <x v="9"/>
  </r>
  <r>
    <x v="3"/>
    <x v="152"/>
    <x v="131"/>
    <x v="18"/>
    <x v="525"/>
    <x v="73"/>
    <x v="9"/>
    <x v="9"/>
  </r>
  <r>
    <x v="30"/>
    <x v="152"/>
    <x v="168"/>
    <x v="18"/>
    <x v="239"/>
    <x v="354"/>
    <x v="9"/>
    <x v="9"/>
  </r>
  <r>
    <x v="38"/>
    <x v="152"/>
    <x v="234"/>
    <x v="18"/>
    <x v="111"/>
    <x v="472"/>
    <x v="9"/>
    <x v="9"/>
  </r>
  <r>
    <x v="38"/>
    <x v="152"/>
    <x v="235"/>
    <x v="18"/>
    <x v="350"/>
    <x v="246"/>
    <x v="9"/>
    <x v="9"/>
  </r>
  <r>
    <x v="54"/>
    <x v="152"/>
    <x v="473"/>
    <x v="7"/>
    <x v="185"/>
    <x v="404"/>
    <x v="9"/>
    <x v="9"/>
  </r>
  <r>
    <x v="53"/>
    <x v="152"/>
    <x v="438"/>
    <x v="21"/>
    <x v="81"/>
    <x v="0"/>
    <x v="9"/>
    <x v="9"/>
  </r>
  <r>
    <x v="3"/>
    <x v="161"/>
    <x v="81"/>
    <x v="18"/>
    <x v="561"/>
    <x v="37"/>
    <x v="9"/>
    <x v="9"/>
  </r>
  <r>
    <x v="38"/>
    <x v="161"/>
    <x v="235"/>
    <x v="18"/>
    <x v="241"/>
    <x v="353"/>
    <x v="9"/>
    <x v="9"/>
  </r>
  <r>
    <x v="53"/>
    <x v="161"/>
    <x v="438"/>
    <x v="21"/>
    <x v="73"/>
    <x v="0"/>
    <x v="9"/>
    <x v="9"/>
  </r>
  <r>
    <x v="9"/>
    <x v="169"/>
    <x v="261"/>
    <x v="6"/>
    <x v="209"/>
    <x v="381"/>
    <x v="9"/>
    <x v="9"/>
  </r>
  <r>
    <x v="55"/>
    <x v="169"/>
    <x v="262"/>
    <x v="6"/>
    <x v="121"/>
    <x v="462"/>
    <x v="9"/>
    <x v="9"/>
  </r>
  <r>
    <x v="15"/>
    <x v="169"/>
    <x v="233"/>
    <x v="18"/>
    <x v="294"/>
    <x v="301"/>
    <x v="9"/>
    <x v="9"/>
  </r>
  <r>
    <x v="53"/>
    <x v="169"/>
    <x v="438"/>
    <x v="21"/>
    <x v="52"/>
    <x v="0"/>
    <x v="9"/>
    <x v="9"/>
  </r>
  <r>
    <x v="38"/>
    <x v="177"/>
    <x v="249"/>
    <x v="18"/>
    <x v="245"/>
    <x v="349"/>
    <x v="9"/>
    <x v="9"/>
  </r>
  <r>
    <x v="53"/>
    <x v="177"/>
    <x v="438"/>
    <x v="21"/>
    <x v="45"/>
    <x v="0"/>
    <x v="9"/>
    <x v="9"/>
  </r>
  <r>
    <x v="7"/>
    <x v="185"/>
    <x v="504"/>
    <x v="6"/>
    <x v="571"/>
    <x v="27"/>
    <x v="9"/>
    <x v="9"/>
  </r>
  <r>
    <x v="53"/>
    <x v="185"/>
    <x v="438"/>
    <x v="21"/>
    <x v="44"/>
    <x v="0"/>
    <x v="9"/>
    <x v="9"/>
  </r>
  <r>
    <x v="54"/>
    <x v="207"/>
    <x v="452"/>
    <x v="7"/>
    <x v="252"/>
    <x v="342"/>
    <x v="9"/>
    <x v="9"/>
  </r>
  <r>
    <x v="2"/>
    <x v="207"/>
    <x v="46"/>
    <x v="18"/>
    <x v="525"/>
    <x v="73"/>
    <x v="9"/>
    <x v="9"/>
  </r>
  <r>
    <x v="15"/>
    <x v="207"/>
    <x v="116"/>
    <x v="18"/>
    <x v="591"/>
    <x v="7"/>
    <x v="9"/>
    <x v="9"/>
  </r>
  <r>
    <x v="3"/>
    <x v="207"/>
    <x v="138"/>
    <x v="18"/>
    <x v="141"/>
    <x v="447"/>
    <x v="9"/>
    <x v="9"/>
  </r>
  <r>
    <x v="53"/>
    <x v="207"/>
    <x v="438"/>
    <x v="21"/>
    <x v="37"/>
    <x v="0"/>
    <x v="9"/>
    <x v="9"/>
  </r>
  <r>
    <x v="46"/>
    <x v="216"/>
    <x v="501"/>
    <x v="6"/>
    <x v="163"/>
    <x v="425"/>
    <x v="9"/>
    <x v="9"/>
  </r>
  <r>
    <x v="53"/>
    <x v="216"/>
    <x v="312"/>
    <x v="6"/>
    <x v="137"/>
    <x v="450"/>
    <x v="9"/>
    <x v="9"/>
  </r>
  <r>
    <x v="48"/>
    <x v="216"/>
    <x v="505"/>
    <x v="6"/>
    <x v="653"/>
    <x v="0"/>
    <x v="54"/>
    <x v="9"/>
  </r>
  <r>
    <x v="48"/>
    <x v="216"/>
    <x v="505"/>
    <x v="6"/>
    <x v="760"/>
    <x v="0"/>
    <x v="116"/>
    <x v="9"/>
  </r>
  <r>
    <x v="53"/>
    <x v="216"/>
    <x v="438"/>
    <x v="21"/>
    <x v="254"/>
    <x v="0"/>
    <x v="9"/>
    <x v="9"/>
  </r>
  <r>
    <x v="53"/>
    <x v="237"/>
    <x v="492"/>
    <x v="6"/>
    <x v="47"/>
    <x v="516"/>
    <x v="9"/>
    <x v="9"/>
  </r>
  <r>
    <x v="15"/>
    <x v="237"/>
    <x v="81"/>
    <x v="18"/>
    <x v="561"/>
    <x v="37"/>
    <x v="9"/>
    <x v="9"/>
  </r>
  <r>
    <x v="53"/>
    <x v="237"/>
    <x v="438"/>
    <x v="21"/>
    <x v="42"/>
    <x v="0"/>
    <x v="9"/>
    <x v="9"/>
  </r>
  <r>
    <x v="53"/>
    <x v="237"/>
    <x v="436"/>
    <x v="21"/>
    <x v="42"/>
    <x v="0"/>
    <x v="9"/>
    <x v="10"/>
  </r>
  <r>
    <x v="54"/>
    <x v="23"/>
    <x v="462"/>
    <x v="7"/>
    <x v="185"/>
    <x v="404"/>
    <x v="9"/>
    <x v="10"/>
  </r>
  <r>
    <x v="29"/>
    <x v="23"/>
    <x v="82"/>
    <x v="18"/>
    <x v="400"/>
    <x v="197"/>
    <x v="9"/>
    <x v="10"/>
  </r>
  <r>
    <x v="38"/>
    <x v="23"/>
    <x v="143"/>
    <x v="18"/>
    <x v="572"/>
    <x v="26"/>
    <x v="9"/>
    <x v="10"/>
  </r>
  <r>
    <x v="38"/>
    <x v="23"/>
    <x v="143"/>
    <x v="18"/>
    <x v="178"/>
    <x v="411"/>
    <x v="9"/>
    <x v="10"/>
  </r>
  <r>
    <x v="15"/>
    <x v="23"/>
    <x v="155"/>
    <x v="18"/>
    <x v="404"/>
    <x v="193"/>
    <x v="9"/>
    <x v="10"/>
  </r>
  <r>
    <x v="30"/>
    <x v="23"/>
    <x v="168"/>
    <x v="18"/>
    <x v="279"/>
    <x v="316"/>
    <x v="9"/>
    <x v="10"/>
  </r>
  <r>
    <x v="11"/>
    <x v="23"/>
    <x v="226"/>
    <x v="18"/>
    <x v="432"/>
    <x v="165"/>
    <x v="9"/>
    <x v="10"/>
  </r>
  <r>
    <x v="11"/>
    <x v="23"/>
    <x v="226"/>
    <x v="18"/>
    <x v="440"/>
    <x v="157"/>
    <x v="9"/>
    <x v="10"/>
  </r>
  <r>
    <x v="38"/>
    <x v="23"/>
    <x v="234"/>
    <x v="18"/>
    <x v="313"/>
    <x v="282"/>
    <x v="9"/>
    <x v="10"/>
  </r>
  <r>
    <x v="38"/>
    <x v="23"/>
    <x v="235"/>
    <x v="18"/>
    <x v="592"/>
    <x v="6"/>
    <x v="9"/>
    <x v="10"/>
  </r>
  <r>
    <x v="38"/>
    <x v="23"/>
    <x v="249"/>
    <x v="18"/>
    <x v="537"/>
    <x v="61"/>
    <x v="9"/>
    <x v="10"/>
  </r>
  <r>
    <x v="52"/>
    <x v="23"/>
    <x v="508"/>
    <x v="21"/>
    <x v="819"/>
    <x v="0"/>
    <x v="139"/>
    <x v="10"/>
  </r>
  <r>
    <x v="53"/>
    <x v="23"/>
    <x v="474"/>
    <x v="21"/>
    <x v="795"/>
    <x v="0"/>
    <x v="9"/>
    <x v="10"/>
  </r>
  <r>
    <x v="28"/>
    <x v="30"/>
    <x v="71"/>
    <x v="18"/>
    <x v="488"/>
    <x v="110"/>
    <x v="9"/>
    <x v="10"/>
  </r>
  <r>
    <x v="8"/>
    <x v="30"/>
    <x v="487"/>
    <x v="19"/>
    <x v="216"/>
    <x v="374"/>
    <x v="9"/>
    <x v="10"/>
  </r>
  <r>
    <x v="53"/>
    <x v="30"/>
    <x v="474"/>
    <x v="21"/>
    <x v="792"/>
    <x v="0"/>
    <x v="9"/>
    <x v="10"/>
  </r>
  <r>
    <x v="54"/>
    <x v="38"/>
    <x v="489"/>
    <x v="6"/>
    <x v="185"/>
    <x v="404"/>
    <x v="9"/>
    <x v="10"/>
  </r>
  <r>
    <x v="15"/>
    <x v="38"/>
    <x v="88"/>
    <x v="18"/>
    <x v="447"/>
    <x v="150"/>
    <x v="9"/>
    <x v="10"/>
  </r>
  <r>
    <x v="28"/>
    <x v="38"/>
    <x v="214"/>
    <x v="18"/>
    <x v="316"/>
    <x v="279"/>
    <x v="9"/>
    <x v="10"/>
  </r>
  <r>
    <x v="38"/>
    <x v="38"/>
    <x v="249"/>
    <x v="18"/>
    <x v="200"/>
    <x v="390"/>
    <x v="9"/>
    <x v="10"/>
  </r>
  <r>
    <x v="38"/>
    <x v="38"/>
    <x v="249"/>
    <x v="18"/>
    <x v="189"/>
    <x v="401"/>
    <x v="9"/>
    <x v="10"/>
  </r>
  <r>
    <x v="33"/>
    <x v="38"/>
    <x v="324"/>
    <x v="21"/>
    <x v="383"/>
    <x v="214"/>
    <x v="9"/>
    <x v="10"/>
  </r>
  <r>
    <x v="53"/>
    <x v="38"/>
    <x v="474"/>
    <x v="21"/>
    <x v="764"/>
    <x v="0"/>
    <x v="9"/>
    <x v="10"/>
  </r>
  <r>
    <x v="15"/>
    <x v="47"/>
    <x v="52"/>
    <x v="18"/>
    <x v="305"/>
    <x v="290"/>
    <x v="9"/>
    <x v="10"/>
  </r>
  <r>
    <x v="53"/>
    <x v="47"/>
    <x v="474"/>
    <x v="21"/>
    <x v="762"/>
    <x v="0"/>
    <x v="9"/>
    <x v="10"/>
  </r>
  <r>
    <x v="9"/>
    <x v="70"/>
    <x v="294"/>
    <x v="6"/>
    <x v="62"/>
    <x v="509"/>
    <x v="9"/>
    <x v="10"/>
  </r>
  <r>
    <x v="54"/>
    <x v="70"/>
    <x v="469"/>
    <x v="7"/>
    <x v="185"/>
    <x v="404"/>
    <x v="9"/>
    <x v="10"/>
  </r>
  <r>
    <x v="41"/>
    <x v="70"/>
    <x v="37"/>
    <x v="18"/>
    <x v="549"/>
    <x v="49"/>
    <x v="9"/>
    <x v="10"/>
  </r>
  <r>
    <x v="2"/>
    <x v="70"/>
    <x v="46"/>
    <x v="18"/>
    <x v="525"/>
    <x v="73"/>
    <x v="9"/>
    <x v="10"/>
  </r>
  <r>
    <x v="30"/>
    <x v="70"/>
    <x v="53"/>
    <x v="18"/>
    <x v="282"/>
    <x v="313"/>
    <x v="9"/>
    <x v="10"/>
  </r>
  <r>
    <x v="15"/>
    <x v="70"/>
    <x v="60"/>
    <x v="18"/>
    <x v="548"/>
    <x v="50"/>
    <x v="9"/>
    <x v="10"/>
  </r>
  <r>
    <x v="28"/>
    <x v="70"/>
    <x v="71"/>
    <x v="18"/>
    <x v="349"/>
    <x v="247"/>
    <x v="9"/>
    <x v="10"/>
  </r>
  <r>
    <x v="3"/>
    <x v="70"/>
    <x v="93"/>
    <x v="18"/>
    <x v="315"/>
    <x v="280"/>
    <x v="9"/>
    <x v="10"/>
  </r>
  <r>
    <x v="3"/>
    <x v="70"/>
    <x v="132"/>
    <x v="18"/>
    <x v="275"/>
    <x v="320"/>
    <x v="9"/>
    <x v="10"/>
  </r>
  <r>
    <x v="38"/>
    <x v="70"/>
    <x v="249"/>
    <x v="18"/>
    <x v="255"/>
    <x v="340"/>
    <x v="9"/>
    <x v="10"/>
  </r>
  <r>
    <x v="15"/>
    <x v="70"/>
    <x v="252"/>
    <x v="18"/>
    <x v="318"/>
    <x v="277"/>
    <x v="9"/>
    <x v="10"/>
  </r>
  <r>
    <x v="53"/>
    <x v="70"/>
    <x v="474"/>
    <x v="21"/>
    <x v="660"/>
    <x v="0"/>
    <x v="9"/>
    <x v="10"/>
  </r>
  <r>
    <x v="8"/>
    <x v="79"/>
    <x v="476"/>
    <x v="19"/>
    <x v="554"/>
    <x v="44"/>
    <x v="9"/>
    <x v="10"/>
  </r>
  <r>
    <x v="53"/>
    <x v="79"/>
    <x v="474"/>
    <x v="21"/>
    <x v="658"/>
    <x v="0"/>
    <x v="9"/>
    <x v="10"/>
  </r>
  <r>
    <x v="13"/>
    <x v="86"/>
    <x v="285"/>
    <x v="6"/>
    <x v="110"/>
    <x v="473"/>
    <x v="9"/>
    <x v="10"/>
  </r>
  <r>
    <x v="41"/>
    <x v="86"/>
    <x v="57"/>
    <x v="18"/>
    <x v="426"/>
    <x v="171"/>
    <x v="9"/>
    <x v="10"/>
  </r>
  <r>
    <x v="28"/>
    <x v="86"/>
    <x v="71"/>
    <x v="18"/>
    <x v="215"/>
    <x v="375"/>
    <x v="9"/>
    <x v="10"/>
  </r>
  <r>
    <x v="3"/>
    <x v="86"/>
    <x v="132"/>
    <x v="18"/>
    <x v="391"/>
    <x v="206"/>
    <x v="9"/>
    <x v="10"/>
  </r>
  <r>
    <x v="15"/>
    <x v="86"/>
    <x v="236"/>
    <x v="18"/>
    <x v="325"/>
    <x v="270"/>
    <x v="9"/>
    <x v="10"/>
  </r>
  <r>
    <x v="53"/>
    <x v="86"/>
    <x v="438"/>
    <x v="21"/>
    <x v="129"/>
    <x v="0"/>
    <x v="9"/>
    <x v="10"/>
  </r>
  <r>
    <x v="9"/>
    <x v="93"/>
    <x v="193"/>
    <x v="18"/>
    <x v="571"/>
    <x v="27"/>
    <x v="9"/>
    <x v="10"/>
  </r>
  <r>
    <x v="38"/>
    <x v="93"/>
    <x v="249"/>
    <x v="18"/>
    <x v="154"/>
    <x v="434"/>
    <x v="9"/>
    <x v="10"/>
  </r>
  <r>
    <x v="22"/>
    <x v="93"/>
    <x v="20"/>
    <x v="19"/>
    <x v="227"/>
    <x v="364"/>
    <x v="9"/>
    <x v="10"/>
  </r>
  <r>
    <x v="53"/>
    <x v="93"/>
    <x v="438"/>
    <x v="21"/>
    <x v="78"/>
    <x v="0"/>
    <x v="9"/>
    <x v="10"/>
  </r>
  <r>
    <x v="28"/>
    <x v="102"/>
    <x v="71"/>
    <x v="18"/>
    <x v="504"/>
    <x v="94"/>
    <x v="9"/>
    <x v="10"/>
  </r>
  <r>
    <x v="28"/>
    <x v="102"/>
    <x v="71"/>
    <x v="18"/>
    <x v="504"/>
    <x v="94"/>
    <x v="9"/>
    <x v="10"/>
  </r>
  <r>
    <x v="38"/>
    <x v="102"/>
    <x v="249"/>
    <x v="18"/>
    <x v="270"/>
    <x v="325"/>
    <x v="9"/>
    <x v="10"/>
  </r>
  <r>
    <x v="53"/>
    <x v="102"/>
    <x v="438"/>
    <x v="21"/>
    <x v="69"/>
    <x v="0"/>
    <x v="9"/>
    <x v="10"/>
  </r>
  <r>
    <x v="54"/>
    <x v="127"/>
    <x v="458"/>
    <x v="7"/>
    <x v="185"/>
    <x v="404"/>
    <x v="9"/>
    <x v="10"/>
  </r>
  <r>
    <x v="4"/>
    <x v="127"/>
    <x v="68"/>
    <x v="18"/>
    <x v="318"/>
    <x v="277"/>
    <x v="9"/>
    <x v="10"/>
  </r>
  <r>
    <x v="3"/>
    <x v="127"/>
    <x v="93"/>
    <x v="18"/>
    <x v="462"/>
    <x v="135"/>
    <x v="9"/>
    <x v="10"/>
  </r>
  <r>
    <x v="15"/>
    <x v="127"/>
    <x v="102"/>
    <x v="18"/>
    <x v="545"/>
    <x v="53"/>
    <x v="9"/>
    <x v="10"/>
  </r>
  <r>
    <x v="15"/>
    <x v="127"/>
    <x v="116"/>
    <x v="18"/>
    <x v="327"/>
    <x v="268"/>
    <x v="9"/>
    <x v="10"/>
  </r>
  <r>
    <x v="30"/>
    <x v="127"/>
    <x v="168"/>
    <x v="18"/>
    <x v="279"/>
    <x v="316"/>
    <x v="9"/>
    <x v="10"/>
  </r>
  <r>
    <x v="28"/>
    <x v="127"/>
    <x v="172"/>
    <x v="18"/>
    <x v="541"/>
    <x v="57"/>
    <x v="9"/>
    <x v="10"/>
  </r>
  <r>
    <x v="3"/>
    <x v="127"/>
    <x v="196"/>
    <x v="18"/>
    <x v="548"/>
    <x v="50"/>
    <x v="9"/>
    <x v="10"/>
  </r>
  <r>
    <x v="28"/>
    <x v="127"/>
    <x v="214"/>
    <x v="18"/>
    <x v="381"/>
    <x v="215"/>
    <x v="9"/>
    <x v="10"/>
  </r>
  <r>
    <x v="38"/>
    <x v="127"/>
    <x v="249"/>
    <x v="18"/>
    <x v="205"/>
    <x v="385"/>
    <x v="9"/>
    <x v="10"/>
  </r>
  <r>
    <x v="12"/>
    <x v="127"/>
    <x v="266"/>
    <x v="6"/>
    <x v="12"/>
    <x v="527"/>
    <x v="9"/>
    <x v="10"/>
  </r>
  <r>
    <x v="52"/>
    <x v="127"/>
    <x v="508"/>
    <x v="21"/>
    <x v="830"/>
    <x v="0"/>
    <x v="148"/>
    <x v="10"/>
  </r>
  <r>
    <x v="53"/>
    <x v="127"/>
    <x v="474"/>
    <x v="21"/>
    <x v="726"/>
    <x v="0"/>
    <x v="9"/>
    <x v="10"/>
  </r>
  <r>
    <x v="38"/>
    <x v="137"/>
    <x v="249"/>
    <x v="18"/>
    <x v="182"/>
    <x v="407"/>
    <x v="9"/>
    <x v="10"/>
  </r>
  <r>
    <x v="53"/>
    <x v="137"/>
    <x v="474"/>
    <x v="21"/>
    <x v="715"/>
    <x v="0"/>
    <x v="9"/>
    <x v="10"/>
  </r>
  <r>
    <x v="15"/>
    <x v="145"/>
    <x v="118"/>
    <x v="18"/>
    <x v="318"/>
    <x v="277"/>
    <x v="9"/>
    <x v="10"/>
  </r>
  <r>
    <x v="9"/>
    <x v="145"/>
    <x v="193"/>
    <x v="18"/>
    <x v="571"/>
    <x v="27"/>
    <x v="9"/>
    <x v="10"/>
  </r>
  <r>
    <x v="9"/>
    <x v="145"/>
    <x v="228"/>
    <x v="18"/>
    <x v="586"/>
    <x v="12"/>
    <x v="9"/>
    <x v="10"/>
  </r>
  <r>
    <x v="38"/>
    <x v="145"/>
    <x v="249"/>
    <x v="18"/>
    <x v="519"/>
    <x v="79"/>
    <x v="9"/>
    <x v="10"/>
  </r>
  <r>
    <x v="38"/>
    <x v="145"/>
    <x v="249"/>
    <x v="18"/>
    <x v="363"/>
    <x v="233"/>
    <x v="9"/>
    <x v="10"/>
  </r>
  <r>
    <x v="53"/>
    <x v="145"/>
    <x v="474"/>
    <x v="21"/>
    <x v="702"/>
    <x v="0"/>
    <x v="9"/>
    <x v="10"/>
  </r>
  <r>
    <x v="38"/>
    <x v="153"/>
    <x v="249"/>
    <x v="18"/>
    <x v="492"/>
    <x v="106"/>
    <x v="9"/>
    <x v="10"/>
  </r>
  <r>
    <x v="25"/>
    <x v="153"/>
    <x v="510"/>
    <x v="21"/>
    <x v="659"/>
    <x v="0"/>
    <x v="57"/>
    <x v="10"/>
  </r>
  <r>
    <x v="53"/>
    <x v="153"/>
    <x v="474"/>
    <x v="21"/>
    <x v="725"/>
    <x v="0"/>
    <x v="9"/>
    <x v="10"/>
  </r>
  <r>
    <x v="18"/>
    <x v="162"/>
    <x v="496"/>
    <x v="6"/>
    <x v="367"/>
    <x v="229"/>
    <x v="9"/>
    <x v="10"/>
  </r>
  <r>
    <x v="53"/>
    <x v="162"/>
    <x v="474"/>
    <x v="21"/>
    <x v="722"/>
    <x v="0"/>
    <x v="9"/>
    <x v="10"/>
  </r>
  <r>
    <x v="2"/>
    <x v="186"/>
    <x v="46"/>
    <x v="18"/>
    <x v="525"/>
    <x v="73"/>
    <x v="9"/>
    <x v="10"/>
  </r>
  <r>
    <x v="53"/>
    <x v="186"/>
    <x v="474"/>
    <x v="21"/>
    <x v="721"/>
    <x v="0"/>
    <x v="9"/>
    <x v="10"/>
  </r>
  <r>
    <x v="38"/>
    <x v="195"/>
    <x v="249"/>
    <x v="18"/>
    <x v="329"/>
    <x v="267"/>
    <x v="9"/>
    <x v="10"/>
  </r>
  <r>
    <x v="18"/>
    <x v="195"/>
    <x v="496"/>
    <x v="6"/>
    <x v="611"/>
    <x v="0"/>
    <x v="21"/>
    <x v="10"/>
  </r>
  <r>
    <x v="53"/>
    <x v="195"/>
    <x v="474"/>
    <x v="21"/>
    <x v="720"/>
    <x v="0"/>
    <x v="9"/>
    <x v="10"/>
  </r>
  <r>
    <x v="9"/>
    <x v="202"/>
    <x v="262"/>
    <x v="6"/>
    <x v="116"/>
    <x v="467"/>
    <x v="9"/>
    <x v="10"/>
  </r>
  <r>
    <x v="9"/>
    <x v="202"/>
    <x v="274"/>
    <x v="6"/>
    <x v="251"/>
    <x v="343"/>
    <x v="9"/>
    <x v="10"/>
  </r>
  <r>
    <x v="15"/>
    <x v="202"/>
    <x v="38"/>
    <x v="18"/>
    <x v="525"/>
    <x v="73"/>
    <x v="9"/>
    <x v="10"/>
  </r>
  <r>
    <x v="15"/>
    <x v="202"/>
    <x v="104"/>
    <x v="18"/>
    <x v="525"/>
    <x v="73"/>
    <x v="9"/>
    <x v="10"/>
  </r>
  <r>
    <x v="3"/>
    <x v="202"/>
    <x v="128"/>
    <x v="18"/>
    <x v="533"/>
    <x v="65"/>
    <x v="9"/>
    <x v="10"/>
  </r>
  <r>
    <x v="3"/>
    <x v="202"/>
    <x v="131"/>
    <x v="18"/>
    <x v="517"/>
    <x v="81"/>
    <x v="9"/>
    <x v="10"/>
  </r>
  <r>
    <x v="3"/>
    <x v="202"/>
    <x v="131"/>
    <x v="18"/>
    <x v="351"/>
    <x v="245"/>
    <x v="9"/>
    <x v="10"/>
  </r>
  <r>
    <x v="15"/>
    <x v="202"/>
    <x v="154"/>
    <x v="18"/>
    <x v="440"/>
    <x v="157"/>
    <x v="9"/>
    <x v="10"/>
  </r>
  <r>
    <x v="15"/>
    <x v="202"/>
    <x v="203"/>
    <x v="18"/>
    <x v="413"/>
    <x v="184"/>
    <x v="9"/>
    <x v="10"/>
  </r>
  <r>
    <x v="15"/>
    <x v="202"/>
    <x v="227"/>
    <x v="18"/>
    <x v="367"/>
    <x v="229"/>
    <x v="9"/>
    <x v="10"/>
  </r>
  <r>
    <x v="53"/>
    <x v="202"/>
    <x v="474"/>
    <x v="21"/>
    <x v="647"/>
    <x v="0"/>
    <x v="9"/>
    <x v="10"/>
  </r>
  <r>
    <x v="15"/>
    <x v="208"/>
    <x v="51"/>
    <x v="18"/>
    <x v="586"/>
    <x v="12"/>
    <x v="9"/>
    <x v="10"/>
  </r>
  <r>
    <x v="57"/>
    <x v="208"/>
    <x v="325"/>
    <x v="12"/>
    <x v="440"/>
    <x v="157"/>
    <x v="9"/>
    <x v="10"/>
  </r>
  <r>
    <x v="57"/>
    <x v="208"/>
    <x v="325"/>
    <x v="15"/>
    <x v="440"/>
    <x v="157"/>
    <x v="9"/>
    <x v="10"/>
  </r>
  <r>
    <x v="27"/>
    <x v="208"/>
    <x v="259"/>
    <x v="14"/>
    <x v="608"/>
    <x v="0"/>
    <x v="18"/>
    <x v="10"/>
  </r>
  <r>
    <x v="27"/>
    <x v="208"/>
    <x v="259"/>
    <x v="16"/>
    <x v="608"/>
    <x v="0"/>
    <x v="18"/>
    <x v="10"/>
  </r>
  <r>
    <x v="53"/>
    <x v="208"/>
    <x v="474"/>
    <x v="21"/>
    <x v="645"/>
    <x v="0"/>
    <x v="9"/>
    <x v="10"/>
  </r>
  <r>
    <x v="57"/>
    <x v="217"/>
    <x v="493"/>
    <x v="6"/>
    <x v="440"/>
    <x v="157"/>
    <x v="9"/>
    <x v="10"/>
  </r>
  <r>
    <x v="2"/>
    <x v="217"/>
    <x v="46"/>
    <x v="18"/>
    <x v="508"/>
    <x v="90"/>
    <x v="9"/>
    <x v="10"/>
  </r>
  <r>
    <x v="38"/>
    <x v="217"/>
    <x v="249"/>
    <x v="18"/>
    <x v="232"/>
    <x v="359"/>
    <x v="9"/>
    <x v="10"/>
  </r>
  <r>
    <x v="25"/>
    <x v="217"/>
    <x v="2"/>
    <x v="21"/>
    <x v="599"/>
    <x v="0"/>
    <x v="11"/>
    <x v="10"/>
  </r>
  <r>
    <x v="53"/>
    <x v="217"/>
    <x v="474"/>
    <x v="21"/>
    <x v="616"/>
    <x v="0"/>
    <x v="9"/>
    <x v="10"/>
  </r>
  <r>
    <x v="54"/>
    <x v="238"/>
    <x v="466"/>
    <x v="7"/>
    <x v="185"/>
    <x v="404"/>
    <x v="9"/>
    <x v="10"/>
  </r>
  <r>
    <x v="44"/>
    <x v="238"/>
    <x v="505"/>
    <x v="6"/>
    <x v="39"/>
    <x v="520"/>
    <x v="9"/>
    <x v="10"/>
  </r>
  <r>
    <x v="3"/>
    <x v="238"/>
    <x v="41"/>
    <x v="18"/>
    <x v="511"/>
    <x v="87"/>
    <x v="9"/>
    <x v="10"/>
  </r>
  <r>
    <x v="3"/>
    <x v="238"/>
    <x v="92"/>
    <x v="18"/>
    <x v="295"/>
    <x v="300"/>
    <x v="9"/>
    <x v="10"/>
  </r>
  <r>
    <x v="15"/>
    <x v="238"/>
    <x v="116"/>
    <x v="18"/>
    <x v="424"/>
    <x v="173"/>
    <x v="9"/>
    <x v="10"/>
  </r>
  <r>
    <x v="30"/>
    <x v="238"/>
    <x v="168"/>
    <x v="18"/>
    <x v="279"/>
    <x v="316"/>
    <x v="9"/>
    <x v="10"/>
  </r>
  <r>
    <x v="26"/>
    <x v="238"/>
    <x v="194"/>
    <x v="18"/>
    <x v="531"/>
    <x v="67"/>
    <x v="9"/>
    <x v="10"/>
  </r>
  <r>
    <x v="56"/>
    <x v="238"/>
    <x v="301"/>
    <x v="6"/>
    <x v="137"/>
    <x v="450"/>
    <x v="9"/>
    <x v="10"/>
  </r>
  <r>
    <x v="40"/>
    <x v="238"/>
    <x v="303"/>
    <x v="6"/>
    <x v="68"/>
    <x v="505"/>
    <x v="9"/>
    <x v="10"/>
  </r>
  <r>
    <x v="52"/>
    <x v="238"/>
    <x v="508"/>
    <x v="21"/>
    <x v="822"/>
    <x v="0"/>
    <x v="142"/>
    <x v="10"/>
  </r>
  <r>
    <x v="53"/>
    <x v="238"/>
    <x v="474"/>
    <x v="21"/>
    <x v="766"/>
    <x v="0"/>
    <x v="9"/>
    <x v="10"/>
  </r>
  <r>
    <x v="53"/>
    <x v="238"/>
    <x v="438"/>
    <x v="21"/>
    <x v="601"/>
    <x v="0"/>
    <x v="9"/>
    <x v="10"/>
  </r>
  <r>
    <x v="53"/>
    <x v="238"/>
    <x v="436"/>
    <x v="21"/>
    <x v="766"/>
    <x v="0"/>
    <x v="9"/>
    <x v="11"/>
  </r>
  <r>
    <x v="53"/>
    <x v="6"/>
    <x v="474"/>
    <x v="21"/>
    <x v="766"/>
    <x v="0"/>
    <x v="9"/>
    <x v="11"/>
  </r>
  <r>
    <x v="8"/>
    <x v="14"/>
    <x v="486"/>
    <x v="19"/>
    <x v="216"/>
    <x v="374"/>
    <x v="9"/>
    <x v="11"/>
  </r>
  <r>
    <x v="53"/>
    <x v="14"/>
    <x v="474"/>
    <x v="21"/>
    <x v="761"/>
    <x v="0"/>
    <x v="9"/>
    <x v="11"/>
  </r>
  <r>
    <x v="54"/>
    <x v="24"/>
    <x v="5"/>
    <x v="4"/>
    <x v="440"/>
    <x v="157"/>
    <x v="9"/>
    <x v="11"/>
  </r>
  <r>
    <x v="3"/>
    <x v="24"/>
    <x v="81"/>
    <x v="18"/>
    <x v="561"/>
    <x v="37"/>
    <x v="9"/>
    <x v="11"/>
  </r>
  <r>
    <x v="46"/>
    <x v="24"/>
    <x v="507"/>
    <x v="21"/>
    <x v="676"/>
    <x v="0"/>
    <x v="70"/>
    <x v="11"/>
  </r>
  <r>
    <x v="53"/>
    <x v="24"/>
    <x v="474"/>
    <x v="21"/>
    <x v="775"/>
    <x v="0"/>
    <x v="9"/>
    <x v="11"/>
  </r>
  <r>
    <x v="11"/>
    <x v="31"/>
    <x v="226"/>
    <x v="18"/>
    <x v="400"/>
    <x v="197"/>
    <x v="9"/>
    <x v="11"/>
  </r>
  <r>
    <x v="53"/>
    <x v="31"/>
    <x v="474"/>
    <x v="21"/>
    <x v="772"/>
    <x v="0"/>
    <x v="9"/>
    <x v="11"/>
  </r>
  <r>
    <x v="54"/>
    <x v="55"/>
    <x v="444"/>
    <x v="7"/>
    <x v="77"/>
    <x v="500"/>
    <x v="9"/>
    <x v="11"/>
  </r>
  <r>
    <x v="52"/>
    <x v="55"/>
    <x v="470"/>
    <x v="7"/>
    <x v="185"/>
    <x v="404"/>
    <x v="9"/>
    <x v="11"/>
  </r>
  <r>
    <x v="6"/>
    <x v="55"/>
    <x v="27"/>
    <x v="18"/>
    <x v="199"/>
    <x v="391"/>
    <x v="9"/>
    <x v="11"/>
  </r>
  <r>
    <x v="41"/>
    <x v="55"/>
    <x v="37"/>
    <x v="18"/>
    <x v="584"/>
    <x v="14"/>
    <x v="9"/>
    <x v="11"/>
  </r>
  <r>
    <x v="6"/>
    <x v="55"/>
    <x v="68"/>
    <x v="18"/>
    <x v="173"/>
    <x v="416"/>
    <x v="9"/>
    <x v="11"/>
  </r>
  <r>
    <x v="6"/>
    <x v="55"/>
    <x v="140"/>
    <x v="18"/>
    <x v="253"/>
    <x v="341"/>
    <x v="9"/>
    <x v="11"/>
  </r>
  <r>
    <x v="30"/>
    <x v="55"/>
    <x v="168"/>
    <x v="18"/>
    <x v="279"/>
    <x v="316"/>
    <x v="9"/>
    <x v="11"/>
  </r>
  <r>
    <x v="38"/>
    <x v="55"/>
    <x v="249"/>
    <x v="18"/>
    <x v="552"/>
    <x v="46"/>
    <x v="9"/>
    <x v="11"/>
  </r>
  <r>
    <x v="6"/>
    <x v="55"/>
    <x v="256"/>
    <x v="18"/>
    <x v="209"/>
    <x v="381"/>
    <x v="9"/>
    <x v="11"/>
  </r>
  <r>
    <x v="53"/>
    <x v="55"/>
    <x v="474"/>
    <x v="21"/>
    <x v="703"/>
    <x v="0"/>
    <x v="9"/>
    <x v="11"/>
  </r>
  <r>
    <x v="53"/>
    <x v="63"/>
    <x v="474"/>
    <x v="21"/>
    <x v="703"/>
    <x v="0"/>
    <x v="9"/>
    <x v="11"/>
  </r>
  <r>
    <x v="34"/>
    <x v="71"/>
    <x v="107"/>
    <x v="18"/>
    <x v="201"/>
    <x v="389"/>
    <x v="9"/>
    <x v="11"/>
  </r>
  <r>
    <x v="17"/>
    <x v="71"/>
    <x v="308"/>
    <x v="6"/>
    <x v="72"/>
    <x v="503"/>
    <x v="9"/>
    <x v="11"/>
  </r>
  <r>
    <x v="53"/>
    <x v="71"/>
    <x v="438"/>
    <x v="21"/>
    <x v="238"/>
    <x v="0"/>
    <x v="9"/>
    <x v="11"/>
  </r>
  <r>
    <x v="9"/>
    <x v="80"/>
    <x v="295"/>
    <x v="6"/>
    <x v="60"/>
    <x v="511"/>
    <x v="9"/>
    <x v="11"/>
  </r>
  <r>
    <x v="46"/>
    <x v="80"/>
    <x v="500"/>
    <x v="17"/>
    <x v="97"/>
    <x v="486"/>
    <x v="9"/>
    <x v="11"/>
  </r>
  <r>
    <x v="13"/>
    <x v="80"/>
    <x v="271"/>
    <x v="6"/>
    <x v="276"/>
    <x v="319"/>
    <x v="9"/>
    <x v="11"/>
  </r>
  <r>
    <x v="13"/>
    <x v="80"/>
    <x v="276"/>
    <x v="6"/>
    <x v="204"/>
    <x v="386"/>
    <x v="9"/>
    <x v="11"/>
  </r>
  <r>
    <x v="8"/>
    <x v="80"/>
    <x v="476"/>
    <x v="19"/>
    <x v="554"/>
    <x v="44"/>
    <x v="9"/>
    <x v="11"/>
  </r>
  <r>
    <x v="53"/>
    <x v="80"/>
    <x v="438"/>
    <x v="21"/>
    <x v="38"/>
    <x v="0"/>
    <x v="9"/>
    <x v="11"/>
  </r>
  <r>
    <x v="22"/>
    <x v="87"/>
    <x v="20"/>
    <x v="19"/>
    <x v="227"/>
    <x v="364"/>
    <x v="9"/>
    <x v="11"/>
  </r>
  <r>
    <x v="53"/>
    <x v="87"/>
    <x v="438"/>
    <x v="21"/>
    <x v="33"/>
    <x v="0"/>
    <x v="9"/>
    <x v="11"/>
  </r>
  <r>
    <x v="15"/>
    <x v="111"/>
    <x v="461"/>
    <x v="7"/>
    <x v="185"/>
    <x v="404"/>
    <x v="9"/>
    <x v="11"/>
  </r>
  <r>
    <x v="38"/>
    <x v="111"/>
    <x v="46"/>
    <x v="18"/>
    <x v="525"/>
    <x v="73"/>
    <x v="9"/>
    <x v="11"/>
  </r>
  <r>
    <x v="2"/>
    <x v="111"/>
    <x v="88"/>
    <x v="18"/>
    <x v="517"/>
    <x v="81"/>
    <x v="9"/>
    <x v="11"/>
  </r>
  <r>
    <x v="52"/>
    <x v="111"/>
    <x v="143"/>
    <x v="18"/>
    <x v="394"/>
    <x v="203"/>
    <x v="9"/>
    <x v="11"/>
  </r>
  <r>
    <x v="30"/>
    <x v="111"/>
    <x v="168"/>
    <x v="18"/>
    <x v="279"/>
    <x v="316"/>
    <x v="9"/>
    <x v="11"/>
  </r>
  <r>
    <x v="38"/>
    <x v="111"/>
    <x v="234"/>
    <x v="18"/>
    <x v="222"/>
    <x v="368"/>
    <x v="9"/>
    <x v="11"/>
  </r>
  <r>
    <x v="53"/>
    <x v="111"/>
    <x v="438"/>
    <x v="21"/>
    <x v="29"/>
    <x v="0"/>
    <x v="9"/>
    <x v="11"/>
  </r>
  <r>
    <x v="62"/>
    <x v="119"/>
    <x v="494"/>
    <x v="6"/>
    <x v="367"/>
    <x v="229"/>
    <x v="9"/>
    <x v="11"/>
  </r>
  <r>
    <x v="38"/>
    <x v="119"/>
    <x v="249"/>
    <x v="18"/>
    <x v="466"/>
    <x v="132"/>
    <x v="9"/>
    <x v="11"/>
  </r>
  <r>
    <x v="12"/>
    <x v="119"/>
    <x v="266"/>
    <x v="6"/>
    <x v="2"/>
    <x v="537"/>
    <x v="9"/>
    <x v="11"/>
  </r>
  <r>
    <x v="48"/>
    <x v="119"/>
    <x v="505"/>
    <x v="6"/>
    <x v="824"/>
    <x v="0"/>
    <x v="144"/>
    <x v="11"/>
  </r>
  <r>
    <x v="52"/>
    <x v="119"/>
    <x v="508"/>
    <x v="21"/>
    <x v="830"/>
    <x v="0"/>
    <x v="148"/>
    <x v="11"/>
  </r>
  <r>
    <x v="53"/>
    <x v="119"/>
    <x v="474"/>
    <x v="21"/>
    <x v="719"/>
    <x v="0"/>
    <x v="9"/>
    <x v="11"/>
  </r>
  <r>
    <x v="61"/>
    <x v="128"/>
    <x v="306"/>
    <x v="11"/>
    <x v="156"/>
    <x v="432"/>
    <x v="9"/>
    <x v="11"/>
  </r>
  <r>
    <x v="53"/>
    <x v="128"/>
    <x v="474"/>
    <x v="21"/>
    <x v="701"/>
    <x v="0"/>
    <x v="9"/>
    <x v="11"/>
  </r>
  <r>
    <x v="2"/>
    <x v="138"/>
    <x v="46"/>
    <x v="18"/>
    <x v="525"/>
    <x v="73"/>
    <x v="9"/>
    <x v="11"/>
  </r>
  <r>
    <x v="28"/>
    <x v="138"/>
    <x v="70"/>
    <x v="18"/>
    <x v="427"/>
    <x v="170"/>
    <x v="9"/>
    <x v="11"/>
  </r>
  <r>
    <x v="53"/>
    <x v="138"/>
    <x v="474"/>
    <x v="21"/>
    <x v="694"/>
    <x v="0"/>
    <x v="9"/>
    <x v="11"/>
  </r>
  <r>
    <x v="44"/>
    <x v="146"/>
    <x v="505"/>
    <x v="6"/>
    <x v="1"/>
    <x v="538"/>
    <x v="9"/>
    <x v="11"/>
  </r>
  <r>
    <x v="38"/>
    <x v="146"/>
    <x v="249"/>
    <x v="18"/>
    <x v="521"/>
    <x v="77"/>
    <x v="9"/>
    <x v="11"/>
  </r>
  <r>
    <x v="60"/>
    <x v="146"/>
    <x v="314"/>
    <x v="13"/>
    <x v="289"/>
    <x v="306"/>
    <x v="9"/>
    <x v="11"/>
  </r>
  <r>
    <x v="52"/>
    <x v="146"/>
    <x v="508"/>
    <x v="21"/>
    <x v="836"/>
    <x v="0"/>
    <x v="154"/>
    <x v="11"/>
  </r>
  <r>
    <x v="53"/>
    <x v="146"/>
    <x v="474"/>
    <x v="21"/>
    <x v="817"/>
    <x v="0"/>
    <x v="9"/>
    <x v="11"/>
  </r>
  <r>
    <x v="10"/>
    <x v="170"/>
    <x v="262"/>
    <x v="6"/>
    <x v="183"/>
    <x v="406"/>
    <x v="9"/>
    <x v="11"/>
  </r>
  <r>
    <x v="54"/>
    <x v="170"/>
    <x v="468"/>
    <x v="7"/>
    <x v="185"/>
    <x v="404"/>
    <x v="9"/>
    <x v="11"/>
  </r>
  <r>
    <x v="59"/>
    <x v="170"/>
    <x v="503"/>
    <x v="20"/>
    <x v="143"/>
    <x v="445"/>
    <x v="9"/>
    <x v="11"/>
  </r>
  <r>
    <x v="2"/>
    <x v="170"/>
    <x v="46"/>
    <x v="18"/>
    <x v="525"/>
    <x v="73"/>
    <x v="9"/>
    <x v="11"/>
  </r>
  <r>
    <x v="30"/>
    <x v="170"/>
    <x v="168"/>
    <x v="18"/>
    <x v="227"/>
    <x v="364"/>
    <x v="9"/>
    <x v="11"/>
  </r>
  <r>
    <x v="29"/>
    <x v="170"/>
    <x v="188"/>
    <x v="18"/>
    <x v="404"/>
    <x v="193"/>
    <x v="9"/>
    <x v="11"/>
  </r>
  <r>
    <x v="53"/>
    <x v="170"/>
    <x v="474"/>
    <x v="21"/>
    <x v="811"/>
    <x v="0"/>
    <x v="9"/>
    <x v="11"/>
  </r>
  <r>
    <x v="54"/>
    <x v="178"/>
    <x v="7"/>
    <x v="0"/>
    <x v="114"/>
    <x v="469"/>
    <x v="9"/>
    <x v="11"/>
  </r>
  <r>
    <x v="45"/>
    <x v="178"/>
    <x v="26"/>
    <x v="18"/>
    <x v="143"/>
    <x v="445"/>
    <x v="9"/>
    <x v="11"/>
  </r>
  <r>
    <x v="45"/>
    <x v="178"/>
    <x v="83"/>
    <x v="18"/>
    <x v="268"/>
    <x v="327"/>
    <x v="9"/>
    <x v="11"/>
  </r>
  <r>
    <x v="45"/>
    <x v="178"/>
    <x v="90"/>
    <x v="18"/>
    <x v="318"/>
    <x v="277"/>
    <x v="9"/>
    <x v="11"/>
  </r>
  <r>
    <x v="45"/>
    <x v="178"/>
    <x v="110"/>
    <x v="18"/>
    <x v="340"/>
    <x v="256"/>
    <x v="9"/>
    <x v="11"/>
  </r>
  <r>
    <x v="45"/>
    <x v="178"/>
    <x v="131"/>
    <x v="18"/>
    <x v="289"/>
    <x v="306"/>
    <x v="9"/>
    <x v="11"/>
  </r>
  <r>
    <x v="45"/>
    <x v="178"/>
    <x v="148"/>
    <x v="18"/>
    <x v="367"/>
    <x v="229"/>
    <x v="9"/>
    <x v="11"/>
  </r>
  <r>
    <x v="45"/>
    <x v="178"/>
    <x v="149"/>
    <x v="18"/>
    <x v="185"/>
    <x v="404"/>
    <x v="9"/>
    <x v="11"/>
  </r>
  <r>
    <x v="45"/>
    <x v="178"/>
    <x v="161"/>
    <x v="18"/>
    <x v="163"/>
    <x v="425"/>
    <x v="9"/>
    <x v="11"/>
  </r>
  <r>
    <x v="45"/>
    <x v="178"/>
    <x v="165"/>
    <x v="18"/>
    <x v="525"/>
    <x v="73"/>
    <x v="9"/>
    <x v="11"/>
  </r>
  <r>
    <x v="45"/>
    <x v="178"/>
    <x v="258"/>
    <x v="18"/>
    <x v="214"/>
    <x v="376"/>
    <x v="9"/>
    <x v="11"/>
  </r>
  <r>
    <x v="45"/>
    <x v="178"/>
    <x v="258"/>
    <x v="18"/>
    <x v="440"/>
    <x v="157"/>
    <x v="9"/>
    <x v="11"/>
  </r>
  <r>
    <x v="53"/>
    <x v="178"/>
    <x v="474"/>
    <x v="21"/>
    <x v="781"/>
    <x v="0"/>
    <x v="9"/>
    <x v="11"/>
  </r>
  <r>
    <x v="58"/>
    <x v="187"/>
    <x v="24"/>
    <x v="6"/>
    <x v="343"/>
    <x v="253"/>
    <x v="9"/>
    <x v="11"/>
  </r>
  <r>
    <x v="11"/>
    <x v="187"/>
    <x v="226"/>
    <x v="18"/>
    <x v="367"/>
    <x v="229"/>
    <x v="9"/>
    <x v="11"/>
  </r>
  <r>
    <x v="53"/>
    <x v="187"/>
    <x v="474"/>
    <x v="21"/>
    <x v="777"/>
    <x v="0"/>
    <x v="9"/>
    <x v="11"/>
  </r>
  <r>
    <x v="54"/>
    <x v="196"/>
    <x v="443"/>
    <x v="7"/>
    <x v="279"/>
    <x v="316"/>
    <x v="9"/>
    <x v="11"/>
  </r>
  <r>
    <x v="15"/>
    <x v="196"/>
    <x v="33"/>
    <x v="18"/>
    <x v="548"/>
    <x v="50"/>
    <x v="9"/>
    <x v="11"/>
  </r>
  <r>
    <x v="15"/>
    <x v="196"/>
    <x v="152"/>
    <x v="18"/>
    <x v="571"/>
    <x v="27"/>
    <x v="9"/>
    <x v="11"/>
  </r>
  <r>
    <x v="15"/>
    <x v="196"/>
    <x v="175"/>
    <x v="18"/>
    <x v="571"/>
    <x v="27"/>
    <x v="9"/>
    <x v="11"/>
  </r>
  <r>
    <x v="38"/>
    <x v="196"/>
    <x v="249"/>
    <x v="18"/>
    <x v="342"/>
    <x v="254"/>
    <x v="9"/>
    <x v="11"/>
  </r>
  <r>
    <x v="53"/>
    <x v="196"/>
    <x v="474"/>
    <x v="21"/>
    <x v="770"/>
    <x v="0"/>
    <x v="9"/>
    <x v="11"/>
  </r>
  <r>
    <x v="53"/>
    <x v="224"/>
    <x v="474"/>
    <x v="21"/>
    <x v="770"/>
    <x v="0"/>
    <x v="9"/>
    <x v="11"/>
  </r>
  <r>
    <x v="42"/>
    <x v="230"/>
    <x v="260"/>
    <x v="6"/>
    <x v="98"/>
    <x v="485"/>
    <x v="9"/>
    <x v="11"/>
  </r>
  <r>
    <x v="56"/>
    <x v="230"/>
    <x v="304"/>
    <x v="6"/>
    <x v="137"/>
    <x v="450"/>
    <x v="9"/>
    <x v="11"/>
  </r>
  <r>
    <x v="1"/>
    <x v="230"/>
    <x v="305"/>
    <x v="6"/>
    <x v="68"/>
    <x v="505"/>
    <x v="9"/>
    <x v="11"/>
  </r>
  <r>
    <x v="53"/>
    <x v="230"/>
    <x v="474"/>
    <x v="21"/>
    <x v="692"/>
    <x v="0"/>
    <x v="9"/>
    <x v="11"/>
  </r>
  <r>
    <x v="11"/>
    <x v="239"/>
    <x v="226"/>
    <x v="18"/>
    <x v="525"/>
    <x v="73"/>
    <x v="9"/>
    <x v="11"/>
  </r>
  <r>
    <x v="53"/>
    <x v="239"/>
    <x v="474"/>
    <x v="21"/>
    <x v="690"/>
    <x v="0"/>
    <x v="9"/>
    <x v="11"/>
  </r>
  <r>
    <x v="54"/>
    <x v="244"/>
    <x v="445"/>
    <x v="7"/>
    <x v="185"/>
    <x v="404"/>
    <x v="9"/>
    <x v="11"/>
  </r>
  <r>
    <x v="21"/>
    <x v="244"/>
    <x v="97"/>
    <x v="18"/>
    <x v="26"/>
    <x v="521"/>
    <x v="9"/>
    <x v="11"/>
  </r>
  <r>
    <x v="41"/>
    <x v="244"/>
    <x v="145"/>
    <x v="18"/>
    <x v="480"/>
    <x v="118"/>
    <x v="9"/>
    <x v="11"/>
  </r>
  <r>
    <x v="53"/>
    <x v="244"/>
    <x v="438"/>
    <x v="21"/>
    <x v="31"/>
    <x v="0"/>
    <x v="9"/>
    <x v="11"/>
  </r>
  <r>
    <x v="55"/>
    <x v="0"/>
    <x v="475"/>
    <x v="21"/>
    <x v="119"/>
    <x v="464"/>
    <x v="9"/>
    <x v="11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3:N70" firstHeaderRow="1" firstDataRow="2" firstDataCol="1"/>
  <pivotFields count="8">
    <pivotField axis="axisRow" showAll="0" defaultSubtotal="0" compact="0" outline="0">
      <items count="65">
        <item x="0"/>
        <item x="3"/>
        <item x="8"/>
        <item x="9"/>
        <item x="12"/>
        <item x="13"/>
        <item x="15"/>
        <item x="18"/>
        <item x="22"/>
        <item x="25"/>
        <item x="28"/>
        <item x="29"/>
        <item x="31"/>
        <item x="32"/>
        <item x="38"/>
        <item x="41"/>
        <item x="48"/>
        <item x="49"/>
        <item x="52"/>
        <item x="53"/>
        <item x="54"/>
        <item x="56"/>
        <item x="63"/>
        <item x="20"/>
        <item x="23"/>
        <item x="33"/>
        <item x="35"/>
        <item x="64"/>
        <item x="24"/>
        <item x="36"/>
        <item x="39"/>
        <item x="55"/>
        <item x="50"/>
        <item x="44"/>
        <item x="14"/>
        <item x="30"/>
        <item x="37"/>
        <item x="43"/>
        <item x="51"/>
        <item x="16"/>
        <item x="5"/>
        <item x="47"/>
        <item x="7"/>
        <item x="19"/>
        <item x="57"/>
        <item x="11"/>
        <item x="26"/>
        <item x="46"/>
        <item x="27"/>
        <item x="4"/>
        <item x="6"/>
        <item x="2"/>
        <item x="17"/>
        <item x="34"/>
        <item x="10"/>
        <item x="40"/>
        <item x="45"/>
        <item x="58"/>
        <item x="59"/>
        <item x="60"/>
        <item x="61"/>
        <item x="62"/>
        <item x="1"/>
        <item x="21"/>
        <item x="42"/>
      </items>
    </pivotField>
    <pivotField showAll="0" compact="0"/>
    <pivotField showAll="0" compact="0"/>
    <pivotField showAll="0" compact="0"/>
    <pivotField showAll="0" compact="0"/>
    <pivotField dataField="1" showAll="0" compact="0" outline="0"/>
    <pivotField showAll="0" compact="0"/>
    <pivotField axis="axisCol" showAll="0" defaultSubtotal="0" compact="0" outline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1">
    <field x="0"/>
  </rowFields>
  <colFields count="2">
    <field x="7"/>
    <field x="-2"/>
  </colFields>
  <dataFields count="1">
    <dataField fld="5" subtotal="sum"/>
  </dataFields>
</pivotTableDefinition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N4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A2" activeCellId="0" sqref="A2"/>
    </sheetView>
  </sheetViews>
  <sheetFormatPr defaultRowHeight="12.75" zeroHeight="false" outlineLevelRow="0" outlineLevelCol="0"/>
  <cols>
    <col collapsed="false" customWidth="true" hidden="false" outlineLevel="0" max="1" min="1" style="0" width="16.89"/>
    <col collapsed="false" customWidth="true" hidden="false" outlineLevel="0" max="2" min="2" style="1" width="16.14"/>
    <col collapsed="false" customWidth="true" hidden="false" outlineLevel="0" max="3" min="3" style="0" width="16.14"/>
    <col collapsed="false" customWidth="true" hidden="false" outlineLevel="0" max="4" min="4" style="0" width="22.96"/>
    <col collapsed="false" customWidth="true" hidden="false" outlineLevel="0" max="5" min="5" style="0" width="17.86"/>
    <col collapsed="false" customWidth="true" hidden="false" outlineLevel="0" max="6" min="6" style="0" width="16.89"/>
    <col collapsed="false" customWidth="true" hidden="false" outlineLevel="0" max="7" min="7" style="0" width="16.41"/>
    <col collapsed="false" customWidth="true" hidden="false" outlineLevel="0" max="8" min="8" style="2" width="17.86"/>
    <col collapsed="false" customWidth="true" hidden="false" outlineLevel="0" max="9" min="9" style="0" width="11.71"/>
    <col collapsed="false" customWidth="true" hidden="false" outlineLevel="0" max="12" min="10" style="0" width="13.7"/>
    <col collapsed="false" customWidth="true" hidden="false" outlineLevel="0" max="13" min="13" style="0" width="22.01"/>
    <col collapsed="false" customWidth="true" hidden="false" outlineLevel="0" max="14" min="14" style="0" width="11.3"/>
    <col collapsed="false" customWidth="true" hidden="false" outlineLevel="0" max="1025" min="15" style="0" width="9.85"/>
  </cols>
  <sheetData>
    <row r="1" customFormat="false" ht="13.8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/>
      <c r="F1" s="3"/>
      <c r="G1" s="3"/>
      <c r="I1" s="3" t="s">
        <v>4</v>
      </c>
    </row>
    <row r="2" customFormat="false" ht="13.8" hidden="false" customHeight="false" outlineLevel="0" collapsed="false">
      <c r="A2" s="4" t="s">
        <v>5</v>
      </c>
      <c r="B2" s="4" t="n">
        <v>0</v>
      </c>
      <c r="C2" s="4" t="n">
        <v>0</v>
      </c>
      <c r="D2" s="4"/>
      <c r="E2" s="4"/>
      <c r="F2" s="4"/>
      <c r="G2" s="4"/>
      <c r="H2" s="4"/>
      <c r="I2" s="1" t="n">
        <v>43831</v>
      </c>
      <c r="N2" s="1"/>
    </row>
    <row r="3" customFormat="false" ht="12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048576"/>
  <sheetViews>
    <sheetView showFormulas="false" showGridLines="true" showRowColHeaders="true" showZeros="true" rightToLeft="false" tabSelected="false" showOutlineSymbols="true" defaultGridColor="true" view="normal" topLeftCell="A71" colorId="64" zoomScale="84" zoomScaleNormal="84" zoomScalePageLayoutView="100" workbookViewId="0">
      <selection pane="topLeft" activeCell="B93" activeCellId="0" sqref="B93"/>
    </sheetView>
  </sheetViews>
  <sheetFormatPr defaultRowHeight="12.75" zeroHeight="false" outlineLevelRow="0" outlineLevelCol="0"/>
  <cols>
    <col collapsed="false" customWidth="true" hidden="false" outlineLevel="0" max="1" min="1" style="0" width="18.85"/>
    <col collapsed="false" customWidth="true" hidden="false" outlineLevel="0" max="2" min="2" style="0" width="9"/>
    <col collapsed="false" customWidth="true" hidden="false" outlineLevel="0" max="3" min="3" style="0" width="11.3"/>
    <col collapsed="false" customWidth="true" hidden="false" outlineLevel="0" max="1025" min="4" style="0" width="9.85"/>
  </cols>
  <sheetData>
    <row r="1" customFormat="false" ht="12.75" hidden="false" customHeight="false" outlineLevel="0" collapsed="false">
      <c r="A1" s="0" t="s">
        <v>6</v>
      </c>
      <c r="B1" s="0" t="s">
        <v>7</v>
      </c>
      <c r="C1" s="0" t="s">
        <v>8</v>
      </c>
    </row>
    <row r="2" customFormat="false" ht="12.8" hidden="false" customHeight="false" outlineLevel="0" collapsed="false">
      <c r="A2" s="0" t="s">
        <v>9</v>
      </c>
      <c r="B2" s="0" t="n">
        <v>0</v>
      </c>
      <c r="C2" s="1" t="n">
        <v>43831</v>
      </c>
    </row>
    <row r="3" customFormat="false" ht="12.8" hidden="false" customHeight="false" outlineLevel="0" collapsed="false">
      <c r="A3" s="0" t="s">
        <v>10</v>
      </c>
      <c r="B3" s="0" t="n">
        <v>50</v>
      </c>
      <c r="C3" s="1" t="n">
        <v>43831</v>
      </c>
    </row>
    <row r="4" customFormat="false" ht="12.8" hidden="false" customHeight="false" outlineLevel="0" collapsed="false">
      <c r="A4" s="0" t="s">
        <v>11</v>
      </c>
      <c r="B4" s="0" t="n">
        <v>37.65</v>
      </c>
      <c r="C4" s="1" t="n">
        <v>43831</v>
      </c>
    </row>
    <row r="5" customFormat="false" ht="12.8" hidden="false" customHeight="false" outlineLevel="0" collapsed="false">
      <c r="A5" s="0" t="s">
        <v>12</v>
      </c>
      <c r="B5" s="0" t="n">
        <v>66.82</v>
      </c>
      <c r="C5" s="1" t="n">
        <v>43831</v>
      </c>
    </row>
    <row r="6" customFormat="false" ht="12.8" hidden="false" customHeight="false" outlineLevel="0" collapsed="false">
      <c r="A6" s="0" t="s">
        <v>13</v>
      </c>
      <c r="B6" s="0" t="n">
        <v>133.64</v>
      </c>
      <c r="C6" s="1" t="n">
        <v>43831</v>
      </c>
    </row>
    <row r="7" customFormat="false" ht="12.8" hidden="false" customHeight="false" outlineLevel="0" collapsed="false">
      <c r="A7" s="0" t="s">
        <v>14</v>
      </c>
      <c r="B7" s="0" t="n">
        <v>79.9</v>
      </c>
      <c r="C7" s="1" t="n">
        <v>43831</v>
      </c>
    </row>
    <row r="8" customFormat="false" ht="12.8" hidden="false" customHeight="false" outlineLevel="0" collapsed="false">
      <c r="A8" s="0" t="s">
        <v>15</v>
      </c>
      <c r="B8" s="0" t="n">
        <v>419</v>
      </c>
      <c r="C8" s="1" t="n">
        <v>43831</v>
      </c>
    </row>
    <row r="9" customFormat="false" ht="12.8" hidden="false" customHeight="false" outlineLevel="0" collapsed="false">
      <c r="A9" s="0" t="s">
        <v>16</v>
      </c>
      <c r="B9" s="0" t="n">
        <v>0</v>
      </c>
      <c r="C9" s="1" t="n">
        <v>43831</v>
      </c>
    </row>
    <row r="10" customFormat="false" ht="12.8" hidden="false" customHeight="false" outlineLevel="0" collapsed="false">
      <c r="A10" s="0" t="s">
        <v>17</v>
      </c>
      <c r="B10" s="0" t="n">
        <v>197.5</v>
      </c>
      <c r="C10" s="1" t="n">
        <v>43831</v>
      </c>
    </row>
    <row r="11" customFormat="false" ht="12.8" hidden="false" customHeight="false" outlineLevel="0" collapsed="false">
      <c r="A11" s="0" t="s">
        <v>18</v>
      </c>
      <c r="B11" s="0" t="n">
        <v>4.1</v>
      </c>
      <c r="C11" s="1" t="n">
        <v>43831</v>
      </c>
    </row>
    <row r="12" customFormat="false" ht="12.8" hidden="false" customHeight="false" outlineLevel="0" collapsed="false">
      <c r="A12" s="0" t="s">
        <v>19</v>
      </c>
      <c r="B12" s="0" t="n">
        <v>671.12</v>
      </c>
      <c r="C12" s="1" t="n">
        <v>43831</v>
      </c>
    </row>
    <row r="13" customFormat="false" ht="12.8" hidden="false" customHeight="false" outlineLevel="0" collapsed="false">
      <c r="A13" s="0" t="s">
        <v>20</v>
      </c>
      <c r="B13" s="0" t="n">
        <v>1859.93</v>
      </c>
      <c r="C13" s="1" t="n">
        <v>43831</v>
      </c>
    </row>
    <row r="14" customFormat="false" ht="12.8" hidden="false" customHeight="false" outlineLevel="0" collapsed="false">
      <c r="A14" s="5" t="s">
        <v>9</v>
      </c>
      <c r="B14" s="5" t="n">
        <v>0</v>
      </c>
      <c r="C14" s="6" t="n">
        <v>43862</v>
      </c>
    </row>
    <row r="15" customFormat="false" ht="12.8" hidden="false" customHeight="false" outlineLevel="0" collapsed="false">
      <c r="A15" s="5" t="s">
        <v>10</v>
      </c>
      <c r="B15" s="5" t="n">
        <v>50</v>
      </c>
      <c r="C15" s="6" t="n">
        <v>43862</v>
      </c>
    </row>
    <row r="16" customFormat="false" ht="12.8" hidden="false" customHeight="false" outlineLevel="0" collapsed="false">
      <c r="A16" s="5" t="s">
        <v>11</v>
      </c>
      <c r="B16" s="5" t="n">
        <v>72.78</v>
      </c>
      <c r="C16" s="6" t="n">
        <v>43862</v>
      </c>
    </row>
    <row r="17" customFormat="false" ht="12.8" hidden="false" customHeight="false" outlineLevel="0" collapsed="false">
      <c r="A17" s="5" t="s">
        <v>12</v>
      </c>
      <c r="B17" s="5" t="n">
        <v>66.82</v>
      </c>
      <c r="C17" s="6" t="n">
        <v>43862</v>
      </c>
    </row>
    <row r="18" customFormat="false" ht="12.8" hidden="false" customHeight="false" outlineLevel="0" collapsed="false">
      <c r="A18" s="5" t="s">
        <v>13</v>
      </c>
      <c r="B18" s="5" t="n">
        <v>133.64</v>
      </c>
      <c r="C18" s="6" t="n">
        <v>43862</v>
      </c>
    </row>
    <row r="19" customFormat="false" ht="12.8" hidden="false" customHeight="false" outlineLevel="0" collapsed="false">
      <c r="A19" s="5" t="s">
        <v>14</v>
      </c>
      <c r="B19" s="5" t="n">
        <v>79.9</v>
      </c>
      <c r="C19" s="6" t="n">
        <v>43862</v>
      </c>
    </row>
    <row r="20" customFormat="false" ht="12.8" hidden="false" customHeight="false" outlineLevel="0" collapsed="false">
      <c r="A20" s="5" t="s">
        <v>15</v>
      </c>
      <c r="B20" s="5" t="n">
        <v>419</v>
      </c>
      <c r="C20" s="6" t="n">
        <v>43862</v>
      </c>
    </row>
    <row r="21" customFormat="false" ht="12.8" hidden="false" customHeight="false" outlineLevel="0" collapsed="false">
      <c r="A21" s="5" t="s">
        <v>16</v>
      </c>
      <c r="B21" s="5" t="n">
        <v>0</v>
      </c>
      <c r="C21" s="6" t="n">
        <v>43862</v>
      </c>
    </row>
    <row r="22" customFormat="false" ht="12.8" hidden="false" customHeight="false" outlineLevel="0" collapsed="false">
      <c r="A22" s="5" t="s">
        <v>17</v>
      </c>
      <c r="B22" s="5" t="n">
        <v>609.06</v>
      </c>
      <c r="C22" s="6" t="n">
        <v>43862</v>
      </c>
    </row>
    <row r="23" customFormat="false" ht="12.8" hidden="false" customHeight="false" outlineLevel="0" collapsed="false">
      <c r="A23" s="5" t="s">
        <v>18</v>
      </c>
      <c r="B23" s="5" t="n">
        <v>4.1</v>
      </c>
      <c r="C23" s="6" t="n">
        <v>43862</v>
      </c>
    </row>
    <row r="24" customFormat="false" ht="12.8" hidden="false" customHeight="false" outlineLevel="0" collapsed="false">
      <c r="A24" s="5" t="s">
        <v>19</v>
      </c>
      <c r="B24" s="5" t="n">
        <v>671.12</v>
      </c>
      <c r="C24" s="6" t="n">
        <v>43862</v>
      </c>
    </row>
    <row r="25" customFormat="false" ht="12.8" hidden="false" customHeight="false" outlineLevel="0" collapsed="false">
      <c r="A25" s="5" t="s">
        <v>20</v>
      </c>
      <c r="B25" s="5" t="n">
        <v>1859.93</v>
      </c>
      <c r="C25" s="6" t="n">
        <v>43862</v>
      </c>
    </row>
    <row r="26" customFormat="false" ht="12.8" hidden="false" customHeight="false" outlineLevel="0" collapsed="false">
      <c r="A26" s="0" t="s">
        <v>9</v>
      </c>
      <c r="B26" s="0" t="n">
        <v>0</v>
      </c>
      <c r="C26" s="1" t="n">
        <v>43891</v>
      </c>
    </row>
    <row r="27" customFormat="false" ht="12.8" hidden="false" customHeight="false" outlineLevel="0" collapsed="false">
      <c r="A27" s="0" t="s">
        <v>10</v>
      </c>
      <c r="B27" s="0" t="n">
        <v>50</v>
      </c>
      <c r="C27" s="1" t="n">
        <v>43891</v>
      </c>
    </row>
    <row r="28" customFormat="false" ht="12.8" hidden="false" customHeight="false" outlineLevel="0" collapsed="false">
      <c r="A28" s="0" t="s">
        <v>11</v>
      </c>
      <c r="B28" s="0" t="n">
        <v>155.56</v>
      </c>
      <c r="C28" s="1" t="n">
        <v>43891</v>
      </c>
    </row>
    <row r="29" customFormat="false" ht="12.8" hidden="false" customHeight="false" outlineLevel="0" collapsed="false">
      <c r="A29" s="0" t="s">
        <v>12</v>
      </c>
      <c r="B29" s="0" t="n">
        <v>66.82</v>
      </c>
      <c r="C29" s="1" t="n">
        <v>43891</v>
      </c>
    </row>
    <row r="30" customFormat="false" ht="12.8" hidden="false" customHeight="false" outlineLevel="0" collapsed="false">
      <c r="A30" s="0" t="s">
        <v>13</v>
      </c>
      <c r="B30" s="0" t="n">
        <v>133.64</v>
      </c>
      <c r="C30" s="1" t="n">
        <v>43891</v>
      </c>
    </row>
    <row r="31" customFormat="false" ht="12.8" hidden="false" customHeight="false" outlineLevel="0" collapsed="false">
      <c r="A31" s="0" t="s">
        <v>14</v>
      </c>
      <c r="B31" s="0" t="n">
        <v>79.9</v>
      </c>
      <c r="C31" s="1" t="n">
        <v>43891</v>
      </c>
    </row>
    <row r="32" customFormat="false" ht="12.8" hidden="false" customHeight="false" outlineLevel="0" collapsed="false">
      <c r="A32" s="0" t="s">
        <v>15</v>
      </c>
      <c r="B32" s="0" t="n">
        <v>419</v>
      </c>
      <c r="C32" s="1" t="n">
        <v>43891</v>
      </c>
    </row>
    <row r="33" customFormat="false" ht="12.8" hidden="false" customHeight="false" outlineLevel="0" collapsed="false">
      <c r="A33" s="0" t="s">
        <v>16</v>
      </c>
      <c r="B33" s="0" t="n">
        <v>0</v>
      </c>
      <c r="C33" s="1" t="n">
        <v>43891</v>
      </c>
    </row>
    <row r="34" customFormat="false" ht="12.8" hidden="false" customHeight="false" outlineLevel="0" collapsed="false">
      <c r="A34" s="0" t="s">
        <v>17</v>
      </c>
      <c r="B34" s="0" t="n">
        <v>238.89</v>
      </c>
      <c r="C34" s="1" t="n">
        <v>43891</v>
      </c>
    </row>
    <row r="35" customFormat="false" ht="12.8" hidden="false" customHeight="false" outlineLevel="0" collapsed="false">
      <c r="A35" s="0" t="s">
        <v>18</v>
      </c>
      <c r="B35" s="0" t="n">
        <v>4.1</v>
      </c>
      <c r="C35" s="1" t="n">
        <v>43891</v>
      </c>
    </row>
    <row r="36" customFormat="false" ht="12.8" hidden="false" customHeight="false" outlineLevel="0" collapsed="false">
      <c r="A36" s="0" t="s">
        <v>19</v>
      </c>
      <c r="B36" s="0" t="n">
        <v>713.08</v>
      </c>
      <c r="C36" s="1" t="n">
        <v>43891</v>
      </c>
    </row>
    <row r="37" customFormat="false" ht="12.8" hidden="false" customHeight="false" outlineLevel="0" collapsed="false">
      <c r="A37" s="0" t="s">
        <v>20</v>
      </c>
      <c r="B37" s="0" t="n">
        <v>1848.39</v>
      </c>
      <c r="C37" s="1" t="n">
        <v>43891</v>
      </c>
    </row>
    <row r="38" customFormat="false" ht="12.8" hidden="false" customHeight="false" outlineLevel="0" collapsed="false">
      <c r="A38" s="5" t="s">
        <v>9</v>
      </c>
      <c r="B38" s="5" t="n">
        <v>0</v>
      </c>
      <c r="C38" s="6" t="n">
        <v>43922</v>
      </c>
    </row>
    <row r="39" customFormat="false" ht="12.8" hidden="false" customHeight="false" outlineLevel="0" collapsed="false">
      <c r="A39" s="5" t="s">
        <v>10</v>
      </c>
      <c r="B39" s="5" t="n">
        <v>50</v>
      </c>
      <c r="C39" s="6" t="n">
        <v>43922</v>
      </c>
    </row>
    <row r="40" customFormat="false" ht="12.8" hidden="false" customHeight="false" outlineLevel="0" collapsed="false">
      <c r="A40" s="5" t="s">
        <v>11</v>
      </c>
      <c r="B40" s="5" t="n">
        <v>0</v>
      </c>
      <c r="C40" s="6" t="n">
        <v>43922</v>
      </c>
    </row>
    <row r="41" customFormat="false" ht="12.8" hidden="false" customHeight="false" outlineLevel="0" collapsed="false">
      <c r="A41" s="5" t="s">
        <v>12</v>
      </c>
      <c r="B41" s="5" t="n">
        <v>66.82</v>
      </c>
      <c r="C41" s="6" t="n">
        <v>43922</v>
      </c>
    </row>
    <row r="42" customFormat="false" ht="12.8" hidden="false" customHeight="false" outlineLevel="0" collapsed="false">
      <c r="A42" s="5" t="s">
        <v>13</v>
      </c>
      <c r="B42" s="5" t="n">
        <v>133.64</v>
      </c>
      <c r="C42" s="6" t="n">
        <v>43922</v>
      </c>
    </row>
    <row r="43" customFormat="false" ht="12.8" hidden="false" customHeight="false" outlineLevel="0" collapsed="false">
      <c r="A43" s="5" t="s">
        <v>14</v>
      </c>
      <c r="B43" s="5" t="n">
        <v>79.9</v>
      </c>
      <c r="C43" s="6" t="n">
        <v>43922</v>
      </c>
    </row>
    <row r="44" customFormat="false" ht="12.8" hidden="false" customHeight="false" outlineLevel="0" collapsed="false">
      <c r="A44" s="5" t="s">
        <v>15</v>
      </c>
      <c r="B44" s="5" t="n">
        <v>419</v>
      </c>
      <c r="C44" s="6" t="n">
        <v>43922</v>
      </c>
    </row>
    <row r="45" customFormat="false" ht="12.8" hidden="false" customHeight="false" outlineLevel="0" collapsed="false">
      <c r="A45" s="5" t="s">
        <v>16</v>
      </c>
      <c r="B45" s="5" t="n">
        <v>0</v>
      </c>
      <c r="C45" s="6" t="n">
        <v>43922</v>
      </c>
    </row>
    <row r="46" customFormat="false" ht="12.8" hidden="false" customHeight="false" outlineLevel="0" collapsed="false">
      <c r="A46" s="5" t="s">
        <v>17</v>
      </c>
      <c r="B46" s="5" t="n">
        <v>0</v>
      </c>
      <c r="C46" s="6" t="n">
        <v>43922</v>
      </c>
    </row>
    <row r="47" customFormat="false" ht="12.8" hidden="false" customHeight="false" outlineLevel="0" collapsed="false">
      <c r="A47" s="5" t="s">
        <v>18</v>
      </c>
      <c r="B47" s="5" t="n">
        <v>4.1</v>
      </c>
      <c r="C47" s="6" t="n">
        <v>43922</v>
      </c>
    </row>
    <row r="48" customFormat="false" ht="12.8" hidden="false" customHeight="false" outlineLevel="0" collapsed="false">
      <c r="A48" s="5" t="s">
        <v>19</v>
      </c>
      <c r="B48" s="5" t="n">
        <v>671.12</v>
      </c>
      <c r="C48" s="6" t="n">
        <v>43922</v>
      </c>
    </row>
    <row r="49" customFormat="false" ht="12.8" hidden="false" customHeight="false" outlineLevel="0" collapsed="false">
      <c r="A49" s="5" t="s">
        <v>20</v>
      </c>
      <c r="B49" s="5" t="n">
        <v>1859.93</v>
      </c>
      <c r="C49" s="6" t="n">
        <v>43922</v>
      </c>
    </row>
    <row r="50" customFormat="false" ht="12.8" hidden="false" customHeight="false" outlineLevel="0" collapsed="false">
      <c r="A50" s="5" t="s">
        <v>19</v>
      </c>
      <c r="B50" s="5" t="n">
        <v>713.08</v>
      </c>
      <c r="C50" s="6" t="n">
        <v>43922</v>
      </c>
    </row>
    <row r="51" customFormat="false" ht="12.8" hidden="false" customHeight="false" outlineLevel="0" collapsed="false">
      <c r="A51" s="0" t="s">
        <v>9</v>
      </c>
      <c r="B51" s="0" t="n">
        <v>0</v>
      </c>
      <c r="C51" s="1" t="n">
        <v>43952</v>
      </c>
    </row>
    <row r="52" customFormat="false" ht="12.8" hidden="false" customHeight="false" outlineLevel="0" collapsed="false">
      <c r="A52" s="0" t="s">
        <v>10</v>
      </c>
      <c r="B52" s="0" t="n">
        <v>50</v>
      </c>
      <c r="C52" s="1" t="n">
        <v>43952</v>
      </c>
    </row>
    <row r="53" customFormat="false" ht="12.8" hidden="false" customHeight="false" outlineLevel="0" collapsed="false">
      <c r="A53" s="0" t="s">
        <v>11</v>
      </c>
      <c r="B53" s="0" t="n">
        <v>0</v>
      </c>
      <c r="C53" s="1" t="n">
        <v>43952</v>
      </c>
    </row>
    <row r="54" customFormat="false" ht="12.8" hidden="false" customHeight="false" outlineLevel="0" collapsed="false">
      <c r="A54" s="0" t="s">
        <v>12</v>
      </c>
      <c r="B54" s="0" t="n">
        <v>66.82</v>
      </c>
      <c r="C54" s="1" t="n">
        <v>43952</v>
      </c>
    </row>
    <row r="55" customFormat="false" ht="12.8" hidden="false" customHeight="false" outlineLevel="0" collapsed="false">
      <c r="A55" s="0" t="s">
        <v>13</v>
      </c>
      <c r="B55" s="0" t="n">
        <v>133.64</v>
      </c>
      <c r="C55" s="1" t="n">
        <v>43952</v>
      </c>
    </row>
    <row r="56" customFormat="false" ht="12.8" hidden="false" customHeight="false" outlineLevel="0" collapsed="false">
      <c r="A56" s="0" t="s">
        <v>14</v>
      </c>
      <c r="B56" s="0" t="n">
        <v>79.9</v>
      </c>
      <c r="C56" s="1" t="n">
        <v>43952</v>
      </c>
    </row>
    <row r="57" customFormat="false" ht="12.8" hidden="false" customHeight="false" outlineLevel="0" collapsed="false">
      <c r="A57" s="0" t="s">
        <v>15</v>
      </c>
      <c r="B57" s="0" t="n">
        <v>419</v>
      </c>
      <c r="C57" s="1" t="n">
        <v>43952</v>
      </c>
    </row>
    <row r="58" customFormat="false" ht="12.8" hidden="false" customHeight="false" outlineLevel="0" collapsed="false">
      <c r="A58" s="0" t="s">
        <v>16</v>
      </c>
      <c r="B58" s="0" t="n">
        <v>0</v>
      </c>
      <c r="C58" s="1" t="n">
        <v>43952</v>
      </c>
    </row>
    <row r="59" customFormat="false" ht="12.8" hidden="false" customHeight="false" outlineLevel="0" collapsed="false">
      <c r="A59" s="0" t="s">
        <v>17</v>
      </c>
      <c r="B59" s="0" t="n">
        <v>444.98</v>
      </c>
      <c r="C59" s="1" t="n">
        <v>43952</v>
      </c>
    </row>
    <row r="60" customFormat="false" ht="12.8" hidden="false" customHeight="false" outlineLevel="0" collapsed="false">
      <c r="A60" s="0" t="s">
        <v>18</v>
      </c>
      <c r="B60" s="0" t="n">
        <v>4.1</v>
      </c>
      <c r="C60" s="1" t="n">
        <v>43952</v>
      </c>
    </row>
    <row r="61" customFormat="false" ht="12.8" hidden="false" customHeight="false" outlineLevel="0" collapsed="false">
      <c r="A61" s="0" t="s">
        <v>19</v>
      </c>
      <c r="B61" s="0" t="n">
        <v>713.08</v>
      </c>
      <c r="C61" s="1" t="n">
        <v>43952</v>
      </c>
    </row>
    <row r="62" customFormat="false" ht="12.8" hidden="false" customHeight="false" outlineLevel="0" collapsed="false">
      <c r="A62" s="0" t="s">
        <v>20</v>
      </c>
      <c r="B62" s="0" t="n">
        <v>1848.39</v>
      </c>
      <c r="C62" s="1" t="n">
        <v>43952</v>
      </c>
    </row>
    <row r="63" customFormat="false" ht="12.8" hidden="false" customHeight="false" outlineLevel="0" collapsed="false">
      <c r="A63" s="5" t="s">
        <v>21</v>
      </c>
      <c r="B63" s="5" t="n">
        <v>50</v>
      </c>
      <c r="C63" s="6" t="n">
        <v>43983</v>
      </c>
    </row>
    <row r="64" customFormat="false" ht="12.8" hidden="false" customHeight="false" outlineLevel="0" collapsed="false">
      <c r="A64" s="5" t="s">
        <v>10</v>
      </c>
      <c r="B64" s="5" t="n">
        <v>0</v>
      </c>
      <c r="C64" s="6" t="n">
        <v>43983</v>
      </c>
    </row>
    <row r="65" customFormat="false" ht="12.8" hidden="false" customHeight="false" outlineLevel="0" collapsed="false">
      <c r="A65" s="5" t="s">
        <v>11</v>
      </c>
      <c r="B65" s="5" t="n">
        <v>0</v>
      </c>
      <c r="C65" s="6" t="n">
        <v>43983</v>
      </c>
    </row>
    <row r="66" customFormat="false" ht="12.8" hidden="false" customHeight="false" outlineLevel="0" collapsed="false">
      <c r="A66" s="5" t="s">
        <v>12</v>
      </c>
      <c r="B66" s="5" t="n">
        <v>66.82</v>
      </c>
      <c r="C66" s="6" t="n">
        <v>43983</v>
      </c>
    </row>
    <row r="67" customFormat="false" ht="12.8" hidden="false" customHeight="false" outlineLevel="0" collapsed="false">
      <c r="A67" s="5" t="s">
        <v>13</v>
      </c>
      <c r="B67" s="5" t="n">
        <v>133.64</v>
      </c>
      <c r="C67" s="6" t="n">
        <v>43983</v>
      </c>
    </row>
    <row r="68" customFormat="false" ht="12.8" hidden="false" customHeight="false" outlineLevel="0" collapsed="false">
      <c r="A68" s="5" t="s">
        <v>14</v>
      </c>
      <c r="B68" s="5" t="n">
        <v>79.9</v>
      </c>
      <c r="C68" s="6" t="n">
        <v>43983</v>
      </c>
    </row>
    <row r="69" customFormat="false" ht="12.8" hidden="false" customHeight="false" outlineLevel="0" collapsed="false">
      <c r="A69" s="5" t="s">
        <v>15</v>
      </c>
      <c r="B69" s="5" t="n">
        <v>419</v>
      </c>
      <c r="C69" s="6" t="n">
        <v>43983</v>
      </c>
    </row>
    <row r="70" customFormat="false" ht="12.8" hidden="false" customHeight="false" outlineLevel="0" collapsed="false">
      <c r="A70" s="5" t="s">
        <v>16</v>
      </c>
      <c r="B70" s="5" t="n">
        <v>0</v>
      </c>
      <c r="C70" s="6" t="n">
        <v>43983</v>
      </c>
    </row>
    <row r="71" customFormat="false" ht="12.8" hidden="false" customHeight="false" outlineLevel="0" collapsed="false">
      <c r="A71" s="5" t="s">
        <v>17</v>
      </c>
      <c r="B71" s="5" t="n">
        <v>100</v>
      </c>
      <c r="C71" s="6" t="n">
        <v>43983</v>
      </c>
    </row>
    <row r="72" customFormat="false" ht="12.8" hidden="false" customHeight="false" outlineLevel="0" collapsed="false">
      <c r="A72" s="5" t="s">
        <v>18</v>
      </c>
      <c r="B72" s="5" t="n">
        <v>4.1</v>
      </c>
      <c r="C72" s="6" t="n">
        <v>43983</v>
      </c>
    </row>
    <row r="73" customFormat="false" ht="12.8" hidden="false" customHeight="false" outlineLevel="0" collapsed="false">
      <c r="A73" s="5" t="s">
        <v>19</v>
      </c>
      <c r="B73" s="5" t="n">
        <v>713.08</v>
      </c>
      <c r="C73" s="6" t="n">
        <v>43983</v>
      </c>
    </row>
    <row r="74" customFormat="false" ht="12.8" hidden="false" customHeight="false" outlineLevel="0" collapsed="false">
      <c r="A74" s="5" t="s">
        <v>20</v>
      </c>
      <c r="B74" s="5" t="n">
        <v>1848.39</v>
      </c>
      <c r="C74" s="6" t="n">
        <v>43983</v>
      </c>
    </row>
    <row r="75" customFormat="false" ht="12.8" hidden="false" customHeight="false" outlineLevel="0" collapsed="false">
      <c r="A75" s="5" t="s">
        <v>22</v>
      </c>
      <c r="B75" s="5" t="n">
        <v>1819.47</v>
      </c>
      <c r="C75" s="6" t="n">
        <v>43983</v>
      </c>
    </row>
    <row r="76" customFormat="false" ht="12.8" hidden="false" customHeight="false" outlineLevel="0" collapsed="false">
      <c r="A76" s="0" t="s">
        <v>9</v>
      </c>
      <c r="B76" s="0" t="n">
        <v>0</v>
      </c>
      <c r="C76" s="1" t="n">
        <v>44013</v>
      </c>
    </row>
    <row r="77" customFormat="false" ht="12.8" hidden="false" customHeight="false" outlineLevel="0" collapsed="false">
      <c r="A77" s="0" t="s">
        <v>10</v>
      </c>
      <c r="B77" s="0" t="n">
        <v>50</v>
      </c>
      <c r="C77" s="1" t="n">
        <v>44013</v>
      </c>
    </row>
    <row r="78" customFormat="false" ht="12.8" hidden="false" customHeight="false" outlineLevel="0" collapsed="false">
      <c r="A78" s="0" t="s">
        <v>11</v>
      </c>
      <c r="B78" s="0" t="n">
        <v>31.48</v>
      </c>
      <c r="C78" s="1" t="n">
        <v>44013</v>
      </c>
    </row>
    <row r="79" customFormat="false" ht="12.8" hidden="false" customHeight="false" outlineLevel="0" collapsed="false">
      <c r="A79" s="0" t="s">
        <v>12</v>
      </c>
      <c r="B79" s="0" t="n">
        <v>66.82</v>
      </c>
      <c r="C79" s="1" t="n">
        <v>44013</v>
      </c>
    </row>
    <row r="80" customFormat="false" ht="12.8" hidden="false" customHeight="false" outlineLevel="0" collapsed="false">
      <c r="A80" s="0" t="s">
        <v>13</v>
      </c>
      <c r="B80" s="0" t="n">
        <v>133.64</v>
      </c>
      <c r="C80" s="1" t="n">
        <v>44013</v>
      </c>
    </row>
    <row r="81" customFormat="false" ht="12.8" hidden="false" customHeight="false" outlineLevel="0" collapsed="false">
      <c r="A81" s="0" t="s">
        <v>14</v>
      </c>
      <c r="B81" s="0" t="n">
        <v>79.9</v>
      </c>
      <c r="C81" s="1" t="n">
        <v>44013</v>
      </c>
    </row>
    <row r="82" customFormat="false" ht="12.8" hidden="false" customHeight="false" outlineLevel="0" collapsed="false">
      <c r="A82" s="0" t="s">
        <v>15</v>
      </c>
      <c r="B82" s="0" t="n">
        <v>419</v>
      </c>
      <c r="C82" s="1" t="n">
        <v>44013</v>
      </c>
    </row>
    <row r="83" customFormat="false" ht="12.8" hidden="false" customHeight="false" outlineLevel="0" collapsed="false">
      <c r="A83" s="0" t="s">
        <v>16</v>
      </c>
      <c r="B83" s="0" t="n">
        <v>0</v>
      </c>
      <c r="C83" s="1" t="n">
        <v>44013</v>
      </c>
    </row>
    <row r="84" customFormat="false" ht="12.8" hidden="false" customHeight="false" outlineLevel="0" collapsed="false">
      <c r="A84" s="0" t="s">
        <v>17</v>
      </c>
      <c r="B84" s="0" t="n">
        <v>444.98</v>
      </c>
      <c r="C84" s="1" t="n">
        <v>44013</v>
      </c>
    </row>
    <row r="85" customFormat="false" ht="12.8" hidden="false" customHeight="false" outlineLevel="0" collapsed="false">
      <c r="A85" s="0" t="s">
        <v>18</v>
      </c>
      <c r="B85" s="0" t="n">
        <v>4.1</v>
      </c>
      <c r="C85" s="1" t="n">
        <v>44013</v>
      </c>
    </row>
    <row r="86" customFormat="false" ht="12.8" hidden="false" customHeight="false" outlineLevel="0" collapsed="false">
      <c r="A86" s="0" t="s">
        <v>19</v>
      </c>
      <c r="B86" s="0" t="n">
        <v>713.08</v>
      </c>
      <c r="C86" s="1" t="n">
        <v>44013</v>
      </c>
    </row>
    <row r="87" customFormat="false" ht="12.8" hidden="false" customHeight="false" outlineLevel="0" collapsed="false">
      <c r="A87" s="0" t="s">
        <v>20</v>
      </c>
      <c r="B87" s="0" t="n">
        <v>2088.31</v>
      </c>
      <c r="C87" s="1" t="n">
        <v>44013</v>
      </c>
    </row>
    <row r="88" customFormat="false" ht="12.8" hidden="false" customHeight="false" outlineLevel="0" collapsed="false">
      <c r="A88" s="5" t="s">
        <v>9</v>
      </c>
      <c r="B88" s="5" t="n">
        <v>0</v>
      </c>
      <c r="C88" s="6" t="n">
        <v>44044</v>
      </c>
    </row>
    <row r="89" customFormat="false" ht="12.8" hidden="false" customHeight="false" outlineLevel="0" collapsed="false">
      <c r="A89" s="5" t="s">
        <v>10</v>
      </c>
      <c r="B89" s="5" t="n">
        <v>50</v>
      </c>
      <c r="C89" s="6" t="n">
        <v>44044</v>
      </c>
    </row>
    <row r="90" customFormat="false" ht="12.8" hidden="false" customHeight="false" outlineLevel="0" collapsed="false">
      <c r="A90" s="5" t="s">
        <v>11</v>
      </c>
      <c r="B90" s="5" t="n">
        <v>0</v>
      </c>
      <c r="C90" s="6" t="n">
        <v>44044</v>
      </c>
    </row>
    <row r="91" customFormat="false" ht="12.8" hidden="false" customHeight="false" outlineLevel="0" collapsed="false">
      <c r="A91" s="5" t="s">
        <v>12</v>
      </c>
      <c r="B91" s="5" t="n">
        <v>66.82</v>
      </c>
      <c r="C91" s="6" t="n">
        <v>44044</v>
      </c>
    </row>
    <row r="92" customFormat="false" ht="12.8" hidden="false" customHeight="false" outlineLevel="0" collapsed="false">
      <c r="A92" s="5" t="s">
        <v>13</v>
      </c>
      <c r="B92" s="5" t="n">
        <v>133.64</v>
      </c>
      <c r="C92" s="6" t="n">
        <v>44044</v>
      </c>
    </row>
    <row r="93" customFormat="false" ht="12.8" hidden="false" customHeight="false" outlineLevel="0" collapsed="false">
      <c r="A93" s="5" t="s">
        <v>14</v>
      </c>
      <c r="B93" s="5" t="n">
        <v>79.9</v>
      </c>
      <c r="C93" s="6" t="n">
        <v>44044</v>
      </c>
    </row>
    <row r="94" customFormat="false" ht="12.8" hidden="false" customHeight="false" outlineLevel="0" collapsed="false">
      <c r="A94" s="5" t="s">
        <v>15</v>
      </c>
      <c r="B94" s="5" t="n">
        <v>419</v>
      </c>
      <c r="C94" s="6" t="n">
        <v>44044</v>
      </c>
    </row>
    <row r="95" customFormat="false" ht="12.8" hidden="false" customHeight="false" outlineLevel="0" collapsed="false">
      <c r="A95" s="5" t="s">
        <v>16</v>
      </c>
      <c r="B95" s="5" t="n">
        <v>150</v>
      </c>
      <c r="C95" s="6" t="n">
        <v>44044</v>
      </c>
    </row>
    <row r="96" customFormat="false" ht="12.8" hidden="false" customHeight="false" outlineLevel="0" collapsed="false">
      <c r="A96" s="5" t="s">
        <v>17</v>
      </c>
      <c r="B96" s="5" t="n">
        <v>0</v>
      </c>
      <c r="C96" s="6" t="n">
        <v>44044</v>
      </c>
    </row>
    <row r="97" customFormat="false" ht="12.8" hidden="false" customHeight="false" outlineLevel="0" collapsed="false">
      <c r="A97" s="5" t="s">
        <v>18</v>
      </c>
      <c r="B97" s="5" t="n">
        <v>4.1</v>
      </c>
      <c r="C97" s="6" t="n">
        <v>44044</v>
      </c>
    </row>
    <row r="98" customFormat="false" ht="12.8" hidden="false" customHeight="false" outlineLevel="0" collapsed="false">
      <c r="A98" s="5" t="s">
        <v>19</v>
      </c>
      <c r="B98" s="5" t="n">
        <v>713.08</v>
      </c>
      <c r="C98" s="6" t="n">
        <v>44044</v>
      </c>
    </row>
    <row r="99" customFormat="false" ht="12.8" hidden="false" customHeight="false" outlineLevel="0" collapsed="false">
      <c r="A99" s="5" t="s">
        <v>20</v>
      </c>
      <c r="B99" s="5" t="n">
        <v>1848.39</v>
      </c>
      <c r="C99" s="6" t="n">
        <v>44044</v>
      </c>
    </row>
    <row r="100" customFormat="false" ht="12.8" hidden="false" customHeight="false" outlineLevel="0" collapsed="false">
      <c r="A100" s="0" t="s">
        <v>9</v>
      </c>
      <c r="B100" s="0" t="n">
        <v>0</v>
      </c>
      <c r="C100" s="1" t="n">
        <v>44075</v>
      </c>
    </row>
    <row r="101" customFormat="false" ht="12.8" hidden="false" customHeight="false" outlineLevel="0" collapsed="false">
      <c r="A101" s="0" t="s">
        <v>10</v>
      </c>
      <c r="B101" s="0" t="n">
        <v>50</v>
      </c>
      <c r="C101" s="1" t="n">
        <v>44075</v>
      </c>
    </row>
    <row r="102" customFormat="false" ht="12.8" hidden="false" customHeight="false" outlineLevel="0" collapsed="false">
      <c r="A102" s="0" t="s">
        <v>12</v>
      </c>
      <c r="B102" s="0" t="n">
        <v>66.82</v>
      </c>
      <c r="C102" s="1" t="n">
        <v>44075</v>
      </c>
    </row>
    <row r="103" customFormat="false" ht="12.8" hidden="false" customHeight="false" outlineLevel="0" collapsed="false">
      <c r="A103" s="0" t="s">
        <v>13</v>
      </c>
      <c r="B103" s="0" t="n">
        <v>133.64</v>
      </c>
      <c r="C103" s="1" t="n">
        <v>44075</v>
      </c>
    </row>
    <row r="104" customFormat="false" ht="12.8" hidden="false" customHeight="false" outlineLevel="0" collapsed="false">
      <c r="A104" s="0" t="s">
        <v>14</v>
      </c>
      <c r="B104" s="0" t="n">
        <v>79.9</v>
      </c>
      <c r="C104" s="1" t="n">
        <v>44075</v>
      </c>
    </row>
    <row r="105" customFormat="false" ht="12.8" hidden="false" customHeight="false" outlineLevel="0" collapsed="false">
      <c r="A105" s="0" t="s">
        <v>15</v>
      </c>
      <c r="B105" s="0" t="n">
        <v>419</v>
      </c>
      <c r="C105" s="1" t="n">
        <v>44075</v>
      </c>
    </row>
    <row r="106" customFormat="false" ht="12.8" hidden="false" customHeight="false" outlineLevel="0" collapsed="false">
      <c r="A106" s="0" t="s">
        <v>16</v>
      </c>
      <c r="B106" s="0" t="n">
        <v>0</v>
      </c>
      <c r="C106" s="1" t="n">
        <v>44075</v>
      </c>
    </row>
    <row r="107" customFormat="false" ht="12.8" hidden="false" customHeight="false" outlineLevel="0" collapsed="false">
      <c r="A107" s="0" t="s">
        <v>17</v>
      </c>
      <c r="B107" s="0" t="n">
        <v>95.3</v>
      </c>
      <c r="C107" s="1" t="n">
        <v>44075</v>
      </c>
    </row>
    <row r="108" customFormat="false" ht="12.8" hidden="false" customHeight="false" outlineLevel="0" collapsed="false">
      <c r="A108" s="0" t="s">
        <v>23</v>
      </c>
      <c r="B108" s="0" t="n">
        <v>4.1</v>
      </c>
      <c r="C108" s="1" t="n">
        <v>44075</v>
      </c>
    </row>
    <row r="109" customFormat="false" ht="12.8" hidden="false" customHeight="false" outlineLevel="0" collapsed="false">
      <c r="A109" s="0" t="s">
        <v>19</v>
      </c>
      <c r="B109" s="0" t="n">
        <v>713.08</v>
      </c>
      <c r="C109" s="1" t="n">
        <v>44075</v>
      </c>
    </row>
    <row r="110" customFormat="false" ht="12.8" hidden="false" customHeight="false" outlineLevel="0" collapsed="false">
      <c r="A110" s="0" t="s">
        <v>20</v>
      </c>
      <c r="B110" s="0" t="n">
        <v>1848.39</v>
      </c>
      <c r="C110" s="1" t="n">
        <v>44075</v>
      </c>
    </row>
    <row r="111" customFormat="false" ht="12.8" hidden="false" customHeight="false" outlineLevel="0" collapsed="false"/>
    <row r="112" customFormat="false" ht="12.8" hidden="false" customHeight="false" outlineLevel="0" collapsed="false"/>
    <row r="113" customFormat="false" ht="12.8" hidden="false" customHeight="false" outlineLevel="0" collapsed="false"/>
    <row r="114" customFormat="false" ht="12.8" hidden="false" customHeight="false" outlineLevel="0" collapsed="false"/>
    <row r="115" customFormat="false" ht="12.8" hidden="false" customHeight="false" outlineLevel="0" collapsed="false"/>
    <row r="116" customFormat="false" ht="12.8" hidden="false" customHeight="false" outlineLevel="0" collapsed="false"/>
    <row r="117" customFormat="false" ht="12.8" hidden="false" customHeight="false" outlineLevel="0" collapsed="false"/>
    <row r="118" customFormat="false" ht="12.8" hidden="false" customHeight="false" outlineLevel="0" collapsed="false"/>
    <row r="119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52"/>
  <sheetViews>
    <sheetView showFormulas="false" showGridLines="true" showRowColHeaders="true" showZeros="true" rightToLeft="false" tabSelected="false" showOutlineSymbols="true" defaultGridColor="true" view="normal" topLeftCell="A5" colorId="64" zoomScale="84" zoomScaleNormal="84" zoomScalePageLayoutView="100" workbookViewId="0">
      <selection pane="topLeft" activeCell="F52" activeCellId="0" sqref="F52"/>
    </sheetView>
  </sheetViews>
  <sheetFormatPr defaultRowHeight="12.8" zeroHeight="false" outlineLevelRow="0" outlineLevelCol="0"/>
  <cols>
    <col collapsed="false" customWidth="true" hidden="false" outlineLevel="0" max="2" min="1" style="7" width="15"/>
    <col collapsed="false" customWidth="true" hidden="false" outlineLevel="0" max="3" min="3" style="7" width="26.03"/>
    <col collapsed="false" customWidth="true" hidden="false" outlineLevel="0" max="4" min="4" style="8" width="17.13"/>
    <col collapsed="false" customWidth="true" hidden="false" outlineLevel="0" max="5" min="5" style="0" width="14.77"/>
    <col collapsed="false" customWidth="true" hidden="false" outlineLevel="0" max="6" min="6" style="0" width="12.14"/>
    <col collapsed="false" customWidth="true" hidden="false" outlineLevel="0" max="1025" min="7" style="0" width="9.85"/>
  </cols>
  <sheetData>
    <row r="1" customFormat="false" ht="13.8" hidden="false" customHeight="false" outlineLevel="0" collapsed="false">
      <c r="A1" s="9" t="s">
        <v>24</v>
      </c>
      <c r="B1" s="9" t="s">
        <v>25</v>
      </c>
      <c r="C1" s="9" t="s">
        <v>26</v>
      </c>
      <c r="D1" s="10" t="s">
        <v>27</v>
      </c>
      <c r="E1" s="3" t="s">
        <v>28</v>
      </c>
    </row>
    <row r="2" customFormat="false" ht="12.8" hidden="false" customHeight="false" outlineLevel="0" collapsed="false">
      <c r="A2" s="11" t="n">
        <v>43831</v>
      </c>
      <c r="B2" s="12" t="n">
        <v>43830</v>
      </c>
      <c r="C2" s="13" t="s">
        <v>29</v>
      </c>
      <c r="D2" s="14" t="n">
        <v>1271.88</v>
      </c>
      <c r="E2" s="14" t="n">
        <v>1271.88</v>
      </c>
    </row>
    <row r="3" customFormat="false" ht="12.8" hidden="false" customHeight="false" outlineLevel="0" collapsed="false">
      <c r="A3" s="11" t="n">
        <v>43831</v>
      </c>
      <c r="B3" s="15" t="s">
        <v>30</v>
      </c>
      <c r="C3" s="15" t="s">
        <v>31</v>
      </c>
      <c r="D3" s="14" t="n">
        <v>81.13</v>
      </c>
      <c r="E3" s="14" t="n">
        <v>81.13</v>
      </c>
    </row>
    <row r="4" customFormat="false" ht="12.8" hidden="false" customHeight="false" outlineLevel="0" collapsed="false">
      <c r="A4" s="11" t="n">
        <v>43831</v>
      </c>
      <c r="B4" s="11" t="n">
        <v>43845</v>
      </c>
      <c r="C4" s="11" t="s">
        <v>32</v>
      </c>
      <c r="D4" s="16" t="n">
        <v>4390</v>
      </c>
      <c r="E4" s="16" t="n">
        <v>4390</v>
      </c>
    </row>
    <row r="5" customFormat="false" ht="12.8" hidden="false" customHeight="false" outlineLevel="0" collapsed="false">
      <c r="A5" s="11" t="n">
        <v>43831</v>
      </c>
      <c r="B5" s="11" t="n">
        <v>43845</v>
      </c>
      <c r="C5" s="11" t="s">
        <v>31</v>
      </c>
      <c r="D5" s="16" t="n">
        <v>973.56</v>
      </c>
      <c r="E5" s="16" t="n">
        <v>973.56</v>
      </c>
    </row>
    <row r="6" customFormat="false" ht="12.8" hidden="false" customHeight="false" outlineLevel="0" collapsed="false">
      <c r="A6" s="11" t="n">
        <v>43831</v>
      </c>
      <c r="B6" s="11" t="n">
        <v>43845</v>
      </c>
      <c r="C6" s="11" t="s">
        <v>33</v>
      </c>
      <c r="D6" s="16" t="n">
        <v>940</v>
      </c>
      <c r="E6" s="16" t="n">
        <v>940</v>
      </c>
    </row>
    <row r="7" customFormat="false" ht="12.8" hidden="false" customHeight="false" outlineLevel="0" collapsed="false">
      <c r="A7" s="11" t="n">
        <v>43831</v>
      </c>
      <c r="B7" s="11" t="n">
        <v>43845</v>
      </c>
      <c r="C7" s="11" t="s">
        <v>34</v>
      </c>
      <c r="D7" s="16" t="n">
        <v>15</v>
      </c>
      <c r="E7" s="16" t="n">
        <v>15</v>
      </c>
    </row>
    <row r="8" customFormat="false" ht="12.8" hidden="false" customHeight="false" outlineLevel="0" collapsed="false">
      <c r="A8" s="11" t="n">
        <v>43831</v>
      </c>
      <c r="B8" s="11" t="n">
        <v>43860</v>
      </c>
      <c r="C8" s="11" t="s">
        <v>35</v>
      </c>
      <c r="D8" s="16" t="n">
        <v>2000</v>
      </c>
      <c r="E8" s="16" t="n">
        <v>2000</v>
      </c>
      <c r="F8" s="0" t="s">
        <v>36</v>
      </c>
    </row>
    <row r="9" customFormat="false" ht="12.8" hidden="false" customHeight="false" outlineLevel="0" collapsed="false">
      <c r="A9" s="11" t="n">
        <v>43831</v>
      </c>
      <c r="B9" s="11" t="n">
        <v>43861</v>
      </c>
      <c r="C9" s="11" t="s">
        <v>37</v>
      </c>
      <c r="D9" s="16" t="n">
        <v>3065.34</v>
      </c>
      <c r="E9" s="16" t="n">
        <v>3065.34</v>
      </c>
    </row>
    <row r="10" customFormat="false" ht="12.8" hidden="false" customHeight="false" outlineLevel="0" collapsed="false">
      <c r="A10" s="17" t="n">
        <v>43862</v>
      </c>
      <c r="B10" s="17" t="n">
        <v>43876</v>
      </c>
      <c r="C10" s="17" t="s">
        <v>32</v>
      </c>
      <c r="D10" s="18" t="n">
        <v>4390</v>
      </c>
      <c r="E10" s="18" t="n">
        <v>4390</v>
      </c>
    </row>
    <row r="11" customFormat="false" ht="12.8" hidden="false" customHeight="false" outlineLevel="0" collapsed="false">
      <c r="A11" s="17" t="n">
        <v>43862</v>
      </c>
      <c r="B11" s="17" t="n">
        <v>43889</v>
      </c>
      <c r="C11" s="17" t="s">
        <v>33</v>
      </c>
      <c r="D11" s="18" t="n">
        <v>170</v>
      </c>
      <c r="E11" s="18" t="n">
        <v>170</v>
      </c>
    </row>
    <row r="12" customFormat="false" ht="12.8" hidden="false" customHeight="false" outlineLevel="0" collapsed="false">
      <c r="A12" s="17" t="n">
        <v>43862</v>
      </c>
      <c r="B12" s="17" t="n">
        <v>43889</v>
      </c>
      <c r="C12" s="17" t="s">
        <v>37</v>
      </c>
      <c r="D12" s="19" t="n">
        <v>2618.65</v>
      </c>
      <c r="E12" s="19" t="n">
        <v>2618.65</v>
      </c>
    </row>
    <row r="13" customFormat="false" ht="12.8" hidden="false" customHeight="false" outlineLevel="0" collapsed="false">
      <c r="A13" s="11" t="n">
        <v>43891</v>
      </c>
      <c r="B13" s="11" t="n">
        <v>43905</v>
      </c>
      <c r="C13" s="11" t="s">
        <v>32</v>
      </c>
      <c r="D13" s="16" t="n">
        <v>4390</v>
      </c>
      <c r="E13" s="16" t="n">
        <v>4390</v>
      </c>
    </row>
    <row r="14" customFormat="false" ht="12.8" hidden="false" customHeight="false" outlineLevel="0" collapsed="false">
      <c r="A14" s="11" t="n">
        <v>43891</v>
      </c>
      <c r="B14" s="11" t="n">
        <v>43905</v>
      </c>
      <c r="C14" s="11" t="s">
        <v>35</v>
      </c>
      <c r="D14" s="16" t="n">
        <v>2000</v>
      </c>
      <c r="E14" s="16" t="n">
        <v>2000</v>
      </c>
      <c r="F14" s="0" t="s">
        <v>36</v>
      </c>
    </row>
    <row r="15" customFormat="false" ht="13.8" hidden="false" customHeight="false" outlineLevel="0" collapsed="false">
      <c r="A15" s="11" t="n">
        <v>43891</v>
      </c>
      <c r="B15" s="11" t="n">
        <v>43920</v>
      </c>
      <c r="C15" s="11" t="s">
        <v>37</v>
      </c>
      <c r="D15" s="20" t="n">
        <v>3285.26</v>
      </c>
      <c r="E15" s="20" t="n">
        <v>3285.26</v>
      </c>
    </row>
    <row r="16" customFormat="false" ht="12.8" hidden="false" customHeight="false" outlineLevel="0" collapsed="false">
      <c r="A16" s="17" t="n">
        <v>43922</v>
      </c>
      <c r="B16" s="17" t="n">
        <v>43905</v>
      </c>
      <c r="C16" s="17" t="s">
        <v>35</v>
      </c>
      <c r="D16" s="18" t="n">
        <v>700</v>
      </c>
      <c r="E16" s="18" t="n">
        <v>700</v>
      </c>
    </row>
    <row r="17" customFormat="false" ht="12.8" hidden="false" customHeight="false" outlineLevel="0" collapsed="false">
      <c r="A17" s="17" t="n">
        <v>43922</v>
      </c>
      <c r="B17" s="17" t="n">
        <v>43936</v>
      </c>
      <c r="C17" s="17" t="s">
        <v>32</v>
      </c>
      <c r="D17" s="18" t="n">
        <v>4390</v>
      </c>
      <c r="E17" s="18" t="n">
        <v>4390</v>
      </c>
    </row>
    <row r="18" customFormat="false" ht="12.8" hidden="false" customHeight="false" outlineLevel="0" collapsed="false">
      <c r="A18" s="21" t="n">
        <v>43922</v>
      </c>
      <c r="B18" s="21" t="n">
        <v>43951</v>
      </c>
      <c r="C18" s="21" t="s">
        <v>38</v>
      </c>
      <c r="D18" s="22" t="n">
        <v>10976.56</v>
      </c>
      <c r="E18" s="23" t="n">
        <v>10976.56</v>
      </c>
    </row>
    <row r="19" customFormat="false" ht="12.8" hidden="false" customHeight="false" outlineLevel="0" collapsed="false">
      <c r="A19" s="11" t="n">
        <v>43952</v>
      </c>
      <c r="B19" s="11" t="n">
        <v>43966</v>
      </c>
      <c r="C19" s="11" t="s">
        <v>32</v>
      </c>
      <c r="D19" s="16" t="n">
        <v>4390</v>
      </c>
      <c r="E19" s="16" t="n">
        <v>4390</v>
      </c>
    </row>
    <row r="20" customFormat="false" ht="12.8" hidden="false" customHeight="false" outlineLevel="0" collapsed="false">
      <c r="A20" s="11" t="n">
        <v>43952</v>
      </c>
      <c r="B20" s="11" t="n">
        <v>43981</v>
      </c>
      <c r="C20" s="11" t="s">
        <v>37</v>
      </c>
      <c r="D20" s="24" t="n">
        <v>0</v>
      </c>
      <c r="E20" s="24" t="n">
        <v>0</v>
      </c>
    </row>
    <row r="21" customFormat="false" ht="13.8" hidden="false" customHeight="false" outlineLevel="0" collapsed="false">
      <c r="A21" s="17" t="n">
        <v>43983</v>
      </c>
      <c r="B21" s="17" t="n">
        <v>43997</v>
      </c>
      <c r="C21" s="17" t="s">
        <v>35</v>
      </c>
      <c r="D21" s="25" t="n">
        <v>5000</v>
      </c>
      <c r="E21" s="25" t="n">
        <v>5000</v>
      </c>
      <c r="F21" s="0" t="s">
        <v>36</v>
      </c>
    </row>
    <row r="22" customFormat="false" ht="13.8" hidden="false" customHeight="false" outlineLevel="0" collapsed="false">
      <c r="A22" s="17" t="n">
        <v>43983</v>
      </c>
      <c r="B22" s="17" t="n">
        <v>43997</v>
      </c>
      <c r="C22" s="17" t="s">
        <v>32</v>
      </c>
      <c r="D22" s="25" t="n">
        <v>4799.86</v>
      </c>
      <c r="E22" s="25" t="n">
        <v>4799.86</v>
      </c>
    </row>
    <row r="23" customFormat="false" ht="13.8" hidden="false" customHeight="false" outlineLevel="0" collapsed="false">
      <c r="A23" s="21" t="n">
        <v>43983</v>
      </c>
      <c r="B23" s="21" t="n">
        <v>44012</v>
      </c>
      <c r="C23" s="21" t="s">
        <v>39</v>
      </c>
      <c r="D23" s="26" t="n">
        <v>7248.2</v>
      </c>
      <c r="E23" s="27" t="n">
        <v>7248.2</v>
      </c>
    </row>
    <row r="24" customFormat="false" ht="12.8" hidden="false" customHeight="false" outlineLevel="0" collapsed="false">
      <c r="A24" s="11" t="n">
        <v>43952</v>
      </c>
      <c r="B24" s="11" t="n">
        <v>44018</v>
      </c>
      <c r="C24" s="11" t="s">
        <v>40</v>
      </c>
      <c r="D24" s="24" t="n">
        <v>0.05</v>
      </c>
      <c r="E24" s="24" t="n">
        <v>0.05</v>
      </c>
    </row>
    <row r="25" customFormat="false" ht="13.8" hidden="false" customHeight="false" outlineLevel="0" collapsed="false">
      <c r="A25" s="21" t="n">
        <v>44013</v>
      </c>
      <c r="B25" s="28" t="n">
        <v>44043</v>
      </c>
      <c r="C25" s="29" t="s">
        <v>41</v>
      </c>
      <c r="D25" s="30" t="n">
        <v>2743.86</v>
      </c>
      <c r="E25" s="31" t="n">
        <v>2743.86</v>
      </c>
    </row>
    <row r="26" customFormat="false" ht="12.8" hidden="false" customHeight="false" outlineLevel="0" collapsed="false">
      <c r="A26" s="17" t="n">
        <v>44013</v>
      </c>
      <c r="B26" s="32" t="n">
        <v>44027</v>
      </c>
      <c r="C26" s="17" t="s">
        <v>32</v>
      </c>
      <c r="D26" s="18" t="n">
        <v>4390</v>
      </c>
      <c r="E26" s="18" t="n">
        <v>4390</v>
      </c>
    </row>
    <row r="27" customFormat="false" ht="12.8" hidden="false" customHeight="false" outlineLevel="0" collapsed="false">
      <c r="A27" s="17" t="n">
        <v>44013</v>
      </c>
      <c r="B27" s="32" t="n">
        <v>44027</v>
      </c>
      <c r="C27" s="17" t="s">
        <v>42</v>
      </c>
      <c r="D27" s="18" t="n">
        <v>50</v>
      </c>
      <c r="E27" s="18" t="n">
        <v>50</v>
      </c>
    </row>
    <row r="28" customFormat="false" ht="13.8" hidden="false" customHeight="false" outlineLevel="0" collapsed="false">
      <c r="A28" s="21" t="n">
        <v>44013</v>
      </c>
      <c r="B28" s="28" t="n">
        <v>44043</v>
      </c>
      <c r="C28" s="21" t="s">
        <v>43</v>
      </c>
      <c r="D28" s="30" t="n">
        <v>4280.95</v>
      </c>
      <c r="E28" s="31" t="n">
        <v>4280.95</v>
      </c>
    </row>
    <row r="29" customFormat="false" ht="12.8" hidden="false" customHeight="false" outlineLevel="0" collapsed="false">
      <c r="A29" s="11" t="n">
        <v>44044</v>
      </c>
      <c r="B29" s="33" t="n">
        <v>44058</v>
      </c>
      <c r="C29" s="11" t="s">
        <v>32</v>
      </c>
      <c r="D29" s="16" t="n">
        <v>4390</v>
      </c>
      <c r="E29" s="34" t="n">
        <v>4390</v>
      </c>
    </row>
    <row r="30" customFormat="false" ht="12.8" hidden="false" customHeight="false" outlineLevel="0" collapsed="false">
      <c r="A30" s="11" t="n">
        <v>44044</v>
      </c>
      <c r="B30" s="33" t="n">
        <v>44066</v>
      </c>
      <c r="C30" s="11" t="s">
        <v>35</v>
      </c>
      <c r="D30" s="16" t="n">
        <v>1000</v>
      </c>
      <c r="E30" s="34" t="n">
        <v>1000</v>
      </c>
      <c r="F30" s="0" t="s">
        <v>36</v>
      </c>
    </row>
    <row r="31" customFormat="false" ht="13.8" hidden="false" customHeight="false" outlineLevel="0" collapsed="false">
      <c r="A31" s="11" t="n">
        <v>44044</v>
      </c>
      <c r="B31" s="33" t="n">
        <v>44073</v>
      </c>
      <c r="C31" s="11" t="s">
        <v>37</v>
      </c>
      <c r="D31" s="35" t="n">
        <v>3120.07</v>
      </c>
      <c r="E31" s="35" t="n">
        <v>3120.07</v>
      </c>
    </row>
    <row r="32" customFormat="false" ht="12.8" hidden="false" customHeight="false" outlineLevel="0" collapsed="false">
      <c r="A32" s="17" t="n">
        <v>44075</v>
      </c>
      <c r="B32" s="32" t="n">
        <v>44089</v>
      </c>
      <c r="C32" s="17" t="s">
        <v>32</v>
      </c>
      <c r="D32" s="18" t="n">
        <v>4390</v>
      </c>
      <c r="E32" s="19" t="n">
        <v>4390</v>
      </c>
    </row>
    <row r="33" customFormat="false" ht="12.8" hidden="false" customHeight="false" outlineLevel="0" collapsed="false">
      <c r="A33" s="17" t="n">
        <v>44075</v>
      </c>
      <c r="B33" s="32" t="n">
        <v>44104</v>
      </c>
      <c r="C33" s="17" t="s">
        <v>37</v>
      </c>
      <c r="D33" s="19" t="n">
        <v>3174.77</v>
      </c>
      <c r="E33" s="19" t="n">
        <v>3174.77</v>
      </c>
    </row>
    <row r="34" customFormat="false" ht="12.8" hidden="false" customHeight="false" outlineLevel="0" collapsed="false">
      <c r="A34" s="36" t="n">
        <v>44105</v>
      </c>
      <c r="B34" s="37" t="n">
        <v>44117</v>
      </c>
      <c r="C34" s="36" t="s">
        <v>44</v>
      </c>
      <c r="D34" s="38" t="n">
        <v>125</v>
      </c>
      <c r="E34" s="38" t="n">
        <v>125</v>
      </c>
    </row>
    <row r="35" customFormat="false" ht="12.8" hidden="false" customHeight="false" outlineLevel="0" collapsed="false">
      <c r="A35" s="36" t="n">
        <v>44105</v>
      </c>
      <c r="B35" s="37" t="n">
        <v>44118</v>
      </c>
      <c r="C35" s="36" t="s">
        <v>42</v>
      </c>
      <c r="D35" s="38" t="n">
        <v>130</v>
      </c>
      <c r="E35" s="38" t="n">
        <v>130</v>
      </c>
    </row>
    <row r="36" customFormat="false" ht="12.8" hidden="false" customHeight="false" outlineLevel="0" collapsed="false">
      <c r="A36" s="36" t="n">
        <v>44105</v>
      </c>
      <c r="B36" s="37" t="n">
        <v>44119</v>
      </c>
      <c r="C36" s="36" t="s">
        <v>32</v>
      </c>
      <c r="D36" s="39" t="n">
        <v>4390</v>
      </c>
      <c r="E36" s="39" t="n">
        <v>4390</v>
      </c>
    </row>
    <row r="37" customFormat="false" ht="12.8" hidden="false" customHeight="false" outlineLevel="0" collapsed="false">
      <c r="A37" s="36" t="n">
        <v>44105</v>
      </c>
      <c r="B37" s="37" t="n">
        <v>44127</v>
      </c>
      <c r="C37" s="36" t="s">
        <v>35</v>
      </c>
      <c r="D37" s="39" t="n">
        <v>1000</v>
      </c>
      <c r="E37" s="38" t="n">
        <v>1000</v>
      </c>
      <c r="F37" s="0" t="s">
        <v>36</v>
      </c>
    </row>
    <row r="38" customFormat="false" ht="12.8" hidden="false" customHeight="false" outlineLevel="0" collapsed="false">
      <c r="A38" s="36" t="n">
        <v>44105</v>
      </c>
      <c r="B38" s="37" t="n">
        <v>44127</v>
      </c>
      <c r="C38" s="36" t="s">
        <v>35</v>
      </c>
      <c r="D38" s="39" t="n">
        <v>170</v>
      </c>
      <c r="E38" s="38" t="n">
        <v>170</v>
      </c>
      <c r="F38" s="0" t="s">
        <v>36</v>
      </c>
    </row>
    <row r="39" customFormat="false" ht="12.8" hidden="false" customHeight="false" outlineLevel="0" collapsed="false">
      <c r="A39" s="36" t="n">
        <v>44105</v>
      </c>
      <c r="B39" s="37" t="n">
        <v>44131</v>
      </c>
      <c r="C39" s="36" t="s">
        <v>35</v>
      </c>
      <c r="D39" s="39" t="n">
        <v>1110.2</v>
      </c>
      <c r="E39" s="38" t="n">
        <v>1110.2</v>
      </c>
      <c r="F39" s="0" t="s">
        <v>36</v>
      </c>
    </row>
    <row r="40" customFormat="false" ht="13.8" hidden="false" customHeight="false" outlineLevel="0" collapsed="false">
      <c r="A40" s="17" t="n">
        <v>44136</v>
      </c>
      <c r="B40" s="32" t="n">
        <v>44135</v>
      </c>
      <c r="C40" s="17" t="s">
        <v>37</v>
      </c>
      <c r="D40" s="40" t="n">
        <v>2945.18</v>
      </c>
      <c r="E40" s="40" t="n">
        <v>2945.18</v>
      </c>
    </row>
    <row r="41" customFormat="false" ht="12.8" hidden="false" customHeight="false" outlineLevel="0" collapsed="false">
      <c r="A41" s="17" t="n">
        <v>44136</v>
      </c>
      <c r="B41" s="32" t="n">
        <v>44150</v>
      </c>
      <c r="C41" s="17" t="s">
        <v>32</v>
      </c>
      <c r="D41" s="18" t="n">
        <v>4390</v>
      </c>
      <c r="E41" s="18" t="n">
        <v>4390</v>
      </c>
    </row>
    <row r="42" customFormat="false" ht="12.8" hidden="false" customHeight="false" outlineLevel="0" collapsed="false">
      <c r="A42" s="17" t="n">
        <v>44136</v>
      </c>
      <c r="B42" s="32" t="n">
        <v>44159</v>
      </c>
      <c r="C42" s="17" t="s">
        <v>31</v>
      </c>
      <c r="D42" s="18" t="n">
        <v>30</v>
      </c>
      <c r="E42" s="18" t="n">
        <v>30</v>
      </c>
    </row>
    <row r="43" customFormat="false" ht="12.8" hidden="false" customHeight="false" outlineLevel="0" collapsed="false">
      <c r="A43" s="17" t="n">
        <v>44136</v>
      </c>
      <c r="B43" s="32" t="n">
        <v>44161</v>
      </c>
      <c r="C43" s="17" t="s">
        <v>45</v>
      </c>
      <c r="D43" s="18" t="n">
        <v>20</v>
      </c>
      <c r="E43" s="18" t="n">
        <v>20</v>
      </c>
    </row>
    <row r="44" customFormat="false" ht="12.8" hidden="false" customHeight="false" outlineLevel="0" collapsed="false">
      <c r="A44" s="17" t="n">
        <v>44136</v>
      </c>
      <c r="B44" s="32" t="n">
        <v>44161</v>
      </c>
      <c r="C44" s="17" t="s">
        <v>45</v>
      </c>
      <c r="D44" s="18" t="n">
        <v>20</v>
      </c>
      <c r="E44" s="18" t="n">
        <v>20</v>
      </c>
    </row>
    <row r="45" customFormat="false" ht="13.8" hidden="false" customHeight="false" outlineLevel="0" collapsed="false">
      <c r="A45" s="17" t="n">
        <v>44136</v>
      </c>
      <c r="B45" s="32" t="n">
        <v>44162</v>
      </c>
      <c r="C45" s="41" t="s">
        <v>46</v>
      </c>
      <c r="D45" s="18" t="n">
        <v>5</v>
      </c>
      <c r="E45" s="18" t="n">
        <v>5</v>
      </c>
    </row>
    <row r="46" customFormat="false" ht="12.8" hidden="false" customHeight="false" outlineLevel="0" collapsed="false">
      <c r="A46" s="17" t="n">
        <v>44136</v>
      </c>
      <c r="B46" s="32" t="n">
        <v>44154</v>
      </c>
      <c r="C46" s="17" t="s">
        <v>47</v>
      </c>
      <c r="D46" s="18" t="n">
        <v>200</v>
      </c>
      <c r="E46" s="18" t="n">
        <v>200</v>
      </c>
    </row>
    <row r="47" customFormat="false" ht="12.8" hidden="false" customHeight="false" outlineLevel="0" collapsed="false">
      <c r="A47" s="17" t="n">
        <v>44136</v>
      </c>
      <c r="B47" s="32" t="n">
        <v>44165</v>
      </c>
      <c r="C47" s="17" t="s">
        <v>37</v>
      </c>
      <c r="D47" s="19" t="n">
        <v>3075.09</v>
      </c>
      <c r="E47" s="19" t="n">
        <v>3075.09</v>
      </c>
    </row>
    <row r="48" customFormat="false" ht="12.8" hidden="false" customHeight="false" outlineLevel="0" collapsed="false">
      <c r="A48" s="36" t="n">
        <v>44166</v>
      </c>
      <c r="B48" s="37" t="n">
        <v>44180</v>
      </c>
      <c r="C48" s="36" t="s">
        <v>32</v>
      </c>
      <c r="D48" s="39" t="n">
        <v>4390</v>
      </c>
      <c r="E48" s="38" t="n">
        <v>4390</v>
      </c>
    </row>
    <row r="49" customFormat="false" ht="12.8" hidden="false" customHeight="false" outlineLevel="0" collapsed="false">
      <c r="A49" s="36" t="n">
        <v>44166</v>
      </c>
      <c r="B49" s="37" t="n">
        <v>44185</v>
      </c>
      <c r="C49" s="36" t="s">
        <v>37</v>
      </c>
      <c r="D49" s="38" t="n">
        <v>4806.28</v>
      </c>
      <c r="E49" s="38" t="n">
        <v>4806.28</v>
      </c>
    </row>
    <row r="50" customFormat="false" ht="12.8" hidden="false" customHeight="false" outlineLevel="0" collapsed="false">
      <c r="A50" s="36" t="n">
        <v>44166</v>
      </c>
      <c r="B50" s="37" t="n">
        <v>44185</v>
      </c>
      <c r="C50" s="36" t="s">
        <v>48</v>
      </c>
      <c r="D50" s="42" t="n">
        <v>4881.47</v>
      </c>
      <c r="E50" s="38" t="n">
        <v>4881.47</v>
      </c>
    </row>
    <row r="51" customFormat="false" ht="15.8" hidden="false" customHeight="false" outlineLevel="0" collapsed="false">
      <c r="A51" s="43" t="n">
        <v>44166</v>
      </c>
      <c r="B51" s="44" t="n">
        <v>44168</v>
      </c>
      <c r="C51" s="45" t="s">
        <v>44</v>
      </c>
      <c r="D51" s="38" t="n">
        <v>261</v>
      </c>
      <c r="E51" s="38" t="n">
        <v>261</v>
      </c>
      <c r="F51" s="46"/>
    </row>
    <row r="52" customFormat="false" ht="15.8" hidden="false" customHeight="false" outlineLevel="0" collapsed="false">
      <c r="A52" s="44" t="n">
        <v>44166</v>
      </c>
      <c r="B52" s="44" t="n">
        <v>44180</v>
      </c>
      <c r="C52" s="45" t="s">
        <v>35</v>
      </c>
      <c r="D52" s="47" t="n">
        <v>3148.16</v>
      </c>
      <c r="E52" s="48" t="n">
        <f aca="false">D52</f>
        <v>3148.16</v>
      </c>
      <c r="F52" s="0" t="s">
        <v>36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322"/>
  <sheetViews>
    <sheetView showFormulas="false" showGridLines="true" showRowColHeaders="true" showZeros="true" rightToLeft="false" tabSelected="false" showOutlineSymbols="true" defaultGridColor="true" view="normal" topLeftCell="A1302" colorId="64" zoomScale="84" zoomScaleNormal="84" zoomScalePageLayoutView="100" workbookViewId="0">
      <selection pane="topLeft" activeCell="F1315" activeCellId="0" sqref="F1315"/>
    </sheetView>
  </sheetViews>
  <sheetFormatPr defaultRowHeight="12.8" zeroHeight="false" outlineLevelRow="0" outlineLevelCol="0"/>
  <cols>
    <col collapsed="false" customWidth="true" hidden="false" outlineLevel="0" max="1" min="1" style="49" width="36.04"/>
    <col collapsed="false" customWidth="true" hidden="false" outlineLevel="0" max="2" min="2" style="50" width="13.86"/>
    <col collapsed="false" customWidth="true" hidden="false" outlineLevel="0" max="3" min="3" style="49" width="35.33"/>
    <col collapsed="false" customWidth="true" hidden="false" outlineLevel="0" max="4" min="4" style="0" width="12.68"/>
    <col collapsed="false" customWidth="true" hidden="false" outlineLevel="0" max="5" min="5" style="51" width="18.77"/>
    <col collapsed="false" customWidth="true" hidden="false" outlineLevel="0" max="6" min="6" style="0" width="25.47"/>
    <col collapsed="false" customWidth="true" hidden="false" outlineLevel="0" max="7" min="7" style="52" width="27.28"/>
    <col collapsed="false" customWidth="true" hidden="false" outlineLevel="0" max="8" min="8" style="52" width="9.47"/>
    <col collapsed="false" customWidth="true" hidden="false" outlineLevel="0" max="9" min="9" style="0" width="11.14"/>
    <col collapsed="false" customWidth="true" hidden="false" outlineLevel="0" max="1021" min="10" style="0" width="10.29"/>
    <col collapsed="false" customWidth="false" hidden="false" outlineLevel="0" max="1025" min="1022" style="0" width="11.52"/>
  </cols>
  <sheetData>
    <row r="1" customFormat="false" ht="12.8" hidden="false" customHeight="false" outlineLevel="0" collapsed="false">
      <c r="A1" s="53" t="s">
        <v>49</v>
      </c>
      <c r="B1" s="54" t="s">
        <v>50</v>
      </c>
      <c r="C1" s="55" t="s">
        <v>51</v>
      </c>
      <c r="D1" s="56" t="s">
        <v>52</v>
      </c>
      <c r="E1" s="56" t="s">
        <v>53</v>
      </c>
      <c r="F1" s="57" t="s">
        <v>54</v>
      </c>
      <c r="G1" s="57" t="s">
        <v>55</v>
      </c>
      <c r="H1" s="58" t="s">
        <v>56</v>
      </c>
    </row>
    <row r="2" customFormat="false" ht="13.8" hidden="false" customHeight="false" outlineLevel="0" collapsed="false">
      <c r="A2" s="59" t="s">
        <v>29</v>
      </c>
      <c r="B2" s="60" t="s">
        <v>57</v>
      </c>
      <c r="C2" s="61" t="s">
        <v>58</v>
      </c>
      <c r="D2" s="62"/>
      <c r="E2" s="63" t="n">
        <v>10</v>
      </c>
      <c r="F2" s="64" t="n">
        <f aca="false">IF(ISNUMBER(FIND("SALDO ANTERIOR",C2)),0,IF(ISNUMBER(FIND("SALDO DO DIA",C2)),0,IF(ISNUMBER(FIND("SALDO PARCIAL",C2)),0,IF(ISNUMBER(FIND("SDO CTA/APL AUTOMATICAS",C2)),0,IF(ISNUMBER(FIND("APL APLIC AUT MAIS",C2)),0,IF(ISNUMBER(FIND("TEC DEPOSITO",C2)),0,IF(E2&gt;0,0,E2*(-1))))))))</f>
        <v>0</v>
      </c>
      <c r="G2" s="65" t="n">
        <f aca="false">IF(ISNUMBER(FIND("SALDO ANTERIOR",C2)),0,IF(ISNUMBER(FIND("SALDO DO DIA",C2)),0,IF(ISNUMBER(FIND("SDO CTA/APL AUTOMATICAS",C2)),0,IF(ISNUMBER(FIND("TEC DEPOSITO",C2)),0,IF(ISNUMBER(FIND("APL APLIC AUT MAIS",C2)),E2,IF(E2&gt;0,E2,0))))))</f>
        <v>10</v>
      </c>
      <c r="H2" s="66" t="n">
        <v>43831</v>
      </c>
    </row>
    <row r="3" customFormat="false" ht="13.8" hidden="false" customHeight="false" outlineLevel="0" collapsed="false">
      <c r="A3" s="59" t="s">
        <v>59</v>
      </c>
      <c r="B3" s="60" t="s">
        <v>57</v>
      </c>
      <c r="C3" s="61" t="s">
        <v>60</v>
      </c>
      <c r="D3" s="62" t="s">
        <v>61</v>
      </c>
      <c r="E3" s="67" t="n">
        <v>-100</v>
      </c>
      <c r="F3" s="64" t="n">
        <f aca="false">IF(ISNUMBER(FIND("SALDO ANTERIOR",C3)),0,IF(ISNUMBER(FIND("SALDO DO DIA",C3)),0,IF(ISNUMBER(FIND("SALDO PARCIAL",C3)),0,IF(ISNUMBER(FIND("SDO CTA/APL AUTOMATICAS",C3)),0,IF(ISNUMBER(FIND("APL APLIC AUT MAIS",C3)),0,IF(ISNUMBER(FIND("TEC DEPOSITO",C3)),0,IF(E3&gt;0,0,E3*(-1))))))))</f>
        <v>100</v>
      </c>
      <c r="G3" s="65" t="n">
        <f aca="false">IF(ISNUMBER(FIND("SALDO ANTERIOR",C3)),0,IF(ISNUMBER(FIND("SALDO DO DIA",C3)),0,IF(ISNUMBER(FIND("SDO CTA/APL AUTOMATICAS",C3)),0,IF(ISNUMBER(FIND("TEC DEPOSITO",C3)),0,IF(ISNUMBER(FIND("APL APLIC AUT MAIS",C3)),E3,IF(E3&gt;0,E3,0))))))</f>
        <v>0</v>
      </c>
      <c r="H3" s="66" t="n">
        <v>43831</v>
      </c>
    </row>
    <row r="4" customFormat="false" ht="13.8" hidden="false" customHeight="false" outlineLevel="0" collapsed="false">
      <c r="A4" s="59" t="s">
        <v>62</v>
      </c>
      <c r="B4" s="60" t="s">
        <v>57</v>
      </c>
      <c r="C4" s="61" t="s">
        <v>63</v>
      </c>
      <c r="D4" s="62" t="s">
        <v>64</v>
      </c>
      <c r="E4" s="67" t="n">
        <v>-50</v>
      </c>
      <c r="F4" s="64" t="n">
        <f aca="false">IF(ISNUMBER(FIND("SALDO ANTERIOR",C4)),0,IF(ISNUMBER(FIND("SALDO DO DIA",C4)),0,IF(ISNUMBER(FIND("SALDO PARCIAL",C4)),0,IF(ISNUMBER(FIND("SDO CTA/APL AUTOMATICAS",C4)),0,IF(ISNUMBER(FIND("APL APLIC AUT MAIS",C4)),0,IF(ISNUMBER(FIND("TEC DEPOSITO",C4)),0,IF(E4&gt;0,0,E4*(-1))))))))</f>
        <v>50</v>
      </c>
      <c r="G4" s="65" t="n">
        <f aca="false">IF(ISNUMBER(FIND("SALDO ANTERIOR",C4)),0,IF(ISNUMBER(FIND("SALDO DO DIA",C4)),0,IF(ISNUMBER(FIND("SDO CTA/APL AUTOMATICAS",C4)),0,IF(ISNUMBER(FIND("TEC DEPOSITO",C4)),0,IF(ISNUMBER(FIND("APL APLIC AUT MAIS",C4)),E4,IF(E4&gt;0,E4,0))))))</f>
        <v>0</v>
      </c>
      <c r="H4" s="66" t="n">
        <v>43831</v>
      </c>
    </row>
    <row r="5" customFormat="false" ht="13.8" hidden="false" customHeight="false" outlineLevel="0" collapsed="false">
      <c r="A5" s="59" t="s">
        <v>65</v>
      </c>
      <c r="B5" s="60" t="s">
        <v>57</v>
      </c>
      <c r="C5" s="61" t="s">
        <v>66</v>
      </c>
      <c r="D5" s="62" t="s">
        <v>64</v>
      </c>
      <c r="E5" s="67" t="n">
        <v>-2</v>
      </c>
      <c r="F5" s="64" t="n">
        <f aca="false">IF(ISNUMBER(FIND("SALDO ANTERIOR",C5)),0,IF(ISNUMBER(FIND("SALDO DO DIA",C5)),0,IF(ISNUMBER(FIND("SALDO PARCIAL",C5)),0,IF(ISNUMBER(FIND("SDO CTA/APL AUTOMATICAS",C5)),0,IF(ISNUMBER(FIND("APL APLIC AUT MAIS",C5)),0,IF(ISNUMBER(FIND("TEC DEPOSITO",C5)),0,IF(E5&gt;0,0,E5*(-1))))))))</f>
        <v>2</v>
      </c>
      <c r="G5" s="65" t="n">
        <f aca="false">IF(ISNUMBER(FIND("SALDO ANTERIOR",C5)),0,IF(ISNUMBER(FIND("SALDO DO DIA",C5)),0,IF(ISNUMBER(FIND("SDO CTA/APL AUTOMATICAS",C5)),0,IF(ISNUMBER(FIND("TEC DEPOSITO",C5)),0,IF(ISNUMBER(FIND("APL APLIC AUT MAIS",C5)),E5,IF(E5&gt;0,E5,0))))))</f>
        <v>0</v>
      </c>
      <c r="H5" s="66" t="n">
        <v>43831</v>
      </c>
    </row>
    <row r="6" customFormat="false" ht="13.8" hidden="false" customHeight="false" outlineLevel="0" collapsed="false">
      <c r="A6" s="59" t="s">
        <v>67</v>
      </c>
      <c r="B6" s="60" t="s">
        <v>57</v>
      </c>
      <c r="C6" s="61" t="s">
        <v>68</v>
      </c>
      <c r="D6" s="62"/>
      <c r="E6" s="67" t="n">
        <v>-0.24</v>
      </c>
      <c r="F6" s="64" t="n">
        <f aca="false">IF(ISNUMBER(FIND("SALDO ANTERIOR",C6)),0,IF(ISNUMBER(FIND("SALDO DO DIA",C6)),0,IF(ISNUMBER(FIND("SALDO PARCIAL",C6)),0,IF(ISNUMBER(FIND("SDO CTA/APL AUTOMATICAS",C6)),0,IF(ISNUMBER(FIND("APL APLIC AUT MAIS",C6)),0,IF(ISNUMBER(FIND("TEC DEPOSITO",C6)),0,IF(E6&gt;0,0,E6*(-1))))))))</f>
        <v>0.24</v>
      </c>
      <c r="G6" s="65" t="n">
        <f aca="false">IF(ISNUMBER(FIND("SALDO ANTERIOR",C6)),0,IF(ISNUMBER(FIND("SALDO DO DIA",C6)),0,IF(ISNUMBER(FIND("SDO CTA/APL AUTOMATICAS",C6)),0,IF(ISNUMBER(FIND("TEC DEPOSITO",C6)),0,IF(ISNUMBER(FIND("APL APLIC AUT MAIS",C6)),E6,IF(E6&gt;0,E6,0))))))</f>
        <v>0</v>
      </c>
      <c r="H6" s="66" t="n">
        <v>43831</v>
      </c>
    </row>
    <row r="7" customFormat="false" ht="13.8" hidden="false" customHeight="false" outlineLevel="0" collapsed="false">
      <c r="A7" s="59" t="s">
        <v>67</v>
      </c>
      <c r="B7" s="60" t="s">
        <v>57</v>
      </c>
      <c r="C7" s="61" t="s">
        <v>69</v>
      </c>
      <c r="D7" s="62"/>
      <c r="E7" s="63" t="n">
        <v>152.24</v>
      </c>
      <c r="F7" s="64" t="n">
        <f aca="false">IF(ISNUMBER(FIND("SALDO ANTERIOR",C7)),0,IF(ISNUMBER(FIND("SALDO DO DIA",C7)),0,IF(ISNUMBER(FIND("SALDO PARCIAL",C7)),0,IF(ISNUMBER(FIND("SDO CTA/APL AUTOMATICAS",C7)),0,IF(ISNUMBER(FIND("APL APLIC AUT MAIS",C7)),0,IF(ISNUMBER(FIND("TEC DEPOSITO",C7)),0,IF(E7&gt;0,0,E7*(-1))))))))</f>
        <v>0</v>
      </c>
      <c r="G7" s="65" t="n">
        <f aca="false">IF(ISNUMBER(FIND("SALDO ANTERIOR",C7)),0,IF(ISNUMBER(FIND("SALDO DO DIA",C7)),0,IF(ISNUMBER(FIND("SDO CTA/APL AUTOMATICAS",C7)),0,IF(ISNUMBER(FIND("TEC DEPOSITO",C7)),0,IF(ISNUMBER(FIND("APL APLIC AUT MAIS",C7)),E7,IF(E7&gt;0,E7,0))))))</f>
        <v>152.24</v>
      </c>
      <c r="H7" s="66" t="n">
        <v>43831</v>
      </c>
    </row>
    <row r="8" customFormat="false" ht="13.8" hidden="false" customHeight="false" outlineLevel="0" collapsed="false">
      <c r="A8" s="59" t="s">
        <v>29</v>
      </c>
      <c r="B8" s="60" t="s">
        <v>57</v>
      </c>
      <c r="C8" s="61" t="s">
        <v>70</v>
      </c>
      <c r="D8" s="62"/>
      <c r="E8" s="63" t="n">
        <v>1109.64</v>
      </c>
      <c r="F8" s="64" t="n">
        <f aca="false">IF(ISNUMBER(FIND("SALDO ANTERIOR",C8)),0,IF(ISNUMBER(FIND("SALDO DO DIA",C8)),0,IF(ISNUMBER(FIND("SALDO PARCIAL",C8)),0,IF(ISNUMBER(FIND("SDO CTA/APL AUTOMATICAS",C8)),0,IF(ISNUMBER(FIND("APL APLIC AUT MAIS",C8)),0,IF(ISNUMBER(FIND("TEC DEPOSITO",C8)),0,IF(E8&gt;0,0,E8*(-1))))))))</f>
        <v>0</v>
      </c>
      <c r="G8" s="65" t="n">
        <f aca="false">IF(ISNUMBER(FIND("SALDO ANTERIOR",C8)),0,IF(ISNUMBER(FIND("SALDO DO DIA",C8)),0,IF(ISNUMBER(FIND("SDO CTA/APL AUTOMATICAS",C8)),0,IF(ISNUMBER(FIND("TEC DEPOSITO",C8)),0,IF(ISNUMBER(FIND("APL APLIC AUT MAIS",C8)),E8,IF(E8&gt;0,E8,0))))))</f>
        <v>1109.64</v>
      </c>
      <c r="H8" s="66" t="n">
        <v>43831</v>
      </c>
    </row>
    <row r="9" customFormat="false" ht="13.8" hidden="false" customHeight="false" outlineLevel="0" collapsed="false">
      <c r="A9" s="59" t="s">
        <v>71</v>
      </c>
      <c r="B9" s="60" t="s">
        <v>72</v>
      </c>
      <c r="C9" s="61" t="s">
        <v>73</v>
      </c>
      <c r="D9" s="62" t="s">
        <v>64</v>
      </c>
      <c r="E9" s="67" t="n">
        <v>-26.3</v>
      </c>
      <c r="F9" s="64" t="n">
        <f aca="false">IF(ISNUMBER(FIND("SALDO ANTERIOR",C9)),0,IF(ISNUMBER(FIND("SALDO DO DIA",C9)),0,IF(ISNUMBER(FIND("SALDO PARCIAL",C9)),0,IF(ISNUMBER(FIND("SDO CTA/APL AUTOMATICAS",C9)),0,IF(ISNUMBER(FIND("APL APLIC AUT MAIS",C9)),0,IF(ISNUMBER(FIND("TEC DEPOSITO",C9)),0,IF(E9&gt;0,0,E9*(-1))))))))</f>
        <v>26.3</v>
      </c>
      <c r="G9" s="65" t="n">
        <f aca="false">IF(ISNUMBER(FIND("SALDO ANTERIOR",C9)),0,IF(ISNUMBER(FIND("SALDO DO DIA",C9)),0,IF(ISNUMBER(FIND("SDO CTA/APL AUTOMATICAS",C9)),0,IF(ISNUMBER(FIND("TEC DEPOSITO",C9)),0,IF(ISNUMBER(FIND("APL APLIC AUT MAIS",C9)),E9,IF(E9&gt;0,E9,0))))))</f>
        <v>0</v>
      </c>
      <c r="H9" s="66" t="n">
        <v>43831</v>
      </c>
    </row>
    <row r="10" customFormat="false" ht="13.8" hidden="false" customHeight="false" outlineLevel="0" collapsed="false">
      <c r="A10" s="59" t="s">
        <v>74</v>
      </c>
      <c r="B10" s="60" t="s">
        <v>72</v>
      </c>
      <c r="C10" s="61" t="s">
        <v>75</v>
      </c>
      <c r="D10" s="62" t="s">
        <v>64</v>
      </c>
      <c r="E10" s="67" t="n">
        <v>-11.49</v>
      </c>
      <c r="F10" s="64" t="n">
        <f aca="false">IF(ISNUMBER(FIND("SALDO ANTERIOR",C10)),0,IF(ISNUMBER(FIND("SALDO DO DIA",C10)),0,IF(ISNUMBER(FIND("SALDO PARCIAL",C10)),0,IF(ISNUMBER(FIND("SDO CTA/APL AUTOMATICAS",C10)),0,IF(ISNUMBER(FIND("APL APLIC AUT MAIS",C10)),0,IF(ISNUMBER(FIND("TEC DEPOSITO",C10)),0,IF(E10&gt;0,0,E10*(-1))))))))</f>
        <v>11.49</v>
      </c>
      <c r="G10" s="65" t="n">
        <f aca="false">IF(ISNUMBER(FIND("SALDO ANTERIOR",C10)),0,IF(ISNUMBER(FIND("SALDO DO DIA",C10)),0,IF(ISNUMBER(FIND("SDO CTA/APL AUTOMATICAS",C10)),0,IF(ISNUMBER(FIND("TEC DEPOSITO",C10)),0,IF(ISNUMBER(FIND("APL APLIC AUT MAIS",C10)),E10,IF(E10&gt;0,E10,0))))))</f>
        <v>0</v>
      </c>
      <c r="H10" s="66" t="n">
        <v>43831</v>
      </c>
    </row>
    <row r="11" customFormat="false" ht="13.8" hidden="false" customHeight="false" outlineLevel="0" collapsed="false">
      <c r="A11" s="59" t="s">
        <v>74</v>
      </c>
      <c r="B11" s="60" t="s">
        <v>72</v>
      </c>
      <c r="C11" s="61" t="s">
        <v>75</v>
      </c>
      <c r="D11" s="62" t="s">
        <v>64</v>
      </c>
      <c r="E11" s="67" t="n">
        <v>-55.5</v>
      </c>
      <c r="F11" s="64" t="n">
        <f aca="false">IF(ISNUMBER(FIND("SALDO ANTERIOR",C11)),0,IF(ISNUMBER(FIND("SALDO DO DIA",C11)),0,IF(ISNUMBER(FIND("SALDO PARCIAL",C11)),0,IF(ISNUMBER(FIND("SDO CTA/APL AUTOMATICAS",C11)),0,IF(ISNUMBER(FIND("APL APLIC AUT MAIS",C11)),0,IF(ISNUMBER(FIND("TEC DEPOSITO",C11)),0,IF(E11&gt;0,0,E11*(-1))))))))</f>
        <v>55.5</v>
      </c>
      <c r="G11" s="65" t="n">
        <f aca="false">IF(ISNUMBER(FIND("SALDO ANTERIOR",C11)),0,IF(ISNUMBER(FIND("SALDO DO DIA",C11)),0,IF(ISNUMBER(FIND("SDO CTA/APL AUTOMATICAS",C11)),0,IF(ISNUMBER(FIND("TEC DEPOSITO",C11)),0,IF(ISNUMBER(FIND("APL APLIC AUT MAIS",C11)),E11,IF(E11&gt;0,E11,0))))))</f>
        <v>0</v>
      </c>
      <c r="H11" s="66" t="n">
        <v>43831</v>
      </c>
    </row>
    <row r="12" customFormat="false" ht="13.8" hidden="false" customHeight="false" outlineLevel="0" collapsed="false">
      <c r="A12" s="59" t="s">
        <v>76</v>
      </c>
      <c r="B12" s="60" t="s">
        <v>72</v>
      </c>
      <c r="C12" s="61" t="s">
        <v>77</v>
      </c>
      <c r="D12" s="62" t="s">
        <v>64</v>
      </c>
      <c r="E12" s="67" t="n">
        <v>-11</v>
      </c>
      <c r="F12" s="64" t="n">
        <f aca="false">IF(ISNUMBER(FIND("SALDO ANTERIOR",C12)),0,IF(ISNUMBER(FIND("SALDO DO DIA",C12)),0,IF(ISNUMBER(FIND("SALDO PARCIAL",C12)),0,IF(ISNUMBER(FIND("SDO CTA/APL AUTOMATICAS",C12)),0,IF(ISNUMBER(FIND("APL APLIC AUT MAIS",C12)),0,IF(ISNUMBER(FIND("TEC DEPOSITO",C12)),0,IF(E12&gt;0,0,E12*(-1))))))))</f>
        <v>11</v>
      </c>
      <c r="G12" s="65" t="n">
        <f aca="false">IF(ISNUMBER(FIND("SALDO ANTERIOR",C12)),0,IF(ISNUMBER(FIND("SALDO DO DIA",C12)),0,IF(ISNUMBER(FIND("SDO CTA/APL AUTOMATICAS",C12)),0,IF(ISNUMBER(FIND("TEC DEPOSITO",C12)),0,IF(ISNUMBER(FIND("APL APLIC AUT MAIS",C12)),E12,IF(E12&gt;0,E12,0))))))</f>
        <v>0</v>
      </c>
      <c r="H12" s="66" t="n">
        <v>43831</v>
      </c>
    </row>
    <row r="13" customFormat="false" ht="13.8" hidden="false" customHeight="false" outlineLevel="0" collapsed="false">
      <c r="A13" s="59" t="s">
        <v>65</v>
      </c>
      <c r="B13" s="60" t="s">
        <v>72</v>
      </c>
      <c r="C13" s="61" t="s">
        <v>78</v>
      </c>
      <c r="D13" s="62" t="s">
        <v>64</v>
      </c>
      <c r="E13" s="67" t="n">
        <v>-20</v>
      </c>
      <c r="F13" s="64" t="n">
        <f aca="false">IF(ISNUMBER(FIND("SALDO ANTERIOR",C13)),0,IF(ISNUMBER(FIND("SALDO DO DIA",C13)),0,IF(ISNUMBER(FIND("SALDO PARCIAL",C13)),0,IF(ISNUMBER(FIND("SDO CTA/APL AUTOMATICAS",C13)),0,IF(ISNUMBER(FIND("APL APLIC AUT MAIS",C13)),0,IF(ISNUMBER(FIND("TEC DEPOSITO",C13)),0,IF(E13&gt;0,0,E13*(-1))))))))</f>
        <v>20</v>
      </c>
      <c r="G13" s="65" t="n">
        <f aca="false">IF(ISNUMBER(FIND("SALDO ANTERIOR",C13)),0,IF(ISNUMBER(FIND("SALDO DO DIA",C13)),0,IF(ISNUMBER(FIND("SDO CTA/APL AUTOMATICAS",C13)),0,IF(ISNUMBER(FIND("TEC DEPOSITO",C13)),0,IF(ISNUMBER(FIND("APL APLIC AUT MAIS",C13)),E13,IF(E13&gt;0,E13,0))))))</f>
        <v>0</v>
      </c>
      <c r="H13" s="66" t="n">
        <v>43831</v>
      </c>
    </row>
    <row r="14" customFormat="false" ht="13.8" hidden="false" customHeight="false" outlineLevel="0" collapsed="false">
      <c r="A14" s="59" t="s">
        <v>76</v>
      </c>
      <c r="B14" s="60" t="s">
        <v>72</v>
      </c>
      <c r="C14" s="61" t="s">
        <v>79</v>
      </c>
      <c r="D14" s="62" t="s">
        <v>64</v>
      </c>
      <c r="E14" s="67" t="n">
        <v>-9.45</v>
      </c>
      <c r="F14" s="64" t="n">
        <f aca="false">IF(ISNUMBER(FIND("SALDO ANTERIOR",C14)),0,IF(ISNUMBER(FIND("SALDO DO DIA",C14)),0,IF(ISNUMBER(FIND("SALDO PARCIAL",C14)),0,IF(ISNUMBER(FIND("SDO CTA/APL AUTOMATICAS",C14)),0,IF(ISNUMBER(FIND("APL APLIC AUT MAIS",C14)),0,IF(ISNUMBER(FIND("TEC DEPOSITO",C14)),0,IF(E14&gt;0,0,E14*(-1))))))))</f>
        <v>9.45</v>
      </c>
      <c r="G14" s="65" t="n">
        <f aca="false">IF(ISNUMBER(FIND("SALDO ANTERIOR",C14)),0,IF(ISNUMBER(FIND("SALDO DO DIA",C14)),0,IF(ISNUMBER(FIND("SDO CTA/APL AUTOMATICAS",C14)),0,IF(ISNUMBER(FIND("TEC DEPOSITO",C14)),0,IF(ISNUMBER(FIND("APL APLIC AUT MAIS",C14)),E14,IF(E14&gt;0,E14,0))))))</f>
        <v>0</v>
      </c>
      <c r="H14" s="66" t="n">
        <v>43831</v>
      </c>
    </row>
    <row r="15" customFormat="false" ht="13.8" hidden="false" customHeight="false" outlineLevel="0" collapsed="false">
      <c r="A15" s="59" t="s">
        <v>65</v>
      </c>
      <c r="B15" s="60" t="s">
        <v>72</v>
      </c>
      <c r="C15" s="61" t="s">
        <v>80</v>
      </c>
      <c r="D15" s="62" t="s">
        <v>64</v>
      </c>
      <c r="E15" s="67" t="n">
        <v>-5.5</v>
      </c>
      <c r="F15" s="64" t="n">
        <f aca="false">IF(ISNUMBER(FIND("SALDO ANTERIOR",C15)),0,IF(ISNUMBER(FIND("SALDO DO DIA",C15)),0,IF(ISNUMBER(FIND("SALDO PARCIAL",C15)),0,IF(ISNUMBER(FIND("SDO CTA/APL AUTOMATICAS",C15)),0,IF(ISNUMBER(FIND("APL APLIC AUT MAIS",C15)),0,IF(ISNUMBER(FIND("TEC DEPOSITO",C15)),0,IF(E15&gt;0,0,E15*(-1))))))))</f>
        <v>5.5</v>
      </c>
      <c r="G15" s="65" t="n">
        <f aca="false">IF(ISNUMBER(FIND("SALDO ANTERIOR",C15)),0,IF(ISNUMBER(FIND("SALDO DO DIA",C15)),0,IF(ISNUMBER(FIND("SDO CTA/APL AUTOMATICAS",C15)),0,IF(ISNUMBER(FIND("TEC DEPOSITO",C15)),0,IF(ISNUMBER(FIND("APL APLIC AUT MAIS",C15)),E15,IF(E15&gt;0,E15,0))))))</f>
        <v>0</v>
      </c>
      <c r="H15" s="66" t="n">
        <v>43831</v>
      </c>
    </row>
    <row r="16" customFormat="false" ht="13.8" hidden="false" customHeight="false" outlineLevel="0" collapsed="false">
      <c r="A16" s="59" t="s">
        <v>67</v>
      </c>
      <c r="B16" s="60" t="s">
        <v>72</v>
      </c>
      <c r="C16" s="61" t="s">
        <v>81</v>
      </c>
      <c r="D16" s="62" t="s">
        <v>82</v>
      </c>
      <c r="E16" s="67" t="n">
        <v>-76.9</v>
      </c>
      <c r="F16" s="64" t="n">
        <f aca="false">IF(ISNUMBER(FIND("SALDO ANTERIOR",C16)),0,IF(ISNUMBER(FIND("SALDO DO DIA",C16)),0,IF(ISNUMBER(FIND("SALDO PARCIAL",C16)),0,IF(ISNUMBER(FIND("SDO CTA/APL AUTOMATICAS",C16)),0,IF(ISNUMBER(FIND("APL APLIC AUT MAIS",C16)),0,IF(ISNUMBER(FIND("TEC DEPOSITO",C16)),0,IF(E16&gt;0,0,E16*(-1))))))))</f>
        <v>76.9</v>
      </c>
      <c r="G16" s="65" t="n">
        <f aca="false">IF(ISNUMBER(FIND("SALDO ANTERIOR",C16)),0,IF(ISNUMBER(FIND("SALDO DO DIA",C16)),0,IF(ISNUMBER(FIND("SDO CTA/APL AUTOMATICAS",C16)),0,IF(ISNUMBER(FIND("TEC DEPOSITO",C16)),0,IF(ISNUMBER(FIND("APL APLIC AUT MAIS",C16)),E16,IF(E16&gt;0,E16,0))))))</f>
        <v>0</v>
      </c>
      <c r="H16" s="66" t="n">
        <v>43831</v>
      </c>
    </row>
    <row r="17" customFormat="false" ht="13.8" hidden="false" customHeight="false" outlineLevel="0" collapsed="false">
      <c r="A17" s="59" t="s">
        <v>67</v>
      </c>
      <c r="B17" s="60" t="s">
        <v>72</v>
      </c>
      <c r="C17" s="61" t="s">
        <v>69</v>
      </c>
      <c r="D17" s="62"/>
      <c r="E17" s="63" t="n">
        <v>216.14</v>
      </c>
      <c r="F17" s="64" t="n">
        <f aca="false">IF(ISNUMBER(FIND("SALDO ANTERIOR",C17)),0,IF(ISNUMBER(FIND("SALDO DO DIA",C17)),0,IF(ISNUMBER(FIND("SALDO PARCIAL",C17)),0,IF(ISNUMBER(FIND("SDO CTA/APL AUTOMATICAS",C17)),0,IF(ISNUMBER(FIND("APL APLIC AUT MAIS",C17)),0,IF(ISNUMBER(FIND("TEC DEPOSITO",C17)),0,IF(E17&gt;0,0,E17*(-1))))))))</f>
        <v>0</v>
      </c>
      <c r="G17" s="65" t="n">
        <f aca="false">IF(ISNUMBER(FIND("SALDO ANTERIOR",C17)),0,IF(ISNUMBER(FIND("SALDO DO DIA",C17)),0,IF(ISNUMBER(FIND("SDO CTA/APL AUTOMATICAS",C17)),0,IF(ISNUMBER(FIND("TEC DEPOSITO",C17)),0,IF(ISNUMBER(FIND("APL APLIC AUT MAIS",C17)),E17,IF(E17&gt;0,E17,0))))))</f>
        <v>216.14</v>
      </c>
      <c r="H17" s="66" t="n">
        <v>43831</v>
      </c>
    </row>
    <row r="18" customFormat="false" ht="13.8" hidden="false" customHeight="false" outlineLevel="0" collapsed="false">
      <c r="A18" s="59" t="s">
        <v>29</v>
      </c>
      <c r="B18" s="60" t="s">
        <v>72</v>
      </c>
      <c r="C18" s="61" t="s">
        <v>70</v>
      </c>
      <c r="D18" s="62"/>
      <c r="E18" s="63" t="n">
        <v>893.5</v>
      </c>
      <c r="F18" s="64" t="n">
        <f aca="false">IF(ISNUMBER(FIND("SALDO ANTERIOR",C18)),0,IF(ISNUMBER(FIND("SALDO DO DIA",C18)),0,IF(ISNUMBER(FIND("SALDO PARCIAL",C18)),0,IF(ISNUMBER(FIND("SDO CTA/APL AUTOMATICAS",C18)),0,IF(ISNUMBER(FIND("APL APLIC AUT MAIS",C18)),0,IF(ISNUMBER(FIND("TEC DEPOSITO",C18)),0,IF(E18&gt;0,0,E18*(-1))))))))</f>
        <v>0</v>
      </c>
      <c r="G18" s="65" t="n">
        <f aca="false">IF(ISNUMBER(FIND("SALDO ANTERIOR",C18)),0,IF(ISNUMBER(FIND("SALDO DO DIA",C18)),0,IF(ISNUMBER(FIND("SDO CTA/APL AUTOMATICAS",C18)),0,IF(ISNUMBER(FIND("TEC DEPOSITO",C18)),0,IF(ISNUMBER(FIND("APL APLIC AUT MAIS",C18)),E18,IF(E18&gt;0,E18,0))))))</f>
        <v>893.5</v>
      </c>
      <c r="H18" s="66" t="n">
        <v>43831</v>
      </c>
    </row>
    <row r="19" customFormat="false" ht="13.8" hidden="false" customHeight="false" outlineLevel="0" collapsed="false">
      <c r="A19" s="59" t="s">
        <v>59</v>
      </c>
      <c r="B19" s="60" t="s">
        <v>83</v>
      </c>
      <c r="C19" s="61" t="s">
        <v>84</v>
      </c>
      <c r="D19" s="62" t="s">
        <v>61</v>
      </c>
      <c r="E19" s="67" t="n">
        <v>-15</v>
      </c>
      <c r="F19" s="64" t="n">
        <f aca="false">IF(ISNUMBER(FIND("SALDO ANTERIOR",C19)),0,IF(ISNUMBER(FIND("SALDO DO DIA",C19)),0,IF(ISNUMBER(FIND("SALDO PARCIAL",C19)),0,IF(ISNUMBER(FIND("SDO CTA/APL AUTOMATICAS",C19)),0,IF(ISNUMBER(FIND("APL APLIC AUT MAIS",C19)),0,IF(ISNUMBER(FIND("TEC DEPOSITO",C19)),0,IF(E19&gt;0,0,E19*(-1))))))))</f>
        <v>15</v>
      </c>
      <c r="G19" s="65" t="n">
        <f aca="false">IF(ISNUMBER(FIND("SALDO ANTERIOR",C19)),0,IF(ISNUMBER(FIND("SALDO DO DIA",C19)),0,IF(ISNUMBER(FIND("SDO CTA/APL AUTOMATICAS",C19)),0,IF(ISNUMBER(FIND("TEC DEPOSITO",C19)),0,IF(ISNUMBER(FIND("APL APLIC AUT MAIS",C19)),E19,IF(E19&gt;0,E19,0))))))</f>
        <v>0</v>
      </c>
      <c r="H19" s="66" t="n">
        <v>43831</v>
      </c>
    </row>
    <row r="20" customFormat="false" ht="13.8" hidden="false" customHeight="false" outlineLevel="0" collapsed="false">
      <c r="A20" s="59" t="s">
        <v>71</v>
      </c>
      <c r="B20" s="60" t="s">
        <v>83</v>
      </c>
      <c r="C20" s="61" t="s">
        <v>85</v>
      </c>
      <c r="D20" s="62" t="s">
        <v>64</v>
      </c>
      <c r="E20" s="67" t="n">
        <v>-11.7</v>
      </c>
      <c r="F20" s="64" t="n">
        <f aca="false">IF(ISNUMBER(FIND("SALDO ANTERIOR",C20)),0,IF(ISNUMBER(FIND("SALDO DO DIA",C20)),0,IF(ISNUMBER(FIND("SALDO PARCIAL",C20)),0,IF(ISNUMBER(FIND("SDO CTA/APL AUTOMATICAS",C20)),0,IF(ISNUMBER(FIND("APL APLIC AUT MAIS",C20)),0,IF(ISNUMBER(FIND("TEC DEPOSITO",C20)),0,IF(E20&gt;0,0,E20*(-1))))))))</f>
        <v>11.7</v>
      </c>
      <c r="G20" s="65" t="n">
        <f aca="false">IF(ISNUMBER(FIND("SALDO ANTERIOR",C20)),0,IF(ISNUMBER(FIND("SALDO DO DIA",C20)),0,IF(ISNUMBER(FIND("SDO CTA/APL AUTOMATICAS",C20)),0,IF(ISNUMBER(FIND("TEC DEPOSITO",C20)),0,IF(ISNUMBER(FIND("APL APLIC AUT MAIS",C20)),E20,IF(E20&gt;0,E20,0))))))</f>
        <v>0</v>
      </c>
      <c r="H20" s="66" t="n">
        <v>43831</v>
      </c>
    </row>
    <row r="21" customFormat="false" ht="13.8" hidden="false" customHeight="false" outlineLevel="0" collapsed="false">
      <c r="A21" s="59" t="s">
        <v>65</v>
      </c>
      <c r="B21" s="60" t="s">
        <v>83</v>
      </c>
      <c r="C21" s="61" t="s">
        <v>86</v>
      </c>
      <c r="D21" s="62" t="s">
        <v>64</v>
      </c>
      <c r="E21" s="67" t="n">
        <v>-5</v>
      </c>
      <c r="F21" s="64" t="n">
        <f aca="false">IF(ISNUMBER(FIND("SALDO ANTERIOR",C21)),0,IF(ISNUMBER(FIND("SALDO DO DIA",C21)),0,IF(ISNUMBER(FIND("SALDO PARCIAL",C21)),0,IF(ISNUMBER(FIND("SDO CTA/APL AUTOMATICAS",C21)),0,IF(ISNUMBER(FIND("APL APLIC AUT MAIS",C21)),0,IF(ISNUMBER(FIND("TEC DEPOSITO",C21)),0,IF(E21&gt;0,0,E21*(-1))))))))</f>
        <v>5</v>
      </c>
      <c r="G21" s="65" t="n">
        <f aca="false">IF(ISNUMBER(FIND("SALDO ANTERIOR",C21)),0,IF(ISNUMBER(FIND("SALDO DO DIA",C21)),0,IF(ISNUMBER(FIND("SDO CTA/APL AUTOMATICAS",C21)),0,IF(ISNUMBER(FIND("TEC DEPOSITO",C21)),0,IF(ISNUMBER(FIND("APL APLIC AUT MAIS",C21)),E21,IF(E21&gt;0,E21,0))))))</f>
        <v>0</v>
      </c>
      <c r="H21" s="66" t="n">
        <v>43831</v>
      </c>
    </row>
    <row r="22" customFormat="false" ht="13.8" hidden="false" customHeight="false" outlineLevel="0" collapsed="false">
      <c r="A22" s="59" t="s">
        <v>87</v>
      </c>
      <c r="B22" s="60" t="s">
        <v>83</v>
      </c>
      <c r="C22" s="61" t="s">
        <v>88</v>
      </c>
      <c r="D22" s="62" t="s">
        <v>64</v>
      </c>
      <c r="E22" s="67" t="n">
        <v>-11</v>
      </c>
      <c r="F22" s="64" t="n">
        <f aca="false">IF(ISNUMBER(FIND("SALDO ANTERIOR",C22)),0,IF(ISNUMBER(FIND("SALDO DO DIA",C22)),0,IF(ISNUMBER(FIND("SALDO PARCIAL",C22)),0,IF(ISNUMBER(FIND("SDO CTA/APL AUTOMATICAS",C22)),0,IF(ISNUMBER(FIND("APL APLIC AUT MAIS",C22)),0,IF(ISNUMBER(FIND("TEC DEPOSITO",C22)),0,IF(E22&gt;0,0,E22*(-1))))))))</f>
        <v>11</v>
      </c>
      <c r="G22" s="65" t="n">
        <f aca="false">IF(ISNUMBER(FIND("SALDO ANTERIOR",C22)),0,IF(ISNUMBER(FIND("SALDO DO DIA",C22)),0,IF(ISNUMBER(FIND("SDO CTA/APL AUTOMATICAS",C22)),0,IF(ISNUMBER(FIND("TEC DEPOSITO",C22)),0,IF(ISNUMBER(FIND("APL APLIC AUT MAIS",C22)),E22,IF(E22&gt;0,E22,0))))))</f>
        <v>0</v>
      </c>
      <c r="H22" s="66" t="n">
        <v>43831</v>
      </c>
    </row>
    <row r="23" customFormat="false" ht="13.8" hidden="false" customHeight="false" outlineLevel="0" collapsed="false">
      <c r="A23" s="59" t="s">
        <v>65</v>
      </c>
      <c r="B23" s="60" t="s">
        <v>83</v>
      </c>
      <c r="C23" s="61" t="s">
        <v>89</v>
      </c>
      <c r="D23" s="62" t="s">
        <v>64</v>
      </c>
      <c r="E23" s="67" t="n">
        <v>-7</v>
      </c>
      <c r="F23" s="64" t="n">
        <f aca="false">IF(ISNUMBER(FIND("SALDO ANTERIOR",C23)),0,IF(ISNUMBER(FIND("SALDO DO DIA",C23)),0,IF(ISNUMBER(FIND("SALDO PARCIAL",C23)),0,IF(ISNUMBER(FIND("SDO CTA/APL AUTOMATICAS",C23)),0,IF(ISNUMBER(FIND("APL APLIC AUT MAIS",C23)),0,IF(ISNUMBER(FIND("TEC DEPOSITO",C23)),0,IF(E23&gt;0,0,E23*(-1))))))))</f>
        <v>7</v>
      </c>
      <c r="G23" s="65" t="n">
        <f aca="false">IF(ISNUMBER(FIND("SALDO ANTERIOR",C23)),0,IF(ISNUMBER(FIND("SALDO DO DIA",C23)),0,IF(ISNUMBER(FIND("SDO CTA/APL AUTOMATICAS",C23)),0,IF(ISNUMBER(FIND("TEC DEPOSITO",C23)),0,IF(ISNUMBER(FIND("APL APLIC AUT MAIS",C23)),E23,IF(E23&gt;0,E23,0))))))</f>
        <v>0</v>
      </c>
      <c r="H23" s="66" t="n">
        <v>43831</v>
      </c>
    </row>
    <row r="24" customFormat="false" ht="13.8" hidden="false" customHeight="false" outlineLevel="0" collapsed="false">
      <c r="A24" s="68" t="s">
        <v>65</v>
      </c>
      <c r="B24" s="60" t="s">
        <v>83</v>
      </c>
      <c r="C24" s="61" t="s">
        <v>89</v>
      </c>
      <c r="D24" s="62" t="s">
        <v>64</v>
      </c>
      <c r="E24" s="67" t="n">
        <v>-22</v>
      </c>
      <c r="F24" s="64" t="n">
        <f aca="false">IF(ISNUMBER(FIND("SALDO ANTERIOR",C24)),0,IF(ISNUMBER(FIND("SALDO DO DIA",C24)),0,IF(ISNUMBER(FIND("SALDO PARCIAL",C24)),0,IF(ISNUMBER(FIND("SDO CTA/APL AUTOMATICAS",C24)),0,IF(ISNUMBER(FIND("APL APLIC AUT MAIS",C24)),0,IF(ISNUMBER(FIND("TEC DEPOSITO",C24)),0,IF(E24&gt;0,0,E24*(-1))))))))</f>
        <v>22</v>
      </c>
      <c r="G24" s="65" t="n">
        <f aca="false">IF(ISNUMBER(FIND("SALDO ANTERIOR",C24)),0,IF(ISNUMBER(FIND("SALDO DO DIA",C24)),0,IF(ISNUMBER(FIND("SDO CTA/APL AUTOMATICAS",C24)),0,IF(ISNUMBER(FIND("TEC DEPOSITO",C24)),0,IF(ISNUMBER(FIND("APL APLIC AUT MAIS",C24)),E24,IF(E24&gt;0,E24,0))))))</f>
        <v>0</v>
      </c>
      <c r="H24" s="66" t="n">
        <v>43831</v>
      </c>
    </row>
    <row r="25" customFormat="false" ht="13.8" hidden="false" customHeight="false" outlineLevel="0" collapsed="false">
      <c r="A25" s="59" t="s">
        <v>65</v>
      </c>
      <c r="B25" s="60" t="s">
        <v>83</v>
      </c>
      <c r="C25" s="61" t="s">
        <v>90</v>
      </c>
      <c r="D25" s="62" t="s">
        <v>64</v>
      </c>
      <c r="E25" s="67" t="n">
        <v>-6.5</v>
      </c>
      <c r="F25" s="64" t="n">
        <f aca="false">IF(ISNUMBER(FIND("SALDO ANTERIOR",C25)),0,IF(ISNUMBER(FIND("SALDO DO DIA",C25)),0,IF(ISNUMBER(FIND("SALDO PARCIAL",C25)),0,IF(ISNUMBER(FIND("SDO CTA/APL AUTOMATICAS",C25)),0,IF(ISNUMBER(FIND("APL APLIC AUT MAIS",C25)),0,IF(ISNUMBER(FIND("TEC DEPOSITO",C25)),0,IF(E25&gt;0,0,E25*(-1))))))))</f>
        <v>6.5</v>
      </c>
      <c r="G25" s="65" t="n">
        <f aca="false">IF(ISNUMBER(FIND("SALDO ANTERIOR",C25)),0,IF(ISNUMBER(FIND("SALDO DO DIA",C25)),0,IF(ISNUMBER(FIND("SDO CTA/APL AUTOMATICAS",C25)),0,IF(ISNUMBER(FIND("TEC DEPOSITO",C25)),0,IF(ISNUMBER(FIND("APL APLIC AUT MAIS",C25)),E25,IF(E25&gt;0,E25,0))))))</f>
        <v>0</v>
      </c>
      <c r="H25" s="66" t="n">
        <v>43831</v>
      </c>
    </row>
    <row r="26" customFormat="false" ht="13.8" hidden="false" customHeight="false" outlineLevel="0" collapsed="false">
      <c r="A26" s="59" t="s">
        <v>87</v>
      </c>
      <c r="B26" s="60" t="s">
        <v>83</v>
      </c>
      <c r="C26" s="61" t="s">
        <v>91</v>
      </c>
      <c r="D26" s="62" t="s">
        <v>64</v>
      </c>
      <c r="E26" s="67" t="n">
        <v>-6</v>
      </c>
      <c r="F26" s="64" t="n">
        <f aca="false">IF(ISNUMBER(FIND("SALDO ANTERIOR",C26)),0,IF(ISNUMBER(FIND("SALDO DO DIA",C26)),0,IF(ISNUMBER(FIND("SALDO PARCIAL",C26)),0,IF(ISNUMBER(FIND("SDO CTA/APL AUTOMATICAS",C26)),0,IF(ISNUMBER(FIND("APL APLIC AUT MAIS",C26)),0,IF(ISNUMBER(FIND("TEC DEPOSITO",C26)),0,IF(E26&gt;0,0,E26*(-1))))))))</f>
        <v>6</v>
      </c>
      <c r="G26" s="65" t="n">
        <f aca="false">IF(ISNUMBER(FIND("SALDO ANTERIOR",C26)),0,IF(ISNUMBER(FIND("SALDO DO DIA",C26)),0,IF(ISNUMBER(FIND("SDO CTA/APL AUTOMATICAS",C26)),0,IF(ISNUMBER(FIND("TEC DEPOSITO",C26)),0,IF(ISNUMBER(FIND("APL APLIC AUT MAIS",C26)),E26,IF(E26&gt;0,E26,0))))))</f>
        <v>0</v>
      </c>
      <c r="H26" s="66" t="n">
        <v>43831</v>
      </c>
    </row>
    <row r="27" customFormat="false" ht="13.8" hidden="false" customHeight="false" outlineLevel="0" collapsed="false">
      <c r="A27" s="59" t="s">
        <v>76</v>
      </c>
      <c r="B27" s="60" t="s">
        <v>83</v>
      </c>
      <c r="C27" s="61" t="s">
        <v>92</v>
      </c>
      <c r="D27" s="62" t="s">
        <v>64</v>
      </c>
      <c r="E27" s="67" t="n">
        <v>-34.7</v>
      </c>
      <c r="F27" s="64" t="n">
        <f aca="false">IF(ISNUMBER(FIND("SALDO ANTERIOR",C27)),0,IF(ISNUMBER(FIND("SALDO DO DIA",C27)),0,IF(ISNUMBER(FIND("SALDO PARCIAL",C27)),0,IF(ISNUMBER(FIND("SDO CTA/APL AUTOMATICAS",C27)),0,IF(ISNUMBER(FIND("APL APLIC AUT MAIS",C27)),0,IF(ISNUMBER(FIND("TEC DEPOSITO",C27)),0,IF(E27&gt;0,0,E27*(-1))))))))</f>
        <v>34.7</v>
      </c>
      <c r="G27" s="65" t="n">
        <f aca="false">IF(ISNUMBER(FIND("SALDO ANTERIOR",C27)),0,IF(ISNUMBER(FIND("SALDO DO DIA",C27)),0,IF(ISNUMBER(FIND("SDO CTA/APL AUTOMATICAS",C27)),0,IF(ISNUMBER(FIND("TEC DEPOSITO",C27)),0,IF(ISNUMBER(FIND("APL APLIC AUT MAIS",C27)),E27,IF(E27&gt;0,E27,0))))))</f>
        <v>0</v>
      </c>
      <c r="H27" s="66" t="n">
        <v>43831</v>
      </c>
    </row>
    <row r="28" customFormat="false" ht="13.8" hidden="false" customHeight="false" outlineLevel="0" collapsed="false">
      <c r="A28" s="59" t="s">
        <v>65</v>
      </c>
      <c r="B28" s="60" t="s">
        <v>83</v>
      </c>
      <c r="C28" s="61" t="s">
        <v>93</v>
      </c>
      <c r="D28" s="62" t="s">
        <v>64</v>
      </c>
      <c r="E28" s="67" t="n">
        <v>-18</v>
      </c>
      <c r="F28" s="64" t="n">
        <f aca="false">IF(ISNUMBER(FIND("SALDO ANTERIOR",C28)),0,IF(ISNUMBER(FIND("SALDO DO DIA",C28)),0,IF(ISNUMBER(FIND("SALDO PARCIAL",C28)),0,IF(ISNUMBER(FIND("SDO CTA/APL AUTOMATICAS",C28)),0,IF(ISNUMBER(FIND("APL APLIC AUT MAIS",C28)),0,IF(ISNUMBER(FIND("TEC DEPOSITO",C28)),0,IF(E28&gt;0,0,E28*(-1))))))))</f>
        <v>18</v>
      </c>
      <c r="G28" s="65" t="n">
        <f aca="false">IF(ISNUMBER(FIND("SALDO ANTERIOR",C28)),0,IF(ISNUMBER(FIND("SALDO DO DIA",C28)),0,IF(ISNUMBER(FIND("SDO CTA/APL AUTOMATICAS",C28)),0,IF(ISNUMBER(FIND("TEC DEPOSITO",C28)),0,IF(ISNUMBER(FIND("APL APLIC AUT MAIS",C28)),E28,IF(E28&gt;0,E28,0))))))</f>
        <v>0</v>
      </c>
      <c r="H28" s="66" t="n">
        <v>43831</v>
      </c>
    </row>
    <row r="29" customFormat="false" ht="13.8" hidden="false" customHeight="false" outlineLevel="0" collapsed="false">
      <c r="A29" s="59" t="s">
        <v>65</v>
      </c>
      <c r="B29" s="60" t="s">
        <v>83</v>
      </c>
      <c r="C29" s="61" t="s">
        <v>94</v>
      </c>
      <c r="D29" s="62" t="s">
        <v>64</v>
      </c>
      <c r="E29" s="67" t="n">
        <v>-9</v>
      </c>
      <c r="F29" s="64" t="n">
        <f aca="false">IF(ISNUMBER(FIND("SALDO ANTERIOR",C29)),0,IF(ISNUMBER(FIND("SALDO DO DIA",C29)),0,IF(ISNUMBER(FIND("SALDO PARCIAL",C29)),0,IF(ISNUMBER(FIND("SDO CTA/APL AUTOMATICAS",C29)),0,IF(ISNUMBER(FIND("APL APLIC AUT MAIS",C29)),0,IF(ISNUMBER(FIND("TEC DEPOSITO",C29)),0,IF(E29&gt;0,0,E29*(-1))))))))</f>
        <v>9</v>
      </c>
      <c r="G29" s="65" t="n">
        <f aca="false">IF(ISNUMBER(FIND("SALDO ANTERIOR",C29)),0,IF(ISNUMBER(FIND("SALDO DO DIA",C29)),0,IF(ISNUMBER(FIND("SDO CTA/APL AUTOMATICAS",C29)),0,IF(ISNUMBER(FIND("TEC DEPOSITO",C29)),0,IF(ISNUMBER(FIND("APL APLIC AUT MAIS",C29)),E29,IF(E29&gt;0,E29,0))))))</f>
        <v>0</v>
      </c>
      <c r="H29" s="66" t="n">
        <v>43831</v>
      </c>
    </row>
    <row r="30" customFormat="false" ht="13.8" hidden="false" customHeight="false" outlineLevel="0" collapsed="false">
      <c r="A30" s="59" t="s">
        <v>65</v>
      </c>
      <c r="B30" s="60" t="s">
        <v>83</v>
      </c>
      <c r="C30" s="61" t="s">
        <v>95</v>
      </c>
      <c r="D30" s="62" t="s">
        <v>64</v>
      </c>
      <c r="E30" s="67" t="n">
        <v>-20.9</v>
      </c>
      <c r="F30" s="64" t="n">
        <f aca="false">IF(ISNUMBER(FIND("SALDO ANTERIOR",C30)),0,IF(ISNUMBER(FIND("SALDO DO DIA",C30)),0,IF(ISNUMBER(FIND("SALDO PARCIAL",C30)),0,IF(ISNUMBER(FIND("SDO CTA/APL AUTOMATICAS",C30)),0,IF(ISNUMBER(FIND("APL APLIC AUT MAIS",C30)),0,IF(ISNUMBER(FIND("TEC DEPOSITO",C30)),0,IF(E30&gt;0,0,E30*(-1))))))))</f>
        <v>20.9</v>
      </c>
      <c r="G30" s="65" t="n">
        <f aca="false">IF(ISNUMBER(FIND("SALDO ANTERIOR",C30)),0,IF(ISNUMBER(FIND("SALDO DO DIA",C30)),0,IF(ISNUMBER(FIND("SDO CTA/APL AUTOMATICAS",C30)),0,IF(ISNUMBER(FIND("TEC DEPOSITO",C30)),0,IF(ISNUMBER(FIND("APL APLIC AUT MAIS",C30)),E30,IF(E30&gt;0,E30,0))))))</f>
        <v>0</v>
      </c>
      <c r="H30" s="66" t="n">
        <v>43831</v>
      </c>
    </row>
    <row r="31" customFormat="false" ht="13.8" hidden="false" customHeight="false" outlineLevel="0" collapsed="false">
      <c r="A31" s="59" t="s">
        <v>62</v>
      </c>
      <c r="B31" s="60" t="s">
        <v>83</v>
      </c>
      <c r="C31" s="61" t="s">
        <v>63</v>
      </c>
      <c r="D31" s="62" t="s">
        <v>64</v>
      </c>
      <c r="E31" s="67" t="n">
        <v>-50</v>
      </c>
      <c r="F31" s="64" t="n">
        <f aca="false">IF(ISNUMBER(FIND("SALDO ANTERIOR",C31)),0,IF(ISNUMBER(FIND("SALDO DO DIA",C31)),0,IF(ISNUMBER(FIND("SALDO PARCIAL",C31)),0,IF(ISNUMBER(FIND("SDO CTA/APL AUTOMATICAS",C31)),0,IF(ISNUMBER(FIND("APL APLIC AUT MAIS",C31)),0,IF(ISNUMBER(FIND("TEC DEPOSITO",C31)),0,IF(E31&gt;0,0,E31*(-1))))))))</f>
        <v>50</v>
      </c>
      <c r="G31" s="65" t="n">
        <f aca="false">IF(ISNUMBER(FIND("SALDO ANTERIOR",C31)),0,IF(ISNUMBER(FIND("SALDO DO DIA",C31)),0,IF(ISNUMBER(FIND("SDO CTA/APL AUTOMATICAS",C31)),0,IF(ISNUMBER(FIND("TEC DEPOSITO",C31)),0,IF(ISNUMBER(FIND("APL APLIC AUT MAIS",C31)),E31,IF(E31&gt;0,E31,0))))))</f>
        <v>0</v>
      </c>
      <c r="H31" s="66" t="n">
        <v>43831</v>
      </c>
    </row>
    <row r="32" customFormat="false" ht="13.8" hidden="false" customHeight="false" outlineLevel="0" collapsed="false">
      <c r="A32" s="59" t="s">
        <v>65</v>
      </c>
      <c r="B32" s="60" t="s">
        <v>83</v>
      </c>
      <c r="C32" s="61" t="s">
        <v>96</v>
      </c>
      <c r="D32" s="62" t="s">
        <v>64</v>
      </c>
      <c r="E32" s="67" t="n">
        <v>-22</v>
      </c>
      <c r="F32" s="64" t="n">
        <f aca="false">IF(ISNUMBER(FIND("SALDO ANTERIOR",C32)),0,IF(ISNUMBER(FIND("SALDO DO DIA",C32)),0,IF(ISNUMBER(FIND("SALDO PARCIAL",C32)),0,IF(ISNUMBER(FIND("SDO CTA/APL AUTOMATICAS",C32)),0,IF(ISNUMBER(FIND("APL APLIC AUT MAIS",C32)),0,IF(ISNUMBER(FIND("TEC DEPOSITO",C32)),0,IF(E32&gt;0,0,E32*(-1))))))))</f>
        <v>22</v>
      </c>
      <c r="G32" s="65" t="n">
        <f aca="false">IF(ISNUMBER(FIND("SALDO ANTERIOR",C32)),0,IF(ISNUMBER(FIND("SALDO DO DIA",C32)),0,IF(ISNUMBER(FIND("SDO CTA/APL AUTOMATICAS",C32)),0,IF(ISNUMBER(FIND("TEC DEPOSITO",C32)),0,IF(ISNUMBER(FIND("APL APLIC AUT MAIS",C32)),E32,IF(E32&gt;0,E32,0))))))</f>
        <v>0</v>
      </c>
      <c r="H32" s="66" t="n">
        <v>43831</v>
      </c>
    </row>
    <row r="33" customFormat="false" ht="13.8" hidden="false" customHeight="false" outlineLevel="0" collapsed="false">
      <c r="A33" s="59" t="s">
        <v>65</v>
      </c>
      <c r="B33" s="60" t="s">
        <v>83</v>
      </c>
      <c r="C33" s="61" t="s">
        <v>97</v>
      </c>
      <c r="D33" s="62" t="s">
        <v>64</v>
      </c>
      <c r="E33" s="67" t="n">
        <v>-11.99</v>
      </c>
      <c r="F33" s="64" t="n">
        <f aca="false">IF(ISNUMBER(FIND("SALDO ANTERIOR",C33)),0,IF(ISNUMBER(FIND("SALDO DO DIA",C33)),0,IF(ISNUMBER(FIND("SALDO PARCIAL",C33)),0,IF(ISNUMBER(FIND("SDO CTA/APL AUTOMATICAS",C33)),0,IF(ISNUMBER(FIND("APL APLIC AUT MAIS",C33)),0,IF(ISNUMBER(FIND("TEC DEPOSITO",C33)),0,IF(E33&gt;0,0,E33*(-1))))))))</f>
        <v>11.99</v>
      </c>
      <c r="G33" s="65" t="n">
        <f aca="false">IF(ISNUMBER(FIND("SALDO ANTERIOR",C33)),0,IF(ISNUMBER(FIND("SALDO DO DIA",C33)),0,IF(ISNUMBER(FIND("SDO CTA/APL AUTOMATICAS",C33)),0,IF(ISNUMBER(FIND("TEC DEPOSITO",C33)),0,IF(ISNUMBER(FIND("APL APLIC AUT MAIS",C33)),E33,IF(E33&gt;0,E33,0))))))</f>
        <v>0</v>
      </c>
      <c r="H33" s="66" t="n">
        <v>43831</v>
      </c>
    </row>
    <row r="34" customFormat="false" ht="13.8" hidden="false" customHeight="false" outlineLevel="0" collapsed="false">
      <c r="A34" s="59" t="s">
        <v>98</v>
      </c>
      <c r="B34" s="60" t="s">
        <v>83</v>
      </c>
      <c r="C34" s="61" t="s">
        <v>99</v>
      </c>
      <c r="D34" s="62" t="s">
        <v>64</v>
      </c>
      <c r="E34" s="67" t="n">
        <v>-31.87</v>
      </c>
      <c r="F34" s="64" t="n">
        <f aca="false">IF(ISNUMBER(FIND("SALDO ANTERIOR",C34)),0,IF(ISNUMBER(FIND("SALDO DO DIA",C34)),0,IF(ISNUMBER(FIND("SALDO PARCIAL",C34)),0,IF(ISNUMBER(FIND("SDO CTA/APL AUTOMATICAS",C34)),0,IF(ISNUMBER(FIND("APL APLIC AUT MAIS",C34)),0,IF(ISNUMBER(FIND("TEC DEPOSITO",C34)),0,IF(E34&gt;0,0,E34*(-1))))))))</f>
        <v>31.87</v>
      </c>
      <c r="G34" s="65" t="n">
        <f aca="false">IF(ISNUMBER(FIND("SALDO ANTERIOR",C34)),0,IF(ISNUMBER(FIND("SALDO DO DIA",C34)),0,IF(ISNUMBER(FIND("SDO CTA/APL AUTOMATICAS",C34)),0,IF(ISNUMBER(FIND("TEC DEPOSITO",C34)),0,IF(ISNUMBER(FIND("APL APLIC AUT MAIS",C34)),E34,IF(E34&gt;0,E34,0))))))</f>
        <v>0</v>
      </c>
      <c r="H34" s="66" t="n">
        <v>43831</v>
      </c>
    </row>
    <row r="35" customFormat="false" ht="13.8" hidden="false" customHeight="false" outlineLevel="0" collapsed="false">
      <c r="A35" s="59" t="s">
        <v>65</v>
      </c>
      <c r="B35" s="60" t="s">
        <v>83</v>
      </c>
      <c r="C35" s="61" t="s">
        <v>100</v>
      </c>
      <c r="D35" s="62" t="s">
        <v>64</v>
      </c>
      <c r="E35" s="67" t="n">
        <v>-10</v>
      </c>
      <c r="F35" s="64" t="n">
        <f aca="false">IF(ISNUMBER(FIND("SALDO ANTERIOR",C35)),0,IF(ISNUMBER(FIND("SALDO DO DIA",C35)),0,IF(ISNUMBER(FIND("SALDO PARCIAL",C35)),0,IF(ISNUMBER(FIND("SDO CTA/APL AUTOMATICAS",C35)),0,IF(ISNUMBER(FIND("APL APLIC AUT MAIS",C35)),0,IF(ISNUMBER(FIND("TEC DEPOSITO",C35)),0,IF(E35&gt;0,0,E35*(-1))))))))</f>
        <v>10</v>
      </c>
      <c r="G35" s="65" t="n">
        <f aca="false">IF(ISNUMBER(FIND("SALDO ANTERIOR",C35)),0,IF(ISNUMBER(FIND("SALDO DO DIA",C35)),0,IF(ISNUMBER(FIND("SDO CTA/APL AUTOMATICAS",C35)),0,IF(ISNUMBER(FIND("TEC DEPOSITO",C35)),0,IF(ISNUMBER(FIND("APL APLIC AUT MAIS",C35)),E35,IF(E35&gt;0,E35,0))))))</f>
        <v>0</v>
      </c>
      <c r="H35" s="66" t="n">
        <v>43831</v>
      </c>
    </row>
    <row r="36" customFormat="false" ht="13.8" hidden="false" customHeight="false" outlineLevel="0" collapsed="false">
      <c r="A36" s="59" t="s">
        <v>65</v>
      </c>
      <c r="B36" s="60" t="s">
        <v>83</v>
      </c>
      <c r="C36" s="61" t="s">
        <v>101</v>
      </c>
      <c r="D36" s="62" t="s">
        <v>64</v>
      </c>
      <c r="E36" s="67" t="n">
        <v>-15</v>
      </c>
      <c r="F36" s="64" t="n">
        <f aca="false">IF(ISNUMBER(FIND("SALDO ANTERIOR",C36)),0,IF(ISNUMBER(FIND("SALDO DO DIA",C36)),0,IF(ISNUMBER(FIND("SALDO PARCIAL",C36)),0,IF(ISNUMBER(FIND("SDO CTA/APL AUTOMATICAS",C36)),0,IF(ISNUMBER(FIND("APL APLIC AUT MAIS",C36)),0,IF(ISNUMBER(FIND("TEC DEPOSITO",C36)),0,IF(E36&gt;0,0,E36*(-1))))))))</f>
        <v>15</v>
      </c>
      <c r="G36" s="65" t="n">
        <f aca="false">IF(ISNUMBER(FIND("SALDO ANTERIOR",C36)),0,IF(ISNUMBER(FIND("SALDO DO DIA",C36)),0,IF(ISNUMBER(FIND("SDO CTA/APL AUTOMATICAS",C36)),0,IF(ISNUMBER(FIND("TEC DEPOSITO",C36)),0,IF(ISNUMBER(FIND("APL APLIC AUT MAIS",C36)),E36,IF(E36&gt;0,E36,0))))))</f>
        <v>0</v>
      </c>
      <c r="H36" s="66" t="n">
        <v>43831</v>
      </c>
    </row>
    <row r="37" customFormat="false" ht="13.8" hidden="false" customHeight="false" outlineLevel="0" collapsed="false">
      <c r="A37" s="59" t="s">
        <v>67</v>
      </c>
      <c r="B37" s="60" t="s">
        <v>83</v>
      </c>
      <c r="C37" s="61" t="s">
        <v>69</v>
      </c>
      <c r="D37" s="62"/>
      <c r="E37" s="63" t="n">
        <v>307.66</v>
      </c>
      <c r="F37" s="64" t="n">
        <f aca="false">IF(ISNUMBER(FIND("SALDO ANTERIOR",C37)),0,IF(ISNUMBER(FIND("SALDO DO DIA",C37)),0,IF(ISNUMBER(FIND("SALDO PARCIAL",C37)),0,IF(ISNUMBER(FIND("SDO CTA/APL AUTOMATICAS",C37)),0,IF(ISNUMBER(FIND("APL APLIC AUT MAIS",C37)),0,IF(ISNUMBER(FIND("TEC DEPOSITO",C37)),0,IF(E37&gt;0,0,E37*(-1))))))))</f>
        <v>0</v>
      </c>
      <c r="G37" s="65" t="n">
        <f aca="false">IF(ISNUMBER(FIND("SALDO ANTERIOR",C37)),0,IF(ISNUMBER(FIND("SALDO DO DIA",C37)),0,IF(ISNUMBER(FIND("SDO CTA/APL AUTOMATICAS",C37)),0,IF(ISNUMBER(FIND("TEC DEPOSITO",C37)),0,IF(ISNUMBER(FIND("APL APLIC AUT MAIS",C37)),E37,IF(E37&gt;0,E37,0))))))</f>
        <v>307.66</v>
      </c>
      <c r="H37" s="66" t="n">
        <v>43831</v>
      </c>
    </row>
    <row r="38" customFormat="false" ht="13.8" hidden="false" customHeight="false" outlineLevel="0" collapsed="false">
      <c r="A38" s="59" t="s">
        <v>29</v>
      </c>
      <c r="B38" s="60" t="s">
        <v>83</v>
      </c>
      <c r="C38" s="61" t="s">
        <v>70</v>
      </c>
      <c r="D38" s="62"/>
      <c r="E38" s="63" t="n">
        <v>585.84</v>
      </c>
      <c r="F38" s="64" t="n">
        <f aca="false">IF(ISNUMBER(FIND("SALDO ANTERIOR",C38)),0,IF(ISNUMBER(FIND("SALDO DO DIA",C38)),0,IF(ISNUMBER(FIND("SALDO PARCIAL",C38)),0,IF(ISNUMBER(FIND("SDO CTA/APL AUTOMATICAS",C38)),0,IF(ISNUMBER(FIND("APL APLIC AUT MAIS",C38)),0,IF(ISNUMBER(FIND("TEC DEPOSITO",C38)),0,IF(E38&gt;0,0,E38*(-1))))))))</f>
        <v>0</v>
      </c>
      <c r="G38" s="65" t="n">
        <f aca="false">IF(ISNUMBER(FIND("SALDO ANTERIOR",C38)),0,IF(ISNUMBER(FIND("SALDO DO DIA",C38)),0,IF(ISNUMBER(FIND("SDO CTA/APL AUTOMATICAS",C38)),0,IF(ISNUMBER(FIND("TEC DEPOSITO",C38)),0,IF(ISNUMBER(FIND("APL APLIC AUT MAIS",C38)),E38,IF(E38&gt;0,E38,0))))))</f>
        <v>585.84</v>
      </c>
      <c r="H38" s="66" t="n">
        <v>43831</v>
      </c>
    </row>
    <row r="39" customFormat="false" ht="13.8" hidden="false" customHeight="false" outlineLevel="0" collapsed="false">
      <c r="A39" s="69" t="s">
        <v>76</v>
      </c>
      <c r="B39" s="60" t="s">
        <v>30</v>
      </c>
      <c r="C39" s="61" t="s">
        <v>102</v>
      </c>
      <c r="D39" s="62" t="s">
        <v>64</v>
      </c>
      <c r="E39" s="67" t="n">
        <v>-10</v>
      </c>
      <c r="F39" s="64" t="n">
        <f aca="false">IF(ISNUMBER(FIND("SALDO ANTERIOR",C39)),0,IF(ISNUMBER(FIND("SALDO DO DIA",C39)),0,IF(ISNUMBER(FIND("SALDO PARCIAL",C39)),0,IF(ISNUMBER(FIND("SDO CTA/APL AUTOMATICAS",C39)),0,IF(ISNUMBER(FIND("APL APLIC AUT MAIS",C39)),0,IF(ISNUMBER(FIND("TEC DEPOSITO",C39)),0,IF(E39&gt;0,0,E39*(-1))))))))</f>
        <v>10</v>
      </c>
      <c r="G39" s="65" t="n">
        <f aca="false">IF(ISNUMBER(FIND("SALDO ANTERIOR",C39)),0,IF(ISNUMBER(FIND("SALDO DO DIA",C39)),0,IF(ISNUMBER(FIND("SDO CTA/APL AUTOMATICAS",C39)),0,IF(ISNUMBER(FIND("TEC DEPOSITO",C39)),0,IF(ISNUMBER(FIND("APL APLIC AUT MAIS",C39)),E39,IF(E39&gt;0,E39,0))))))</f>
        <v>0</v>
      </c>
      <c r="H39" s="66" t="n">
        <v>43831</v>
      </c>
    </row>
    <row r="40" customFormat="false" ht="13.8" hidden="false" customHeight="false" outlineLevel="0" collapsed="false">
      <c r="A40" s="70" t="s">
        <v>71</v>
      </c>
      <c r="B40" s="60" t="s">
        <v>30</v>
      </c>
      <c r="C40" s="61" t="s">
        <v>85</v>
      </c>
      <c r="D40" s="62" t="s">
        <v>64</v>
      </c>
      <c r="E40" s="67" t="n">
        <v>-18.38</v>
      </c>
      <c r="F40" s="64" t="n">
        <f aca="false">IF(ISNUMBER(FIND("SALDO ANTERIOR",C40)),0,IF(ISNUMBER(FIND("SALDO DO DIA",C40)),0,IF(ISNUMBER(FIND("SALDO PARCIAL",C40)),0,IF(ISNUMBER(FIND("SDO CTA/APL AUTOMATICAS",C40)),0,IF(ISNUMBER(FIND("APL APLIC AUT MAIS",C40)),0,IF(ISNUMBER(FIND("TEC DEPOSITO",C40)),0,IF(E40&gt;0,0,E40*(-1))))))))</f>
        <v>18.38</v>
      </c>
      <c r="G40" s="65" t="n">
        <f aca="false">IF(ISNUMBER(FIND("SALDO ANTERIOR",C40)),0,IF(ISNUMBER(FIND("SALDO DO DIA",C40)),0,IF(ISNUMBER(FIND("SDO CTA/APL AUTOMATICAS",C40)),0,IF(ISNUMBER(FIND("TEC DEPOSITO",C40)),0,IF(ISNUMBER(FIND("APL APLIC AUT MAIS",C40)),E40,IF(E40&gt;0,E40,0))))))</f>
        <v>0</v>
      </c>
      <c r="H40" s="66" t="n">
        <v>43831</v>
      </c>
    </row>
    <row r="41" customFormat="false" ht="13.8" hidden="false" customHeight="false" outlineLevel="0" collapsed="false">
      <c r="A41" s="69" t="s">
        <v>98</v>
      </c>
      <c r="B41" s="60" t="s">
        <v>30</v>
      </c>
      <c r="C41" s="61" t="s">
        <v>103</v>
      </c>
      <c r="D41" s="62" t="s">
        <v>64</v>
      </c>
      <c r="E41" s="67" t="n">
        <v>-282.07</v>
      </c>
      <c r="F41" s="64" t="n">
        <f aca="false">IF(ISNUMBER(FIND("SALDO ANTERIOR",C41)),0,IF(ISNUMBER(FIND("SALDO DO DIA",C41)),0,IF(ISNUMBER(FIND("SALDO PARCIAL",C41)),0,IF(ISNUMBER(FIND("SDO CTA/APL AUTOMATICAS",C41)),0,IF(ISNUMBER(FIND("APL APLIC AUT MAIS",C41)),0,IF(ISNUMBER(FIND("TEC DEPOSITO",C41)),0,IF(E41&gt;0,0,E41*(-1))))))))</f>
        <v>282.07</v>
      </c>
      <c r="G41" s="65" t="n">
        <f aca="false">IF(ISNUMBER(FIND("SALDO ANTERIOR",C41)),0,IF(ISNUMBER(FIND("SALDO DO DIA",C41)),0,IF(ISNUMBER(FIND("SDO CTA/APL AUTOMATICAS",C41)),0,IF(ISNUMBER(FIND("TEC DEPOSITO",C41)),0,IF(ISNUMBER(FIND("APL APLIC AUT MAIS",C41)),E41,IF(E41&gt;0,E41,0))))))</f>
        <v>0</v>
      </c>
      <c r="H41" s="66" t="n">
        <v>43831</v>
      </c>
    </row>
    <row r="42" customFormat="false" ht="13.8" hidden="false" customHeight="false" outlineLevel="0" collapsed="false">
      <c r="A42" s="70" t="s">
        <v>5</v>
      </c>
      <c r="B42" s="60" t="s">
        <v>30</v>
      </c>
      <c r="C42" s="61" t="s">
        <v>104</v>
      </c>
      <c r="D42" s="62" t="s">
        <v>61</v>
      </c>
      <c r="E42" s="63" t="n">
        <v>81.13</v>
      </c>
      <c r="F42" s="64" t="n">
        <f aca="false">IF(ISNUMBER(FIND("SALDO ANTERIOR",C42)),0,IF(ISNUMBER(FIND("SALDO DO DIA",C42)),0,IF(ISNUMBER(FIND("SALDO PARCIAL",C42)),0,IF(ISNUMBER(FIND("SDO CTA/APL AUTOMATICAS",C42)),0,IF(ISNUMBER(FIND("APL APLIC AUT MAIS",C42)),0,IF(ISNUMBER(FIND("TEC DEPOSITO",C42)),0,IF(E42&gt;0,0,E42*(-1))))))))</f>
        <v>0</v>
      </c>
      <c r="G42" s="65" t="n">
        <f aca="false">IF(ISNUMBER(FIND("SALDO ANTERIOR",C42)),0,IF(ISNUMBER(FIND("SALDO DO DIA",C42)),0,IF(ISNUMBER(FIND("SDO CTA/APL AUTOMATICAS",C42)),0,IF(ISNUMBER(FIND("TEC DEPOSITO",C42)),0,IF(ISNUMBER(FIND("APL APLIC AUT MAIS",C42)),E42,IF(E42&gt;0,E42,0))))))</f>
        <v>81.13</v>
      </c>
      <c r="H42" s="66" t="n">
        <v>43831</v>
      </c>
    </row>
    <row r="43" customFormat="false" ht="13.8" hidden="false" customHeight="false" outlineLevel="0" collapsed="false">
      <c r="A43" s="70" t="s">
        <v>67</v>
      </c>
      <c r="B43" s="60" t="s">
        <v>30</v>
      </c>
      <c r="C43" s="61" t="s">
        <v>69</v>
      </c>
      <c r="D43" s="62"/>
      <c r="E43" s="63" t="n">
        <v>229.32</v>
      </c>
      <c r="F43" s="64" t="n">
        <f aca="false">IF(ISNUMBER(FIND("SALDO ANTERIOR",C43)),0,IF(ISNUMBER(FIND("SALDO DO DIA",C43)),0,IF(ISNUMBER(FIND("SALDO PARCIAL",C43)),0,IF(ISNUMBER(FIND("SDO CTA/APL AUTOMATICAS",C43)),0,IF(ISNUMBER(FIND("APL APLIC AUT MAIS",C43)),0,IF(ISNUMBER(FIND("TEC DEPOSITO",C43)),0,IF(E43&gt;0,0,E43*(-1))))))))</f>
        <v>0</v>
      </c>
      <c r="G43" s="65" t="n">
        <f aca="false">IF(ISNUMBER(FIND("SALDO ANTERIOR",C43)),0,IF(ISNUMBER(FIND("SALDO DO DIA",C43)),0,IF(ISNUMBER(FIND("SDO CTA/APL AUTOMATICAS",C43)),0,IF(ISNUMBER(FIND("TEC DEPOSITO",C43)),0,IF(ISNUMBER(FIND("APL APLIC AUT MAIS",C43)),E43,IF(E43&gt;0,E43,0))))))</f>
        <v>229.32</v>
      </c>
      <c r="H43" s="66" t="n">
        <v>43831</v>
      </c>
    </row>
    <row r="44" customFormat="false" ht="13.8" hidden="false" customHeight="false" outlineLevel="0" collapsed="false">
      <c r="A44" s="64" t="s">
        <v>29</v>
      </c>
      <c r="B44" s="60" t="s">
        <v>30</v>
      </c>
      <c r="C44" s="61" t="s">
        <v>70</v>
      </c>
      <c r="D44" s="62"/>
      <c r="E44" s="63" t="n">
        <v>356.52</v>
      </c>
      <c r="F44" s="64" t="n">
        <f aca="false">IF(ISNUMBER(FIND("SALDO ANTERIOR",C44)),0,IF(ISNUMBER(FIND("SALDO DO DIA",C44)),0,IF(ISNUMBER(FIND("SALDO PARCIAL",C44)),0,IF(ISNUMBER(FIND("SDO CTA/APL AUTOMATICAS",C44)),0,IF(ISNUMBER(FIND("APL APLIC AUT MAIS",C44)),0,IF(ISNUMBER(FIND("TEC DEPOSITO",C44)),0,IF(E44&gt;0,0,E44*(-1))))))))</f>
        <v>0</v>
      </c>
      <c r="G44" s="65" t="n">
        <f aca="false">IF(ISNUMBER(FIND("SALDO ANTERIOR",C44)),0,IF(ISNUMBER(FIND("SALDO DO DIA",C44)),0,IF(ISNUMBER(FIND("SDO CTA/APL AUTOMATICAS",C44)),0,IF(ISNUMBER(FIND("TEC DEPOSITO",C44)),0,IF(ISNUMBER(FIND("APL APLIC AUT MAIS",C44)),E44,IF(E44&gt;0,E44,0))))))</f>
        <v>356.52</v>
      </c>
      <c r="H44" s="66" t="n">
        <v>43831</v>
      </c>
    </row>
    <row r="45" customFormat="false" ht="13.8" hidden="false" customHeight="false" outlineLevel="0" collapsed="false">
      <c r="A45" s="70" t="s">
        <v>65</v>
      </c>
      <c r="B45" s="60" t="s">
        <v>105</v>
      </c>
      <c r="C45" s="61" t="s">
        <v>97</v>
      </c>
      <c r="D45" s="62" t="s">
        <v>64</v>
      </c>
      <c r="E45" s="67" t="n">
        <v>-18.57</v>
      </c>
      <c r="F45" s="64" t="n">
        <f aca="false">IF(ISNUMBER(FIND("SALDO ANTERIOR",C45)),0,IF(ISNUMBER(FIND("SALDO DO DIA",C45)),0,IF(ISNUMBER(FIND("SALDO PARCIAL",C45)),0,IF(ISNUMBER(FIND("SDO CTA/APL AUTOMATICAS",C45)),0,IF(ISNUMBER(FIND("APL APLIC AUT MAIS",C45)),0,IF(ISNUMBER(FIND("TEC DEPOSITO",C45)),0,IF(E45&gt;0,0,E45*(-1))))))))</f>
        <v>18.57</v>
      </c>
      <c r="G45" s="65" t="n">
        <f aca="false">IF(ISNUMBER(FIND("SALDO ANTERIOR",C45)),0,IF(ISNUMBER(FIND("SALDO DO DIA",C45)),0,IF(ISNUMBER(FIND("SDO CTA/APL AUTOMATICAS",C45)),0,IF(ISNUMBER(FIND("TEC DEPOSITO",C45)),0,IF(ISNUMBER(FIND("APL APLIC AUT MAIS",C45)),E45,IF(E45&gt;0,E45,0))))))</f>
        <v>0</v>
      </c>
      <c r="H45" s="66" t="n">
        <v>43831</v>
      </c>
    </row>
    <row r="46" customFormat="false" ht="13.8" hidden="false" customHeight="false" outlineLevel="0" collapsed="false">
      <c r="A46" s="70" t="s">
        <v>67</v>
      </c>
      <c r="B46" s="60" t="s">
        <v>105</v>
      </c>
      <c r="C46" s="61" t="s">
        <v>69</v>
      </c>
      <c r="D46" s="62"/>
      <c r="E46" s="63" t="n">
        <v>18.57</v>
      </c>
      <c r="F46" s="64" t="n">
        <f aca="false">IF(ISNUMBER(FIND("SALDO ANTERIOR",C46)),0,IF(ISNUMBER(FIND("SALDO DO DIA",C46)),0,IF(ISNUMBER(FIND("SALDO PARCIAL",C46)),0,IF(ISNUMBER(FIND("SDO CTA/APL AUTOMATICAS",C46)),0,IF(ISNUMBER(FIND("APL APLIC AUT MAIS",C46)),0,IF(ISNUMBER(FIND("TEC DEPOSITO",C46)),0,IF(E46&gt;0,0,E46*(-1))))))))</f>
        <v>0</v>
      </c>
      <c r="G46" s="65" t="n">
        <f aca="false">IF(ISNUMBER(FIND("SALDO ANTERIOR",C46)),0,IF(ISNUMBER(FIND("SALDO DO DIA",C46)),0,IF(ISNUMBER(FIND("SDO CTA/APL AUTOMATICAS",C46)),0,IF(ISNUMBER(FIND("TEC DEPOSITO",C46)),0,IF(ISNUMBER(FIND("APL APLIC AUT MAIS",C46)),E46,IF(E46&gt;0,E46,0))))))</f>
        <v>18.57</v>
      </c>
      <c r="H46" s="66" t="n">
        <v>43831</v>
      </c>
    </row>
    <row r="47" customFormat="false" ht="13.8" hidden="false" customHeight="false" outlineLevel="0" collapsed="false">
      <c r="A47" s="64" t="s">
        <v>29</v>
      </c>
      <c r="B47" s="60" t="s">
        <v>105</v>
      </c>
      <c r="C47" s="61" t="s">
        <v>70</v>
      </c>
      <c r="D47" s="62"/>
      <c r="E47" s="63" t="n">
        <v>337.95</v>
      </c>
      <c r="F47" s="64" t="n">
        <f aca="false">IF(ISNUMBER(FIND("SALDO ANTERIOR",C47)),0,IF(ISNUMBER(FIND("SALDO DO DIA",C47)),0,IF(ISNUMBER(FIND("SALDO PARCIAL",C47)),0,IF(ISNUMBER(FIND("SDO CTA/APL AUTOMATICAS",C47)),0,IF(ISNUMBER(FIND("APL APLIC AUT MAIS",C47)),0,IF(ISNUMBER(FIND("TEC DEPOSITO",C47)),0,IF(E47&gt;0,0,E47*(-1))))))))</f>
        <v>0</v>
      </c>
      <c r="G47" s="65" t="n">
        <f aca="false">IF(ISNUMBER(FIND("SALDO ANTERIOR",C47)),0,IF(ISNUMBER(FIND("SALDO DO DIA",C47)),0,IF(ISNUMBER(FIND("SDO CTA/APL AUTOMATICAS",C47)),0,IF(ISNUMBER(FIND("TEC DEPOSITO",C47)),0,IF(ISNUMBER(FIND("APL APLIC AUT MAIS",C47)),E47,IF(E47&gt;0,E47,0))))))</f>
        <v>337.95</v>
      </c>
      <c r="H47" s="66" t="n">
        <v>43831</v>
      </c>
    </row>
    <row r="48" customFormat="false" ht="13.8" hidden="false" customHeight="false" outlineLevel="0" collapsed="false">
      <c r="A48" s="70" t="s">
        <v>65</v>
      </c>
      <c r="B48" s="60" t="s">
        <v>106</v>
      </c>
      <c r="C48" s="61" t="s">
        <v>107</v>
      </c>
      <c r="D48" s="62" t="s">
        <v>64</v>
      </c>
      <c r="E48" s="67" t="n">
        <v>-30</v>
      </c>
      <c r="F48" s="64" t="n">
        <f aca="false">IF(ISNUMBER(FIND("SALDO ANTERIOR",C48)),0,IF(ISNUMBER(FIND("SALDO DO DIA",C48)),0,IF(ISNUMBER(FIND("SALDO PARCIAL",C48)),0,IF(ISNUMBER(FIND("SDO CTA/APL AUTOMATICAS",C48)),0,IF(ISNUMBER(FIND("APL APLIC AUT MAIS",C48)),0,IF(ISNUMBER(FIND("TEC DEPOSITO",C48)),0,IF(E48&gt;0,0,E48*(-1))))))))</f>
        <v>30</v>
      </c>
      <c r="G48" s="65" t="n">
        <f aca="false">IF(ISNUMBER(FIND("SALDO ANTERIOR",C48)),0,IF(ISNUMBER(FIND("SALDO DO DIA",C48)),0,IF(ISNUMBER(FIND("SDO CTA/APL AUTOMATICAS",C48)),0,IF(ISNUMBER(FIND("TEC DEPOSITO",C48)),0,IF(ISNUMBER(FIND("APL APLIC AUT MAIS",C48)),E48,IF(E48&gt;0,E48,0))))))</f>
        <v>0</v>
      </c>
      <c r="H48" s="66" t="n">
        <v>43831</v>
      </c>
    </row>
    <row r="49" customFormat="false" ht="13.8" hidden="false" customHeight="false" outlineLevel="0" collapsed="false">
      <c r="A49" s="70" t="s">
        <v>65</v>
      </c>
      <c r="B49" s="60" t="s">
        <v>106</v>
      </c>
      <c r="C49" s="61" t="s">
        <v>97</v>
      </c>
      <c r="D49" s="62" t="s">
        <v>64</v>
      </c>
      <c r="E49" s="67" t="n">
        <v>-14.88</v>
      </c>
      <c r="F49" s="64" t="n">
        <f aca="false">IF(ISNUMBER(FIND("SALDO ANTERIOR",C49)),0,IF(ISNUMBER(FIND("SALDO DO DIA",C49)),0,IF(ISNUMBER(FIND("SALDO PARCIAL",C49)),0,IF(ISNUMBER(FIND("SDO CTA/APL AUTOMATICAS",C49)),0,IF(ISNUMBER(FIND("APL APLIC AUT MAIS",C49)),0,IF(ISNUMBER(FIND("TEC DEPOSITO",C49)),0,IF(E49&gt;0,0,E49*(-1))))))))</f>
        <v>14.88</v>
      </c>
      <c r="G49" s="65" t="n">
        <f aca="false">IF(ISNUMBER(FIND("SALDO ANTERIOR",C49)),0,IF(ISNUMBER(FIND("SALDO DO DIA",C49)),0,IF(ISNUMBER(FIND("SDO CTA/APL AUTOMATICAS",C49)),0,IF(ISNUMBER(FIND("TEC DEPOSITO",C49)),0,IF(ISNUMBER(FIND("APL APLIC AUT MAIS",C49)),E49,IF(E49&gt;0,E49,0))))))</f>
        <v>0</v>
      </c>
      <c r="H49" s="66" t="n">
        <v>43831</v>
      </c>
    </row>
    <row r="50" customFormat="false" ht="13.8" hidden="false" customHeight="false" outlineLevel="0" collapsed="false">
      <c r="A50" s="70" t="s">
        <v>67</v>
      </c>
      <c r="B50" s="60" t="s">
        <v>106</v>
      </c>
      <c r="C50" s="61" t="s">
        <v>69</v>
      </c>
      <c r="D50" s="62"/>
      <c r="E50" s="63" t="n">
        <v>44.88</v>
      </c>
      <c r="F50" s="64" t="n">
        <f aca="false">IF(ISNUMBER(FIND("SALDO ANTERIOR",C50)),0,IF(ISNUMBER(FIND("SALDO DO DIA",C50)),0,IF(ISNUMBER(FIND("SALDO PARCIAL",C50)),0,IF(ISNUMBER(FIND("SDO CTA/APL AUTOMATICAS",C50)),0,IF(ISNUMBER(FIND("APL APLIC AUT MAIS",C50)),0,IF(ISNUMBER(FIND("TEC DEPOSITO",C50)),0,IF(E50&gt;0,0,E50*(-1))))))))</f>
        <v>0</v>
      </c>
      <c r="G50" s="65" t="n">
        <f aca="false">IF(ISNUMBER(FIND("SALDO ANTERIOR",C50)),0,IF(ISNUMBER(FIND("SALDO DO DIA",C50)),0,IF(ISNUMBER(FIND("SDO CTA/APL AUTOMATICAS",C50)),0,IF(ISNUMBER(FIND("TEC DEPOSITO",C50)),0,IF(ISNUMBER(FIND("APL APLIC AUT MAIS",C50)),E50,IF(E50&gt;0,E50,0))))))</f>
        <v>44.88</v>
      </c>
      <c r="H50" s="66" t="n">
        <v>43831</v>
      </c>
    </row>
    <row r="51" customFormat="false" ht="13.8" hidden="false" customHeight="false" outlineLevel="0" collapsed="false">
      <c r="A51" s="70" t="s">
        <v>29</v>
      </c>
      <c r="B51" s="60" t="s">
        <v>106</v>
      </c>
      <c r="C51" s="61" t="s">
        <v>70</v>
      </c>
      <c r="D51" s="62"/>
      <c r="E51" s="63" t="n">
        <v>293.07</v>
      </c>
      <c r="F51" s="64" t="n">
        <f aca="false">IF(ISNUMBER(FIND("SALDO ANTERIOR",C51)),0,IF(ISNUMBER(FIND("SALDO DO DIA",C51)),0,IF(ISNUMBER(FIND("SALDO PARCIAL",C51)),0,IF(ISNUMBER(FIND("SDO CTA/APL AUTOMATICAS",C51)),0,IF(ISNUMBER(FIND("APL APLIC AUT MAIS",C51)),0,IF(ISNUMBER(FIND("TEC DEPOSITO",C51)),0,IF(E51&gt;0,0,E51*(-1))))))))</f>
        <v>0</v>
      </c>
      <c r="G51" s="65" t="n">
        <f aca="false">IF(ISNUMBER(FIND("SALDO ANTERIOR",C51)),0,IF(ISNUMBER(FIND("SALDO DO DIA",C51)),0,IF(ISNUMBER(FIND("SDO CTA/APL AUTOMATICAS",C51)),0,IF(ISNUMBER(FIND("TEC DEPOSITO",C51)),0,IF(ISNUMBER(FIND("APL APLIC AUT MAIS",C51)),E51,IF(E51&gt;0,E51,0))))))</f>
        <v>293.07</v>
      </c>
      <c r="H51" s="66" t="n">
        <v>43831</v>
      </c>
    </row>
    <row r="52" customFormat="false" ht="13.8" hidden="false" customHeight="false" outlineLevel="0" collapsed="false">
      <c r="A52" s="64" t="s">
        <v>71</v>
      </c>
      <c r="B52" s="60" t="s">
        <v>108</v>
      </c>
      <c r="C52" s="61" t="s">
        <v>85</v>
      </c>
      <c r="D52" s="62" t="s">
        <v>64</v>
      </c>
      <c r="E52" s="67" t="n">
        <v>-53.19</v>
      </c>
      <c r="F52" s="64" t="n">
        <f aca="false">IF(ISNUMBER(FIND("SALDO ANTERIOR",C52)),0,IF(ISNUMBER(FIND("SALDO DO DIA",C52)),0,IF(ISNUMBER(FIND("SALDO PARCIAL",C52)),0,IF(ISNUMBER(FIND("SDO CTA/APL AUTOMATICAS",C52)),0,IF(ISNUMBER(FIND("APL APLIC AUT MAIS",C52)),0,IF(ISNUMBER(FIND("TEC DEPOSITO",C52)),0,IF(E52&gt;0,0,E52*(-1))))))))</f>
        <v>53.19</v>
      </c>
      <c r="G52" s="65" t="n">
        <f aca="false">IF(ISNUMBER(FIND("SALDO ANTERIOR",C52)),0,IF(ISNUMBER(FIND("SALDO DO DIA",C52)),0,IF(ISNUMBER(FIND("SDO CTA/APL AUTOMATICAS",C52)),0,IF(ISNUMBER(FIND("TEC DEPOSITO",C52)),0,IF(ISNUMBER(FIND("APL APLIC AUT MAIS",C52)),E52,IF(E52&gt;0,E52,0))))))</f>
        <v>0</v>
      </c>
      <c r="H52" s="66" t="n">
        <v>43831</v>
      </c>
    </row>
    <row r="53" customFormat="false" ht="13.8" hidden="false" customHeight="false" outlineLevel="0" collapsed="false">
      <c r="A53" s="70" t="s">
        <v>71</v>
      </c>
      <c r="B53" s="60" t="s">
        <v>108</v>
      </c>
      <c r="C53" s="61" t="s">
        <v>73</v>
      </c>
      <c r="D53" s="62" t="s">
        <v>64</v>
      </c>
      <c r="E53" s="67" t="n">
        <v>-16.89</v>
      </c>
      <c r="F53" s="64" t="n">
        <f aca="false">IF(ISNUMBER(FIND("SALDO ANTERIOR",C53)),0,IF(ISNUMBER(FIND("SALDO DO DIA",C53)),0,IF(ISNUMBER(FIND("SALDO PARCIAL",C53)),0,IF(ISNUMBER(FIND("SDO CTA/APL AUTOMATICAS",C53)),0,IF(ISNUMBER(FIND("APL APLIC AUT MAIS",C53)),0,IF(ISNUMBER(FIND("TEC DEPOSITO",C53)),0,IF(E53&gt;0,0,E53*(-1))))))))</f>
        <v>16.89</v>
      </c>
      <c r="G53" s="65" t="n">
        <f aca="false">IF(ISNUMBER(FIND("SALDO ANTERIOR",C53)),0,IF(ISNUMBER(FIND("SALDO DO DIA",C53)),0,IF(ISNUMBER(FIND("SDO CTA/APL AUTOMATICAS",C53)),0,IF(ISNUMBER(FIND("TEC DEPOSITO",C53)),0,IF(ISNUMBER(FIND("APL APLIC AUT MAIS",C53)),E53,IF(E53&gt;0,E53,0))))))</f>
        <v>0</v>
      </c>
      <c r="H53" s="66" t="n">
        <v>43831</v>
      </c>
    </row>
    <row r="54" customFormat="false" ht="13.8" hidden="false" customHeight="false" outlineLevel="0" collapsed="false">
      <c r="A54" s="64" t="s">
        <v>65</v>
      </c>
      <c r="B54" s="60" t="s">
        <v>108</v>
      </c>
      <c r="C54" s="61" t="s">
        <v>97</v>
      </c>
      <c r="D54" s="62" t="s">
        <v>64</v>
      </c>
      <c r="E54" s="67" t="n">
        <v>-9.58</v>
      </c>
      <c r="F54" s="64" t="n">
        <f aca="false">IF(ISNUMBER(FIND("SALDO ANTERIOR",C54)),0,IF(ISNUMBER(FIND("SALDO DO DIA",C54)),0,IF(ISNUMBER(FIND("SALDO PARCIAL",C54)),0,IF(ISNUMBER(FIND("SDO CTA/APL AUTOMATICAS",C54)),0,IF(ISNUMBER(FIND("APL APLIC AUT MAIS",C54)),0,IF(ISNUMBER(FIND("TEC DEPOSITO",C54)),0,IF(E54&gt;0,0,E54*(-1))))))))</f>
        <v>9.58</v>
      </c>
      <c r="G54" s="65" t="n">
        <f aca="false">IF(ISNUMBER(FIND("SALDO ANTERIOR",C54)),0,IF(ISNUMBER(FIND("SALDO DO DIA",C54)),0,IF(ISNUMBER(FIND("SDO CTA/APL AUTOMATICAS",C54)),0,IF(ISNUMBER(FIND("TEC DEPOSITO",C54)),0,IF(ISNUMBER(FIND("APL APLIC AUT MAIS",C54)),E54,IF(E54&gt;0,E54,0))))))</f>
        <v>0</v>
      </c>
      <c r="H54" s="66" t="n">
        <v>43831</v>
      </c>
    </row>
    <row r="55" customFormat="false" ht="13.8" hidden="false" customHeight="false" outlineLevel="0" collapsed="false">
      <c r="A55" s="59" t="s">
        <v>67</v>
      </c>
      <c r="B55" s="60" t="s">
        <v>108</v>
      </c>
      <c r="C55" s="61" t="s">
        <v>109</v>
      </c>
      <c r="D55" s="62" t="s">
        <v>82</v>
      </c>
      <c r="E55" s="67" t="n">
        <v>-6.41</v>
      </c>
      <c r="F55" s="64" t="n">
        <f aca="false">IF(ISNUMBER(FIND("SALDO ANTERIOR",C55)),0,IF(ISNUMBER(FIND("SALDO DO DIA",C55)),0,IF(ISNUMBER(FIND("SALDO PARCIAL",C55)),0,IF(ISNUMBER(FIND("SDO CTA/APL AUTOMATICAS",C55)),0,IF(ISNUMBER(FIND("APL APLIC AUT MAIS",C55)),0,IF(ISNUMBER(FIND("TEC DEPOSITO",C55)),0,IF(E55&gt;0,0,E55*(-1))))))))</f>
        <v>6.41</v>
      </c>
      <c r="G55" s="65" t="n">
        <f aca="false">IF(ISNUMBER(FIND("SALDO ANTERIOR",C55)),0,IF(ISNUMBER(FIND("SALDO DO DIA",C55)),0,IF(ISNUMBER(FIND("SDO CTA/APL AUTOMATICAS",C55)),0,IF(ISNUMBER(FIND("TEC DEPOSITO",C55)),0,IF(ISNUMBER(FIND("APL APLIC AUT MAIS",C55)),E55,IF(E55&gt;0,E55,0))))))</f>
        <v>0</v>
      </c>
      <c r="H55" s="66" t="n">
        <v>43831</v>
      </c>
    </row>
    <row r="56" customFormat="false" ht="13.8" hidden="false" customHeight="false" outlineLevel="0" collapsed="false">
      <c r="A56" s="59" t="s">
        <v>29</v>
      </c>
      <c r="B56" s="60" t="s">
        <v>108</v>
      </c>
      <c r="C56" s="61" t="s">
        <v>110</v>
      </c>
      <c r="D56" s="62"/>
      <c r="E56" s="67" t="n">
        <v>-76.07</v>
      </c>
      <c r="F56" s="64" t="n">
        <f aca="false">IF(ISNUMBER(FIND("SALDO ANTERIOR",C56)),0,IF(ISNUMBER(FIND("SALDO DO DIA",C56)),0,IF(ISNUMBER(FIND("SALDO PARCIAL",C56)),0,IF(ISNUMBER(FIND("SDO CTA/APL AUTOMATICAS",C56)),0,IF(ISNUMBER(FIND("APL APLIC AUT MAIS",C56)),0,IF(ISNUMBER(FIND("TEC DEPOSITO",C56)),0,IF(E56&gt;0,0,E56*(-1))))))))</f>
        <v>0</v>
      </c>
      <c r="G56" s="65" t="n">
        <f aca="false">IF(ISNUMBER(FIND("SALDO ANTERIOR",C56)),0,IF(ISNUMBER(FIND("SALDO DO DIA",C56)),0,IF(ISNUMBER(FIND("SDO CTA/APL AUTOMATICAS",C56)),0,IF(ISNUMBER(FIND("TEC DEPOSITO",C56)),0,IF(ISNUMBER(FIND("APL APLIC AUT MAIS",C56)),E56,IF(E56&gt;0,E56,0))))))</f>
        <v>0</v>
      </c>
      <c r="H56" s="66" t="n">
        <v>43831</v>
      </c>
    </row>
    <row r="57" customFormat="false" ht="15" hidden="false" customHeight="false" outlineLevel="0" collapsed="false">
      <c r="A57" s="59" t="s">
        <v>29</v>
      </c>
      <c r="B57" s="60" t="s">
        <v>108</v>
      </c>
      <c r="C57" s="71" t="s">
        <v>111</v>
      </c>
      <c r="D57" s="62"/>
      <c r="E57" s="72" t="n">
        <v>-76.07</v>
      </c>
      <c r="F57" s="64" t="n">
        <f aca="false">IF(ISNUMBER(FIND("SALDO ANTERIOR",C57)),0,IF(ISNUMBER(FIND("SALDO DO DIA",C57)),0,IF(ISNUMBER(FIND("SALDO PARCIAL",C57)),0,IF(ISNUMBER(FIND("SDO CTA/APL AUTOMATICAS",C57)),0,IF(ISNUMBER(FIND("APL APLIC AUT MAIS",C57)),0,IF(ISNUMBER(FIND("TEC DEPOSITO",C57)),0,IF(E57&gt;0,0,E57*(-1))))))))</f>
        <v>0</v>
      </c>
      <c r="G57" s="65" t="n">
        <f aca="false">IF(ISNUMBER(FIND("SALDO ANTERIOR",C57)),0,IF(ISNUMBER(FIND("SALDO DO DIA",C57)),0,IF(ISNUMBER(FIND("SDO CTA/APL AUTOMATICAS",C57)),0,IF(ISNUMBER(FIND("TEC DEPOSITO",C57)),0,IF(ISNUMBER(FIND("APL APLIC AUT MAIS",C57)),E57,IF(E57&gt;0,E57,0))))))</f>
        <v>0</v>
      </c>
      <c r="H57" s="66" t="n">
        <v>43831</v>
      </c>
    </row>
    <row r="58" customFormat="false" ht="13.8" hidden="false" customHeight="false" outlineLevel="0" collapsed="false">
      <c r="A58" s="59" t="s">
        <v>67</v>
      </c>
      <c r="B58" s="60" t="s">
        <v>108</v>
      </c>
      <c r="C58" s="61" t="s">
        <v>69</v>
      </c>
      <c r="D58" s="62"/>
      <c r="E58" s="63" t="n">
        <v>86.07</v>
      </c>
      <c r="F58" s="64" t="n">
        <f aca="false">IF(ISNUMBER(FIND("SALDO ANTERIOR",C58)),0,IF(ISNUMBER(FIND("SALDO DO DIA",C58)),0,IF(ISNUMBER(FIND("SALDO PARCIAL",C58)),0,IF(ISNUMBER(FIND("SDO CTA/APL AUTOMATICAS",C58)),0,IF(ISNUMBER(FIND("APL APLIC AUT MAIS",C58)),0,IF(ISNUMBER(FIND("TEC DEPOSITO",C58)),0,IF(E58&gt;0,0,E58*(-1))))))))</f>
        <v>0</v>
      </c>
      <c r="G58" s="65" t="n">
        <f aca="false">IF(ISNUMBER(FIND("SALDO ANTERIOR",C58)),0,IF(ISNUMBER(FIND("SALDO DO DIA",C58)),0,IF(ISNUMBER(FIND("SDO CTA/APL AUTOMATICAS",C58)),0,IF(ISNUMBER(FIND("TEC DEPOSITO",C58)),0,IF(ISNUMBER(FIND("APL APLIC AUT MAIS",C58)),E58,IF(E58&gt;0,E58,0))))))</f>
        <v>86.07</v>
      </c>
      <c r="H58" s="66" t="n">
        <v>43831</v>
      </c>
    </row>
    <row r="59" customFormat="false" ht="13.8" hidden="false" customHeight="false" outlineLevel="0" collapsed="false">
      <c r="A59" s="59" t="s">
        <v>29</v>
      </c>
      <c r="B59" s="60" t="s">
        <v>108</v>
      </c>
      <c r="C59" s="61" t="s">
        <v>70</v>
      </c>
      <c r="D59" s="62"/>
      <c r="E59" s="63" t="n">
        <v>207</v>
      </c>
      <c r="F59" s="64" t="n">
        <f aca="false">IF(ISNUMBER(FIND("SALDO ANTERIOR",C59)),0,IF(ISNUMBER(FIND("SALDO DO DIA",C59)),0,IF(ISNUMBER(FIND("SALDO PARCIAL",C59)),0,IF(ISNUMBER(FIND("SDO CTA/APL AUTOMATICAS",C59)),0,IF(ISNUMBER(FIND("APL APLIC AUT MAIS",C59)),0,IF(ISNUMBER(FIND("TEC DEPOSITO",C59)),0,IF(E59&gt;0,0,E59*(-1))))))))</f>
        <v>0</v>
      </c>
      <c r="G59" s="65" t="n">
        <f aca="false">IF(ISNUMBER(FIND("SALDO ANTERIOR",C59)),0,IF(ISNUMBER(FIND("SALDO DO DIA",C59)),0,IF(ISNUMBER(FIND("SDO CTA/APL AUTOMATICAS",C59)),0,IF(ISNUMBER(FIND("TEC DEPOSITO",C59)),0,IF(ISNUMBER(FIND("APL APLIC AUT MAIS",C59)),E59,IF(E59&gt;0,E59,0))))))</f>
        <v>207</v>
      </c>
      <c r="H59" s="66" t="n">
        <v>43831</v>
      </c>
    </row>
    <row r="60" customFormat="false" ht="13.8" hidden="false" customHeight="false" outlineLevel="0" collapsed="false">
      <c r="A60" s="59" t="s">
        <v>33</v>
      </c>
      <c r="B60" s="60" t="s">
        <v>112</v>
      </c>
      <c r="C60" s="61" t="s">
        <v>113</v>
      </c>
      <c r="D60" s="62" t="s">
        <v>61</v>
      </c>
      <c r="E60" s="67" t="n">
        <v>-940</v>
      </c>
      <c r="F60" s="64" t="n">
        <f aca="false">IF(ISNUMBER(FIND("SALDO ANTERIOR",C60)),0,IF(ISNUMBER(FIND("SALDO DO DIA",C60)),0,IF(ISNUMBER(FIND("SALDO PARCIAL",C60)),0,IF(ISNUMBER(FIND("SDO CTA/APL AUTOMATICAS",C60)),0,IF(ISNUMBER(FIND("APL APLIC AUT MAIS",C60)),0,IF(ISNUMBER(FIND("TEC DEPOSITO",C60)),0,IF(E60&gt;0,0,E60*(-1))))))))</f>
        <v>940</v>
      </c>
      <c r="G60" s="65" t="n">
        <f aca="false">IF(ISNUMBER(FIND("SALDO ANTERIOR",C60)),0,IF(ISNUMBER(FIND("SALDO DO DIA",C60)),0,IF(ISNUMBER(FIND("SDO CTA/APL AUTOMATICAS",C60)),0,IF(ISNUMBER(FIND("TEC DEPOSITO",C60)),0,IF(ISNUMBER(FIND("APL APLIC AUT MAIS",C60)),E60,IF(E60&gt;0,E60,0))))))</f>
        <v>0</v>
      </c>
      <c r="H60" s="66" t="n">
        <v>43831</v>
      </c>
    </row>
    <row r="61" customFormat="false" ht="13.8" hidden="false" customHeight="false" outlineLevel="0" collapsed="false">
      <c r="A61" s="64" t="s">
        <v>65</v>
      </c>
      <c r="B61" s="60" t="s">
        <v>112</v>
      </c>
      <c r="C61" s="61" t="s">
        <v>107</v>
      </c>
      <c r="D61" s="62" t="s">
        <v>64</v>
      </c>
      <c r="E61" s="67" t="n">
        <v>-20</v>
      </c>
      <c r="F61" s="64" t="n">
        <f aca="false">IF(ISNUMBER(FIND("SALDO ANTERIOR",C61)),0,IF(ISNUMBER(FIND("SALDO DO DIA",C61)),0,IF(ISNUMBER(FIND("SALDO PARCIAL",C61)),0,IF(ISNUMBER(FIND("SDO CTA/APL AUTOMATICAS",C61)),0,IF(ISNUMBER(FIND("APL APLIC AUT MAIS",C61)),0,IF(ISNUMBER(FIND("TEC DEPOSITO",C61)),0,IF(E61&gt;0,0,E61*(-1))))))))</f>
        <v>20</v>
      </c>
      <c r="G61" s="65" t="n">
        <f aca="false">IF(ISNUMBER(FIND("SALDO ANTERIOR",C61)),0,IF(ISNUMBER(FIND("SALDO DO DIA",C61)),0,IF(ISNUMBER(FIND("SDO CTA/APL AUTOMATICAS",C61)),0,IF(ISNUMBER(FIND("TEC DEPOSITO",C61)),0,IF(ISNUMBER(FIND("APL APLIC AUT MAIS",C61)),E61,IF(E61&gt;0,E61,0))))))</f>
        <v>0</v>
      </c>
      <c r="H61" s="66" t="n">
        <v>43831</v>
      </c>
    </row>
    <row r="62" customFormat="false" ht="13.8" hidden="false" customHeight="false" outlineLevel="0" collapsed="false">
      <c r="A62" s="59" t="s">
        <v>65</v>
      </c>
      <c r="B62" s="60" t="s">
        <v>112</v>
      </c>
      <c r="C62" s="61" t="s">
        <v>114</v>
      </c>
      <c r="D62" s="62" t="s">
        <v>64</v>
      </c>
      <c r="E62" s="67" t="n">
        <v>-6</v>
      </c>
      <c r="F62" s="64" t="n">
        <f aca="false">IF(ISNUMBER(FIND("SALDO ANTERIOR",C62)),0,IF(ISNUMBER(FIND("SALDO DO DIA",C62)),0,IF(ISNUMBER(FIND("SALDO PARCIAL",C62)),0,IF(ISNUMBER(FIND("SDO CTA/APL AUTOMATICAS",C62)),0,IF(ISNUMBER(FIND("APL APLIC AUT MAIS",C62)),0,IF(ISNUMBER(FIND("TEC DEPOSITO",C62)),0,IF(E62&gt;0,0,E62*(-1))))))))</f>
        <v>6</v>
      </c>
      <c r="G62" s="65" t="n">
        <f aca="false">IF(ISNUMBER(FIND("SALDO ANTERIOR",C62)),0,IF(ISNUMBER(FIND("SALDO DO DIA",C62)),0,IF(ISNUMBER(FIND("SDO CTA/APL AUTOMATICAS",C62)),0,IF(ISNUMBER(FIND("TEC DEPOSITO",C62)),0,IF(ISNUMBER(FIND("APL APLIC AUT MAIS",C62)),E62,IF(E62&gt;0,E62,0))))))</f>
        <v>0</v>
      </c>
      <c r="H62" s="66" t="n">
        <v>43831</v>
      </c>
    </row>
    <row r="63" customFormat="false" ht="13.8" hidden="false" customHeight="false" outlineLevel="0" collapsed="false">
      <c r="A63" s="59" t="s">
        <v>65</v>
      </c>
      <c r="B63" s="60" t="s">
        <v>112</v>
      </c>
      <c r="C63" s="61" t="s">
        <v>97</v>
      </c>
      <c r="D63" s="62" t="s">
        <v>64</v>
      </c>
      <c r="E63" s="67" t="n">
        <v>-15.82</v>
      </c>
      <c r="F63" s="64" t="n">
        <f aca="false">IF(ISNUMBER(FIND("SALDO ANTERIOR",C63)),0,IF(ISNUMBER(FIND("SALDO DO DIA",C63)),0,IF(ISNUMBER(FIND("SALDO PARCIAL",C63)),0,IF(ISNUMBER(FIND("SDO CTA/APL AUTOMATICAS",C63)),0,IF(ISNUMBER(FIND("APL APLIC AUT MAIS",C63)),0,IF(ISNUMBER(FIND("TEC DEPOSITO",C63)),0,IF(E63&gt;0,0,E63*(-1))))))))</f>
        <v>15.82</v>
      </c>
      <c r="G63" s="65" t="n">
        <f aca="false">IF(ISNUMBER(FIND("SALDO ANTERIOR",C63)),0,IF(ISNUMBER(FIND("SALDO DO DIA",C63)),0,IF(ISNUMBER(FIND("SDO CTA/APL AUTOMATICAS",C63)),0,IF(ISNUMBER(FIND("TEC DEPOSITO",C63)),0,IF(ISNUMBER(FIND("APL APLIC AUT MAIS",C63)),E63,IF(E63&gt;0,E63,0))))))</f>
        <v>0</v>
      </c>
      <c r="H63" s="66" t="n">
        <v>43831</v>
      </c>
    </row>
    <row r="64" customFormat="false" ht="13.8" hidden="false" customHeight="false" outlineLevel="0" collapsed="false">
      <c r="A64" s="59" t="s">
        <v>65</v>
      </c>
      <c r="B64" s="60" t="s">
        <v>112</v>
      </c>
      <c r="C64" s="61" t="s">
        <v>115</v>
      </c>
      <c r="D64" s="62" t="s">
        <v>64</v>
      </c>
      <c r="E64" s="67" t="n">
        <v>-25</v>
      </c>
      <c r="F64" s="64" t="n">
        <f aca="false">IF(ISNUMBER(FIND("SALDO ANTERIOR",C64)),0,IF(ISNUMBER(FIND("SALDO DO DIA",C64)),0,IF(ISNUMBER(FIND("SALDO PARCIAL",C64)),0,IF(ISNUMBER(FIND("SDO CTA/APL AUTOMATICAS",C64)),0,IF(ISNUMBER(FIND("APL APLIC AUT MAIS",C64)),0,IF(ISNUMBER(FIND("TEC DEPOSITO",C64)),0,IF(E64&gt;0,0,E64*(-1))))))))</f>
        <v>25</v>
      </c>
      <c r="G64" s="65" t="n">
        <f aca="false">IF(ISNUMBER(FIND("SALDO ANTERIOR",C64)),0,IF(ISNUMBER(FIND("SALDO DO DIA",C64)),0,IF(ISNUMBER(FIND("SDO CTA/APL AUTOMATICAS",C64)),0,IF(ISNUMBER(FIND("TEC DEPOSITO",C64)),0,IF(ISNUMBER(FIND("APL APLIC AUT MAIS",C64)),E64,IF(E64&gt;0,E64,0))))))</f>
        <v>0</v>
      </c>
      <c r="H64" s="66" t="n">
        <v>43831</v>
      </c>
    </row>
    <row r="65" customFormat="false" ht="13.8" hidden="false" customHeight="false" outlineLevel="0" collapsed="false">
      <c r="A65" s="70" t="s">
        <v>65</v>
      </c>
      <c r="B65" s="60" t="s">
        <v>112</v>
      </c>
      <c r="C65" s="61" t="s">
        <v>116</v>
      </c>
      <c r="D65" s="62" t="s">
        <v>64</v>
      </c>
      <c r="E65" s="67" t="n">
        <v>-20.65</v>
      </c>
      <c r="F65" s="64" t="n">
        <f aca="false">IF(ISNUMBER(FIND("SALDO ANTERIOR",C65)),0,IF(ISNUMBER(FIND("SALDO DO DIA",C65)),0,IF(ISNUMBER(FIND("SALDO PARCIAL",C65)),0,IF(ISNUMBER(FIND("SDO CTA/APL AUTOMATICAS",C65)),0,IF(ISNUMBER(FIND("APL APLIC AUT MAIS",C65)),0,IF(ISNUMBER(FIND("TEC DEPOSITO",C65)),0,IF(E65&gt;0,0,E65*(-1))))))))</f>
        <v>20.65</v>
      </c>
      <c r="G65" s="65" t="n">
        <f aca="false">IF(ISNUMBER(FIND("SALDO ANTERIOR",C65)),0,IF(ISNUMBER(FIND("SALDO DO DIA",C65)),0,IF(ISNUMBER(FIND("SDO CTA/APL AUTOMATICAS",C65)),0,IF(ISNUMBER(FIND("TEC DEPOSITO",C65)),0,IF(ISNUMBER(FIND("APL APLIC AUT MAIS",C65)),E65,IF(E65&gt;0,E65,0))))))</f>
        <v>0</v>
      </c>
      <c r="H65" s="66" t="n">
        <v>43831</v>
      </c>
    </row>
    <row r="66" customFormat="false" ht="13.8" hidden="false" customHeight="false" outlineLevel="0" collapsed="false">
      <c r="A66" s="64" t="s">
        <v>67</v>
      </c>
      <c r="B66" s="60" t="s">
        <v>112</v>
      </c>
      <c r="C66" s="61" t="s">
        <v>69</v>
      </c>
      <c r="D66" s="62"/>
      <c r="E66" s="63" t="n">
        <v>207</v>
      </c>
      <c r="F66" s="64" t="n">
        <f aca="false">IF(ISNUMBER(FIND("SALDO ANTERIOR",C66)),0,IF(ISNUMBER(FIND("SALDO DO DIA",C66)),0,IF(ISNUMBER(FIND("SALDO PARCIAL",C66)),0,IF(ISNUMBER(FIND("SDO CTA/APL AUTOMATICAS",C66)),0,IF(ISNUMBER(FIND("APL APLIC AUT MAIS",C66)),0,IF(ISNUMBER(FIND("TEC DEPOSITO",C66)),0,IF(E66&gt;0,0,E66*(-1))))))))</f>
        <v>0</v>
      </c>
      <c r="G66" s="65" t="n">
        <f aca="false">IF(ISNUMBER(FIND("SALDO ANTERIOR",C66)),0,IF(ISNUMBER(FIND("SALDO DO DIA",C66)),0,IF(ISNUMBER(FIND("SDO CTA/APL AUTOMATICAS",C66)),0,IF(ISNUMBER(FIND("TEC DEPOSITO",C66)),0,IF(ISNUMBER(FIND("APL APLIC AUT MAIS",C66)),E66,IF(E66&gt;0,E66,0))))))</f>
        <v>207</v>
      </c>
      <c r="H66" s="66" t="n">
        <v>43831</v>
      </c>
    </row>
    <row r="67" customFormat="false" ht="13.8" hidden="false" customHeight="false" outlineLevel="0" collapsed="false">
      <c r="A67" s="59" t="s">
        <v>76</v>
      </c>
      <c r="B67" s="60" t="s">
        <v>117</v>
      </c>
      <c r="C67" s="61" t="s">
        <v>118</v>
      </c>
      <c r="D67" s="62" t="s">
        <v>64</v>
      </c>
      <c r="E67" s="67" t="n">
        <v>-4.5</v>
      </c>
      <c r="F67" s="64" t="n">
        <f aca="false">IF(ISNUMBER(FIND("SALDO ANTERIOR",C67)),0,IF(ISNUMBER(FIND("SALDO DO DIA",C67)),0,IF(ISNUMBER(FIND("SALDO PARCIAL",C67)),0,IF(ISNUMBER(FIND("SDO CTA/APL AUTOMATICAS",C67)),0,IF(ISNUMBER(FIND("APL APLIC AUT MAIS",C67)),0,IF(ISNUMBER(FIND("TEC DEPOSITO",C67)),0,IF(E67&gt;0,0,E67*(-1))))))))</f>
        <v>4.5</v>
      </c>
      <c r="G67" s="65" t="n">
        <f aca="false">IF(ISNUMBER(FIND("SALDO ANTERIOR",C67)),0,IF(ISNUMBER(FIND("SALDO DO DIA",C67)),0,IF(ISNUMBER(FIND("SDO CTA/APL AUTOMATICAS",C67)),0,IF(ISNUMBER(FIND("TEC DEPOSITO",C67)),0,IF(ISNUMBER(FIND("APL APLIC AUT MAIS",C67)),E67,IF(E67&gt;0,E67,0))))))</f>
        <v>0</v>
      </c>
      <c r="H67" s="66" t="n">
        <v>43831</v>
      </c>
    </row>
    <row r="68" customFormat="false" ht="13.8" hidden="false" customHeight="false" outlineLevel="0" collapsed="false">
      <c r="A68" s="73" t="s">
        <v>119</v>
      </c>
      <c r="B68" s="60" t="s">
        <v>120</v>
      </c>
      <c r="C68" s="61" t="s">
        <v>121</v>
      </c>
      <c r="D68" s="62" t="s">
        <v>61</v>
      </c>
      <c r="E68" s="67" t="n">
        <v>-834.39</v>
      </c>
      <c r="F68" s="64" t="n">
        <f aca="false">IF(ISNUMBER(FIND("SALDO ANTERIOR",C68)),0,IF(ISNUMBER(FIND("SALDO DO DIA",C68)),0,IF(ISNUMBER(FIND("SALDO PARCIAL",C68)),0,IF(ISNUMBER(FIND("SDO CTA/APL AUTOMATICAS",C68)),0,IF(ISNUMBER(FIND("APL APLIC AUT MAIS",C68)),0,IF(ISNUMBER(FIND("TEC DEPOSITO",C68)),0,IF(E68&gt;0,0,E68*(-1))))))))</f>
        <v>834.39</v>
      </c>
      <c r="G68" s="65" t="n">
        <f aca="false">IF(ISNUMBER(FIND("SALDO ANTERIOR",C68)),0,IF(ISNUMBER(FIND("SALDO DO DIA",C68)),0,IF(ISNUMBER(FIND("SDO CTA/APL AUTOMATICAS",C68)),0,IF(ISNUMBER(FIND("TEC DEPOSITO",C68)),0,IF(ISNUMBER(FIND("APL APLIC AUT MAIS",C68)),E68,IF(E68&gt;0,E68,0))))))</f>
        <v>0</v>
      </c>
      <c r="H68" s="66" t="n">
        <v>43831</v>
      </c>
    </row>
    <row r="69" customFormat="false" ht="13.8" hidden="false" customHeight="false" outlineLevel="0" collapsed="false">
      <c r="A69" s="59" t="s">
        <v>65</v>
      </c>
      <c r="B69" s="60" t="s">
        <v>120</v>
      </c>
      <c r="C69" s="61" t="s">
        <v>97</v>
      </c>
      <c r="D69" s="62" t="s">
        <v>64</v>
      </c>
      <c r="E69" s="67" t="n">
        <v>-16.26</v>
      </c>
      <c r="F69" s="64" t="n">
        <f aca="false">IF(ISNUMBER(FIND("SALDO ANTERIOR",C69)),0,IF(ISNUMBER(FIND("SALDO DO DIA",C69)),0,IF(ISNUMBER(FIND("SALDO PARCIAL",C69)),0,IF(ISNUMBER(FIND("SDO CTA/APL AUTOMATICAS",C69)),0,IF(ISNUMBER(FIND("APL APLIC AUT MAIS",C69)),0,IF(ISNUMBER(FIND("TEC DEPOSITO",C69)),0,IF(E69&gt;0,0,E69*(-1))))))))</f>
        <v>16.26</v>
      </c>
      <c r="G69" s="65" t="n">
        <f aca="false">IF(ISNUMBER(FIND("SALDO ANTERIOR",C69)),0,IF(ISNUMBER(FIND("SALDO DO DIA",C69)),0,IF(ISNUMBER(FIND("SDO CTA/APL AUTOMATICAS",C69)),0,IF(ISNUMBER(FIND("TEC DEPOSITO",C69)),0,IF(ISNUMBER(FIND("APL APLIC AUT MAIS",C69)),E69,IF(E69&gt;0,E69,0))))))</f>
        <v>0</v>
      </c>
      <c r="H69" s="66" t="n">
        <v>43831</v>
      </c>
    </row>
    <row r="70" customFormat="false" ht="13.8" hidden="false" customHeight="false" outlineLevel="0" collapsed="false">
      <c r="A70" s="64" t="s">
        <v>122</v>
      </c>
      <c r="B70" s="60" t="s">
        <v>120</v>
      </c>
      <c r="C70" s="61" t="s">
        <v>123</v>
      </c>
      <c r="D70" s="62" t="s">
        <v>61</v>
      </c>
      <c r="E70" s="67" t="n">
        <v>-4018.57</v>
      </c>
      <c r="F70" s="64" t="n">
        <f aca="false">IF(ISNUMBER(FIND("SALDO ANTERIOR",C70)),0,IF(ISNUMBER(FIND("SALDO DO DIA",C70)),0,IF(ISNUMBER(FIND("SALDO PARCIAL",C70)),0,IF(ISNUMBER(FIND("SDO CTA/APL AUTOMATICAS",C70)),0,IF(ISNUMBER(FIND("APL APLIC AUT MAIS",C70)),0,IF(ISNUMBER(FIND("TEC DEPOSITO",C70)),0,IF(E70&gt;0,0,E70*(-1))))))))</f>
        <v>4018.57</v>
      </c>
      <c r="G70" s="65" t="n">
        <f aca="false">IF(ISNUMBER(FIND("SALDO ANTERIOR",C70)),0,IF(ISNUMBER(FIND("SALDO DO DIA",C70)),0,IF(ISNUMBER(FIND("SDO CTA/APL AUTOMATICAS",C70)),0,IF(ISNUMBER(FIND("TEC DEPOSITO",C70)),0,IF(ISNUMBER(FIND("APL APLIC AUT MAIS",C70)),E70,IF(E70&gt;0,E70,0))))))</f>
        <v>0</v>
      </c>
      <c r="H70" s="66" t="n">
        <v>43831</v>
      </c>
    </row>
    <row r="71" customFormat="false" ht="13.8" hidden="false" customHeight="false" outlineLevel="0" collapsed="false">
      <c r="A71" s="59" t="s">
        <v>124</v>
      </c>
      <c r="B71" s="60" t="s">
        <v>120</v>
      </c>
      <c r="C71" s="61" t="s">
        <v>125</v>
      </c>
      <c r="D71" s="62" t="s">
        <v>126</v>
      </c>
      <c r="E71" s="63" t="n">
        <v>940</v>
      </c>
      <c r="F71" s="64" t="n">
        <f aca="false">IF(ISNUMBER(FIND("SALDO ANTERIOR",C71)),0,IF(ISNUMBER(FIND("SALDO DO DIA",C71)),0,IF(ISNUMBER(FIND("SALDO PARCIAL",C71)),0,IF(ISNUMBER(FIND("SDO CTA/APL AUTOMATICAS",C71)),0,IF(ISNUMBER(FIND("APL APLIC AUT MAIS",C71)),0,IF(ISNUMBER(FIND("TEC DEPOSITO",C71)),0,IF(E71&gt;0,0,E71*(-1))))))))</f>
        <v>0</v>
      </c>
      <c r="G71" s="65" t="n">
        <f aca="false">IF(ISNUMBER(FIND("SALDO ANTERIOR",C71)),0,IF(ISNUMBER(FIND("SALDO DO DIA",C71)),0,IF(ISNUMBER(FIND("SDO CTA/APL AUTOMATICAS",C71)),0,IF(ISNUMBER(FIND("TEC DEPOSITO",C71)),0,IF(ISNUMBER(FIND("APL APLIC AUT MAIS",C71)),E71,IF(E71&gt;0,E71,0))))))</f>
        <v>0</v>
      </c>
      <c r="H71" s="66" t="n">
        <v>43831</v>
      </c>
    </row>
    <row r="72" customFormat="false" ht="13.8" hidden="false" customHeight="false" outlineLevel="0" collapsed="false">
      <c r="A72" s="59" t="s">
        <v>127</v>
      </c>
      <c r="B72" s="60" t="s">
        <v>120</v>
      </c>
      <c r="C72" s="61" t="s">
        <v>128</v>
      </c>
      <c r="D72" s="62"/>
      <c r="E72" s="63" t="n">
        <v>4390</v>
      </c>
      <c r="F72" s="64" t="n">
        <f aca="false">IF(ISNUMBER(FIND("SALDO ANTERIOR",C72)),0,IF(ISNUMBER(FIND("SALDO DO DIA",C72)),0,IF(ISNUMBER(FIND("SALDO PARCIAL",C72)),0,IF(ISNUMBER(FIND("SDO CTA/APL AUTOMATICAS",C72)),0,IF(ISNUMBER(FIND("APL APLIC AUT MAIS",C72)),0,IF(ISNUMBER(FIND("TEC DEPOSITO",C72)),0,IF(E72&gt;0,0,E72*(-1))))))))</f>
        <v>0</v>
      </c>
      <c r="G72" s="65" t="n">
        <f aca="false">IF(ISNUMBER(FIND("SALDO ANTERIOR",C72)),0,IF(ISNUMBER(FIND("SALDO DO DIA",C72)),0,IF(ISNUMBER(FIND("SDO CTA/APL AUTOMATICAS",C72)),0,IF(ISNUMBER(FIND("TEC DEPOSITO",C72)),0,IF(ISNUMBER(FIND("APL APLIC AUT MAIS",C72)),E72,IF(E72&gt;0,E72,0))))))</f>
        <v>4390</v>
      </c>
      <c r="H72" s="66" t="n">
        <v>43831</v>
      </c>
    </row>
    <row r="73" customFormat="false" ht="13.8" hidden="false" customHeight="false" outlineLevel="0" collapsed="false">
      <c r="A73" s="64" t="s">
        <v>127</v>
      </c>
      <c r="B73" s="60" t="s">
        <v>120</v>
      </c>
      <c r="C73" s="61" t="s">
        <v>128</v>
      </c>
      <c r="D73" s="62"/>
      <c r="E73" s="63" t="n">
        <v>973.56</v>
      </c>
      <c r="F73" s="64" t="n">
        <f aca="false">IF(ISNUMBER(FIND("SALDO ANTERIOR",C73)),0,IF(ISNUMBER(FIND("SALDO DO DIA",C73)),0,IF(ISNUMBER(FIND("SALDO PARCIAL",C73)),0,IF(ISNUMBER(FIND("SDO CTA/APL AUTOMATICAS",C73)),0,IF(ISNUMBER(FIND("APL APLIC AUT MAIS",C73)),0,IF(ISNUMBER(FIND("TEC DEPOSITO",C73)),0,IF(E73&gt;0,0,E73*(-1))))))))</f>
        <v>0</v>
      </c>
      <c r="G73" s="65" t="n">
        <f aca="false">IF(ISNUMBER(FIND("SALDO ANTERIOR",C73)),0,IF(ISNUMBER(FIND("SALDO DO DIA",C73)),0,IF(ISNUMBER(FIND("SDO CTA/APL AUTOMATICAS",C73)),0,IF(ISNUMBER(FIND("TEC DEPOSITO",C73)),0,IF(ISNUMBER(FIND("APL APLIC AUT MAIS",C73)),E73,IF(E73&gt;0,E73,0))))))</f>
        <v>973.56</v>
      </c>
      <c r="H73" s="66" t="n">
        <v>43831</v>
      </c>
    </row>
    <row r="74" customFormat="false" ht="13.8" hidden="false" customHeight="false" outlineLevel="0" collapsed="false">
      <c r="A74" s="59" t="s">
        <v>29</v>
      </c>
      <c r="B74" s="60" t="s">
        <v>120</v>
      </c>
      <c r="C74" s="61" t="s">
        <v>129</v>
      </c>
      <c r="D74" s="62"/>
      <c r="E74" s="67" t="n">
        <v>-534.37</v>
      </c>
      <c r="F74" s="64" t="n">
        <f aca="false">IF(ISNUMBER(FIND("SALDO ANTERIOR",C74)),0,IF(ISNUMBER(FIND("SALDO DO DIA",C74)),0,IF(ISNUMBER(FIND("SALDO PARCIAL",C74)),0,IF(ISNUMBER(FIND("SDO CTA/APL AUTOMATICAS",C74)),0,IF(ISNUMBER(FIND("APL APLIC AUT MAIS",C74)),0,IF(ISNUMBER(FIND("TEC DEPOSITO",C74)),0,IF(E74&gt;0,0,E74*(-1))))))))</f>
        <v>0</v>
      </c>
      <c r="G74" s="65" t="n">
        <f aca="false">IF(ISNUMBER(FIND("SALDO ANTERIOR",C74)),0,IF(ISNUMBER(FIND("SALDO DO DIA",C74)),0,IF(ISNUMBER(FIND("SDO CTA/APL AUTOMATICAS",C74)),0,IF(ISNUMBER(FIND("TEC DEPOSITO",C74)),0,IF(ISNUMBER(FIND("APL APLIC AUT MAIS",C74)),E74,IF(E74&gt;0,E74,0))))))</f>
        <v>-534.37</v>
      </c>
      <c r="H74" s="66" t="n">
        <v>43831</v>
      </c>
    </row>
    <row r="75" customFormat="false" ht="13.8" hidden="false" customHeight="false" outlineLevel="0" collapsed="false">
      <c r="A75" s="59" t="s">
        <v>130</v>
      </c>
      <c r="B75" s="60" t="s">
        <v>120</v>
      </c>
      <c r="C75" s="61" t="s">
        <v>131</v>
      </c>
      <c r="D75" s="62" t="s">
        <v>82</v>
      </c>
      <c r="E75" s="67" t="n">
        <v>-75</v>
      </c>
      <c r="F75" s="64" t="n">
        <f aca="false">IF(ISNUMBER(FIND("SALDO ANTERIOR",C75)),0,IF(ISNUMBER(FIND("SALDO DO DIA",C75)),0,IF(ISNUMBER(FIND("SALDO PARCIAL",C75)),0,IF(ISNUMBER(FIND("SDO CTA/APL AUTOMATICAS",C75)),0,IF(ISNUMBER(FIND("APL APLIC AUT MAIS",C75)),0,IF(ISNUMBER(FIND("TEC DEPOSITO",C75)),0,IF(E75&gt;0,0,E75*(-1))))))))</f>
        <v>75</v>
      </c>
      <c r="G75" s="65" t="n">
        <f aca="false">IF(ISNUMBER(FIND("SALDO ANTERIOR",C75)),0,IF(ISNUMBER(FIND("SALDO DO DIA",C75)),0,IF(ISNUMBER(FIND("SDO CTA/APL AUTOMATICAS",C75)),0,IF(ISNUMBER(FIND("TEC DEPOSITO",C75)),0,IF(ISNUMBER(FIND("APL APLIC AUT MAIS",C75)),E75,IF(E75&gt;0,E75,0))))))</f>
        <v>0</v>
      </c>
      <c r="H75" s="66" t="n">
        <v>43831</v>
      </c>
    </row>
    <row r="76" customFormat="false" ht="13.8" hidden="false" customHeight="false" outlineLevel="0" collapsed="false">
      <c r="A76" s="64" t="s">
        <v>29</v>
      </c>
      <c r="B76" s="60" t="s">
        <v>120</v>
      </c>
      <c r="C76" s="61" t="s">
        <v>70</v>
      </c>
      <c r="D76" s="62"/>
      <c r="E76" s="63" t="n">
        <v>534.37</v>
      </c>
      <c r="F76" s="64" t="n">
        <f aca="false">IF(ISNUMBER(FIND("SALDO ANTERIOR",C76)),0,IF(ISNUMBER(FIND("SALDO DO DIA",C76)),0,IF(ISNUMBER(FIND("SALDO PARCIAL",C76)),0,IF(ISNUMBER(FIND("SDO CTA/APL AUTOMATICAS",C76)),0,IF(ISNUMBER(FIND("APL APLIC AUT MAIS",C76)),0,IF(ISNUMBER(FIND("TEC DEPOSITO",C76)),0,IF(E76&gt;0,0,E76*(-1))))))))</f>
        <v>0</v>
      </c>
      <c r="G76" s="65" t="n">
        <f aca="false">IF(ISNUMBER(FIND("SALDO ANTERIOR",C76)),0,IF(ISNUMBER(FIND("SALDO DO DIA",C76)),0,IF(ISNUMBER(FIND("SDO CTA/APL AUTOMATICAS",C76)),0,IF(ISNUMBER(FIND("TEC DEPOSITO",C76)),0,IF(ISNUMBER(FIND("APL APLIC AUT MAIS",C76)),E76,IF(E76&gt;0,E76,0))))))</f>
        <v>534.37</v>
      </c>
      <c r="H76" s="66" t="n">
        <v>43831</v>
      </c>
    </row>
    <row r="77" customFormat="false" ht="13.8" hidden="false" customHeight="false" outlineLevel="0" collapsed="false">
      <c r="A77" s="64" t="s">
        <v>62</v>
      </c>
      <c r="B77" s="60" t="s">
        <v>132</v>
      </c>
      <c r="C77" s="61" t="s">
        <v>133</v>
      </c>
      <c r="D77" s="62" t="s">
        <v>64</v>
      </c>
      <c r="E77" s="67" t="n">
        <v>-100</v>
      </c>
      <c r="F77" s="64" t="n">
        <f aca="false">IF(ISNUMBER(FIND("SALDO ANTERIOR",C77)),0,IF(ISNUMBER(FIND("SALDO DO DIA",C77)),0,IF(ISNUMBER(FIND("SALDO PARCIAL",C77)),0,IF(ISNUMBER(FIND("SDO CTA/APL AUTOMATICAS",C77)),0,IF(ISNUMBER(FIND("APL APLIC AUT MAIS",C77)),0,IF(ISNUMBER(FIND("TEC DEPOSITO",C77)),0,IF(E77&gt;0,0,E77*(-1))))))))</f>
        <v>100</v>
      </c>
      <c r="G77" s="65" t="n">
        <f aca="false">IF(ISNUMBER(FIND("SALDO ANTERIOR",C77)),0,IF(ISNUMBER(FIND("SALDO DO DIA",C77)),0,IF(ISNUMBER(FIND("SDO CTA/APL AUTOMATICAS",C77)),0,IF(ISNUMBER(FIND("TEC DEPOSITO",C77)),0,IF(ISNUMBER(FIND("APL APLIC AUT MAIS",C77)),E77,IF(E77&gt;0,E77,0))))))</f>
        <v>0</v>
      </c>
      <c r="H77" s="66" t="n">
        <v>43831</v>
      </c>
    </row>
    <row r="78" customFormat="false" ht="13.8" hidden="false" customHeight="false" outlineLevel="0" collapsed="false">
      <c r="A78" s="59" t="s">
        <v>65</v>
      </c>
      <c r="B78" s="60" t="s">
        <v>132</v>
      </c>
      <c r="C78" s="61" t="s">
        <v>97</v>
      </c>
      <c r="D78" s="62" t="s">
        <v>64</v>
      </c>
      <c r="E78" s="67" t="n">
        <v>-21.95</v>
      </c>
      <c r="F78" s="64" t="n">
        <f aca="false">IF(ISNUMBER(FIND("SALDO ANTERIOR",C78)),0,IF(ISNUMBER(FIND("SALDO DO DIA",C78)),0,IF(ISNUMBER(FIND("SALDO PARCIAL",C78)),0,IF(ISNUMBER(FIND("SDO CTA/APL AUTOMATICAS",C78)),0,IF(ISNUMBER(FIND("APL APLIC AUT MAIS",C78)),0,IF(ISNUMBER(FIND("TEC DEPOSITO",C78)),0,IF(E78&gt;0,0,E78*(-1))))))))</f>
        <v>21.95</v>
      </c>
      <c r="G78" s="65" t="n">
        <f aca="false">IF(ISNUMBER(FIND("SALDO ANTERIOR",C78)),0,IF(ISNUMBER(FIND("SALDO DO DIA",C78)),0,IF(ISNUMBER(FIND("SDO CTA/APL AUTOMATICAS",C78)),0,IF(ISNUMBER(FIND("TEC DEPOSITO",C78)),0,IF(ISNUMBER(FIND("APL APLIC AUT MAIS",C78)),E78,IF(E78&gt;0,E78,0))))))</f>
        <v>0</v>
      </c>
      <c r="H78" s="66" t="n">
        <v>43831</v>
      </c>
    </row>
    <row r="79" customFormat="false" ht="13.8" hidden="false" customHeight="false" outlineLevel="0" collapsed="false">
      <c r="A79" s="59" t="s">
        <v>67</v>
      </c>
      <c r="B79" s="60" t="s">
        <v>132</v>
      </c>
      <c r="C79" s="61" t="s">
        <v>69</v>
      </c>
      <c r="D79" s="62"/>
      <c r="E79" s="63" t="n">
        <v>121.95</v>
      </c>
      <c r="F79" s="64" t="n">
        <f aca="false">IF(ISNUMBER(FIND("SALDO ANTERIOR",C79)),0,IF(ISNUMBER(FIND("SALDO DO DIA",C79)),0,IF(ISNUMBER(FIND("SALDO PARCIAL",C79)),0,IF(ISNUMBER(FIND("SDO CTA/APL AUTOMATICAS",C79)),0,IF(ISNUMBER(FIND("APL APLIC AUT MAIS",C79)),0,IF(ISNUMBER(FIND("TEC DEPOSITO",C79)),0,IF(E79&gt;0,0,E79*(-1))))))))</f>
        <v>0</v>
      </c>
      <c r="G79" s="65" t="n">
        <f aca="false">IF(ISNUMBER(FIND("SALDO ANTERIOR",C79)),0,IF(ISNUMBER(FIND("SALDO DO DIA",C79)),0,IF(ISNUMBER(FIND("SDO CTA/APL AUTOMATICAS",C79)),0,IF(ISNUMBER(FIND("TEC DEPOSITO",C79)),0,IF(ISNUMBER(FIND("APL APLIC AUT MAIS",C79)),E79,IF(E79&gt;0,E79,0))))))</f>
        <v>121.95</v>
      </c>
      <c r="H79" s="66" t="n">
        <v>43831</v>
      </c>
    </row>
    <row r="80" customFormat="false" ht="13.8" hidden="false" customHeight="false" outlineLevel="0" collapsed="false">
      <c r="A80" s="59" t="s">
        <v>29</v>
      </c>
      <c r="B80" s="60" t="s">
        <v>132</v>
      </c>
      <c r="C80" s="61" t="s">
        <v>70</v>
      </c>
      <c r="D80" s="62"/>
      <c r="E80" s="63" t="n">
        <v>412.42</v>
      </c>
      <c r="F80" s="64" t="n">
        <f aca="false">IF(ISNUMBER(FIND("SALDO ANTERIOR",C80)),0,IF(ISNUMBER(FIND("SALDO DO DIA",C80)),0,IF(ISNUMBER(FIND("SALDO PARCIAL",C80)),0,IF(ISNUMBER(FIND("SDO CTA/APL AUTOMATICAS",C80)),0,IF(ISNUMBER(FIND("APL APLIC AUT MAIS",C80)),0,IF(ISNUMBER(FIND("TEC DEPOSITO",C80)),0,IF(E80&gt;0,0,E80*(-1))))))))</f>
        <v>0</v>
      </c>
      <c r="G80" s="65" t="n">
        <f aca="false">IF(ISNUMBER(FIND("SALDO ANTERIOR",C80)),0,IF(ISNUMBER(FIND("SALDO DO DIA",C80)),0,IF(ISNUMBER(FIND("SDO CTA/APL AUTOMATICAS",C80)),0,IF(ISNUMBER(FIND("TEC DEPOSITO",C80)),0,IF(ISNUMBER(FIND("APL APLIC AUT MAIS",C80)),E80,IF(E80&gt;0,E80,0))))))</f>
        <v>412.42</v>
      </c>
      <c r="H80" s="66" t="n">
        <v>43831</v>
      </c>
    </row>
    <row r="81" customFormat="false" ht="13.8" hidden="false" customHeight="false" outlineLevel="0" collapsed="false">
      <c r="A81" s="59" t="s">
        <v>98</v>
      </c>
      <c r="B81" s="60" t="s">
        <v>134</v>
      </c>
      <c r="C81" s="61" t="s">
        <v>135</v>
      </c>
      <c r="D81" s="62" t="s">
        <v>64</v>
      </c>
      <c r="E81" s="67" t="n">
        <v>-37.98</v>
      </c>
      <c r="F81" s="64" t="n">
        <f aca="false">IF(ISNUMBER(FIND("SALDO ANTERIOR",C81)),0,IF(ISNUMBER(FIND("SALDO DO DIA",C81)),0,IF(ISNUMBER(FIND("SALDO PARCIAL",C81)),0,IF(ISNUMBER(FIND("SDO CTA/APL AUTOMATICAS",C81)),0,IF(ISNUMBER(FIND("APL APLIC AUT MAIS",C81)),0,IF(ISNUMBER(FIND("TEC DEPOSITO",C81)),0,IF(E81&gt;0,0,E81*(-1))))))))</f>
        <v>37.98</v>
      </c>
      <c r="G81" s="65" t="n">
        <f aca="false">IF(ISNUMBER(FIND("SALDO ANTERIOR",C81)),0,IF(ISNUMBER(FIND("SALDO DO DIA",C81)),0,IF(ISNUMBER(FIND("SDO CTA/APL AUTOMATICAS",C81)),0,IF(ISNUMBER(FIND("TEC DEPOSITO",C81)),0,IF(ISNUMBER(FIND("APL APLIC AUT MAIS",C81)),E81,IF(E81&gt;0,E81,0))))))</f>
        <v>0</v>
      </c>
      <c r="H81" s="66" t="n">
        <v>43831</v>
      </c>
    </row>
    <row r="82" customFormat="false" ht="13.8" hidden="false" customHeight="false" outlineLevel="0" collapsed="false">
      <c r="A82" s="59" t="s">
        <v>65</v>
      </c>
      <c r="B82" s="60" t="s">
        <v>134</v>
      </c>
      <c r="C82" s="61" t="s">
        <v>136</v>
      </c>
      <c r="D82" s="62" t="s">
        <v>64</v>
      </c>
      <c r="E82" s="67" t="n">
        <v>-22</v>
      </c>
      <c r="F82" s="64" t="n">
        <f aca="false">IF(ISNUMBER(FIND("SALDO ANTERIOR",C82)),0,IF(ISNUMBER(FIND("SALDO DO DIA",C82)),0,IF(ISNUMBER(FIND("SALDO PARCIAL",C82)),0,IF(ISNUMBER(FIND("SDO CTA/APL AUTOMATICAS",C82)),0,IF(ISNUMBER(FIND("APL APLIC AUT MAIS",C82)),0,IF(ISNUMBER(FIND("TEC DEPOSITO",C82)),0,IF(E82&gt;0,0,E82*(-1))))))))</f>
        <v>22</v>
      </c>
      <c r="G82" s="65" t="n">
        <f aca="false">IF(ISNUMBER(FIND("SALDO ANTERIOR",C82)),0,IF(ISNUMBER(FIND("SALDO DO DIA",C82)),0,IF(ISNUMBER(FIND("SDO CTA/APL AUTOMATICAS",C82)),0,IF(ISNUMBER(FIND("TEC DEPOSITO",C82)),0,IF(ISNUMBER(FIND("APL APLIC AUT MAIS",C82)),E82,IF(E82&gt;0,E82,0))))))</f>
        <v>0</v>
      </c>
      <c r="H82" s="66" t="n">
        <v>43831</v>
      </c>
    </row>
    <row r="83" customFormat="false" ht="13.8" hidden="false" customHeight="false" outlineLevel="0" collapsed="false">
      <c r="A83" s="59" t="s">
        <v>76</v>
      </c>
      <c r="B83" s="60" t="s">
        <v>134</v>
      </c>
      <c r="C83" s="61" t="s">
        <v>137</v>
      </c>
      <c r="D83" s="62" t="s">
        <v>64</v>
      </c>
      <c r="E83" s="67" t="n">
        <v>-6.9</v>
      </c>
      <c r="F83" s="64" t="n">
        <f aca="false">IF(ISNUMBER(FIND("SALDO ANTERIOR",C83)),0,IF(ISNUMBER(FIND("SALDO DO DIA",C83)),0,IF(ISNUMBER(FIND("SALDO PARCIAL",C83)),0,IF(ISNUMBER(FIND("SDO CTA/APL AUTOMATICAS",C83)),0,IF(ISNUMBER(FIND("APL APLIC AUT MAIS",C83)),0,IF(ISNUMBER(FIND("TEC DEPOSITO",C83)),0,IF(E83&gt;0,0,E83*(-1))))))))</f>
        <v>6.9</v>
      </c>
      <c r="G83" s="65" t="n">
        <f aca="false">IF(ISNUMBER(FIND("SALDO ANTERIOR",C83)),0,IF(ISNUMBER(FIND("SALDO DO DIA",C83)),0,IF(ISNUMBER(FIND("SDO CTA/APL AUTOMATICAS",C83)),0,IF(ISNUMBER(FIND("TEC DEPOSITO",C83)),0,IF(ISNUMBER(FIND("APL APLIC AUT MAIS",C83)),E83,IF(E83&gt;0,E83,0))))))</f>
        <v>0</v>
      </c>
      <c r="H83" s="66" t="n">
        <v>43831</v>
      </c>
    </row>
    <row r="84" customFormat="false" ht="13.8" hidden="false" customHeight="false" outlineLevel="0" collapsed="false">
      <c r="A84" s="53" t="s">
        <v>130</v>
      </c>
      <c r="B84" s="60" t="s">
        <v>134</v>
      </c>
      <c r="C84" s="61" t="s">
        <v>138</v>
      </c>
      <c r="D84" s="62"/>
      <c r="E84" s="63" t="n">
        <v>15</v>
      </c>
      <c r="F84" s="64" t="n">
        <f aca="false">IF(ISNUMBER(FIND("SALDO ANTERIOR",C84)),0,IF(ISNUMBER(FIND("SALDO DO DIA",C84)),0,IF(ISNUMBER(FIND("SALDO PARCIAL",C84)),0,IF(ISNUMBER(FIND("SDO CTA/APL AUTOMATICAS",C84)),0,IF(ISNUMBER(FIND("APL APLIC AUT MAIS",C84)),0,IF(ISNUMBER(FIND("TEC DEPOSITO",C84)),0,IF(E84&gt;0,0,E84*(-1))))))))</f>
        <v>0</v>
      </c>
      <c r="G84" s="65" t="n">
        <f aca="false">IF(ISNUMBER(FIND("SALDO ANTERIOR",C84)),0,IF(ISNUMBER(FIND("SALDO DO DIA",C84)),0,IF(ISNUMBER(FIND("SDO CTA/APL AUTOMATICAS",C84)),0,IF(ISNUMBER(FIND("TEC DEPOSITO",C84)),0,IF(ISNUMBER(FIND("APL APLIC AUT MAIS",C84)),E84,IF(E84&gt;0,E84,0))))))</f>
        <v>15</v>
      </c>
      <c r="H84" s="66" t="n">
        <v>43831</v>
      </c>
    </row>
    <row r="85" customFormat="false" ht="13.8" hidden="false" customHeight="false" outlineLevel="0" collapsed="false">
      <c r="A85" s="59" t="s">
        <v>67</v>
      </c>
      <c r="B85" s="60" t="s">
        <v>134</v>
      </c>
      <c r="C85" s="61" t="s">
        <v>69</v>
      </c>
      <c r="D85" s="62"/>
      <c r="E85" s="63" t="n">
        <v>51.88</v>
      </c>
      <c r="F85" s="64" t="n">
        <f aca="false">IF(ISNUMBER(FIND("SALDO ANTERIOR",C85)),0,IF(ISNUMBER(FIND("SALDO DO DIA",C85)),0,IF(ISNUMBER(FIND("SALDO PARCIAL",C85)),0,IF(ISNUMBER(FIND("SDO CTA/APL AUTOMATICAS",C85)),0,IF(ISNUMBER(FIND("APL APLIC AUT MAIS",C85)),0,IF(ISNUMBER(FIND("TEC DEPOSITO",C85)),0,IF(E85&gt;0,0,E85*(-1))))))))</f>
        <v>0</v>
      </c>
      <c r="G85" s="65" t="n">
        <f aca="false">IF(ISNUMBER(FIND("SALDO ANTERIOR",C85)),0,IF(ISNUMBER(FIND("SALDO DO DIA",C85)),0,IF(ISNUMBER(FIND("SDO CTA/APL AUTOMATICAS",C85)),0,IF(ISNUMBER(FIND("TEC DEPOSITO",C85)),0,IF(ISNUMBER(FIND("APL APLIC AUT MAIS",C85)),E85,IF(E85&gt;0,E85,0))))))</f>
        <v>51.88</v>
      </c>
      <c r="H85" s="66" t="n">
        <v>43831</v>
      </c>
    </row>
    <row r="86" customFormat="false" ht="13.8" hidden="false" customHeight="false" outlineLevel="0" collapsed="false">
      <c r="A86" s="59" t="s">
        <v>29</v>
      </c>
      <c r="B86" s="60" t="s">
        <v>134</v>
      </c>
      <c r="C86" s="61" t="s">
        <v>70</v>
      </c>
      <c r="D86" s="62"/>
      <c r="E86" s="63" t="n">
        <v>360.54</v>
      </c>
      <c r="F86" s="64" t="n">
        <f aca="false">IF(ISNUMBER(FIND("SALDO ANTERIOR",C86)),0,IF(ISNUMBER(FIND("SALDO DO DIA",C86)),0,IF(ISNUMBER(FIND("SALDO PARCIAL",C86)),0,IF(ISNUMBER(FIND("SDO CTA/APL AUTOMATICAS",C86)),0,IF(ISNUMBER(FIND("APL APLIC AUT MAIS",C86)),0,IF(ISNUMBER(FIND("TEC DEPOSITO",C86)),0,IF(E86&gt;0,0,E86*(-1))))))))</f>
        <v>0</v>
      </c>
      <c r="G86" s="65" t="n">
        <f aca="false">IF(ISNUMBER(FIND("SALDO ANTERIOR",C86)),0,IF(ISNUMBER(FIND("SALDO DO DIA",C86)),0,IF(ISNUMBER(FIND("SDO CTA/APL AUTOMATICAS",C86)),0,IF(ISNUMBER(FIND("TEC DEPOSITO",C86)),0,IF(ISNUMBER(FIND("APL APLIC AUT MAIS",C86)),E86,IF(E86&gt;0,E86,0))))))</f>
        <v>360.54</v>
      </c>
      <c r="H86" s="66" t="n">
        <v>43831</v>
      </c>
    </row>
    <row r="87" customFormat="false" ht="13.8" hidden="false" customHeight="false" outlineLevel="0" collapsed="false">
      <c r="A87" s="59" t="s">
        <v>65</v>
      </c>
      <c r="B87" s="60" t="s">
        <v>139</v>
      </c>
      <c r="C87" s="61" t="s">
        <v>97</v>
      </c>
      <c r="D87" s="62" t="s">
        <v>64</v>
      </c>
      <c r="E87" s="67" t="n">
        <v>-14.26</v>
      </c>
      <c r="F87" s="64" t="n">
        <f aca="false">IF(ISNUMBER(FIND("SALDO ANTERIOR",C87)),0,IF(ISNUMBER(FIND("SALDO DO DIA",C87)),0,IF(ISNUMBER(FIND("SALDO PARCIAL",C87)),0,IF(ISNUMBER(FIND("SDO CTA/APL AUTOMATICAS",C87)),0,IF(ISNUMBER(FIND("APL APLIC AUT MAIS",C87)),0,IF(ISNUMBER(FIND("TEC DEPOSITO",C87)),0,IF(E87&gt;0,0,E87*(-1))))))))</f>
        <v>14.26</v>
      </c>
      <c r="G87" s="65" t="n">
        <f aca="false">IF(ISNUMBER(FIND("SALDO ANTERIOR",C87)),0,IF(ISNUMBER(FIND("SALDO DO DIA",C87)),0,IF(ISNUMBER(FIND("SDO CTA/APL AUTOMATICAS",C87)),0,IF(ISNUMBER(FIND("TEC DEPOSITO",C87)),0,IF(ISNUMBER(FIND("APL APLIC AUT MAIS",C87)),E87,IF(E87&gt;0,E87,0))))))</f>
        <v>0</v>
      </c>
      <c r="H87" s="66" t="n">
        <v>43831</v>
      </c>
    </row>
    <row r="88" customFormat="false" ht="13.8" hidden="false" customHeight="false" outlineLevel="0" collapsed="false">
      <c r="A88" s="59" t="s">
        <v>67</v>
      </c>
      <c r="B88" s="60" t="s">
        <v>139</v>
      </c>
      <c r="C88" s="61" t="s">
        <v>69</v>
      </c>
      <c r="D88" s="62"/>
      <c r="E88" s="63" t="n">
        <v>14.26</v>
      </c>
      <c r="F88" s="64" t="n">
        <f aca="false">IF(ISNUMBER(FIND("SALDO ANTERIOR",C88)),0,IF(ISNUMBER(FIND("SALDO DO DIA",C88)),0,IF(ISNUMBER(FIND("SALDO PARCIAL",C88)),0,IF(ISNUMBER(FIND("SDO CTA/APL AUTOMATICAS",C88)),0,IF(ISNUMBER(FIND("APL APLIC AUT MAIS",C88)),0,IF(ISNUMBER(FIND("TEC DEPOSITO",C88)),0,IF(E88&gt;0,0,E88*(-1))))))))</f>
        <v>0</v>
      </c>
      <c r="G88" s="65" t="n">
        <f aca="false">IF(ISNUMBER(FIND("SALDO ANTERIOR",C88)),0,IF(ISNUMBER(FIND("SALDO DO DIA",C88)),0,IF(ISNUMBER(FIND("SDO CTA/APL AUTOMATICAS",C88)),0,IF(ISNUMBER(FIND("TEC DEPOSITO",C88)),0,IF(ISNUMBER(FIND("APL APLIC AUT MAIS",C88)),E88,IF(E88&gt;0,E88,0))))))</f>
        <v>14.26</v>
      </c>
      <c r="H88" s="66" t="n">
        <v>43831</v>
      </c>
    </row>
    <row r="89" customFormat="false" ht="13.8" hidden="false" customHeight="false" outlineLevel="0" collapsed="false">
      <c r="A89" s="59" t="s">
        <v>29</v>
      </c>
      <c r="B89" s="60" t="s">
        <v>139</v>
      </c>
      <c r="C89" s="61" t="s">
        <v>70</v>
      </c>
      <c r="D89" s="62"/>
      <c r="E89" s="63" t="n">
        <v>346.28</v>
      </c>
      <c r="F89" s="64" t="n">
        <f aca="false">IF(ISNUMBER(FIND("SALDO ANTERIOR",C89)),0,IF(ISNUMBER(FIND("SALDO DO DIA",C89)),0,IF(ISNUMBER(FIND("SALDO PARCIAL",C89)),0,IF(ISNUMBER(FIND("SDO CTA/APL AUTOMATICAS",C89)),0,IF(ISNUMBER(FIND("APL APLIC AUT MAIS",C89)),0,IF(ISNUMBER(FIND("TEC DEPOSITO",C89)),0,IF(E89&gt;0,0,E89*(-1))))))))</f>
        <v>0</v>
      </c>
      <c r="G89" s="65" t="n">
        <f aca="false">IF(ISNUMBER(FIND("SALDO ANTERIOR",C89)),0,IF(ISNUMBER(FIND("SALDO DO DIA",C89)),0,IF(ISNUMBER(FIND("SDO CTA/APL AUTOMATICAS",C89)),0,IF(ISNUMBER(FIND("TEC DEPOSITO",C89)),0,IF(ISNUMBER(FIND("APL APLIC AUT MAIS",C89)),E89,IF(E89&gt;0,E89,0))))))</f>
        <v>346.28</v>
      </c>
      <c r="H89" s="66" t="n">
        <v>43831</v>
      </c>
    </row>
    <row r="90" customFormat="false" ht="13.8" hidden="false" customHeight="false" outlineLevel="0" collapsed="false">
      <c r="A90" s="59" t="s">
        <v>29</v>
      </c>
      <c r="B90" s="60" t="s">
        <v>140</v>
      </c>
      <c r="C90" s="61" t="s">
        <v>70</v>
      </c>
      <c r="D90" s="62"/>
      <c r="E90" s="63" t="n">
        <v>346.28</v>
      </c>
      <c r="F90" s="64" t="n">
        <f aca="false">IF(ISNUMBER(FIND("SALDO ANTERIOR",C90)),0,IF(ISNUMBER(FIND("SALDO DO DIA",C90)),0,IF(ISNUMBER(FIND("SALDO PARCIAL",C90)),0,IF(ISNUMBER(FIND("SDO CTA/APL AUTOMATICAS",C90)),0,IF(ISNUMBER(FIND("APL APLIC AUT MAIS",C90)),0,IF(ISNUMBER(FIND("TEC DEPOSITO",C90)),0,IF(E90&gt;0,0,E90*(-1))))))))</f>
        <v>0</v>
      </c>
      <c r="G90" s="65" t="n">
        <f aca="false">IF(ISNUMBER(FIND("SALDO ANTERIOR",C90)),0,IF(ISNUMBER(FIND("SALDO DO DIA",C90)),0,IF(ISNUMBER(FIND("SDO CTA/APL AUTOMATICAS",C90)),0,IF(ISNUMBER(FIND("TEC DEPOSITO",C90)),0,IF(ISNUMBER(FIND("APL APLIC AUT MAIS",C90)),E90,IF(E90&gt;0,E90,0))))))</f>
        <v>346.28</v>
      </c>
      <c r="H90" s="66" t="n">
        <v>43831</v>
      </c>
    </row>
    <row r="91" customFormat="false" ht="13.8" hidden="false" customHeight="false" outlineLevel="0" collapsed="false">
      <c r="A91" s="59" t="s">
        <v>65</v>
      </c>
      <c r="B91" s="60" t="s">
        <v>141</v>
      </c>
      <c r="C91" s="61" t="s">
        <v>97</v>
      </c>
      <c r="D91" s="62" t="s">
        <v>64</v>
      </c>
      <c r="E91" s="67" t="n">
        <v>-2.99</v>
      </c>
      <c r="F91" s="64" t="n">
        <f aca="false">IF(ISNUMBER(FIND("SALDO ANTERIOR",C91)),0,IF(ISNUMBER(FIND("SALDO DO DIA",C91)),0,IF(ISNUMBER(FIND("SALDO PARCIAL",C91)),0,IF(ISNUMBER(FIND("SDO CTA/APL AUTOMATICAS",C91)),0,IF(ISNUMBER(FIND("APL APLIC AUT MAIS",C91)),0,IF(ISNUMBER(FIND("TEC DEPOSITO",C91)),0,IF(E91&gt;0,0,E91*(-1))))))))</f>
        <v>2.99</v>
      </c>
      <c r="G91" s="65" t="n">
        <f aca="false">IF(ISNUMBER(FIND("SALDO ANTERIOR",C91)),0,IF(ISNUMBER(FIND("SALDO DO DIA",C91)),0,IF(ISNUMBER(FIND("SDO CTA/APL AUTOMATICAS",C91)),0,IF(ISNUMBER(FIND("TEC DEPOSITO",C91)),0,IF(ISNUMBER(FIND("APL APLIC AUT MAIS",C91)),E91,IF(E91&gt;0,E91,0))))))</f>
        <v>0</v>
      </c>
      <c r="H91" s="66" t="n">
        <v>43831</v>
      </c>
    </row>
    <row r="92" customFormat="false" ht="13.8" hidden="false" customHeight="false" outlineLevel="0" collapsed="false">
      <c r="A92" s="59" t="s">
        <v>142</v>
      </c>
      <c r="B92" s="60" t="s">
        <v>141</v>
      </c>
      <c r="C92" s="61" t="s">
        <v>143</v>
      </c>
      <c r="D92" s="62" t="s">
        <v>64</v>
      </c>
      <c r="E92" s="67" t="n">
        <v>-9.9</v>
      </c>
      <c r="F92" s="64" t="n">
        <f aca="false">IF(ISNUMBER(FIND("SALDO ANTERIOR",C92)),0,IF(ISNUMBER(FIND("SALDO DO DIA",C92)),0,IF(ISNUMBER(FIND("SALDO PARCIAL",C92)),0,IF(ISNUMBER(FIND("SDO CTA/APL AUTOMATICAS",C92)),0,IF(ISNUMBER(FIND("APL APLIC AUT MAIS",C92)),0,IF(ISNUMBER(FIND("TEC DEPOSITO",C92)),0,IF(E92&gt;0,0,E92*(-1))))))))</f>
        <v>9.9</v>
      </c>
      <c r="G92" s="65" t="n">
        <f aca="false">IF(ISNUMBER(FIND("SALDO ANTERIOR",C92)),0,IF(ISNUMBER(FIND("SALDO DO DIA",C92)),0,IF(ISNUMBER(FIND("SDO CTA/APL AUTOMATICAS",C92)),0,IF(ISNUMBER(FIND("TEC DEPOSITO",C92)),0,IF(ISNUMBER(FIND("APL APLIC AUT MAIS",C92)),E92,IF(E92&gt;0,E92,0))))))</f>
        <v>0</v>
      </c>
      <c r="H92" s="66" t="n">
        <v>43831</v>
      </c>
    </row>
    <row r="93" customFormat="false" ht="13.8" hidden="false" customHeight="false" outlineLevel="0" collapsed="false">
      <c r="A93" s="59" t="s">
        <v>67</v>
      </c>
      <c r="B93" s="60" t="s">
        <v>141</v>
      </c>
      <c r="C93" s="61" t="s">
        <v>69</v>
      </c>
      <c r="D93" s="62"/>
      <c r="E93" s="63" t="n">
        <v>12.89</v>
      </c>
      <c r="F93" s="64" t="n">
        <f aca="false">IF(ISNUMBER(FIND("SALDO ANTERIOR",C93)),0,IF(ISNUMBER(FIND("SALDO DO DIA",C93)),0,IF(ISNUMBER(FIND("SALDO PARCIAL",C93)),0,IF(ISNUMBER(FIND("SDO CTA/APL AUTOMATICAS",C93)),0,IF(ISNUMBER(FIND("APL APLIC AUT MAIS",C93)),0,IF(ISNUMBER(FIND("TEC DEPOSITO",C93)),0,IF(E93&gt;0,0,E93*(-1))))))))</f>
        <v>0</v>
      </c>
      <c r="G93" s="65" t="n">
        <f aca="false">IF(ISNUMBER(FIND("SALDO ANTERIOR",C93)),0,IF(ISNUMBER(FIND("SALDO DO DIA",C93)),0,IF(ISNUMBER(FIND("SDO CTA/APL AUTOMATICAS",C93)),0,IF(ISNUMBER(FIND("TEC DEPOSITO",C93)),0,IF(ISNUMBER(FIND("APL APLIC AUT MAIS",C93)),E93,IF(E93&gt;0,E93,0))))))</f>
        <v>12.89</v>
      </c>
      <c r="H93" s="66" t="n">
        <v>43831</v>
      </c>
    </row>
    <row r="94" customFormat="false" ht="13.8" hidden="false" customHeight="false" outlineLevel="0" collapsed="false">
      <c r="A94" s="59" t="s">
        <v>29</v>
      </c>
      <c r="B94" s="60" t="s">
        <v>141</v>
      </c>
      <c r="C94" s="61" t="s">
        <v>70</v>
      </c>
      <c r="D94" s="62"/>
      <c r="E94" s="63" t="n">
        <v>333.39</v>
      </c>
      <c r="F94" s="64" t="n">
        <f aca="false">IF(ISNUMBER(FIND("SALDO ANTERIOR",C94)),0,IF(ISNUMBER(FIND("SALDO DO DIA",C94)),0,IF(ISNUMBER(FIND("SALDO PARCIAL",C94)),0,IF(ISNUMBER(FIND("SDO CTA/APL AUTOMATICAS",C94)),0,IF(ISNUMBER(FIND("APL APLIC AUT MAIS",C94)),0,IF(ISNUMBER(FIND("TEC DEPOSITO",C94)),0,IF(E94&gt;0,0,E94*(-1))))))))</f>
        <v>0</v>
      </c>
      <c r="G94" s="65" t="n">
        <f aca="false">IF(ISNUMBER(FIND("SALDO ANTERIOR",C94)),0,IF(ISNUMBER(FIND("SALDO DO DIA",C94)),0,IF(ISNUMBER(FIND("SDO CTA/APL AUTOMATICAS",C94)),0,IF(ISNUMBER(FIND("TEC DEPOSITO",C94)),0,IF(ISNUMBER(FIND("APL APLIC AUT MAIS",C94)),E94,IF(E94&gt;0,E94,0))))))</f>
        <v>333.39</v>
      </c>
      <c r="H94" s="66" t="n">
        <v>43831</v>
      </c>
    </row>
    <row r="95" customFormat="false" ht="13.8" hidden="false" customHeight="false" outlineLevel="0" collapsed="false">
      <c r="A95" s="59" t="s">
        <v>29</v>
      </c>
      <c r="B95" s="60" t="s">
        <v>144</v>
      </c>
      <c r="C95" s="61" t="s">
        <v>70</v>
      </c>
      <c r="D95" s="62"/>
      <c r="E95" s="63" t="n">
        <v>333.39</v>
      </c>
      <c r="F95" s="64" t="n">
        <f aca="false">IF(ISNUMBER(FIND("SALDO ANTERIOR",C95)),0,IF(ISNUMBER(FIND("SALDO DO DIA",C95)),0,IF(ISNUMBER(FIND("SALDO PARCIAL",C95)),0,IF(ISNUMBER(FIND("SDO CTA/APL AUTOMATICAS",C95)),0,IF(ISNUMBER(FIND("APL APLIC AUT MAIS",C95)),0,IF(ISNUMBER(FIND("TEC DEPOSITO",C95)),0,IF(E95&gt;0,0,E95*(-1))))))))</f>
        <v>0</v>
      </c>
      <c r="G95" s="65" t="n">
        <f aca="false">IF(ISNUMBER(FIND("SALDO ANTERIOR",C95)),0,IF(ISNUMBER(FIND("SALDO DO DIA",C95)),0,IF(ISNUMBER(FIND("SDO CTA/APL AUTOMATICAS",C95)),0,IF(ISNUMBER(FIND("TEC DEPOSITO",C95)),0,IF(ISNUMBER(FIND("APL APLIC AUT MAIS",C95)),E95,IF(E95&gt;0,E95,0))))))</f>
        <v>333.39</v>
      </c>
      <c r="H95" s="66" t="n">
        <v>43831</v>
      </c>
    </row>
    <row r="96" customFormat="false" ht="13.8" hidden="false" customHeight="false" outlineLevel="0" collapsed="false">
      <c r="A96" s="59" t="s">
        <v>76</v>
      </c>
      <c r="B96" s="60" t="s">
        <v>145</v>
      </c>
      <c r="C96" s="61" t="s">
        <v>102</v>
      </c>
      <c r="D96" s="62" t="s">
        <v>64</v>
      </c>
      <c r="E96" s="67" t="n">
        <v>-10</v>
      </c>
      <c r="F96" s="64" t="n">
        <f aca="false">IF(ISNUMBER(FIND("SALDO ANTERIOR",C96)),0,IF(ISNUMBER(FIND("SALDO DO DIA",C96)),0,IF(ISNUMBER(FIND("SALDO PARCIAL",C96)),0,IF(ISNUMBER(FIND("SDO CTA/APL AUTOMATICAS",C96)),0,IF(ISNUMBER(FIND("APL APLIC AUT MAIS",C96)),0,IF(ISNUMBER(FIND("TEC DEPOSITO",C96)),0,IF(E96&gt;0,0,E96*(-1))))))))</f>
        <v>10</v>
      </c>
      <c r="G96" s="65" t="n">
        <f aca="false">IF(ISNUMBER(FIND("SALDO ANTERIOR",C96)),0,IF(ISNUMBER(FIND("SALDO DO DIA",C96)),0,IF(ISNUMBER(FIND("SDO CTA/APL AUTOMATICAS",C96)),0,IF(ISNUMBER(FIND("TEC DEPOSITO",C96)),0,IF(ISNUMBER(FIND("APL APLIC AUT MAIS",C96)),E96,IF(E96&gt;0,E96,0))))))</f>
        <v>0</v>
      </c>
      <c r="H96" s="66" t="n">
        <v>43831</v>
      </c>
    </row>
    <row r="97" customFormat="false" ht="13.8" hidden="false" customHeight="false" outlineLevel="0" collapsed="false">
      <c r="A97" s="59" t="s">
        <v>98</v>
      </c>
      <c r="B97" s="60" t="s">
        <v>145</v>
      </c>
      <c r="C97" s="61" t="s">
        <v>146</v>
      </c>
      <c r="D97" s="62" t="s">
        <v>64</v>
      </c>
      <c r="E97" s="67" t="n">
        <v>-120.17</v>
      </c>
      <c r="F97" s="64" t="n">
        <f aca="false">IF(ISNUMBER(FIND("SALDO ANTERIOR",C97)),0,IF(ISNUMBER(FIND("SALDO DO DIA",C97)),0,IF(ISNUMBER(FIND("SALDO PARCIAL",C97)),0,IF(ISNUMBER(FIND("SDO CTA/APL AUTOMATICAS",C97)),0,IF(ISNUMBER(FIND("APL APLIC AUT MAIS",C97)),0,IF(ISNUMBER(FIND("TEC DEPOSITO",C97)),0,IF(E97&gt;0,0,E97*(-1))))))))</f>
        <v>120.17</v>
      </c>
      <c r="G97" s="65" t="n">
        <f aca="false">IF(ISNUMBER(FIND("SALDO ANTERIOR",C97)),0,IF(ISNUMBER(FIND("SALDO DO DIA",C97)),0,IF(ISNUMBER(FIND("SDO CTA/APL AUTOMATICAS",C97)),0,IF(ISNUMBER(FIND("TEC DEPOSITO",C97)),0,IF(ISNUMBER(FIND("APL APLIC AUT MAIS",C97)),E97,IF(E97&gt;0,E97,0))))))</f>
        <v>0</v>
      </c>
      <c r="H97" s="66" t="n">
        <v>43831</v>
      </c>
    </row>
    <row r="98" customFormat="false" ht="13.8" hidden="false" customHeight="false" outlineLevel="0" collapsed="false">
      <c r="A98" s="59" t="s">
        <v>67</v>
      </c>
      <c r="B98" s="60" t="s">
        <v>145</v>
      </c>
      <c r="C98" s="61" t="s">
        <v>69</v>
      </c>
      <c r="D98" s="62"/>
      <c r="E98" s="63" t="n">
        <v>130.17</v>
      </c>
      <c r="F98" s="64" t="n">
        <f aca="false">IF(ISNUMBER(FIND("SALDO ANTERIOR",C98)),0,IF(ISNUMBER(FIND("SALDO DO DIA",C98)),0,IF(ISNUMBER(FIND("SALDO PARCIAL",C98)),0,IF(ISNUMBER(FIND("SDO CTA/APL AUTOMATICAS",C98)),0,IF(ISNUMBER(FIND("APL APLIC AUT MAIS",C98)),0,IF(ISNUMBER(FIND("TEC DEPOSITO",C98)),0,IF(E98&gt;0,0,E98*(-1))))))))</f>
        <v>0</v>
      </c>
      <c r="G98" s="65" t="n">
        <f aca="false">IF(ISNUMBER(FIND("SALDO ANTERIOR",C98)),0,IF(ISNUMBER(FIND("SALDO DO DIA",C98)),0,IF(ISNUMBER(FIND("SDO CTA/APL AUTOMATICAS",C98)),0,IF(ISNUMBER(FIND("TEC DEPOSITO",C98)),0,IF(ISNUMBER(FIND("APL APLIC AUT MAIS",C98)),E98,IF(E98&gt;0,E98,0))))))</f>
        <v>130.17</v>
      </c>
      <c r="H98" s="66" t="n">
        <v>43831</v>
      </c>
    </row>
    <row r="99" customFormat="false" ht="13.8" hidden="false" customHeight="false" outlineLevel="0" collapsed="false">
      <c r="A99" s="59" t="s">
        <v>29</v>
      </c>
      <c r="B99" s="60" t="s">
        <v>145</v>
      </c>
      <c r="C99" s="61" t="s">
        <v>70</v>
      </c>
      <c r="D99" s="62"/>
      <c r="E99" s="63" t="n">
        <v>203.22</v>
      </c>
      <c r="F99" s="64" t="n">
        <f aca="false">IF(ISNUMBER(FIND("SALDO ANTERIOR",C99)),0,IF(ISNUMBER(FIND("SALDO DO DIA",C99)),0,IF(ISNUMBER(FIND("SALDO PARCIAL",C99)),0,IF(ISNUMBER(FIND("SDO CTA/APL AUTOMATICAS",C99)),0,IF(ISNUMBER(FIND("APL APLIC AUT MAIS",C99)),0,IF(ISNUMBER(FIND("TEC DEPOSITO",C99)),0,IF(E99&gt;0,0,E99*(-1))))))))</f>
        <v>0</v>
      </c>
      <c r="G99" s="65" t="n">
        <f aca="false">IF(ISNUMBER(FIND("SALDO ANTERIOR",C99)),0,IF(ISNUMBER(FIND("SALDO DO DIA",C99)),0,IF(ISNUMBER(FIND("SDO CTA/APL AUTOMATICAS",C99)),0,IF(ISNUMBER(FIND("TEC DEPOSITO",C99)),0,IF(ISNUMBER(FIND("APL APLIC AUT MAIS",C99)),E99,IF(E99&gt;0,E99,0))))))</f>
        <v>203.22</v>
      </c>
      <c r="H99" s="66" t="n">
        <v>43831</v>
      </c>
    </row>
    <row r="100" customFormat="false" ht="13.8" hidden="false" customHeight="false" outlineLevel="0" collapsed="false">
      <c r="A100" s="59" t="s">
        <v>71</v>
      </c>
      <c r="B100" s="60" t="s">
        <v>147</v>
      </c>
      <c r="C100" s="61" t="s">
        <v>85</v>
      </c>
      <c r="D100" s="62" t="s">
        <v>64</v>
      </c>
      <c r="E100" s="67" t="n">
        <v>-13.9</v>
      </c>
      <c r="F100" s="64" t="n">
        <f aca="false">IF(ISNUMBER(FIND("SALDO ANTERIOR",C100)),0,IF(ISNUMBER(FIND("SALDO DO DIA",C100)),0,IF(ISNUMBER(FIND("SALDO PARCIAL",C100)),0,IF(ISNUMBER(FIND("SDO CTA/APL AUTOMATICAS",C100)),0,IF(ISNUMBER(FIND("APL APLIC AUT MAIS",C100)),0,IF(ISNUMBER(FIND("TEC DEPOSITO",C100)),0,IF(E100&gt;0,0,E100*(-1))))))))</f>
        <v>13.9</v>
      </c>
      <c r="G100" s="65" t="n">
        <f aca="false">IF(ISNUMBER(FIND("SALDO ANTERIOR",C100)),0,IF(ISNUMBER(FIND("SALDO DO DIA",C100)),0,IF(ISNUMBER(FIND("SDO CTA/APL AUTOMATICAS",C100)),0,IF(ISNUMBER(FIND("TEC DEPOSITO",C100)),0,IF(ISNUMBER(FIND("APL APLIC AUT MAIS",C100)),E100,IF(E100&gt;0,E100,0))))))</f>
        <v>0</v>
      </c>
      <c r="H100" s="66" t="n">
        <v>43831</v>
      </c>
    </row>
    <row r="101" customFormat="false" ht="13.8" hidden="false" customHeight="false" outlineLevel="0" collapsed="false">
      <c r="A101" s="59" t="s">
        <v>148</v>
      </c>
      <c r="B101" s="60" t="s">
        <v>147</v>
      </c>
      <c r="C101" s="61" t="s">
        <v>149</v>
      </c>
      <c r="D101" s="62" t="s">
        <v>64</v>
      </c>
      <c r="E101" s="67" t="n">
        <v>-133.1</v>
      </c>
      <c r="F101" s="64" t="n">
        <f aca="false">IF(ISNUMBER(FIND("SALDO ANTERIOR",C101)),0,IF(ISNUMBER(FIND("SALDO DO DIA",C101)),0,IF(ISNUMBER(FIND("SALDO PARCIAL",C101)),0,IF(ISNUMBER(FIND("SDO CTA/APL AUTOMATICAS",C101)),0,IF(ISNUMBER(FIND("APL APLIC AUT MAIS",C101)),0,IF(ISNUMBER(FIND("TEC DEPOSITO",C101)),0,IF(E101&gt;0,0,E101*(-1))))))))</f>
        <v>133.1</v>
      </c>
      <c r="G101" s="65" t="n">
        <f aca="false">IF(ISNUMBER(FIND("SALDO ANTERIOR",C101)),0,IF(ISNUMBER(FIND("SALDO DO DIA",C101)),0,IF(ISNUMBER(FIND("SDO CTA/APL AUTOMATICAS",C101)),0,IF(ISNUMBER(FIND("TEC DEPOSITO",C101)),0,IF(ISNUMBER(FIND("APL APLIC AUT MAIS",C101)),E101,IF(E101&gt;0,E101,0))))))</f>
        <v>0</v>
      </c>
      <c r="H101" s="66" t="n">
        <v>43831</v>
      </c>
    </row>
    <row r="102" customFormat="false" ht="13.8" hidden="false" customHeight="false" outlineLevel="0" collapsed="false">
      <c r="A102" s="59" t="s">
        <v>65</v>
      </c>
      <c r="B102" s="60" t="s">
        <v>147</v>
      </c>
      <c r="C102" s="61" t="s">
        <v>150</v>
      </c>
      <c r="D102" s="62" t="s">
        <v>64</v>
      </c>
      <c r="E102" s="67" t="n">
        <v>-5</v>
      </c>
      <c r="F102" s="64" t="n">
        <f aca="false">IF(ISNUMBER(FIND("SALDO ANTERIOR",C102)),0,IF(ISNUMBER(FIND("SALDO DO DIA",C102)),0,IF(ISNUMBER(FIND("SALDO PARCIAL",C102)),0,IF(ISNUMBER(FIND("SDO CTA/APL AUTOMATICAS",C102)),0,IF(ISNUMBER(FIND("APL APLIC AUT MAIS",C102)),0,IF(ISNUMBER(FIND("TEC DEPOSITO",C102)),0,IF(E102&gt;0,0,E102*(-1))))))))</f>
        <v>5</v>
      </c>
      <c r="G102" s="65" t="n">
        <f aca="false">IF(ISNUMBER(FIND("SALDO ANTERIOR",C102)),0,IF(ISNUMBER(FIND("SALDO DO DIA",C102)),0,IF(ISNUMBER(FIND("SDO CTA/APL AUTOMATICAS",C102)),0,IF(ISNUMBER(FIND("TEC DEPOSITO",C102)),0,IF(ISNUMBER(FIND("APL APLIC AUT MAIS",C102)),E102,IF(E102&gt;0,E102,0))))))</f>
        <v>0</v>
      </c>
      <c r="H102" s="66" t="n">
        <v>43831</v>
      </c>
    </row>
    <row r="103" customFormat="false" ht="13.8" hidden="false" customHeight="false" outlineLevel="0" collapsed="false">
      <c r="A103" s="59" t="s">
        <v>65</v>
      </c>
      <c r="B103" s="60" t="s">
        <v>147</v>
      </c>
      <c r="C103" s="61" t="s">
        <v>151</v>
      </c>
      <c r="D103" s="62" t="s">
        <v>64</v>
      </c>
      <c r="E103" s="67" t="n">
        <v>-41</v>
      </c>
      <c r="F103" s="64" t="n">
        <f aca="false">IF(ISNUMBER(FIND("SALDO ANTERIOR",C103)),0,IF(ISNUMBER(FIND("SALDO DO DIA",C103)),0,IF(ISNUMBER(FIND("SALDO PARCIAL",C103)),0,IF(ISNUMBER(FIND("SDO CTA/APL AUTOMATICAS",C103)),0,IF(ISNUMBER(FIND("APL APLIC AUT MAIS",C103)),0,IF(ISNUMBER(FIND("TEC DEPOSITO",C103)),0,IF(E103&gt;0,0,E103*(-1))))))))</f>
        <v>41</v>
      </c>
      <c r="G103" s="65" t="n">
        <f aca="false">IF(ISNUMBER(FIND("SALDO ANTERIOR",C103)),0,IF(ISNUMBER(FIND("SALDO DO DIA",C103)),0,IF(ISNUMBER(FIND("SDO CTA/APL AUTOMATICAS",C103)),0,IF(ISNUMBER(FIND("TEC DEPOSITO",C103)),0,IF(ISNUMBER(FIND("APL APLIC AUT MAIS",C103)),E103,IF(E103&gt;0,E103,0))))))</f>
        <v>0</v>
      </c>
      <c r="H103" s="66" t="n">
        <v>43831</v>
      </c>
    </row>
    <row r="104" customFormat="false" ht="13.8" hidden="false" customHeight="false" outlineLevel="0" collapsed="false">
      <c r="A104" s="59" t="s">
        <v>65</v>
      </c>
      <c r="B104" s="60" t="s">
        <v>147</v>
      </c>
      <c r="C104" s="61" t="s">
        <v>152</v>
      </c>
      <c r="D104" s="62" t="s">
        <v>64</v>
      </c>
      <c r="E104" s="67" t="n">
        <v>-7.5</v>
      </c>
      <c r="F104" s="64" t="n">
        <f aca="false">IF(ISNUMBER(FIND("SALDO ANTERIOR",C104)),0,IF(ISNUMBER(FIND("SALDO DO DIA",C104)),0,IF(ISNUMBER(FIND("SALDO PARCIAL",C104)),0,IF(ISNUMBER(FIND("SDO CTA/APL AUTOMATICAS",C104)),0,IF(ISNUMBER(FIND("APL APLIC AUT MAIS",C104)),0,IF(ISNUMBER(FIND("TEC DEPOSITO",C104)),0,IF(E104&gt;0,0,E104*(-1))))))))</f>
        <v>7.5</v>
      </c>
      <c r="G104" s="65" t="n">
        <f aca="false">IF(ISNUMBER(FIND("SALDO ANTERIOR",C104)),0,IF(ISNUMBER(FIND("SALDO DO DIA",C104)),0,IF(ISNUMBER(FIND("SDO CTA/APL AUTOMATICAS",C104)),0,IF(ISNUMBER(FIND("TEC DEPOSITO",C104)),0,IF(ISNUMBER(FIND("APL APLIC AUT MAIS",C104)),E104,IF(E104&gt;0,E104,0))))))</f>
        <v>0</v>
      </c>
      <c r="H104" s="66" t="n">
        <v>43831</v>
      </c>
    </row>
    <row r="105" customFormat="false" ht="13.8" hidden="false" customHeight="false" outlineLevel="0" collapsed="false">
      <c r="A105" s="59" t="s">
        <v>65</v>
      </c>
      <c r="B105" s="60" t="s">
        <v>147</v>
      </c>
      <c r="C105" s="61" t="s">
        <v>153</v>
      </c>
      <c r="D105" s="62" t="s">
        <v>64</v>
      </c>
      <c r="E105" s="67" t="n">
        <v>-5</v>
      </c>
      <c r="F105" s="64" t="n">
        <f aca="false">IF(ISNUMBER(FIND("SALDO ANTERIOR",C105)),0,IF(ISNUMBER(FIND("SALDO DO DIA",C105)),0,IF(ISNUMBER(FIND("SALDO PARCIAL",C105)),0,IF(ISNUMBER(FIND("SDO CTA/APL AUTOMATICAS",C105)),0,IF(ISNUMBER(FIND("APL APLIC AUT MAIS",C105)),0,IF(ISNUMBER(FIND("TEC DEPOSITO",C105)),0,IF(E105&gt;0,0,E105*(-1))))))))</f>
        <v>5</v>
      </c>
      <c r="G105" s="65" t="n">
        <f aca="false">IF(ISNUMBER(FIND("SALDO ANTERIOR",C105)),0,IF(ISNUMBER(FIND("SALDO DO DIA",C105)),0,IF(ISNUMBER(FIND("SDO CTA/APL AUTOMATICAS",C105)),0,IF(ISNUMBER(FIND("TEC DEPOSITO",C105)),0,IF(ISNUMBER(FIND("APL APLIC AUT MAIS",C105)),E105,IF(E105&gt;0,E105,0))))))</f>
        <v>0</v>
      </c>
      <c r="H105" s="66" t="n">
        <v>43831</v>
      </c>
    </row>
    <row r="106" customFormat="false" ht="13.8" hidden="false" customHeight="false" outlineLevel="0" collapsed="false">
      <c r="A106" s="59" t="s">
        <v>65</v>
      </c>
      <c r="B106" s="60" t="s">
        <v>147</v>
      </c>
      <c r="C106" s="61" t="s">
        <v>154</v>
      </c>
      <c r="D106" s="62" t="s">
        <v>64</v>
      </c>
      <c r="E106" s="67" t="n">
        <v>-20</v>
      </c>
      <c r="F106" s="64" t="n">
        <f aca="false">IF(ISNUMBER(FIND("SALDO ANTERIOR",C106)),0,IF(ISNUMBER(FIND("SALDO DO DIA",C106)),0,IF(ISNUMBER(FIND("SALDO PARCIAL",C106)),0,IF(ISNUMBER(FIND("SDO CTA/APL AUTOMATICAS",C106)),0,IF(ISNUMBER(FIND("APL APLIC AUT MAIS",C106)),0,IF(ISNUMBER(FIND("TEC DEPOSITO",C106)),0,IF(E106&gt;0,0,E106*(-1))))))))</f>
        <v>20</v>
      </c>
      <c r="G106" s="65" t="n">
        <f aca="false">IF(ISNUMBER(FIND("SALDO ANTERIOR",C106)),0,IF(ISNUMBER(FIND("SALDO DO DIA",C106)),0,IF(ISNUMBER(FIND("SDO CTA/APL AUTOMATICAS",C106)),0,IF(ISNUMBER(FIND("TEC DEPOSITO",C106)),0,IF(ISNUMBER(FIND("APL APLIC AUT MAIS",C106)),E106,IF(E106&gt;0,E106,0))))))</f>
        <v>0</v>
      </c>
      <c r="H106" s="66" t="n">
        <v>43831</v>
      </c>
    </row>
    <row r="107" customFormat="false" ht="13.8" hidden="false" customHeight="false" outlineLevel="0" collapsed="false">
      <c r="A107" s="59" t="s">
        <v>62</v>
      </c>
      <c r="B107" s="60" t="s">
        <v>147</v>
      </c>
      <c r="C107" s="61" t="s">
        <v>133</v>
      </c>
      <c r="D107" s="62" t="s">
        <v>64</v>
      </c>
      <c r="E107" s="67" t="n">
        <v>-50</v>
      </c>
      <c r="F107" s="64" t="n">
        <f aca="false">IF(ISNUMBER(FIND("SALDO ANTERIOR",C107)),0,IF(ISNUMBER(FIND("SALDO DO DIA",C107)),0,IF(ISNUMBER(FIND("SALDO PARCIAL",C107)),0,IF(ISNUMBER(FIND("SDO CTA/APL AUTOMATICAS",C107)),0,IF(ISNUMBER(FIND("APL APLIC AUT MAIS",C107)),0,IF(ISNUMBER(FIND("TEC DEPOSITO",C107)),0,IF(E107&gt;0,0,E107*(-1))))))))</f>
        <v>50</v>
      </c>
      <c r="G107" s="65" t="n">
        <f aca="false">IF(ISNUMBER(FIND("SALDO ANTERIOR",C107)),0,IF(ISNUMBER(FIND("SALDO DO DIA",C107)),0,IF(ISNUMBER(FIND("SDO CTA/APL AUTOMATICAS",C107)),0,IF(ISNUMBER(FIND("TEC DEPOSITO",C107)),0,IF(ISNUMBER(FIND("APL APLIC AUT MAIS",C107)),E107,IF(E107&gt;0,E107,0))))))</f>
        <v>0</v>
      </c>
      <c r="H107" s="66" t="n">
        <v>43831</v>
      </c>
    </row>
    <row r="108" customFormat="false" ht="13.8" hidden="false" customHeight="false" outlineLevel="0" collapsed="false">
      <c r="A108" s="59" t="s">
        <v>74</v>
      </c>
      <c r="B108" s="60" t="s">
        <v>147</v>
      </c>
      <c r="C108" s="61" t="s">
        <v>155</v>
      </c>
      <c r="D108" s="62" t="s">
        <v>64</v>
      </c>
      <c r="E108" s="67" t="n">
        <v>-17.99</v>
      </c>
      <c r="F108" s="64" t="n">
        <f aca="false">IF(ISNUMBER(FIND("SALDO ANTERIOR",C108)),0,IF(ISNUMBER(FIND("SALDO DO DIA",C108)),0,IF(ISNUMBER(FIND("SALDO PARCIAL",C108)),0,IF(ISNUMBER(FIND("SDO CTA/APL AUTOMATICAS",C108)),0,IF(ISNUMBER(FIND("APL APLIC AUT MAIS",C108)),0,IF(ISNUMBER(FIND("TEC DEPOSITO",C108)),0,IF(E108&gt;0,0,E108*(-1))))))))</f>
        <v>17.99</v>
      </c>
      <c r="G108" s="65" t="n">
        <f aca="false">IF(ISNUMBER(FIND("SALDO ANTERIOR",C108)),0,IF(ISNUMBER(FIND("SALDO DO DIA",C108)),0,IF(ISNUMBER(FIND("SDO CTA/APL AUTOMATICAS",C108)),0,IF(ISNUMBER(FIND("TEC DEPOSITO",C108)),0,IF(ISNUMBER(FIND("APL APLIC AUT MAIS",C108)),E108,IF(E108&gt;0,E108,0))))))</f>
        <v>0</v>
      </c>
      <c r="H108" s="66" t="n">
        <v>43831</v>
      </c>
    </row>
    <row r="109" customFormat="false" ht="13.8" hidden="false" customHeight="false" outlineLevel="0" collapsed="false">
      <c r="A109" s="59" t="s">
        <v>74</v>
      </c>
      <c r="B109" s="60" t="s">
        <v>147</v>
      </c>
      <c r="C109" s="61" t="s">
        <v>156</v>
      </c>
      <c r="D109" s="62" t="s">
        <v>64</v>
      </c>
      <c r="E109" s="67" t="n">
        <v>-7.56</v>
      </c>
      <c r="F109" s="64" t="n">
        <f aca="false">IF(ISNUMBER(FIND("SALDO ANTERIOR",C109)),0,IF(ISNUMBER(FIND("SALDO DO DIA",C109)),0,IF(ISNUMBER(FIND("SALDO PARCIAL",C109)),0,IF(ISNUMBER(FIND("SDO CTA/APL AUTOMATICAS",C109)),0,IF(ISNUMBER(FIND("APL APLIC AUT MAIS",C109)),0,IF(ISNUMBER(FIND("TEC DEPOSITO",C109)),0,IF(E109&gt;0,0,E109*(-1))))))))</f>
        <v>7.56</v>
      </c>
      <c r="G109" s="65" t="n">
        <f aca="false">IF(ISNUMBER(FIND("SALDO ANTERIOR",C109)),0,IF(ISNUMBER(FIND("SALDO DO DIA",C109)),0,IF(ISNUMBER(FIND("SDO CTA/APL AUTOMATICAS",C109)),0,IF(ISNUMBER(FIND("TEC DEPOSITO",C109)),0,IF(ISNUMBER(FIND("APL APLIC AUT MAIS",C109)),E109,IF(E109&gt;0,E109,0))))))</f>
        <v>0</v>
      </c>
      <c r="H109" s="66" t="n">
        <v>43831</v>
      </c>
    </row>
    <row r="110" customFormat="false" ht="13.8" hidden="false" customHeight="false" outlineLevel="0" collapsed="false">
      <c r="A110" s="59" t="s">
        <v>74</v>
      </c>
      <c r="B110" s="60" t="s">
        <v>147</v>
      </c>
      <c r="C110" s="61" t="s">
        <v>156</v>
      </c>
      <c r="D110" s="62" t="s">
        <v>64</v>
      </c>
      <c r="E110" s="67" t="n">
        <v>-18.19</v>
      </c>
      <c r="F110" s="64" t="n">
        <f aca="false">IF(ISNUMBER(FIND("SALDO ANTERIOR",C110)),0,IF(ISNUMBER(FIND("SALDO DO DIA",C110)),0,IF(ISNUMBER(FIND("SALDO PARCIAL",C110)),0,IF(ISNUMBER(FIND("SDO CTA/APL AUTOMATICAS",C110)),0,IF(ISNUMBER(FIND("APL APLIC AUT MAIS",C110)),0,IF(ISNUMBER(FIND("TEC DEPOSITO",C110)),0,IF(E110&gt;0,0,E110*(-1))))))))</f>
        <v>18.19</v>
      </c>
      <c r="G110" s="65" t="n">
        <f aca="false">IF(ISNUMBER(FIND("SALDO ANTERIOR",C110)),0,IF(ISNUMBER(FIND("SALDO DO DIA",C110)),0,IF(ISNUMBER(FIND("SDO CTA/APL AUTOMATICAS",C110)),0,IF(ISNUMBER(FIND("TEC DEPOSITO",C110)),0,IF(ISNUMBER(FIND("APL APLIC AUT MAIS",C110)),E110,IF(E110&gt;0,E110,0))))))</f>
        <v>0</v>
      </c>
      <c r="H110" s="66" t="n">
        <v>43831</v>
      </c>
    </row>
    <row r="111" customFormat="false" ht="13.8" hidden="false" customHeight="false" outlineLevel="0" collapsed="false">
      <c r="A111" s="59" t="s">
        <v>29</v>
      </c>
      <c r="B111" s="60" t="s">
        <v>147</v>
      </c>
      <c r="C111" s="61" t="s">
        <v>110</v>
      </c>
      <c r="D111" s="62"/>
      <c r="E111" s="67" t="n">
        <v>-309.24</v>
      </c>
      <c r="F111" s="64" t="n">
        <f aca="false">IF(ISNUMBER(FIND("SALDO ANTERIOR",C111)),0,IF(ISNUMBER(FIND("SALDO DO DIA",C111)),0,IF(ISNUMBER(FIND("SALDO PARCIAL",C111)),0,IF(ISNUMBER(FIND("SDO CTA/APL AUTOMATICAS",C111)),0,IF(ISNUMBER(FIND("APL APLIC AUT MAIS",C111)),0,IF(ISNUMBER(FIND("TEC DEPOSITO",C111)),0,IF(E111&gt;0,0,E111*(-1))))))))</f>
        <v>0</v>
      </c>
      <c r="G111" s="65" t="n">
        <f aca="false">IF(ISNUMBER(FIND("SALDO ANTERIOR",C111)),0,IF(ISNUMBER(FIND("SALDO DO DIA",C111)),0,IF(ISNUMBER(FIND("SDO CTA/APL AUTOMATICAS",C111)),0,IF(ISNUMBER(FIND("TEC DEPOSITO",C111)),0,IF(ISNUMBER(FIND("APL APLIC AUT MAIS",C111)),E111,IF(E111&gt;0,E111,0))))))</f>
        <v>0</v>
      </c>
      <c r="H111" s="66" t="n">
        <v>43831</v>
      </c>
    </row>
    <row r="112" customFormat="false" ht="15" hidden="false" customHeight="false" outlineLevel="0" collapsed="false">
      <c r="A112" s="59" t="s">
        <v>29</v>
      </c>
      <c r="B112" s="60" t="s">
        <v>147</v>
      </c>
      <c r="C112" s="71" t="s">
        <v>111</v>
      </c>
      <c r="D112" s="62"/>
      <c r="E112" s="72" t="n">
        <v>-309.24</v>
      </c>
      <c r="F112" s="64" t="n">
        <f aca="false">IF(ISNUMBER(FIND("SALDO ANTERIOR",C112)),0,IF(ISNUMBER(FIND("SALDO DO DIA",C112)),0,IF(ISNUMBER(FIND("SALDO PARCIAL",C112)),0,IF(ISNUMBER(FIND("SDO CTA/APL AUTOMATICAS",C112)),0,IF(ISNUMBER(FIND("APL APLIC AUT MAIS",C112)),0,IF(ISNUMBER(FIND("TEC DEPOSITO",C112)),0,IF(E112&gt;0,0,E112*(-1))))))))</f>
        <v>0</v>
      </c>
      <c r="G112" s="65" t="n">
        <f aca="false">IF(ISNUMBER(FIND("SALDO ANTERIOR",C112)),0,IF(ISNUMBER(FIND("SALDO DO DIA",C112)),0,IF(ISNUMBER(FIND("SDO CTA/APL AUTOMATICAS",C112)),0,IF(ISNUMBER(FIND("TEC DEPOSITO",C112)),0,IF(ISNUMBER(FIND("APL APLIC AUT MAIS",C112)),E112,IF(E112&gt;0,E112,0))))))</f>
        <v>0</v>
      </c>
      <c r="H112" s="66" t="n">
        <v>43831</v>
      </c>
    </row>
    <row r="113" customFormat="false" ht="13.8" hidden="false" customHeight="false" outlineLevel="0" collapsed="false">
      <c r="A113" s="59" t="s">
        <v>65</v>
      </c>
      <c r="B113" s="60" t="s">
        <v>147</v>
      </c>
      <c r="C113" s="61" t="s">
        <v>157</v>
      </c>
      <c r="D113" s="62" t="s">
        <v>64</v>
      </c>
      <c r="E113" s="67" t="n">
        <v>-4.5</v>
      </c>
      <c r="F113" s="64" t="n">
        <f aca="false">IF(ISNUMBER(FIND("SALDO ANTERIOR",C113)),0,IF(ISNUMBER(FIND("SALDO DO DIA",C113)),0,IF(ISNUMBER(FIND("SALDO PARCIAL",C113)),0,IF(ISNUMBER(FIND("SDO CTA/APL AUTOMATICAS",C113)),0,IF(ISNUMBER(FIND("APL APLIC AUT MAIS",C113)),0,IF(ISNUMBER(FIND("TEC DEPOSITO",C113)),0,IF(E113&gt;0,0,E113*(-1))))))))</f>
        <v>4.5</v>
      </c>
      <c r="G113" s="65" t="n">
        <f aca="false">IF(ISNUMBER(FIND("SALDO ANTERIOR",C113)),0,IF(ISNUMBER(FIND("SALDO DO DIA",C113)),0,IF(ISNUMBER(FIND("SDO CTA/APL AUTOMATICAS",C113)),0,IF(ISNUMBER(FIND("TEC DEPOSITO",C113)),0,IF(ISNUMBER(FIND("APL APLIC AUT MAIS",C113)),E113,IF(E113&gt;0,E113,0))))))</f>
        <v>0</v>
      </c>
      <c r="H113" s="66" t="n">
        <v>43831</v>
      </c>
    </row>
    <row r="114" customFormat="false" ht="13.8" hidden="false" customHeight="false" outlineLevel="0" collapsed="false">
      <c r="A114" s="59" t="s">
        <v>98</v>
      </c>
      <c r="B114" s="60" t="s">
        <v>147</v>
      </c>
      <c r="C114" s="61" t="s">
        <v>99</v>
      </c>
      <c r="D114" s="62" t="s">
        <v>64</v>
      </c>
      <c r="E114" s="67" t="n">
        <v>-52.99</v>
      </c>
      <c r="F114" s="64" t="n">
        <f aca="false">IF(ISNUMBER(FIND("SALDO ANTERIOR",C114)),0,IF(ISNUMBER(FIND("SALDO DO DIA",C114)),0,IF(ISNUMBER(FIND("SALDO PARCIAL",C114)),0,IF(ISNUMBER(FIND("SDO CTA/APL AUTOMATICAS",C114)),0,IF(ISNUMBER(FIND("APL APLIC AUT MAIS",C114)),0,IF(ISNUMBER(FIND("TEC DEPOSITO",C114)),0,IF(E114&gt;0,0,E114*(-1))))))))</f>
        <v>52.99</v>
      </c>
      <c r="G114" s="65" t="n">
        <f aca="false">IF(ISNUMBER(FIND("SALDO ANTERIOR",C114)),0,IF(ISNUMBER(FIND("SALDO DO DIA",C114)),0,IF(ISNUMBER(FIND("SDO CTA/APL AUTOMATICAS",C114)),0,IF(ISNUMBER(FIND("TEC DEPOSITO",C114)),0,IF(ISNUMBER(FIND("APL APLIC AUT MAIS",C114)),E114,IF(E114&gt;0,E114,0))))))</f>
        <v>0</v>
      </c>
      <c r="H114" s="66" t="n">
        <v>43831</v>
      </c>
    </row>
    <row r="115" customFormat="false" ht="13.8" hidden="false" customHeight="false" outlineLevel="0" collapsed="false">
      <c r="A115" s="59" t="s">
        <v>119</v>
      </c>
      <c r="B115" s="60" t="s">
        <v>147</v>
      </c>
      <c r="C115" s="61" t="s">
        <v>158</v>
      </c>
      <c r="D115" s="62" t="s">
        <v>61</v>
      </c>
      <c r="E115" s="67" t="n">
        <v>-2800</v>
      </c>
      <c r="F115" s="64" t="n">
        <f aca="false">IF(ISNUMBER(FIND("SALDO ANTERIOR",C115)),0,IF(ISNUMBER(FIND("SALDO DO DIA",C115)),0,IF(ISNUMBER(FIND("SALDO PARCIAL",C115)),0,IF(ISNUMBER(FIND("SDO CTA/APL AUTOMATICAS",C115)),0,IF(ISNUMBER(FIND("APL APLIC AUT MAIS",C115)),0,IF(ISNUMBER(FIND("TEC DEPOSITO",C115)),0,IF(E115&gt;0,0,E115*(-1))))))))</f>
        <v>2800</v>
      </c>
      <c r="G115" s="65" t="n">
        <f aca="false">IF(ISNUMBER(FIND("SALDO ANTERIOR",C115)),0,IF(ISNUMBER(FIND("SALDO DO DIA",C115)),0,IF(ISNUMBER(FIND("SDO CTA/APL AUTOMATICAS",C115)),0,IF(ISNUMBER(FIND("TEC DEPOSITO",C115)),0,IF(ISNUMBER(FIND("APL APLIC AUT MAIS",C115)),E115,IF(E115&gt;0,E115,0))))))</f>
        <v>0</v>
      </c>
      <c r="H115" s="66" t="n">
        <v>43831</v>
      </c>
    </row>
    <row r="116" customFormat="false" ht="13.8" hidden="false" customHeight="false" outlineLevel="0" collapsed="false">
      <c r="A116" s="59" t="s">
        <v>67</v>
      </c>
      <c r="B116" s="60" t="s">
        <v>147</v>
      </c>
      <c r="C116" s="61" t="s">
        <v>69</v>
      </c>
      <c r="D116" s="62"/>
      <c r="E116" s="63" t="n">
        <v>203.22</v>
      </c>
      <c r="F116" s="64" t="n">
        <f aca="false">IF(ISNUMBER(FIND("SALDO ANTERIOR",C116)),0,IF(ISNUMBER(FIND("SALDO DO DIA",C116)),0,IF(ISNUMBER(FIND("SALDO PARCIAL",C116)),0,IF(ISNUMBER(FIND("SDO CTA/APL AUTOMATICAS",C116)),0,IF(ISNUMBER(FIND("APL APLIC AUT MAIS",C116)),0,IF(ISNUMBER(FIND("TEC DEPOSITO",C116)),0,IF(E116&gt;0,0,E116*(-1))))))))</f>
        <v>0</v>
      </c>
      <c r="G116" s="65" t="n">
        <f aca="false">IF(ISNUMBER(FIND("SALDO ANTERIOR",C116)),0,IF(ISNUMBER(FIND("SALDO DO DIA",C116)),0,IF(ISNUMBER(FIND("SDO CTA/APL AUTOMATICAS",C116)),0,IF(ISNUMBER(FIND("TEC DEPOSITO",C116)),0,IF(ISNUMBER(FIND("APL APLIC AUT MAIS",C116)),E116,IF(E116&gt;0,E116,0))))))</f>
        <v>203.22</v>
      </c>
      <c r="H116" s="66" t="n">
        <v>43831</v>
      </c>
    </row>
    <row r="117" customFormat="false" ht="13.8" hidden="false" customHeight="false" outlineLevel="0" collapsed="false">
      <c r="A117" s="59" t="s">
        <v>65</v>
      </c>
      <c r="B117" s="60" t="s">
        <v>159</v>
      </c>
      <c r="C117" s="61" t="s">
        <v>97</v>
      </c>
      <c r="D117" s="62" t="s">
        <v>64</v>
      </c>
      <c r="E117" s="67" t="n">
        <v>-2.99</v>
      </c>
      <c r="F117" s="64" t="n">
        <f aca="false">IF(ISNUMBER(FIND("SALDO ANTERIOR",C117)),0,IF(ISNUMBER(FIND("SALDO DO DIA",C117)),0,IF(ISNUMBER(FIND("SALDO PARCIAL",C117)),0,IF(ISNUMBER(FIND("SDO CTA/APL AUTOMATICAS",C117)),0,IF(ISNUMBER(FIND("APL APLIC AUT MAIS",C117)),0,IF(ISNUMBER(FIND("TEC DEPOSITO",C117)),0,IF(E117&gt;0,0,E117*(-1))))))))</f>
        <v>2.99</v>
      </c>
      <c r="G117" s="65" t="n">
        <f aca="false">IF(ISNUMBER(FIND("SALDO ANTERIOR",C117)),0,IF(ISNUMBER(FIND("SALDO DO DIA",C117)),0,IF(ISNUMBER(FIND("SDO CTA/APL AUTOMATICAS",C117)),0,IF(ISNUMBER(FIND("TEC DEPOSITO",C117)),0,IF(ISNUMBER(FIND("APL APLIC AUT MAIS",C117)),E117,IF(E117&gt;0,E117,0))))))</f>
        <v>0</v>
      </c>
      <c r="H117" s="66" t="n">
        <v>43831</v>
      </c>
    </row>
    <row r="118" customFormat="false" ht="13.8" hidden="false" customHeight="false" outlineLevel="0" collapsed="false">
      <c r="A118" s="59" t="s">
        <v>65</v>
      </c>
      <c r="B118" s="60" t="s">
        <v>160</v>
      </c>
      <c r="C118" s="61" t="s">
        <v>161</v>
      </c>
      <c r="D118" s="62" t="s">
        <v>64</v>
      </c>
      <c r="E118" s="67" t="n">
        <v>-5</v>
      </c>
      <c r="F118" s="64" t="n">
        <f aca="false">IF(ISNUMBER(FIND("SALDO ANTERIOR",C118)),0,IF(ISNUMBER(FIND("SALDO DO DIA",C118)),0,IF(ISNUMBER(FIND("SALDO PARCIAL",C118)),0,IF(ISNUMBER(FIND("SDO CTA/APL AUTOMATICAS",C118)),0,IF(ISNUMBER(FIND("APL APLIC AUT MAIS",C118)),0,IF(ISNUMBER(FIND("TEC DEPOSITO",C118)),0,IF(E118&gt;0,0,E118*(-1))))))))</f>
        <v>5</v>
      </c>
      <c r="G118" s="65" t="n">
        <f aca="false">IF(ISNUMBER(FIND("SALDO ANTERIOR",C118)),0,IF(ISNUMBER(FIND("SALDO DO DIA",C118)),0,IF(ISNUMBER(FIND("SDO CTA/APL AUTOMATICAS",C118)),0,IF(ISNUMBER(FIND("TEC DEPOSITO",C118)),0,IF(ISNUMBER(FIND("APL APLIC AUT MAIS",C118)),E118,IF(E118&gt;0,E118,0))))))</f>
        <v>0</v>
      </c>
      <c r="H118" s="66" t="n">
        <v>43831</v>
      </c>
    </row>
    <row r="119" customFormat="false" ht="13.8" hidden="false" customHeight="false" outlineLevel="0" collapsed="false">
      <c r="A119" s="59" t="s">
        <v>65</v>
      </c>
      <c r="B119" s="60" t="s">
        <v>162</v>
      </c>
      <c r="C119" s="61" t="s">
        <v>107</v>
      </c>
      <c r="D119" s="62" t="s">
        <v>64</v>
      </c>
      <c r="E119" s="67" t="n">
        <v>-338</v>
      </c>
      <c r="F119" s="64" t="n">
        <f aca="false">IF(ISNUMBER(FIND("SALDO ANTERIOR",C119)),0,IF(ISNUMBER(FIND("SALDO DO DIA",C119)),0,IF(ISNUMBER(FIND("SALDO PARCIAL",C119)),0,IF(ISNUMBER(FIND("SDO CTA/APL AUTOMATICAS",C119)),0,IF(ISNUMBER(FIND("APL APLIC AUT MAIS",C119)),0,IF(ISNUMBER(FIND("TEC DEPOSITO",C119)),0,IF(E119&gt;0,0,E119*(-1))))))))</f>
        <v>338</v>
      </c>
      <c r="G119" s="65" t="n">
        <f aca="false">IF(ISNUMBER(FIND("SALDO ANTERIOR",C119)),0,IF(ISNUMBER(FIND("SALDO DO DIA",C119)),0,IF(ISNUMBER(FIND("SDO CTA/APL AUTOMATICAS",C119)),0,IF(ISNUMBER(FIND("TEC DEPOSITO",C119)),0,IF(ISNUMBER(FIND("APL APLIC AUT MAIS",C119)),E119,IF(E119&gt;0,E119,0))))))</f>
        <v>0</v>
      </c>
      <c r="H119" s="66" t="n">
        <v>43831</v>
      </c>
    </row>
    <row r="120" customFormat="false" ht="13.8" hidden="false" customHeight="false" outlineLevel="0" collapsed="false">
      <c r="A120" s="59" t="s">
        <v>65</v>
      </c>
      <c r="B120" s="60" t="s">
        <v>162</v>
      </c>
      <c r="C120" s="61" t="s">
        <v>163</v>
      </c>
      <c r="D120" s="62" t="s">
        <v>64</v>
      </c>
      <c r="E120" s="67" t="n">
        <v>-29.5</v>
      </c>
      <c r="F120" s="64" t="n">
        <f aca="false">IF(ISNUMBER(FIND("SALDO ANTERIOR",C120)),0,IF(ISNUMBER(FIND("SALDO DO DIA",C120)),0,IF(ISNUMBER(FIND("SALDO PARCIAL",C120)),0,IF(ISNUMBER(FIND("SDO CTA/APL AUTOMATICAS",C120)),0,IF(ISNUMBER(FIND("APL APLIC AUT MAIS",C120)),0,IF(ISNUMBER(FIND("TEC DEPOSITO",C120)),0,IF(E120&gt;0,0,E120*(-1))))))))</f>
        <v>29.5</v>
      </c>
      <c r="G120" s="65" t="n">
        <f aca="false">IF(ISNUMBER(FIND("SALDO ANTERIOR",C120)),0,IF(ISNUMBER(FIND("SALDO DO DIA",C120)),0,IF(ISNUMBER(FIND("SDO CTA/APL AUTOMATICAS",C120)),0,IF(ISNUMBER(FIND("TEC DEPOSITO",C120)),0,IF(ISNUMBER(FIND("APL APLIC AUT MAIS",C120)),E120,IF(E120&gt;0,E120,0))))))</f>
        <v>0</v>
      </c>
      <c r="H120" s="66" t="n">
        <v>43831</v>
      </c>
    </row>
    <row r="121" customFormat="false" ht="13.8" hidden="false" customHeight="false" outlineLevel="0" collapsed="false">
      <c r="A121" s="59" t="s">
        <v>65</v>
      </c>
      <c r="B121" s="60" t="s">
        <v>162</v>
      </c>
      <c r="C121" s="61" t="s">
        <v>164</v>
      </c>
      <c r="D121" s="62" t="s">
        <v>64</v>
      </c>
      <c r="E121" s="67" t="n">
        <v>-20</v>
      </c>
      <c r="F121" s="64" t="n">
        <f aca="false">IF(ISNUMBER(FIND("SALDO ANTERIOR",C121)),0,IF(ISNUMBER(FIND("SALDO DO DIA",C121)),0,IF(ISNUMBER(FIND("SALDO PARCIAL",C121)),0,IF(ISNUMBER(FIND("SDO CTA/APL AUTOMATICAS",C121)),0,IF(ISNUMBER(FIND("APL APLIC AUT MAIS",C121)),0,IF(ISNUMBER(FIND("TEC DEPOSITO",C121)),0,IF(E121&gt;0,0,E121*(-1))))))))</f>
        <v>20</v>
      </c>
      <c r="G121" s="65" t="n">
        <f aca="false">IF(ISNUMBER(FIND("SALDO ANTERIOR",C121)),0,IF(ISNUMBER(FIND("SALDO DO DIA",C121)),0,IF(ISNUMBER(FIND("SDO CTA/APL AUTOMATICAS",C121)),0,IF(ISNUMBER(FIND("TEC DEPOSITO",C121)),0,IF(ISNUMBER(FIND("APL APLIC AUT MAIS",C121)),E121,IF(E121&gt;0,E121,0))))))</f>
        <v>0</v>
      </c>
      <c r="H121" s="66" t="n">
        <v>43831</v>
      </c>
    </row>
    <row r="122" customFormat="false" ht="13.8" hidden="false" customHeight="false" outlineLevel="0" collapsed="false">
      <c r="A122" s="59" t="s">
        <v>65</v>
      </c>
      <c r="B122" s="60" t="s">
        <v>162</v>
      </c>
      <c r="C122" s="61" t="s">
        <v>164</v>
      </c>
      <c r="D122" s="62" t="s">
        <v>64</v>
      </c>
      <c r="E122" s="67" t="n">
        <v>-10</v>
      </c>
      <c r="F122" s="64" t="n">
        <f aca="false">IF(ISNUMBER(FIND("SALDO ANTERIOR",C122)),0,IF(ISNUMBER(FIND("SALDO DO DIA",C122)),0,IF(ISNUMBER(FIND("SALDO PARCIAL",C122)),0,IF(ISNUMBER(FIND("SDO CTA/APL AUTOMATICAS",C122)),0,IF(ISNUMBER(FIND("APL APLIC AUT MAIS",C122)),0,IF(ISNUMBER(FIND("TEC DEPOSITO",C122)),0,IF(E122&gt;0,0,E122*(-1))))))))</f>
        <v>10</v>
      </c>
      <c r="G122" s="65" t="n">
        <f aca="false">IF(ISNUMBER(FIND("SALDO ANTERIOR",C122)),0,IF(ISNUMBER(FIND("SALDO DO DIA",C122)),0,IF(ISNUMBER(FIND("SDO CTA/APL AUTOMATICAS",C122)),0,IF(ISNUMBER(FIND("TEC DEPOSITO",C122)),0,IF(ISNUMBER(FIND("APL APLIC AUT MAIS",C122)),E122,IF(E122&gt;0,E122,0))))))</f>
        <v>0</v>
      </c>
      <c r="H122" s="66" t="n">
        <v>43831</v>
      </c>
    </row>
    <row r="123" customFormat="false" ht="13.8" hidden="false" customHeight="false" outlineLevel="0" collapsed="false">
      <c r="A123" s="59" t="s">
        <v>71</v>
      </c>
      <c r="B123" s="60" t="s">
        <v>165</v>
      </c>
      <c r="C123" s="61" t="s">
        <v>73</v>
      </c>
      <c r="D123" s="62" t="s">
        <v>64</v>
      </c>
      <c r="E123" s="67" t="n">
        <v>-15.73</v>
      </c>
      <c r="F123" s="64" t="n">
        <f aca="false">IF(ISNUMBER(FIND("SALDO ANTERIOR",C123)),0,IF(ISNUMBER(FIND("SALDO DO DIA",C123)),0,IF(ISNUMBER(FIND("SALDO PARCIAL",C123)),0,IF(ISNUMBER(FIND("SDO CTA/APL AUTOMATICAS",C123)),0,IF(ISNUMBER(FIND("APL APLIC AUT MAIS",C123)),0,IF(ISNUMBER(FIND("TEC DEPOSITO",C123)),0,IF(E123&gt;0,0,E123*(-1))))))))</f>
        <v>15.73</v>
      </c>
      <c r="G123" s="65" t="n">
        <f aca="false">IF(ISNUMBER(FIND("SALDO ANTERIOR",C123)),0,IF(ISNUMBER(FIND("SALDO DO DIA",C123)),0,IF(ISNUMBER(FIND("SDO CTA/APL AUTOMATICAS",C123)),0,IF(ISNUMBER(FIND("TEC DEPOSITO",C123)),0,IF(ISNUMBER(FIND("APL APLIC AUT MAIS",C123)),E123,IF(E123&gt;0,E123,0))))))</f>
        <v>0</v>
      </c>
      <c r="H123" s="66" t="n">
        <v>43831</v>
      </c>
    </row>
    <row r="124" customFormat="false" ht="13.8" hidden="false" customHeight="false" outlineLevel="0" collapsed="false">
      <c r="A124" s="59" t="s">
        <v>65</v>
      </c>
      <c r="B124" s="60" t="s">
        <v>165</v>
      </c>
      <c r="C124" s="61" t="s">
        <v>166</v>
      </c>
      <c r="D124" s="62" t="s">
        <v>64</v>
      </c>
      <c r="E124" s="67" t="n">
        <v>-5</v>
      </c>
      <c r="F124" s="64" t="n">
        <f aca="false">IF(ISNUMBER(FIND("SALDO ANTERIOR",C124)),0,IF(ISNUMBER(FIND("SALDO DO DIA",C124)),0,IF(ISNUMBER(FIND("SALDO PARCIAL",C124)),0,IF(ISNUMBER(FIND("SDO CTA/APL AUTOMATICAS",C124)),0,IF(ISNUMBER(FIND("APL APLIC AUT MAIS",C124)),0,IF(ISNUMBER(FIND("TEC DEPOSITO",C124)),0,IF(E124&gt;0,0,E124*(-1))))))))</f>
        <v>5</v>
      </c>
      <c r="G124" s="65" t="n">
        <f aca="false">IF(ISNUMBER(FIND("SALDO ANTERIOR",C124)),0,IF(ISNUMBER(FIND("SALDO DO DIA",C124)),0,IF(ISNUMBER(FIND("SDO CTA/APL AUTOMATICAS",C124)),0,IF(ISNUMBER(FIND("TEC DEPOSITO",C124)),0,IF(ISNUMBER(FIND("APL APLIC AUT MAIS",C124)),E124,IF(E124&gt;0,E124,0))))))</f>
        <v>0</v>
      </c>
      <c r="H124" s="66" t="n">
        <v>43831</v>
      </c>
    </row>
    <row r="125" customFormat="false" ht="13.8" hidden="false" customHeight="false" outlineLevel="0" collapsed="false">
      <c r="A125" s="59" t="s">
        <v>65</v>
      </c>
      <c r="B125" s="60" t="s">
        <v>165</v>
      </c>
      <c r="C125" s="61" t="s">
        <v>97</v>
      </c>
      <c r="D125" s="62" t="s">
        <v>64</v>
      </c>
      <c r="E125" s="67" t="n">
        <v>-2.99</v>
      </c>
      <c r="F125" s="64" t="n">
        <f aca="false">IF(ISNUMBER(FIND("SALDO ANTERIOR",C125)),0,IF(ISNUMBER(FIND("SALDO DO DIA",C125)),0,IF(ISNUMBER(FIND("SALDO PARCIAL",C125)),0,IF(ISNUMBER(FIND("SDO CTA/APL AUTOMATICAS",C125)),0,IF(ISNUMBER(FIND("APL APLIC AUT MAIS",C125)),0,IF(ISNUMBER(FIND("TEC DEPOSITO",C125)),0,IF(E125&gt;0,0,E125*(-1))))))))</f>
        <v>2.99</v>
      </c>
      <c r="G125" s="65" t="n">
        <f aca="false">IF(ISNUMBER(FIND("SALDO ANTERIOR",C125)),0,IF(ISNUMBER(FIND("SALDO DO DIA",C125)),0,IF(ISNUMBER(FIND("SDO CTA/APL AUTOMATICAS",C125)),0,IF(ISNUMBER(FIND("TEC DEPOSITO",C125)),0,IF(ISNUMBER(FIND("APL APLIC AUT MAIS",C125)),E125,IF(E125&gt;0,E125,0))))))</f>
        <v>0</v>
      </c>
      <c r="H125" s="66" t="n">
        <v>43831</v>
      </c>
    </row>
    <row r="126" customFormat="false" ht="13.8" hidden="false" customHeight="false" outlineLevel="0" collapsed="false">
      <c r="A126" s="59" t="s">
        <v>167</v>
      </c>
      <c r="B126" s="60" t="s">
        <v>165</v>
      </c>
      <c r="C126" s="61" t="s">
        <v>168</v>
      </c>
      <c r="D126" s="62" t="s">
        <v>61</v>
      </c>
      <c r="E126" s="63" t="n">
        <v>2000</v>
      </c>
      <c r="F126" s="64" t="n">
        <f aca="false">IF(ISNUMBER(FIND("SALDO ANTERIOR",C126)),0,IF(ISNUMBER(FIND("SALDO DO DIA",C126)),0,IF(ISNUMBER(FIND("SALDO PARCIAL",C126)),0,IF(ISNUMBER(FIND("SDO CTA/APL AUTOMATICAS",C126)),0,IF(ISNUMBER(FIND("APL APLIC AUT MAIS",C126)),0,IF(ISNUMBER(FIND("TEC DEPOSITO",C126)),0,IF(E126&gt;0,0,E126*(-1))))))))</f>
        <v>0</v>
      </c>
      <c r="G126" s="65" t="n">
        <f aca="false">IF(ISNUMBER(FIND("SALDO ANTERIOR",C126)),0,IF(ISNUMBER(FIND("SALDO DO DIA",C126)),0,IF(ISNUMBER(FIND("SDO CTA/APL AUTOMATICAS",C126)),0,IF(ISNUMBER(FIND("TEC DEPOSITO",C126)),0,IF(ISNUMBER(FIND("APL APLIC AUT MAIS",C126)),E126,IF(E126&gt;0,E126,0))))))</f>
        <v>2000</v>
      </c>
      <c r="H126" s="66" t="n">
        <v>43831</v>
      </c>
    </row>
    <row r="127" customFormat="false" ht="13.8" hidden="false" customHeight="false" outlineLevel="0" collapsed="false">
      <c r="A127" s="69" t="s">
        <v>127</v>
      </c>
      <c r="B127" s="60" t="s">
        <v>165</v>
      </c>
      <c r="C127" s="61" t="s">
        <v>128</v>
      </c>
      <c r="D127" s="62"/>
      <c r="E127" s="63" t="n">
        <v>3065.34</v>
      </c>
      <c r="F127" s="64" t="n">
        <f aca="false">IF(ISNUMBER(FIND("SALDO ANTERIOR",C127)),0,IF(ISNUMBER(FIND("SALDO DO DIA",C127)),0,IF(ISNUMBER(FIND("SALDO PARCIAL",C127)),0,IF(ISNUMBER(FIND("SDO CTA/APL AUTOMATICAS",C127)),0,IF(ISNUMBER(FIND("APL APLIC AUT MAIS",C127)),0,IF(ISNUMBER(FIND("TEC DEPOSITO",C127)),0,IF(E127&gt;0,0,E127*(-1))))))))</f>
        <v>0</v>
      </c>
      <c r="G127" s="65" t="n">
        <f aca="false">IF(ISNUMBER(FIND("SALDO ANTERIOR",C127)),0,IF(ISNUMBER(FIND("SALDO DO DIA",C127)),0,IF(ISNUMBER(FIND("SDO CTA/APL AUTOMATICAS",C127)),0,IF(ISNUMBER(FIND("TEC DEPOSITO",C127)),0,IF(ISNUMBER(FIND("APL APLIC AUT MAIS",C127)),E127,IF(E127&gt;0,E127,0))))))</f>
        <v>3065.34</v>
      </c>
      <c r="H127" s="66" t="n">
        <v>43831</v>
      </c>
    </row>
    <row r="128" customFormat="false" ht="13.8" hidden="false" customHeight="false" outlineLevel="0" collapsed="false">
      <c r="A128" s="69" t="s">
        <v>29</v>
      </c>
      <c r="B128" s="60" t="s">
        <v>165</v>
      </c>
      <c r="C128" s="61" t="s">
        <v>129</v>
      </c>
      <c r="D128" s="62"/>
      <c r="E128" s="67" t="n">
        <v>-1662.62</v>
      </c>
      <c r="F128" s="64" t="n">
        <f aca="false">IF(ISNUMBER(FIND("SALDO ANTERIOR",C128)),0,IF(ISNUMBER(FIND("SALDO DO DIA",C128)),0,IF(ISNUMBER(FIND("SALDO PARCIAL",C128)),0,IF(ISNUMBER(FIND("SDO CTA/APL AUTOMATICAS",C128)),0,IF(ISNUMBER(FIND("APL APLIC AUT MAIS",C128)),0,IF(ISNUMBER(FIND("TEC DEPOSITO",C128)),0,IF(E128&gt;0,0,E128*(-1))))))))</f>
        <v>0</v>
      </c>
      <c r="G128" s="65" t="n">
        <f aca="false">IF(ISNUMBER(FIND("SALDO ANTERIOR",C128)),0,IF(ISNUMBER(FIND("SALDO DO DIA",C128)),0,IF(ISNUMBER(FIND("SDO CTA/APL AUTOMATICAS",C128)),0,IF(ISNUMBER(FIND("TEC DEPOSITO",C128)),0,IF(ISNUMBER(FIND("APL APLIC AUT MAIS",C128)),E128,IF(E128&gt;0,E128,0))))))</f>
        <v>-1662.62</v>
      </c>
      <c r="H128" s="66" t="n">
        <v>43831</v>
      </c>
    </row>
    <row r="129" customFormat="false" ht="13.8" hidden="false" customHeight="false" outlineLevel="0" collapsed="false">
      <c r="A129" s="69" t="s">
        <v>29</v>
      </c>
      <c r="B129" s="60" t="s">
        <v>165</v>
      </c>
      <c r="C129" s="61" t="s">
        <v>70</v>
      </c>
      <c r="D129" s="62"/>
      <c r="E129" s="63" t="n">
        <v>1662.62</v>
      </c>
      <c r="F129" s="64" t="n">
        <f aca="false">IF(ISNUMBER(FIND("SALDO ANTERIOR",C129)),0,IF(ISNUMBER(FIND("SALDO DO DIA",C129)),0,IF(ISNUMBER(FIND("SALDO PARCIAL",C129)),0,IF(ISNUMBER(FIND("SDO CTA/APL AUTOMATICAS",C129)),0,IF(ISNUMBER(FIND("APL APLIC AUT MAIS",C129)),0,IF(ISNUMBER(FIND("TEC DEPOSITO",C129)),0,IF(E129&gt;0,0,E129*(-1))))))))</f>
        <v>0</v>
      </c>
      <c r="G129" s="65" t="n">
        <f aca="false">IF(ISNUMBER(FIND("SALDO ANTERIOR",C129)),0,IF(ISNUMBER(FIND("SALDO DO DIA",C129)),0,IF(ISNUMBER(FIND("SDO CTA/APL AUTOMATICAS",C129)),0,IF(ISNUMBER(FIND("TEC DEPOSITO",C129)),0,IF(ISNUMBER(FIND("APL APLIC AUT MAIS",C129)),E129,IF(E129&gt;0,E129,0))))))</f>
        <v>1662.62</v>
      </c>
      <c r="H129" s="66" t="n">
        <v>43831</v>
      </c>
    </row>
    <row r="130" customFormat="false" ht="13.8" hidden="false" customHeight="false" outlineLevel="0" collapsed="false">
      <c r="A130" s="69" t="s">
        <v>29</v>
      </c>
      <c r="B130" s="60" t="s">
        <v>165</v>
      </c>
      <c r="C130" s="61" t="s">
        <v>169</v>
      </c>
      <c r="D130" s="62"/>
      <c r="E130" s="63" t="n">
        <v>10</v>
      </c>
      <c r="F130" s="64" t="n">
        <f aca="false">IF(ISNUMBER(FIND("SALDO ANTERIOR",C130)),0,IF(ISNUMBER(FIND("SALDO DO DIA",C130)),0,IF(ISNUMBER(FIND("SALDO PARCIAL",C130)),0,IF(ISNUMBER(FIND("SDO CTA/APL AUTOMATICAS",C130)),0,IF(ISNUMBER(FIND("APL APLIC AUT MAIS",C130)),0,IF(ISNUMBER(FIND("TEC DEPOSITO",C130)),0,IF(E130&gt;0,0,E130*(-1))))))))</f>
        <v>0</v>
      </c>
      <c r="G130" s="65" t="n">
        <f aca="false">IF(ISNUMBER(FIND("SALDO ANTERIOR",C130)),0,IF(ISNUMBER(FIND("SALDO DO DIA",C130)),0,IF(ISNUMBER(FIND("SDO CTA/APL AUTOMATICAS",C130)),0,IF(ISNUMBER(FIND("TEC DEPOSITO",C130)),0,IF(ISNUMBER(FIND("APL APLIC AUT MAIS",C130)),E130,IF(E130&gt;0,E130,0))))))</f>
        <v>10</v>
      </c>
      <c r="H130" s="66" t="n">
        <v>43831</v>
      </c>
    </row>
    <row r="131" customFormat="false" ht="13.8" hidden="false" customHeight="false" outlineLevel="0" collapsed="false">
      <c r="A131" s="69" t="s">
        <v>29</v>
      </c>
      <c r="B131" s="74" t="s">
        <v>170</v>
      </c>
      <c r="C131" s="75" t="s">
        <v>58</v>
      </c>
      <c r="D131" s="76"/>
      <c r="E131" s="77" t="n">
        <v>10</v>
      </c>
      <c r="F131" s="78" t="n">
        <f aca="false">IF(ISNUMBER(FIND("SALDO ANTERIOR",C131)),0,IF(ISNUMBER(FIND("SALDO DO DIA",C131)),0,IF(ISNUMBER(FIND("SALDO PARCIAL",C131)),0,IF(ISNUMBER(FIND("SDO CTA/APL AUTOMATICAS",C131)),0,IF(ISNUMBER(FIND("APL APLIC AUT MAIS",C131)),0,IF(ISNUMBER(FIND("TEC DEPOSITO",C131)),0,IF(E131&gt;0,0,E131*(-1))))))))</f>
        <v>0</v>
      </c>
      <c r="G131" s="79" t="n">
        <f aca="false">IF(ISNUMBER(FIND("SALDO ANTERIOR",C131)),0,IF(ISNUMBER(FIND("SALDO DO DIA",C131)),0,IF(ISNUMBER(FIND("SDO CTA/APL AUTOMATICAS",C131)),0,IF(ISNUMBER(FIND("TEC DEPOSITO",C131)),0,IF(ISNUMBER(FIND("APL APLIC AUT MAIS",C131)),E131,IF(E131&gt;0,E131,0))))))</f>
        <v>10</v>
      </c>
      <c r="H131" s="80" t="n">
        <v>43862</v>
      </c>
    </row>
    <row r="132" customFormat="false" ht="13.8" hidden="false" customHeight="false" outlineLevel="0" collapsed="false">
      <c r="A132" s="69" t="s">
        <v>124</v>
      </c>
      <c r="B132" s="74" t="s">
        <v>170</v>
      </c>
      <c r="C132" s="75" t="s">
        <v>171</v>
      </c>
      <c r="D132" s="76" t="s">
        <v>61</v>
      </c>
      <c r="E132" s="81" t="n">
        <v>-20</v>
      </c>
      <c r="F132" s="78" t="n">
        <f aca="false">IF(ISNUMBER(FIND("SALDO ANTERIOR",C132)),0,IF(ISNUMBER(FIND("SALDO DO DIA",C132)),0,IF(ISNUMBER(FIND("SALDO PARCIAL",C132)),0,IF(ISNUMBER(FIND("SDO CTA/APL AUTOMATICAS",C132)),0,IF(ISNUMBER(FIND("APL APLIC AUT MAIS",C132)),0,IF(ISNUMBER(FIND("TEC DEPOSITO",C132)),0,IF(E132&gt;0,0,E132*(-1))))))))</f>
        <v>20</v>
      </c>
      <c r="G132" s="79" t="n">
        <f aca="false">IF(ISNUMBER(FIND("SALDO ANTERIOR",C132)),0,IF(ISNUMBER(FIND("SALDO DO DIA",C132)),0,IF(ISNUMBER(FIND("SDO CTA/APL AUTOMATICAS",C132)),0,IF(ISNUMBER(FIND("TEC DEPOSITO",C132)),0,IF(ISNUMBER(FIND("APL APLIC AUT MAIS",C132)),E132,IF(E132&gt;0,E132,0))))))</f>
        <v>0</v>
      </c>
      <c r="H132" s="80" t="n">
        <v>43862</v>
      </c>
    </row>
    <row r="133" customFormat="false" ht="13.8" hidden="false" customHeight="false" outlineLevel="0" collapsed="false">
      <c r="A133" s="69" t="s">
        <v>65</v>
      </c>
      <c r="B133" s="74" t="s">
        <v>170</v>
      </c>
      <c r="C133" s="75" t="s">
        <v>172</v>
      </c>
      <c r="D133" s="76" t="s">
        <v>64</v>
      </c>
      <c r="E133" s="81" t="n">
        <v>-4</v>
      </c>
      <c r="F133" s="78" t="n">
        <f aca="false">IF(ISNUMBER(FIND("SALDO ANTERIOR",C133)),0,IF(ISNUMBER(FIND("SALDO DO DIA",C133)),0,IF(ISNUMBER(FIND("SALDO PARCIAL",C133)),0,IF(ISNUMBER(FIND("SDO CTA/APL AUTOMATICAS",C133)),0,IF(ISNUMBER(FIND("APL APLIC AUT MAIS",C133)),0,IF(ISNUMBER(FIND("TEC DEPOSITO",C133)),0,IF(E133&gt;0,0,E133*(-1))))))))</f>
        <v>4</v>
      </c>
      <c r="G133" s="79" t="n">
        <f aca="false">IF(ISNUMBER(FIND("SALDO ANTERIOR",C133)),0,IF(ISNUMBER(FIND("SALDO DO DIA",C133)),0,IF(ISNUMBER(FIND("SDO CTA/APL AUTOMATICAS",C133)),0,IF(ISNUMBER(FIND("TEC DEPOSITO",C133)),0,IF(ISNUMBER(FIND("APL APLIC AUT MAIS",C133)),E133,IF(E133&gt;0,E133,0))))))</f>
        <v>0</v>
      </c>
      <c r="H133" s="80" t="n">
        <v>43862</v>
      </c>
    </row>
    <row r="134" customFormat="false" ht="13.8" hidden="false" customHeight="false" outlineLevel="0" collapsed="false">
      <c r="A134" s="69" t="s">
        <v>65</v>
      </c>
      <c r="B134" s="74" t="s">
        <v>170</v>
      </c>
      <c r="C134" s="75" t="s">
        <v>173</v>
      </c>
      <c r="D134" s="76" t="s">
        <v>64</v>
      </c>
      <c r="E134" s="81" t="n">
        <v>-35</v>
      </c>
      <c r="F134" s="78" t="n">
        <f aca="false">IF(ISNUMBER(FIND("SALDO ANTERIOR",C134)),0,IF(ISNUMBER(FIND("SALDO DO DIA",C134)),0,IF(ISNUMBER(FIND("SALDO PARCIAL",C134)),0,IF(ISNUMBER(FIND("SDO CTA/APL AUTOMATICAS",C134)),0,IF(ISNUMBER(FIND("APL APLIC AUT MAIS",C134)),0,IF(ISNUMBER(FIND("TEC DEPOSITO",C134)),0,IF(E134&gt;0,0,E134*(-1))))))))</f>
        <v>35</v>
      </c>
      <c r="G134" s="79" t="n">
        <f aca="false">IF(ISNUMBER(FIND("SALDO ANTERIOR",C134)),0,IF(ISNUMBER(FIND("SALDO DO DIA",C134)),0,IF(ISNUMBER(FIND("SDO CTA/APL AUTOMATICAS",C134)),0,IF(ISNUMBER(FIND("TEC DEPOSITO",C134)),0,IF(ISNUMBER(FIND("APL APLIC AUT MAIS",C134)),E134,IF(E134&gt;0,E134,0))))))</f>
        <v>0</v>
      </c>
      <c r="H134" s="80" t="n">
        <v>43862</v>
      </c>
    </row>
    <row r="135" customFormat="false" ht="13.8" hidden="false" customHeight="false" outlineLevel="0" collapsed="false">
      <c r="A135" s="69" t="s">
        <v>65</v>
      </c>
      <c r="B135" s="74" t="s">
        <v>170</v>
      </c>
      <c r="C135" s="75" t="s">
        <v>174</v>
      </c>
      <c r="D135" s="76" t="s">
        <v>64</v>
      </c>
      <c r="E135" s="81" t="n">
        <v>-3</v>
      </c>
      <c r="F135" s="78" t="n">
        <f aca="false">IF(ISNUMBER(FIND("SALDO ANTERIOR",C135)),0,IF(ISNUMBER(FIND("SALDO DO DIA",C135)),0,IF(ISNUMBER(FIND("SALDO PARCIAL",C135)),0,IF(ISNUMBER(FIND("SDO CTA/APL AUTOMATICAS",C135)),0,IF(ISNUMBER(FIND("APL APLIC AUT MAIS",C135)),0,IF(ISNUMBER(FIND("TEC DEPOSITO",C135)),0,IF(E135&gt;0,0,E135*(-1))))))))</f>
        <v>3</v>
      </c>
      <c r="G135" s="79" t="n">
        <f aca="false">IF(ISNUMBER(FIND("SALDO ANTERIOR",C135)),0,IF(ISNUMBER(FIND("SALDO DO DIA",C135)),0,IF(ISNUMBER(FIND("SDO CTA/APL AUTOMATICAS",C135)),0,IF(ISNUMBER(FIND("TEC DEPOSITO",C135)),0,IF(ISNUMBER(FIND("APL APLIC AUT MAIS",C135)),E135,IF(E135&gt;0,E135,0))))))</f>
        <v>0</v>
      </c>
      <c r="H135" s="80" t="n">
        <v>43862</v>
      </c>
    </row>
    <row r="136" customFormat="false" ht="13.8" hidden="false" customHeight="false" outlineLevel="0" collapsed="false">
      <c r="A136" s="69" t="s">
        <v>65</v>
      </c>
      <c r="B136" s="74" t="s">
        <v>170</v>
      </c>
      <c r="C136" s="75" t="s">
        <v>175</v>
      </c>
      <c r="D136" s="76" t="s">
        <v>64</v>
      </c>
      <c r="E136" s="81" t="n">
        <v>-30</v>
      </c>
      <c r="F136" s="78" t="n">
        <f aca="false">IF(ISNUMBER(FIND("SALDO ANTERIOR",C136)),0,IF(ISNUMBER(FIND("SALDO DO DIA",C136)),0,IF(ISNUMBER(FIND("SALDO PARCIAL",C136)),0,IF(ISNUMBER(FIND("SDO CTA/APL AUTOMATICAS",C136)),0,IF(ISNUMBER(FIND("APL APLIC AUT MAIS",C136)),0,IF(ISNUMBER(FIND("TEC DEPOSITO",C136)),0,IF(E136&gt;0,0,E136*(-1))))))))</f>
        <v>30</v>
      </c>
      <c r="G136" s="79" t="n">
        <f aca="false">IF(ISNUMBER(FIND("SALDO ANTERIOR",C136)),0,IF(ISNUMBER(FIND("SALDO DO DIA",C136)),0,IF(ISNUMBER(FIND("SDO CTA/APL AUTOMATICAS",C136)),0,IF(ISNUMBER(FIND("TEC DEPOSITO",C136)),0,IF(ISNUMBER(FIND("APL APLIC AUT MAIS",C136)),E136,IF(E136&gt;0,E136,0))))))</f>
        <v>0</v>
      </c>
      <c r="H136" s="80" t="n">
        <v>43862</v>
      </c>
    </row>
    <row r="137" customFormat="false" ht="13.8" hidden="false" customHeight="false" outlineLevel="0" collapsed="false">
      <c r="A137" s="69" t="s">
        <v>74</v>
      </c>
      <c r="B137" s="74" t="s">
        <v>170</v>
      </c>
      <c r="C137" s="75" t="s">
        <v>155</v>
      </c>
      <c r="D137" s="76" t="s">
        <v>64</v>
      </c>
      <c r="E137" s="81" t="n">
        <v>-17.99</v>
      </c>
      <c r="F137" s="78" t="n">
        <f aca="false">IF(ISNUMBER(FIND("SALDO ANTERIOR",C137)),0,IF(ISNUMBER(FIND("SALDO DO DIA",C137)),0,IF(ISNUMBER(FIND("SALDO PARCIAL",C137)),0,IF(ISNUMBER(FIND("SDO CTA/APL AUTOMATICAS",C137)),0,IF(ISNUMBER(FIND("APL APLIC AUT MAIS",C137)),0,IF(ISNUMBER(FIND("TEC DEPOSITO",C137)),0,IF(E137&gt;0,0,E137*(-1))))))))</f>
        <v>17.99</v>
      </c>
      <c r="G137" s="79" t="n">
        <f aca="false">IF(ISNUMBER(FIND("SALDO ANTERIOR",C137)),0,IF(ISNUMBER(FIND("SALDO DO DIA",C137)),0,IF(ISNUMBER(FIND("SDO CTA/APL AUTOMATICAS",C137)),0,IF(ISNUMBER(FIND("TEC DEPOSITO",C137)),0,IF(ISNUMBER(FIND("APL APLIC AUT MAIS",C137)),E137,IF(E137&gt;0,E137,0))))))</f>
        <v>0</v>
      </c>
      <c r="H137" s="80" t="n">
        <v>43862</v>
      </c>
    </row>
    <row r="138" customFormat="false" ht="13.8" hidden="false" customHeight="false" outlineLevel="0" collapsed="false">
      <c r="A138" s="69" t="s">
        <v>65</v>
      </c>
      <c r="B138" s="74" t="s">
        <v>170</v>
      </c>
      <c r="C138" s="75" t="s">
        <v>97</v>
      </c>
      <c r="D138" s="76" t="s">
        <v>64</v>
      </c>
      <c r="E138" s="81" t="n">
        <v>-2.99</v>
      </c>
      <c r="F138" s="78" t="n">
        <f aca="false">IF(ISNUMBER(FIND("SALDO ANTERIOR",C138)),0,IF(ISNUMBER(FIND("SALDO DO DIA",C138)),0,IF(ISNUMBER(FIND("SALDO PARCIAL",C138)),0,IF(ISNUMBER(FIND("SDO CTA/APL AUTOMATICAS",C138)),0,IF(ISNUMBER(FIND("APL APLIC AUT MAIS",C138)),0,IF(ISNUMBER(FIND("TEC DEPOSITO",C138)),0,IF(E138&gt;0,0,E138*(-1))))))))</f>
        <v>2.99</v>
      </c>
      <c r="G138" s="79" t="n">
        <f aca="false">IF(ISNUMBER(FIND("SALDO ANTERIOR",C138)),0,IF(ISNUMBER(FIND("SALDO DO DIA",C138)),0,IF(ISNUMBER(FIND("SDO CTA/APL AUTOMATICAS",C138)),0,IF(ISNUMBER(FIND("TEC DEPOSITO",C138)),0,IF(ISNUMBER(FIND("APL APLIC AUT MAIS",C138)),E138,IF(E138&gt;0,E138,0))))))</f>
        <v>0</v>
      </c>
      <c r="H138" s="80" t="n">
        <v>43862</v>
      </c>
    </row>
    <row r="139" customFormat="false" ht="13.8" hidden="false" customHeight="false" outlineLevel="0" collapsed="false">
      <c r="A139" s="69" t="s">
        <v>98</v>
      </c>
      <c r="B139" s="74" t="s">
        <v>170</v>
      </c>
      <c r="C139" s="75" t="s">
        <v>99</v>
      </c>
      <c r="D139" s="76" t="s">
        <v>64</v>
      </c>
      <c r="E139" s="81" t="n">
        <v>-50.35</v>
      </c>
      <c r="F139" s="78" t="n">
        <f aca="false">IF(ISNUMBER(FIND("SALDO ANTERIOR",C139)),0,IF(ISNUMBER(FIND("SALDO DO DIA",C139)),0,IF(ISNUMBER(FIND("SALDO PARCIAL",C139)),0,IF(ISNUMBER(FIND("SDO CTA/APL AUTOMATICAS",C139)),0,IF(ISNUMBER(FIND("APL APLIC AUT MAIS",C139)),0,IF(ISNUMBER(FIND("TEC DEPOSITO",C139)),0,IF(E139&gt;0,0,E139*(-1))))))))</f>
        <v>50.35</v>
      </c>
      <c r="G139" s="79" t="n">
        <f aca="false">IF(ISNUMBER(FIND("SALDO ANTERIOR",C139)),0,IF(ISNUMBER(FIND("SALDO DO DIA",C139)),0,IF(ISNUMBER(FIND("SDO CTA/APL AUTOMATICAS",C139)),0,IF(ISNUMBER(FIND("TEC DEPOSITO",C139)),0,IF(ISNUMBER(FIND("APL APLIC AUT MAIS",C139)),E139,IF(E139&gt;0,E139,0))))))</f>
        <v>0</v>
      </c>
      <c r="H139" s="80" t="n">
        <v>43862</v>
      </c>
    </row>
    <row r="140" customFormat="false" ht="13.8" hidden="false" customHeight="false" outlineLevel="0" collapsed="false">
      <c r="A140" s="69" t="s">
        <v>67</v>
      </c>
      <c r="B140" s="74" t="s">
        <v>170</v>
      </c>
      <c r="C140" s="75" t="s">
        <v>68</v>
      </c>
      <c r="D140" s="76"/>
      <c r="E140" s="81" t="n">
        <v>-17.02</v>
      </c>
      <c r="F140" s="78" t="n">
        <f aca="false">IF(ISNUMBER(FIND("SALDO ANTERIOR",C140)),0,IF(ISNUMBER(FIND("SALDO DO DIA",C140)),0,IF(ISNUMBER(FIND("SALDO PARCIAL",C140)),0,IF(ISNUMBER(FIND("SDO CTA/APL AUTOMATICAS",C140)),0,IF(ISNUMBER(FIND("APL APLIC AUT MAIS",C140)),0,IF(ISNUMBER(FIND("TEC DEPOSITO",C140)),0,IF(E140&gt;0,0,E140*(-1))))))))</f>
        <v>17.02</v>
      </c>
      <c r="G140" s="79" t="n">
        <f aca="false">IF(ISNUMBER(FIND("SALDO ANTERIOR",C140)),0,IF(ISNUMBER(FIND("SALDO DO DIA",C140)),0,IF(ISNUMBER(FIND("SDO CTA/APL AUTOMATICAS",C140)),0,IF(ISNUMBER(FIND("TEC DEPOSITO",C140)),0,IF(ISNUMBER(FIND("APL APLIC AUT MAIS",C140)),E140,IF(E140&gt;0,E140,0))))))</f>
        <v>0</v>
      </c>
      <c r="H140" s="80" t="n">
        <v>43862</v>
      </c>
    </row>
    <row r="141" customFormat="false" ht="13.8" hidden="false" customHeight="false" outlineLevel="0" collapsed="false">
      <c r="A141" s="82" t="s">
        <v>67</v>
      </c>
      <c r="B141" s="74" t="s">
        <v>170</v>
      </c>
      <c r="C141" s="75" t="s">
        <v>69</v>
      </c>
      <c r="D141" s="76"/>
      <c r="E141" s="77" t="n">
        <v>180.35</v>
      </c>
      <c r="F141" s="78" t="n">
        <f aca="false">IF(ISNUMBER(FIND("SALDO ANTERIOR",C141)),0,IF(ISNUMBER(FIND("SALDO DO DIA",C141)),0,IF(ISNUMBER(FIND("SALDO PARCIAL",C141)),0,IF(ISNUMBER(FIND("SDO CTA/APL AUTOMATICAS",C141)),0,IF(ISNUMBER(FIND("APL APLIC AUT MAIS",C141)),0,IF(ISNUMBER(FIND("TEC DEPOSITO",C141)),0,IF(E141&gt;0,0,E141*(-1))))))))</f>
        <v>0</v>
      </c>
      <c r="G141" s="79" t="n">
        <f aca="false">IF(ISNUMBER(FIND("SALDO ANTERIOR",C141)),0,IF(ISNUMBER(FIND("SALDO DO DIA",C141)),0,IF(ISNUMBER(FIND("SDO CTA/APL AUTOMATICAS",C141)),0,IF(ISNUMBER(FIND("TEC DEPOSITO",C141)),0,IF(ISNUMBER(FIND("APL APLIC AUT MAIS",C141)),E141,IF(E141&gt;0,E141,0))))))</f>
        <v>180.35</v>
      </c>
      <c r="H141" s="80" t="n">
        <v>43862</v>
      </c>
    </row>
    <row r="142" customFormat="false" ht="13.8" hidden="false" customHeight="false" outlineLevel="0" collapsed="false">
      <c r="A142" s="69" t="s">
        <v>29</v>
      </c>
      <c r="B142" s="74" t="s">
        <v>170</v>
      </c>
      <c r="C142" s="75" t="s">
        <v>70</v>
      </c>
      <c r="D142" s="76"/>
      <c r="E142" s="77" t="n">
        <v>1482.27</v>
      </c>
      <c r="F142" s="78" t="n">
        <f aca="false">IF(ISNUMBER(FIND("SALDO ANTERIOR",C142)),0,IF(ISNUMBER(FIND("SALDO DO DIA",C142)),0,IF(ISNUMBER(FIND("SALDO PARCIAL",C142)),0,IF(ISNUMBER(FIND("SDO CTA/APL AUTOMATICAS",C142)),0,IF(ISNUMBER(FIND("APL APLIC AUT MAIS",C142)),0,IF(ISNUMBER(FIND("TEC DEPOSITO",C142)),0,IF(E142&gt;0,0,E142*(-1))))))))</f>
        <v>0</v>
      </c>
      <c r="G142" s="79" t="n">
        <f aca="false">IF(ISNUMBER(FIND("SALDO ANTERIOR",C142)),0,IF(ISNUMBER(FIND("SALDO DO DIA",C142)),0,IF(ISNUMBER(FIND("SDO CTA/APL AUTOMATICAS",C142)),0,IF(ISNUMBER(FIND("TEC DEPOSITO",C142)),0,IF(ISNUMBER(FIND("APL APLIC AUT MAIS",C142)),E142,IF(E142&gt;0,E142,0))))))</f>
        <v>1482.27</v>
      </c>
      <c r="H142" s="80" t="n">
        <v>43862</v>
      </c>
    </row>
    <row r="143" customFormat="false" ht="13.8" hidden="false" customHeight="false" outlineLevel="0" collapsed="false">
      <c r="A143" s="69" t="s">
        <v>176</v>
      </c>
      <c r="B143" s="74" t="s">
        <v>177</v>
      </c>
      <c r="C143" s="75" t="s">
        <v>178</v>
      </c>
      <c r="D143" s="76" t="s">
        <v>61</v>
      </c>
      <c r="E143" s="81" t="n">
        <v>-90</v>
      </c>
      <c r="F143" s="78" t="n">
        <f aca="false">IF(ISNUMBER(FIND("SALDO ANTERIOR",C143)),0,IF(ISNUMBER(FIND("SALDO DO DIA",C143)),0,IF(ISNUMBER(FIND("SALDO PARCIAL",C143)),0,IF(ISNUMBER(FIND("SDO CTA/APL AUTOMATICAS",C143)),0,IF(ISNUMBER(FIND("APL APLIC AUT MAIS",C143)),0,IF(ISNUMBER(FIND("TEC DEPOSITO",C143)),0,IF(E143&gt;0,0,E143*(-1))))))))</f>
        <v>90</v>
      </c>
      <c r="G143" s="79" t="n">
        <f aca="false">IF(ISNUMBER(FIND("SALDO ANTERIOR",C143)),0,IF(ISNUMBER(FIND("SALDO DO DIA",C143)),0,IF(ISNUMBER(FIND("SDO CTA/APL AUTOMATICAS",C143)),0,IF(ISNUMBER(FIND("TEC DEPOSITO",C143)),0,IF(ISNUMBER(FIND("APL APLIC AUT MAIS",C143)),E143,IF(E143&gt;0,E143,0))))))</f>
        <v>0</v>
      </c>
      <c r="H143" s="80" t="n">
        <v>43862</v>
      </c>
    </row>
    <row r="144" customFormat="false" ht="13.8" hidden="false" customHeight="false" outlineLevel="0" collapsed="false">
      <c r="A144" s="59" t="s">
        <v>98</v>
      </c>
      <c r="B144" s="74" t="s">
        <v>177</v>
      </c>
      <c r="C144" s="75" t="s">
        <v>146</v>
      </c>
      <c r="D144" s="76" t="s">
        <v>64</v>
      </c>
      <c r="E144" s="81" t="n">
        <v>-81.47</v>
      </c>
      <c r="F144" s="78" t="n">
        <f aca="false">IF(ISNUMBER(FIND("SALDO ANTERIOR",C144)),0,IF(ISNUMBER(FIND("SALDO DO DIA",C144)),0,IF(ISNUMBER(FIND("SALDO PARCIAL",C144)),0,IF(ISNUMBER(FIND("SDO CTA/APL AUTOMATICAS",C144)),0,IF(ISNUMBER(FIND("APL APLIC AUT MAIS",C144)),0,IF(ISNUMBER(FIND("TEC DEPOSITO",C144)),0,IF(E144&gt;0,0,E144*(-1))))))))</f>
        <v>81.47</v>
      </c>
      <c r="G144" s="79" t="n">
        <f aca="false">IF(ISNUMBER(FIND("SALDO ANTERIOR",C144)),0,IF(ISNUMBER(FIND("SALDO DO DIA",C144)),0,IF(ISNUMBER(FIND("SDO CTA/APL AUTOMATICAS",C144)),0,IF(ISNUMBER(FIND("TEC DEPOSITO",C144)),0,IF(ISNUMBER(FIND("APL APLIC AUT MAIS",C144)),E144,IF(E144&gt;0,E144,0))))))</f>
        <v>0</v>
      </c>
      <c r="H144" s="80" t="n">
        <v>43862</v>
      </c>
    </row>
    <row r="145" customFormat="false" ht="13.8" hidden="false" customHeight="false" outlineLevel="0" collapsed="false">
      <c r="A145" s="59" t="s">
        <v>76</v>
      </c>
      <c r="B145" s="74" t="s">
        <v>177</v>
      </c>
      <c r="C145" s="75" t="s">
        <v>179</v>
      </c>
      <c r="D145" s="76" t="s">
        <v>64</v>
      </c>
      <c r="E145" s="81" t="n">
        <v>-74.58</v>
      </c>
      <c r="F145" s="78" t="n">
        <f aca="false">IF(ISNUMBER(FIND("SALDO ANTERIOR",C145)),0,IF(ISNUMBER(FIND("SALDO DO DIA",C145)),0,IF(ISNUMBER(FIND("SALDO PARCIAL",C145)),0,IF(ISNUMBER(FIND("SDO CTA/APL AUTOMATICAS",C145)),0,IF(ISNUMBER(FIND("APL APLIC AUT MAIS",C145)),0,IF(ISNUMBER(FIND("TEC DEPOSITO",C145)),0,IF(E145&gt;0,0,E145*(-1))))))))</f>
        <v>74.58</v>
      </c>
      <c r="G145" s="79" t="n">
        <f aca="false">IF(ISNUMBER(FIND("SALDO ANTERIOR",C145)),0,IF(ISNUMBER(FIND("SALDO DO DIA",C145)),0,IF(ISNUMBER(FIND("SDO CTA/APL AUTOMATICAS",C145)),0,IF(ISNUMBER(FIND("TEC DEPOSITO",C145)),0,IF(ISNUMBER(FIND("APL APLIC AUT MAIS",C145)),E145,IF(E145&gt;0,E145,0))))))</f>
        <v>0</v>
      </c>
      <c r="H145" s="80" t="n">
        <v>43862</v>
      </c>
    </row>
    <row r="146" customFormat="false" ht="13.8" hidden="false" customHeight="false" outlineLevel="0" collapsed="false">
      <c r="A146" s="59" t="s">
        <v>74</v>
      </c>
      <c r="B146" s="74" t="s">
        <v>177</v>
      </c>
      <c r="C146" s="75" t="s">
        <v>155</v>
      </c>
      <c r="D146" s="76" t="s">
        <v>64</v>
      </c>
      <c r="E146" s="81" t="n">
        <v>-58.61</v>
      </c>
      <c r="F146" s="78" t="n">
        <f aca="false">IF(ISNUMBER(FIND("SALDO ANTERIOR",C146)),0,IF(ISNUMBER(FIND("SALDO DO DIA",C146)),0,IF(ISNUMBER(FIND("SALDO PARCIAL",C146)),0,IF(ISNUMBER(FIND("SDO CTA/APL AUTOMATICAS",C146)),0,IF(ISNUMBER(FIND("APL APLIC AUT MAIS",C146)),0,IF(ISNUMBER(FIND("TEC DEPOSITO",C146)),0,IF(E146&gt;0,0,E146*(-1))))))))</f>
        <v>58.61</v>
      </c>
      <c r="G146" s="79" t="n">
        <f aca="false">IF(ISNUMBER(FIND("SALDO ANTERIOR",C146)),0,IF(ISNUMBER(FIND("SALDO DO DIA",C146)),0,IF(ISNUMBER(FIND("SDO CTA/APL AUTOMATICAS",C146)),0,IF(ISNUMBER(FIND("TEC DEPOSITO",C146)),0,IF(ISNUMBER(FIND("APL APLIC AUT MAIS",C146)),E146,IF(E146&gt;0,E146,0))))))</f>
        <v>0</v>
      </c>
      <c r="H146" s="80" t="n">
        <v>43862</v>
      </c>
    </row>
    <row r="147" customFormat="false" ht="13.8" hidden="false" customHeight="false" outlineLevel="0" collapsed="false">
      <c r="A147" s="59" t="s">
        <v>98</v>
      </c>
      <c r="B147" s="74" t="s">
        <v>177</v>
      </c>
      <c r="C147" s="75" t="s">
        <v>180</v>
      </c>
      <c r="D147" s="76" t="s">
        <v>64</v>
      </c>
      <c r="E147" s="81" t="n">
        <v>-31.37</v>
      </c>
      <c r="F147" s="78" t="n">
        <f aca="false">IF(ISNUMBER(FIND("SALDO ANTERIOR",C147)),0,IF(ISNUMBER(FIND("SALDO DO DIA",C147)),0,IF(ISNUMBER(FIND("SALDO PARCIAL",C147)),0,IF(ISNUMBER(FIND("SDO CTA/APL AUTOMATICAS",C147)),0,IF(ISNUMBER(FIND("APL APLIC AUT MAIS",C147)),0,IF(ISNUMBER(FIND("TEC DEPOSITO",C147)),0,IF(E147&gt;0,0,E147*(-1))))))))</f>
        <v>31.37</v>
      </c>
      <c r="G147" s="79" t="n">
        <f aca="false">IF(ISNUMBER(FIND("SALDO ANTERIOR",C147)),0,IF(ISNUMBER(FIND("SALDO DO DIA",C147)),0,IF(ISNUMBER(FIND("SDO CTA/APL AUTOMATICAS",C147)),0,IF(ISNUMBER(FIND("TEC DEPOSITO",C147)),0,IF(ISNUMBER(FIND("APL APLIC AUT MAIS",C147)),E147,IF(E147&gt;0,E147,0))))))</f>
        <v>0</v>
      </c>
      <c r="H147" s="80" t="n">
        <v>43862</v>
      </c>
    </row>
    <row r="148" customFormat="false" ht="13.8" hidden="false" customHeight="false" outlineLevel="0" collapsed="false">
      <c r="A148" s="59" t="s">
        <v>181</v>
      </c>
      <c r="B148" s="74" t="s">
        <v>177</v>
      </c>
      <c r="C148" s="75" t="s">
        <v>182</v>
      </c>
      <c r="D148" s="76" t="s">
        <v>61</v>
      </c>
      <c r="E148" s="81" t="n">
        <v>-500</v>
      </c>
      <c r="F148" s="78" t="n">
        <f aca="false">IF(ISNUMBER(FIND("SALDO ANTERIOR",C148)),0,IF(ISNUMBER(FIND("SALDO DO DIA",C148)),0,IF(ISNUMBER(FIND("SALDO PARCIAL",C148)),0,IF(ISNUMBER(FIND("SDO CTA/APL AUTOMATICAS",C148)),0,IF(ISNUMBER(FIND("APL APLIC AUT MAIS",C148)),0,IF(ISNUMBER(FIND("TEC DEPOSITO",C148)),0,IF(E148&gt;0,0,E148*(-1))))))))</f>
        <v>500</v>
      </c>
      <c r="G148" s="79" t="n">
        <f aca="false">IF(ISNUMBER(FIND("SALDO ANTERIOR",C148)),0,IF(ISNUMBER(FIND("SALDO DO DIA",C148)),0,IF(ISNUMBER(FIND("SDO CTA/APL AUTOMATICAS",C148)),0,IF(ISNUMBER(FIND("TEC DEPOSITO",C148)),0,IF(ISNUMBER(FIND("APL APLIC AUT MAIS",C148)),E148,IF(E148&gt;0,E148,0))))))</f>
        <v>0</v>
      </c>
      <c r="H148" s="80" t="n">
        <v>43862</v>
      </c>
    </row>
    <row r="149" customFormat="false" ht="13.8" hidden="false" customHeight="false" outlineLevel="0" collapsed="false">
      <c r="A149" s="59" t="s">
        <v>67</v>
      </c>
      <c r="B149" s="74" t="s">
        <v>177</v>
      </c>
      <c r="C149" s="75" t="s">
        <v>69</v>
      </c>
      <c r="D149" s="76"/>
      <c r="E149" s="77" t="n">
        <v>836.03</v>
      </c>
      <c r="F149" s="78" t="n">
        <f aca="false">IF(ISNUMBER(FIND("SALDO ANTERIOR",C149)),0,IF(ISNUMBER(FIND("SALDO DO DIA",C149)),0,IF(ISNUMBER(FIND("SALDO PARCIAL",C149)),0,IF(ISNUMBER(FIND("SDO CTA/APL AUTOMATICAS",C149)),0,IF(ISNUMBER(FIND("APL APLIC AUT MAIS",C149)),0,IF(ISNUMBER(FIND("TEC DEPOSITO",C149)),0,IF(E149&gt;0,0,E149*(-1))))))))</f>
        <v>0</v>
      </c>
      <c r="G149" s="79" t="n">
        <f aca="false">IF(ISNUMBER(FIND("SALDO ANTERIOR",C149)),0,IF(ISNUMBER(FIND("SALDO DO DIA",C149)),0,IF(ISNUMBER(FIND("SDO CTA/APL AUTOMATICAS",C149)),0,IF(ISNUMBER(FIND("TEC DEPOSITO",C149)),0,IF(ISNUMBER(FIND("APL APLIC AUT MAIS",C149)),E149,IF(E149&gt;0,E149,0))))))</f>
        <v>836.03</v>
      </c>
      <c r="H149" s="80" t="n">
        <v>43862</v>
      </c>
    </row>
    <row r="150" customFormat="false" ht="13.8" hidden="false" customHeight="false" outlineLevel="0" collapsed="false">
      <c r="A150" s="59" t="s">
        <v>29</v>
      </c>
      <c r="B150" s="74" t="s">
        <v>177</v>
      </c>
      <c r="C150" s="75" t="s">
        <v>70</v>
      </c>
      <c r="D150" s="76"/>
      <c r="E150" s="77" t="n">
        <v>646.24</v>
      </c>
      <c r="F150" s="78" t="n">
        <f aca="false">IF(ISNUMBER(FIND("SALDO ANTERIOR",C150)),0,IF(ISNUMBER(FIND("SALDO DO DIA",C150)),0,IF(ISNUMBER(FIND("SALDO PARCIAL",C150)),0,IF(ISNUMBER(FIND("SDO CTA/APL AUTOMATICAS",C150)),0,IF(ISNUMBER(FIND("APL APLIC AUT MAIS",C150)),0,IF(ISNUMBER(FIND("TEC DEPOSITO",C150)),0,IF(E150&gt;0,0,E150*(-1))))))))</f>
        <v>0</v>
      </c>
      <c r="G150" s="79" t="n">
        <f aca="false">IF(ISNUMBER(FIND("SALDO ANTERIOR",C150)),0,IF(ISNUMBER(FIND("SALDO DO DIA",C150)),0,IF(ISNUMBER(FIND("SDO CTA/APL AUTOMATICAS",C150)),0,IF(ISNUMBER(FIND("TEC DEPOSITO",C150)),0,IF(ISNUMBER(FIND("APL APLIC AUT MAIS",C150)),E150,IF(E150&gt;0,E150,0))))))</f>
        <v>646.24</v>
      </c>
      <c r="H150" s="80" t="n">
        <v>43862</v>
      </c>
    </row>
    <row r="151" customFormat="false" ht="13.8" hidden="false" customHeight="false" outlineLevel="0" collapsed="false">
      <c r="A151" s="59" t="s">
        <v>176</v>
      </c>
      <c r="B151" s="74" t="s">
        <v>183</v>
      </c>
      <c r="C151" s="75" t="s">
        <v>184</v>
      </c>
      <c r="D151" s="76" t="s">
        <v>61</v>
      </c>
      <c r="E151" s="81" t="n">
        <v>-60</v>
      </c>
      <c r="F151" s="78" t="n">
        <f aca="false">IF(ISNUMBER(FIND("SALDO ANTERIOR",C151)),0,IF(ISNUMBER(FIND("SALDO DO DIA",C151)),0,IF(ISNUMBER(FIND("SALDO PARCIAL",C151)),0,IF(ISNUMBER(FIND("SDO CTA/APL AUTOMATICAS",C151)),0,IF(ISNUMBER(FIND("APL APLIC AUT MAIS",C151)),0,IF(ISNUMBER(FIND("TEC DEPOSITO",C151)),0,IF(E151&gt;0,0,E151*(-1))))))))</f>
        <v>60</v>
      </c>
      <c r="G151" s="79" t="n">
        <f aca="false">IF(ISNUMBER(FIND("SALDO ANTERIOR",C151)),0,IF(ISNUMBER(FIND("SALDO DO DIA",C151)),0,IF(ISNUMBER(FIND("SDO CTA/APL AUTOMATICAS",C151)),0,IF(ISNUMBER(FIND("TEC DEPOSITO",C151)),0,IF(ISNUMBER(FIND("APL APLIC AUT MAIS",C151)),E151,IF(E151&gt;0,E151,0))))))</f>
        <v>0</v>
      </c>
      <c r="H151" s="80" t="n">
        <v>43862</v>
      </c>
    </row>
    <row r="152" customFormat="false" ht="13.8" hidden="false" customHeight="false" outlineLevel="0" collapsed="false">
      <c r="A152" s="59" t="s">
        <v>67</v>
      </c>
      <c r="B152" s="74" t="s">
        <v>183</v>
      </c>
      <c r="C152" s="75" t="s">
        <v>185</v>
      </c>
      <c r="D152" s="76" t="s">
        <v>82</v>
      </c>
      <c r="E152" s="81" t="n">
        <v>-76.9</v>
      </c>
      <c r="F152" s="78" t="n">
        <f aca="false">IF(ISNUMBER(FIND("SALDO ANTERIOR",C152)),0,IF(ISNUMBER(FIND("SALDO DO DIA",C152)),0,IF(ISNUMBER(FIND("SALDO PARCIAL",C152)),0,IF(ISNUMBER(FIND("SDO CTA/APL AUTOMATICAS",C152)),0,IF(ISNUMBER(FIND("APL APLIC AUT MAIS",C152)),0,IF(ISNUMBER(FIND("TEC DEPOSITO",C152)),0,IF(E152&gt;0,0,E152*(-1))))))))</f>
        <v>76.9</v>
      </c>
      <c r="G152" s="79" t="n">
        <f aca="false">IF(ISNUMBER(FIND("SALDO ANTERIOR",C152)),0,IF(ISNUMBER(FIND("SALDO DO DIA",C152)),0,IF(ISNUMBER(FIND("SDO CTA/APL AUTOMATICAS",C152)),0,IF(ISNUMBER(FIND("TEC DEPOSITO",C152)),0,IF(ISNUMBER(FIND("APL APLIC AUT MAIS",C152)),E152,IF(E152&gt;0,E152,0))))))</f>
        <v>0</v>
      </c>
      <c r="H152" s="80" t="n">
        <v>43862</v>
      </c>
    </row>
    <row r="153" customFormat="false" ht="13.8" hidden="false" customHeight="false" outlineLevel="0" collapsed="false">
      <c r="A153" s="59" t="s">
        <v>67</v>
      </c>
      <c r="B153" s="74" t="s">
        <v>183</v>
      </c>
      <c r="C153" s="75" t="s">
        <v>69</v>
      </c>
      <c r="D153" s="76"/>
      <c r="E153" s="77" t="n">
        <v>136.9</v>
      </c>
      <c r="F153" s="78" t="n">
        <f aca="false">IF(ISNUMBER(FIND("SALDO ANTERIOR",C153)),0,IF(ISNUMBER(FIND("SALDO DO DIA",C153)),0,IF(ISNUMBER(FIND("SALDO PARCIAL",C153)),0,IF(ISNUMBER(FIND("SDO CTA/APL AUTOMATICAS",C153)),0,IF(ISNUMBER(FIND("APL APLIC AUT MAIS",C153)),0,IF(ISNUMBER(FIND("TEC DEPOSITO",C153)),0,IF(E153&gt;0,0,E153*(-1))))))))</f>
        <v>0</v>
      </c>
      <c r="G153" s="79" t="n">
        <f aca="false">IF(ISNUMBER(FIND("SALDO ANTERIOR",C153)),0,IF(ISNUMBER(FIND("SALDO DO DIA",C153)),0,IF(ISNUMBER(FIND("SDO CTA/APL AUTOMATICAS",C153)),0,IF(ISNUMBER(FIND("TEC DEPOSITO",C153)),0,IF(ISNUMBER(FIND("APL APLIC AUT MAIS",C153)),E153,IF(E153&gt;0,E153,0))))))</f>
        <v>136.9</v>
      </c>
      <c r="H153" s="80" t="n">
        <v>43862</v>
      </c>
    </row>
    <row r="154" customFormat="false" ht="13.8" hidden="false" customHeight="false" outlineLevel="0" collapsed="false">
      <c r="A154" s="59" t="s">
        <v>29</v>
      </c>
      <c r="B154" s="74" t="s">
        <v>183</v>
      </c>
      <c r="C154" s="75" t="s">
        <v>70</v>
      </c>
      <c r="D154" s="76"/>
      <c r="E154" s="77" t="n">
        <v>509.34</v>
      </c>
      <c r="F154" s="78" t="n">
        <f aca="false">IF(ISNUMBER(FIND("SALDO ANTERIOR",C154)),0,IF(ISNUMBER(FIND("SALDO DO DIA",C154)),0,IF(ISNUMBER(FIND("SALDO PARCIAL",C154)),0,IF(ISNUMBER(FIND("SDO CTA/APL AUTOMATICAS",C154)),0,IF(ISNUMBER(FIND("APL APLIC AUT MAIS",C154)),0,IF(ISNUMBER(FIND("TEC DEPOSITO",C154)),0,IF(E154&gt;0,0,E154*(-1))))))))</f>
        <v>0</v>
      </c>
      <c r="G154" s="79" t="n">
        <f aca="false">IF(ISNUMBER(FIND("SALDO ANTERIOR",C154)),0,IF(ISNUMBER(FIND("SALDO DO DIA",C154)),0,IF(ISNUMBER(FIND("SDO CTA/APL AUTOMATICAS",C154)),0,IF(ISNUMBER(FIND("TEC DEPOSITO",C154)),0,IF(ISNUMBER(FIND("APL APLIC AUT MAIS",C154)),E154,IF(E154&gt;0,E154,0))))))</f>
        <v>509.34</v>
      </c>
      <c r="H154" s="80" t="n">
        <v>43862</v>
      </c>
    </row>
    <row r="155" customFormat="false" ht="13.8" hidden="false" customHeight="false" outlineLevel="0" collapsed="false">
      <c r="A155" s="59" t="s">
        <v>76</v>
      </c>
      <c r="B155" s="74" t="s">
        <v>186</v>
      </c>
      <c r="C155" s="75" t="s">
        <v>102</v>
      </c>
      <c r="D155" s="76" t="s">
        <v>64</v>
      </c>
      <c r="E155" s="81" t="n">
        <v>-10</v>
      </c>
      <c r="F155" s="78" t="n">
        <f aca="false">IF(ISNUMBER(FIND("SALDO ANTERIOR",C155)),0,IF(ISNUMBER(FIND("SALDO DO DIA",C155)),0,IF(ISNUMBER(FIND("SALDO PARCIAL",C155)),0,IF(ISNUMBER(FIND("SDO CTA/APL AUTOMATICAS",C155)),0,IF(ISNUMBER(FIND("APL APLIC AUT MAIS",C155)),0,IF(ISNUMBER(FIND("TEC DEPOSITO",C155)),0,IF(E155&gt;0,0,E155*(-1))))))))</f>
        <v>10</v>
      </c>
      <c r="G155" s="79" t="n">
        <f aca="false">IF(ISNUMBER(FIND("SALDO ANTERIOR",C155)),0,IF(ISNUMBER(FIND("SALDO DO DIA",C155)),0,IF(ISNUMBER(FIND("SDO CTA/APL AUTOMATICAS",C155)),0,IF(ISNUMBER(FIND("TEC DEPOSITO",C155)),0,IF(ISNUMBER(FIND("APL APLIC AUT MAIS",C155)),E155,IF(E155&gt;0,E155,0))))))</f>
        <v>0</v>
      </c>
      <c r="H155" s="80" t="n">
        <v>43862</v>
      </c>
    </row>
    <row r="156" customFormat="false" ht="13.8" hidden="false" customHeight="false" outlineLevel="0" collapsed="false">
      <c r="A156" s="59" t="s">
        <v>65</v>
      </c>
      <c r="B156" s="74" t="s">
        <v>186</v>
      </c>
      <c r="C156" s="75" t="s">
        <v>187</v>
      </c>
      <c r="D156" s="76" t="s">
        <v>64</v>
      </c>
      <c r="E156" s="81" t="n">
        <v>-23</v>
      </c>
      <c r="F156" s="78" t="n">
        <f aca="false">IF(ISNUMBER(FIND("SALDO ANTERIOR",C156)),0,IF(ISNUMBER(FIND("SALDO DO DIA",C156)),0,IF(ISNUMBER(FIND("SALDO PARCIAL",C156)),0,IF(ISNUMBER(FIND("SDO CTA/APL AUTOMATICAS",C156)),0,IF(ISNUMBER(FIND("APL APLIC AUT MAIS",C156)),0,IF(ISNUMBER(FIND("TEC DEPOSITO",C156)),0,IF(E156&gt;0,0,E156*(-1))))))))</f>
        <v>23</v>
      </c>
      <c r="G156" s="79" t="n">
        <f aca="false">IF(ISNUMBER(FIND("SALDO ANTERIOR",C156)),0,IF(ISNUMBER(FIND("SALDO DO DIA",C156)),0,IF(ISNUMBER(FIND("SDO CTA/APL AUTOMATICAS",C156)),0,IF(ISNUMBER(FIND("TEC DEPOSITO",C156)),0,IF(ISNUMBER(FIND("APL APLIC AUT MAIS",C156)),E156,IF(E156&gt;0,E156,0))))))</f>
        <v>0</v>
      </c>
      <c r="H156" s="80" t="n">
        <v>43862</v>
      </c>
    </row>
    <row r="157" customFormat="false" ht="13.8" hidden="false" customHeight="false" outlineLevel="0" collapsed="false">
      <c r="A157" s="59" t="s">
        <v>65</v>
      </c>
      <c r="B157" s="74" t="s">
        <v>186</v>
      </c>
      <c r="C157" s="75" t="s">
        <v>188</v>
      </c>
      <c r="D157" s="76" t="s">
        <v>64</v>
      </c>
      <c r="E157" s="81" t="n">
        <v>-8</v>
      </c>
      <c r="F157" s="78" t="n">
        <f aca="false">IF(ISNUMBER(FIND("SALDO ANTERIOR",C157)),0,IF(ISNUMBER(FIND("SALDO DO DIA",C157)),0,IF(ISNUMBER(FIND("SALDO PARCIAL",C157)),0,IF(ISNUMBER(FIND("SDO CTA/APL AUTOMATICAS",C157)),0,IF(ISNUMBER(FIND("APL APLIC AUT MAIS",C157)),0,IF(ISNUMBER(FIND("TEC DEPOSITO",C157)),0,IF(E157&gt;0,0,E157*(-1))))))))</f>
        <v>8</v>
      </c>
      <c r="G157" s="79" t="n">
        <f aca="false">IF(ISNUMBER(FIND("SALDO ANTERIOR",C157)),0,IF(ISNUMBER(FIND("SALDO DO DIA",C157)),0,IF(ISNUMBER(FIND("SDO CTA/APL AUTOMATICAS",C157)),0,IF(ISNUMBER(FIND("TEC DEPOSITO",C157)),0,IF(ISNUMBER(FIND("APL APLIC AUT MAIS",C157)),E157,IF(E157&gt;0,E157,0))))))</f>
        <v>0</v>
      </c>
      <c r="H157" s="80" t="n">
        <v>43862</v>
      </c>
    </row>
    <row r="158" customFormat="false" ht="13.8" hidden="false" customHeight="false" outlineLevel="0" collapsed="false">
      <c r="A158" s="59" t="s">
        <v>71</v>
      </c>
      <c r="B158" s="74" t="s">
        <v>186</v>
      </c>
      <c r="C158" s="75" t="s">
        <v>189</v>
      </c>
      <c r="D158" s="76" t="s">
        <v>64</v>
      </c>
      <c r="E158" s="81" t="n">
        <v>-6</v>
      </c>
      <c r="F158" s="78" t="n">
        <f aca="false">IF(ISNUMBER(FIND("SALDO ANTERIOR",C158)),0,IF(ISNUMBER(FIND("SALDO DO DIA",C158)),0,IF(ISNUMBER(FIND("SALDO PARCIAL",C158)),0,IF(ISNUMBER(FIND("SDO CTA/APL AUTOMATICAS",C158)),0,IF(ISNUMBER(FIND("APL APLIC AUT MAIS",C158)),0,IF(ISNUMBER(FIND("TEC DEPOSITO",C158)),0,IF(E158&gt;0,0,E158*(-1))))))))</f>
        <v>6</v>
      </c>
      <c r="G158" s="79" t="n">
        <f aca="false">IF(ISNUMBER(FIND("SALDO ANTERIOR",C158)),0,IF(ISNUMBER(FIND("SALDO DO DIA",C158)),0,IF(ISNUMBER(FIND("SDO CTA/APL AUTOMATICAS",C158)),0,IF(ISNUMBER(FIND("TEC DEPOSITO",C158)),0,IF(ISNUMBER(FIND("APL APLIC AUT MAIS",C158)),E158,IF(E158&gt;0,E158,0))))))</f>
        <v>0</v>
      </c>
      <c r="H158" s="80" t="n">
        <v>43862</v>
      </c>
    </row>
    <row r="159" customFormat="false" ht="13.8" hidden="false" customHeight="false" outlineLevel="0" collapsed="false">
      <c r="A159" s="59" t="s">
        <v>65</v>
      </c>
      <c r="B159" s="74" t="s">
        <v>186</v>
      </c>
      <c r="C159" s="75" t="s">
        <v>190</v>
      </c>
      <c r="D159" s="76" t="s">
        <v>64</v>
      </c>
      <c r="E159" s="81" t="n">
        <v>-3</v>
      </c>
      <c r="F159" s="78" t="n">
        <f aca="false">IF(ISNUMBER(FIND("SALDO ANTERIOR",C159)),0,IF(ISNUMBER(FIND("SALDO DO DIA",C159)),0,IF(ISNUMBER(FIND("SALDO PARCIAL",C159)),0,IF(ISNUMBER(FIND("SDO CTA/APL AUTOMATICAS",C159)),0,IF(ISNUMBER(FIND("APL APLIC AUT MAIS",C159)),0,IF(ISNUMBER(FIND("TEC DEPOSITO",C159)),0,IF(E159&gt;0,0,E159*(-1))))))))</f>
        <v>3</v>
      </c>
      <c r="G159" s="79" t="n">
        <f aca="false">IF(ISNUMBER(FIND("SALDO ANTERIOR",C159)),0,IF(ISNUMBER(FIND("SALDO DO DIA",C159)),0,IF(ISNUMBER(FIND("SDO CTA/APL AUTOMATICAS",C159)),0,IF(ISNUMBER(FIND("TEC DEPOSITO",C159)),0,IF(ISNUMBER(FIND("APL APLIC AUT MAIS",C159)),E159,IF(E159&gt;0,E159,0))))))</f>
        <v>0</v>
      </c>
      <c r="H159" s="80" t="n">
        <v>43862</v>
      </c>
    </row>
    <row r="160" customFormat="false" ht="13.8" hidden="false" customHeight="false" outlineLevel="0" collapsed="false">
      <c r="A160" s="59" t="s">
        <v>65</v>
      </c>
      <c r="B160" s="74" t="s">
        <v>186</v>
      </c>
      <c r="C160" s="75" t="s">
        <v>191</v>
      </c>
      <c r="D160" s="76" t="s">
        <v>64</v>
      </c>
      <c r="E160" s="81" t="n">
        <v>-5</v>
      </c>
      <c r="F160" s="78" t="n">
        <f aca="false">IF(ISNUMBER(FIND("SALDO ANTERIOR",C160)),0,IF(ISNUMBER(FIND("SALDO DO DIA",C160)),0,IF(ISNUMBER(FIND("SALDO PARCIAL",C160)),0,IF(ISNUMBER(FIND("SDO CTA/APL AUTOMATICAS",C160)),0,IF(ISNUMBER(FIND("APL APLIC AUT MAIS",C160)),0,IF(ISNUMBER(FIND("TEC DEPOSITO",C160)),0,IF(E160&gt;0,0,E160*(-1))))))))</f>
        <v>5</v>
      </c>
      <c r="G160" s="79" t="n">
        <f aca="false">IF(ISNUMBER(FIND("SALDO ANTERIOR",C160)),0,IF(ISNUMBER(FIND("SALDO DO DIA",C160)),0,IF(ISNUMBER(FIND("SDO CTA/APL AUTOMATICAS",C160)),0,IF(ISNUMBER(FIND("TEC DEPOSITO",C160)),0,IF(ISNUMBER(FIND("APL APLIC AUT MAIS",C160)),E160,IF(E160&gt;0,E160,0))))))</f>
        <v>0</v>
      </c>
      <c r="H160" s="80" t="n">
        <v>43862</v>
      </c>
    </row>
    <row r="161" customFormat="false" ht="13.8" hidden="false" customHeight="false" outlineLevel="0" collapsed="false">
      <c r="A161" s="59" t="s">
        <v>67</v>
      </c>
      <c r="B161" s="74" t="s">
        <v>186</v>
      </c>
      <c r="C161" s="75" t="s">
        <v>69</v>
      </c>
      <c r="D161" s="76"/>
      <c r="E161" s="77" t="n">
        <v>55</v>
      </c>
      <c r="F161" s="78" t="n">
        <f aca="false">IF(ISNUMBER(FIND("SALDO ANTERIOR",C161)),0,IF(ISNUMBER(FIND("SALDO DO DIA",C161)),0,IF(ISNUMBER(FIND("SALDO PARCIAL",C161)),0,IF(ISNUMBER(FIND("SDO CTA/APL AUTOMATICAS",C161)),0,IF(ISNUMBER(FIND("APL APLIC AUT MAIS",C161)),0,IF(ISNUMBER(FIND("TEC DEPOSITO",C161)),0,IF(E161&gt;0,0,E161*(-1))))))))</f>
        <v>0</v>
      </c>
      <c r="G161" s="79" t="n">
        <f aca="false">IF(ISNUMBER(FIND("SALDO ANTERIOR",C161)),0,IF(ISNUMBER(FIND("SALDO DO DIA",C161)),0,IF(ISNUMBER(FIND("SDO CTA/APL AUTOMATICAS",C161)),0,IF(ISNUMBER(FIND("TEC DEPOSITO",C161)),0,IF(ISNUMBER(FIND("APL APLIC AUT MAIS",C161)),E161,IF(E161&gt;0,E161,0))))))</f>
        <v>55</v>
      </c>
      <c r="H161" s="80" t="n">
        <v>43862</v>
      </c>
    </row>
    <row r="162" customFormat="false" ht="13.8" hidden="false" customHeight="false" outlineLevel="0" collapsed="false">
      <c r="A162" s="59" t="s">
        <v>29</v>
      </c>
      <c r="B162" s="74" t="s">
        <v>186</v>
      </c>
      <c r="C162" s="75" t="s">
        <v>70</v>
      </c>
      <c r="D162" s="76"/>
      <c r="E162" s="77" t="n">
        <v>454.34</v>
      </c>
      <c r="F162" s="78" t="n">
        <f aca="false">IF(ISNUMBER(FIND("SALDO ANTERIOR",C162)),0,IF(ISNUMBER(FIND("SALDO DO DIA",C162)),0,IF(ISNUMBER(FIND("SALDO PARCIAL",C162)),0,IF(ISNUMBER(FIND("SDO CTA/APL AUTOMATICAS",C162)),0,IF(ISNUMBER(FIND("APL APLIC AUT MAIS",C162)),0,IF(ISNUMBER(FIND("TEC DEPOSITO",C162)),0,IF(E162&gt;0,0,E162*(-1))))))))</f>
        <v>0</v>
      </c>
      <c r="G162" s="79" t="n">
        <f aca="false">IF(ISNUMBER(FIND("SALDO ANTERIOR",C162)),0,IF(ISNUMBER(FIND("SALDO DO DIA",C162)),0,IF(ISNUMBER(FIND("SDO CTA/APL AUTOMATICAS",C162)),0,IF(ISNUMBER(FIND("TEC DEPOSITO",C162)),0,IF(ISNUMBER(FIND("APL APLIC AUT MAIS",C162)),E162,IF(E162&gt;0,E162,0))))))</f>
        <v>454.34</v>
      </c>
      <c r="H162" s="80" t="n">
        <v>43862</v>
      </c>
    </row>
    <row r="163" customFormat="false" ht="13.8" hidden="false" customHeight="false" outlineLevel="0" collapsed="false">
      <c r="A163" s="59" t="s">
        <v>29</v>
      </c>
      <c r="B163" s="74" t="s">
        <v>192</v>
      </c>
      <c r="C163" s="75" t="s">
        <v>70</v>
      </c>
      <c r="D163" s="76"/>
      <c r="E163" s="77" t="n">
        <v>454.34</v>
      </c>
      <c r="F163" s="78" t="n">
        <f aca="false">IF(ISNUMBER(FIND("SALDO ANTERIOR",C163)),0,IF(ISNUMBER(FIND("SALDO DO DIA",C163)),0,IF(ISNUMBER(FIND("SALDO PARCIAL",C163)),0,IF(ISNUMBER(FIND("SDO CTA/APL AUTOMATICAS",C163)),0,IF(ISNUMBER(FIND("APL APLIC AUT MAIS",C163)),0,IF(ISNUMBER(FIND("TEC DEPOSITO",C163)),0,IF(E163&gt;0,0,E163*(-1))))))))</f>
        <v>0</v>
      </c>
      <c r="G163" s="79" t="n">
        <f aca="false">IF(ISNUMBER(FIND("SALDO ANTERIOR",C163)),0,IF(ISNUMBER(FIND("SALDO DO DIA",C163)),0,IF(ISNUMBER(FIND("SDO CTA/APL AUTOMATICAS",C163)),0,IF(ISNUMBER(FIND("TEC DEPOSITO",C163)),0,IF(ISNUMBER(FIND("APL APLIC AUT MAIS",C163)),E163,IF(E163&gt;0,E163,0))))))</f>
        <v>454.34</v>
      </c>
      <c r="H163" s="80" t="n">
        <v>43862</v>
      </c>
    </row>
    <row r="164" customFormat="false" ht="13.8" hidden="false" customHeight="false" outlineLevel="0" collapsed="false">
      <c r="A164" s="59" t="s">
        <v>119</v>
      </c>
      <c r="B164" s="74" t="s">
        <v>193</v>
      </c>
      <c r="C164" s="75" t="s">
        <v>194</v>
      </c>
      <c r="D164" s="76" t="s">
        <v>61</v>
      </c>
      <c r="E164" s="81" t="n">
        <v>-30.8</v>
      </c>
      <c r="F164" s="78" t="n">
        <f aca="false">IF(ISNUMBER(FIND("SALDO ANTERIOR",C164)),0,IF(ISNUMBER(FIND("SALDO DO DIA",C164)),0,IF(ISNUMBER(FIND("SALDO PARCIAL",C164)),0,IF(ISNUMBER(FIND("SDO CTA/APL AUTOMATICAS",C164)),0,IF(ISNUMBER(FIND("APL APLIC AUT MAIS",C164)),0,IF(ISNUMBER(FIND("TEC DEPOSITO",C164)),0,IF(E164&gt;0,0,E164*(-1))))))))</f>
        <v>30.8</v>
      </c>
      <c r="G164" s="79" t="n">
        <f aca="false">IF(ISNUMBER(FIND("SALDO ANTERIOR",C164)),0,IF(ISNUMBER(FIND("SALDO DO DIA",C164)),0,IF(ISNUMBER(FIND("SDO CTA/APL AUTOMATICAS",C164)),0,IF(ISNUMBER(FIND("TEC DEPOSITO",C164)),0,IF(ISNUMBER(FIND("APL APLIC AUT MAIS",C164)),E164,IF(E164&gt;0,E164,0))))))</f>
        <v>0</v>
      </c>
      <c r="H164" s="80" t="n">
        <v>43862</v>
      </c>
    </row>
    <row r="165" customFormat="false" ht="13.8" hidden="false" customHeight="false" outlineLevel="0" collapsed="false">
      <c r="A165" s="59" t="s">
        <v>71</v>
      </c>
      <c r="B165" s="74" t="s">
        <v>193</v>
      </c>
      <c r="C165" s="75" t="s">
        <v>85</v>
      </c>
      <c r="D165" s="76" t="s">
        <v>64</v>
      </c>
      <c r="E165" s="81" t="n">
        <v>-3.26</v>
      </c>
      <c r="F165" s="78" t="n">
        <f aca="false">IF(ISNUMBER(FIND("SALDO ANTERIOR",C165)),0,IF(ISNUMBER(FIND("SALDO DO DIA",C165)),0,IF(ISNUMBER(FIND("SALDO PARCIAL",C165)),0,IF(ISNUMBER(FIND("SDO CTA/APL AUTOMATICAS",C165)),0,IF(ISNUMBER(FIND("APL APLIC AUT MAIS",C165)),0,IF(ISNUMBER(FIND("TEC DEPOSITO",C165)),0,IF(E165&gt;0,0,E165*(-1))))))))</f>
        <v>3.26</v>
      </c>
      <c r="G165" s="79" t="n">
        <f aca="false">IF(ISNUMBER(FIND("SALDO ANTERIOR",C165)),0,IF(ISNUMBER(FIND("SALDO DO DIA",C165)),0,IF(ISNUMBER(FIND("SDO CTA/APL AUTOMATICAS",C165)),0,IF(ISNUMBER(FIND("TEC DEPOSITO",C165)),0,IF(ISNUMBER(FIND("APL APLIC AUT MAIS",C165)),E165,IF(E165&gt;0,E165,0))))))</f>
        <v>0</v>
      </c>
      <c r="H165" s="80" t="n">
        <v>43862</v>
      </c>
    </row>
    <row r="166" customFormat="false" ht="13.8" hidden="false" customHeight="false" outlineLevel="0" collapsed="false">
      <c r="A166" s="59" t="s">
        <v>76</v>
      </c>
      <c r="B166" s="74" t="s">
        <v>193</v>
      </c>
      <c r="C166" s="75" t="s">
        <v>195</v>
      </c>
      <c r="D166" s="76" t="s">
        <v>64</v>
      </c>
      <c r="E166" s="81" t="n">
        <v>-2</v>
      </c>
      <c r="F166" s="78" t="n">
        <f aca="false">IF(ISNUMBER(FIND("SALDO ANTERIOR",C166)),0,IF(ISNUMBER(FIND("SALDO DO DIA",C166)),0,IF(ISNUMBER(FIND("SALDO PARCIAL",C166)),0,IF(ISNUMBER(FIND("SDO CTA/APL AUTOMATICAS",C166)),0,IF(ISNUMBER(FIND("APL APLIC AUT MAIS",C166)),0,IF(ISNUMBER(FIND("TEC DEPOSITO",C166)),0,IF(E166&gt;0,0,E166*(-1))))))))</f>
        <v>2</v>
      </c>
      <c r="G166" s="79" t="n">
        <f aca="false">IF(ISNUMBER(FIND("SALDO ANTERIOR",C166)),0,IF(ISNUMBER(FIND("SALDO DO DIA",C166)),0,IF(ISNUMBER(FIND("SDO CTA/APL AUTOMATICAS",C166)),0,IF(ISNUMBER(FIND("TEC DEPOSITO",C166)),0,IF(ISNUMBER(FIND("APL APLIC AUT MAIS",C166)),E166,IF(E166&gt;0,E166,0))))))</f>
        <v>0</v>
      </c>
      <c r="H166" s="80" t="n">
        <v>43862</v>
      </c>
    </row>
    <row r="167" customFormat="false" ht="13.8" hidden="false" customHeight="false" outlineLevel="0" collapsed="false">
      <c r="A167" s="59" t="s">
        <v>65</v>
      </c>
      <c r="B167" s="74" t="s">
        <v>193</v>
      </c>
      <c r="C167" s="75" t="s">
        <v>150</v>
      </c>
      <c r="D167" s="76" t="s">
        <v>64</v>
      </c>
      <c r="E167" s="81" t="n">
        <v>-5</v>
      </c>
      <c r="F167" s="78" t="n">
        <f aca="false">IF(ISNUMBER(FIND("SALDO ANTERIOR",C167)),0,IF(ISNUMBER(FIND("SALDO DO DIA",C167)),0,IF(ISNUMBER(FIND("SALDO PARCIAL",C167)),0,IF(ISNUMBER(FIND("SDO CTA/APL AUTOMATICAS",C167)),0,IF(ISNUMBER(FIND("APL APLIC AUT MAIS",C167)),0,IF(ISNUMBER(FIND("TEC DEPOSITO",C167)),0,IF(E167&gt;0,0,E167*(-1))))))))</f>
        <v>5</v>
      </c>
      <c r="G167" s="79" t="n">
        <f aca="false">IF(ISNUMBER(FIND("SALDO ANTERIOR",C167)),0,IF(ISNUMBER(FIND("SALDO DO DIA",C167)),0,IF(ISNUMBER(FIND("SDO CTA/APL AUTOMATICAS",C167)),0,IF(ISNUMBER(FIND("TEC DEPOSITO",C167)),0,IF(ISNUMBER(FIND("APL APLIC AUT MAIS",C167)),E167,IF(E167&gt;0,E167,0))))))</f>
        <v>0</v>
      </c>
      <c r="H167" s="80" t="n">
        <v>43862</v>
      </c>
    </row>
    <row r="168" customFormat="false" ht="13.8" hidden="false" customHeight="false" outlineLevel="0" collapsed="false">
      <c r="A168" s="59" t="s">
        <v>87</v>
      </c>
      <c r="B168" s="74" t="s">
        <v>193</v>
      </c>
      <c r="C168" s="75" t="s">
        <v>88</v>
      </c>
      <c r="D168" s="76" t="s">
        <v>64</v>
      </c>
      <c r="E168" s="81" t="n">
        <v>-4</v>
      </c>
      <c r="F168" s="78" t="n">
        <f aca="false">IF(ISNUMBER(FIND("SALDO ANTERIOR",C168)),0,IF(ISNUMBER(FIND("SALDO DO DIA",C168)),0,IF(ISNUMBER(FIND("SALDO PARCIAL",C168)),0,IF(ISNUMBER(FIND("SDO CTA/APL AUTOMATICAS",C168)),0,IF(ISNUMBER(FIND("APL APLIC AUT MAIS",C168)),0,IF(ISNUMBER(FIND("TEC DEPOSITO",C168)),0,IF(E168&gt;0,0,E168*(-1))))))))</f>
        <v>4</v>
      </c>
      <c r="G168" s="79" t="n">
        <f aca="false">IF(ISNUMBER(FIND("SALDO ANTERIOR",C168)),0,IF(ISNUMBER(FIND("SALDO DO DIA",C168)),0,IF(ISNUMBER(FIND("SDO CTA/APL AUTOMATICAS",C168)),0,IF(ISNUMBER(FIND("TEC DEPOSITO",C168)),0,IF(ISNUMBER(FIND("APL APLIC AUT MAIS",C168)),E168,IF(E168&gt;0,E168,0))))))</f>
        <v>0</v>
      </c>
      <c r="H168" s="80" t="n">
        <v>43862</v>
      </c>
    </row>
    <row r="169" customFormat="false" ht="13.8" hidden="false" customHeight="false" outlineLevel="0" collapsed="false">
      <c r="A169" s="59" t="s">
        <v>65</v>
      </c>
      <c r="B169" s="74" t="s">
        <v>193</v>
      </c>
      <c r="C169" s="75" t="s">
        <v>196</v>
      </c>
      <c r="D169" s="76" t="s">
        <v>64</v>
      </c>
      <c r="E169" s="81" t="n">
        <v>-12.67</v>
      </c>
      <c r="F169" s="78" t="n">
        <f aca="false">IF(ISNUMBER(FIND("SALDO ANTERIOR",C169)),0,IF(ISNUMBER(FIND("SALDO DO DIA",C169)),0,IF(ISNUMBER(FIND("SALDO PARCIAL",C169)),0,IF(ISNUMBER(FIND("SDO CTA/APL AUTOMATICAS",C169)),0,IF(ISNUMBER(FIND("APL APLIC AUT MAIS",C169)),0,IF(ISNUMBER(FIND("TEC DEPOSITO",C169)),0,IF(E169&gt;0,0,E169*(-1))))))))</f>
        <v>12.67</v>
      </c>
      <c r="G169" s="79" t="n">
        <f aca="false">IF(ISNUMBER(FIND("SALDO ANTERIOR",C169)),0,IF(ISNUMBER(FIND("SALDO DO DIA",C169)),0,IF(ISNUMBER(FIND("SDO CTA/APL AUTOMATICAS",C169)),0,IF(ISNUMBER(FIND("TEC DEPOSITO",C169)),0,IF(ISNUMBER(FIND("APL APLIC AUT MAIS",C169)),E169,IF(E169&gt;0,E169,0))))))</f>
        <v>0</v>
      </c>
      <c r="H169" s="80" t="n">
        <v>43862</v>
      </c>
    </row>
    <row r="170" customFormat="false" ht="13.8" hidden="false" customHeight="false" outlineLevel="0" collapsed="false">
      <c r="A170" s="59" t="s">
        <v>65</v>
      </c>
      <c r="B170" s="74" t="s">
        <v>193</v>
      </c>
      <c r="C170" s="75" t="s">
        <v>197</v>
      </c>
      <c r="D170" s="76" t="s">
        <v>64</v>
      </c>
      <c r="E170" s="81" t="n">
        <v>-5</v>
      </c>
      <c r="F170" s="78" t="n">
        <f aca="false">IF(ISNUMBER(FIND("SALDO ANTERIOR",C170)),0,IF(ISNUMBER(FIND("SALDO DO DIA",C170)),0,IF(ISNUMBER(FIND("SALDO PARCIAL",C170)),0,IF(ISNUMBER(FIND("SDO CTA/APL AUTOMATICAS",C170)),0,IF(ISNUMBER(FIND("APL APLIC AUT MAIS",C170)),0,IF(ISNUMBER(FIND("TEC DEPOSITO",C170)),0,IF(E170&gt;0,0,E170*(-1))))))))</f>
        <v>5</v>
      </c>
      <c r="G170" s="79" t="n">
        <f aca="false">IF(ISNUMBER(FIND("SALDO ANTERIOR",C170)),0,IF(ISNUMBER(FIND("SALDO DO DIA",C170)),0,IF(ISNUMBER(FIND("SDO CTA/APL AUTOMATICAS",C170)),0,IF(ISNUMBER(FIND("TEC DEPOSITO",C170)),0,IF(ISNUMBER(FIND("APL APLIC AUT MAIS",C170)),E170,IF(E170&gt;0,E170,0))))))</f>
        <v>0</v>
      </c>
      <c r="H170" s="80" t="n">
        <v>43862</v>
      </c>
    </row>
    <row r="171" customFormat="false" ht="13.8" hidden="false" customHeight="false" outlineLevel="0" collapsed="false">
      <c r="A171" s="59" t="s">
        <v>65</v>
      </c>
      <c r="B171" s="74" t="s">
        <v>193</v>
      </c>
      <c r="C171" s="75" t="s">
        <v>153</v>
      </c>
      <c r="D171" s="76" t="s">
        <v>64</v>
      </c>
      <c r="E171" s="81" t="n">
        <v>-5</v>
      </c>
      <c r="F171" s="78" t="n">
        <f aca="false">IF(ISNUMBER(FIND("SALDO ANTERIOR",C171)),0,IF(ISNUMBER(FIND("SALDO DO DIA",C171)),0,IF(ISNUMBER(FIND("SALDO PARCIAL",C171)),0,IF(ISNUMBER(FIND("SDO CTA/APL AUTOMATICAS",C171)),0,IF(ISNUMBER(FIND("APL APLIC AUT MAIS",C171)),0,IF(ISNUMBER(FIND("TEC DEPOSITO",C171)),0,IF(E171&gt;0,0,E171*(-1))))))))</f>
        <v>5</v>
      </c>
      <c r="G171" s="79" t="n">
        <f aca="false">IF(ISNUMBER(FIND("SALDO ANTERIOR",C171)),0,IF(ISNUMBER(FIND("SALDO DO DIA",C171)),0,IF(ISNUMBER(FIND("SDO CTA/APL AUTOMATICAS",C171)),0,IF(ISNUMBER(FIND("TEC DEPOSITO",C171)),0,IF(ISNUMBER(FIND("APL APLIC AUT MAIS",C171)),E171,IF(E171&gt;0,E171,0))))))</f>
        <v>0</v>
      </c>
      <c r="H171" s="80" t="n">
        <v>43862</v>
      </c>
    </row>
    <row r="172" customFormat="false" ht="13.8" hidden="false" customHeight="false" outlineLevel="0" collapsed="false">
      <c r="A172" s="59" t="s">
        <v>65</v>
      </c>
      <c r="B172" s="74" t="s">
        <v>193</v>
      </c>
      <c r="C172" s="75" t="s">
        <v>198</v>
      </c>
      <c r="D172" s="76" t="s">
        <v>64</v>
      </c>
      <c r="E172" s="81" t="n">
        <v>-6</v>
      </c>
      <c r="F172" s="78" t="n">
        <f aca="false">IF(ISNUMBER(FIND("SALDO ANTERIOR",C172)),0,IF(ISNUMBER(FIND("SALDO DO DIA",C172)),0,IF(ISNUMBER(FIND("SALDO PARCIAL",C172)),0,IF(ISNUMBER(FIND("SDO CTA/APL AUTOMATICAS",C172)),0,IF(ISNUMBER(FIND("APL APLIC AUT MAIS",C172)),0,IF(ISNUMBER(FIND("TEC DEPOSITO",C172)),0,IF(E172&gt;0,0,E172*(-1))))))))</f>
        <v>6</v>
      </c>
      <c r="G172" s="79" t="n">
        <f aca="false">IF(ISNUMBER(FIND("SALDO ANTERIOR",C172)),0,IF(ISNUMBER(FIND("SALDO DO DIA",C172)),0,IF(ISNUMBER(FIND("SDO CTA/APL AUTOMATICAS",C172)),0,IF(ISNUMBER(FIND("TEC DEPOSITO",C172)),0,IF(ISNUMBER(FIND("APL APLIC AUT MAIS",C172)),E172,IF(E172&gt;0,E172,0))))))</f>
        <v>0</v>
      </c>
      <c r="H172" s="80" t="n">
        <v>43862</v>
      </c>
    </row>
    <row r="173" customFormat="false" ht="13.8" hidden="false" customHeight="false" outlineLevel="0" collapsed="false">
      <c r="A173" s="59" t="s">
        <v>65</v>
      </c>
      <c r="B173" s="74" t="s">
        <v>193</v>
      </c>
      <c r="C173" s="75" t="s">
        <v>114</v>
      </c>
      <c r="D173" s="76" t="s">
        <v>64</v>
      </c>
      <c r="E173" s="81" t="n">
        <v>-4</v>
      </c>
      <c r="F173" s="78" t="n">
        <f aca="false">IF(ISNUMBER(FIND("SALDO ANTERIOR",C173)),0,IF(ISNUMBER(FIND("SALDO DO DIA",C173)),0,IF(ISNUMBER(FIND("SALDO PARCIAL",C173)),0,IF(ISNUMBER(FIND("SDO CTA/APL AUTOMATICAS",C173)),0,IF(ISNUMBER(FIND("APL APLIC AUT MAIS",C173)),0,IF(ISNUMBER(FIND("TEC DEPOSITO",C173)),0,IF(E173&gt;0,0,E173*(-1))))))))</f>
        <v>4</v>
      </c>
      <c r="G173" s="79" t="n">
        <f aca="false">IF(ISNUMBER(FIND("SALDO ANTERIOR",C173)),0,IF(ISNUMBER(FIND("SALDO DO DIA",C173)),0,IF(ISNUMBER(FIND("SDO CTA/APL AUTOMATICAS",C173)),0,IF(ISNUMBER(FIND("TEC DEPOSITO",C173)),0,IF(ISNUMBER(FIND("APL APLIC AUT MAIS",C173)),E173,IF(E173&gt;0,E173,0))))))</f>
        <v>0</v>
      </c>
      <c r="H173" s="80" t="n">
        <v>43862</v>
      </c>
    </row>
    <row r="174" customFormat="false" ht="13.8" hidden="false" customHeight="false" outlineLevel="0" collapsed="false">
      <c r="A174" s="59" t="s">
        <v>65</v>
      </c>
      <c r="B174" s="74" t="s">
        <v>193</v>
      </c>
      <c r="C174" s="75" t="s">
        <v>199</v>
      </c>
      <c r="D174" s="76" t="s">
        <v>64</v>
      </c>
      <c r="E174" s="81" t="n">
        <v>-6</v>
      </c>
      <c r="F174" s="78" t="n">
        <f aca="false">IF(ISNUMBER(FIND("SALDO ANTERIOR",C174)),0,IF(ISNUMBER(FIND("SALDO DO DIA",C174)),0,IF(ISNUMBER(FIND("SALDO PARCIAL",C174)),0,IF(ISNUMBER(FIND("SDO CTA/APL AUTOMATICAS",C174)),0,IF(ISNUMBER(FIND("APL APLIC AUT MAIS",C174)),0,IF(ISNUMBER(FIND("TEC DEPOSITO",C174)),0,IF(E174&gt;0,0,E174*(-1))))))))</f>
        <v>6</v>
      </c>
      <c r="G174" s="79" t="n">
        <f aca="false">IF(ISNUMBER(FIND("SALDO ANTERIOR",C174)),0,IF(ISNUMBER(FIND("SALDO DO DIA",C174)),0,IF(ISNUMBER(FIND("SDO CTA/APL AUTOMATICAS",C174)),0,IF(ISNUMBER(FIND("TEC DEPOSITO",C174)),0,IF(ISNUMBER(FIND("APL APLIC AUT MAIS",C174)),E174,IF(E174&gt;0,E174,0))))))</f>
        <v>0</v>
      </c>
      <c r="H174" s="80" t="n">
        <v>43862</v>
      </c>
    </row>
    <row r="175" customFormat="false" ht="13.8" hidden="false" customHeight="false" outlineLevel="0" collapsed="false">
      <c r="A175" s="59" t="s">
        <v>65</v>
      </c>
      <c r="B175" s="74" t="s">
        <v>193</v>
      </c>
      <c r="C175" s="75" t="s">
        <v>200</v>
      </c>
      <c r="D175" s="76" t="s">
        <v>64</v>
      </c>
      <c r="E175" s="81" t="n">
        <v>-5</v>
      </c>
      <c r="F175" s="78" t="n">
        <f aca="false">IF(ISNUMBER(FIND("SALDO ANTERIOR",C175)),0,IF(ISNUMBER(FIND("SALDO DO DIA",C175)),0,IF(ISNUMBER(FIND("SALDO PARCIAL",C175)),0,IF(ISNUMBER(FIND("SDO CTA/APL AUTOMATICAS",C175)),0,IF(ISNUMBER(FIND("APL APLIC AUT MAIS",C175)),0,IF(ISNUMBER(FIND("TEC DEPOSITO",C175)),0,IF(E175&gt;0,0,E175*(-1))))))))</f>
        <v>5</v>
      </c>
      <c r="G175" s="79" t="n">
        <f aca="false">IF(ISNUMBER(FIND("SALDO ANTERIOR",C175)),0,IF(ISNUMBER(FIND("SALDO DO DIA",C175)),0,IF(ISNUMBER(FIND("SDO CTA/APL AUTOMATICAS",C175)),0,IF(ISNUMBER(FIND("TEC DEPOSITO",C175)),0,IF(ISNUMBER(FIND("APL APLIC AUT MAIS",C175)),E175,IF(E175&gt;0,E175,0))))))</f>
        <v>0</v>
      </c>
      <c r="H175" s="80" t="n">
        <v>43862</v>
      </c>
    </row>
    <row r="176" customFormat="false" ht="13.8" hidden="false" customHeight="false" outlineLevel="0" collapsed="false">
      <c r="A176" s="59" t="s">
        <v>74</v>
      </c>
      <c r="B176" s="74" t="s">
        <v>193</v>
      </c>
      <c r="C176" s="75" t="s">
        <v>201</v>
      </c>
      <c r="D176" s="76" t="s">
        <v>64</v>
      </c>
      <c r="E176" s="81" t="n">
        <v>-48.2</v>
      </c>
      <c r="F176" s="78" t="n">
        <f aca="false">IF(ISNUMBER(FIND("SALDO ANTERIOR",C176)),0,IF(ISNUMBER(FIND("SALDO DO DIA",C176)),0,IF(ISNUMBER(FIND("SALDO PARCIAL",C176)),0,IF(ISNUMBER(FIND("SDO CTA/APL AUTOMATICAS",C176)),0,IF(ISNUMBER(FIND("APL APLIC AUT MAIS",C176)),0,IF(ISNUMBER(FIND("TEC DEPOSITO",C176)),0,IF(E176&gt;0,0,E176*(-1))))))))</f>
        <v>48.2</v>
      </c>
      <c r="G176" s="79" t="n">
        <f aca="false">IF(ISNUMBER(FIND("SALDO ANTERIOR",C176)),0,IF(ISNUMBER(FIND("SALDO DO DIA",C176)),0,IF(ISNUMBER(FIND("SDO CTA/APL AUTOMATICAS",C176)),0,IF(ISNUMBER(FIND("TEC DEPOSITO",C176)),0,IF(ISNUMBER(FIND("APL APLIC AUT MAIS",C176)),E176,IF(E176&gt;0,E176,0))))))</f>
        <v>0</v>
      </c>
      <c r="H176" s="80" t="n">
        <v>43862</v>
      </c>
    </row>
    <row r="177" customFormat="false" ht="13.8" hidden="false" customHeight="false" outlineLevel="0" collapsed="false">
      <c r="A177" s="59" t="s">
        <v>76</v>
      </c>
      <c r="B177" s="74" t="s">
        <v>193</v>
      </c>
      <c r="C177" s="75" t="s">
        <v>202</v>
      </c>
      <c r="D177" s="76" t="s">
        <v>64</v>
      </c>
      <c r="E177" s="81" t="n">
        <v>-28</v>
      </c>
      <c r="F177" s="78" t="n">
        <f aca="false">IF(ISNUMBER(FIND("SALDO ANTERIOR",C177)),0,IF(ISNUMBER(FIND("SALDO DO DIA",C177)),0,IF(ISNUMBER(FIND("SALDO PARCIAL",C177)),0,IF(ISNUMBER(FIND("SDO CTA/APL AUTOMATICAS",C177)),0,IF(ISNUMBER(FIND("APL APLIC AUT MAIS",C177)),0,IF(ISNUMBER(FIND("TEC DEPOSITO",C177)),0,IF(E177&gt;0,0,E177*(-1))))))))</f>
        <v>28</v>
      </c>
      <c r="G177" s="79" t="n">
        <f aca="false">IF(ISNUMBER(FIND("SALDO ANTERIOR",C177)),0,IF(ISNUMBER(FIND("SALDO DO DIA",C177)),0,IF(ISNUMBER(FIND("SDO CTA/APL AUTOMATICAS",C177)),0,IF(ISNUMBER(FIND("TEC DEPOSITO",C177)),0,IF(ISNUMBER(FIND("APL APLIC AUT MAIS",C177)),E177,IF(E177&gt;0,E177,0))))))</f>
        <v>0</v>
      </c>
      <c r="H177" s="80" t="n">
        <v>43862</v>
      </c>
    </row>
    <row r="178" customFormat="false" ht="13.8" hidden="false" customHeight="false" outlineLevel="0" collapsed="false">
      <c r="A178" s="59" t="s">
        <v>65</v>
      </c>
      <c r="B178" s="74" t="s">
        <v>193</v>
      </c>
      <c r="C178" s="75" t="s">
        <v>96</v>
      </c>
      <c r="D178" s="76" t="s">
        <v>64</v>
      </c>
      <c r="E178" s="81" t="n">
        <v>-40</v>
      </c>
      <c r="F178" s="78" t="n">
        <f aca="false">IF(ISNUMBER(FIND("SALDO ANTERIOR",C178)),0,IF(ISNUMBER(FIND("SALDO DO DIA",C178)),0,IF(ISNUMBER(FIND("SALDO PARCIAL",C178)),0,IF(ISNUMBER(FIND("SDO CTA/APL AUTOMATICAS",C178)),0,IF(ISNUMBER(FIND("APL APLIC AUT MAIS",C178)),0,IF(ISNUMBER(FIND("TEC DEPOSITO",C178)),0,IF(E178&gt;0,0,E178*(-1))))))))</f>
        <v>40</v>
      </c>
      <c r="G178" s="79" t="n">
        <f aca="false">IF(ISNUMBER(FIND("SALDO ANTERIOR",C178)),0,IF(ISNUMBER(FIND("SALDO DO DIA",C178)),0,IF(ISNUMBER(FIND("SDO CTA/APL AUTOMATICAS",C178)),0,IF(ISNUMBER(FIND("TEC DEPOSITO",C178)),0,IF(ISNUMBER(FIND("APL APLIC AUT MAIS",C178)),E178,IF(E178&gt;0,E178,0))))))</f>
        <v>0</v>
      </c>
      <c r="H178" s="80" t="n">
        <v>43862</v>
      </c>
    </row>
    <row r="179" customFormat="false" ht="13.8" hidden="false" customHeight="false" outlineLevel="0" collapsed="false">
      <c r="A179" s="59" t="s">
        <v>98</v>
      </c>
      <c r="B179" s="74" t="s">
        <v>193</v>
      </c>
      <c r="C179" s="75" t="s">
        <v>99</v>
      </c>
      <c r="D179" s="76" t="s">
        <v>64</v>
      </c>
      <c r="E179" s="81" t="n">
        <v>-173.52</v>
      </c>
      <c r="F179" s="78" t="n">
        <f aca="false">IF(ISNUMBER(FIND("SALDO ANTERIOR",C179)),0,IF(ISNUMBER(FIND("SALDO DO DIA",C179)),0,IF(ISNUMBER(FIND("SALDO PARCIAL",C179)),0,IF(ISNUMBER(FIND("SDO CTA/APL AUTOMATICAS",C179)),0,IF(ISNUMBER(FIND("APL APLIC AUT MAIS",C179)),0,IF(ISNUMBER(FIND("TEC DEPOSITO",C179)),0,IF(E179&gt;0,0,E179*(-1))))))))</f>
        <v>173.52</v>
      </c>
      <c r="G179" s="79" t="n">
        <f aca="false">IF(ISNUMBER(FIND("SALDO ANTERIOR",C179)),0,IF(ISNUMBER(FIND("SALDO DO DIA",C179)),0,IF(ISNUMBER(FIND("SDO CTA/APL AUTOMATICAS",C179)),0,IF(ISNUMBER(FIND("TEC DEPOSITO",C179)),0,IF(ISNUMBER(FIND("APL APLIC AUT MAIS",C179)),E179,IF(E179&gt;0,E179,0))))))</f>
        <v>0</v>
      </c>
      <c r="H179" s="80" t="n">
        <v>43862</v>
      </c>
    </row>
    <row r="180" customFormat="false" ht="13.8" hidden="false" customHeight="false" outlineLevel="0" collapsed="false">
      <c r="A180" s="59" t="s">
        <v>65</v>
      </c>
      <c r="B180" s="74" t="s">
        <v>193</v>
      </c>
      <c r="C180" s="75" t="s">
        <v>100</v>
      </c>
      <c r="D180" s="76" t="s">
        <v>64</v>
      </c>
      <c r="E180" s="81" t="n">
        <v>-12</v>
      </c>
      <c r="F180" s="78" t="n">
        <f aca="false">IF(ISNUMBER(FIND("SALDO ANTERIOR",C180)),0,IF(ISNUMBER(FIND("SALDO DO DIA",C180)),0,IF(ISNUMBER(FIND("SALDO PARCIAL",C180)),0,IF(ISNUMBER(FIND("SDO CTA/APL AUTOMATICAS",C180)),0,IF(ISNUMBER(FIND("APL APLIC AUT MAIS",C180)),0,IF(ISNUMBER(FIND("TEC DEPOSITO",C180)),0,IF(E180&gt;0,0,E180*(-1))))))))</f>
        <v>12</v>
      </c>
      <c r="G180" s="79" t="n">
        <f aca="false">IF(ISNUMBER(FIND("SALDO ANTERIOR",C180)),0,IF(ISNUMBER(FIND("SALDO DO DIA",C180)),0,IF(ISNUMBER(FIND("SDO CTA/APL AUTOMATICAS",C180)),0,IF(ISNUMBER(FIND("TEC DEPOSITO",C180)),0,IF(ISNUMBER(FIND("APL APLIC AUT MAIS",C180)),E180,IF(E180&gt;0,E180,0))))))</f>
        <v>0</v>
      </c>
      <c r="H180" s="80" t="n">
        <v>43862</v>
      </c>
    </row>
    <row r="181" customFormat="false" ht="13.8" hidden="false" customHeight="false" outlineLevel="0" collapsed="false">
      <c r="A181" s="59" t="s">
        <v>67</v>
      </c>
      <c r="B181" s="74" t="s">
        <v>193</v>
      </c>
      <c r="C181" s="75" t="s">
        <v>109</v>
      </c>
      <c r="D181" s="76" t="s">
        <v>82</v>
      </c>
      <c r="E181" s="81" t="n">
        <v>-6.41</v>
      </c>
      <c r="F181" s="78" t="n">
        <f aca="false">IF(ISNUMBER(FIND("SALDO ANTERIOR",C181)),0,IF(ISNUMBER(FIND("SALDO DO DIA",C181)),0,IF(ISNUMBER(FIND("SALDO PARCIAL",C181)),0,IF(ISNUMBER(FIND("SDO CTA/APL AUTOMATICAS",C181)),0,IF(ISNUMBER(FIND("APL APLIC AUT MAIS",C181)),0,IF(ISNUMBER(FIND("TEC DEPOSITO",C181)),0,IF(E181&gt;0,0,E181*(-1))))))))</f>
        <v>6.41</v>
      </c>
      <c r="G181" s="79" t="n">
        <f aca="false">IF(ISNUMBER(FIND("SALDO ANTERIOR",C181)),0,IF(ISNUMBER(FIND("SALDO DO DIA",C181)),0,IF(ISNUMBER(FIND("SDO CTA/APL AUTOMATICAS",C181)),0,IF(ISNUMBER(FIND("TEC DEPOSITO",C181)),0,IF(ISNUMBER(FIND("APL APLIC AUT MAIS",C181)),E181,IF(E181&gt;0,E181,0))))))</f>
        <v>0</v>
      </c>
      <c r="H181" s="80" t="n">
        <v>43862</v>
      </c>
    </row>
    <row r="182" customFormat="false" ht="13.8" hidden="false" customHeight="false" outlineLevel="0" collapsed="false">
      <c r="A182" s="59" t="s">
        <v>67</v>
      </c>
      <c r="B182" s="74" t="s">
        <v>193</v>
      </c>
      <c r="C182" s="75" t="s">
        <v>69</v>
      </c>
      <c r="D182" s="76"/>
      <c r="E182" s="77" t="n">
        <v>396.86</v>
      </c>
      <c r="F182" s="78" t="n">
        <f aca="false">IF(ISNUMBER(FIND("SALDO ANTERIOR",C182)),0,IF(ISNUMBER(FIND("SALDO DO DIA",C182)),0,IF(ISNUMBER(FIND("SALDO PARCIAL",C182)),0,IF(ISNUMBER(FIND("SDO CTA/APL AUTOMATICAS",C182)),0,IF(ISNUMBER(FIND("APL APLIC AUT MAIS",C182)),0,IF(ISNUMBER(FIND("TEC DEPOSITO",C182)),0,IF(E182&gt;0,0,E182*(-1))))))))</f>
        <v>0</v>
      </c>
      <c r="G182" s="79" t="n">
        <f aca="false">IF(ISNUMBER(FIND("SALDO ANTERIOR",C182)),0,IF(ISNUMBER(FIND("SALDO DO DIA",C182)),0,IF(ISNUMBER(FIND("SDO CTA/APL AUTOMATICAS",C182)),0,IF(ISNUMBER(FIND("TEC DEPOSITO",C182)),0,IF(ISNUMBER(FIND("APL APLIC AUT MAIS",C182)),E182,IF(E182&gt;0,E182,0))))))</f>
        <v>396.86</v>
      </c>
      <c r="H182" s="80" t="n">
        <v>43862</v>
      </c>
    </row>
    <row r="183" customFormat="false" ht="13.8" hidden="false" customHeight="false" outlineLevel="0" collapsed="false">
      <c r="A183" s="59" t="s">
        <v>29</v>
      </c>
      <c r="B183" s="74" t="s">
        <v>193</v>
      </c>
      <c r="C183" s="75" t="s">
        <v>70</v>
      </c>
      <c r="D183" s="76"/>
      <c r="E183" s="77" t="n">
        <v>57.48</v>
      </c>
      <c r="F183" s="78" t="n">
        <f aca="false">IF(ISNUMBER(FIND("SALDO ANTERIOR",C183)),0,IF(ISNUMBER(FIND("SALDO DO DIA",C183)),0,IF(ISNUMBER(FIND("SALDO PARCIAL",C183)),0,IF(ISNUMBER(FIND("SDO CTA/APL AUTOMATICAS",C183)),0,IF(ISNUMBER(FIND("APL APLIC AUT MAIS",C183)),0,IF(ISNUMBER(FIND("TEC DEPOSITO",C183)),0,IF(E183&gt;0,0,E183*(-1))))))))</f>
        <v>0</v>
      </c>
      <c r="G183" s="79" t="n">
        <f aca="false">IF(ISNUMBER(FIND("SALDO ANTERIOR",C183)),0,IF(ISNUMBER(FIND("SALDO DO DIA",C183)),0,IF(ISNUMBER(FIND("SDO CTA/APL AUTOMATICAS",C183)),0,IF(ISNUMBER(FIND("TEC DEPOSITO",C183)),0,IF(ISNUMBER(FIND("APL APLIC AUT MAIS",C183)),E183,IF(E183&gt;0,E183,0))))))</f>
        <v>57.48</v>
      </c>
      <c r="H183" s="80" t="n">
        <v>43862</v>
      </c>
    </row>
    <row r="184" customFormat="false" ht="13.8" hidden="false" customHeight="false" outlineLevel="0" collapsed="false">
      <c r="A184" s="59" t="s">
        <v>203</v>
      </c>
      <c r="B184" s="74" t="s">
        <v>204</v>
      </c>
      <c r="C184" s="75" t="s">
        <v>205</v>
      </c>
      <c r="D184" s="76" t="s">
        <v>206</v>
      </c>
      <c r="E184" s="81" t="n">
        <v>-20</v>
      </c>
      <c r="F184" s="78" t="n">
        <f aca="false">IF(ISNUMBER(FIND("SALDO ANTERIOR",C184)),0,IF(ISNUMBER(FIND("SALDO DO DIA",C184)),0,IF(ISNUMBER(FIND("SALDO PARCIAL",C184)),0,IF(ISNUMBER(FIND("SDO CTA/APL AUTOMATICAS",C184)),0,IF(ISNUMBER(FIND("APL APLIC AUT MAIS",C184)),0,IF(ISNUMBER(FIND("TEC DEPOSITO",C184)),0,IF(E184&gt;0,0,E184*(-1))))))))</f>
        <v>20</v>
      </c>
      <c r="G184" s="79" t="n">
        <f aca="false">IF(ISNUMBER(FIND("SALDO ANTERIOR",C184)),0,IF(ISNUMBER(FIND("SALDO DO DIA",C184)),0,IF(ISNUMBER(FIND("SDO CTA/APL AUTOMATICAS",C184)),0,IF(ISNUMBER(FIND("TEC DEPOSITO",C184)),0,IF(ISNUMBER(FIND("APL APLIC AUT MAIS",C184)),E184,IF(E184&gt;0,E184,0))))))</f>
        <v>0</v>
      </c>
      <c r="H184" s="80" t="n">
        <v>43862</v>
      </c>
    </row>
    <row r="185" customFormat="false" ht="13.8" hidden="false" customHeight="false" outlineLevel="0" collapsed="false">
      <c r="A185" s="59" t="s">
        <v>29</v>
      </c>
      <c r="B185" s="74" t="s">
        <v>204</v>
      </c>
      <c r="C185" s="75" t="s">
        <v>110</v>
      </c>
      <c r="D185" s="76"/>
      <c r="E185" s="81" t="n">
        <v>-10</v>
      </c>
      <c r="F185" s="78" t="n">
        <f aca="false">IF(ISNUMBER(FIND("SALDO ANTERIOR",C185)),0,IF(ISNUMBER(FIND("SALDO DO DIA",C185)),0,IF(ISNUMBER(FIND("SALDO PARCIAL",C185)),0,IF(ISNUMBER(FIND("SDO CTA/APL AUTOMATICAS",C185)),0,IF(ISNUMBER(FIND("APL APLIC AUT MAIS",C185)),0,IF(ISNUMBER(FIND("TEC DEPOSITO",C185)),0,IF(E185&gt;0,0,E185*(-1))))))))</f>
        <v>0</v>
      </c>
      <c r="G185" s="79" t="n">
        <f aca="false">IF(ISNUMBER(FIND("SALDO ANTERIOR",C185)),0,IF(ISNUMBER(FIND("SALDO DO DIA",C185)),0,IF(ISNUMBER(FIND("SDO CTA/APL AUTOMATICAS",C185)),0,IF(ISNUMBER(FIND("TEC DEPOSITO",C185)),0,IF(ISNUMBER(FIND("APL APLIC AUT MAIS",C185)),E185,IF(E185&gt;0,E185,0))))))</f>
        <v>0</v>
      </c>
      <c r="H185" s="80" t="n">
        <v>43862</v>
      </c>
    </row>
    <row r="186" customFormat="false" ht="15" hidden="false" customHeight="false" outlineLevel="0" collapsed="false">
      <c r="A186" s="59" t="s">
        <v>29</v>
      </c>
      <c r="B186" s="74" t="s">
        <v>204</v>
      </c>
      <c r="C186" s="83" t="s">
        <v>111</v>
      </c>
      <c r="D186" s="76"/>
      <c r="E186" s="84" t="n">
        <v>-10</v>
      </c>
      <c r="F186" s="78" t="n">
        <f aca="false">IF(ISNUMBER(FIND("SALDO ANTERIOR",C186)),0,IF(ISNUMBER(FIND("SALDO DO DIA",C186)),0,IF(ISNUMBER(FIND("SALDO PARCIAL",C186)),0,IF(ISNUMBER(FIND("SDO CTA/APL AUTOMATICAS",C186)),0,IF(ISNUMBER(FIND("APL APLIC AUT MAIS",C186)),0,IF(ISNUMBER(FIND("TEC DEPOSITO",C186)),0,IF(E186&gt;0,0,E186*(-1))))))))</f>
        <v>0</v>
      </c>
      <c r="G186" s="79" t="n">
        <f aca="false">IF(ISNUMBER(FIND("SALDO ANTERIOR",C186)),0,IF(ISNUMBER(FIND("SALDO DO DIA",C186)),0,IF(ISNUMBER(FIND("SDO CTA/APL AUTOMATICAS",C186)),0,IF(ISNUMBER(FIND("TEC DEPOSITO",C186)),0,IF(ISNUMBER(FIND("APL APLIC AUT MAIS",C186)),E186,IF(E186&gt;0,E186,0))))))</f>
        <v>0</v>
      </c>
      <c r="H186" s="80" t="n">
        <v>43862</v>
      </c>
    </row>
    <row r="187" customFormat="false" ht="13.8" hidden="false" customHeight="false" outlineLevel="0" collapsed="false">
      <c r="A187" s="59" t="s">
        <v>71</v>
      </c>
      <c r="B187" s="74" t="s">
        <v>204</v>
      </c>
      <c r="C187" s="75" t="s">
        <v>73</v>
      </c>
      <c r="D187" s="76" t="s">
        <v>64</v>
      </c>
      <c r="E187" s="81" t="n">
        <v>-14.1</v>
      </c>
      <c r="F187" s="78" t="n">
        <f aca="false">IF(ISNUMBER(FIND("SALDO ANTERIOR",C187)),0,IF(ISNUMBER(FIND("SALDO DO DIA",C187)),0,IF(ISNUMBER(FIND("SALDO PARCIAL",C187)),0,IF(ISNUMBER(FIND("SDO CTA/APL AUTOMATICAS",C187)),0,IF(ISNUMBER(FIND("APL APLIC AUT MAIS",C187)),0,IF(ISNUMBER(FIND("TEC DEPOSITO",C187)),0,IF(E187&gt;0,0,E187*(-1))))))))</f>
        <v>14.1</v>
      </c>
      <c r="G187" s="79" t="n">
        <f aca="false">IF(ISNUMBER(FIND("SALDO ANTERIOR",C187)),0,IF(ISNUMBER(FIND("SALDO DO DIA",C187)),0,IF(ISNUMBER(FIND("SDO CTA/APL AUTOMATICAS",C187)),0,IF(ISNUMBER(FIND("TEC DEPOSITO",C187)),0,IF(ISNUMBER(FIND("APL APLIC AUT MAIS",C187)),E187,IF(E187&gt;0,E187,0))))))</f>
        <v>0</v>
      </c>
      <c r="H187" s="80" t="n">
        <v>43862</v>
      </c>
    </row>
    <row r="188" customFormat="false" ht="13.8" hidden="false" customHeight="false" outlineLevel="0" collapsed="false">
      <c r="A188" s="59" t="s">
        <v>65</v>
      </c>
      <c r="B188" s="74" t="s">
        <v>204</v>
      </c>
      <c r="C188" s="75" t="s">
        <v>207</v>
      </c>
      <c r="D188" s="76" t="s">
        <v>64</v>
      </c>
      <c r="E188" s="81" t="n">
        <v>-9.9</v>
      </c>
      <c r="F188" s="78" t="n">
        <f aca="false">IF(ISNUMBER(FIND("SALDO ANTERIOR",C188)),0,IF(ISNUMBER(FIND("SALDO DO DIA",C188)),0,IF(ISNUMBER(FIND("SALDO PARCIAL",C188)),0,IF(ISNUMBER(FIND("SDO CTA/APL AUTOMATICAS",C188)),0,IF(ISNUMBER(FIND("APL APLIC AUT MAIS",C188)),0,IF(ISNUMBER(FIND("TEC DEPOSITO",C188)),0,IF(E188&gt;0,0,E188*(-1))))))))</f>
        <v>9.9</v>
      </c>
      <c r="G188" s="79" t="n">
        <f aca="false">IF(ISNUMBER(FIND("SALDO ANTERIOR",C188)),0,IF(ISNUMBER(FIND("SALDO DO DIA",C188)),0,IF(ISNUMBER(FIND("SDO CTA/APL AUTOMATICAS",C188)),0,IF(ISNUMBER(FIND("TEC DEPOSITO",C188)),0,IF(ISNUMBER(FIND("APL APLIC AUT MAIS",C188)),E188,IF(E188&gt;0,E188,0))))))</f>
        <v>0</v>
      </c>
      <c r="H188" s="80" t="n">
        <v>43862</v>
      </c>
    </row>
    <row r="189" customFormat="false" ht="13.8" hidden="false" customHeight="false" outlineLevel="0" collapsed="false">
      <c r="A189" s="59" t="s">
        <v>67</v>
      </c>
      <c r="B189" s="74" t="s">
        <v>204</v>
      </c>
      <c r="C189" s="75" t="s">
        <v>69</v>
      </c>
      <c r="D189" s="76"/>
      <c r="E189" s="77" t="n">
        <v>57.48</v>
      </c>
      <c r="F189" s="78" t="n">
        <f aca="false">IF(ISNUMBER(FIND("SALDO ANTERIOR",C189)),0,IF(ISNUMBER(FIND("SALDO DO DIA",C189)),0,IF(ISNUMBER(FIND("SALDO PARCIAL",C189)),0,IF(ISNUMBER(FIND("SDO CTA/APL AUTOMATICAS",C189)),0,IF(ISNUMBER(FIND("APL APLIC AUT MAIS",C189)),0,IF(ISNUMBER(FIND("TEC DEPOSITO",C189)),0,IF(E189&gt;0,0,E189*(-1))))))))</f>
        <v>0</v>
      </c>
      <c r="G189" s="79" t="n">
        <f aca="false">IF(ISNUMBER(FIND("SALDO ANTERIOR",C189)),0,IF(ISNUMBER(FIND("SALDO DO DIA",C189)),0,IF(ISNUMBER(FIND("SDO CTA/APL AUTOMATICAS",C189)),0,IF(ISNUMBER(FIND("TEC DEPOSITO",C189)),0,IF(ISNUMBER(FIND("APL APLIC AUT MAIS",C189)),E189,IF(E189&gt;0,E189,0))))))</f>
        <v>57.48</v>
      </c>
      <c r="H189" s="80" t="n">
        <v>43862</v>
      </c>
    </row>
    <row r="190" customFormat="false" ht="13.8" hidden="false" customHeight="false" outlineLevel="0" collapsed="false">
      <c r="A190" s="59" t="s">
        <v>203</v>
      </c>
      <c r="B190" s="74" t="s">
        <v>208</v>
      </c>
      <c r="C190" s="75" t="s">
        <v>209</v>
      </c>
      <c r="D190" s="76" t="s">
        <v>210</v>
      </c>
      <c r="E190" s="81" t="n">
        <v>-20</v>
      </c>
      <c r="F190" s="78" t="n">
        <f aca="false">IF(ISNUMBER(FIND("SALDO ANTERIOR",C190)),0,IF(ISNUMBER(FIND("SALDO DO DIA",C190)),0,IF(ISNUMBER(FIND("SALDO PARCIAL",C190)),0,IF(ISNUMBER(FIND("SDO CTA/APL AUTOMATICAS",C190)),0,IF(ISNUMBER(FIND("APL APLIC AUT MAIS",C190)),0,IF(ISNUMBER(FIND("TEC DEPOSITO",C190)),0,IF(E190&gt;0,0,E190*(-1))))))))</f>
        <v>20</v>
      </c>
      <c r="G190" s="79" t="n">
        <f aca="false">IF(ISNUMBER(FIND("SALDO ANTERIOR",C190)),0,IF(ISNUMBER(FIND("SALDO DO DIA",C190)),0,IF(ISNUMBER(FIND("SDO CTA/APL AUTOMATICAS",C190)),0,IF(ISNUMBER(FIND("TEC DEPOSITO",C190)),0,IF(ISNUMBER(FIND("APL APLIC AUT MAIS",C190)),E190,IF(E190&gt;0,E190,0))))))</f>
        <v>0</v>
      </c>
      <c r="H190" s="80" t="n">
        <v>43862</v>
      </c>
    </row>
    <row r="191" customFormat="false" ht="13.8" hidden="false" customHeight="false" outlineLevel="0" collapsed="false">
      <c r="A191" s="59" t="s">
        <v>203</v>
      </c>
      <c r="B191" s="74" t="s">
        <v>208</v>
      </c>
      <c r="C191" s="75" t="s">
        <v>211</v>
      </c>
      <c r="D191" s="76" t="s">
        <v>126</v>
      </c>
      <c r="E191" s="81" t="n">
        <v>-50</v>
      </c>
      <c r="F191" s="78" t="n">
        <f aca="false">IF(ISNUMBER(FIND("SALDO ANTERIOR",C191)),0,IF(ISNUMBER(FIND("SALDO DO DIA",C191)),0,IF(ISNUMBER(FIND("SALDO PARCIAL",C191)),0,IF(ISNUMBER(FIND("SDO CTA/APL AUTOMATICAS",C191)),0,IF(ISNUMBER(FIND("APL APLIC AUT MAIS",C191)),0,IF(ISNUMBER(FIND("TEC DEPOSITO",C191)),0,IF(E191&gt;0,0,E191*(-1))))))))</f>
        <v>50</v>
      </c>
      <c r="G191" s="79" t="n">
        <f aca="false">IF(ISNUMBER(FIND("SALDO ANTERIOR",C191)),0,IF(ISNUMBER(FIND("SALDO DO DIA",C191)),0,IF(ISNUMBER(FIND("SDO CTA/APL AUTOMATICAS",C191)),0,IF(ISNUMBER(FIND("TEC DEPOSITO",C191)),0,IF(ISNUMBER(FIND("APL APLIC AUT MAIS",C191)),E191,IF(E191&gt;0,E191,0))))))</f>
        <v>0</v>
      </c>
      <c r="H191" s="80" t="n">
        <v>43862</v>
      </c>
    </row>
    <row r="192" customFormat="false" ht="13.8" hidden="false" customHeight="false" outlineLevel="0" collapsed="false">
      <c r="A192" s="59" t="s">
        <v>98</v>
      </c>
      <c r="B192" s="74" t="s">
        <v>208</v>
      </c>
      <c r="C192" s="75" t="s">
        <v>212</v>
      </c>
      <c r="D192" s="76" t="s">
        <v>64</v>
      </c>
      <c r="E192" s="81" t="n">
        <v>-9.58</v>
      </c>
      <c r="F192" s="78" t="n">
        <f aca="false">IF(ISNUMBER(FIND("SALDO ANTERIOR",C192)),0,IF(ISNUMBER(FIND("SALDO DO DIA",C192)),0,IF(ISNUMBER(FIND("SALDO PARCIAL",C192)),0,IF(ISNUMBER(FIND("SDO CTA/APL AUTOMATICAS",C192)),0,IF(ISNUMBER(FIND("APL APLIC AUT MAIS",C192)),0,IF(ISNUMBER(FIND("TEC DEPOSITO",C192)),0,IF(E192&gt;0,0,E192*(-1))))))))</f>
        <v>9.58</v>
      </c>
      <c r="G192" s="79" t="n">
        <f aca="false">IF(ISNUMBER(FIND("SALDO ANTERIOR",C192)),0,IF(ISNUMBER(FIND("SALDO DO DIA",C192)),0,IF(ISNUMBER(FIND("SDO CTA/APL AUTOMATICAS",C192)),0,IF(ISNUMBER(FIND("TEC DEPOSITO",C192)),0,IF(ISNUMBER(FIND("APL APLIC AUT MAIS",C192)),E192,IF(E192&gt;0,E192,0))))))</f>
        <v>0</v>
      </c>
      <c r="H192" s="80" t="n">
        <v>43862</v>
      </c>
    </row>
    <row r="193" customFormat="false" ht="13.8" hidden="false" customHeight="false" outlineLevel="0" collapsed="false">
      <c r="A193" s="59" t="s">
        <v>65</v>
      </c>
      <c r="B193" s="74" t="s">
        <v>213</v>
      </c>
      <c r="C193" s="75" t="s">
        <v>214</v>
      </c>
      <c r="D193" s="76" t="s">
        <v>64</v>
      </c>
      <c r="E193" s="81" t="n">
        <v>-320</v>
      </c>
      <c r="F193" s="78" t="n">
        <f aca="false">IF(ISNUMBER(FIND("SALDO ANTERIOR",C193)),0,IF(ISNUMBER(FIND("SALDO DO DIA",C193)),0,IF(ISNUMBER(FIND("SALDO PARCIAL",C193)),0,IF(ISNUMBER(FIND("SDO CTA/APL AUTOMATICAS",C193)),0,IF(ISNUMBER(FIND("APL APLIC AUT MAIS",C193)),0,IF(ISNUMBER(FIND("TEC DEPOSITO",C193)),0,IF(E193&gt;0,0,E193*(-1))))))))</f>
        <v>320</v>
      </c>
      <c r="G193" s="79" t="n">
        <f aca="false">IF(ISNUMBER(FIND("SALDO ANTERIOR",C193)),0,IF(ISNUMBER(FIND("SALDO DO DIA",C193)),0,IF(ISNUMBER(FIND("SDO CTA/APL AUTOMATICAS",C193)),0,IF(ISNUMBER(FIND("TEC DEPOSITO",C193)),0,IF(ISNUMBER(FIND("APL APLIC AUT MAIS",C193)),E193,IF(E193&gt;0,E193,0))))))</f>
        <v>0</v>
      </c>
      <c r="H193" s="80" t="n">
        <v>43862</v>
      </c>
    </row>
    <row r="194" customFormat="false" ht="13.8" hidden="false" customHeight="false" outlineLevel="0" collapsed="false">
      <c r="A194" s="59" t="s">
        <v>65</v>
      </c>
      <c r="B194" s="74" t="s">
        <v>213</v>
      </c>
      <c r="C194" s="75" t="s">
        <v>215</v>
      </c>
      <c r="D194" s="76" t="s">
        <v>64</v>
      </c>
      <c r="E194" s="81" t="n">
        <v>-18.72</v>
      </c>
      <c r="F194" s="78" t="n">
        <f aca="false">IF(ISNUMBER(FIND("SALDO ANTERIOR",C194)),0,IF(ISNUMBER(FIND("SALDO DO DIA",C194)),0,IF(ISNUMBER(FIND("SALDO PARCIAL",C194)),0,IF(ISNUMBER(FIND("SDO CTA/APL AUTOMATICAS",C194)),0,IF(ISNUMBER(FIND("APL APLIC AUT MAIS",C194)),0,IF(ISNUMBER(FIND("TEC DEPOSITO",C194)),0,IF(E194&gt;0,0,E194*(-1))))))))</f>
        <v>18.72</v>
      </c>
      <c r="G194" s="79" t="n">
        <f aca="false">IF(ISNUMBER(FIND("SALDO ANTERIOR",C194)),0,IF(ISNUMBER(FIND("SALDO DO DIA",C194)),0,IF(ISNUMBER(FIND("SDO CTA/APL AUTOMATICAS",C194)),0,IF(ISNUMBER(FIND("TEC DEPOSITO",C194)),0,IF(ISNUMBER(FIND("APL APLIC AUT MAIS",C194)),E194,IF(E194&gt;0,E194,0))))))</f>
        <v>0</v>
      </c>
      <c r="H194" s="80" t="n">
        <v>43862</v>
      </c>
    </row>
    <row r="195" customFormat="false" ht="13.8" hidden="false" customHeight="false" outlineLevel="0" collapsed="false">
      <c r="A195" s="59" t="s">
        <v>65</v>
      </c>
      <c r="B195" s="74" t="s">
        <v>213</v>
      </c>
      <c r="C195" s="75" t="s">
        <v>97</v>
      </c>
      <c r="D195" s="76" t="s">
        <v>64</v>
      </c>
      <c r="E195" s="81" t="n">
        <v>-13.98</v>
      </c>
      <c r="F195" s="78" t="n">
        <f aca="false">IF(ISNUMBER(FIND("SALDO ANTERIOR",C195)),0,IF(ISNUMBER(FIND("SALDO DO DIA",C195)),0,IF(ISNUMBER(FIND("SALDO PARCIAL",C195)),0,IF(ISNUMBER(FIND("SDO CTA/APL AUTOMATICAS",C195)),0,IF(ISNUMBER(FIND("APL APLIC AUT MAIS",C195)),0,IF(ISNUMBER(FIND("TEC DEPOSITO",C195)),0,IF(E195&gt;0,0,E195*(-1))))))))</f>
        <v>13.98</v>
      </c>
      <c r="G195" s="79" t="n">
        <f aca="false">IF(ISNUMBER(FIND("SALDO ANTERIOR",C195)),0,IF(ISNUMBER(FIND("SALDO DO DIA",C195)),0,IF(ISNUMBER(FIND("SDO CTA/APL AUTOMATICAS",C195)),0,IF(ISNUMBER(FIND("TEC DEPOSITO",C195)),0,IF(ISNUMBER(FIND("APL APLIC AUT MAIS",C195)),E195,IF(E195&gt;0,E195,0))))))</f>
        <v>0</v>
      </c>
      <c r="H195" s="80" t="n">
        <v>43862</v>
      </c>
    </row>
    <row r="196" customFormat="false" ht="13.8" hidden="false" customHeight="false" outlineLevel="0" collapsed="false">
      <c r="A196" s="59" t="s">
        <v>119</v>
      </c>
      <c r="B196" s="74" t="s">
        <v>216</v>
      </c>
      <c r="C196" s="75" t="s">
        <v>217</v>
      </c>
      <c r="D196" s="76" t="s">
        <v>61</v>
      </c>
      <c r="E196" s="81" t="n">
        <v>-414.21</v>
      </c>
      <c r="F196" s="78" t="n">
        <f aca="false">IF(ISNUMBER(FIND("SALDO ANTERIOR",C196)),0,IF(ISNUMBER(FIND("SALDO DO DIA",C196)),0,IF(ISNUMBER(FIND("SALDO PARCIAL",C196)),0,IF(ISNUMBER(FIND("SDO CTA/APL AUTOMATICAS",C196)),0,IF(ISNUMBER(FIND("APL APLIC AUT MAIS",C196)),0,IF(ISNUMBER(FIND("TEC DEPOSITO",C196)),0,IF(E196&gt;0,0,E196*(-1))))))))</f>
        <v>414.21</v>
      </c>
      <c r="G196" s="79" t="n">
        <f aca="false">IF(ISNUMBER(FIND("SALDO ANTERIOR",C196)),0,IF(ISNUMBER(FIND("SALDO DO DIA",C196)),0,IF(ISNUMBER(FIND("SDO CTA/APL AUTOMATICAS",C196)),0,IF(ISNUMBER(FIND("TEC DEPOSITO",C196)),0,IF(ISNUMBER(FIND("APL APLIC AUT MAIS",C196)),E196,IF(E196&gt;0,E196,0))))))</f>
        <v>0</v>
      </c>
      <c r="H196" s="80" t="n">
        <v>43862</v>
      </c>
    </row>
    <row r="197" customFormat="false" ht="13.8" hidden="false" customHeight="false" outlineLevel="0" collapsed="false">
      <c r="A197" s="59" t="s">
        <v>65</v>
      </c>
      <c r="B197" s="74" t="s">
        <v>216</v>
      </c>
      <c r="C197" s="75" t="s">
        <v>218</v>
      </c>
      <c r="D197" s="76" t="s">
        <v>64</v>
      </c>
      <c r="E197" s="81" t="n">
        <v>-6</v>
      </c>
      <c r="F197" s="78" t="n">
        <f aca="false">IF(ISNUMBER(FIND("SALDO ANTERIOR",C197)),0,IF(ISNUMBER(FIND("SALDO DO DIA",C197)),0,IF(ISNUMBER(FIND("SALDO PARCIAL",C197)),0,IF(ISNUMBER(FIND("SDO CTA/APL AUTOMATICAS",C197)),0,IF(ISNUMBER(FIND("APL APLIC AUT MAIS",C197)),0,IF(ISNUMBER(FIND("TEC DEPOSITO",C197)),0,IF(E197&gt;0,0,E197*(-1))))))))</f>
        <v>6</v>
      </c>
      <c r="G197" s="79" t="n">
        <f aca="false">IF(ISNUMBER(FIND("SALDO ANTERIOR",C197)),0,IF(ISNUMBER(FIND("SALDO DO DIA",C197)),0,IF(ISNUMBER(FIND("SDO CTA/APL AUTOMATICAS",C197)),0,IF(ISNUMBER(FIND("TEC DEPOSITO",C197)),0,IF(ISNUMBER(FIND("APL APLIC AUT MAIS",C197)),E197,IF(E197&gt;0,E197,0))))))</f>
        <v>0</v>
      </c>
      <c r="H197" s="80" t="n">
        <v>43862</v>
      </c>
    </row>
    <row r="198" customFormat="false" ht="13.8" hidden="false" customHeight="false" outlineLevel="0" collapsed="false">
      <c r="A198" s="59" t="s">
        <v>122</v>
      </c>
      <c r="B198" s="74" t="s">
        <v>216</v>
      </c>
      <c r="C198" s="75" t="s">
        <v>123</v>
      </c>
      <c r="D198" s="76" t="s">
        <v>61</v>
      </c>
      <c r="E198" s="81" t="n">
        <v>-2912.75</v>
      </c>
      <c r="F198" s="78" t="n">
        <f aca="false">IF(ISNUMBER(FIND("SALDO ANTERIOR",C198)),0,IF(ISNUMBER(FIND("SALDO DO DIA",C198)),0,IF(ISNUMBER(FIND("SALDO PARCIAL",C198)),0,IF(ISNUMBER(FIND("SDO CTA/APL AUTOMATICAS",C198)),0,IF(ISNUMBER(FIND("APL APLIC AUT MAIS",C198)),0,IF(ISNUMBER(FIND("TEC DEPOSITO",C198)),0,IF(E198&gt;0,0,E198*(-1))))))))</f>
        <v>2912.75</v>
      </c>
      <c r="G198" s="79" t="n">
        <f aca="false">IF(ISNUMBER(FIND("SALDO ANTERIOR",C198)),0,IF(ISNUMBER(FIND("SALDO DO DIA",C198)),0,IF(ISNUMBER(FIND("SDO CTA/APL AUTOMATICAS",C198)),0,IF(ISNUMBER(FIND("TEC DEPOSITO",C198)),0,IF(ISNUMBER(FIND("APL APLIC AUT MAIS",C198)),E198,IF(E198&gt;0,E198,0))))))</f>
        <v>0</v>
      </c>
      <c r="H198" s="80" t="n">
        <v>43862</v>
      </c>
    </row>
    <row r="199" customFormat="false" ht="13.8" hidden="false" customHeight="false" outlineLevel="0" collapsed="false">
      <c r="A199" s="59" t="s">
        <v>127</v>
      </c>
      <c r="B199" s="74" t="s">
        <v>216</v>
      </c>
      <c r="C199" s="75" t="s">
        <v>128</v>
      </c>
      <c r="D199" s="76"/>
      <c r="E199" s="77" t="n">
        <v>4390</v>
      </c>
      <c r="F199" s="78" t="n">
        <f aca="false">IF(ISNUMBER(FIND("SALDO ANTERIOR",C199)),0,IF(ISNUMBER(FIND("SALDO DO DIA",C199)),0,IF(ISNUMBER(FIND("SALDO PARCIAL",C199)),0,IF(ISNUMBER(FIND("SDO CTA/APL AUTOMATICAS",C199)),0,IF(ISNUMBER(FIND("APL APLIC AUT MAIS",C199)),0,IF(ISNUMBER(FIND("TEC DEPOSITO",C199)),0,IF(E199&gt;0,0,E199*(-1))))))))</f>
        <v>0</v>
      </c>
      <c r="G199" s="79" t="n">
        <f aca="false">IF(ISNUMBER(FIND("SALDO ANTERIOR",C199)),0,IF(ISNUMBER(FIND("SALDO DO DIA",C199)),0,IF(ISNUMBER(FIND("SDO CTA/APL AUTOMATICAS",C199)),0,IF(ISNUMBER(FIND("TEC DEPOSITO",C199)),0,IF(ISNUMBER(FIND("APL APLIC AUT MAIS",C199)),E199,IF(E199&gt;0,E199,0))))))</f>
        <v>4390</v>
      </c>
      <c r="H199" s="80" t="n">
        <v>43862</v>
      </c>
    </row>
    <row r="200" customFormat="false" ht="13.8" hidden="false" customHeight="false" outlineLevel="0" collapsed="false">
      <c r="A200" s="59" t="s">
        <v>29</v>
      </c>
      <c r="B200" s="74" t="s">
        <v>216</v>
      </c>
      <c r="C200" s="75" t="s">
        <v>129</v>
      </c>
      <c r="D200" s="76"/>
      <c r="E200" s="81" t="n">
        <v>-638.24</v>
      </c>
      <c r="F200" s="78" t="n">
        <f aca="false">IF(ISNUMBER(FIND("SALDO ANTERIOR",C200)),0,IF(ISNUMBER(FIND("SALDO DO DIA",C200)),0,IF(ISNUMBER(FIND("SALDO PARCIAL",C200)),0,IF(ISNUMBER(FIND("SDO CTA/APL AUTOMATICAS",C200)),0,IF(ISNUMBER(FIND("APL APLIC AUT MAIS",C200)),0,IF(ISNUMBER(FIND("TEC DEPOSITO",C200)),0,IF(E200&gt;0,0,E200*(-1))))))))</f>
        <v>0</v>
      </c>
      <c r="G200" s="79" t="n">
        <f aca="false">IF(ISNUMBER(FIND("SALDO ANTERIOR",C200)),0,IF(ISNUMBER(FIND("SALDO DO DIA",C200)),0,IF(ISNUMBER(FIND("SDO CTA/APL AUTOMATICAS",C200)),0,IF(ISNUMBER(FIND("TEC DEPOSITO",C200)),0,IF(ISNUMBER(FIND("APL APLIC AUT MAIS",C200)),E200,IF(E200&gt;0,E200,0))))))</f>
        <v>-638.24</v>
      </c>
      <c r="H200" s="80" t="n">
        <v>43862</v>
      </c>
    </row>
    <row r="201" customFormat="false" ht="13.8" hidden="false" customHeight="false" outlineLevel="0" collapsed="false">
      <c r="A201" s="59" t="s">
        <v>29</v>
      </c>
      <c r="B201" s="74" t="s">
        <v>216</v>
      </c>
      <c r="C201" s="75" t="s">
        <v>70</v>
      </c>
      <c r="D201" s="76"/>
      <c r="E201" s="77" t="n">
        <v>638.24</v>
      </c>
      <c r="F201" s="78" t="n">
        <f aca="false">IF(ISNUMBER(FIND("SALDO ANTERIOR",C201)),0,IF(ISNUMBER(FIND("SALDO DO DIA",C201)),0,IF(ISNUMBER(FIND("SALDO PARCIAL",C201)),0,IF(ISNUMBER(FIND("SDO CTA/APL AUTOMATICAS",C201)),0,IF(ISNUMBER(FIND("APL APLIC AUT MAIS",C201)),0,IF(ISNUMBER(FIND("TEC DEPOSITO",C201)),0,IF(E201&gt;0,0,E201*(-1))))))))</f>
        <v>0</v>
      </c>
      <c r="G201" s="79" t="n">
        <f aca="false">IF(ISNUMBER(FIND("SALDO ANTERIOR",C201)),0,IF(ISNUMBER(FIND("SALDO DO DIA",C201)),0,IF(ISNUMBER(FIND("SDO CTA/APL AUTOMATICAS",C201)),0,IF(ISNUMBER(FIND("TEC DEPOSITO",C201)),0,IF(ISNUMBER(FIND("APL APLIC AUT MAIS",C201)),E201,IF(E201&gt;0,E201,0))))))</f>
        <v>638.24</v>
      </c>
      <c r="H201" s="80" t="n">
        <v>43862</v>
      </c>
    </row>
    <row r="202" customFormat="false" ht="13.8" hidden="false" customHeight="false" outlineLevel="0" collapsed="false">
      <c r="A202" s="59" t="s">
        <v>219</v>
      </c>
      <c r="B202" s="74" t="s">
        <v>220</v>
      </c>
      <c r="C202" s="75" t="s">
        <v>221</v>
      </c>
      <c r="D202" s="76" t="s">
        <v>61</v>
      </c>
      <c r="E202" s="81" t="n">
        <v>-360.77</v>
      </c>
      <c r="F202" s="78" t="n">
        <f aca="false">IF(ISNUMBER(FIND("SALDO ANTERIOR",C202)),0,IF(ISNUMBER(FIND("SALDO DO DIA",C202)),0,IF(ISNUMBER(FIND("SALDO PARCIAL",C202)),0,IF(ISNUMBER(FIND("SDO CTA/APL AUTOMATICAS",C202)),0,IF(ISNUMBER(FIND("APL APLIC AUT MAIS",C202)),0,IF(ISNUMBER(FIND("TEC DEPOSITO",C202)),0,IF(E202&gt;0,0,E202*(-1))))))))</f>
        <v>360.77</v>
      </c>
      <c r="G202" s="79" t="n">
        <f aca="false">IF(ISNUMBER(FIND("SALDO ANTERIOR",C202)),0,IF(ISNUMBER(FIND("SALDO DO DIA",C202)),0,IF(ISNUMBER(FIND("SDO CTA/APL AUTOMATICAS",C202)),0,IF(ISNUMBER(FIND("TEC DEPOSITO",C202)),0,IF(ISNUMBER(FIND("APL APLIC AUT MAIS",C202)),E202,IF(E202&gt;0,E202,0))))))</f>
        <v>0</v>
      </c>
      <c r="H202" s="80" t="n">
        <v>43862</v>
      </c>
    </row>
    <row r="203" customFormat="false" ht="13.8" hidden="false" customHeight="false" outlineLevel="0" collapsed="false">
      <c r="A203" s="59" t="s">
        <v>98</v>
      </c>
      <c r="B203" s="74" t="s">
        <v>220</v>
      </c>
      <c r="C203" s="75" t="s">
        <v>222</v>
      </c>
      <c r="D203" s="76" t="s">
        <v>64</v>
      </c>
      <c r="E203" s="81" t="n">
        <v>-2</v>
      </c>
      <c r="F203" s="78" t="n">
        <f aca="false">IF(ISNUMBER(FIND("SALDO ANTERIOR",C203)),0,IF(ISNUMBER(FIND("SALDO DO DIA",C203)),0,IF(ISNUMBER(FIND("SALDO PARCIAL",C203)),0,IF(ISNUMBER(FIND("SDO CTA/APL AUTOMATICAS",C203)),0,IF(ISNUMBER(FIND("APL APLIC AUT MAIS",C203)),0,IF(ISNUMBER(FIND("TEC DEPOSITO",C203)),0,IF(E203&gt;0,0,E203*(-1))))))))</f>
        <v>2</v>
      </c>
      <c r="G203" s="79" t="n">
        <f aca="false">IF(ISNUMBER(FIND("SALDO ANTERIOR",C203)),0,IF(ISNUMBER(FIND("SALDO DO DIA",C203)),0,IF(ISNUMBER(FIND("SDO CTA/APL AUTOMATICAS",C203)),0,IF(ISNUMBER(FIND("TEC DEPOSITO",C203)),0,IF(ISNUMBER(FIND("APL APLIC AUT MAIS",C203)),E203,IF(E203&gt;0,E203,0))))))</f>
        <v>0</v>
      </c>
      <c r="H203" s="80" t="n">
        <v>43862</v>
      </c>
    </row>
    <row r="204" customFormat="false" ht="13.8" hidden="false" customHeight="false" outlineLevel="0" collapsed="false">
      <c r="A204" s="59" t="s">
        <v>98</v>
      </c>
      <c r="B204" s="74" t="s">
        <v>220</v>
      </c>
      <c r="C204" s="75" t="s">
        <v>223</v>
      </c>
      <c r="D204" s="76" t="s">
        <v>64</v>
      </c>
      <c r="E204" s="81" t="n">
        <v>-3</v>
      </c>
      <c r="F204" s="78" t="n">
        <f aca="false">IF(ISNUMBER(FIND("SALDO ANTERIOR",C204)),0,IF(ISNUMBER(FIND("SALDO DO DIA",C204)),0,IF(ISNUMBER(FIND("SALDO PARCIAL",C204)),0,IF(ISNUMBER(FIND("SDO CTA/APL AUTOMATICAS",C204)),0,IF(ISNUMBER(FIND("APL APLIC AUT MAIS",C204)),0,IF(ISNUMBER(FIND("TEC DEPOSITO",C204)),0,IF(E204&gt;0,0,E204*(-1))))))))</f>
        <v>3</v>
      </c>
      <c r="G204" s="79" t="n">
        <f aca="false">IF(ISNUMBER(FIND("SALDO ANTERIOR",C204)),0,IF(ISNUMBER(FIND("SALDO DO DIA",C204)),0,IF(ISNUMBER(FIND("SDO CTA/APL AUTOMATICAS",C204)),0,IF(ISNUMBER(FIND("TEC DEPOSITO",C204)),0,IF(ISNUMBER(FIND("APL APLIC AUT MAIS",C204)),E204,IF(E204&gt;0,E204,0))))))</f>
        <v>0</v>
      </c>
      <c r="H204" s="80" t="n">
        <v>43862</v>
      </c>
    </row>
    <row r="205" customFormat="false" ht="13.8" hidden="false" customHeight="false" outlineLevel="0" collapsed="false">
      <c r="A205" s="59" t="s">
        <v>65</v>
      </c>
      <c r="B205" s="74" t="s">
        <v>220</v>
      </c>
      <c r="C205" s="75" t="s">
        <v>224</v>
      </c>
      <c r="D205" s="76" t="s">
        <v>64</v>
      </c>
      <c r="E205" s="81" t="n">
        <v>-13.9</v>
      </c>
      <c r="F205" s="78" t="n">
        <f aca="false">IF(ISNUMBER(FIND("SALDO ANTERIOR",C205)),0,IF(ISNUMBER(FIND("SALDO DO DIA",C205)),0,IF(ISNUMBER(FIND("SALDO PARCIAL",C205)),0,IF(ISNUMBER(FIND("SDO CTA/APL AUTOMATICAS",C205)),0,IF(ISNUMBER(FIND("APL APLIC AUT MAIS",C205)),0,IF(ISNUMBER(FIND("TEC DEPOSITO",C205)),0,IF(E205&gt;0,0,E205*(-1))))))))</f>
        <v>13.9</v>
      </c>
      <c r="G205" s="79" t="n">
        <f aca="false">IF(ISNUMBER(FIND("SALDO ANTERIOR",C205)),0,IF(ISNUMBER(FIND("SALDO DO DIA",C205)),0,IF(ISNUMBER(FIND("SDO CTA/APL AUTOMATICAS",C205)),0,IF(ISNUMBER(FIND("TEC DEPOSITO",C205)),0,IF(ISNUMBER(FIND("APL APLIC AUT MAIS",C205)),E205,IF(E205&gt;0,E205,0))))))</f>
        <v>0</v>
      </c>
      <c r="H205" s="80" t="n">
        <v>43862</v>
      </c>
    </row>
    <row r="206" customFormat="false" ht="13.8" hidden="false" customHeight="false" outlineLevel="0" collapsed="false">
      <c r="A206" s="59" t="s">
        <v>225</v>
      </c>
      <c r="B206" s="74" t="s">
        <v>220</v>
      </c>
      <c r="C206" s="75" t="s">
        <v>226</v>
      </c>
      <c r="D206" s="76" t="s">
        <v>64</v>
      </c>
      <c r="E206" s="81" t="n">
        <v>-40</v>
      </c>
      <c r="F206" s="78" t="n">
        <f aca="false">IF(ISNUMBER(FIND("SALDO ANTERIOR",C206)),0,IF(ISNUMBER(FIND("SALDO DO DIA",C206)),0,IF(ISNUMBER(FIND("SALDO PARCIAL",C206)),0,IF(ISNUMBER(FIND("SDO CTA/APL AUTOMATICAS",C206)),0,IF(ISNUMBER(FIND("APL APLIC AUT MAIS",C206)),0,IF(ISNUMBER(FIND("TEC DEPOSITO",C206)),0,IF(E206&gt;0,0,E206*(-1))))))))</f>
        <v>40</v>
      </c>
      <c r="G206" s="79" t="n">
        <f aca="false">IF(ISNUMBER(FIND("SALDO ANTERIOR",C206)),0,IF(ISNUMBER(FIND("SALDO DO DIA",C206)),0,IF(ISNUMBER(FIND("SDO CTA/APL AUTOMATICAS",C206)),0,IF(ISNUMBER(FIND("TEC DEPOSITO",C206)),0,IF(ISNUMBER(FIND("APL APLIC AUT MAIS",C206)),E206,IF(E206&gt;0,E206,0))))))</f>
        <v>0</v>
      </c>
      <c r="H206" s="80" t="n">
        <v>43862</v>
      </c>
    </row>
    <row r="207" customFormat="false" ht="13.8" hidden="false" customHeight="false" outlineLevel="0" collapsed="false">
      <c r="A207" s="59" t="s">
        <v>65</v>
      </c>
      <c r="B207" s="74" t="s">
        <v>220</v>
      </c>
      <c r="C207" s="75" t="s">
        <v>227</v>
      </c>
      <c r="D207" s="76" t="s">
        <v>64</v>
      </c>
      <c r="E207" s="81" t="n">
        <v>-5</v>
      </c>
      <c r="F207" s="78" t="n">
        <f aca="false">IF(ISNUMBER(FIND("SALDO ANTERIOR",C207)),0,IF(ISNUMBER(FIND("SALDO DO DIA",C207)),0,IF(ISNUMBER(FIND("SALDO PARCIAL",C207)),0,IF(ISNUMBER(FIND("SDO CTA/APL AUTOMATICAS",C207)),0,IF(ISNUMBER(FIND("APL APLIC AUT MAIS",C207)),0,IF(ISNUMBER(FIND("TEC DEPOSITO",C207)),0,IF(E207&gt;0,0,E207*(-1))))))))</f>
        <v>5</v>
      </c>
      <c r="G207" s="79" t="n">
        <f aca="false">IF(ISNUMBER(FIND("SALDO ANTERIOR",C207)),0,IF(ISNUMBER(FIND("SALDO DO DIA",C207)),0,IF(ISNUMBER(FIND("SDO CTA/APL AUTOMATICAS",C207)),0,IF(ISNUMBER(FIND("TEC DEPOSITO",C207)),0,IF(ISNUMBER(FIND("APL APLIC AUT MAIS",C207)),E207,IF(E207&gt;0,E207,0))))))</f>
        <v>0</v>
      </c>
      <c r="H207" s="80" t="n">
        <v>43862</v>
      </c>
    </row>
    <row r="208" customFormat="false" ht="13.8" hidden="false" customHeight="false" outlineLevel="0" collapsed="false">
      <c r="A208" s="59" t="s">
        <v>65</v>
      </c>
      <c r="B208" s="74" t="s">
        <v>220</v>
      </c>
      <c r="C208" s="75" t="s">
        <v>97</v>
      </c>
      <c r="D208" s="76" t="s">
        <v>64</v>
      </c>
      <c r="E208" s="81" t="n">
        <v>-2.99</v>
      </c>
      <c r="F208" s="78" t="n">
        <f aca="false">IF(ISNUMBER(FIND("SALDO ANTERIOR",C208)),0,IF(ISNUMBER(FIND("SALDO DO DIA",C208)),0,IF(ISNUMBER(FIND("SALDO PARCIAL",C208)),0,IF(ISNUMBER(FIND("SDO CTA/APL AUTOMATICAS",C208)),0,IF(ISNUMBER(FIND("APL APLIC AUT MAIS",C208)),0,IF(ISNUMBER(FIND("TEC DEPOSITO",C208)),0,IF(E208&gt;0,0,E208*(-1))))))))</f>
        <v>2.99</v>
      </c>
      <c r="G208" s="79" t="n">
        <f aca="false">IF(ISNUMBER(FIND("SALDO ANTERIOR",C208)),0,IF(ISNUMBER(FIND("SALDO DO DIA",C208)),0,IF(ISNUMBER(FIND("SDO CTA/APL AUTOMATICAS",C208)),0,IF(ISNUMBER(FIND("TEC DEPOSITO",C208)),0,IF(ISNUMBER(FIND("APL APLIC AUT MAIS",C208)),E208,IF(E208&gt;0,E208,0))))))</f>
        <v>0</v>
      </c>
      <c r="H208" s="80" t="n">
        <v>43862</v>
      </c>
    </row>
    <row r="209" customFormat="false" ht="13.8" hidden="false" customHeight="false" outlineLevel="0" collapsed="false">
      <c r="A209" s="59" t="s">
        <v>130</v>
      </c>
      <c r="B209" s="74" t="s">
        <v>220</v>
      </c>
      <c r="C209" s="75" t="s">
        <v>131</v>
      </c>
      <c r="D209" s="76" t="s">
        <v>82</v>
      </c>
      <c r="E209" s="81" t="n">
        <v>-75</v>
      </c>
      <c r="F209" s="78" t="n">
        <f aca="false">IF(ISNUMBER(FIND("SALDO ANTERIOR",C209)),0,IF(ISNUMBER(FIND("SALDO DO DIA",C209)),0,IF(ISNUMBER(FIND("SALDO PARCIAL",C209)),0,IF(ISNUMBER(FIND("SDO CTA/APL AUTOMATICAS",C209)),0,IF(ISNUMBER(FIND("APL APLIC AUT MAIS",C209)),0,IF(ISNUMBER(FIND("TEC DEPOSITO",C209)),0,IF(E209&gt;0,0,E209*(-1))))))))</f>
        <v>75</v>
      </c>
      <c r="G209" s="79" t="n">
        <f aca="false">IF(ISNUMBER(FIND("SALDO ANTERIOR",C209)),0,IF(ISNUMBER(FIND("SALDO DO DIA",C209)),0,IF(ISNUMBER(FIND("SDO CTA/APL AUTOMATICAS",C209)),0,IF(ISNUMBER(FIND("TEC DEPOSITO",C209)),0,IF(ISNUMBER(FIND("APL APLIC AUT MAIS",C209)),E209,IF(E209&gt;0,E209,0))))))</f>
        <v>0</v>
      </c>
      <c r="H209" s="80" t="n">
        <v>43862</v>
      </c>
    </row>
    <row r="210" customFormat="false" ht="13.8" hidden="false" customHeight="false" outlineLevel="0" collapsed="false">
      <c r="A210" s="59" t="s">
        <v>67</v>
      </c>
      <c r="B210" s="74" t="s">
        <v>220</v>
      </c>
      <c r="C210" s="75" t="s">
        <v>69</v>
      </c>
      <c r="D210" s="76"/>
      <c r="E210" s="77" t="n">
        <v>502.66</v>
      </c>
      <c r="F210" s="78" t="n">
        <f aca="false">IF(ISNUMBER(FIND("SALDO ANTERIOR",C210)),0,IF(ISNUMBER(FIND("SALDO DO DIA",C210)),0,IF(ISNUMBER(FIND("SALDO PARCIAL",C210)),0,IF(ISNUMBER(FIND("SDO CTA/APL AUTOMATICAS",C210)),0,IF(ISNUMBER(FIND("APL APLIC AUT MAIS",C210)),0,IF(ISNUMBER(FIND("TEC DEPOSITO",C210)),0,IF(E210&gt;0,0,E210*(-1))))))))</f>
        <v>0</v>
      </c>
      <c r="G210" s="79" t="n">
        <f aca="false">IF(ISNUMBER(FIND("SALDO ANTERIOR",C210)),0,IF(ISNUMBER(FIND("SALDO DO DIA",C210)),0,IF(ISNUMBER(FIND("SDO CTA/APL AUTOMATICAS",C210)),0,IF(ISNUMBER(FIND("TEC DEPOSITO",C210)),0,IF(ISNUMBER(FIND("APL APLIC AUT MAIS",C210)),E210,IF(E210&gt;0,E210,0))))))</f>
        <v>502.66</v>
      </c>
      <c r="H210" s="80" t="n">
        <v>43862</v>
      </c>
    </row>
    <row r="211" customFormat="false" ht="13.8" hidden="false" customHeight="false" outlineLevel="0" collapsed="false">
      <c r="A211" s="59" t="s">
        <v>29</v>
      </c>
      <c r="B211" s="74" t="s">
        <v>220</v>
      </c>
      <c r="C211" s="75" t="s">
        <v>70</v>
      </c>
      <c r="D211" s="76"/>
      <c r="E211" s="77" t="n">
        <v>135.58</v>
      </c>
      <c r="F211" s="78" t="n">
        <f aca="false">IF(ISNUMBER(FIND("SALDO ANTERIOR",C211)),0,IF(ISNUMBER(FIND("SALDO DO DIA",C211)),0,IF(ISNUMBER(FIND("SALDO PARCIAL",C211)),0,IF(ISNUMBER(FIND("SDO CTA/APL AUTOMATICAS",C211)),0,IF(ISNUMBER(FIND("APL APLIC AUT MAIS",C211)),0,IF(ISNUMBER(FIND("TEC DEPOSITO",C211)),0,IF(E211&gt;0,0,E211*(-1))))))))</f>
        <v>0</v>
      </c>
      <c r="G211" s="79" t="n">
        <f aca="false">IF(ISNUMBER(FIND("SALDO ANTERIOR",C211)),0,IF(ISNUMBER(FIND("SALDO DO DIA",C211)),0,IF(ISNUMBER(FIND("SDO CTA/APL AUTOMATICAS",C211)),0,IF(ISNUMBER(FIND("TEC DEPOSITO",C211)),0,IF(ISNUMBER(FIND("APL APLIC AUT MAIS",C211)),E211,IF(E211&gt;0,E211,0))))))</f>
        <v>135.58</v>
      </c>
      <c r="H211" s="80" t="n">
        <v>43862</v>
      </c>
    </row>
    <row r="212" customFormat="false" ht="13.8" hidden="false" customHeight="false" outlineLevel="0" collapsed="false">
      <c r="A212" s="59" t="s">
        <v>65</v>
      </c>
      <c r="B212" s="74" t="s">
        <v>228</v>
      </c>
      <c r="C212" s="75" t="s">
        <v>97</v>
      </c>
      <c r="D212" s="76" t="s">
        <v>64</v>
      </c>
      <c r="E212" s="81" t="n">
        <v>-2.99</v>
      </c>
      <c r="F212" s="78" t="n">
        <f aca="false">IF(ISNUMBER(FIND("SALDO ANTERIOR",C212)),0,IF(ISNUMBER(FIND("SALDO DO DIA",C212)),0,IF(ISNUMBER(FIND("SALDO PARCIAL",C212)),0,IF(ISNUMBER(FIND("SDO CTA/APL AUTOMATICAS",C212)),0,IF(ISNUMBER(FIND("APL APLIC AUT MAIS",C212)),0,IF(ISNUMBER(FIND("TEC DEPOSITO",C212)),0,IF(E212&gt;0,0,E212*(-1))))))))</f>
        <v>2.99</v>
      </c>
      <c r="G212" s="79" t="n">
        <f aca="false">IF(ISNUMBER(FIND("SALDO ANTERIOR",C212)),0,IF(ISNUMBER(FIND("SALDO DO DIA",C212)),0,IF(ISNUMBER(FIND("SDO CTA/APL AUTOMATICAS",C212)),0,IF(ISNUMBER(FIND("TEC DEPOSITO",C212)),0,IF(ISNUMBER(FIND("APL APLIC AUT MAIS",C212)),E212,IF(E212&gt;0,E212,0))))))</f>
        <v>0</v>
      </c>
      <c r="H212" s="80" t="n">
        <v>43862</v>
      </c>
    </row>
    <row r="213" customFormat="false" ht="13.8" hidden="false" customHeight="false" outlineLevel="0" collapsed="false">
      <c r="A213" s="59" t="s">
        <v>181</v>
      </c>
      <c r="B213" s="74" t="s">
        <v>228</v>
      </c>
      <c r="C213" s="75" t="s">
        <v>229</v>
      </c>
      <c r="D213" s="76" t="s">
        <v>61</v>
      </c>
      <c r="E213" s="81" t="n">
        <v>-283.5</v>
      </c>
      <c r="F213" s="78" t="n">
        <f aca="false">IF(ISNUMBER(FIND("SALDO ANTERIOR",C213)),0,IF(ISNUMBER(FIND("SALDO DO DIA",C213)),0,IF(ISNUMBER(FIND("SALDO PARCIAL",C213)),0,IF(ISNUMBER(FIND("SDO CTA/APL AUTOMATICAS",C213)),0,IF(ISNUMBER(FIND("APL APLIC AUT MAIS",C213)),0,IF(ISNUMBER(FIND("TEC DEPOSITO",C213)),0,IF(E213&gt;0,0,E213*(-1))))))))</f>
        <v>283.5</v>
      </c>
      <c r="G213" s="79" t="n">
        <f aca="false">IF(ISNUMBER(FIND("SALDO ANTERIOR",C213)),0,IF(ISNUMBER(FIND("SALDO DO DIA",C213)),0,IF(ISNUMBER(FIND("SDO CTA/APL AUTOMATICAS",C213)),0,IF(ISNUMBER(FIND("TEC DEPOSITO",C213)),0,IF(ISNUMBER(FIND("APL APLIC AUT MAIS",C213)),E213,IF(E213&gt;0,E213,0))))))</f>
        <v>0</v>
      </c>
      <c r="H213" s="80" t="n">
        <v>43862</v>
      </c>
    </row>
    <row r="214" customFormat="false" ht="13.8" hidden="false" customHeight="false" outlineLevel="0" collapsed="false">
      <c r="A214" s="59" t="s">
        <v>67</v>
      </c>
      <c r="B214" s="74" t="s">
        <v>228</v>
      </c>
      <c r="C214" s="75" t="s">
        <v>69</v>
      </c>
      <c r="D214" s="76"/>
      <c r="E214" s="77" t="n">
        <v>135.58</v>
      </c>
      <c r="F214" s="78" t="n">
        <f aca="false">IF(ISNUMBER(FIND("SALDO ANTERIOR",C214)),0,IF(ISNUMBER(FIND("SALDO DO DIA",C214)),0,IF(ISNUMBER(FIND("SALDO PARCIAL",C214)),0,IF(ISNUMBER(FIND("SDO CTA/APL AUTOMATICAS",C214)),0,IF(ISNUMBER(FIND("APL APLIC AUT MAIS",C214)),0,IF(ISNUMBER(FIND("TEC DEPOSITO",C214)),0,IF(E214&gt;0,0,E214*(-1))))))))</f>
        <v>0</v>
      </c>
      <c r="G214" s="79" t="n">
        <f aca="false">IF(ISNUMBER(FIND("SALDO ANTERIOR",C214)),0,IF(ISNUMBER(FIND("SALDO DO DIA",C214)),0,IF(ISNUMBER(FIND("SDO CTA/APL AUTOMATICAS",C214)),0,IF(ISNUMBER(FIND("TEC DEPOSITO",C214)),0,IF(ISNUMBER(FIND("APL APLIC AUT MAIS",C214)),E214,IF(E214&gt;0,E214,0))))))</f>
        <v>135.58</v>
      </c>
      <c r="H214" s="80" t="n">
        <v>43862</v>
      </c>
    </row>
    <row r="215" customFormat="false" ht="13.8" hidden="false" customHeight="false" outlineLevel="0" collapsed="false">
      <c r="A215" s="59" t="s">
        <v>65</v>
      </c>
      <c r="B215" s="74" t="s">
        <v>230</v>
      </c>
      <c r="C215" s="75" t="s">
        <v>97</v>
      </c>
      <c r="D215" s="76" t="s">
        <v>64</v>
      </c>
      <c r="E215" s="81" t="n">
        <v>-9.98</v>
      </c>
      <c r="F215" s="78" t="n">
        <f aca="false">IF(ISNUMBER(FIND("SALDO ANTERIOR",C215)),0,IF(ISNUMBER(FIND("SALDO DO DIA",C215)),0,IF(ISNUMBER(FIND("SALDO PARCIAL",C215)),0,IF(ISNUMBER(FIND("SDO CTA/APL AUTOMATICAS",C215)),0,IF(ISNUMBER(FIND("APL APLIC AUT MAIS",C215)),0,IF(ISNUMBER(FIND("TEC DEPOSITO",C215)),0,IF(E215&gt;0,0,E215*(-1))))))))</f>
        <v>9.98</v>
      </c>
      <c r="G215" s="79" t="n">
        <f aca="false">IF(ISNUMBER(FIND("SALDO ANTERIOR",C215)),0,IF(ISNUMBER(FIND("SALDO DO DIA",C215)),0,IF(ISNUMBER(FIND("SDO CTA/APL AUTOMATICAS",C215)),0,IF(ISNUMBER(FIND("TEC DEPOSITO",C215)),0,IF(ISNUMBER(FIND("APL APLIC AUT MAIS",C215)),E215,IF(E215&gt;0,E215,0))))))</f>
        <v>0</v>
      </c>
      <c r="H215" s="80" t="n">
        <v>43862</v>
      </c>
    </row>
    <row r="216" customFormat="false" ht="13.8" hidden="false" customHeight="false" outlineLevel="0" collapsed="false">
      <c r="A216" s="59" t="s">
        <v>119</v>
      </c>
      <c r="B216" s="74" t="s">
        <v>230</v>
      </c>
      <c r="C216" s="75" t="s">
        <v>231</v>
      </c>
      <c r="D216" s="76" t="s">
        <v>61</v>
      </c>
      <c r="E216" s="81" t="n">
        <v>-90</v>
      </c>
      <c r="F216" s="78" t="n">
        <f aca="false">IF(ISNUMBER(FIND("SALDO ANTERIOR",C216)),0,IF(ISNUMBER(FIND("SALDO DO DIA",C216)),0,IF(ISNUMBER(FIND("SALDO PARCIAL",C216)),0,IF(ISNUMBER(FIND("SDO CTA/APL AUTOMATICAS",C216)),0,IF(ISNUMBER(FIND("APL APLIC AUT MAIS",C216)),0,IF(ISNUMBER(FIND("TEC DEPOSITO",C216)),0,IF(E216&gt;0,0,E216*(-1))))))))</f>
        <v>90</v>
      </c>
      <c r="G216" s="79" t="n">
        <f aca="false">IF(ISNUMBER(FIND("SALDO ANTERIOR",C216)),0,IF(ISNUMBER(FIND("SALDO DO DIA",C216)),0,IF(ISNUMBER(FIND("SDO CTA/APL AUTOMATICAS",C216)),0,IF(ISNUMBER(FIND("TEC DEPOSITO",C216)),0,IF(ISNUMBER(FIND("APL APLIC AUT MAIS",C216)),E216,IF(E216&gt;0,E216,0))))))</f>
        <v>0</v>
      </c>
      <c r="H216" s="80" t="n">
        <v>43862</v>
      </c>
    </row>
    <row r="217" customFormat="false" ht="13.8" hidden="false" customHeight="false" outlineLevel="0" collapsed="false">
      <c r="A217" s="59" t="s">
        <v>98</v>
      </c>
      <c r="B217" s="74" t="s">
        <v>232</v>
      </c>
      <c r="C217" s="75" t="s">
        <v>223</v>
      </c>
      <c r="D217" s="76" t="s">
        <v>64</v>
      </c>
      <c r="E217" s="81" t="n">
        <v>-3.5</v>
      </c>
      <c r="F217" s="78" t="n">
        <f aca="false">IF(ISNUMBER(FIND("SALDO ANTERIOR",C217)),0,IF(ISNUMBER(FIND("SALDO DO DIA",C217)),0,IF(ISNUMBER(FIND("SALDO PARCIAL",C217)),0,IF(ISNUMBER(FIND("SDO CTA/APL AUTOMATICAS",C217)),0,IF(ISNUMBER(FIND("APL APLIC AUT MAIS",C217)),0,IF(ISNUMBER(FIND("TEC DEPOSITO",C217)),0,IF(E217&gt;0,0,E217*(-1))))))))</f>
        <v>3.5</v>
      </c>
      <c r="G217" s="79" t="n">
        <f aca="false">IF(ISNUMBER(FIND("SALDO ANTERIOR",C217)),0,IF(ISNUMBER(FIND("SALDO DO DIA",C217)),0,IF(ISNUMBER(FIND("SDO CTA/APL AUTOMATICAS",C217)),0,IF(ISNUMBER(FIND("TEC DEPOSITO",C217)),0,IF(ISNUMBER(FIND("APL APLIC AUT MAIS",C217)),E217,IF(E217&gt;0,E217,0))))))</f>
        <v>0</v>
      </c>
      <c r="H217" s="80" t="n">
        <v>43862</v>
      </c>
    </row>
    <row r="218" customFormat="false" ht="13.8" hidden="false" customHeight="false" outlineLevel="0" collapsed="false">
      <c r="A218" s="59" t="s">
        <v>65</v>
      </c>
      <c r="B218" s="74" t="s">
        <v>232</v>
      </c>
      <c r="C218" s="75" t="s">
        <v>97</v>
      </c>
      <c r="D218" s="76" t="s">
        <v>64</v>
      </c>
      <c r="E218" s="81" t="n">
        <v>-2.99</v>
      </c>
      <c r="F218" s="78" t="n">
        <f aca="false">IF(ISNUMBER(FIND("SALDO ANTERIOR",C218)),0,IF(ISNUMBER(FIND("SALDO DO DIA",C218)),0,IF(ISNUMBER(FIND("SALDO PARCIAL",C218)),0,IF(ISNUMBER(FIND("SDO CTA/APL AUTOMATICAS",C218)),0,IF(ISNUMBER(FIND("APL APLIC AUT MAIS",C218)),0,IF(ISNUMBER(FIND("TEC DEPOSITO",C218)),0,IF(E218&gt;0,0,E218*(-1))))))))</f>
        <v>2.99</v>
      </c>
      <c r="G218" s="79" t="n">
        <f aca="false">IF(ISNUMBER(FIND("SALDO ANTERIOR",C218)),0,IF(ISNUMBER(FIND("SALDO DO DIA",C218)),0,IF(ISNUMBER(FIND("SDO CTA/APL AUTOMATICAS",C218)),0,IF(ISNUMBER(FIND("TEC DEPOSITO",C218)),0,IF(ISNUMBER(FIND("APL APLIC AUT MAIS",C218)),E218,IF(E218&gt;0,E218,0))))))</f>
        <v>0</v>
      </c>
      <c r="H218" s="80" t="n">
        <v>43862</v>
      </c>
    </row>
    <row r="219" customFormat="false" ht="13.8" hidden="false" customHeight="false" outlineLevel="0" collapsed="false">
      <c r="A219" s="59" t="s">
        <v>142</v>
      </c>
      <c r="B219" s="74" t="s">
        <v>232</v>
      </c>
      <c r="C219" s="75" t="s">
        <v>143</v>
      </c>
      <c r="D219" s="76" t="s">
        <v>64</v>
      </c>
      <c r="E219" s="81" t="n">
        <v>-115.28</v>
      </c>
      <c r="F219" s="78" t="n">
        <f aca="false">IF(ISNUMBER(FIND("SALDO ANTERIOR",C219)),0,IF(ISNUMBER(FIND("SALDO DO DIA",C219)),0,IF(ISNUMBER(FIND("SALDO PARCIAL",C219)),0,IF(ISNUMBER(FIND("SDO CTA/APL AUTOMATICAS",C219)),0,IF(ISNUMBER(FIND("APL APLIC AUT MAIS",C219)),0,IF(ISNUMBER(FIND("TEC DEPOSITO",C219)),0,IF(E219&gt;0,0,E219*(-1))))))))</f>
        <v>115.28</v>
      </c>
      <c r="G219" s="79" t="n">
        <f aca="false">IF(ISNUMBER(FIND("SALDO ANTERIOR",C219)),0,IF(ISNUMBER(FIND("SALDO DO DIA",C219)),0,IF(ISNUMBER(FIND("SDO CTA/APL AUTOMATICAS",C219)),0,IF(ISNUMBER(FIND("TEC DEPOSITO",C219)),0,IF(ISNUMBER(FIND("APL APLIC AUT MAIS",C219)),E219,IF(E219&gt;0,E219,0))))))</f>
        <v>0</v>
      </c>
      <c r="H219" s="80" t="n">
        <v>43862</v>
      </c>
    </row>
    <row r="220" customFormat="false" ht="13.8" hidden="false" customHeight="false" outlineLevel="0" collapsed="false">
      <c r="A220" s="59" t="s">
        <v>65</v>
      </c>
      <c r="B220" s="74" t="s">
        <v>233</v>
      </c>
      <c r="C220" s="75" t="s">
        <v>234</v>
      </c>
      <c r="D220" s="76" t="s">
        <v>64</v>
      </c>
      <c r="E220" s="81" t="n">
        <v>-25</v>
      </c>
      <c r="F220" s="78" t="n">
        <f aca="false">IF(ISNUMBER(FIND("SALDO ANTERIOR",C220)),0,IF(ISNUMBER(FIND("SALDO DO DIA",C220)),0,IF(ISNUMBER(FIND("SALDO PARCIAL",C220)),0,IF(ISNUMBER(FIND("SDO CTA/APL AUTOMATICAS",C220)),0,IF(ISNUMBER(FIND("APL APLIC AUT MAIS",C220)),0,IF(ISNUMBER(FIND("TEC DEPOSITO",C220)),0,IF(E220&gt;0,0,E220*(-1))))))))</f>
        <v>25</v>
      </c>
      <c r="G220" s="79" t="n">
        <f aca="false">IF(ISNUMBER(FIND("SALDO ANTERIOR",C220)),0,IF(ISNUMBER(FIND("SALDO DO DIA",C220)),0,IF(ISNUMBER(FIND("SDO CTA/APL AUTOMATICAS",C220)),0,IF(ISNUMBER(FIND("TEC DEPOSITO",C220)),0,IF(ISNUMBER(FIND("APL APLIC AUT MAIS",C220)),E220,IF(E220&gt;0,E220,0))))))</f>
        <v>0</v>
      </c>
      <c r="H220" s="80" t="n">
        <v>43862</v>
      </c>
    </row>
    <row r="221" customFormat="false" ht="13.8" hidden="false" customHeight="false" outlineLevel="0" collapsed="false">
      <c r="A221" s="59" t="s">
        <v>65</v>
      </c>
      <c r="B221" s="74" t="s">
        <v>233</v>
      </c>
      <c r="C221" s="75" t="s">
        <v>78</v>
      </c>
      <c r="D221" s="76" t="s">
        <v>64</v>
      </c>
      <c r="E221" s="81" t="n">
        <v>-12.5</v>
      </c>
      <c r="F221" s="78" t="n">
        <f aca="false">IF(ISNUMBER(FIND("SALDO ANTERIOR",C221)),0,IF(ISNUMBER(FIND("SALDO DO DIA",C221)),0,IF(ISNUMBER(FIND("SALDO PARCIAL",C221)),0,IF(ISNUMBER(FIND("SDO CTA/APL AUTOMATICAS",C221)),0,IF(ISNUMBER(FIND("APL APLIC AUT MAIS",C221)),0,IF(ISNUMBER(FIND("TEC DEPOSITO",C221)),0,IF(E221&gt;0,0,E221*(-1))))))))</f>
        <v>12.5</v>
      </c>
      <c r="G221" s="79" t="n">
        <f aca="false">IF(ISNUMBER(FIND("SALDO ANTERIOR",C221)),0,IF(ISNUMBER(FIND("SALDO DO DIA",C221)),0,IF(ISNUMBER(FIND("SDO CTA/APL AUTOMATICAS",C221)),0,IF(ISNUMBER(FIND("TEC DEPOSITO",C221)),0,IF(ISNUMBER(FIND("APL APLIC AUT MAIS",C221)),E221,IF(E221&gt;0,E221,0))))))</f>
        <v>0</v>
      </c>
      <c r="H221" s="80" t="n">
        <v>43862</v>
      </c>
    </row>
    <row r="222" customFormat="false" ht="13.8" hidden="false" customHeight="false" outlineLevel="0" collapsed="false">
      <c r="A222" s="59" t="s">
        <v>65</v>
      </c>
      <c r="B222" s="74" t="s">
        <v>233</v>
      </c>
      <c r="C222" s="75" t="s">
        <v>235</v>
      </c>
      <c r="D222" s="76" t="s">
        <v>64</v>
      </c>
      <c r="E222" s="81" t="n">
        <v>-5.5</v>
      </c>
      <c r="F222" s="78" t="n">
        <f aca="false">IF(ISNUMBER(FIND("SALDO ANTERIOR",C222)),0,IF(ISNUMBER(FIND("SALDO DO DIA",C222)),0,IF(ISNUMBER(FIND("SALDO PARCIAL",C222)),0,IF(ISNUMBER(FIND("SDO CTA/APL AUTOMATICAS",C222)),0,IF(ISNUMBER(FIND("APL APLIC AUT MAIS",C222)),0,IF(ISNUMBER(FIND("TEC DEPOSITO",C222)),0,IF(E222&gt;0,0,E222*(-1))))))))</f>
        <v>5.5</v>
      </c>
      <c r="G222" s="79" t="n">
        <f aca="false">IF(ISNUMBER(FIND("SALDO ANTERIOR",C222)),0,IF(ISNUMBER(FIND("SALDO DO DIA",C222)),0,IF(ISNUMBER(FIND("SDO CTA/APL AUTOMATICAS",C222)),0,IF(ISNUMBER(FIND("TEC DEPOSITO",C222)),0,IF(ISNUMBER(FIND("APL APLIC AUT MAIS",C222)),E222,IF(E222&gt;0,E222,0))))))</f>
        <v>0</v>
      </c>
      <c r="H222" s="80" t="n">
        <v>43862</v>
      </c>
    </row>
    <row r="223" customFormat="false" ht="13.8" hidden="false" customHeight="false" outlineLevel="0" collapsed="false">
      <c r="A223" s="59" t="s">
        <v>74</v>
      </c>
      <c r="B223" s="74" t="s">
        <v>233</v>
      </c>
      <c r="C223" s="75" t="s">
        <v>236</v>
      </c>
      <c r="D223" s="76" t="s">
        <v>64</v>
      </c>
      <c r="E223" s="81" t="n">
        <v>-19.99</v>
      </c>
      <c r="F223" s="78" t="n">
        <f aca="false">IF(ISNUMBER(FIND("SALDO ANTERIOR",C223)),0,IF(ISNUMBER(FIND("SALDO DO DIA",C223)),0,IF(ISNUMBER(FIND("SALDO PARCIAL",C223)),0,IF(ISNUMBER(FIND("SDO CTA/APL AUTOMATICAS",C223)),0,IF(ISNUMBER(FIND("APL APLIC AUT MAIS",C223)),0,IF(ISNUMBER(FIND("TEC DEPOSITO",C223)),0,IF(E223&gt;0,0,E223*(-1))))))))</f>
        <v>19.99</v>
      </c>
      <c r="G223" s="79" t="n">
        <f aca="false">IF(ISNUMBER(FIND("SALDO ANTERIOR",C223)),0,IF(ISNUMBER(FIND("SALDO DO DIA",C223)),0,IF(ISNUMBER(FIND("SDO CTA/APL AUTOMATICAS",C223)),0,IF(ISNUMBER(FIND("TEC DEPOSITO",C223)),0,IF(ISNUMBER(FIND("APL APLIC AUT MAIS",C223)),E223,IF(E223&gt;0,E223,0))))))</f>
        <v>0</v>
      </c>
      <c r="H223" s="80" t="n">
        <v>43862</v>
      </c>
    </row>
    <row r="224" customFormat="false" ht="13.8" hidden="false" customHeight="false" outlineLevel="0" collapsed="false">
      <c r="A224" s="59" t="s">
        <v>203</v>
      </c>
      <c r="B224" s="74" t="s">
        <v>237</v>
      </c>
      <c r="C224" s="75" t="s">
        <v>238</v>
      </c>
      <c r="D224" s="76" t="s">
        <v>239</v>
      </c>
      <c r="E224" s="81" t="n">
        <v>-100</v>
      </c>
      <c r="F224" s="78" t="n">
        <f aca="false">IF(ISNUMBER(FIND("SALDO ANTERIOR",C224)),0,IF(ISNUMBER(FIND("SALDO DO DIA",C224)),0,IF(ISNUMBER(FIND("SALDO PARCIAL",C224)),0,IF(ISNUMBER(FIND("SDO CTA/APL AUTOMATICAS",C224)),0,IF(ISNUMBER(FIND("APL APLIC AUT MAIS",C224)),0,IF(ISNUMBER(FIND("TEC DEPOSITO",C224)),0,IF(E224&gt;0,0,E224*(-1))))))))</f>
        <v>100</v>
      </c>
      <c r="G224" s="79" t="n">
        <f aca="false">IF(ISNUMBER(FIND("SALDO ANTERIOR",C224)),0,IF(ISNUMBER(FIND("SALDO DO DIA",C224)),0,IF(ISNUMBER(FIND("SDO CTA/APL AUTOMATICAS",C224)),0,IF(ISNUMBER(FIND("TEC DEPOSITO",C224)),0,IF(ISNUMBER(FIND("APL APLIC AUT MAIS",C224)),E224,IF(E224&gt;0,E224,0))))))</f>
        <v>0</v>
      </c>
      <c r="H224" s="80" t="n">
        <v>43862</v>
      </c>
    </row>
    <row r="225" customFormat="false" ht="13.8" hidden="false" customHeight="false" outlineLevel="0" collapsed="false">
      <c r="A225" s="59" t="s">
        <v>225</v>
      </c>
      <c r="B225" s="74" t="s">
        <v>237</v>
      </c>
      <c r="C225" s="75" t="s">
        <v>240</v>
      </c>
      <c r="D225" s="76" t="s">
        <v>64</v>
      </c>
      <c r="E225" s="81" t="n">
        <v>-231.95</v>
      </c>
      <c r="F225" s="78" t="n">
        <f aca="false">IF(ISNUMBER(FIND("SALDO ANTERIOR",C225)),0,IF(ISNUMBER(FIND("SALDO DO DIA",C225)),0,IF(ISNUMBER(FIND("SALDO PARCIAL",C225)),0,IF(ISNUMBER(FIND("SDO CTA/APL AUTOMATICAS",C225)),0,IF(ISNUMBER(FIND("APL APLIC AUT MAIS",C225)),0,IF(ISNUMBER(FIND("TEC DEPOSITO",C225)),0,IF(E225&gt;0,0,E225*(-1))))))))</f>
        <v>231.95</v>
      </c>
      <c r="G225" s="79" t="n">
        <f aca="false">IF(ISNUMBER(FIND("SALDO ANTERIOR",C225)),0,IF(ISNUMBER(FIND("SALDO DO DIA",C225)),0,IF(ISNUMBER(FIND("SDO CTA/APL AUTOMATICAS",C225)),0,IF(ISNUMBER(FIND("TEC DEPOSITO",C225)),0,IF(ISNUMBER(FIND("APL APLIC AUT MAIS",C225)),E225,IF(E225&gt;0,E225,0))))))</f>
        <v>0</v>
      </c>
      <c r="H225" s="80" t="n">
        <v>43862</v>
      </c>
    </row>
    <row r="226" customFormat="false" ht="13.8" hidden="false" customHeight="false" outlineLevel="0" collapsed="false">
      <c r="A226" s="59" t="s">
        <v>76</v>
      </c>
      <c r="B226" s="74" t="s">
        <v>237</v>
      </c>
      <c r="C226" s="75" t="s">
        <v>241</v>
      </c>
      <c r="D226" s="76" t="s">
        <v>64</v>
      </c>
      <c r="E226" s="81" t="n">
        <v>-23.8</v>
      </c>
      <c r="F226" s="78" t="n">
        <f aca="false">IF(ISNUMBER(FIND("SALDO ANTERIOR",C226)),0,IF(ISNUMBER(FIND("SALDO DO DIA",C226)),0,IF(ISNUMBER(FIND("SALDO PARCIAL",C226)),0,IF(ISNUMBER(FIND("SDO CTA/APL AUTOMATICAS",C226)),0,IF(ISNUMBER(FIND("APL APLIC AUT MAIS",C226)),0,IF(ISNUMBER(FIND("TEC DEPOSITO",C226)),0,IF(E226&gt;0,0,E226*(-1))))))))</f>
        <v>23.8</v>
      </c>
      <c r="G226" s="79" t="n">
        <f aca="false">IF(ISNUMBER(FIND("SALDO ANTERIOR",C226)),0,IF(ISNUMBER(FIND("SALDO DO DIA",C226)),0,IF(ISNUMBER(FIND("SDO CTA/APL AUTOMATICAS",C226)),0,IF(ISNUMBER(FIND("TEC DEPOSITO",C226)),0,IF(ISNUMBER(FIND("APL APLIC AUT MAIS",C226)),E226,IF(E226&gt;0,E226,0))))))</f>
        <v>0</v>
      </c>
      <c r="H226" s="80" t="n">
        <v>43862</v>
      </c>
    </row>
    <row r="227" customFormat="false" ht="13.8" hidden="false" customHeight="false" outlineLevel="0" collapsed="false">
      <c r="A227" s="59" t="s">
        <v>76</v>
      </c>
      <c r="B227" s="74" t="s">
        <v>237</v>
      </c>
      <c r="C227" s="75" t="s">
        <v>242</v>
      </c>
      <c r="D227" s="76" t="s">
        <v>64</v>
      </c>
      <c r="E227" s="81" t="n">
        <v>-41</v>
      </c>
      <c r="F227" s="78" t="n">
        <f aca="false">IF(ISNUMBER(FIND("SALDO ANTERIOR",C227)),0,IF(ISNUMBER(FIND("SALDO DO DIA",C227)),0,IF(ISNUMBER(FIND("SALDO PARCIAL",C227)),0,IF(ISNUMBER(FIND("SDO CTA/APL AUTOMATICAS",C227)),0,IF(ISNUMBER(FIND("APL APLIC AUT MAIS",C227)),0,IF(ISNUMBER(FIND("TEC DEPOSITO",C227)),0,IF(E227&gt;0,0,E227*(-1))))))))</f>
        <v>41</v>
      </c>
      <c r="G227" s="79" t="n">
        <f aca="false">IF(ISNUMBER(FIND("SALDO ANTERIOR",C227)),0,IF(ISNUMBER(FIND("SALDO DO DIA",C227)),0,IF(ISNUMBER(FIND("SDO CTA/APL AUTOMATICAS",C227)),0,IF(ISNUMBER(FIND("TEC DEPOSITO",C227)),0,IF(ISNUMBER(FIND("APL APLIC AUT MAIS",C227)),E227,IF(E227&gt;0,E227,0))))))</f>
        <v>0</v>
      </c>
      <c r="H227" s="80" t="n">
        <v>43862</v>
      </c>
    </row>
    <row r="228" customFormat="false" ht="13.8" hidden="false" customHeight="false" outlineLevel="0" collapsed="false">
      <c r="A228" s="59" t="s">
        <v>87</v>
      </c>
      <c r="B228" s="74" t="s">
        <v>237</v>
      </c>
      <c r="C228" s="75" t="s">
        <v>88</v>
      </c>
      <c r="D228" s="76" t="s">
        <v>64</v>
      </c>
      <c r="E228" s="81" t="n">
        <v>-6.5</v>
      </c>
      <c r="F228" s="78" t="n">
        <f aca="false">IF(ISNUMBER(FIND("SALDO ANTERIOR",C228)),0,IF(ISNUMBER(FIND("SALDO DO DIA",C228)),0,IF(ISNUMBER(FIND("SALDO PARCIAL",C228)),0,IF(ISNUMBER(FIND("SDO CTA/APL AUTOMATICAS",C228)),0,IF(ISNUMBER(FIND("APL APLIC AUT MAIS",C228)),0,IF(ISNUMBER(FIND("TEC DEPOSITO",C228)),0,IF(E228&gt;0,0,E228*(-1))))))))</f>
        <v>6.5</v>
      </c>
      <c r="G228" s="79" t="n">
        <f aca="false">IF(ISNUMBER(FIND("SALDO ANTERIOR",C228)),0,IF(ISNUMBER(FIND("SALDO DO DIA",C228)),0,IF(ISNUMBER(FIND("SDO CTA/APL AUTOMATICAS",C228)),0,IF(ISNUMBER(FIND("TEC DEPOSITO",C228)),0,IF(ISNUMBER(FIND("APL APLIC AUT MAIS",C228)),E228,IF(E228&gt;0,E228,0))))))</f>
        <v>0</v>
      </c>
      <c r="H228" s="80" t="n">
        <v>43862</v>
      </c>
    </row>
    <row r="229" customFormat="false" ht="13.8" hidden="false" customHeight="false" outlineLevel="0" collapsed="false">
      <c r="A229" s="59" t="s">
        <v>65</v>
      </c>
      <c r="B229" s="74" t="s">
        <v>237</v>
      </c>
      <c r="C229" s="75" t="s">
        <v>243</v>
      </c>
      <c r="D229" s="76" t="s">
        <v>64</v>
      </c>
      <c r="E229" s="81" t="n">
        <v>-14</v>
      </c>
      <c r="F229" s="78" t="n">
        <f aca="false">IF(ISNUMBER(FIND("SALDO ANTERIOR",C229)),0,IF(ISNUMBER(FIND("SALDO DO DIA",C229)),0,IF(ISNUMBER(FIND("SALDO PARCIAL",C229)),0,IF(ISNUMBER(FIND("SDO CTA/APL AUTOMATICAS",C229)),0,IF(ISNUMBER(FIND("APL APLIC AUT MAIS",C229)),0,IF(ISNUMBER(FIND("TEC DEPOSITO",C229)),0,IF(E229&gt;0,0,E229*(-1))))))))</f>
        <v>14</v>
      </c>
      <c r="G229" s="79" t="n">
        <f aca="false">IF(ISNUMBER(FIND("SALDO ANTERIOR",C229)),0,IF(ISNUMBER(FIND("SALDO DO DIA",C229)),0,IF(ISNUMBER(FIND("SDO CTA/APL AUTOMATICAS",C229)),0,IF(ISNUMBER(FIND("TEC DEPOSITO",C229)),0,IF(ISNUMBER(FIND("APL APLIC AUT MAIS",C229)),E229,IF(E229&gt;0,E229,0))))))</f>
        <v>0</v>
      </c>
      <c r="H229" s="80" t="n">
        <v>43862</v>
      </c>
    </row>
    <row r="230" customFormat="false" ht="13.8" hidden="false" customHeight="false" outlineLevel="0" collapsed="false">
      <c r="A230" s="59" t="s">
        <v>65</v>
      </c>
      <c r="B230" s="74" t="s">
        <v>237</v>
      </c>
      <c r="C230" s="75" t="s">
        <v>244</v>
      </c>
      <c r="D230" s="76" t="s">
        <v>64</v>
      </c>
      <c r="E230" s="81" t="n">
        <v>-10</v>
      </c>
      <c r="F230" s="78" t="n">
        <f aca="false">IF(ISNUMBER(FIND("SALDO ANTERIOR",C230)),0,IF(ISNUMBER(FIND("SALDO DO DIA",C230)),0,IF(ISNUMBER(FIND("SALDO PARCIAL",C230)),0,IF(ISNUMBER(FIND("SDO CTA/APL AUTOMATICAS",C230)),0,IF(ISNUMBER(FIND("APL APLIC AUT MAIS",C230)),0,IF(ISNUMBER(FIND("TEC DEPOSITO",C230)),0,IF(E230&gt;0,0,E230*(-1))))))))</f>
        <v>10</v>
      </c>
      <c r="G230" s="79" t="n">
        <f aca="false">IF(ISNUMBER(FIND("SALDO ANTERIOR",C230)),0,IF(ISNUMBER(FIND("SALDO DO DIA",C230)),0,IF(ISNUMBER(FIND("SDO CTA/APL AUTOMATICAS",C230)),0,IF(ISNUMBER(FIND("TEC DEPOSITO",C230)),0,IF(ISNUMBER(FIND("APL APLIC AUT MAIS",C230)),E230,IF(E230&gt;0,E230,0))))))</f>
        <v>0</v>
      </c>
      <c r="H230" s="80" t="n">
        <v>43862</v>
      </c>
    </row>
    <row r="231" customFormat="false" ht="13.8" hidden="false" customHeight="false" outlineLevel="0" collapsed="false">
      <c r="A231" s="59" t="s">
        <v>65</v>
      </c>
      <c r="B231" s="74" t="s">
        <v>237</v>
      </c>
      <c r="C231" s="75" t="s">
        <v>245</v>
      </c>
      <c r="D231" s="76" t="s">
        <v>64</v>
      </c>
      <c r="E231" s="81" t="n">
        <v>-47.96</v>
      </c>
      <c r="F231" s="78" t="n">
        <f aca="false">IF(ISNUMBER(FIND("SALDO ANTERIOR",C231)),0,IF(ISNUMBER(FIND("SALDO DO DIA",C231)),0,IF(ISNUMBER(FIND("SALDO PARCIAL",C231)),0,IF(ISNUMBER(FIND("SDO CTA/APL AUTOMATICAS",C231)),0,IF(ISNUMBER(FIND("APL APLIC AUT MAIS",C231)),0,IF(ISNUMBER(FIND("TEC DEPOSITO",C231)),0,IF(E231&gt;0,0,E231*(-1))))))))</f>
        <v>47.96</v>
      </c>
      <c r="G231" s="79" t="n">
        <f aca="false">IF(ISNUMBER(FIND("SALDO ANTERIOR",C231)),0,IF(ISNUMBER(FIND("SALDO DO DIA",C231)),0,IF(ISNUMBER(FIND("SDO CTA/APL AUTOMATICAS",C231)),0,IF(ISNUMBER(FIND("TEC DEPOSITO",C231)),0,IF(ISNUMBER(FIND("APL APLIC AUT MAIS",C231)),E231,IF(E231&gt;0,E231,0))))))</f>
        <v>0</v>
      </c>
      <c r="H231" s="80" t="n">
        <v>43862</v>
      </c>
    </row>
    <row r="232" customFormat="false" ht="13.8" hidden="false" customHeight="false" outlineLevel="0" collapsed="false">
      <c r="A232" s="59" t="s">
        <v>65</v>
      </c>
      <c r="B232" s="74" t="s">
        <v>237</v>
      </c>
      <c r="C232" s="75" t="s">
        <v>246</v>
      </c>
      <c r="D232" s="76" t="s">
        <v>64</v>
      </c>
      <c r="E232" s="81" t="n">
        <v>-11</v>
      </c>
      <c r="F232" s="78" t="n">
        <f aca="false">IF(ISNUMBER(FIND("SALDO ANTERIOR",C232)),0,IF(ISNUMBER(FIND("SALDO DO DIA",C232)),0,IF(ISNUMBER(FIND("SALDO PARCIAL",C232)),0,IF(ISNUMBER(FIND("SDO CTA/APL AUTOMATICAS",C232)),0,IF(ISNUMBER(FIND("APL APLIC AUT MAIS",C232)),0,IF(ISNUMBER(FIND("TEC DEPOSITO",C232)),0,IF(E232&gt;0,0,E232*(-1))))))))</f>
        <v>11</v>
      </c>
      <c r="G232" s="79" t="n">
        <f aca="false">IF(ISNUMBER(FIND("SALDO ANTERIOR",C232)),0,IF(ISNUMBER(FIND("SALDO DO DIA",C232)),0,IF(ISNUMBER(FIND("SDO CTA/APL AUTOMATICAS",C232)),0,IF(ISNUMBER(FIND("TEC DEPOSITO",C232)),0,IF(ISNUMBER(FIND("APL APLIC AUT MAIS",C232)),E232,IF(E232&gt;0,E232,0))))))</f>
        <v>0</v>
      </c>
      <c r="H232" s="80" t="n">
        <v>43862</v>
      </c>
    </row>
    <row r="233" customFormat="false" ht="13.8" hidden="false" customHeight="false" outlineLevel="0" collapsed="false">
      <c r="A233" s="59" t="s">
        <v>98</v>
      </c>
      <c r="B233" s="74" t="s">
        <v>237</v>
      </c>
      <c r="C233" s="75" t="s">
        <v>247</v>
      </c>
      <c r="D233" s="76" t="s">
        <v>64</v>
      </c>
      <c r="E233" s="81" t="n">
        <v>-55.69</v>
      </c>
      <c r="F233" s="78" t="n">
        <f aca="false">IF(ISNUMBER(FIND("SALDO ANTERIOR",C233)),0,IF(ISNUMBER(FIND("SALDO DO DIA",C233)),0,IF(ISNUMBER(FIND("SALDO PARCIAL",C233)),0,IF(ISNUMBER(FIND("SDO CTA/APL AUTOMATICAS",C233)),0,IF(ISNUMBER(FIND("APL APLIC AUT MAIS",C233)),0,IF(ISNUMBER(FIND("TEC DEPOSITO",C233)),0,IF(E233&gt;0,0,E233*(-1))))))))</f>
        <v>55.69</v>
      </c>
      <c r="G233" s="79" t="n">
        <f aca="false">IF(ISNUMBER(FIND("SALDO ANTERIOR",C233)),0,IF(ISNUMBER(FIND("SALDO DO DIA",C233)),0,IF(ISNUMBER(FIND("SDO CTA/APL AUTOMATICAS",C233)),0,IF(ISNUMBER(FIND("TEC DEPOSITO",C233)),0,IF(ISNUMBER(FIND("APL APLIC AUT MAIS",C233)),E233,IF(E233&gt;0,E233,0))))))</f>
        <v>0</v>
      </c>
      <c r="H233" s="80" t="n">
        <v>43862</v>
      </c>
    </row>
    <row r="234" customFormat="false" ht="13.8" hidden="false" customHeight="false" outlineLevel="0" collapsed="false">
      <c r="A234" s="59" t="s">
        <v>65</v>
      </c>
      <c r="B234" s="74" t="s">
        <v>237</v>
      </c>
      <c r="C234" s="75" t="s">
        <v>248</v>
      </c>
      <c r="D234" s="76" t="s">
        <v>64</v>
      </c>
      <c r="E234" s="81" t="n">
        <v>-20</v>
      </c>
      <c r="F234" s="78" t="n">
        <f aca="false">IF(ISNUMBER(FIND("SALDO ANTERIOR",C234)),0,IF(ISNUMBER(FIND("SALDO DO DIA",C234)),0,IF(ISNUMBER(FIND("SALDO PARCIAL",C234)),0,IF(ISNUMBER(FIND("SDO CTA/APL AUTOMATICAS",C234)),0,IF(ISNUMBER(FIND("APL APLIC AUT MAIS",C234)),0,IF(ISNUMBER(FIND("TEC DEPOSITO",C234)),0,IF(E234&gt;0,0,E234*(-1))))))))</f>
        <v>20</v>
      </c>
      <c r="G234" s="79" t="n">
        <f aca="false">IF(ISNUMBER(FIND("SALDO ANTERIOR",C234)),0,IF(ISNUMBER(FIND("SALDO DO DIA",C234)),0,IF(ISNUMBER(FIND("SDO CTA/APL AUTOMATICAS",C234)),0,IF(ISNUMBER(FIND("TEC DEPOSITO",C234)),0,IF(ISNUMBER(FIND("APL APLIC AUT MAIS",C234)),E234,IF(E234&gt;0,E234,0))))))</f>
        <v>0</v>
      </c>
      <c r="H234" s="80" t="n">
        <v>43862</v>
      </c>
    </row>
    <row r="235" customFormat="false" ht="13.8" hidden="false" customHeight="false" outlineLevel="0" collapsed="false">
      <c r="A235" s="59" t="s">
        <v>65</v>
      </c>
      <c r="B235" s="74" t="s">
        <v>237</v>
      </c>
      <c r="C235" s="75" t="s">
        <v>249</v>
      </c>
      <c r="D235" s="76" t="s">
        <v>64</v>
      </c>
      <c r="E235" s="81" t="n">
        <v>-6</v>
      </c>
      <c r="F235" s="78" t="n">
        <f aca="false">IF(ISNUMBER(FIND("SALDO ANTERIOR",C235)),0,IF(ISNUMBER(FIND("SALDO DO DIA",C235)),0,IF(ISNUMBER(FIND("SALDO PARCIAL",C235)),0,IF(ISNUMBER(FIND("SDO CTA/APL AUTOMATICAS",C235)),0,IF(ISNUMBER(FIND("APL APLIC AUT MAIS",C235)),0,IF(ISNUMBER(FIND("TEC DEPOSITO",C235)),0,IF(E235&gt;0,0,E235*(-1))))))))</f>
        <v>6</v>
      </c>
      <c r="G235" s="79" t="n">
        <f aca="false">IF(ISNUMBER(FIND("SALDO ANTERIOR",C235)),0,IF(ISNUMBER(FIND("SALDO DO DIA",C235)),0,IF(ISNUMBER(FIND("SDO CTA/APL AUTOMATICAS",C235)),0,IF(ISNUMBER(FIND("TEC DEPOSITO",C235)),0,IF(ISNUMBER(FIND("APL APLIC AUT MAIS",C235)),E235,IF(E235&gt;0,E235,0))))))</f>
        <v>0</v>
      </c>
      <c r="H235" s="80" t="n">
        <v>43862</v>
      </c>
    </row>
    <row r="236" customFormat="false" ht="13.8" hidden="false" customHeight="false" outlineLevel="0" collapsed="false">
      <c r="A236" s="59" t="s">
        <v>250</v>
      </c>
      <c r="B236" s="74" t="s">
        <v>237</v>
      </c>
      <c r="C236" s="75" t="s">
        <v>251</v>
      </c>
      <c r="D236" s="76" t="s">
        <v>64</v>
      </c>
      <c r="E236" s="81" t="n">
        <v>-83</v>
      </c>
      <c r="F236" s="78" t="n">
        <f aca="false">IF(ISNUMBER(FIND("SALDO ANTERIOR",C236)),0,IF(ISNUMBER(FIND("SALDO DO DIA",C236)),0,IF(ISNUMBER(FIND("SALDO PARCIAL",C236)),0,IF(ISNUMBER(FIND("SDO CTA/APL AUTOMATICAS",C236)),0,IF(ISNUMBER(FIND("APL APLIC AUT MAIS",C236)),0,IF(ISNUMBER(FIND("TEC DEPOSITO",C236)),0,IF(E236&gt;0,0,E236*(-1))))))))</f>
        <v>83</v>
      </c>
      <c r="G236" s="79" t="n">
        <f aca="false">IF(ISNUMBER(FIND("SALDO ANTERIOR",C236)),0,IF(ISNUMBER(FIND("SALDO DO DIA",C236)),0,IF(ISNUMBER(FIND("SDO CTA/APL AUTOMATICAS",C236)),0,IF(ISNUMBER(FIND("TEC DEPOSITO",C236)),0,IF(ISNUMBER(FIND("APL APLIC AUT MAIS",C236)),E236,IF(E236&gt;0,E236,0))))))</f>
        <v>0</v>
      </c>
      <c r="H236" s="80" t="n">
        <v>43862</v>
      </c>
    </row>
    <row r="237" customFormat="false" ht="13.8" hidden="false" customHeight="false" outlineLevel="0" collapsed="false">
      <c r="A237" s="59" t="s">
        <v>65</v>
      </c>
      <c r="B237" s="74" t="s">
        <v>237</v>
      </c>
      <c r="C237" s="75" t="s">
        <v>97</v>
      </c>
      <c r="D237" s="76" t="s">
        <v>64</v>
      </c>
      <c r="E237" s="81" t="n">
        <v>-2.99</v>
      </c>
      <c r="F237" s="78" t="n">
        <f aca="false">IF(ISNUMBER(FIND("SALDO ANTERIOR",C237)),0,IF(ISNUMBER(FIND("SALDO DO DIA",C237)),0,IF(ISNUMBER(FIND("SALDO PARCIAL",C237)),0,IF(ISNUMBER(FIND("SDO CTA/APL AUTOMATICAS",C237)),0,IF(ISNUMBER(FIND("APL APLIC AUT MAIS",C237)),0,IF(ISNUMBER(FIND("TEC DEPOSITO",C237)),0,IF(E237&gt;0,0,E237*(-1))))))))</f>
        <v>2.99</v>
      </c>
      <c r="G237" s="79" t="n">
        <f aca="false">IF(ISNUMBER(FIND("SALDO ANTERIOR",C237)),0,IF(ISNUMBER(FIND("SALDO DO DIA",C237)),0,IF(ISNUMBER(FIND("SDO CTA/APL AUTOMATICAS",C237)),0,IF(ISNUMBER(FIND("TEC DEPOSITO",C237)),0,IF(ISNUMBER(FIND("APL APLIC AUT MAIS",C237)),E237,IF(E237&gt;0,E237,0))))))</f>
        <v>0</v>
      </c>
      <c r="H237" s="80" t="n">
        <v>43862</v>
      </c>
    </row>
    <row r="238" customFormat="false" ht="13.8" hidden="false" customHeight="false" outlineLevel="0" collapsed="false">
      <c r="A238" s="59" t="s">
        <v>98</v>
      </c>
      <c r="B238" s="74" t="s">
        <v>237</v>
      </c>
      <c r="C238" s="75" t="s">
        <v>99</v>
      </c>
      <c r="D238" s="76" t="s">
        <v>64</v>
      </c>
      <c r="E238" s="81" t="n">
        <v>-36.57</v>
      </c>
      <c r="F238" s="78" t="n">
        <f aca="false">IF(ISNUMBER(FIND("SALDO ANTERIOR",C238)),0,IF(ISNUMBER(FIND("SALDO DO DIA",C238)),0,IF(ISNUMBER(FIND("SALDO PARCIAL",C238)),0,IF(ISNUMBER(FIND("SDO CTA/APL AUTOMATICAS",C238)),0,IF(ISNUMBER(FIND("APL APLIC AUT MAIS",C238)),0,IF(ISNUMBER(FIND("TEC DEPOSITO",C238)),0,IF(E238&gt;0,0,E238*(-1))))))))</f>
        <v>36.57</v>
      </c>
      <c r="G238" s="79" t="n">
        <f aca="false">IF(ISNUMBER(FIND("SALDO ANTERIOR",C238)),0,IF(ISNUMBER(FIND("SALDO DO DIA",C238)),0,IF(ISNUMBER(FIND("SDO CTA/APL AUTOMATICAS",C238)),0,IF(ISNUMBER(FIND("TEC DEPOSITO",C238)),0,IF(ISNUMBER(FIND("APL APLIC AUT MAIS",C238)),E238,IF(E238&gt;0,E238,0))))))</f>
        <v>0</v>
      </c>
      <c r="H238" s="80" t="n">
        <v>43862</v>
      </c>
    </row>
    <row r="239" customFormat="false" ht="13.8" hidden="false" customHeight="false" outlineLevel="0" collapsed="false">
      <c r="A239" s="59" t="s">
        <v>98</v>
      </c>
      <c r="B239" s="74" t="s">
        <v>237</v>
      </c>
      <c r="C239" s="75" t="s">
        <v>180</v>
      </c>
      <c r="D239" s="76" t="s">
        <v>64</v>
      </c>
      <c r="E239" s="81" t="n">
        <v>-92.33</v>
      </c>
      <c r="F239" s="78" t="n">
        <f aca="false">IF(ISNUMBER(FIND("SALDO ANTERIOR",C239)),0,IF(ISNUMBER(FIND("SALDO DO DIA",C239)),0,IF(ISNUMBER(FIND("SALDO PARCIAL",C239)),0,IF(ISNUMBER(FIND("SDO CTA/APL AUTOMATICAS",C239)),0,IF(ISNUMBER(FIND("APL APLIC AUT MAIS",C239)),0,IF(ISNUMBER(FIND("TEC DEPOSITO",C239)),0,IF(E239&gt;0,0,E239*(-1))))))))</f>
        <v>92.33</v>
      </c>
      <c r="G239" s="79" t="n">
        <f aca="false">IF(ISNUMBER(FIND("SALDO ANTERIOR",C239)),0,IF(ISNUMBER(FIND("SALDO DO DIA",C239)),0,IF(ISNUMBER(FIND("SDO CTA/APL AUTOMATICAS",C239)),0,IF(ISNUMBER(FIND("TEC DEPOSITO",C239)),0,IF(ISNUMBER(FIND("APL APLIC AUT MAIS",C239)),E239,IF(E239&gt;0,E239,0))))))</f>
        <v>0</v>
      </c>
      <c r="H239" s="80" t="n">
        <v>43862</v>
      </c>
    </row>
    <row r="240" customFormat="false" ht="13.8" hidden="false" customHeight="false" outlineLevel="0" collapsed="false">
      <c r="A240" s="59" t="s">
        <v>29</v>
      </c>
      <c r="B240" s="74" t="s">
        <v>237</v>
      </c>
      <c r="C240" s="75" t="s">
        <v>110</v>
      </c>
      <c r="D240" s="76"/>
      <c r="E240" s="81" t="n">
        <v>-1208.44</v>
      </c>
      <c r="F240" s="78" t="n">
        <f aca="false">IF(ISNUMBER(FIND("SALDO ANTERIOR",C240)),0,IF(ISNUMBER(FIND("SALDO DO DIA",C240)),0,IF(ISNUMBER(FIND("SALDO PARCIAL",C240)),0,IF(ISNUMBER(FIND("SDO CTA/APL AUTOMATICAS",C240)),0,IF(ISNUMBER(FIND("APL APLIC AUT MAIS",C240)),0,IF(ISNUMBER(FIND("TEC DEPOSITO",C240)),0,IF(E240&gt;0,0,E240*(-1))))))))</f>
        <v>0</v>
      </c>
      <c r="G240" s="79" t="n">
        <f aca="false">IF(ISNUMBER(FIND("SALDO ANTERIOR",C240)),0,IF(ISNUMBER(FIND("SALDO DO DIA",C240)),0,IF(ISNUMBER(FIND("SDO CTA/APL AUTOMATICAS",C240)),0,IF(ISNUMBER(FIND("TEC DEPOSITO",C240)),0,IF(ISNUMBER(FIND("APL APLIC AUT MAIS",C240)),E240,IF(E240&gt;0,E240,0))))))</f>
        <v>0</v>
      </c>
      <c r="H240" s="80" t="n">
        <v>43862</v>
      </c>
    </row>
    <row r="241" customFormat="false" ht="15" hidden="false" customHeight="false" outlineLevel="0" collapsed="false">
      <c r="A241" s="59" t="s">
        <v>29</v>
      </c>
      <c r="B241" s="74" t="s">
        <v>237</v>
      </c>
      <c r="C241" s="83" t="s">
        <v>111</v>
      </c>
      <c r="D241" s="76"/>
      <c r="E241" s="84" t="n">
        <v>-1208.44</v>
      </c>
      <c r="F241" s="78" t="n">
        <f aca="false">IF(ISNUMBER(FIND("SALDO ANTERIOR",C241)),0,IF(ISNUMBER(FIND("SALDO DO DIA",C241)),0,IF(ISNUMBER(FIND("SALDO PARCIAL",C241)),0,IF(ISNUMBER(FIND("SDO CTA/APL AUTOMATICAS",C241)),0,IF(ISNUMBER(FIND("APL APLIC AUT MAIS",C241)),0,IF(ISNUMBER(FIND("TEC DEPOSITO",C241)),0,IF(E241&gt;0,0,E241*(-1))))))))</f>
        <v>0</v>
      </c>
      <c r="G241" s="79" t="n">
        <f aca="false">IF(ISNUMBER(FIND("SALDO ANTERIOR",C241)),0,IF(ISNUMBER(FIND("SALDO DO DIA",C241)),0,IF(ISNUMBER(FIND("SDO CTA/APL AUTOMATICAS",C241)),0,IF(ISNUMBER(FIND("TEC DEPOSITO",C241)),0,IF(ISNUMBER(FIND("APL APLIC AUT MAIS",C241)),E241,IF(E241&gt;0,E241,0))))))</f>
        <v>0</v>
      </c>
      <c r="H241" s="80" t="n">
        <v>43862</v>
      </c>
    </row>
    <row r="242" customFormat="false" ht="13.8" hidden="false" customHeight="false" outlineLevel="0" collapsed="false">
      <c r="A242" s="59" t="s">
        <v>76</v>
      </c>
      <c r="B242" s="74" t="s">
        <v>237</v>
      </c>
      <c r="C242" s="75" t="s">
        <v>252</v>
      </c>
      <c r="D242" s="76" t="s">
        <v>64</v>
      </c>
      <c r="E242" s="81" t="n">
        <v>-21</v>
      </c>
      <c r="F242" s="78" t="n">
        <f aca="false">IF(ISNUMBER(FIND("SALDO ANTERIOR",C242)),0,IF(ISNUMBER(FIND("SALDO DO DIA",C242)),0,IF(ISNUMBER(FIND("SALDO PARCIAL",C242)),0,IF(ISNUMBER(FIND("SDO CTA/APL AUTOMATICAS",C242)),0,IF(ISNUMBER(FIND("APL APLIC AUT MAIS",C242)),0,IF(ISNUMBER(FIND("TEC DEPOSITO",C242)),0,IF(E242&gt;0,0,E242*(-1))))))))</f>
        <v>21</v>
      </c>
      <c r="G242" s="79" t="n">
        <f aca="false">IF(ISNUMBER(FIND("SALDO ANTERIOR",C242)),0,IF(ISNUMBER(FIND("SALDO DO DIA",C242)),0,IF(ISNUMBER(FIND("SDO CTA/APL AUTOMATICAS",C242)),0,IF(ISNUMBER(FIND("TEC DEPOSITO",C242)),0,IF(ISNUMBER(FIND("APL APLIC AUT MAIS",C242)),E242,IF(E242&gt;0,E242,0))))))</f>
        <v>0</v>
      </c>
      <c r="H242" s="80" t="n">
        <v>43862</v>
      </c>
    </row>
    <row r="243" customFormat="false" ht="13.8" hidden="false" customHeight="false" outlineLevel="0" collapsed="false">
      <c r="A243" s="59" t="s">
        <v>5</v>
      </c>
      <c r="B243" s="74" t="s">
        <v>237</v>
      </c>
      <c r="C243" s="75" t="s">
        <v>253</v>
      </c>
      <c r="D243" s="76" t="s">
        <v>61</v>
      </c>
      <c r="E243" s="77" t="n">
        <v>170</v>
      </c>
      <c r="F243" s="78" t="n">
        <f aca="false">IF(ISNUMBER(FIND("SALDO ANTERIOR",C243)),0,IF(ISNUMBER(FIND("SALDO DO DIA",C243)),0,IF(ISNUMBER(FIND("SALDO PARCIAL",C243)),0,IF(ISNUMBER(FIND("SDO CTA/APL AUTOMATICAS",C243)),0,IF(ISNUMBER(FIND("APL APLIC AUT MAIS",C243)),0,IF(ISNUMBER(FIND("TEC DEPOSITO",C243)),0,IF(E243&gt;0,0,E243*(-1))))))))</f>
        <v>0</v>
      </c>
      <c r="G243" s="79" t="n">
        <f aca="false">IF(ISNUMBER(FIND("SALDO ANTERIOR",C243)),0,IF(ISNUMBER(FIND("SALDO DO DIA",C243)),0,IF(ISNUMBER(FIND("SDO CTA/APL AUTOMATICAS",C243)),0,IF(ISNUMBER(FIND("TEC DEPOSITO",C243)),0,IF(ISNUMBER(FIND("APL APLIC AUT MAIS",C243)),E243,IF(E243&gt;0,E243,0))))))</f>
        <v>170</v>
      </c>
      <c r="H243" s="80" t="n">
        <v>43862</v>
      </c>
    </row>
    <row r="244" customFormat="false" ht="13.8" hidden="false" customHeight="false" outlineLevel="0" collapsed="false">
      <c r="A244" s="59" t="s">
        <v>65</v>
      </c>
      <c r="B244" s="74" t="s">
        <v>254</v>
      </c>
      <c r="C244" s="75" t="s">
        <v>97</v>
      </c>
      <c r="D244" s="76" t="s">
        <v>64</v>
      </c>
      <c r="E244" s="81" t="n">
        <v>-3.49</v>
      </c>
      <c r="F244" s="78" t="n">
        <f aca="false">IF(ISNUMBER(FIND("SALDO ANTERIOR",C244)),0,IF(ISNUMBER(FIND("SALDO DO DIA",C244)),0,IF(ISNUMBER(FIND("SALDO PARCIAL",C244)),0,IF(ISNUMBER(FIND("SDO CTA/APL AUTOMATICAS",C244)),0,IF(ISNUMBER(FIND("APL APLIC AUT MAIS",C244)),0,IF(ISNUMBER(FIND("TEC DEPOSITO",C244)),0,IF(E244&gt;0,0,E244*(-1))))))))</f>
        <v>3.49</v>
      </c>
      <c r="G244" s="79" t="n">
        <f aca="false">IF(ISNUMBER(FIND("SALDO ANTERIOR",C244)),0,IF(ISNUMBER(FIND("SALDO DO DIA",C244)),0,IF(ISNUMBER(FIND("SDO CTA/APL AUTOMATICAS",C244)),0,IF(ISNUMBER(FIND("TEC DEPOSITO",C244)),0,IF(ISNUMBER(FIND("APL APLIC AUT MAIS",C244)),E244,IF(E244&gt;0,E244,0))))))</f>
        <v>0</v>
      </c>
      <c r="H244" s="80" t="n">
        <v>43862</v>
      </c>
    </row>
    <row r="245" customFormat="false" ht="13.8" hidden="false" customHeight="false" outlineLevel="0" collapsed="false">
      <c r="A245" s="59" t="s">
        <v>65</v>
      </c>
      <c r="B245" s="74" t="s">
        <v>255</v>
      </c>
      <c r="C245" s="75" t="s">
        <v>97</v>
      </c>
      <c r="D245" s="76" t="s">
        <v>64</v>
      </c>
      <c r="E245" s="81" t="n">
        <v>-2.99</v>
      </c>
      <c r="F245" s="78" t="n">
        <f aca="false">IF(ISNUMBER(FIND("SALDO ANTERIOR",C245)),0,IF(ISNUMBER(FIND("SALDO DO DIA",C245)),0,IF(ISNUMBER(FIND("SALDO PARCIAL",C245)),0,IF(ISNUMBER(FIND("SDO CTA/APL AUTOMATICAS",C245)),0,IF(ISNUMBER(FIND("APL APLIC AUT MAIS",C245)),0,IF(ISNUMBER(FIND("TEC DEPOSITO",C245)),0,IF(E245&gt;0,0,E245*(-1))))))))</f>
        <v>2.99</v>
      </c>
      <c r="G245" s="79" t="n">
        <f aca="false">IF(ISNUMBER(FIND("SALDO ANTERIOR",C245)),0,IF(ISNUMBER(FIND("SALDO DO DIA",C245)),0,IF(ISNUMBER(FIND("SDO CTA/APL AUTOMATICAS",C245)),0,IF(ISNUMBER(FIND("TEC DEPOSITO",C245)),0,IF(ISNUMBER(FIND("APL APLIC AUT MAIS",C245)),E245,IF(E245&gt;0,E245,0))))))</f>
        <v>0</v>
      </c>
      <c r="H245" s="80" t="n">
        <v>43862</v>
      </c>
    </row>
    <row r="246" customFormat="false" ht="13.8" hidden="false" customHeight="false" outlineLevel="0" collapsed="false">
      <c r="A246" s="59" t="s">
        <v>127</v>
      </c>
      <c r="B246" s="74" t="s">
        <v>255</v>
      </c>
      <c r="C246" s="75" t="s">
        <v>128</v>
      </c>
      <c r="D246" s="76"/>
      <c r="E246" s="77" t="n">
        <v>2618.65</v>
      </c>
      <c r="F246" s="78" t="n">
        <f aca="false">IF(ISNUMBER(FIND("SALDO ANTERIOR",C246)),0,IF(ISNUMBER(FIND("SALDO DO DIA",C246)),0,IF(ISNUMBER(FIND("SALDO PARCIAL",C246)),0,IF(ISNUMBER(FIND("SDO CTA/APL AUTOMATICAS",C246)),0,IF(ISNUMBER(FIND("APL APLIC AUT MAIS",C246)),0,IF(ISNUMBER(FIND("TEC DEPOSITO",C246)),0,IF(E246&gt;0,0,E246*(-1))))))))</f>
        <v>0</v>
      </c>
      <c r="G246" s="79" t="n">
        <f aca="false">IF(ISNUMBER(FIND("SALDO ANTERIOR",C246)),0,IF(ISNUMBER(FIND("SALDO DO DIA",C246)),0,IF(ISNUMBER(FIND("SDO CTA/APL AUTOMATICAS",C246)),0,IF(ISNUMBER(FIND("TEC DEPOSITO",C246)),0,IF(ISNUMBER(FIND("APL APLIC AUT MAIS",C246)),E246,IF(E246&gt;0,E246,0))))))</f>
        <v>2618.65</v>
      </c>
      <c r="H246" s="80" t="n">
        <v>43862</v>
      </c>
    </row>
    <row r="247" customFormat="false" ht="13.8" hidden="false" customHeight="false" outlineLevel="0" collapsed="false">
      <c r="A247" s="59" t="s">
        <v>29</v>
      </c>
      <c r="B247" s="74" t="s">
        <v>255</v>
      </c>
      <c r="C247" s="75" t="s">
        <v>129</v>
      </c>
      <c r="D247" s="76"/>
      <c r="E247" s="81" t="n">
        <v>-1542.73</v>
      </c>
      <c r="F247" s="78" t="n">
        <f aca="false">IF(ISNUMBER(FIND("SALDO ANTERIOR",C247)),0,IF(ISNUMBER(FIND("SALDO DO DIA",C247)),0,IF(ISNUMBER(FIND("SALDO PARCIAL",C247)),0,IF(ISNUMBER(FIND("SDO CTA/APL AUTOMATICAS",C247)),0,IF(ISNUMBER(FIND("APL APLIC AUT MAIS",C247)),0,IF(ISNUMBER(FIND("TEC DEPOSITO",C247)),0,IF(E247&gt;0,0,E247*(-1))))))))</f>
        <v>0</v>
      </c>
      <c r="G247" s="79" t="n">
        <f aca="false">IF(ISNUMBER(FIND("SALDO ANTERIOR",C247)),0,IF(ISNUMBER(FIND("SALDO DO DIA",C247)),0,IF(ISNUMBER(FIND("SDO CTA/APL AUTOMATICAS",C247)),0,IF(ISNUMBER(FIND("TEC DEPOSITO",C247)),0,IF(ISNUMBER(FIND("APL APLIC AUT MAIS",C247)),E247,IF(E247&gt;0,E247,0))))))</f>
        <v>-1542.73</v>
      </c>
      <c r="H247" s="80" t="n">
        <v>43862</v>
      </c>
    </row>
    <row r="248" customFormat="false" ht="13.8" hidden="false" customHeight="false" outlineLevel="0" collapsed="false">
      <c r="A248" s="59" t="s">
        <v>29</v>
      </c>
      <c r="B248" s="74" t="s">
        <v>255</v>
      </c>
      <c r="C248" s="75" t="s">
        <v>70</v>
      </c>
      <c r="D248" s="76"/>
      <c r="E248" s="77" t="n">
        <v>1542.73</v>
      </c>
      <c r="F248" s="78" t="n">
        <f aca="false">IF(ISNUMBER(FIND("SALDO ANTERIOR",C248)),0,IF(ISNUMBER(FIND("SALDO DO DIA",C248)),0,IF(ISNUMBER(FIND("SALDO PARCIAL",C248)),0,IF(ISNUMBER(FIND("SDO CTA/APL AUTOMATICAS",C248)),0,IF(ISNUMBER(FIND("APL APLIC AUT MAIS",C248)),0,IF(ISNUMBER(FIND("TEC DEPOSITO",C248)),0,IF(E248&gt;0,0,E248*(-1))))))))</f>
        <v>0</v>
      </c>
      <c r="G248" s="79" t="n">
        <f aca="false">IF(ISNUMBER(FIND("SALDO ANTERIOR",C248)),0,IF(ISNUMBER(FIND("SALDO DO DIA",C248)),0,IF(ISNUMBER(FIND("SDO CTA/APL AUTOMATICAS",C248)),0,IF(ISNUMBER(FIND("TEC DEPOSITO",C248)),0,IF(ISNUMBER(FIND("APL APLIC AUT MAIS",C248)),E248,IF(E248&gt;0,E248,0))))))</f>
        <v>1542.73</v>
      </c>
      <c r="H248" s="80" t="n">
        <v>43862</v>
      </c>
    </row>
    <row r="249" customFormat="false" ht="13.8" hidden="false" customHeight="false" outlineLevel="0" collapsed="false">
      <c r="A249" s="59" t="s">
        <v>29</v>
      </c>
      <c r="B249" s="74" t="s">
        <v>255</v>
      </c>
      <c r="C249" s="75" t="s">
        <v>169</v>
      </c>
      <c r="D249" s="76"/>
      <c r="E249" s="77" t="n">
        <v>10</v>
      </c>
      <c r="F249" s="78" t="n">
        <f aca="false">IF(ISNUMBER(FIND("SALDO ANTERIOR",C249)),0,IF(ISNUMBER(FIND("SALDO DO DIA",C249)),0,IF(ISNUMBER(FIND("SALDO PARCIAL",C249)),0,IF(ISNUMBER(FIND("SDO CTA/APL AUTOMATICAS",C249)),0,IF(ISNUMBER(FIND("APL APLIC AUT MAIS",C249)),0,IF(ISNUMBER(FIND("TEC DEPOSITO",C249)),0,IF(E249&gt;0,0,E249*(-1))))))))</f>
        <v>0</v>
      </c>
      <c r="G249" s="79" t="n">
        <f aca="false">IF(ISNUMBER(FIND("SALDO ANTERIOR",C249)),0,IF(ISNUMBER(FIND("SALDO DO DIA",C249)),0,IF(ISNUMBER(FIND("SDO CTA/APL AUTOMATICAS",C249)),0,IF(ISNUMBER(FIND("TEC DEPOSITO",C249)),0,IF(ISNUMBER(FIND("APL APLIC AUT MAIS",C249)),E249,IF(E249&gt;0,E249,0))))))</f>
        <v>10</v>
      </c>
      <c r="H249" s="80" t="n">
        <v>43862</v>
      </c>
    </row>
    <row r="250" customFormat="false" ht="13.8" hidden="false" customHeight="false" outlineLevel="0" collapsed="false">
      <c r="A250" s="59" t="s">
        <v>29</v>
      </c>
      <c r="B250" s="85" t="s">
        <v>256</v>
      </c>
      <c r="C250" s="86" t="s">
        <v>58</v>
      </c>
      <c r="D250" s="87"/>
      <c r="E250" s="88" t="n">
        <v>10</v>
      </c>
      <c r="F250" s="64" t="n">
        <f aca="false">IF(ISNUMBER(FIND("SALDO ANTERIOR",C250)),0,IF(ISNUMBER(FIND("SALDO DO DIA",C250)),0,IF(ISNUMBER(FIND("SALDO PARCIAL",C250)),0,IF(ISNUMBER(FIND("SDO CTA/APL AUTOMATICAS",C250)),0,IF(ISNUMBER(FIND("APL APLIC AUT MAIS",C250)),0,IF(ISNUMBER(FIND("TEC DEPOSITO",C250)),0,IF(E250&gt;0,0,E250*(-1))))))))</f>
        <v>0</v>
      </c>
      <c r="G250" s="65" t="n">
        <f aca="false">IF(ISNUMBER(FIND("SALDO ANTERIOR",C250)),0,IF(ISNUMBER(FIND("SALDO DO DIA",C250)),0,IF(ISNUMBER(FIND("SDO CTA/APL AUTOMATICAS",C250)),0,IF(ISNUMBER(FIND("TEC DEPOSITO",C250)),0,IF(ISNUMBER(FIND("APL APLIC AUT MAIS",C250)),E250,IF(E250&gt;0,E250,0))))))</f>
        <v>10</v>
      </c>
      <c r="H250" s="66" t="n">
        <v>43891</v>
      </c>
    </row>
    <row r="251" customFormat="false" ht="13.8" hidden="false" customHeight="false" outlineLevel="0" collapsed="false">
      <c r="A251" s="59" t="s">
        <v>203</v>
      </c>
      <c r="B251" s="85" t="s">
        <v>256</v>
      </c>
      <c r="C251" s="86" t="s">
        <v>257</v>
      </c>
      <c r="D251" s="87" t="s">
        <v>239</v>
      </c>
      <c r="E251" s="89" t="n">
        <v>-150</v>
      </c>
      <c r="F251" s="64" t="n">
        <f aca="false">IF(ISNUMBER(FIND("SALDO ANTERIOR",C251)),0,IF(ISNUMBER(FIND("SALDO DO DIA",C251)),0,IF(ISNUMBER(FIND("SALDO PARCIAL",C251)),0,IF(ISNUMBER(FIND("SDO CTA/APL AUTOMATICAS",C251)),0,IF(ISNUMBER(FIND("APL APLIC AUT MAIS",C251)),0,IF(ISNUMBER(FIND("TEC DEPOSITO",C251)),0,IF(E251&gt;0,0,E251*(-1))))))))</f>
        <v>150</v>
      </c>
      <c r="G251" s="65" t="n">
        <f aca="false">IF(ISNUMBER(FIND("SALDO ANTERIOR",C251)),0,IF(ISNUMBER(FIND("SALDO DO DIA",C251)),0,IF(ISNUMBER(FIND("SDO CTA/APL AUTOMATICAS",C251)),0,IF(ISNUMBER(FIND("TEC DEPOSITO",C251)),0,IF(ISNUMBER(FIND("APL APLIC AUT MAIS",C251)),E251,IF(E251&gt;0,E251,0))))))</f>
        <v>0</v>
      </c>
      <c r="H251" s="66" t="n">
        <v>43891</v>
      </c>
    </row>
    <row r="252" customFormat="false" ht="13.8" hidden="false" customHeight="false" outlineLevel="0" collapsed="false">
      <c r="A252" s="59" t="s">
        <v>65</v>
      </c>
      <c r="B252" s="85" t="s">
        <v>256</v>
      </c>
      <c r="C252" s="86" t="s">
        <v>258</v>
      </c>
      <c r="D252" s="87" t="s">
        <v>64</v>
      </c>
      <c r="E252" s="89" t="n">
        <v>-20</v>
      </c>
      <c r="F252" s="64" t="n">
        <f aca="false">IF(ISNUMBER(FIND("SALDO ANTERIOR",C252)),0,IF(ISNUMBER(FIND("SALDO DO DIA",C252)),0,IF(ISNUMBER(FIND("SALDO PARCIAL",C252)),0,IF(ISNUMBER(FIND("SDO CTA/APL AUTOMATICAS",C252)),0,IF(ISNUMBER(FIND("APL APLIC AUT MAIS",C252)),0,IF(ISNUMBER(FIND("TEC DEPOSITO",C252)),0,IF(E252&gt;0,0,E252*(-1))))))))</f>
        <v>20</v>
      </c>
      <c r="G252" s="65" t="n">
        <f aca="false">IF(ISNUMBER(FIND("SALDO ANTERIOR",C252)),0,IF(ISNUMBER(FIND("SALDO DO DIA",C252)),0,IF(ISNUMBER(FIND("SDO CTA/APL AUTOMATICAS",C252)),0,IF(ISNUMBER(FIND("TEC DEPOSITO",C252)),0,IF(ISNUMBER(FIND("APL APLIC AUT MAIS",C252)),E252,IF(E252&gt;0,E252,0))))))</f>
        <v>0</v>
      </c>
      <c r="H252" s="66" t="n">
        <v>43891</v>
      </c>
    </row>
    <row r="253" customFormat="false" ht="13.8" hidden="false" customHeight="false" outlineLevel="0" collapsed="false">
      <c r="A253" s="59" t="s">
        <v>76</v>
      </c>
      <c r="B253" s="85" t="s">
        <v>256</v>
      </c>
      <c r="C253" s="86" t="s">
        <v>179</v>
      </c>
      <c r="D253" s="87" t="s">
        <v>64</v>
      </c>
      <c r="E253" s="89" t="n">
        <v>-29</v>
      </c>
      <c r="F253" s="64" t="n">
        <f aca="false">IF(ISNUMBER(FIND("SALDO ANTERIOR",C253)),0,IF(ISNUMBER(FIND("SALDO DO DIA",C253)),0,IF(ISNUMBER(FIND("SALDO PARCIAL",C253)),0,IF(ISNUMBER(FIND("SDO CTA/APL AUTOMATICAS",C253)),0,IF(ISNUMBER(FIND("APL APLIC AUT MAIS",C253)),0,IF(ISNUMBER(FIND("TEC DEPOSITO",C253)),0,IF(E253&gt;0,0,E253*(-1))))))))</f>
        <v>29</v>
      </c>
      <c r="G253" s="65" t="n">
        <f aca="false">IF(ISNUMBER(FIND("SALDO ANTERIOR",C253)),0,IF(ISNUMBER(FIND("SALDO DO DIA",C253)),0,IF(ISNUMBER(FIND("SDO CTA/APL AUTOMATICAS",C253)),0,IF(ISNUMBER(FIND("TEC DEPOSITO",C253)),0,IF(ISNUMBER(FIND("APL APLIC AUT MAIS",C253)),E253,IF(E253&gt;0,E253,0))))))</f>
        <v>0</v>
      </c>
      <c r="H253" s="66" t="n">
        <v>43891</v>
      </c>
    </row>
    <row r="254" customFormat="false" ht="13.8" hidden="false" customHeight="false" outlineLevel="0" collapsed="false">
      <c r="A254" s="59" t="s">
        <v>65</v>
      </c>
      <c r="B254" s="85" t="s">
        <v>256</v>
      </c>
      <c r="C254" s="86" t="s">
        <v>259</v>
      </c>
      <c r="D254" s="87" t="s">
        <v>64</v>
      </c>
      <c r="E254" s="89" t="n">
        <v>-8</v>
      </c>
      <c r="F254" s="64" t="n">
        <f aca="false">IF(ISNUMBER(FIND("SALDO ANTERIOR",C254)),0,IF(ISNUMBER(FIND("SALDO DO DIA",C254)),0,IF(ISNUMBER(FIND("SALDO PARCIAL",C254)),0,IF(ISNUMBER(FIND("SDO CTA/APL AUTOMATICAS",C254)),0,IF(ISNUMBER(FIND("APL APLIC AUT MAIS",C254)),0,IF(ISNUMBER(FIND("TEC DEPOSITO",C254)),0,IF(E254&gt;0,0,E254*(-1))))))))</f>
        <v>8</v>
      </c>
      <c r="G254" s="65" t="n">
        <f aca="false">IF(ISNUMBER(FIND("SALDO ANTERIOR",C254)),0,IF(ISNUMBER(FIND("SALDO DO DIA",C254)),0,IF(ISNUMBER(FIND("SDO CTA/APL AUTOMATICAS",C254)),0,IF(ISNUMBER(FIND("TEC DEPOSITO",C254)),0,IF(ISNUMBER(FIND("APL APLIC AUT MAIS",C254)),E254,IF(E254&gt;0,E254,0))))))</f>
        <v>0</v>
      </c>
      <c r="H254" s="66" t="n">
        <v>43891</v>
      </c>
    </row>
    <row r="255" customFormat="false" ht="13.8" hidden="false" customHeight="false" outlineLevel="0" collapsed="false">
      <c r="A255" s="59" t="s">
        <v>65</v>
      </c>
      <c r="B255" s="85" t="s">
        <v>256</v>
      </c>
      <c r="C255" s="86" t="s">
        <v>260</v>
      </c>
      <c r="D255" s="87" t="s">
        <v>64</v>
      </c>
      <c r="E255" s="89" t="n">
        <v>-10</v>
      </c>
      <c r="F255" s="64" t="n">
        <f aca="false">IF(ISNUMBER(FIND("SALDO ANTERIOR",C255)),0,IF(ISNUMBER(FIND("SALDO DO DIA",C255)),0,IF(ISNUMBER(FIND("SALDO PARCIAL",C255)),0,IF(ISNUMBER(FIND("SDO CTA/APL AUTOMATICAS",C255)),0,IF(ISNUMBER(FIND("APL APLIC AUT MAIS",C255)),0,IF(ISNUMBER(FIND("TEC DEPOSITO",C255)),0,IF(E255&gt;0,0,E255*(-1))))))))</f>
        <v>10</v>
      </c>
      <c r="G255" s="65" t="n">
        <f aca="false">IF(ISNUMBER(FIND("SALDO ANTERIOR",C255)),0,IF(ISNUMBER(FIND("SALDO DO DIA",C255)),0,IF(ISNUMBER(FIND("SDO CTA/APL AUTOMATICAS",C255)),0,IF(ISNUMBER(FIND("TEC DEPOSITO",C255)),0,IF(ISNUMBER(FIND("APL APLIC AUT MAIS",C255)),E255,IF(E255&gt;0,E255,0))))))</f>
        <v>0</v>
      </c>
      <c r="H255" s="66" t="n">
        <v>43891</v>
      </c>
    </row>
    <row r="256" customFormat="false" ht="13.8" hidden="false" customHeight="false" outlineLevel="0" collapsed="false">
      <c r="A256" s="59" t="s">
        <v>181</v>
      </c>
      <c r="B256" s="85" t="s">
        <v>256</v>
      </c>
      <c r="C256" s="86" t="s">
        <v>261</v>
      </c>
      <c r="D256" s="87" t="s">
        <v>61</v>
      </c>
      <c r="E256" s="89" t="n">
        <v>-283.5</v>
      </c>
      <c r="F256" s="64" t="n">
        <f aca="false">IF(ISNUMBER(FIND("SALDO ANTERIOR",C256)),0,IF(ISNUMBER(FIND("SALDO DO DIA",C256)),0,IF(ISNUMBER(FIND("SALDO PARCIAL",C256)),0,IF(ISNUMBER(FIND("SDO CTA/APL AUTOMATICAS",C256)),0,IF(ISNUMBER(FIND("APL APLIC AUT MAIS",C256)),0,IF(ISNUMBER(FIND("TEC DEPOSITO",C256)),0,IF(E256&gt;0,0,E256*(-1))))))))</f>
        <v>283.5</v>
      </c>
      <c r="G256" s="65" t="n">
        <f aca="false">IF(ISNUMBER(FIND("SALDO ANTERIOR",C256)),0,IF(ISNUMBER(FIND("SALDO DO DIA",C256)),0,IF(ISNUMBER(FIND("SDO CTA/APL AUTOMATICAS",C256)),0,IF(ISNUMBER(FIND("TEC DEPOSITO",C256)),0,IF(ISNUMBER(FIND("APL APLIC AUT MAIS",C256)),E256,IF(E256&gt;0,E256,0))))))</f>
        <v>0</v>
      </c>
      <c r="H256" s="66" t="n">
        <v>43891</v>
      </c>
    </row>
    <row r="257" customFormat="false" ht="13.8" hidden="false" customHeight="false" outlineLevel="0" collapsed="false">
      <c r="A257" s="59" t="s">
        <v>67</v>
      </c>
      <c r="B257" s="85" t="s">
        <v>256</v>
      </c>
      <c r="C257" s="86" t="s">
        <v>68</v>
      </c>
      <c r="D257" s="87"/>
      <c r="E257" s="89" t="n">
        <v>-6.03</v>
      </c>
      <c r="F257" s="64" t="n">
        <f aca="false">IF(ISNUMBER(FIND("SALDO ANTERIOR",C257)),0,IF(ISNUMBER(FIND("SALDO DO DIA",C257)),0,IF(ISNUMBER(FIND("SALDO PARCIAL",C257)),0,IF(ISNUMBER(FIND("SDO CTA/APL AUTOMATICAS",C257)),0,IF(ISNUMBER(FIND("APL APLIC AUT MAIS",C257)),0,IF(ISNUMBER(FIND("TEC DEPOSITO",C257)),0,IF(E257&gt;0,0,E257*(-1))))))))</f>
        <v>6.03</v>
      </c>
      <c r="G257" s="65" t="n">
        <f aca="false">IF(ISNUMBER(FIND("SALDO ANTERIOR",C257)),0,IF(ISNUMBER(FIND("SALDO DO DIA",C257)),0,IF(ISNUMBER(FIND("SDO CTA/APL AUTOMATICAS",C257)),0,IF(ISNUMBER(FIND("TEC DEPOSITO",C257)),0,IF(ISNUMBER(FIND("APL APLIC AUT MAIS",C257)),E257,IF(E257&gt;0,E257,0))))))</f>
        <v>0</v>
      </c>
      <c r="H257" s="66" t="n">
        <v>43891</v>
      </c>
    </row>
    <row r="258" customFormat="false" ht="13.8" hidden="false" customHeight="false" outlineLevel="0" collapsed="false">
      <c r="A258" s="59" t="s">
        <v>67</v>
      </c>
      <c r="B258" s="85" t="s">
        <v>256</v>
      </c>
      <c r="C258" s="86" t="s">
        <v>69</v>
      </c>
      <c r="D258" s="87"/>
      <c r="E258" s="88" t="n">
        <v>506.53</v>
      </c>
      <c r="F258" s="64" t="n">
        <f aca="false">IF(ISNUMBER(FIND("SALDO ANTERIOR",C258)),0,IF(ISNUMBER(FIND("SALDO DO DIA",C258)),0,IF(ISNUMBER(FIND("SALDO PARCIAL",C258)),0,IF(ISNUMBER(FIND("SDO CTA/APL AUTOMATICAS",C258)),0,IF(ISNUMBER(FIND("APL APLIC AUT MAIS",C258)),0,IF(ISNUMBER(FIND("TEC DEPOSITO",C258)),0,IF(E258&gt;0,0,E258*(-1))))))))</f>
        <v>0</v>
      </c>
      <c r="G258" s="65" t="n">
        <f aca="false">IF(ISNUMBER(FIND("SALDO ANTERIOR",C258)),0,IF(ISNUMBER(FIND("SALDO DO DIA",C258)),0,IF(ISNUMBER(FIND("SDO CTA/APL AUTOMATICAS",C258)),0,IF(ISNUMBER(FIND("TEC DEPOSITO",C258)),0,IF(ISNUMBER(FIND("APL APLIC AUT MAIS",C258)),E258,IF(E258&gt;0,E258,0))))))</f>
        <v>506.53</v>
      </c>
      <c r="H258" s="66" t="n">
        <v>43891</v>
      </c>
    </row>
    <row r="259" customFormat="false" ht="13.8" hidden="false" customHeight="false" outlineLevel="0" collapsed="false">
      <c r="A259" s="59" t="s">
        <v>29</v>
      </c>
      <c r="B259" s="85" t="s">
        <v>256</v>
      </c>
      <c r="C259" s="86" t="s">
        <v>70</v>
      </c>
      <c r="D259" s="87"/>
      <c r="E259" s="88" t="n">
        <v>1036.2</v>
      </c>
      <c r="F259" s="64" t="n">
        <f aca="false">IF(ISNUMBER(FIND("SALDO ANTERIOR",C259)),0,IF(ISNUMBER(FIND("SALDO DO DIA",C259)),0,IF(ISNUMBER(FIND("SALDO PARCIAL",C259)),0,IF(ISNUMBER(FIND("SDO CTA/APL AUTOMATICAS",C259)),0,IF(ISNUMBER(FIND("APL APLIC AUT MAIS",C259)),0,IF(ISNUMBER(FIND("TEC DEPOSITO",C259)),0,IF(E259&gt;0,0,E259*(-1))))))))</f>
        <v>0</v>
      </c>
      <c r="G259" s="65" t="n">
        <f aca="false">IF(ISNUMBER(FIND("SALDO ANTERIOR",C259)),0,IF(ISNUMBER(FIND("SALDO DO DIA",C259)),0,IF(ISNUMBER(FIND("SDO CTA/APL AUTOMATICAS",C259)),0,IF(ISNUMBER(FIND("TEC DEPOSITO",C259)),0,IF(ISNUMBER(FIND("APL APLIC AUT MAIS",C259)),E259,IF(E259&gt;0,E259,0))))))</f>
        <v>1036.2</v>
      </c>
      <c r="H259" s="66" t="n">
        <v>43891</v>
      </c>
    </row>
    <row r="260" customFormat="false" ht="13.8" hidden="false" customHeight="false" outlineLevel="0" collapsed="false">
      <c r="A260" s="59" t="s">
        <v>67</v>
      </c>
      <c r="B260" s="85" t="s">
        <v>262</v>
      </c>
      <c r="C260" s="86" t="s">
        <v>263</v>
      </c>
      <c r="D260" s="87" t="s">
        <v>82</v>
      </c>
      <c r="E260" s="89" t="n">
        <v>-76.9</v>
      </c>
      <c r="F260" s="64" t="n">
        <f aca="false">IF(ISNUMBER(FIND("SALDO ANTERIOR",C260)),0,IF(ISNUMBER(FIND("SALDO DO DIA",C260)),0,IF(ISNUMBER(FIND("SALDO PARCIAL",C260)),0,IF(ISNUMBER(FIND("SDO CTA/APL AUTOMATICAS",C260)),0,IF(ISNUMBER(FIND("APL APLIC AUT MAIS",C260)),0,IF(ISNUMBER(FIND("TEC DEPOSITO",C260)),0,IF(E260&gt;0,0,E260*(-1))))))))</f>
        <v>76.9</v>
      </c>
      <c r="G260" s="65" t="n">
        <f aca="false">IF(ISNUMBER(FIND("SALDO ANTERIOR",C260)),0,IF(ISNUMBER(FIND("SALDO DO DIA",C260)),0,IF(ISNUMBER(FIND("SDO CTA/APL AUTOMATICAS",C260)),0,IF(ISNUMBER(FIND("TEC DEPOSITO",C260)),0,IF(ISNUMBER(FIND("APL APLIC AUT MAIS",C260)),E260,IF(E260&gt;0,E260,0))))))</f>
        <v>0</v>
      </c>
      <c r="H260" s="66" t="n">
        <v>43891</v>
      </c>
    </row>
    <row r="261" customFormat="false" ht="13.8" hidden="false" customHeight="false" outlineLevel="0" collapsed="false">
      <c r="A261" s="59" t="s">
        <v>67</v>
      </c>
      <c r="B261" s="85" t="s">
        <v>262</v>
      </c>
      <c r="C261" s="86" t="s">
        <v>69</v>
      </c>
      <c r="D261" s="87"/>
      <c r="E261" s="88" t="n">
        <v>76.9</v>
      </c>
      <c r="F261" s="64" t="n">
        <f aca="false">IF(ISNUMBER(FIND("SALDO ANTERIOR",C261)),0,IF(ISNUMBER(FIND("SALDO DO DIA",C261)),0,IF(ISNUMBER(FIND("SALDO PARCIAL",C261)),0,IF(ISNUMBER(FIND("SDO CTA/APL AUTOMATICAS",C261)),0,IF(ISNUMBER(FIND("APL APLIC AUT MAIS",C261)),0,IF(ISNUMBER(FIND("TEC DEPOSITO",C261)),0,IF(E261&gt;0,0,E261*(-1))))))))</f>
        <v>0</v>
      </c>
      <c r="G261" s="65" t="n">
        <f aca="false">IF(ISNUMBER(FIND("SALDO ANTERIOR",C261)),0,IF(ISNUMBER(FIND("SALDO DO DIA",C261)),0,IF(ISNUMBER(FIND("SDO CTA/APL AUTOMATICAS",C261)),0,IF(ISNUMBER(FIND("TEC DEPOSITO",C261)),0,IF(ISNUMBER(FIND("APL APLIC AUT MAIS",C261)),E261,IF(E261&gt;0,E261,0))))))</f>
        <v>76.9</v>
      </c>
      <c r="H261" s="66" t="n">
        <v>43891</v>
      </c>
    </row>
    <row r="262" customFormat="false" ht="13.8" hidden="false" customHeight="false" outlineLevel="0" collapsed="false">
      <c r="A262" s="59" t="s">
        <v>29</v>
      </c>
      <c r="B262" s="85" t="s">
        <v>262</v>
      </c>
      <c r="C262" s="86" t="s">
        <v>70</v>
      </c>
      <c r="D262" s="87"/>
      <c r="E262" s="88" t="n">
        <v>959.3</v>
      </c>
      <c r="F262" s="64" t="n">
        <f aca="false">IF(ISNUMBER(FIND("SALDO ANTERIOR",C262)),0,IF(ISNUMBER(FIND("SALDO DO DIA",C262)),0,IF(ISNUMBER(FIND("SALDO PARCIAL",C262)),0,IF(ISNUMBER(FIND("SDO CTA/APL AUTOMATICAS",C262)),0,IF(ISNUMBER(FIND("APL APLIC AUT MAIS",C262)),0,IF(ISNUMBER(FIND("TEC DEPOSITO",C262)),0,IF(E262&gt;0,0,E262*(-1))))))))</f>
        <v>0</v>
      </c>
      <c r="G262" s="65" t="n">
        <f aca="false">IF(ISNUMBER(FIND("SALDO ANTERIOR",C262)),0,IF(ISNUMBER(FIND("SALDO DO DIA",C262)),0,IF(ISNUMBER(FIND("SDO CTA/APL AUTOMATICAS",C262)),0,IF(ISNUMBER(FIND("TEC DEPOSITO",C262)),0,IF(ISNUMBER(FIND("APL APLIC AUT MAIS",C262)),E262,IF(E262&gt;0,E262,0))))))</f>
        <v>959.3</v>
      </c>
      <c r="H262" s="66" t="n">
        <v>43891</v>
      </c>
    </row>
    <row r="263" customFormat="false" ht="13.8" hidden="false" customHeight="false" outlineLevel="0" collapsed="false">
      <c r="A263" s="59" t="s">
        <v>29</v>
      </c>
      <c r="B263" s="85" t="s">
        <v>264</v>
      </c>
      <c r="C263" s="86" t="s">
        <v>70</v>
      </c>
      <c r="D263" s="87"/>
      <c r="E263" s="88" t="n">
        <v>959.3</v>
      </c>
      <c r="F263" s="64" t="n">
        <f aca="false">IF(ISNUMBER(FIND("SALDO ANTERIOR",C263)),0,IF(ISNUMBER(FIND("SALDO DO DIA",C263)),0,IF(ISNUMBER(FIND("SALDO PARCIAL",C263)),0,IF(ISNUMBER(FIND("SDO CTA/APL AUTOMATICAS",C263)),0,IF(ISNUMBER(FIND("APL APLIC AUT MAIS",C263)),0,IF(ISNUMBER(FIND("TEC DEPOSITO",C263)),0,IF(E263&gt;0,0,E263*(-1))))))))</f>
        <v>0</v>
      </c>
      <c r="G263" s="65" t="n">
        <f aca="false">IF(ISNUMBER(FIND("SALDO ANTERIOR",C263)),0,IF(ISNUMBER(FIND("SALDO DO DIA",C263)),0,IF(ISNUMBER(FIND("SDO CTA/APL AUTOMATICAS",C263)),0,IF(ISNUMBER(FIND("TEC DEPOSITO",C263)),0,IF(ISNUMBER(FIND("APL APLIC AUT MAIS",C263)),E263,IF(E263&gt;0,E263,0))))))</f>
        <v>959.3</v>
      </c>
      <c r="H263" s="66" t="n">
        <v>43891</v>
      </c>
    </row>
    <row r="264" customFormat="false" ht="13.8" hidden="false" customHeight="false" outlineLevel="0" collapsed="false">
      <c r="A264" s="59" t="s">
        <v>265</v>
      </c>
      <c r="B264" s="85" t="s">
        <v>266</v>
      </c>
      <c r="C264" s="86" t="s">
        <v>267</v>
      </c>
      <c r="D264" s="87"/>
      <c r="E264" s="89" t="n">
        <v>-15.29</v>
      </c>
      <c r="F264" s="64" t="n">
        <f aca="false">IF(ISNUMBER(FIND("SALDO ANTERIOR",C264)),0,IF(ISNUMBER(FIND("SALDO DO DIA",C264)),0,IF(ISNUMBER(FIND("SALDO PARCIAL",C264)),0,IF(ISNUMBER(FIND("SDO CTA/APL AUTOMATICAS",C264)),0,IF(ISNUMBER(FIND("APL APLIC AUT MAIS",C264)),0,IF(ISNUMBER(FIND("TEC DEPOSITO",C264)),0,IF(E264&gt;0,0,E264*(-1))))))))</f>
        <v>15.29</v>
      </c>
      <c r="G264" s="65" t="n">
        <f aca="false">IF(ISNUMBER(FIND("SALDO ANTERIOR",C264)),0,IF(ISNUMBER(FIND("SALDO DO DIA",C264)),0,IF(ISNUMBER(FIND("SDO CTA/APL AUTOMATICAS",C264)),0,IF(ISNUMBER(FIND("TEC DEPOSITO",C264)),0,IF(ISNUMBER(FIND("APL APLIC AUT MAIS",C264)),E264,IF(E264&gt;0,E264,0))))))</f>
        <v>0</v>
      </c>
      <c r="H264" s="66" t="n">
        <v>43891</v>
      </c>
    </row>
    <row r="265" customFormat="false" ht="13.8" hidden="false" customHeight="false" outlineLevel="0" collapsed="false">
      <c r="A265" s="59" t="s">
        <v>67</v>
      </c>
      <c r="B265" s="85" t="s">
        <v>266</v>
      </c>
      <c r="C265" s="86" t="s">
        <v>69</v>
      </c>
      <c r="D265" s="87"/>
      <c r="E265" s="88" t="n">
        <v>15.29</v>
      </c>
      <c r="F265" s="64" t="n">
        <f aca="false">IF(ISNUMBER(FIND("SALDO ANTERIOR",C265)),0,IF(ISNUMBER(FIND("SALDO DO DIA",C265)),0,IF(ISNUMBER(FIND("SALDO PARCIAL",C265)),0,IF(ISNUMBER(FIND("SDO CTA/APL AUTOMATICAS",C265)),0,IF(ISNUMBER(FIND("APL APLIC AUT MAIS",C265)),0,IF(ISNUMBER(FIND("TEC DEPOSITO",C265)),0,IF(E265&gt;0,0,E265*(-1))))))))</f>
        <v>0</v>
      </c>
      <c r="G265" s="65" t="n">
        <f aca="false">IF(ISNUMBER(FIND("SALDO ANTERIOR",C265)),0,IF(ISNUMBER(FIND("SALDO DO DIA",C265)),0,IF(ISNUMBER(FIND("SDO CTA/APL AUTOMATICAS",C265)),0,IF(ISNUMBER(FIND("TEC DEPOSITO",C265)),0,IF(ISNUMBER(FIND("APL APLIC AUT MAIS",C265)),E265,IF(E265&gt;0,E265,0))))))</f>
        <v>15.29</v>
      </c>
      <c r="H265" s="66" t="n">
        <v>43891</v>
      </c>
    </row>
    <row r="266" customFormat="false" ht="13.8" hidden="false" customHeight="false" outlineLevel="0" collapsed="false">
      <c r="A266" s="59" t="s">
        <v>29</v>
      </c>
      <c r="B266" s="85" t="s">
        <v>266</v>
      </c>
      <c r="C266" s="86" t="s">
        <v>70</v>
      </c>
      <c r="D266" s="87"/>
      <c r="E266" s="88" t="n">
        <v>944.01</v>
      </c>
      <c r="F266" s="64" t="n">
        <f aca="false">IF(ISNUMBER(FIND("SALDO ANTERIOR",C266)),0,IF(ISNUMBER(FIND("SALDO DO DIA",C266)),0,IF(ISNUMBER(FIND("SALDO PARCIAL",C266)),0,IF(ISNUMBER(FIND("SDO CTA/APL AUTOMATICAS",C266)),0,IF(ISNUMBER(FIND("APL APLIC AUT MAIS",C266)),0,IF(ISNUMBER(FIND("TEC DEPOSITO",C266)),0,IF(E266&gt;0,0,E266*(-1))))))))</f>
        <v>0</v>
      </c>
      <c r="G266" s="65" t="n">
        <f aca="false">IF(ISNUMBER(FIND("SALDO ANTERIOR",C266)),0,IF(ISNUMBER(FIND("SALDO DO DIA",C266)),0,IF(ISNUMBER(FIND("SDO CTA/APL AUTOMATICAS",C266)),0,IF(ISNUMBER(FIND("TEC DEPOSITO",C266)),0,IF(ISNUMBER(FIND("APL APLIC AUT MAIS",C266)),E266,IF(E266&gt;0,E266,0))))))</f>
        <v>944.01</v>
      </c>
      <c r="H266" s="66" t="n">
        <v>43891</v>
      </c>
    </row>
    <row r="267" customFormat="false" ht="13.8" hidden="false" customHeight="false" outlineLevel="0" collapsed="false">
      <c r="A267" s="59" t="s">
        <v>203</v>
      </c>
      <c r="B267" s="85" t="s">
        <v>268</v>
      </c>
      <c r="C267" s="86" t="s">
        <v>269</v>
      </c>
      <c r="D267" s="87" t="s">
        <v>126</v>
      </c>
      <c r="E267" s="89" t="n">
        <v>-100</v>
      </c>
      <c r="F267" s="64" t="n">
        <f aca="false">IF(ISNUMBER(FIND("SALDO ANTERIOR",C267)),0,IF(ISNUMBER(FIND("SALDO DO DIA",C267)),0,IF(ISNUMBER(FIND("SALDO PARCIAL",C267)),0,IF(ISNUMBER(FIND("SDO CTA/APL AUTOMATICAS",C267)),0,IF(ISNUMBER(FIND("APL APLIC AUT MAIS",C267)),0,IF(ISNUMBER(FIND("TEC DEPOSITO",C267)),0,IF(E267&gt;0,0,E267*(-1))))))))</f>
        <v>100</v>
      </c>
      <c r="G267" s="65" t="n">
        <f aca="false">IF(ISNUMBER(FIND("SALDO ANTERIOR",C267)),0,IF(ISNUMBER(FIND("SALDO DO DIA",C267)),0,IF(ISNUMBER(FIND("SDO CTA/APL AUTOMATICAS",C267)),0,IF(ISNUMBER(FIND("TEC DEPOSITO",C267)),0,IF(ISNUMBER(FIND("APL APLIC AUT MAIS",C267)),E267,IF(E267&gt;0,E267,0))))))</f>
        <v>0</v>
      </c>
      <c r="H267" s="66" t="n">
        <v>43891</v>
      </c>
    </row>
    <row r="268" customFormat="false" ht="13.8" hidden="false" customHeight="false" outlineLevel="0" collapsed="false">
      <c r="A268" s="59" t="s">
        <v>65</v>
      </c>
      <c r="B268" s="85" t="s">
        <v>268</v>
      </c>
      <c r="C268" s="86" t="s">
        <v>270</v>
      </c>
      <c r="D268" s="87" t="s">
        <v>271</v>
      </c>
      <c r="E268" s="89" t="n">
        <v>-50</v>
      </c>
      <c r="F268" s="64" t="n">
        <f aca="false">IF(ISNUMBER(FIND("SALDO ANTERIOR",C268)),0,IF(ISNUMBER(FIND("SALDO DO DIA",C268)),0,IF(ISNUMBER(FIND("SALDO PARCIAL",C268)),0,IF(ISNUMBER(FIND("SDO CTA/APL AUTOMATICAS",C268)),0,IF(ISNUMBER(FIND("APL APLIC AUT MAIS",C268)),0,IF(ISNUMBER(FIND("TEC DEPOSITO",C268)),0,IF(E268&gt;0,0,E268*(-1))))))))</f>
        <v>50</v>
      </c>
      <c r="G268" s="65" t="n">
        <f aca="false">IF(ISNUMBER(FIND("SALDO ANTERIOR",C268)),0,IF(ISNUMBER(FIND("SALDO DO DIA",C268)),0,IF(ISNUMBER(FIND("SDO CTA/APL AUTOMATICAS",C268)),0,IF(ISNUMBER(FIND("TEC DEPOSITO",C268)),0,IF(ISNUMBER(FIND("APL APLIC AUT MAIS",C268)),E268,IF(E268&gt;0,E268,0))))))</f>
        <v>0</v>
      </c>
      <c r="H268" s="66" t="n">
        <v>43891</v>
      </c>
    </row>
    <row r="269" customFormat="false" ht="13.8" hidden="false" customHeight="false" outlineLevel="0" collapsed="false">
      <c r="A269" s="59" t="s">
        <v>67</v>
      </c>
      <c r="B269" s="85" t="s">
        <v>268</v>
      </c>
      <c r="C269" s="86" t="s">
        <v>69</v>
      </c>
      <c r="D269" s="87"/>
      <c r="E269" s="88" t="n">
        <v>150</v>
      </c>
      <c r="F269" s="64" t="n">
        <f aca="false">IF(ISNUMBER(FIND("SALDO ANTERIOR",C269)),0,IF(ISNUMBER(FIND("SALDO DO DIA",C269)),0,IF(ISNUMBER(FIND("SALDO PARCIAL",C269)),0,IF(ISNUMBER(FIND("SDO CTA/APL AUTOMATICAS",C269)),0,IF(ISNUMBER(FIND("APL APLIC AUT MAIS",C269)),0,IF(ISNUMBER(FIND("TEC DEPOSITO",C269)),0,IF(E269&gt;0,0,E269*(-1))))))))</f>
        <v>0</v>
      </c>
      <c r="G269" s="65" t="n">
        <f aca="false">IF(ISNUMBER(FIND("SALDO ANTERIOR",C269)),0,IF(ISNUMBER(FIND("SALDO DO DIA",C269)),0,IF(ISNUMBER(FIND("SDO CTA/APL AUTOMATICAS",C269)),0,IF(ISNUMBER(FIND("TEC DEPOSITO",C269)),0,IF(ISNUMBER(FIND("APL APLIC AUT MAIS",C269)),E269,IF(E269&gt;0,E269,0))))))</f>
        <v>150</v>
      </c>
      <c r="H269" s="66" t="n">
        <v>43891</v>
      </c>
    </row>
    <row r="270" customFormat="false" ht="13.8" hidden="false" customHeight="false" outlineLevel="0" collapsed="false">
      <c r="A270" s="59" t="s">
        <v>29</v>
      </c>
      <c r="B270" s="85" t="s">
        <v>268</v>
      </c>
      <c r="C270" s="86" t="s">
        <v>70</v>
      </c>
      <c r="D270" s="87"/>
      <c r="E270" s="88" t="n">
        <v>794.01</v>
      </c>
      <c r="F270" s="64" t="n">
        <f aca="false">IF(ISNUMBER(FIND("SALDO ANTERIOR",C270)),0,IF(ISNUMBER(FIND("SALDO DO DIA",C270)),0,IF(ISNUMBER(FIND("SALDO PARCIAL",C270)),0,IF(ISNUMBER(FIND("SDO CTA/APL AUTOMATICAS",C270)),0,IF(ISNUMBER(FIND("APL APLIC AUT MAIS",C270)),0,IF(ISNUMBER(FIND("TEC DEPOSITO",C270)),0,IF(E270&gt;0,0,E270*(-1))))))))</f>
        <v>0</v>
      </c>
      <c r="G270" s="65" t="n">
        <f aca="false">IF(ISNUMBER(FIND("SALDO ANTERIOR",C270)),0,IF(ISNUMBER(FIND("SALDO DO DIA",C270)),0,IF(ISNUMBER(FIND("SDO CTA/APL AUTOMATICAS",C270)),0,IF(ISNUMBER(FIND("TEC DEPOSITO",C270)),0,IF(ISNUMBER(FIND("APL APLIC AUT MAIS",C270)),E270,IF(E270&gt;0,E270,0))))))</f>
        <v>794.01</v>
      </c>
      <c r="H270" s="66" t="n">
        <v>43891</v>
      </c>
    </row>
    <row r="271" customFormat="false" ht="13.8" hidden="false" customHeight="false" outlineLevel="0" collapsed="false">
      <c r="A271" s="59" t="s">
        <v>203</v>
      </c>
      <c r="B271" s="85" t="s">
        <v>272</v>
      </c>
      <c r="C271" s="86" t="s">
        <v>273</v>
      </c>
      <c r="D271" s="87" t="s">
        <v>274</v>
      </c>
      <c r="E271" s="89" t="n">
        <v>-500</v>
      </c>
      <c r="F271" s="64" t="n">
        <f aca="false">IF(ISNUMBER(FIND("SALDO ANTERIOR",C271)),0,IF(ISNUMBER(FIND("SALDO DO DIA",C271)),0,IF(ISNUMBER(FIND("SALDO PARCIAL",C271)),0,IF(ISNUMBER(FIND("SDO CTA/APL AUTOMATICAS",C271)),0,IF(ISNUMBER(FIND("APL APLIC AUT MAIS",C271)),0,IF(ISNUMBER(FIND("TEC DEPOSITO",C271)),0,IF(E271&gt;0,0,E271*(-1))))))))</f>
        <v>500</v>
      </c>
      <c r="G271" s="65" t="n">
        <f aca="false">IF(ISNUMBER(FIND("SALDO ANTERIOR",C271)),0,IF(ISNUMBER(FIND("SALDO DO DIA",C271)),0,IF(ISNUMBER(FIND("SDO CTA/APL AUTOMATICAS",C271)),0,IF(ISNUMBER(FIND("TEC DEPOSITO",C271)),0,IF(ISNUMBER(FIND("APL APLIC AUT MAIS",C271)),E271,IF(E271&gt;0,E271,0))))))</f>
        <v>0</v>
      </c>
      <c r="H271" s="66" t="n">
        <v>43891</v>
      </c>
    </row>
    <row r="272" customFormat="false" ht="13.8" hidden="false" customHeight="false" outlineLevel="0" collapsed="false">
      <c r="A272" s="59" t="s">
        <v>74</v>
      </c>
      <c r="B272" s="85" t="s">
        <v>272</v>
      </c>
      <c r="C272" s="86" t="s">
        <v>275</v>
      </c>
      <c r="D272" s="87" t="s">
        <v>271</v>
      </c>
      <c r="E272" s="89" t="n">
        <v>-72.16</v>
      </c>
      <c r="F272" s="64" t="n">
        <f aca="false">IF(ISNUMBER(FIND("SALDO ANTERIOR",C272)),0,IF(ISNUMBER(FIND("SALDO DO DIA",C272)),0,IF(ISNUMBER(FIND("SALDO PARCIAL",C272)),0,IF(ISNUMBER(FIND("SDO CTA/APL AUTOMATICAS",C272)),0,IF(ISNUMBER(FIND("APL APLIC AUT MAIS",C272)),0,IF(ISNUMBER(FIND("TEC DEPOSITO",C272)),0,IF(E272&gt;0,0,E272*(-1))))))))</f>
        <v>72.16</v>
      </c>
      <c r="G272" s="65" t="n">
        <f aca="false">IF(ISNUMBER(FIND("SALDO ANTERIOR",C272)),0,IF(ISNUMBER(FIND("SALDO DO DIA",C272)),0,IF(ISNUMBER(FIND("SDO CTA/APL AUTOMATICAS",C272)),0,IF(ISNUMBER(FIND("TEC DEPOSITO",C272)),0,IF(ISNUMBER(FIND("APL APLIC AUT MAIS",C272)),E272,IF(E272&gt;0,E272,0))))))</f>
        <v>0</v>
      </c>
      <c r="H272" s="66" t="n">
        <v>43891</v>
      </c>
    </row>
    <row r="273" customFormat="false" ht="13.8" hidden="false" customHeight="false" outlineLevel="0" collapsed="false">
      <c r="A273" s="59" t="s">
        <v>65</v>
      </c>
      <c r="B273" s="85" t="s">
        <v>272</v>
      </c>
      <c r="C273" s="86" t="s">
        <v>276</v>
      </c>
      <c r="D273" s="87" t="s">
        <v>271</v>
      </c>
      <c r="E273" s="89" t="n">
        <v>-24.99</v>
      </c>
      <c r="F273" s="64" t="n">
        <f aca="false">IF(ISNUMBER(FIND("SALDO ANTERIOR",C273)),0,IF(ISNUMBER(FIND("SALDO DO DIA",C273)),0,IF(ISNUMBER(FIND("SALDO PARCIAL",C273)),0,IF(ISNUMBER(FIND("SDO CTA/APL AUTOMATICAS",C273)),0,IF(ISNUMBER(FIND("APL APLIC AUT MAIS",C273)),0,IF(ISNUMBER(FIND("TEC DEPOSITO",C273)),0,IF(E273&gt;0,0,E273*(-1))))))))</f>
        <v>24.99</v>
      </c>
      <c r="G273" s="65" t="n">
        <f aca="false">IF(ISNUMBER(FIND("SALDO ANTERIOR",C273)),0,IF(ISNUMBER(FIND("SALDO DO DIA",C273)),0,IF(ISNUMBER(FIND("SDO CTA/APL AUTOMATICAS",C273)),0,IF(ISNUMBER(FIND("TEC DEPOSITO",C273)),0,IF(ISNUMBER(FIND("APL APLIC AUT MAIS",C273)),E273,IF(E273&gt;0,E273,0))))))</f>
        <v>0</v>
      </c>
      <c r="H273" s="66" t="n">
        <v>43891</v>
      </c>
    </row>
    <row r="274" customFormat="false" ht="13.8" hidden="false" customHeight="false" outlineLevel="0" collapsed="false">
      <c r="A274" s="59" t="s">
        <v>130</v>
      </c>
      <c r="B274" s="85" t="s">
        <v>272</v>
      </c>
      <c r="C274" s="86" t="s">
        <v>131</v>
      </c>
      <c r="D274" s="87" t="s">
        <v>82</v>
      </c>
      <c r="E274" s="89" t="n">
        <v>-75</v>
      </c>
      <c r="F274" s="64" t="n">
        <f aca="false">IF(ISNUMBER(FIND("SALDO ANTERIOR",C274)),0,IF(ISNUMBER(FIND("SALDO DO DIA",C274)),0,IF(ISNUMBER(FIND("SALDO PARCIAL",C274)),0,IF(ISNUMBER(FIND("SDO CTA/APL AUTOMATICAS",C274)),0,IF(ISNUMBER(FIND("APL APLIC AUT MAIS",C274)),0,IF(ISNUMBER(FIND("TEC DEPOSITO",C274)),0,IF(E274&gt;0,0,E274*(-1))))))))</f>
        <v>75</v>
      </c>
      <c r="G274" s="65" t="n">
        <f aca="false">IF(ISNUMBER(FIND("SALDO ANTERIOR",C274)),0,IF(ISNUMBER(FIND("SALDO DO DIA",C274)),0,IF(ISNUMBER(FIND("SDO CTA/APL AUTOMATICAS",C274)),0,IF(ISNUMBER(FIND("TEC DEPOSITO",C274)),0,IF(ISNUMBER(FIND("APL APLIC AUT MAIS",C274)),E274,IF(E274&gt;0,E274,0))))))</f>
        <v>0</v>
      </c>
      <c r="H274" s="66" t="n">
        <v>43891</v>
      </c>
    </row>
    <row r="275" customFormat="false" ht="13.8" hidden="false" customHeight="false" outlineLevel="0" collapsed="false">
      <c r="A275" s="59" t="s">
        <v>67</v>
      </c>
      <c r="B275" s="85" t="s">
        <v>272</v>
      </c>
      <c r="C275" s="86" t="s">
        <v>69</v>
      </c>
      <c r="D275" s="87"/>
      <c r="E275" s="88" t="n">
        <v>672.14</v>
      </c>
      <c r="F275" s="64" t="n">
        <f aca="false">IF(ISNUMBER(FIND("SALDO ANTERIOR",C275)),0,IF(ISNUMBER(FIND("SALDO DO DIA",C275)),0,IF(ISNUMBER(FIND("SALDO PARCIAL",C275)),0,IF(ISNUMBER(FIND("SDO CTA/APL AUTOMATICAS",C275)),0,IF(ISNUMBER(FIND("APL APLIC AUT MAIS",C275)),0,IF(ISNUMBER(FIND("TEC DEPOSITO",C275)),0,IF(E275&gt;0,0,E275*(-1))))))))</f>
        <v>0</v>
      </c>
      <c r="G275" s="65" t="n">
        <f aca="false">IF(ISNUMBER(FIND("SALDO ANTERIOR",C275)),0,IF(ISNUMBER(FIND("SALDO DO DIA",C275)),0,IF(ISNUMBER(FIND("SDO CTA/APL AUTOMATICAS",C275)),0,IF(ISNUMBER(FIND("TEC DEPOSITO",C275)),0,IF(ISNUMBER(FIND("APL APLIC AUT MAIS",C275)),E275,IF(E275&gt;0,E275,0))))))</f>
        <v>672.14</v>
      </c>
      <c r="H275" s="66" t="n">
        <v>43891</v>
      </c>
    </row>
    <row r="276" customFormat="false" ht="13.8" hidden="false" customHeight="false" outlineLevel="0" collapsed="false">
      <c r="A276" s="59" t="s">
        <v>29</v>
      </c>
      <c r="B276" s="85" t="s">
        <v>272</v>
      </c>
      <c r="C276" s="86" t="s">
        <v>277</v>
      </c>
      <c r="D276" s="87"/>
      <c r="E276" s="88" t="n">
        <v>0.01</v>
      </c>
      <c r="F276" s="64" t="n">
        <f aca="false">IF(ISNUMBER(FIND("SALDO ANTERIOR",C276)),0,IF(ISNUMBER(FIND("SALDO DO DIA",C276)),0,IF(ISNUMBER(FIND("SALDO PARCIAL",C276)),0,IF(ISNUMBER(FIND("SDO CTA/APL AUTOMATICAS",C276)),0,IF(ISNUMBER(FIND("APL APLIC AUT MAIS",C276)),0,IF(ISNUMBER(FIND("TEC DEPOSITO",C276)),0,IF(E276&gt;0,0,E276*(-1))))))))</f>
        <v>0</v>
      </c>
      <c r="G276" s="65" t="n">
        <f aca="false">IF(ISNUMBER(FIND("SALDO ANTERIOR",C276)),0,IF(ISNUMBER(FIND("SALDO DO DIA",C276)),0,IF(ISNUMBER(FIND("SDO CTA/APL AUTOMATICAS",C276)),0,IF(ISNUMBER(FIND("TEC DEPOSITO",C276)),0,IF(ISNUMBER(FIND("APL APLIC AUT MAIS",C276)),E276,IF(E276&gt;0,E276,0))))))</f>
        <v>0.01</v>
      </c>
      <c r="H276" s="66" t="n">
        <v>43891</v>
      </c>
    </row>
    <row r="277" customFormat="false" ht="13.8" hidden="false" customHeight="false" outlineLevel="0" collapsed="false">
      <c r="A277" s="59" t="s">
        <v>29</v>
      </c>
      <c r="B277" s="85" t="s">
        <v>272</v>
      </c>
      <c r="C277" s="86" t="s">
        <v>70</v>
      </c>
      <c r="D277" s="87"/>
      <c r="E277" s="88" t="n">
        <v>121.87</v>
      </c>
      <c r="F277" s="64" t="n">
        <f aca="false">IF(ISNUMBER(FIND("SALDO ANTERIOR",C277)),0,IF(ISNUMBER(FIND("SALDO DO DIA",C277)),0,IF(ISNUMBER(FIND("SALDO PARCIAL",C277)),0,IF(ISNUMBER(FIND("SDO CTA/APL AUTOMATICAS",C277)),0,IF(ISNUMBER(FIND("APL APLIC AUT MAIS",C277)),0,IF(ISNUMBER(FIND("TEC DEPOSITO",C277)),0,IF(E277&gt;0,0,E277*(-1))))))))</f>
        <v>0</v>
      </c>
      <c r="G277" s="65" t="n">
        <f aca="false">IF(ISNUMBER(FIND("SALDO ANTERIOR",C277)),0,IF(ISNUMBER(FIND("SALDO DO DIA",C277)),0,IF(ISNUMBER(FIND("SDO CTA/APL AUTOMATICAS",C277)),0,IF(ISNUMBER(FIND("TEC DEPOSITO",C277)),0,IF(ISNUMBER(FIND("APL APLIC AUT MAIS",C277)),E277,IF(E277&gt;0,E277,0))))))</f>
        <v>121.87</v>
      </c>
      <c r="H277" s="66" t="n">
        <v>43891</v>
      </c>
    </row>
    <row r="278" customFormat="false" ht="13.8" hidden="false" customHeight="false" outlineLevel="0" collapsed="false">
      <c r="A278" s="59" t="s">
        <v>65</v>
      </c>
      <c r="B278" s="85" t="s">
        <v>278</v>
      </c>
      <c r="C278" s="86" t="s">
        <v>279</v>
      </c>
      <c r="D278" s="87" t="s">
        <v>271</v>
      </c>
      <c r="E278" s="89" t="n">
        <v>-50</v>
      </c>
      <c r="F278" s="64" t="n">
        <f aca="false">IF(ISNUMBER(FIND("SALDO ANTERIOR",C278)),0,IF(ISNUMBER(FIND("SALDO DO DIA",C278)),0,IF(ISNUMBER(FIND("SALDO PARCIAL",C278)),0,IF(ISNUMBER(FIND("SDO CTA/APL AUTOMATICAS",C278)),0,IF(ISNUMBER(FIND("APL APLIC AUT MAIS",C278)),0,IF(ISNUMBER(FIND("TEC DEPOSITO",C278)),0,IF(E278&gt;0,0,E278*(-1))))))))</f>
        <v>50</v>
      </c>
      <c r="G278" s="65" t="n">
        <f aca="false">IF(ISNUMBER(FIND("SALDO ANTERIOR",C278)),0,IF(ISNUMBER(FIND("SALDO DO DIA",C278)),0,IF(ISNUMBER(FIND("SDO CTA/APL AUTOMATICAS",C278)),0,IF(ISNUMBER(FIND("TEC DEPOSITO",C278)),0,IF(ISNUMBER(FIND("APL APLIC AUT MAIS",C278)),E278,IF(E278&gt;0,E278,0))))))</f>
        <v>0</v>
      </c>
      <c r="H278" s="66" t="n">
        <v>43891</v>
      </c>
    </row>
    <row r="279" customFormat="false" ht="13.8" hidden="false" customHeight="false" outlineLevel="0" collapsed="false">
      <c r="A279" s="59" t="s">
        <v>65</v>
      </c>
      <c r="B279" s="85" t="s">
        <v>278</v>
      </c>
      <c r="C279" s="86" t="s">
        <v>280</v>
      </c>
      <c r="D279" s="87" t="s">
        <v>271</v>
      </c>
      <c r="E279" s="89" t="n">
        <v>-2.99</v>
      </c>
      <c r="F279" s="64" t="n">
        <f aca="false">IF(ISNUMBER(FIND("SALDO ANTERIOR",C279)),0,IF(ISNUMBER(FIND("SALDO DO DIA",C279)),0,IF(ISNUMBER(FIND("SALDO PARCIAL",C279)),0,IF(ISNUMBER(FIND("SDO CTA/APL AUTOMATICAS",C279)),0,IF(ISNUMBER(FIND("APL APLIC AUT MAIS",C279)),0,IF(ISNUMBER(FIND("TEC DEPOSITO",C279)),0,IF(E279&gt;0,0,E279*(-1))))))))</f>
        <v>2.99</v>
      </c>
      <c r="G279" s="65" t="n">
        <f aca="false">IF(ISNUMBER(FIND("SALDO ANTERIOR",C279)),0,IF(ISNUMBER(FIND("SALDO DO DIA",C279)),0,IF(ISNUMBER(FIND("SDO CTA/APL AUTOMATICAS",C279)),0,IF(ISNUMBER(FIND("TEC DEPOSITO",C279)),0,IF(ISNUMBER(FIND("APL APLIC AUT MAIS",C279)),E279,IF(E279&gt;0,E279,0))))))</f>
        <v>0</v>
      </c>
      <c r="H279" s="66" t="n">
        <v>43891</v>
      </c>
    </row>
    <row r="280" customFormat="false" ht="13.8" hidden="false" customHeight="false" outlineLevel="0" collapsed="false">
      <c r="A280" s="59" t="s">
        <v>67</v>
      </c>
      <c r="B280" s="85" t="s">
        <v>278</v>
      </c>
      <c r="C280" s="86" t="s">
        <v>109</v>
      </c>
      <c r="D280" s="87" t="s">
        <v>82</v>
      </c>
      <c r="E280" s="89" t="n">
        <v>-6.41</v>
      </c>
      <c r="F280" s="64" t="n">
        <f aca="false">IF(ISNUMBER(FIND("SALDO ANTERIOR",C280)),0,IF(ISNUMBER(FIND("SALDO DO DIA",C280)),0,IF(ISNUMBER(FIND("SALDO PARCIAL",C280)),0,IF(ISNUMBER(FIND("SDO CTA/APL AUTOMATICAS",C280)),0,IF(ISNUMBER(FIND("APL APLIC AUT MAIS",C280)),0,IF(ISNUMBER(FIND("TEC DEPOSITO",C280)),0,IF(E280&gt;0,0,E280*(-1))))))))</f>
        <v>6.41</v>
      </c>
      <c r="G280" s="65" t="n">
        <f aca="false">IF(ISNUMBER(FIND("SALDO ANTERIOR",C280)),0,IF(ISNUMBER(FIND("SALDO DO DIA",C280)),0,IF(ISNUMBER(FIND("SDO CTA/APL AUTOMATICAS",C280)),0,IF(ISNUMBER(FIND("TEC DEPOSITO",C280)),0,IF(ISNUMBER(FIND("APL APLIC AUT MAIS",C280)),E280,IF(E280&gt;0,E280,0))))))</f>
        <v>0</v>
      </c>
      <c r="H280" s="66" t="n">
        <v>43891</v>
      </c>
    </row>
    <row r="281" customFormat="false" ht="13.8" hidden="false" customHeight="false" outlineLevel="0" collapsed="false">
      <c r="A281" s="59" t="s">
        <v>67</v>
      </c>
      <c r="B281" s="85" t="s">
        <v>278</v>
      </c>
      <c r="C281" s="86" t="s">
        <v>69</v>
      </c>
      <c r="D281" s="87"/>
      <c r="E281" s="88" t="n">
        <v>59.4</v>
      </c>
      <c r="F281" s="64" t="n">
        <f aca="false">IF(ISNUMBER(FIND("SALDO ANTERIOR",C281)),0,IF(ISNUMBER(FIND("SALDO DO DIA",C281)),0,IF(ISNUMBER(FIND("SALDO PARCIAL",C281)),0,IF(ISNUMBER(FIND("SDO CTA/APL AUTOMATICAS",C281)),0,IF(ISNUMBER(FIND("APL APLIC AUT MAIS",C281)),0,IF(ISNUMBER(FIND("TEC DEPOSITO",C281)),0,IF(E281&gt;0,0,E281*(-1))))))))</f>
        <v>0</v>
      </c>
      <c r="G281" s="65" t="n">
        <f aca="false">IF(ISNUMBER(FIND("SALDO ANTERIOR",C281)),0,IF(ISNUMBER(FIND("SALDO DO DIA",C281)),0,IF(ISNUMBER(FIND("SDO CTA/APL AUTOMATICAS",C281)),0,IF(ISNUMBER(FIND("TEC DEPOSITO",C281)),0,IF(ISNUMBER(FIND("APL APLIC AUT MAIS",C281)),E281,IF(E281&gt;0,E281,0))))))</f>
        <v>59.4</v>
      </c>
      <c r="H281" s="66" t="n">
        <v>43891</v>
      </c>
    </row>
    <row r="282" customFormat="false" ht="13.8" hidden="false" customHeight="false" outlineLevel="0" collapsed="false">
      <c r="A282" s="59" t="s">
        <v>29</v>
      </c>
      <c r="B282" s="85" t="s">
        <v>278</v>
      </c>
      <c r="C282" s="86" t="s">
        <v>70</v>
      </c>
      <c r="D282" s="87"/>
      <c r="E282" s="88" t="n">
        <v>62.47</v>
      </c>
      <c r="F282" s="64" t="n">
        <f aca="false">IF(ISNUMBER(FIND("SALDO ANTERIOR",C282)),0,IF(ISNUMBER(FIND("SALDO DO DIA",C282)),0,IF(ISNUMBER(FIND("SALDO PARCIAL",C282)),0,IF(ISNUMBER(FIND("SDO CTA/APL AUTOMATICAS",C282)),0,IF(ISNUMBER(FIND("APL APLIC AUT MAIS",C282)),0,IF(ISNUMBER(FIND("TEC DEPOSITO",C282)),0,IF(E282&gt;0,0,E282*(-1))))))))</f>
        <v>0</v>
      </c>
      <c r="G282" s="65" t="n">
        <f aca="false">IF(ISNUMBER(FIND("SALDO ANTERIOR",C282)),0,IF(ISNUMBER(FIND("SALDO DO DIA",C282)),0,IF(ISNUMBER(FIND("SDO CTA/APL AUTOMATICAS",C282)),0,IF(ISNUMBER(FIND("TEC DEPOSITO",C282)),0,IF(ISNUMBER(FIND("APL APLIC AUT MAIS",C282)),E282,IF(E282&gt;0,E282,0))))))</f>
        <v>62.47</v>
      </c>
      <c r="H282" s="66" t="n">
        <v>43891</v>
      </c>
    </row>
    <row r="283" customFormat="false" ht="13.8" hidden="false" customHeight="false" outlineLevel="0" collapsed="false">
      <c r="A283" s="59" t="s">
        <v>65</v>
      </c>
      <c r="B283" s="85" t="s">
        <v>281</v>
      </c>
      <c r="C283" s="86" t="s">
        <v>282</v>
      </c>
      <c r="D283" s="87" t="s">
        <v>271</v>
      </c>
      <c r="E283" s="89" t="n">
        <v>-219.4</v>
      </c>
      <c r="F283" s="64" t="n">
        <f aca="false">IF(ISNUMBER(FIND("SALDO ANTERIOR",C283)),0,IF(ISNUMBER(FIND("SALDO DO DIA",C283)),0,IF(ISNUMBER(FIND("SALDO PARCIAL",C283)),0,IF(ISNUMBER(FIND("SDO CTA/APL AUTOMATICAS",C283)),0,IF(ISNUMBER(FIND("APL APLIC AUT MAIS",C283)),0,IF(ISNUMBER(FIND("TEC DEPOSITO",C283)),0,IF(E283&gt;0,0,E283*(-1))))))))</f>
        <v>219.4</v>
      </c>
      <c r="G283" s="65" t="n">
        <f aca="false">IF(ISNUMBER(FIND("SALDO ANTERIOR",C283)),0,IF(ISNUMBER(FIND("SALDO DO DIA",C283)),0,IF(ISNUMBER(FIND("SDO CTA/APL AUTOMATICAS",C283)),0,IF(ISNUMBER(FIND("TEC DEPOSITO",C283)),0,IF(ISNUMBER(FIND("APL APLIC AUT MAIS",C283)),E283,IF(E283&gt;0,E283,0))))))</f>
        <v>0</v>
      </c>
      <c r="H283" s="66" t="n">
        <v>43891</v>
      </c>
    </row>
    <row r="284" customFormat="false" ht="13.8" hidden="false" customHeight="false" outlineLevel="0" collapsed="false">
      <c r="A284" s="59" t="s">
        <v>65</v>
      </c>
      <c r="B284" s="85" t="s">
        <v>281</v>
      </c>
      <c r="C284" s="86" t="s">
        <v>283</v>
      </c>
      <c r="D284" s="87" t="s">
        <v>271</v>
      </c>
      <c r="E284" s="89" t="n">
        <v>-35.9</v>
      </c>
      <c r="F284" s="64" t="n">
        <f aca="false">IF(ISNUMBER(FIND("SALDO ANTERIOR",C284)),0,IF(ISNUMBER(FIND("SALDO DO DIA",C284)),0,IF(ISNUMBER(FIND("SALDO PARCIAL",C284)),0,IF(ISNUMBER(FIND("SDO CTA/APL AUTOMATICAS",C284)),0,IF(ISNUMBER(FIND("APL APLIC AUT MAIS",C284)),0,IF(ISNUMBER(FIND("TEC DEPOSITO",C284)),0,IF(E284&gt;0,0,E284*(-1))))))))</f>
        <v>35.9</v>
      </c>
      <c r="G284" s="65" t="n">
        <f aca="false">IF(ISNUMBER(FIND("SALDO ANTERIOR",C284)),0,IF(ISNUMBER(FIND("SALDO DO DIA",C284)),0,IF(ISNUMBER(FIND("SDO CTA/APL AUTOMATICAS",C284)),0,IF(ISNUMBER(FIND("TEC DEPOSITO",C284)),0,IF(ISNUMBER(FIND("APL APLIC AUT MAIS",C284)),E284,IF(E284&gt;0,E284,0))))))</f>
        <v>0</v>
      </c>
      <c r="H284" s="66" t="n">
        <v>43891</v>
      </c>
    </row>
    <row r="285" customFormat="false" ht="13.8" hidden="false" customHeight="false" outlineLevel="0" collapsed="false">
      <c r="A285" s="59" t="s">
        <v>65</v>
      </c>
      <c r="B285" s="85" t="s">
        <v>281</v>
      </c>
      <c r="C285" s="86" t="s">
        <v>284</v>
      </c>
      <c r="D285" s="87" t="s">
        <v>271</v>
      </c>
      <c r="E285" s="89" t="n">
        <v>-23.87</v>
      </c>
      <c r="F285" s="64" t="n">
        <f aca="false">IF(ISNUMBER(FIND("SALDO ANTERIOR",C285)),0,IF(ISNUMBER(FIND("SALDO DO DIA",C285)),0,IF(ISNUMBER(FIND("SALDO PARCIAL",C285)),0,IF(ISNUMBER(FIND("SDO CTA/APL AUTOMATICAS",C285)),0,IF(ISNUMBER(FIND("APL APLIC AUT MAIS",C285)),0,IF(ISNUMBER(FIND("TEC DEPOSITO",C285)),0,IF(E285&gt;0,0,E285*(-1))))))))</f>
        <v>23.87</v>
      </c>
      <c r="G285" s="65" t="n">
        <f aca="false">IF(ISNUMBER(FIND("SALDO ANTERIOR",C285)),0,IF(ISNUMBER(FIND("SALDO DO DIA",C285)),0,IF(ISNUMBER(FIND("SDO CTA/APL AUTOMATICAS",C285)),0,IF(ISNUMBER(FIND("TEC DEPOSITO",C285)),0,IF(ISNUMBER(FIND("APL APLIC AUT MAIS",C285)),E285,IF(E285&gt;0,E285,0))))))</f>
        <v>0</v>
      </c>
      <c r="H285" s="66" t="n">
        <v>43891</v>
      </c>
    </row>
    <row r="286" customFormat="false" ht="13.8" hidden="false" customHeight="false" outlineLevel="0" collapsed="false">
      <c r="A286" s="59" t="s">
        <v>67</v>
      </c>
      <c r="B286" s="85" t="s">
        <v>281</v>
      </c>
      <c r="C286" s="86" t="s">
        <v>69</v>
      </c>
      <c r="D286" s="87"/>
      <c r="E286" s="88" t="n">
        <v>62.47</v>
      </c>
      <c r="F286" s="64" t="n">
        <f aca="false">IF(ISNUMBER(FIND("SALDO ANTERIOR",C286)),0,IF(ISNUMBER(FIND("SALDO DO DIA",C286)),0,IF(ISNUMBER(FIND("SALDO PARCIAL",C286)),0,IF(ISNUMBER(FIND("SDO CTA/APL AUTOMATICAS",C286)),0,IF(ISNUMBER(FIND("APL APLIC AUT MAIS",C286)),0,IF(ISNUMBER(FIND("TEC DEPOSITO",C286)),0,IF(E286&gt;0,0,E286*(-1))))))))</f>
        <v>0</v>
      </c>
      <c r="G286" s="65" t="n">
        <f aca="false">IF(ISNUMBER(FIND("SALDO ANTERIOR",C286)),0,IF(ISNUMBER(FIND("SALDO DO DIA",C286)),0,IF(ISNUMBER(FIND("SDO CTA/APL AUTOMATICAS",C286)),0,IF(ISNUMBER(FIND("TEC DEPOSITO",C286)),0,IF(ISNUMBER(FIND("APL APLIC AUT MAIS",C286)),E286,IF(E286&gt;0,E286,0))))))</f>
        <v>62.47</v>
      </c>
      <c r="H286" s="66" t="n">
        <v>43891</v>
      </c>
    </row>
    <row r="287" customFormat="false" ht="13.8" hidden="false" customHeight="false" outlineLevel="0" collapsed="false">
      <c r="A287" s="59" t="s">
        <v>76</v>
      </c>
      <c r="B287" s="85" t="s">
        <v>285</v>
      </c>
      <c r="C287" s="86" t="s">
        <v>286</v>
      </c>
      <c r="D287" s="87" t="s">
        <v>271</v>
      </c>
      <c r="E287" s="89" t="n">
        <v>-19.5</v>
      </c>
      <c r="F287" s="64" t="n">
        <f aca="false">IF(ISNUMBER(FIND("SALDO ANTERIOR",C287)),0,IF(ISNUMBER(FIND("SALDO DO DIA",C287)),0,IF(ISNUMBER(FIND("SALDO PARCIAL",C287)),0,IF(ISNUMBER(FIND("SDO CTA/APL AUTOMATICAS",C287)),0,IF(ISNUMBER(FIND("APL APLIC AUT MAIS",C287)),0,IF(ISNUMBER(FIND("TEC DEPOSITO",C287)),0,IF(E287&gt;0,0,E287*(-1))))))))</f>
        <v>19.5</v>
      </c>
      <c r="G287" s="65" t="n">
        <f aca="false">IF(ISNUMBER(FIND("SALDO ANTERIOR",C287)),0,IF(ISNUMBER(FIND("SALDO DO DIA",C287)),0,IF(ISNUMBER(FIND("SDO CTA/APL AUTOMATICAS",C287)),0,IF(ISNUMBER(FIND("TEC DEPOSITO",C287)),0,IF(ISNUMBER(FIND("APL APLIC AUT MAIS",C287)),E287,IF(E287&gt;0,E287,0))))))</f>
        <v>0</v>
      </c>
      <c r="H287" s="66" t="n">
        <v>43891</v>
      </c>
    </row>
    <row r="288" customFormat="false" ht="13.8" hidden="false" customHeight="false" outlineLevel="0" collapsed="false">
      <c r="A288" s="59" t="s">
        <v>76</v>
      </c>
      <c r="B288" s="85" t="s">
        <v>285</v>
      </c>
      <c r="C288" s="86" t="s">
        <v>286</v>
      </c>
      <c r="D288" s="87" t="s">
        <v>271</v>
      </c>
      <c r="E288" s="89" t="n">
        <v>-14.9</v>
      </c>
      <c r="F288" s="64" t="n">
        <f aca="false">IF(ISNUMBER(FIND("SALDO ANTERIOR",C288)),0,IF(ISNUMBER(FIND("SALDO DO DIA",C288)),0,IF(ISNUMBER(FIND("SALDO PARCIAL",C288)),0,IF(ISNUMBER(FIND("SDO CTA/APL AUTOMATICAS",C288)),0,IF(ISNUMBER(FIND("APL APLIC AUT MAIS",C288)),0,IF(ISNUMBER(FIND("TEC DEPOSITO",C288)),0,IF(E288&gt;0,0,E288*(-1))))))))</f>
        <v>14.9</v>
      </c>
      <c r="G288" s="65" t="n">
        <f aca="false">IF(ISNUMBER(FIND("SALDO ANTERIOR",C288)),0,IF(ISNUMBER(FIND("SALDO DO DIA",C288)),0,IF(ISNUMBER(FIND("SDO CTA/APL AUTOMATICAS",C288)),0,IF(ISNUMBER(FIND("TEC DEPOSITO",C288)),0,IF(ISNUMBER(FIND("APL APLIC AUT MAIS",C288)),E288,IF(E288&gt;0,E288,0))))))</f>
        <v>0</v>
      </c>
      <c r="H288" s="66" t="n">
        <v>43891</v>
      </c>
    </row>
    <row r="289" customFormat="false" ht="13.8" hidden="false" customHeight="false" outlineLevel="0" collapsed="false">
      <c r="A289" s="59" t="s">
        <v>98</v>
      </c>
      <c r="B289" s="85" t="s">
        <v>285</v>
      </c>
      <c r="C289" s="86" t="s">
        <v>287</v>
      </c>
      <c r="D289" s="87" t="s">
        <v>271</v>
      </c>
      <c r="E289" s="89" t="n">
        <v>-22.32</v>
      </c>
      <c r="F289" s="64" t="n">
        <f aca="false">IF(ISNUMBER(FIND("SALDO ANTERIOR",C289)),0,IF(ISNUMBER(FIND("SALDO DO DIA",C289)),0,IF(ISNUMBER(FIND("SALDO PARCIAL",C289)),0,IF(ISNUMBER(FIND("SDO CTA/APL AUTOMATICAS",C289)),0,IF(ISNUMBER(FIND("APL APLIC AUT MAIS",C289)),0,IF(ISNUMBER(FIND("TEC DEPOSITO",C289)),0,IF(E289&gt;0,0,E289*(-1))))))))</f>
        <v>22.32</v>
      </c>
      <c r="G289" s="65" t="n">
        <f aca="false">IF(ISNUMBER(FIND("SALDO ANTERIOR",C289)),0,IF(ISNUMBER(FIND("SALDO DO DIA",C289)),0,IF(ISNUMBER(FIND("SDO CTA/APL AUTOMATICAS",C289)),0,IF(ISNUMBER(FIND("TEC DEPOSITO",C289)),0,IF(ISNUMBER(FIND("APL APLIC AUT MAIS",C289)),E289,IF(E289&gt;0,E289,0))))))</f>
        <v>0</v>
      </c>
      <c r="H289" s="66" t="n">
        <v>43891</v>
      </c>
    </row>
    <row r="290" customFormat="false" ht="13.8" hidden="false" customHeight="false" outlineLevel="0" collapsed="false">
      <c r="A290" s="59" t="s">
        <v>176</v>
      </c>
      <c r="B290" s="85" t="s">
        <v>285</v>
      </c>
      <c r="C290" s="86" t="s">
        <v>288</v>
      </c>
      <c r="D290" s="87" t="s">
        <v>61</v>
      </c>
      <c r="E290" s="89" t="n">
        <v>-60</v>
      </c>
      <c r="F290" s="64" t="n">
        <f aca="false">IF(ISNUMBER(FIND("SALDO ANTERIOR",C290)),0,IF(ISNUMBER(FIND("SALDO DO DIA",C290)),0,IF(ISNUMBER(FIND("SALDO PARCIAL",C290)),0,IF(ISNUMBER(FIND("SDO CTA/APL AUTOMATICAS",C290)),0,IF(ISNUMBER(FIND("APL APLIC AUT MAIS",C290)),0,IF(ISNUMBER(FIND("TEC DEPOSITO",C290)),0,IF(E290&gt;0,0,E290*(-1))))))))</f>
        <v>60</v>
      </c>
      <c r="G290" s="65" t="n">
        <f aca="false">IF(ISNUMBER(FIND("SALDO ANTERIOR",C290)),0,IF(ISNUMBER(FIND("SALDO DO DIA",C290)),0,IF(ISNUMBER(FIND("SDO CTA/APL AUTOMATICAS",C290)),0,IF(ISNUMBER(FIND("TEC DEPOSITO",C290)),0,IF(ISNUMBER(FIND("APL APLIC AUT MAIS",C290)),E290,IF(E290&gt;0,E290,0))))))</f>
        <v>0</v>
      </c>
      <c r="H290" s="66" t="n">
        <v>43891</v>
      </c>
    </row>
    <row r="291" customFormat="false" ht="13.8" hidden="false" customHeight="false" outlineLevel="0" collapsed="false">
      <c r="A291" s="59" t="s">
        <v>176</v>
      </c>
      <c r="B291" s="85" t="s">
        <v>285</v>
      </c>
      <c r="C291" s="86" t="s">
        <v>288</v>
      </c>
      <c r="D291" s="87" t="s">
        <v>61</v>
      </c>
      <c r="E291" s="89" t="n">
        <v>-90</v>
      </c>
      <c r="F291" s="64" t="n">
        <f aca="false">IF(ISNUMBER(FIND("SALDO ANTERIOR",C291)),0,IF(ISNUMBER(FIND("SALDO DO DIA",C291)),0,IF(ISNUMBER(FIND("SALDO PARCIAL",C291)),0,IF(ISNUMBER(FIND("SDO CTA/APL AUTOMATICAS",C291)),0,IF(ISNUMBER(FIND("APL APLIC AUT MAIS",C291)),0,IF(ISNUMBER(FIND("TEC DEPOSITO",C291)),0,IF(E291&gt;0,0,E291*(-1))))))))</f>
        <v>90</v>
      </c>
      <c r="G291" s="65" t="n">
        <f aca="false">IF(ISNUMBER(FIND("SALDO ANTERIOR",C291)),0,IF(ISNUMBER(FIND("SALDO DO DIA",C291)),0,IF(ISNUMBER(FIND("SDO CTA/APL AUTOMATICAS",C291)),0,IF(ISNUMBER(FIND("TEC DEPOSITO",C291)),0,IF(ISNUMBER(FIND("APL APLIC AUT MAIS",C291)),E291,IF(E291&gt;0,E291,0))))))</f>
        <v>0</v>
      </c>
      <c r="H291" s="66" t="n">
        <v>43891</v>
      </c>
    </row>
    <row r="292" customFormat="false" ht="13.8" hidden="false" customHeight="false" outlineLevel="0" collapsed="false">
      <c r="A292" s="59" t="s">
        <v>65</v>
      </c>
      <c r="B292" s="85" t="s">
        <v>289</v>
      </c>
      <c r="C292" s="86" t="s">
        <v>290</v>
      </c>
      <c r="D292" s="87" t="s">
        <v>271</v>
      </c>
      <c r="E292" s="89" t="n">
        <v>-5.5</v>
      </c>
      <c r="F292" s="64" t="n">
        <f aca="false">IF(ISNUMBER(FIND("SALDO ANTERIOR",C292)),0,IF(ISNUMBER(FIND("SALDO DO DIA",C292)),0,IF(ISNUMBER(FIND("SALDO PARCIAL",C292)),0,IF(ISNUMBER(FIND("SDO CTA/APL AUTOMATICAS",C292)),0,IF(ISNUMBER(FIND("APL APLIC AUT MAIS",C292)),0,IF(ISNUMBER(FIND("TEC DEPOSITO",C292)),0,IF(E292&gt;0,0,E292*(-1))))))))</f>
        <v>5.5</v>
      </c>
      <c r="G292" s="65" t="n">
        <f aca="false">IF(ISNUMBER(FIND("SALDO ANTERIOR",C292)),0,IF(ISNUMBER(FIND("SALDO DO DIA",C292)),0,IF(ISNUMBER(FIND("SDO CTA/APL AUTOMATICAS",C292)),0,IF(ISNUMBER(FIND("TEC DEPOSITO",C292)),0,IF(ISNUMBER(FIND("APL APLIC AUT MAIS",C292)),E292,IF(E292&gt;0,E292,0))))))</f>
        <v>0</v>
      </c>
      <c r="H292" s="66" t="n">
        <v>43891</v>
      </c>
    </row>
    <row r="293" customFormat="false" ht="13.8" hidden="false" customHeight="false" outlineLevel="0" collapsed="false">
      <c r="A293" s="59" t="s">
        <v>65</v>
      </c>
      <c r="B293" s="85" t="s">
        <v>289</v>
      </c>
      <c r="C293" s="86" t="s">
        <v>291</v>
      </c>
      <c r="D293" s="87" t="s">
        <v>271</v>
      </c>
      <c r="E293" s="89" t="n">
        <v>-25.5</v>
      </c>
      <c r="F293" s="64" t="n">
        <f aca="false">IF(ISNUMBER(FIND("SALDO ANTERIOR",C293)),0,IF(ISNUMBER(FIND("SALDO DO DIA",C293)),0,IF(ISNUMBER(FIND("SALDO PARCIAL",C293)),0,IF(ISNUMBER(FIND("SDO CTA/APL AUTOMATICAS",C293)),0,IF(ISNUMBER(FIND("APL APLIC AUT MAIS",C293)),0,IF(ISNUMBER(FIND("TEC DEPOSITO",C293)),0,IF(E293&gt;0,0,E293*(-1))))))))</f>
        <v>25.5</v>
      </c>
      <c r="G293" s="65" t="n">
        <f aca="false">IF(ISNUMBER(FIND("SALDO ANTERIOR",C293)),0,IF(ISNUMBER(FIND("SALDO DO DIA",C293)),0,IF(ISNUMBER(FIND("SDO CTA/APL AUTOMATICAS",C293)),0,IF(ISNUMBER(FIND("TEC DEPOSITO",C293)),0,IF(ISNUMBER(FIND("APL APLIC AUT MAIS",C293)),E293,IF(E293&gt;0,E293,0))))))</f>
        <v>0</v>
      </c>
      <c r="H293" s="66" t="n">
        <v>43891</v>
      </c>
    </row>
    <row r="294" customFormat="false" ht="13.8" hidden="false" customHeight="false" outlineLevel="0" collapsed="false">
      <c r="A294" s="59" t="s">
        <v>65</v>
      </c>
      <c r="B294" s="85" t="s">
        <v>289</v>
      </c>
      <c r="C294" s="86" t="s">
        <v>292</v>
      </c>
      <c r="D294" s="87" t="s">
        <v>271</v>
      </c>
      <c r="E294" s="89" t="n">
        <v>-19</v>
      </c>
      <c r="F294" s="64" t="n">
        <f aca="false">IF(ISNUMBER(FIND("SALDO ANTERIOR",C294)),0,IF(ISNUMBER(FIND("SALDO DO DIA",C294)),0,IF(ISNUMBER(FIND("SALDO PARCIAL",C294)),0,IF(ISNUMBER(FIND("SDO CTA/APL AUTOMATICAS",C294)),0,IF(ISNUMBER(FIND("APL APLIC AUT MAIS",C294)),0,IF(ISNUMBER(FIND("TEC DEPOSITO",C294)),0,IF(E294&gt;0,0,E294*(-1))))))))</f>
        <v>19</v>
      </c>
      <c r="G294" s="65" t="n">
        <f aca="false">IF(ISNUMBER(FIND("SALDO ANTERIOR",C294)),0,IF(ISNUMBER(FIND("SALDO DO DIA",C294)),0,IF(ISNUMBER(FIND("SDO CTA/APL AUTOMATICAS",C294)),0,IF(ISNUMBER(FIND("TEC DEPOSITO",C294)),0,IF(ISNUMBER(FIND("APL APLIC AUT MAIS",C294)),E294,IF(E294&gt;0,E294,0))))))</f>
        <v>0</v>
      </c>
      <c r="H294" s="66" t="n">
        <v>43891</v>
      </c>
    </row>
    <row r="295" customFormat="false" ht="13.8" hidden="false" customHeight="false" outlineLevel="0" collapsed="false">
      <c r="A295" s="59" t="s">
        <v>65</v>
      </c>
      <c r="B295" s="85" t="s">
        <v>289</v>
      </c>
      <c r="C295" s="86" t="s">
        <v>293</v>
      </c>
      <c r="D295" s="87" t="s">
        <v>271</v>
      </c>
      <c r="E295" s="89" t="n">
        <v>-22.61</v>
      </c>
      <c r="F295" s="64" t="n">
        <f aca="false">IF(ISNUMBER(FIND("SALDO ANTERIOR",C295)),0,IF(ISNUMBER(FIND("SALDO DO DIA",C295)),0,IF(ISNUMBER(FIND("SALDO PARCIAL",C295)),0,IF(ISNUMBER(FIND("SDO CTA/APL AUTOMATICAS",C295)),0,IF(ISNUMBER(FIND("APL APLIC AUT MAIS",C295)),0,IF(ISNUMBER(FIND("TEC DEPOSITO",C295)),0,IF(E295&gt;0,0,E295*(-1))))))))</f>
        <v>22.61</v>
      </c>
      <c r="G295" s="65" t="n">
        <f aca="false">IF(ISNUMBER(FIND("SALDO ANTERIOR",C295)),0,IF(ISNUMBER(FIND("SALDO DO DIA",C295)),0,IF(ISNUMBER(FIND("SDO CTA/APL AUTOMATICAS",C295)),0,IF(ISNUMBER(FIND("TEC DEPOSITO",C295)),0,IF(ISNUMBER(FIND("APL APLIC AUT MAIS",C295)),E295,IF(E295&gt;0,E295,0))))))</f>
        <v>0</v>
      </c>
      <c r="H295" s="66" t="n">
        <v>43891</v>
      </c>
    </row>
    <row r="296" customFormat="false" ht="13.8" hidden="false" customHeight="false" outlineLevel="0" collapsed="false">
      <c r="A296" s="59" t="s">
        <v>65</v>
      </c>
      <c r="B296" s="85" t="s">
        <v>289</v>
      </c>
      <c r="C296" s="86" t="s">
        <v>294</v>
      </c>
      <c r="D296" s="87" t="s">
        <v>271</v>
      </c>
      <c r="E296" s="89" t="n">
        <v>-2.99</v>
      </c>
      <c r="F296" s="64" t="n">
        <f aca="false">IF(ISNUMBER(FIND("SALDO ANTERIOR",C296)),0,IF(ISNUMBER(FIND("SALDO DO DIA",C296)),0,IF(ISNUMBER(FIND("SALDO PARCIAL",C296)),0,IF(ISNUMBER(FIND("SDO CTA/APL AUTOMATICAS",C296)),0,IF(ISNUMBER(FIND("APL APLIC AUT MAIS",C296)),0,IF(ISNUMBER(FIND("TEC DEPOSITO",C296)),0,IF(E296&gt;0,0,E296*(-1))))))))</f>
        <v>2.99</v>
      </c>
      <c r="G296" s="65" t="n">
        <f aca="false">IF(ISNUMBER(FIND("SALDO ANTERIOR",C296)),0,IF(ISNUMBER(FIND("SALDO DO DIA",C296)),0,IF(ISNUMBER(FIND("SDO CTA/APL AUTOMATICAS",C296)),0,IF(ISNUMBER(FIND("TEC DEPOSITO",C296)),0,IF(ISNUMBER(FIND("APL APLIC AUT MAIS",C296)),E296,IF(E296&gt;0,E296,0))))))</f>
        <v>0</v>
      </c>
      <c r="H296" s="66" t="n">
        <v>43891</v>
      </c>
    </row>
    <row r="297" customFormat="false" ht="13.8" hidden="false" customHeight="false" outlineLevel="0" collapsed="false">
      <c r="A297" s="59" t="s">
        <v>295</v>
      </c>
      <c r="B297" s="85" t="s">
        <v>289</v>
      </c>
      <c r="C297" s="86" t="s">
        <v>296</v>
      </c>
      <c r="D297" s="87" t="s">
        <v>61</v>
      </c>
      <c r="E297" s="89" t="n">
        <v>-5.23</v>
      </c>
      <c r="F297" s="64" t="n">
        <f aca="false">IF(ISNUMBER(FIND("SALDO ANTERIOR",C297)),0,IF(ISNUMBER(FIND("SALDO DO DIA",C297)),0,IF(ISNUMBER(FIND("SALDO PARCIAL",C297)),0,IF(ISNUMBER(FIND("SDO CTA/APL AUTOMATICAS",C297)),0,IF(ISNUMBER(FIND("APL APLIC AUT MAIS",C297)),0,IF(ISNUMBER(FIND("TEC DEPOSITO",C297)),0,IF(E297&gt;0,0,E297*(-1))))))))</f>
        <v>5.23</v>
      </c>
      <c r="G297" s="65" t="n">
        <f aca="false">IF(ISNUMBER(FIND("SALDO ANTERIOR",C297)),0,IF(ISNUMBER(FIND("SALDO DO DIA",C297)),0,IF(ISNUMBER(FIND("SDO CTA/APL AUTOMATICAS",C297)),0,IF(ISNUMBER(FIND("TEC DEPOSITO",C297)),0,IF(ISNUMBER(FIND("APL APLIC AUT MAIS",C297)),E297,IF(E297&gt;0,E297,0))))))</f>
        <v>0</v>
      </c>
      <c r="H297" s="66" t="n">
        <v>43891</v>
      </c>
    </row>
    <row r="298" customFormat="false" ht="13.8" hidden="false" customHeight="false" outlineLevel="0" collapsed="false">
      <c r="A298" s="59" t="s">
        <v>219</v>
      </c>
      <c r="B298" s="85" t="s">
        <v>289</v>
      </c>
      <c r="C298" s="86" t="s">
        <v>221</v>
      </c>
      <c r="D298" s="87" t="s">
        <v>61</v>
      </c>
      <c r="E298" s="89" t="n">
        <v>-360.77</v>
      </c>
      <c r="F298" s="64" t="n">
        <f aca="false">IF(ISNUMBER(FIND("SALDO ANTERIOR",C298)),0,IF(ISNUMBER(FIND("SALDO DO DIA",C298)),0,IF(ISNUMBER(FIND("SALDO PARCIAL",C298)),0,IF(ISNUMBER(FIND("SDO CTA/APL AUTOMATICAS",C298)),0,IF(ISNUMBER(FIND("APL APLIC AUT MAIS",C298)),0,IF(ISNUMBER(FIND("TEC DEPOSITO",C298)),0,IF(E298&gt;0,0,E298*(-1))))))))</f>
        <v>360.77</v>
      </c>
      <c r="G298" s="65" t="n">
        <f aca="false">IF(ISNUMBER(FIND("SALDO ANTERIOR",C298)),0,IF(ISNUMBER(FIND("SALDO DO DIA",C298)),0,IF(ISNUMBER(FIND("SDO CTA/APL AUTOMATICAS",C298)),0,IF(ISNUMBER(FIND("TEC DEPOSITO",C298)),0,IF(ISNUMBER(FIND("APL APLIC AUT MAIS",C298)),E298,IF(E298&gt;0,E298,0))))))</f>
        <v>0</v>
      </c>
      <c r="H298" s="66" t="n">
        <v>43891</v>
      </c>
    </row>
    <row r="299" customFormat="false" ht="13.8" hidden="false" customHeight="false" outlineLevel="0" collapsed="false">
      <c r="A299" s="59" t="s">
        <v>122</v>
      </c>
      <c r="B299" s="85" t="s">
        <v>289</v>
      </c>
      <c r="C299" s="86" t="s">
        <v>123</v>
      </c>
      <c r="D299" s="87" t="s">
        <v>61</v>
      </c>
      <c r="E299" s="89" t="n">
        <v>-2972.19</v>
      </c>
      <c r="F299" s="64" t="n">
        <f aca="false">IF(ISNUMBER(FIND("SALDO ANTERIOR",C299)),0,IF(ISNUMBER(FIND("SALDO DO DIA",C299)),0,IF(ISNUMBER(FIND("SALDO PARCIAL",C299)),0,IF(ISNUMBER(FIND("SDO CTA/APL AUTOMATICAS",C299)),0,IF(ISNUMBER(FIND("APL APLIC AUT MAIS",C299)),0,IF(ISNUMBER(FIND("TEC DEPOSITO",C299)),0,IF(E299&gt;0,0,E299*(-1))))))))</f>
        <v>2972.19</v>
      </c>
      <c r="G299" s="65" t="n">
        <f aca="false">IF(ISNUMBER(FIND("SALDO ANTERIOR",C299)),0,IF(ISNUMBER(FIND("SALDO DO DIA",C299)),0,IF(ISNUMBER(FIND("SDO CTA/APL AUTOMATICAS",C299)),0,IF(ISNUMBER(FIND("TEC DEPOSITO",C299)),0,IF(ISNUMBER(FIND("APL APLIC AUT MAIS",C299)),E299,IF(E299&gt;0,E299,0))))))</f>
        <v>0</v>
      </c>
      <c r="H299" s="66" t="n">
        <v>43891</v>
      </c>
    </row>
    <row r="300" customFormat="false" ht="13.8" hidden="false" customHeight="false" outlineLevel="0" collapsed="false">
      <c r="A300" s="59" t="s">
        <v>167</v>
      </c>
      <c r="B300" s="85" t="s">
        <v>289</v>
      </c>
      <c r="C300" s="86" t="s">
        <v>168</v>
      </c>
      <c r="D300" s="87" t="s">
        <v>61</v>
      </c>
      <c r="E300" s="88" t="n">
        <v>2000</v>
      </c>
      <c r="F300" s="64" t="n">
        <f aca="false">IF(ISNUMBER(FIND("SALDO ANTERIOR",C300)),0,IF(ISNUMBER(FIND("SALDO DO DIA",C300)),0,IF(ISNUMBER(FIND("SALDO PARCIAL",C300)),0,IF(ISNUMBER(FIND("SDO CTA/APL AUTOMATICAS",C300)),0,IF(ISNUMBER(FIND("APL APLIC AUT MAIS",C300)),0,IF(ISNUMBER(FIND("TEC DEPOSITO",C300)),0,IF(E300&gt;0,0,E300*(-1))))))))</f>
        <v>0</v>
      </c>
      <c r="G300" s="65" t="n">
        <f aca="false">IF(ISNUMBER(FIND("SALDO ANTERIOR",C300)),0,IF(ISNUMBER(FIND("SALDO DO DIA",C300)),0,IF(ISNUMBER(FIND("SDO CTA/APL AUTOMATICAS",C300)),0,IF(ISNUMBER(FIND("TEC DEPOSITO",C300)),0,IF(ISNUMBER(FIND("APL APLIC AUT MAIS",C300)),E300,IF(E300&gt;0,E300,0))))))</f>
        <v>2000</v>
      </c>
      <c r="H300" s="66" t="n">
        <v>43891</v>
      </c>
    </row>
    <row r="301" customFormat="false" ht="13.8" hidden="false" customHeight="false" outlineLevel="0" collapsed="false">
      <c r="A301" s="59" t="s">
        <v>127</v>
      </c>
      <c r="B301" s="85" t="s">
        <v>289</v>
      </c>
      <c r="C301" s="86" t="s">
        <v>128</v>
      </c>
      <c r="D301" s="87"/>
      <c r="E301" s="88" t="n">
        <v>4390</v>
      </c>
      <c r="F301" s="64" t="n">
        <f aca="false">IF(ISNUMBER(FIND("SALDO ANTERIOR",C301)),0,IF(ISNUMBER(FIND("SALDO DO DIA",C301)),0,IF(ISNUMBER(FIND("SALDO PARCIAL",C301)),0,IF(ISNUMBER(FIND("SDO CTA/APL AUTOMATICAS",C301)),0,IF(ISNUMBER(FIND("APL APLIC AUT MAIS",C301)),0,IF(ISNUMBER(FIND("TEC DEPOSITO",C301)),0,IF(E301&gt;0,0,E301*(-1))))))))</f>
        <v>0</v>
      </c>
      <c r="G301" s="65" t="n">
        <f aca="false">IF(ISNUMBER(FIND("SALDO ANTERIOR",C301)),0,IF(ISNUMBER(FIND("SALDO DO DIA",C301)),0,IF(ISNUMBER(FIND("SDO CTA/APL AUTOMATICAS",C301)),0,IF(ISNUMBER(FIND("TEC DEPOSITO",C301)),0,IF(ISNUMBER(FIND("APL APLIC AUT MAIS",C301)),E301,IF(E301&gt;0,E301,0))))))</f>
        <v>4390</v>
      </c>
      <c r="H301" s="66" t="n">
        <v>43891</v>
      </c>
    </row>
    <row r="302" customFormat="false" ht="13.8" hidden="false" customHeight="false" outlineLevel="0" collapsed="false">
      <c r="A302" s="59" t="s">
        <v>29</v>
      </c>
      <c r="B302" s="85" t="s">
        <v>289</v>
      </c>
      <c r="C302" s="86" t="s">
        <v>129</v>
      </c>
      <c r="D302" s="87"/>
      <c r="E302" s="89" t="n">
        <v>-2552.79</v>
      </c>
      <c r="F302" s="64" t="n">
        <f aca="false">IF(ISNUMBER(FIND("SALDO ANTERIOR",C302)),0,IF(ISNUMBER(FIND("SALDO DO DIA",C302)),0,IF(ISNUMBER(FIND("SALDO PARCIAL",C302)),0,IF(ISNUMBER(FIND("SDO CTA/APL AUTOMATICAS",C302)),0,IF(ISNUMBER(FIND("APL APLIC AUT MAIS",C302)),0,IF(ISNUMBER(FIND("TEC DEPOSITO",C302)),0,IF(E302&gt;0,0,E302*(-1))))))))</f>
        <v>0</v>
      </c>
      <c r="G302" s="65" t="n">
        <f aca="false">IF(ISNUMBER(FIND("SALDO ANTERIOR",C302)),0,IF(ISNUMBER(FIND("SALDO DO DIA",C302)),0,IF(ISNUMBER(FIND("SDO CTA/APL AUTOMATICAS",C302)),0,IF(ISNUMBER(FIND("TEC DEPOSITO",C302)),0,IF(ISNUMBER(FIND("APL APLIC AUT MAIS",C302)),E302,IF(E302&gt;0,E302,0))))))</f>
        <v>-2552.79</v>
      </c>
      <c r="H302" s="66" t="n">
        <v>43891</v>
      </c>
    </row>
    <row r="303" customFormat="false" ht="13.8" hidden="false" customHeight="false" outlineLevel="0" collapsed="false">
      <c r="A303" s="59" t="s">
        <v>29</v>
      </c>
      <c r="B303" s="85" t="s">
        <v>289</v>
      </c>
      <c r="C303" s="86" t="s">
        <v>70</v>
      </c>
      <c r="D303" s="87"/>
      <c r="E303" s="88" t="n">
        <v>2552.79</v>
      </c>
      <c r="F303" s="64" t="n">
        <f aca="false">IF(ISNUMBER(FIND("SALDO ANTERIOR",C303)),0,IF(ISNUMBER(FIND("SALDO DO DIA",C303)),0,IF(ISNUMBER(FIND("SALDO PARCIAL",C303)),0,IF(ISNUMBER(FIND("SDO CTA/APL AUTOMATICAS",C303)),0,IF(ISNUMBER(FIND("APL APLIC AUT MAIS",C303)),0,IF(ISNUMBER(FIND("TEC DEPOSITO",C303)),0,IF(E303&gt;0,0,E303*(-1))))))))</f>
        <v>0</v>
      </c>
      <c r="G303" s="65" t="n">
        <f aca="false">IF(ISNUMBER(FIND("SALDO ANTERIOR",C303)),0,IF(ISNUMBER(FIND("SALDO DO DIA",C303)),0,IF(ISNUMBER(FIND("SDO CTA/APL AUTOMATICAS",C303)),0,IF(ISNUMBER(FIND("TEC DEPOSITO",C303)),0,IF(ISNUMBER(FIND("APL APLIC AUT MAIS",C303)),E303,IF(E303&gt;0,E303,0))))))</f>
        <v>2552.79</v>
      </c>
      <c r="H303" s="66" t="n">
        <v>43891</v>
      </c>
    </row>
    <row r="304" customFormat="false" ht="13.8" hidden="false" customHeight="false" outlineLevel="0" collapsed="false">
      <c r="A304" s="59" t="s">
        <v>29</v>
      </c>
      <c r="B304" s="85" t="s">
        <v>289</v>
      </c>
      <c r="C304" s="86" t="s">
        <v>110</v>
      </c>
      <c r="D304" s="87"/>
      <c r="E304" s="88" t="n">
        <v>10</v>
      </c>
      <c r="F304" s="64" t="n">
        <f aca="false">IF(ISNUMBER(FIND("SALDO ANTERIOR",C304)),0,IF(ISNUMBER(FIND("SALDO DO DIA",C304)),0,IF(ISNUMBER(FIND("SALDO PARCIAL",C304)),0,IF(ISNUMBER(FIND("SDO CTA/APL AUTOMATICAS",C304)),0,IF(ISNUMBER(FIND("APL APLIC AUT MAIS",C304)),0,IF(ISNUMBER(FIND("TEC DEPOSITO",C304)),0,IF(E304&gt;0,0,E304*(-1))))))))</f>
        <v>0</v>
      </c>
      <c r="G304" s="65" t="n">
        <f aca="false">IF(ISNUMBER(FIND("SALDO ANTERIOR",C304)),0,IF(ISNUMBER(FIND("SALDO DO DIA",C304)),0,IF(ISNUMBER(FIND("SDO CTA/APL AUTOMATICAS",C304)),0,IF(ISNUMBER(FIND("TEC DEPOSITO",C304)),0,IF(ISNUMBER(FIND("APL APLIC AUT MAIS",C304)),E304,IF(E304&gt;0,E304,0))))))</f>
        <v>10</v>
      </c>
      <c r="H304" s="66" t="n">
        <v>43891</v>
      </c>
    </row>
    <row r="305" customFormat="false" ht="15" hidden="false" customHeight="false" outlineLevel="0" collapsed="false">
      <c r="A305" s="59" t="s">
        <v>29</v>
      </c>
      <c r="B305" s="85" t="s">
        <v>289</v>
      </c>
      <c r="C305" s="90" t="s">
        <v>111</v>
      </c>
      <c r="D305" s="87"/>
      <c r="E305" s="91" t="n">
        <v>10</v>
      </c>
      <c r="F305" s="64" t="n">
        <f aca="false">IF(ISNUMBER(FIND("SALDO ANTERIOR",C305)),0,IF(ISNUMBER(FIND("SALDO DO DIA",C305)),0,IF(ISNUMBER(FIND("SALDO PARCIAL",C305)),0,IF(ISNUMBER(FIND("SDO CTA/APL AUTOMATICAS",C305)),0,IF(ISNUMBER(FIND("APL APLIC AUT MAIS",C305)),0,IF(ISNUMBER(FIND("TEC DEPOSITO",C305)),0,IF(E305&gt;0,0,E305*(-1))))))))</f>
        <v>0</v>
      </c>
      <c r="G305" s="65" t="n">
        <f aca="false">IF(ISNUMBER(FIND("SALDO ANTERIOR",C305)),0,IF(ISNUMBER(FIND("SALDO DO DIA",C305)),0,IF(ISNUMBER(FIND("SDO CTA/APL AUTOMATICAS",C305)),0,IF(ISNUMBER(FIND("TEC DEPOSITO",C305)),0,IF(ISNUMBER(FIND("APL APLIC AUT MAIS",C305)),E305,IF(E305&gt;0,E305,0))))))</f>
        <v>0</v>
      </c>
      <c r="H305" s="66" t="n">
        <v>43891</v>
      </c>
    </row>
    <row r="306" customFormat="false" ht="13.8" hidden="false" customHeight="false" outlineLevel="0" collapsed="false">
      <c r="A306" s="59" t="s">
        <v>297</v>
      </c>
      <c r="B306" s="85" t="s">
        <v>298</v>
      </c>
      <c r="C306" s="86" t="s">
        <v>299</v>
      </c>
      <c r="D306" s="87" t="s">
        <v>271</v>
      </c>
      <c r="E306" s="89" t="n">
        <v>-317.9</v>
      </c>
      <c r="F306" s="64" t="n">
        <f aca="false">IF(ISNUMBER(FIND("SALDO ANTERIOR",C306)),0,IF(ISNUMBER(FIND("SALDO DO DIA",C306)),0,IF(ISNUMBER(FIND("SALDO PARCIAL",C306)),0,IF(ISNUMBER(FIND("SDO CTA/APL AUTOMATICAS",C306)),0,IF(ISNUMBER(FIND("APL APLIC AUT MAIS",C306)),0,IF(ISNUMBER(FIND("TEC DEPOSITO",C306)),0,IF(E306&gt;0,0,E306*(-1))))))))</f>
        <v>317.9</v>
      </c>
      <c r="G306" s="65" t="n">
        <f aca="false">IF(ISNUMBER(FIND("SALDO ANTERIOR",C306)),0,IF(ISNUMBER(FIND("SALDO DO DIA",C306)),0,IF(ISNUMBER(FIND("SDO CTA/APL AUTOMATICAS",C306)),0,IF(ISNUMBER(FIND("TEC DEPOSITO",C306)),0,IF(ISNUMBER(FIND("APL APLIC AUT MAIS",C306)),E306,IF(E306&gt;0,E306,0))))))</f>
        <v>0</v>
      </c>
      <c r="H306" s="66" t="n">
        <v>43891</v>
      </c>
    </row>
    <row r="307" customFormat="false" ht="13.8" hidden="false" customHeight="false" outlineLevel="0" collapsed="false">
      <c r="A307" s="59" t="s">
        <v>297</v>
      </c>
      <c r="B307" s="85" t="s">
        <v>298</v>
      </c>
      <c r="C307" s="86" t="s">
        <v>300</v>
      </c>
      <c r="D307" s="87" t="s">
        <v>271</v>
      </c>
      <c r="E307" s="89" t="n">
        <v>-9</v>
      </c>
      <c r="F307" s="64" t="n">
        <f aca="false">IF(ISNUMBER(FIND("SALDO ANTERIOR",C307)),0,IF(ISNUMBER(FIND("SALDO DO DIA",C307)),0,IF(ISNUMBER(FIND("SALDO PARCIAL",C307)),0,IF(ISNUMBER(FIND("SDO CTA/APL AUTOMATICAS",C307)),0,IF(ISNUMBER(FIND("APL APLIC AUT MAIS",C307)),0,IF(ISNUMBER(FIND("TEC DEPOSITO",C307)),0,IF(E307&gt;0,0,E307*(-1))))))))</f>
        <v>9</v>
      </c>
      <c r="G307" s="65" t="n">
        <f aca="false">IF(ISNUMBER(FIND("SALDO ANTERIOR",C307)),0,IF(ISNUMBER(FIND("SALDO DO DIA",C307)),0,IF(ISNUMBER(FIND("SDO CTA/APL AUTOMATICAS",C307)),0,IF(ISNUMBER(FIND("TEC DEPOSITO",C307)),0,IF(ISNUMBER(FIND("APL APLIC AUT MAIS",C307)),E307,IF(E307&gt;0,E307,0))))))</f>
        <v>0</v>
      </c>
      <c r="H307" s="66" t="n">
        <v>43891</v>
      </c>
    </row>
    <row r="308" customFormat="false" ht="13.8" hidden="false" customHeight="false" outlineLevel="0" collapsed="false">
      <c r="A308" s="59" t="s">
        <v>297</v>
      </c>
      <c r="B308" s="85" t="s">
        <v>298</v>
      </c>
      <c r="C308" s="86" t="s">
        <v>301</v>
      </c>
      <c r="D308" s="87" t="s">
        <v>271</v>
      </c>
      <c r="E308" s="89" t="n">
        <v>-17</v>
      </c>
      <c r="F308" s="64" t="n">
        <f aca="false">IF(ISNUMBER(FIND("SALDO ANTERIOR",C308)),0,IF(ISNUMBER(FIND("SALDO DO DIA",C308)),0,IF(ISNUMBER(FIND("SALDO PARCIAL",C308)),0,IF(ISNUMBER(FIND("SDO CTA/APL AUTOMATICAS",C308)),0,IF(ISNUMBER(FIND("APL APLIC AUT MAIS",C308)),0,IF(ISNUMBER(FIND("TEC DEPOSITO",C308)),0,IF(E308&gt;0,0,E308*(-1))))))))</f>
        <v>17</v>
      </c>
      <c r="G308" s="65" t="n">
        <f aca="false">IF(ISNUMBER(FIND("SALDO ANTERIOR",C308)),0,IF(ISNUMBER(FIND("SALDO DO DIA",C308)),0,IF(ISNUMBER(FIND("SDO CTA/APL AUTOMATICAS",C308)),0,IF(ISNUMBER(FIND("TEC DEPOSITO",C308)),0,IF(ISNUMBER(FIND("APL APLIC AUT MAIS",C308)),E308,IF(E308&gt;0,E308,0))))))</f>
        <v>0</v>
      </c>
      <c r="H308" s="66" t="n">
        <v>43891</v>
      </c>
    </row>
    <row r="309" customFormat="false" ht="13.8" hidden="false" customHeight="false" outlineLevel="0" collapsed="false">
      <c r="A309" s="59" t="s">
        <v>67</v>
      </c>
      <c r="B309" s="85" t="s">
        <v>298</v>
      </c>
      <c r="C309" s="86" t="s">
        <v>69</v>
      </c>
      <c r="D309" s="87"/>
      <c r="E309" s="88" t="n">
        <v>343.9</v>
      </c>
      <c r="F309" s="64" t="n">
        <f aca="false">IF(ISNUMBER(FIND("SALDO ANTERIOR",C309)),0,IF(ISNUMBER(FIND("SALDO DO DIA",C309)),0,IF(ISNUMBER(FIND("SALDO PARCIAL",C309)),0,IF(ISNUMBER(FIND("SDO CTA/APL AUTOMATICAS",C309)),0,IF(ISNUMBER(FIND("APL APLIC AUT MAIS",C309)),0,IF(ISNUMBER(FIND("TEC DEPOSITO",C309)),0,IF(E309&gt;0,0,E309*(-1))))))))</f>
        <v>0</v>
      </c>
      <c r="G309" s="65" t="n">
        <f aca="false">IF(ISNUMBER(FIND("SALDO ANTERIOR",C309)),0,IF(ISNUMBER(FIND("SALDO DO DIA",C309)),0,IF(ISNUMBER(FIND("SDO CTA/APL AUTOMATICAS",C309)),0,IF(ISNUMBER(FIND("TEC DEPOSITO",C309)),0,IF(ISNUMBER(FIND("APL APLIC AUT MAIS",C309)),E309,IF(E309&gt;0,E309,0))))))</f>
        <v>343.9</v>
      </c>
      <c r="H309" s="66" t="n">
        <v>43891</v>
      </c>
    </row>
    <row r="310" customFormat="false" ht="13.8" hidden="false" customHeight="false" outlineLevel="0" collapsed="false">
      <c r="A310" s="59" t="s">
        <v>29</v>
      </c>
      <c r="B310" s="85" t="s">
        <v>298</v>
      </c>
      <c r="C310" s="86" t="s">
        <v>70</v>
      </c>
      <c r="D310" s="87"/>
      <c r="E310" s="88" t="n">
        <v>2208.89</v>
      </c>
      <c r="F310" s="64" t="n">
        <f aca="false">IF(ISNUMBER(FIND("SALDO ANTERIOR",C310)),0,IF(ISNUMBER(FIND("SALDO DO DIA",C310)),0,IF(ISNUMBER(FIND("SALDO PARCIAL",C310)),0,IF(ISNUMBER(FIND("SDO CTA/APL AUTOMATICAS",C310)),0,IF(ISNUMBER(FIND("APL APLIC AUT MAIS",C310)),0,IF(ISNUMBER(FIND("TEC DEPOSITO",C310)),0,IF(E310&gt;0,0,E310*(-1))))))))</f>
        <v>0</v>
      </c>
      <c r="G310" s="65" t="n">
        <f aca="false">IF(ISNUMBER(FIND("SALDO ANTERIOR",C310)),0,IF(ISNUMBER(FIND("SALDO DO DIA",C310)),0,IF(ISNUMBER(FIND("SDO CTA/APL AUTOMATICAS",C310)),0,IF(ISNUMBER(FIND("TEC DEPOSITO",C310)),0,IF(ISNUMBER(FIND("APL APLIC AUT MAIS",C310)),E310,IF(E310&gt;0,E310,0))))))</f>
        <v>2208.89</v>
      </c>
      <c r="H310" s="66" t="n">
        <v>43891</v>
      </c>
    </row>
    <row r="311" customFormat="false" ht="13.8" hidden="false" customHeight="false" outlineLevel="0" collapsed="false">
      <c r="A311" s="59" t="s">
        <v>297</v>
      </c>
      <c r="B311" s="85" t="s">
        <v>302</v>
      </c>
      <c r="C311" s="86" t="s">
        <v>303</v>
      </c>
      <c r="D311" s="87" t="s">
        <v>271</v>
      </c>
      <c r="E311" s="89" t="n">
        <v>-240</v>
      </c>
      <c r="F311" s="64" t="n">
        <f aca="false">IF(ISNUMBER(FIND("SALDO ANTERIOR",C311)),0,IF(ISNUMBER(FIND("SALDO DO DIA",C311)),0,IF(ISNUMBER(FIND("SALDO PARCIAL",C311)),0,IF(ISNUMBER(FIND("SDO CTA/APL AUTOMATICAS",C311)),0,IF(ISNUMBER(FIND("APL APLIC AUT MAIS",C311)),0,IF(ISNUMBER(FIND("TEC DEPOSITO",C311)),0,IF(E311&gt;0,0,E311*(-1))))))))</f>
        <v>240</v>
      </c>
      <c r="G311" s="65" t="n">
        <f aca="false">IF(ISNUMBER(FIND("SALDO ANTERIOR",C311)),0,IF(ISNUMBER(FIND("SALDO DO DIA",C311)),0,IF(ISNUMBER(FIND("SDO CTA/APL AUTOMATICAS",C311)),0,IF(ISNUMBER(FIND("TEC DEPOSITO",C311)),0,IF(ISNUMBER(FIND("APL APLIC AUT MAIS",C311)),E311,IF(E311&gt;0,E311,0))))))</f>
        <v>0</v>
      </c>
      <c r="H311" s="66" t="n">
        <v>43891</v>
      </c>
    </row>
    <row r="312" customFormat="false" ht="13.8" hidden="false" customHeight="false" outlineLevel="0" collapsed="false">
      <c r="A312" s="59" t="s">
        <v>67</v>
      </c>
      <c r="B312" s="85" t="s">
        <v>302</v>
      </c>
      <c r="C312" s="86" t="s">
        <v>69</v>
      </c>
      <c r="D312" s="87"/>
      <c r="E312" s="88" t="n">
        <v>240</v>
      </c>
      <c r="F312" s="64" t="n">
        <f aca="false">IF(ISNUMBER(FIND("SALDO ANTERIOR",C312)),0,IF(ISNUMBER(FIND("SALDO DO DIA",C312)),0,IF(ISNUMBER(FIND("SALDO PARCIAL",C312)),0,IF(ISNUMBER(FIND("SDO CTA/APL AUTOMATICAS",C312)),0,IF(ISNUMBER(FIND("APL APLIC AUT MAIS",C312)),0,IF(ISNUMBER(FIND("TEC DEPOSITO",C312)),0,IF(E312&gt;0,0,E312*(-1))))))))</f>
        <v>0</v>
      </c>
      <c r="G312" s="65" t="n">
        <f aca="false">IF(ISNUMBER(FIND("SALDO ANTERIOR",C312)),0,IF(ISNUMBER(FIND("SALDO DO DIA",C312)),0,IF(ISNUMBER(FIND("SDO CTA/APL AUTOMATICAS",C312)),0,IF(ISNUMBER(FIND("TEC DEPOSITO",C312)),0,IF(ISNUMBER(FIND("APL APLIC AUT MAIS",C312)),E312,IF(E312&gt;0,E312,0))))))</f>
        <v>240</v>
      </c>
      <c r="H312" s="66" t="n">
        <v>43891</v>
      </c>
    </row>
    <row r="313" customFormat="false" ht="13.8" hidden="false" customHeight="false" outlineLevel="0" collapsed="false">
      <c r="A313" s="59" t="s">
        <v>29</v>
      </c>
      <c r="B313" s="85" t="s">
        <v>302</v>
      </c>
      <c r="C313" s="86" t="s">
        <v>70</v>
      </c>
      <c r="D313" s="87"/>
      <c r="E313" s="88" t="n">
        <v>1968.89</v>
      </c>
      <c r="F313" s="64" t="n">
        <f aca="false">IF(ISNUMBER(FIND("SALDO ANTERIOR",C313)),0,IF(ISNUMBER(FIND("SALDO DO DIA",C313)),0,IF(ISNUMBER(FIND("SALDO PARCIAL",C313)),0,IF(ISNUMBER(FIND("SDO CTA/APL AUTOMATICAS",C313)),0,IF(ISNUMBER(FIND("APL APLIC AUT MAIS",C313)),0,IF(ISNUMBER(FIND("TEC DEPOSITO",C313)),0,IF(E313&gt;0,0,E313*(-1))))))))</f>
        <v>0</v>
      </c>
      <c r="G313" s="65" t="n">
        <f aca="false">IF(ISNUMBER(FIND("SALDO ANTERIOR",C313)),0,IF(ISNUMBER(FIND("SALDO DO DIA",C313)),0,IF(ISNUMBER(FIND("SDO CTA/APL AUTOMATICAS",C313)),0,IF(ISNUMBER(FIND("TEC DEPOSITO",C313)),0,IF(ISNUMBER(FIND("APL APLIC AUT MAIS",C313)),E313,IF(E313&gt;0,E313,0))))))</f>
        <v>1968.89</v>
      </c>
      <c r="H313" s="66" t="n">
        <v>43891</v>
      </c>
    </row>
    <row r="314" customFormat="false" ht="13.8" hidden="false" customHeight="false" outlineLevel="0" collapsed="false">
      <c r="A314" s="59" t="s">
        <v>297</v>
      </c>
      <c r="B314" s="85" t="s">
        <v>304</v>
      </c>
      <c r="C314" s="86" t="s">
        <v>305</v>
      </c>
      <c r="D314" s="87" t="s">
        <v>271</v>
      </c>
      <c r="E314" s="89" t="n">
        <v>-27.2</v>
      </c>
      <c r="F314" s="64" t="n">
        <f aca="false">IF(ISNUMBER(FIND("SALDO ANTERIOR",C314)),0,IF(ISNUMBER(FIND("SALDO DO DIA",C314)),0,IF(ISNUMBER(FIND("SALDO PARCIAL",C314)),0,IF(ISNUMBER(FIND("SDO CTA/APL AUTOMATICAS",C314)),0,IF(ISNUMBER(FIND("APL APLIC AUT MAIS",C314)),0,IF(ISNUMBER(FIND("TEC DEPOSITO",C314)),0,IF(E314&gt;0,0,E314*(-1))))))))</f>
        <v>27.2</v>
      </c>
      <c r="G314" s="65" t="n">
        <f aca="false">IF(ISNUMBER(FIND("SALDO ANTERIOR",C314)),0,IF(ISNUMBER(FIND("SALDO DO DIA",C314)),0,IF(ISNUMBER(FIND("SDO CTA/APL AUTOMATICAS",C314)),0,IF(ISNUMBER(FIND("TEC DEPOSITO",C314)),0,IF(ISNUMBER(FIND("APL APLIC AUT MAIS",C314)),E314,IF(E314&gt;0,E314,0))))))</f>
        <v>0</v>
      </c>
      <c r="H314" s="66" t="n">
        <v>43891</v>
      </c>
    </row>
    <row r="315" customFormat="false" ht="13.8" hidden="false" customHeight="false" outlineLevel="0" collapsed="false">
      <c r="A315" s="59" t="s">
        <v>297</v>
      </c>
      <c r="B315" s="85" t="s">
        <v>304</v>
      </c>
      <c r="C315" s="86" t="s">
        <v>305</v>
      </c>
      <c r="D315" s="87" t="s">
        <v>271</v>
      </c>
      <c r="E315" s="89" t="n">
        <v>-7</v>
      </c>
      <c r="F315" s="64" t="n">
        <f aca="false">IF(ISNUMBER(FIND("SALDO ANTERIOR",C315)),0,IF(ISNUMBER(FIND("SALDO DO DIA",C315)),0,IF(ISNUMBER(FIND("SALDO PARCIAL",C315)),0,IF(ISNUMBER(FIND("SDO CTA/APL AUTOMATICAS",C315)),0,IF(ISNUMBER(FIND("APL APLIC AUT MAIS",C315)),0,IF(ISNUMBER(FIND("TEC DEPOSITO",C315)),0,IF(E315&gt;0,0,E315*(-1))))))))</f>
        <v>7</v>
      </c>
      <c r="G315" s="65" t="n">
        <f aca="false">IF(ISNUMBER(FIND("SALDO ANTERIOR",C315)),0,IF(ISNUMBER(FIND("SALDO DO DIA",C315)),0,IF(ISNUMBER(FIND("SDO CTA/APL AUTOMATICAS",C315)),0,IF(ISNUMBER(FIND("TEC DEPOSITO",C315)),0,IF(ISNUMBER(FIND("APL APLIC AUT MAIS",C315)),E315,IF(E315&gt;0,E315,0))))))</f>
        <v>0</v>
      </c>
      <c r="H315" s="66" t="n">
        <v>43891</v>
      </c>
    </row>
    <row r="316" customFormat="false" ht="13.8" hidden="false" customHeight="false" outlineLevel="0" collapsed="false">
      <c r="A316" s="59" t="s">
        <v>297</v>
      </c>
      <c r="B316" s="85" t="s">
        <v>304</v>
      </c>
      <c r="C316" s="86" t="s">
        <v>306</v>
      </c>
      <c r="D316" s="87" t="s">
        <v>271</v>
      </c>
      <c r="E316" s="89" t="n">
        <v>-75.48</v>
      </c>
      <c r="F316" s="64" t="n">
        <f aca="false">IF(ISNUMBER(FIND("SALDO ANTERIOR",C316)),0,IF(ISNUMBER(FIND("SALDO DO DIA",C316)),0,IF(ISNUMBER(FIND("SALDO PARCIAL",C316)),0,IF(ISNUMBER(FIND("SDO CTA/APL AUTOMATICAS",C316)),0,IF(ISNUMBER(FIND("APL APLIC AUT MAIS",C316)),0,IF(ISNUMBER(FIND("TEC DEPOSITO",C316)),0,IF(E316&gt;0,0,E316*(-1))))))))</f>
        <v>75.48</v>
      </c>
      <c r="G316" s="65" t="n">
        <f aca="false">IF(ISNUMBER(FIND("SALDO ANTERIOR",C316)),0,IF(ISNUMBER(FIND("SALDO DO DIA",C316)),0,IF(ISNUMBER(FIND("SDO CTA/APL AUTOMATICAS",C316)),0,IF(ISNUMBER(FIND("TEC DEPOSITO",C316)),0,IF(ISNUMBER(FIND("APL APLIC AUT MAIS",C316)),E316,IF(E316&gt;0,E316,0))))))</f>
        <v>0</v>
      </c>
      <c r="H316" s="66" t="n">
        <v>43891</v>
      </c>
    </row>
    <row r="317" customFormat="false" ht="13.8" hidden="false" customHeight="false" outlineLevel="0" collapsed="false">
      <c r="A317" s="59" t="s">
        <v>67</v>
      </c>
      <c r="B317" s="85" t="s">
        <v>304</v>
      </c>
      <c r="C317" s="86" t="s">
        <v>69</v>
      </c>
      <c r="D317" s="87"/>
      <c r="E317" s="88" t="n">
        <v>109.68</v>
      </c>
      <c r="F317" s="64" t="n">
        <f aca="false">IF(ISNUMBER(FIND("SALDO ANTERIOR",C317)),0,IF(ISNUMBER(FIND("SALDO DO DIA",C317)),0,IF(ISNUMBER(FIND("SALDO PARCIAL",C317)),0,IF(ISNUMBER(FIND("SDO CTA/APL AUTOMATICAS",C317)),0,IF(ISNUMBER(FIND("APL APLIC AUT MAIS",C317)),0,IF(ISNUMBER(FIND("TEC DEPOSITO",C317)),0,IF(E317&gt;0,0,E317*(-1))))))))</f>
        <v>0</v>
      </c>
      <c r="G317" s="65" t="n">
        <f aca="false">IF(ISNUMBER(FIND("SALDO ANTERIOR",C317)),0,IF(ISNUMBER(FIND("SALDO DO DIA",C317)),0,IF(ISNUMBER(FIND("SDO CTA/APL AUTOMATICAS",C317)),0,IF(ISNUMBER(FIND("TEC DEPOSITO",C317)),0,IF(ISNUMBER(FIND("APL APLIC AUT MAIS",C317)),E317,IF(E317&gt;0,E317,0))))))</f>
        <v>109.68</v>
      </c>
      <c r="H317" s="66" t="n">
        <v>43891</v>
      </c>
    </row>
    <row r="318" customFormat="false" ht="13.8" hidden="false" customHeight="false" outlineLevel="0" collapsed="false">
      <c r="A318" s="59" t="s">
        <v>29</v>
      </c>
      <c r="B318" s="85" t="s">
        <v>304</v>
      </c>
      <c r="C318" s="86" t="s">
        <v>70</v>
      </c>
      <c r="D318" s="87"/>
      <c r="E318" s="88" t="n">
        <v>1859.21</v>
      </c>
      <c r="F318" s="64" t="n">
        <f aca="false">IF(ISNUMBER(FIND("SALDO ANTERIOR",C318)),0,IF(ISNUMBER(FIND("SALDO DO DIA",C318)),0,IF(ISNUMBER(FIND("SALDO PARCIAL",C318)),0,IF(ISNUMBER(FIND("SDO CTA/APL AUTOMATICAS",C318)),0,IF(ISNUMBER(FIND("APL APLIC AUT MAIS",C318)),0,IF(ISNUMBER(FIND("TEC DEPOSITO",C318)),0,IF(E318&gt;0,0,E318*(-1))))))))</f>
        <v>0</v>
      </c>
      <c r="G318" s="65" t="n">
        <f aca="false">IF(ISNUMBER(FIND("SALDO ANTERIOR",C318)),0,IF(ISNUMBER(FIND("SALDO DO DIA",C318)),0,IF(ISNUMBER(FIND("SDO CTA/APL AUTOMATICAS",C318)),0,IF(ISNUMBER(FIND("TEC DEPOSITO",C318)),0,IF(ISNUMBER(FIND("APL APLIC AUT MAIS",C318)),E318,IF(E318&gt;0,E318,0))))))</f>
        <v>1859.21</v>
      </c>
      <c r="H318" s="66" t="n">
        <v>43891</v>
      </c>
    </row>
    <row r="319" customFormat="false" ht="13.8" hidden="false" customHeight="false" outlineLevel="0" collapsed="false">
      <c r="A319" s="59" t="s">
        <v>297</v>
      </c>
      <c r="B319" s="85" t="s">
        <v>307</v>
      </c>
      <c r="C319" s="86" t="s">
        <v>308</v>
      </c>
      <c r="D319" s="87" t="s">
        <v>271</v>
      </c>
      <c r="E319" s="89" t="n">
        <v>-100</v>
      </c>
      <c r="F319" s="64" t="n">
        <f aca="false">IF(ISNUMBER(FIND("SALDO ANTERIOR",C319)),0,IF(ISNUMBER(FIND("SALDO DO DIA",C319)),0,IF(ISNUMBER(FIND("SALDO PARCIAL",C319)),0,IF(ISNUMBER(FIND("SDO CTA/APL AUTOMATICAS",C319)),0,IF(ISNUMBER(FIND("APL APLIC AUT MAIS",C319)),0,IF(ISNUMBER(FIND("TEC DEPOSITO",C319)),0,IF(E319&gt;0,0,E319*(-1))))))))</f>
        <v>100</v>
      </c>
      <c r="G319" s="65" t="n">
        <f aca="false">IF(ISNUMBER(FIND("SALDO ANTERIOR",C319)),0,IF(ISNUMBER(FIND("SALDO DO DIA",C319)),0,IF(ISNUMBER(FIND("SDO CTA/APL AUTOMATICAS",C319)),0,IF(ISNUMBER(FIND("TEC DEPOSITO",C319)),0,IF(ISNUMBER(FIND("APL APLIC AUT MAIS",C319)),E319,IF(E319&gt;0,E319,0))))))</f>
        <v>0</v>
      </c>
      <c r="H319" s="66" t="n">
        <v>43891</v>
      </c>
    </row>
    <row r="320" customFormat="false" ht="13.8" hidden="false" customHeight="false" outlineLevel="0" collapsed="false">
      <c r="A320" s="59" t="s">
        <v>297</v>
      </c>
      <c r="B320" s="85" t="s">
        <v>307</v>
      </c>
      <c r="C320" s="86" t="s">
        <v>309</v>
      </c>
      <c r="D320" s="87" t="s">
        <v>271</v>
      </c>
      <c r="E320" s="89" t="n">
        <v>-11.96</v>
      </c>
      <c r="F320" s="64" t="n">
        <f aca="false">IF(ISNUMBER(FIND("SALDO ANTERIOR",C320)),0,IF(ISNUMBER(FIND("SALDO DO DIA",C320)),0,IF(ISNUMBER(FIND("SALDO PARCIAL",C320)),0,IF(ISNUMBER(FIND("SDO CTA/APL AUTOMATICAS",C320)),0,IF(ISNUMBER(FIND("APL APLIC AUT MAIS",C320)),0,IF(ISNUMBER(FIND("TEC DEPOSITO",C320)),0,IF(E320&gt;0,0,E320*(-1))))))))</f>
        <v>11.96</v>
      </c>
      <c r="G320" s="65" t="n">
        <f aca="false">IF(ISNUMBER(FIND("SALDO ANTERIOR",C320)),0,IF(ISNUMBER(FIND("SALDO DO DIA",C320)),0,IF(ISNUMBER(FIND("SDO CTA/APL AUTOMATICAS",C320)),0,IF(ISNUMBER(FIND("TEC DEPOSITO",C320)),0,IF(ISNUMBER(FIND("APL APLIC AUT MAIS",C320)),E320,IF(E320&gt;0,E320,0))))))</f>
        <v>0</v>
      </c>
      <c r="H320" s="66" t="n">
        <v>43891</v>
      </c>
    </row>
    <row r="321" customFormat="false" ht="13.8" hidden="false" customHeight="false" outlineLevel="0" collapsed="false">
      <c r="A321" s="59" t="s">
        <v>297</v>
      </c>
      <c r="B321" s="85" t="s">
        <v>307</v>
      </c>
      <c r="C321" s="86" t="s">
        <v>309</v>
      </c>
      <c r="D321" s="87" t="s">
        <v>271</v>
      </c>
      <c r="E321" s="89" t="n">
        <v>-1.98</v>
      </c>
      <c r="F321" s="64" t="n">
        <f aca="false">IF(ISNUMBER(FIND("SALDO ANTERIOR",C321)),0,IF(ISNUMBER(FIND("SALDO DO DIA",C321)),0,IF(ISNUMBER(FIND("SALDO PARCIAL",C321)),0,IF(ISNUMBER(FIND("SDO CTA/APL AUTOMATICAS",C321)),0,IF(ISNUMBER(FIND("APL APLIC AUT MAIS",C321)),0,IF(ISNUMBER(FIND("TEC DEPOSITO",C321)),0,IF(E321&gt;0,0,E321*(-1))))))))</f>
        <v>1.98</v>
      </c>
      <c r="G321" s="65" t="n">
        <f aca="false">IF(ISNUMBER(FIND("SALDO ANTERIOR",C321)),0,IF(ISNUMBER(FIND("SALDO DO DIA",C321)),0,IF(ISNUMBER(FIND("SDO CTA/APL AUTOMATICAS",C321)),0,IF(ISNUMBER(FIND("TEC DEPOSITO",C321)),0,IF(ISNUMBER(FIND("APL APLIC AUT MAIS",C321)),E321,IF(E321&gt;0,E321,0))))))</f>
        <v>0</v>
      </c>
      <c r="H321" s="66" t="n">
        <v>43891</v>
      </c>
    </row>
    <row r="322" customFormat="false" ht="13.8" hidden="false" customHeight="false" outlineLevel="0" collapsed="false">
      <c r="A322" s="59" t="s">
        <v>67</v>
      </c>
      <c r="B322" s="85" t="s">
        <v>307</v>
      </c>
      <c r="C322" s="86" t="s">
        <v>69</v>
      </c>
      <c r="D322" s="87"/>
      <c r="E322" s="88" t="n">
        <v>113.94</v>
      </c>
      <c r="F322" s="64" t="n">
        <f aca="false">IF(ISNUMBER(FIND("SALDO ANTERIOR",C322)),0,IF(ISNUMBER(FIND("SALDO DO DIA",C322)),0,IF(ISNUMBER(FIND("SALDO PARCIAL",C322)),0,IF(ISNUMBER(FIND("SDO CTA/APL AUTOMATICAS",C322)),0,IF(ISNUMBER(FIND("APL APLIC AUT MAIS",C322)),0,IF(ISNUMBER(FIND("TEC DEPOSITO",C322)),0,IF(E322&gt;0,0,E322*(-1))))))))</f>
        <v>0</v>
      </c>
      <c r="G322" s="65" t="n">
        <f aca="false">IF(ISNUMBER(FIND("SALDO ANTERIOR",C322)),0,IF(ISNUMBER(FIND("SALDO DO DIA",C322)),0,IF(ISNUMBER(FIND("SDO CTA/APL AUTOMATICAS",C322)),0,IF(ISNUMBER(FIND("TEC DEPOSITO",C322)),0,IF(ISNUMBER(FIND("APL APLIC AUT MAIS",C322)),E322,IF(E322&gt;0,E322,0))))))</f>
        <v>113.94</v>
      </c>
      <c r="H322" s="66" t="n">
        <v>43891</v>
      </c>
    </row>
    <row r="323" customFormat="false" ht="13.8" hidden="false" customHeight="false" outlineLevel="0" collapsed="false">
      <c r="A323" s="59" t="s">
        <v>29</v>
      </c>
      <c r="B323" s="85" t="s">
        <v>307</v>
      </c>
      <c r="C323" s="86" t="s">
        <v>70</v>
      </c>
      <c r="D323" s="87"/>
      <c r="E323" s="88" t="n">
        <v>1745.27</v>
      </c>
      <c r="F323" s="64" t="n">
        <f aca="false">IF(ISNUMBER(FIND("SALDO ANTERIOR",C323)),0,IF(ISNUMBER(FIND("SALDO DO DIA",C323)),0,IF(ISNUMBER(FIND("SALDO PARCIAL",C323)),0,IF(ISNUMBER(FIND("SDO CTA/APL AUTOMATICAS",C323)),0,IF(ISNUMBER(FIND("APL APLIC AUT MAIS",C323)),0,IF(ISNUMBER(FIND("TEC DEPOSITO",C323)),0,IF(E323&gt;0,0,E323*(-1))))))))</f>
        <v>0</v>
      </c>
      <c r="G323" s="65" t="n">
        <f aca="false">IF(ISNUMBER(FIND("SALDO ANTERIOR",C323)),0,IF(ISNUMBER(FIND("SALDO DO DIA",C323)),0,IF(ISNUMBER(FIND("SDO CTA/APL AUTOMATICAS",C323)),0,IF(ISNUMBER(FIND("TEC DEPOSITO",C323)),0,IF(ISNUMBER(FIND("APL APLIC AUT MAIS",C323)),E323,IF(E323&gt;0,E323,0))))))</f>
        <v>1745.27</v>
      </c>
      <c r="H323" s="66" t="n">
        <v>43891</v>
      </c>
    </row>
    <row r="324" customFormat="false" ht="13.8" hidden="false" customHeight="false" outlineLevel="0" collapsed="false">
      <c r="A324" s="59" t="s">
        <v>29</v>
      </c>
      <c r="B324" s="85" t="s">
        <v>310</v>
      </c>
      <c r="C324" s="86" t="s">
        <v>70</v>
      </c>
      <c r="D324" s="87"/>
      <c r="E324" s="88" t="n">
        <v>1745.27</v>
      </c>
      <c r="F324" s="64" t="n">
        <f aca="false">IF(ISNUMBER(FIND("SALDO ANTERIOR",C324)),0,IF(ISNUMBER(FIND("SALDO DO DIA",C324)),0,IF(ISNUMBER(FIND("SALDO PARCIAL",C324)),0,IF(ISNUMBER(FIND("SDO CTA/APL AUTOMATICAS",C324)),0,IF(ISNUMBER(FIND("APL APLIC AUT MAIS",C324)),0,IF(ISNUMBER(FIND("TEC DEPOSITO",C324)),0,IF(E324&gt;0,0,E324*(-1))))))))</f>
        <v>0</v>
      </c>
      <c r="G324" s="65" t="n">
        <f aca="false">IF(ISNUMBER(FIND("SALDO ANTERIOR",C324)),0,IF(ISNUMBER(FIND("SALDO DO DIA",C324)),0,IF(ISNUMBER(FIND("SDO CTA/APL AUTOMATICAS",C324)),0,IF(ISNUMBER(FIND("TEC DEPOSITO",C324)),0,IF(ISNUMBER(FIND("APL APLIC AUT MAIS",C324)),E324,IF(E324&gt;0,E324,0))))))</f>
        <v>1745.27</v>
      </c>
      <c r="H324" s="66" t="n">
        <v>43891</v>
      </c>
    </row>
    <row r="325" customFormat="false" ht="13.8" hidden="false" customHeight="false" outlineLevel="0" collapsed="false">
      <c r="A325" s="59" t="s">
        <v>297</v>
      </c>
      <c r="B325" s="85" t="s">
        <v>311</v>
      </c>
      <c r="C325" s="86" t="s">
        <v>312</v>
      </c>
      <c r="D325" s="87" t="s">
        <v>313</v>
      </c>
      <c r="E325" s="89" t="n">
        <v>-100</v>
      </c>
      <c r="F325" s="64" t="n">
        <f aca="false">IF(ISNUMBER(FIND("SALDO ANTERIOR",C325)),0,IF(ISNUMBER(FIND("SALDO DO DIA",C325)),0,IF(ISNUMBER(FIND("SALDO PARCIAL",C325)),0,IF(ISNUMBER(FIND("SDO CTA/APL AUTOMATICAS",C325)),0,IF(ISNUMBER(FIND("APL APLIC AUT MAIS",C325)),0,IF(ISNUMBER(FIND("TEC DEPOSITO",C325)),0,IF(E325&gt;0,0,E325*(-1))))))))</f>
        <v>100</v>
      </c>
      <c r="G325" s="65" t="n">
        <f aca="false">IF(ISNUMBER(FIND("SALDO ANTERIOR",C325)),0,IF(ISNUMBER(FIND("SALDO DO DIA",C325)),0,IF(ISNUMBER(FIND("SDO CTA/APL AUTOMATICAS",C325)),0,IF(ISNUMBER(FIND("TEC DEPOSITO",C325)),0,IF(ISNUMBER(FIND("APL APLIC AUT MAIS",C325)),E325,IF(E325&gt;0,E325,0))))))</f>
        <v>0</v>
      </c>
      <c r="H325" s="66" t="n">
        <v>43891</v>
      </c>
    </row>
    <row r="326" customFormat="false" ht="13.8" hidden="false" customHeight="false" outlineLevel="0" collapsed="false">
      <c r="A326" s="59" t="s">
        <v>297</v>
      </c>
      <c r="B326" s="85" t="s">
        <v>311</v>
      </c>
      <c r="C326" s="86" t="s">
        <v>314</v>
      </c>
      <c r="D326" s="87" t="s">
        <v>271</v>
      </c>
      <c r="E326" s="89" t="n">
        <v>-1000</v>
      </c>
      <c r="F326" s="64" t="n">
        <f aca="false">IF(ISNUMBER(FIND("SALDO ANTERIOR",C326)),0,IF(ISNUMBER(FIND("SALDO DO DIA",C326)),0,IF(ISNUMBER(FIND("SALDO PARCIAL",C326)),0,IF(ISNUMBER(FIND("SDO CTA/APL AUTOMATICAS",C326)),0,IF(ISNUMBER(FIND("APL APLIC AUT MAIS",C326)),0,IF(ISNUMBER(FIND("TEC DEPOSITO",C326)),0,IF(E326&gt;0,0,E326*(-1))))))))</f>
        <v>1000</v>
      </c>
      <c r="G326" s="65" t="n">
        <f aca="false">IF(ISNUMBER(FIND("SALDO ANTERIOR",C326)),0,IF(ISNUMBER(FIND("SALDO DO DIA",C326)),0,IF(ISNUMBER(FIND("SDO CTA/APL AUTOMATICAS",C326)),0,IF(ISNUMBER(FIND("TEC DEPOSITO",C326)),0,IF(ISNUMBER(FIND("APL APLIC AUT MAIS",C326)),E326,IF(E326&gt;0,E326,0))))))</f>
        <v>0</v>
      </c>
      <c r="H326" s="66" t="n">
        <v>43891</v>
      </c>
    </row>
    <row r="327" customFormat="false" ht="13.8" hidden="false" customHeight="false" outlineLevel="0" collapsed="false">
      <c r="A327" s="59" t="s">
        <v>74</v>
      </c>
      <c r="B327" s="85" t="s">
        <v>311</v>
      </c>
      <c r="C327" s="86" t="s">
        <v>315</v>
      </c>
      <c r="D327" s="87" t="s">
        <v>271</v>
      </c>
      <c r="E327" s="89" t="n">
        <v>-48.93</v>
      </c>
      <c r="F327" s="64" t="n">
        <f aca="false">IF(ISNUMBER(FIND("SALDO ANTERIOR",C327)),0,IF(ISNUMBER(FIND("SALDO DO DIA",C327)),0,IF(ISNUMBER(FIND("SALDO PARCIAL",C327)),0,IF(ISNUMBER(FIND("SDO CTA/APL AUTOMATICAS",C327)),0,IF(ISNUMBER(FIND("APL APLIC AUT MAIS",C327)),0,IF(ISNUMBER(FIND("TEC DEPOSITO",C327)),0,IF(E327&gt;0,0,E327*(-1))))))))</f>
        <v>48.93</v>
      </c>
      <c r="G327" s="65" t="n">
        <f aca="false">IF(ISNUMBER(FIND("SALDO ANTERIOR",C327)),0,IF(ISNUMBER(FIND("SALDO DO DIA",C327)),0,IF(ISNUMBER(FIND("SDO CTA/APL AUTOMATICAS",C327)),0,IF(ISNUMBER(FIND("TEC DEPOSITO",C327)),0,IF(ISNUMBER(FIND("APL APLIC AUT MAIS",C327)),E327,IF(E327&gt;0,E327,0))))))</f>
        <v>0</v>
      </c>
      <c r="H327" s="66" t="n">
        <v>43891</v>
      </c>
    </row>
    <row r="328" customFormat="false" ht="13.8" hidden="false" customHeight="false" outlineLevel="0" collapsed="false">
      <c r="A328" s="73" t="s">
        <v>316</v>
      </c>
      <c r="B328" s="85" t="s">
        <v>311</v>
      </c>
      <c r="C328" s="86" t="s">
        <v>317</v>
      </c>
      <c r="D328" s="87" t="s">
        <v>271</v>
      </c>
      <c r="E328" s="89" t="n">
        <v>-45.5</v>
      </c>
      <c r="F328" s="64" t="n">
        <f aca="false">IF(ISNUMBER(FIND("SALDO ANTERIOR",C328)),0,IF(ISNUMBER(FIND("SALDO DO DIA",C328)),0,IF(ISNUMBER(FIND("SALDO PARCIAL",C328)),0,IF(ISNUMBER(FIND("SDO CTA/APL AUTOMATICAS",C328)),0,IF(ISNUMBER(FIND("APL APLIC AUT MAIS",C328)),0,IF(ISNUMBER(FIND("TEC DEPOSITO",C328)),0,IF(E328&gt;0,0,E328*(-1))))))))</f>
        <v>45.5</v>
      </c>
      <c r="G328" s="65" t="n">
        <f aca="false">IF(ISNUMBER(FIND("SALDO ANTERIOR",C328)),0,IF(ISNUMBER(FIND("SALDO DO DIA",C328)),0,IF(ISNUMBER(FIND("SDO CTA/APL AUTOMATICAS",C328)),0,IF(ISNUMBER(FIND("TEC DEPOSITO",C328)),0,IF(ISNUMBER(FIND("APL APLIC AUT MAIS",C328)),E328,IF(E328&gt;0,E328,0))))))</f>
        <v>0</v>
      </c>
      <c r="H328" s="66" t="n">
        <v>43891</v>
      </c>
    </row>
    <row r="329" customFormat="false" ht="13.8" hidden="false" customHeight="false" outlineLevel="0" collapsed="false">
      <c r="A329" s="59" t="s">
        <v>98</v>
      </c>
      <c r="B329" s="85" t="s">
        <v>311</v>
      </c>
      <c r="C329" s="86" t="s">
        <v>318</v>
      </c>
      <c r="D329" s="87" t="s">
        <v>271</v>
      </c>
      <c r="E329" s="89" t="n">
        <v>-664.9</v>
      </c>
      <c r="F329" s="64" t="n">
        <f aca="false">IF(ISNUMBER(FIND("SALDO ANTERIOR",C329)),0,IF(ISNUMBER(FIND("SALDO DO DIA",C329)),0,IF(ISNUMBER(FIND("SALDO PARCIAL",C329)),0,IF(ISNUMBER(FIND("SDO CTA/APL AUTOMATICAS",C329)),0,IF(ISNUMBER(FIND("APL APLIC AUT MAIS",C329)),0,IF(ISNUMBER(FIND("TEC DEPOSITO",C329)),0,IF(E329&gt;0,0,E329*(-1))))))))</f>
        <v>664.9</v>
      </c>
      <c r="G329" s="65" t="n">
        <f aca="false">IF(ISNUMBER(FIND("SALDO ANTERIOR",C329)),0,IF(ISNUMBER(FIND("SALDO DO DIA",C329)),0,IF(ISNUMBER(FIND("SDO CTA/APL AUTOMATICAS",C329)),0,IF(ISNUMBER(FIND("TEC DEPOSITO",C329)),0,IF(ISNUMBER(FIND("APL APLIC AUT MAIS",C329)),E329,IF(E329&gt;0,E329,0))))))</f>
        <v>0</v>
      </c>
      <c r="H329" s="66" t="n">
        <v>43891</v>
      </c>
    </row>
    <row r="330" customFormat="false" ht="13.8" hidden="false" customHeight="false" outlineLevel="0" collapsed="false">
      <c r="A330" s="59" t="s">
        <v>98</v>
      </c>
      <c r="B330" s="85" t="s">
        <v>311</v>
      </c>
      <c r="C330" s="86" t="s">
        <v>319</v>
      </c>
      <c r="D330" s="87" t="s">
        <v>271</v>
      </c>
      <c r="E330" s="89" t="n">
        <v>-6.43</v>
      </c>
      <c r="F330" s="64" t="n">
        <f aca="false">IF(ISNUMBER(FIND("SALDO ANTERIOR",C330)),0,IF(ISNUMBER(FIND("SALDO DO DIA",C330)),0,IF(ISNUMBER(FIND("SALDO PARCIAL",C330)),0,IF(ISNUMBER(FIND("SDO CTA/APL AUTOMATICAS",C330)),0,IF(ISNUMBER(FIND("APL APLIC AUT MAIS",C330)),0,IF(ISNUMBER(FIND("TEC DEPOSITO",C330)),0,IF(E330&gt;0,0,E330*(-1))))))))</f>
        <v>6.43</v>
      </c>
      <c r="G330" s="65" t="n">
        <f aca="false">IF(ISNUMBER(FIND("SALDO ANTERIOR",C330)),0,IF(ISNUMBER(FIND("SALDO DO DIA",C330)),0,IF(ISNUMBER(FIND("SDO CTA/APL AUTOMATICAS",C330)),0,IF(ISNUMBER(FIND("TEC DEPOSITO",C330)),0,IF(ISNUMBER(FIND("APL APLIC AUT MAIS",C330)),E330,IF(E330&gt;0,E330,0))))))</f>
        <v>0</v>
      </c>
      <c r="H330" s="66" t="n">
        <v>43891</v>
      </c>
    </row>
    <row r="331" customFormat="false" ht="13.8" hidden="false" customHeight="false" outlineLevel="0" collapsed="false">
      <c r="A331" s="59" t="s">
        <v>98</v>
      </c>
      <c r="B331" s="85" t="s">
        <v>311</v>
      </c>
      <c r="C331" s="86" t="s">
        <v>320</v>
      </c>
      <c r="D331" s="87" t="s">
        <v>271</v>
      </c>
      <c r="E331" s="89" t="n">
        <v>-118.25</v>
      </c>
      <c r="F331" s="64" t="n">
        <f aca="false">IF(ISNUMBER(FIND("SALDO ANTERIOR",C331)),0,IF(ISNUMBER(FIND("SALDO DO DIA",C331)),0,IF(ISNUMBER(FIND("SALDO PARCIAL",C331)),0,IF(ISNUMBER(FIND("SDO CTA/APL AUTOMATICAS",C331)),0,IF(ISNUMBER(FIND("APL APLIC AUT MAIS",C331)),0,IF(ISNUMBER(FIND("TEC DEPOSITO",C331)),0,IF(E331&gt;0,0,E331*(-1))))))))</f>
        <v>118.25</v>
      </c>
      <c r="G331" s="65" t="n">
        <f aca="false">IF(ISNUMBER(FIND("SALDO ANTERIOR",C331)),0,IF(ISNUMBER(FIND("SALDO DO DIA",C331)),0,IF(ISNUMBER(FIND("SDO CTA/APL AUTOMATICAS",C331)),0,IF(ISNUMBER(FIND("TEC DEPOSITO",C331)),0,IF(ISNUMBER(FIND("APL APLIC AUT MAIS",C331)),E331,IF(E331&gt;0,E331,0))))))</f>
        <v>0</v>
      </c>
      <c r="H331" s="66" t="n">
        <v>43891</v>
      </c>
    </row>
    <row r="332" customFormat="false" ht="13.8" hidden="false" customHeight="false" outlineLevel="0" collapsed="false">
      <c r="A332" s="59" t="s">
        <v>98</v>
      </c>
      <c r="B332" s="85" t="s">
        <v>311</v>
      </c>
      <c r="C332" s="86" t="s">
        <v>321</v>
      </c>
      <c r="D332" s="87" t="s">
        <v>271</v>
      </c>
      <c r="E332" s="89" t="n">
        <v>-23.48</v>
      </c>
      <c r="F332" s="64" t="n">
        <f aca="false">IF(ISNUMBER(FIND("SALDO ANTERIOR",C332)),0,IF(ISNUMBER(FIND("SALDO DO DIA",C332)),0,IF(ISNUMBER(FIND("SALDO PARCIAL",C332)),0,IF(ISNUMBER(FIND("SDO CTA/APL AUTOMATICAS",C332)),0,IF(ISNUMBER(FIND("APL APLIC AUT MAIS",C332)),0,IF(ISNUMBER(FIND("TEC DEPOSITO",C332)),0,IF(E332&gt;0,0,E332*(-1))))))))</f>
        <v>23.48</v>
      </c>
      <c r="G332" s="65" t="n">
        <f aca="false">IF(ISNUMBER(FIND("SALDO ANTERIOR",C332)),0,IF(ISNUMBER(FIND("SALDO DO DIA",C332)),0,IF(ISNUMBER(FIND("SDO CTA/APL AUTOMATICAS",C332)),0,IF(ISNUMBER(FIND("TEC DEPOSITO",C332)),0,IF(ISNUMBER(FIND("APL APLIC AUT MAIS",C332)),E332,IF(E332&gt;0,E332,0))))))</f>
        <v>0</v>
      </c>
      <c r="H332" s="66" t="n">
        <v>43891</v>
      </c>
    </row>
    <row r="333" customFormat="false" ht="13.8" hidden="false" customHeight="false" outlineLevel="0" collapsed="false">
      <c r="A333" s="59" t="s">
        <v>67</v>
      </c>
      <c r="B333" s="85" t="s">
        <v>311</v>
      </c>
      <c r="C333" s="86" t="s">
        <v>69</v>
      </c>
      <c r="D333" s="87"/>
      <c r="E333" s="88" t="n">
        <v>1745.27</v>
      </c>
      <c r="F333" s="64" t="n">
        <f aca="false">IF(ISNUMBER(FIND("SALDO ANTERIOR",C333)),0,IF(ISNUMBER(FIND("SALDO DO DIA",C333)),0,IF(ISNUMBER(FIND("SALDO PARCIAL",C333)),0,IF(ISNUMBER(FIND("SDO CTA/APL AUTOMATICAS",C333)),0,IF(ISNUMBER(FIND("APL APLIC AUT MAIS",C333)),0,IF(ISNUMBER(FIND("TEC DEPOSITO",C333)),0,IF(E333&gt;0,0,E333*(-1))))))))</f>
        <v>0</v>
      </c>
      <c r="G333" s="65" t="n">
        <f aca="false">IF(ISNUMBER(FIND("SALDO ANTERIOR",C333)),0,IF(ISNUMBER(FIND("SALDO DO DIA",C333)),0,IF(ISNUMBER(FIND("SDO CTA/APL AUTOMATICAS",C333)),0,IF(ISNUMBER(FIND("TEC DEPOSITO",C333)),0,IF(ISNUMBER(FIND("APL APLIC AUT MAIS",C333)),E333,IF(E333&gt;0,E333,0))))))</f>
        <v>1745.27</v>
      </c>
      <c r="H333" s="66" t="n">
        <v>43891</v>
      </c>
    </row>
    <row r="334" customFormat="false" ht="13.8" hidden="false" customHeight="false" outlineLevel="0" collapsed="false">
      <c r="A334" s="59" t="s">
        <v>29</v>
      </c>
      <c r="B334" s="85" t="s">
        <v>311</v>
      </c>
      <c r="C334" s="86" t="s">
        <v>277</v>
      </c>
      <c r="D334" s="87"/>
      <c r="E334" s="88" t="n">
        <v>0.01</v>
      </c>
      <c r="F334" s="64" t="n">
        <f aca="false">IF(ISNUMBER(FIND("SALDO ANTERIOR",C334)),0,IF(ISNUMBER(FIND("SALDO DO DIA",C334)),0,IF(ISNUMBER(FIND("SALDO PARCIAL",C334)),0,IF(ISNUMBER(FIND("SDO CTA/APL AUTOMATICAS",C334)),0,IF(ISNUMBER(FIND("APL APLIC AUT MAIS",C334)),0,IF(ISNUMBER(FIND("TEC DEPOSITO",C334)),0,IF(E334&gt;0,0,E334*(-1))))))))</f>
        <v>0</v>
      </c>
      <c r="G334" s="65" t="n">
        <f aca="false">IF(ISNUMBER(FIND("SALDO ANTERIOR",C334)),0,IF(ISNUMBER(FIND("SALDO DO DIA",C334)),0,IF(ISNUMBER(FIND("SDO CTA/APL AUTOMATICAS",C334)),0,IF(ISNUMBER(FIND("TEC DEPOSITO",C334)),0,IF(ISNUMBER(FIND("APL APLIC AUT MAIS",C334)),E334,IF(E334&gt;0,E334,0))))))</f>
        <v>0.01</v>
      </c>
      <c r="H334" s="66" t="n">
        <v>43891</v>
      </c>
    </row>
    <row r="335" customFormat="false" ht="13.8" hidden="false" customHeight="false" outlineLevel="0" collapsed="false">
      <c r="A335" s="59" t="s">
        <v>74</v>
      </c>
      <c r="B335" s="85" t="s">
        <v>322</v>
      </c>
      <c r="C335" s="86" t="s">
        <v>323</v>
      </c>
      <c r="D335" s="87" t="s">
        <v>271</v>
      </c>
      <c r="E335" s="89" t="n">
        <v>-35.54</v>
      </c>
      <c r="F335" s="64" t="n">
        <f aca="false">IF(ISNUMBER(FIND("SALDO ANTERIOR",C335)),0,IF(ISNUMBER(FIND("SALDO DO DIA",C335)),0,IF(ISNUMBER(FIND("SALDO PARCIAL",C335)),0,IF(ISNUMBER(FIND("SDO CTA/APL AUTOMATICAS",C335)),0,IF(ISNUMBER(FIND("APL APLIC AUT MAIS",C335)),0,IF(ISNUMBER(FIND("TEC DEPOSITO",C335)),0,IF(E335&gt;0,0,E335*(-1))))))))</f>
        <v>35.54</v>
      </c>
      <c r="G335" s="65" t="n">
        <f aca="false">IF(ISNUMBER(FIND("SALDO ANTERIOR",C335)),0,IF(ISNUMBER(FIND("SALDO DO DIA",C335)),0,IF(ISNUMBER(FIND("SDO CTA/APL AUTOMATICAS",C335)),0,IF(ISNUMBER(FIND("TEC DEPOSITO",C335)),0,IF(ISNUMBER(FIND("APL APLIC AUT MAIS",C335)),E335,IF(E335&gt;0,E335,0))))))</f>
        <v>0</v>
      </c>
      <c r="H335" s="66" t="n">
        <v>43891</v>
      </c>
    </row>
    <row r="336" customFormat="false" ht="13.8" hidden="false" customHeight="false" outlineLevel="0" collapsed="false">
      <c r="A336" s="59" t="s">
        <v>65</v>
      </c>
      <c r="B336" s="85" t="s">
        <v>324</v>
      </c>
      <c r="C336" s="86" t="s">
        <v>325</v>
      </c>
      <c r="D336" s="87" t="s">
        <v>271</v>
      </c>
      <c r="E336" s="89" t="n">
        <v>-17</v>
      </c>
      <c r="F336" s="64" t="n">
        <f aca="false">IF(ISNUMBER(FIND("SALDO ANTERIOR",C336)),0,IF(ISNUMBER(FIND("SALDO DO DIA",C336)),0,IF(ISNUMBER(FIND("SALDO PARCIAL",C336)),0,IF(ISNUMBER(FIND("SDO CTA/APL AUTOMATICAS",C336)),0,IF(ISNUMBER(FIND("APL APLIC AUT MAIS",C336)),0,IF(ISNUMBER(FIND("TEC DEPOSITO",C336)),0,IF(E336&gt;0,0,E336*(-1))))))))</f>
        <v>17</v>
      </c>
      <c r="G336" s="65" t="n">
        <f aca="false">IF(ISNUMBER(FIND("SALDO ANTERIOR",C336)),0,IF(ISNUMBER(FIND("SALDO DO DIA",C336)),0,IF(ISNUMBER(FIND("SDO CTA/APL AUTOMATICAS",C336)),0,IF(ISNUMBER(FIND("TEC DEPOSITO",C336)),0,IF(ISNUMBER(FIND("APL APLIC AUT MAIS",C336)),E336,IF(E336&gt;0,E336,0))))))</f>
        <v>0</v>
      </c>
      <c r="H336" s="66" t="n">
        <v>43891</v>
      </c>
    </row>
    <row r="337" customFormat="false" ht="13.8" hidden="false" customHeight="false" outlineLevel="0" collapsed="false">
      <c r="A337" s="73" t="s">
        <v>119</v>
      </c>
      <c r="B337" s="85" t="s">
        <v>326</v>
      </c>
      <c r="C337" s="86" t="s">
        <v>217</v>
      </c>
      <c r="D337" s="87" t="s">
        <v>61</v>
      </c>
      <c r="E337" s="89" t="n">
        <v>-410.83</v>
      </c>
      <c r="F337" s="64" t="n">
        <f aca="false">IF(ISNUMBER(FIND("SALDO ANTERIOR",C337)),0,IF(ISNUMBER(FIND("SALDO DO DIA",C337)),0,IF(ISNUMBER(FIND("SALDO PARCIAL",C337)),0,IF(ISNUMBER(FIND("SDO CTA/APL AUTOMATICAS",C337)),0,IF(ISNUMBER(FIND("APL APLIC AUT MAIS",C337)),0,IF(ISNUMBER(FIND("TEC DEPOSITO",C337)),0,IF(E337&gt;0,0,E337*(-1))))))))</f>
        <v>410.83</v>
      </c>
      <c r="G337" s="65" t="n">
        <f aca="false">IF(ISNUMBER(FIND("SALDO ANTERIOR",C337)),0,IF(ISNUMBER(FIND("SALDO DO DIA",C337)),0,IF(ISNUMBER(FIND("SDO CTA/APL AUTOMATICAS",C337)),0,IF(ISNUMBER(FIND("TEC DEPOSITO",C337)),0,IF(ISNUMBER(FIND("APL APLIC AUT MAIS",C337)),E337,IF(E337&gt;0,E337,0))))))</f>
        <v>0</v>
      </c>
      <c r="H337" s="66" t="n">
        <v>43891</v>
      </c>
    </row>
    <row r="338" customFormat="false" ht="13.8" hidden="false" customHeight="false" outlineLevel="0" collapsed="false">
      <c r="A338" s="59" t="s">
        <v>74</v>
      </c>
      <c r="B338" s="85" t="s">
        <v>327</v>
      </c>
      <c r="C338" s="86" t="s">
        <v>328</v>
      </c>
      <c r="D338" s="87" t="s">
        <v>271</v>
      </c>
      <c r="E338" s="89" t="n">
        <v>-8.99</v>
      </c>
      <c r="F338" s="64" t="n">
        <f aca="false">IF(ISNUMBER(FIND("SALDO ANTERIOR",C338)),0,IF(ISNUMBER(FIND("SALDO DO DIA",C338)),0,IF(ISNUMBER(FIND("SALDO PARCIAL",C338)),0,IF(ISNUMBER(FIND("SDO CTA/APL AUTOMATICAS",C338)),0,IF(ISNUMBER(FIND("APL APLIC AUT MAIS",C338)),0,IF(ISNUMBER(FIND("TEC DEPOSITO",C338)),0,IF(E338&gt;0,0,E338*(-1))))))))</f>
        <v>8.99</v>
      </c>
      <c r="G338" s="65" t="n">
        <f aca="false">IF(ISNUMBER(FIND("SALDO ANTERIOR",C338)),0,IF(ISNUMBER(FIND("SALDO DO DIA",C338)),0,IF(ISNUMBER(FIND("SDO CTA/APL AUTOMATICAS",C338)),0,IF(ISNUMBER(FIND("TEC DEPOSITO",C338)),0,IF(ISNUMBER(FIND("APL APLIC AUT MAIS",C338)),E338,IF(E338&gt;0,E338,0))))))</f>
        <v>0</v>
      </c>
      <c r="H338" s="66" t="n">
        <v>43891</v>
      </c>
    </row>
    <row r="339" customFormat="false" ht="13.8" hidden="false" customHeight="false" outlineLevel="0" collapsed="false">
      <c r="A339" s="59" t="s">
        <v>87</v>
      </c>
      <c r="B339" s="85" t="s">
        <v>327</v>
      </c>
      <c r="C339" s="86" t="s">
        <v>329</v>
      </c>
      <c r="D339" s="87" t="s">
        <v>271</v>
      </c>
      <c r="E339" s="89" t="n">
        <v>-10</v>
      </c>
      <c r="F339" s="64" t="n">
        <f aca="false">IF(ISNUMBER(FIND("SALDO ANTERIOR",C339)),0,IF(ISNUMBER(FIND("SALDO DO DIA",C339)),0,IF(ISNUMBER(FIND("SALDO PARCIAL",C339)),0,IF(ISNUMBER(FIND("SDO CTA/APL AUTOMATICAS",C339)),0,IF(ISNUMBER(FIND("APL APLIC AUT MAIS",C339)),0,IF(ISNUMBER(FIND("TEC DEPOSITO",C339)),0,IF(E339&gt;0,0,E339*(-1))))))))</f>
        <v>10</v>
      </c>
      <c r="G339" s="65" t="n">
        <f aca="false">IF(ISNUMBER(FIND("SALDO ANTERIOR",C339)),0,IF(ISNUMBER(FIND("SALDO DO DIA",C339)),0,IF(ISNUMBER(FIND("SDO CTA/APL AUTOMATICAS",C339)),0,IF(ISNUMBER(FIND("TEC DEPOSITO",C339)),0,IF(ISNUMBER(FIND("APL APLIC AUT MAIS",C339)),E339,IF(E339&gt;0,E339,0))))))</f>
        <v>0</v>
      </c>
      <c r="H339" s="66" t="n">
        <v>43891</v>
      </c>
    </row>
    <row r="340" customFormat="false" ht="13.8" hidden="false" customHeight="false" outlineLevel="0" collapsed="false">
      <c r="A340" s="59" t="s">
        <v>65</v>
      </c>
      <c r="B340" s="85" t="s">
        <v>327</v>
      </c>
      <c r="C340" s="86" t="s">
        <v>330</v>
      </c>
      <c r="D340" s="87" t="s">
        <v>271</v>
      </c>
      <c r="E340" s="89" t="n">
        <v>-8</v>
      </c>
      <c r="F340" s="64" t="n">
        <f aca="false">IF(ISNUMBER(FIND("SALDO ANTERIOR",C340)),0,IF(ISNUMBER(FIND("SALDO DO DIA",C340)),0,IF(ISNUMBER(FIND("SALDO PARCIAL",C340)),0,IF(ISNUMBER(FIND("SDO CTA/APL AUTOMATICAS",C340)),0,IF(ISNUMBER(FIND("APL APLIC AUT MAIS",C340)),0,IF(ISNUMBER(FIND("TEC DEPOSITO",C340)),0,IF(E340&gt;0,0,E340*(-1))))))))</f>
        <v>8</v>
      </c>
      <c r="G340" s="65" t="n">
        <f aca="false">IF(ISNUMBER(FIND("SALDO ANTERIOR",C340)),0,IF(ISNUMBER(FIND("SALDO DO DIA",C340)),0,IF(ISNUMBER(FIND("SDO CTA/APL AUTOMATICAS",C340)),0,IF(ISNUMBER(FIND("TEC DEPOSITO",C340)),0,IF(ISNUMBER(FIND("APL APLIC AUT MAIS",C340)),E340,IF(E340&gt;0,E340,0))))))</f>
        <v>0</v>
      </c>
      <c r="H340" s="66" t="n">
        <v>43891</v>
      </c>
    </row>
    <row r="341" customFormat="false" ht="13.8" hidden="false" customHeight="false" outlineLevel="0" collapsed="false">
      <c r="A341" s="59" t="s">
        <v>65</v>
      </c>
      <c r="B341" s="85" t="s">
        <v>327</v>
      </c>
      <c r="C341" s="86" t="s">
        <v>331</v>
      </c>
      <c r="D341" s="87" t="s">
        <v>271</v>
      </c>
      <c r="E341" s="89" t="n">
        <v>-10</v>
      </c>
      <c r="F341" s="64" t="n">
        <f aca="false">IF(ISNUMBER(FIND("SALDO ANTERIOR",C341)),0,IF(ISNUMBER(FIND("SALDO DO DIA",C341)),0,IF(ISNUMBER(FIND("SALDO PARCIAL",C341)),0,IF(ISNUMBER(FIND("SDO CTA/APL AUTOMATICAS",C341)),0,IF(ISNUMBER(FIND("APL APLIC AUT MAIS",C341)),0,IF(ISNUMBER(FIND("TEC DEPOSITO",C341)),0,IF(E341&gt;0,0,E341*(-1))))))))</f>
        <v>10</v>
      </c>
      <c r="G341" s="65" t="n">
        <f aca="false">IF(ISNUMBER(FIND("SALDO ANTERIOR",C341)),0,IF(ISNUMBER(FIND("SALDO DO DIA",C341)),0,IF(ISNUMBER(FIND("SDO CTA/APL AUTOMATICAS",C341)),0,IF(ISNUMBER(FIND("TEC DEPOSITO",C341)),0,IF(ISNUMBER(FIND("APL APLIC AUT MAIS",C341)),E341,IF(E341&gt;0,E341,0))))))</f>
        <v>0</v>
      </c>
      <c r="H341" s="66" t="n">
        <v>43891</v>
      </c>
    </row>
    <row r="342" customFormat="false" ht="13.8" hidden="false" customHeight="false" outlineLevel="0" collapsed="false">
      <c r="A342" s="59" t="s">
        <v>225</v>
      </c>
      <c r="B342" s="85" t="s">
        <v>327</v>
      </c>
      <c r="C342" s="86" t="s">
        <v>332</v>
      </c>
      <c r="D342" s="87" t="s">
        <v>271</v>
      </c>
      <c r="E342" s="89" t="n">
        <v>-141</v>
      </c>
      <c r="F342" s="64" t="n">
        <f aca="false">IF(ISNUMBER(FIND("SALDO ANTERIOR",C342)),0,IF(ISNUMBER(FIND("SALDO DO DIA",C342)),0,IF(ISNUMBER(FIND("SALDO PARCIAL",C342)),0,IF(ISNUMBER(FIND("SDO CTA/APL AUTOMATICAS",C342)),0,IF(ISNUMBER(FIND("APL APLIC AUT MAIS",C342)),0,IF(ISNUMBER(FIND("TEC DEPOSITO",C342)),0,IF(E342&gt;0,0,E342*(-1))))))))</f>
        <v>141</v>
      </c>
      <c r="G342" s="65" t="n">
        <f aca="false">IF(ISNUMBER(FIND("SALDO ANTERIOR",C342)),0,IF(ISNUMBER(FIND("SALDO DO DIA",C342)),0,IF(ISNUMBER(FIND("SDO CTA/APL AUTOMATICAS",C342)),0,IF(ISNUMBER(FIND("TEC DEPOSITO",C342)),0,IF(ISNUMBER(FIND("APL APLIC AUT MAIS",C342)),E342,IF(E342&gt;0,E342,0))))))</f>
        <v>0</v>
      </c>
      <c r="H342" s="66" t="n">
        <v>43891</v>
      </c>
    </row>
    <row r="343" customFormat="false" ht="13.8" hidden="false" customHeight="false" outlineLevel="0" collapsed="false">
      <c r="A343" s="59" t="s">
        <v>98</v>
      </c>
      <c r="B343" s="85" t="s">
        <v>327</v>
      </c>
      <c r="C343" s="86" t="s">
        <v>333</v>
      </c>
      <c r="D343" s="87" t="s">
        <v>271</v>
      </c>
      <c r="E343" s="89" t="n">
        <v>-32.59</v>
      </c>
      <c r="F343" s="64" t="n">
        <f aca="false">IF(ISNUMBER(FIND("SALDO ANTERIOR",C343)),0,IF(ISNUMBER(FIND("SALDO DO DIA",C343)),0,IF(ISNUMBER(FIND("SALDO PARCIAL",C343)),0,IF(ISNUMBER(FIND("SDO CTA/APL AUTOMATICAS",C343)),0,IF(ISNUMBER(FIND("APL APLIC AUT MAIS",C343)),0,IF(ISNUMBER(FIND("TEC DEPOSITO",C343)),0,IF(E343&gt;0,0,E343*(-1))))))))</f>
        <v>32.59</v>
      </c>
      <c r="G343" s="65" t="n">
        <f aca="false">IF(ISNUMBER(FIND("SALDO ANTERIOR",C343)),0,IF(ISNUMBER(FIND("SALDO DO DIA",C343)),0,IF(ISNUMBER(FIND("SDO CTA/APL AUTOMATICAS",C343)),0,IF(ISNUMBER(FIND("TEC DEPOSITO",C343)),0,IF(ISNUMBER(FIND("APL APLIC AUT MAIS",C343)),E343,IF(E343&gt;0,E343,0))))))</f>
        <v>0</v>
      </c>
      <c r="H343" s="66" t="n">
        <v>43891</v>
      </c>
    </row>
    <row r="344" customFormat="false" ht="13.8" hidden="false" customHeight="false" outlineLevel="0" collapsed="false">
      <c r="A344" s="59" t="s">
        <v>98</v>
      </c>
      <c r="B344" s="85" t="s">
        <v>327</v>
      </c>
      <c r="C344" s="86" t="s">
        <v>334</v>
      </c>
      <c r="D344" s="87" t="s">
        <v>271</v>
      </c>
      <c r="E344" s="89" t="n">
        <v>-251.44</v>
      </c>
      <c r="F344" s="64" t="n">
        <f aca="false">IF(ISNUMBER(FIND("SALDO ANTERIOR",C344)),0,IF(ISNUMBER(FIND("SALDO DO DIA",C344)),0,IF(ISNUMBER(FIND("SALDO PARCIAL",C344)),0,IF(ISNUMBER(FIND("SDO CTA/APL AUTOMATICAS",C344)),0,IF(ISNUMBER(FIND("APL APLIC AUT MAIS",C344)),0,IF(ISNUMBER(FIND("TEC DEPOSITO",C344)),0,IF(E344&gt;0,0,E344*(-1))))))))</f>
        <v>251.44</v>
      </c>
      <c r="G344" s="65" t="n">
        <f aca="false">IF(ISNUMBER(FIND("SALDO ANTERIOR",C344)),0,IF(ISNUMBER(FIND("SALDO DO DIA",C344)),0,IF(ISNUMBER(FIND("SDO CTA/APL AUTOMATICAS",C344)),0,IF(ISNUMBER(FIND("TEC DEPOSITO",C344)),0,IF(ISNUMBER(FIND("APL APLIC AUT MAIS",C344)),E344,IF(E344&gt;0,E344,0))))))</f>
        <v>0</v>
      </c>
      <c r="H344" s="66" t="n">
        <v>43891</v>
      </c>
    </row>
    <row r="345" customFormat="false" ht="13.8" hidden="false" customHeight="false" outlineLevel="0" collapsed="false">
      <c r="A345" s="73" t="s">
        <v>119</v>
      </c>
      <c r="B345" s="85" t="s">
        <v>327</v>
      </c>
      <c r="C345" s="86" t="s">
        <v>217</v>
      </c>
      <c r="D345" s="87" t="s">
        <v>61</v>
      </c>
      <c r="E345" s="89" t="n">
        <v>-197.59</v>
      </c>
      <c r="F345" s="64" t="n">
        <f aca="false">IF(ISNUMBER(FIND("SALDO ANTERIOR",C345)),0,IF(ISNUMBER(FIND("SALDO DO DIA",C345)),0,IF(ISNUMBER(FIND("SALDO PARCIAL",C345)),0,IF(ISNUMBER(FIND("SDO CTA/APL AUTOMATICAS",C345)),0,IF(ISNUMBER(FIND("APL APLIC AUT MAIS",C345)),0,IF(ISNUMBER(FIND("TEC DEPOSITO",C345)),0,IF(E345&gt;0,0,E345*(-1))))))))</f>
        <v>197.59</v>
      </c>
      <c r="G345" s="65" t="n">
        <f aca="false">IF(ISNUMBER(FIND("SALDO ANTERIOR",C345)),0,IF(ISNUMBER(FIND("SALDO DO DIA",C345)),0,IF(ISNUMBER(FIND("SDO CTA/APL AUTOMATICAS",C345)),0,IF(ISNUMBER(FIND("TEC DEPOSITO",C345)),0,IF(ISNUMBER(FIND("APL APLIC AUT MAIS",C345)),E345,IF(E345&gt;0,E345,0))))))</f>
        <v>0</v>
      </c>
      <c r="H345" s="66" t="n">
        <v>43891</v>
      </c>
    </row>
    <row r="346" customFormat="false" ht="13.8" hidden="false" customHeight="false" outlineLevel="0" collapsed="false">
      <c r="A346" s="59" t="s">
        <v>130</v>
      </c>
      <c r="B346" s="85" t="s">
        <v>327</v>
      </c>
      <c r="C346" s="86" t="s">
        <v>335</v>
      </c>
      <c r="D346" s="87" t="s">
        <v>61</v>
      </c>
      <c r="E346" s="89" t="n">
        <v>-100</v>
      </c>
      <c r="F346" s="64" t="n">
        <f aca="false">IF(ISNUMBER(FIND("SALDO ANTERIOR",C346)),0,IF(ISNUMBER(FIND("SALDO DO DIA",C346)),0,IF(ISNUMBER(FIND("SALDO PARCIAL",C346)),0,IF(ISNUMBER(FIND("SDO CTA/APL AUTOMATICAS",C346)),0,IF(ISNUMBER(FIND("APL APLIC AUT MAIS",C346)),0,IF(ISNUMBER(FIND("TEC DEPOSITO",C346)),0,IF(E346&gt;0,0,E346*(-1))))))))</f>
        <v>100</v>
      </c>
      <c r="G346" s="65" t="n">
        <f aca="false">IF(ISNUMBER(FIND("SALDO ANTERIOR",C346)),0,IF(ISNUMBER(FIND("SALDO DO DIA",C346)),0,IF(ISNUMBER(FIND("SDO CTA/APL AUTOMATICAS",C346)),0,IF(ISNUMBER(FIND("TEC DEPOSITO",C346)),0,IF(ISNUMBER(FIND("APL APLIC AUT MAIS",C346)),E346,IF(E346&gt;0,E346,0))))))</f>
        <v>0</v>
      </c>
      <c r="H346" s="66" t="n">
        <v>43891</v>
      </c>
    </row>
    <row r="347" customFormat="false" ht="13.8" hidden="false" customHeight="false" outlineLevel="0" collapsed="false">
      <c r="A347" s="59" t="s">
        <v>98</v>
      </c>
      <c r="B347" s="85" t="s">
        <v>336</v>
      </c>
      <c r="C347" s="86" t="s">
        <v>337</v>
      </c>
      <c r="D347" s="87" t="s">
        <v>271</v>
      </c>
      <c r="E347" s="89" t="n">
        <v>-232.82</v>
      </c>
      <c r="F347" s="64" t="n">
        <f aca="false">IF(ISNUMBER(FIND("SALDO ANTERIOR",C347)),0,IF(ISNUMBER(FIND("SALDO DO DIA",C347)),0,IF(ISNUMBER(FIND("SALDO PARCIAL",C347)),0,IF(ISNUMBER(FIND("SDO CTA/APL AUTOMATICAS",C347)),0,IF(ISNUMBER(FIND("APL APLIC AUT MAIS",C347)),0,IF(ISNUMBER(FIND("TEC DEPOSITO",C347)),0,IF(E347&gt;0,0,E347*(-1))))))))</f>
        <v>232.82</v>
      </c>
      <c r="G347" s="65" t="n">
        <f aca="false">IF(ISNUMBER(FIND("SALDO ANTERIOR",C347)),0,IF(ISNUMBER(FIND("SALDO DO DIA",C347)),0,IF(ISNUMBER(FIND("SDO CTA/APL AUTOMATICAS",C347)),0,IF(ISNUMBER(FIND("TEC DEPOSITO",C347)),0,IF(ISNUMBER(FIND("APL APLIC AUT MAIS",C347)),E347,IF(E347&gt;0,E347,0))))))</f>
        <v>0</v>
      </c>
      <c r="H347" s="66" t="n">
        <v>43891</v>
      </c>
    </row>
    <row r="348" customFormat="false" ht="13.8" hidden="false" customHeight="false" outlineLevel="0" collapsed="false">
      <c r="A348" s="59" t="s">
        <v>127</v>
      </c>
      <c r="B348" s="85" t="s">
        <v>336</v>
      </c>
      <c r="C348" s="86" t="s">
        <v>128</v>
      </c>
      <c r="D348" s="87"/>
      <c r="E348" s="88" t="n">
        <v>3285.26</v>
      </c>
      <c r="F348" s="64" t="n">
        <f aca="false">IF(ISNUMBER(FIND("SALDO ANTERIOR",C348)),0,IF(ISNUMBER(FIND("SALDO DO DIA",C348)),0,IF(ISNUMBER(FIND("SALDO PARCIAL",C348)),0,IF(ISNUMBER(FIND("SDO CTA/APL AUTOMATICAS",C348)),0,IF(ISNUMBER(FIND("APL APLIC AUT MAIS",C348)),0,IF(ISNUMBER(FIND("TEC DEPOSITO",C348)),0,IF(E348&gt;0,0,E348*(-1))))))))</f>
        <v>0</v>
      </c>
      <c r="G348" s="65" t="n">
        <f aca="false">IF(ISNUMBER(FIND("SALDO ANTERIOR",C348)),0,IF(ISNUMBER(FIND("SALDO DO DIA",C348)),0,IF(ISNUMBER(FIND("SDO CTA/APL AUTOMATICAS",C348)),0,IF(ISNUMBER(FIND("TEC DEPOSITO",C348)),0,IF(ISNUMBER(FIND("APL APLIC AUT MAIS",C348)),E348,IF(E348&gt;0,E348,0))))))</f>
        <v>3285.26</v>
      </c>
      <c r="H348" s="66" t="n">
        <v>43891</v>
      </c>
    </row>
    <row r="349" customFormat="false" ht="13.8" hidden="false" customHeight="false" outlineLevel="0" collapsed="false">
      <c r="A349" s="59" t="s">
        <v>29</v>
      </c>
      <c r="B349" s="85" t="s">
        <v>336</v>
      </c>
      <c r="C349" s="86" t="s">
        <v>129</v>
      </c>
      <c r="D349" s="87"/>
      <c r="E349" s="89" t="n">
        <v>-1567.25</v>
      </c>
      <c r="F349" s="64" t="n">
        <f aca="false">IF(ISNUMBER(FIND("SALDO ANTERIOR",C349)),0,IF(ISNUMBER(FIND("SALDO DO DIA",C349)),0,IF(ISNUMBER(FIND("SALDO PARCIAL",C349)),0,IF(ISNUMBER(FIND("SDO CTA/APL AUTOMATICAS",C349)),0,IF(ISNUMBER(FIND("APL APLIC AUT MAIS",C349)),0,IF(ISNUMBER(FIND("TEC DEPOSITO",C349)),0,IF(E349&gt;0,0,E349*(-1))))))))</f>
        <v>0</v>
      </c>
      <c r="G349" s="65" t="n">
        <f aca="false">IF(ISNUMBER(FIND("SALDO ANTERIOR",C349)),0,IF(ISNUMBER(FIND("SALDO DO DIA",C349)),0,IF(ISNUMBER(FIND("SDO CTA/APL AUTOMATICAS",C349)),0,IF(ISNUMBER(FIND("TEC DEPOSITO",C349)),0,IF(ISNUMBER(FIND("APL APLIC AUT MAIS",C349)),E349,IF(E349&gt;0,E349,0))))))</f>
        <v>-1567.25</v>
      </c>
      <c r="H349" s="66" t="n">
        <v>43891</v>
      </c>
    </row>
    <row r="350" customFormat="false" ht="13.8" hidden="false" customHeight="false" outlineLevel="0" collapsed="false">
      <c r="A350" s="59" t="s">
        <v>29</v>
      </c>
      <c r="B350" s="85" t="s">
        <v>336</v>
      </c>
      <c r="C350" s="86" t="s">
        <v>70</v>
      </c>
      <c r="D350" s="87"/>
      <c r="E350" s="88" t="n">
        <v>1567.25</v>
      </c>
      <c r="F350" s="64" t="n">
        <f aca="false">IF(ISNUMBER(FIND("SALDO ANTERIOR",C350)),0,IF(ISNUMBER(FIND("SALDO DO DIA",C350)),0,IF(ISNUMBER(FIND("SALDO PARCIAL",C350)),0,IF(ISNUMBER(FIND("SDO CTA/APL AUTOMATICAS",C350)),0,IF(ISNUMBER(FIND("APL APLIC AUT MAIS",C350)),0,IF(ISNUMBER(FIND("TEC DEPOSITO",C350)),0,IF(E350&gt;0,0,E350*(-1))))))))</f>
        <v>0</v>
      </c>
      <c r="G350" s="65" t="n">
        <f aca="false">IF(ISNUMBER(FIND("SALDO ANTERIOR",C350)),0,IF(ISNUMBER(FIND("SALDO DO DIA",C350)),0,IF(ISNUMBER(FIND("SDO CTA/APL AUTOMATICAS",C350)),0,IF(ISNUMBER(FIND("TEC DEPOSITO",C350)),0,IF(ISNUMBER(FIND("APL APLIC AUT MAIS",C350)),E350,IF(E350&gt;0,E350,0))))))</f>
        <v>1567.25</v>
      </c>
      <c r="H350" s="66" t="n">
        <v>43891</v>
      </c>
    </row>
    <row r="351" customFormat="false" ht="13.8" hidden="false" customHeight="false" outlineLevel="0" collapsed="false">
      <c r="A351" s="59" t="s">
        <v>29</v>
      </c>
      <c r="B351" s="85" t="s">
        <v>336</v>
      </c>
      <c r="C351" s="86" t="s">
        <v>169</v>
      </c>
      <c r="D351" s="87"/>
      <c r="E351" s="88" t="n">
        <v>10</v>
      </c>
      <c r="F351" s="64" t="n">
        <f aca="false">IF(ISNUMBER(FIND("SALDO ANTERIOR",C351)),0,IF(ISNUMBER(FIND("SALDO DO DIA",C351)),0,IF(ISNUMBER(FIND("SALDO PARCIAL",C351)),0,IF(ISNUMBER(FIND("SDO CTA/APL AUTOMATICAS",C351)),0,IF(ISNUMBER(FIND("APL APLIC AUT MAIS",C351)),0,IF(ISNUMBER(FIND("TEC DEPOSITO",C351)),0,IF(E351&gt;0,0,E351*(-1))))))))</f>
        <v>0</v>
      </c>
      <c r="G351" s="65" t="n">
        <f aca="false">IF(ISNUMBER(FIND("SALDO ANTERIOR",C351)),0,IF(ISNUMBER(FIND("SALDO DO DIA",C351)),0,IF(ISNUMBER(FIND("SDO CTA/APL AUTOMATICAS",C351)),0,IF(ISNUMBER(FIND("TEC DEPOSITO",C351)),0,IF(ISNUMBER(FIND("APL APLIC AUT MAIS",C351)),E351,IF(E351&gt;0,E351,0))))))</f>
        <v>10</v>
      </c>
      <c r="H351" s="66" t="n">
        <v>43891</v>
      </c>
    </row>
    <row r="352" customFormat="false" ht="13.8" hidden="false" customHeight="false" outlineLevel="0" collapsed="false">
      <c r="A352" s="59" t="s">
        <v>29</v>
      </c>
      <c r="B352" s="74" t="s">
        <v>338</v>
      </c>
      <c r="C352" s="75" t="s">
        <v>58</v>
      </c>
      <c r="D352" s="76"/>
      <c r="E352" s="77" t="n">
        <v>10</v>
      </c>
      <c r="F352" s="78" t="n">
        <f aca="false">IF(ISNUMBER(FIND("SALDO ANTERIOR",C352)),0,IF(ISNUMBER(FIND("SALDO DO DIA",C352)),0,IF(ISNUMBER(FIND("SALDO PARCIAL",C352)),0,IF(ISNUMBER(FIND("SDO CTA/APL AUTOMATICAS",C352)),0,IF(ISNUMBER(FIND("APL APLIC AUT MAIS",C352)),0,IF(ISNUMBER(FIND("TEC DEPOSITO",C352)),0,IF(E352&gt;0,0,E352*(-1))))))))</f>
        <v>0</v>
      </c>
      <c r="G352" s="79" t="n">
        <f aca="false">IF(ISNUMBER(FIND("SALDO ANTERIOR",C352)),0,IF(ISNUMBER(FIND("SALDO DO DIA",C352)),0,IF(ISNUMBER(FIND("SDO CTA/APL AUTOMATICAS",C352)),0,IF(ISNUMBER(FIND("TEC DEPOSITO",C352)),0,IF(ISNUMBER(FIND("APL APLIC AUT MAIS",C352)),E352,IF(E352&gt;0,E352,0))))))</f>
        <v>10</v>
      </c>
      <c r="H352" s="80" t="n">
        <v>43922</v>
      </c>
    </row>
    <row r="353" customFormat="false" ht="13.8" hidden="false" customHeight="false" outlineLevel="0" collapsed="false">
      <c r="A353" s="59" t="s">
        <v>74</v>
      </c>
      <c r="B353" s="74" t="s">
        <v>338</v>
      </c>
      <c r="C353" s="75" t="s">
        <v>339</v>
      </c>
      <c r="D353" s="76" t="s">
        <v>271</v>
      </c>
      <c r="E353" s="81" t="n">
        <v>-21.99</v>
      </c>
      <c r="F353" s="78" t="n">
        <f aca="false">IF(ISNUMBER(FIND("SALDO ANTERIOR",C353)),0,IF(ISNUMBER(FIND("SALDO DO DIA",C353)),0,IF(ISNUMBER(FIND("SALDO PARCIAL",C353)),0,IF(ISNUMBER(FIND("SDO CTA/APL AUTOMATICAS",C353)),0,IF(ISNUMBER(FIND("APL APLIC AUT MAIS",C353)),0,IF(ISNUMBER(FIND("TEC DEPOSITO",C353)),0,IF(E353&gt;0,0,E353*(-1))))))))</f>
        <v>21.99</v>
      </c>
      <c r="G353" s="79" t="n">
        <f aca="false">IF(ISNUMBER(FIND("SALDO ANTERIOR",C353)),0,IF(ISNUMBER(FIND("SALDO DO DIA",C353)),0,IF(ISNUMBER(FIND("SDO CTA/APL AUTOMATICAS",C353)),0,IF(ISNUMBER(FIND("TEC DEPOSITO",C353)),0,IF(ISNUMBER(FIND("APL APLIC AUT MAIS",C353)),E353,IF(E353&gt;0,E353,0))))))</f>
        <v>0</v>
      </c>
      <c r="H353" s="80" t="n">
        <v>43922</v>
      </c>
    </row>
    <row r="354" customFormat="false" ht="13.8" hidden="false" customHeight="false" outlineLevel="0" collapsed="false">
      <c r="A354" s="59" t="s">
        <v>76</v>
      </c>
      <c r="B354" s="74" t="s">
        <v>338</v>
      </c>
      <c r="C354" s="75" t="s">
        <v>340</v>
      </c>
      <c r="D354" s="76" t="s">
        <v>271</v>
      </c>
      <c r="E354" s="81" t="n">
        <v>-19.92</v>
      </c>
      <c r="F354" s="78" t="n">
        <f aca="false">IF(ISNUMBER(FIND("SALDO ANTERIOR",C354)),0,IF(ISNUMBER(FIND("SALDO DO DIA",C354)),0,IF(ISNUMBER(FIND("SALDO PARCIAL",C354)),0,IF(ISNUMBER(FIND("SDO CTA/APL AUTOMATICAS",C354)),0,IF(ISNUMBER(FIND("APL APLIC AUT MAIS",C354)),0,IF(ISNUMBER(FIND("TEC DEPOSITO",C354)),0,IF(E354&gt;0,0,E354*(-1))))))))</f>
        <v>19.92</v>
      </c>
      <c r="G354" s="79" t="n">
        <f aca="false">IF(ISNUMBER(FIND("SALDO ANTERIOR",C354)),0,IF(ISNUMBER(FIND("SALDO DO DIA",C354)),0,IF(ISNUMBER(FIND("SDO CTA/APL AUTOMATICAS",C354)),0,IF(ISNUMBER(FIND("TEC DEPOSITO",C354)),0,IF(ISNUMBER(FIND("APL APLIC AUT MAIS",C354)),E354,IF(E354&gt;0,E354,0))))))</f>
        <v>0</v>
      </c>
      <c r="H354" s="80" t="n">
        <v>43922</v>
      </c>
    </row>
    <row r="355" customFormat="false" ht="13.8" hidden="false" customHeight="false" outlineLevel="0" collapsed="false">
      <c r="A355" s="59" t="s">
        <v>67</v>
      </c>
      <c r="B355" s="74" t="s">
        <v>338</v>
      </c>
      <c r="C355" s="75" t="s">
        <v>68</v>
      </c>
      <c r="D355" s="76"/>
      <c r="E355" s="81" t="n">
        <v>-7.61</v>
      </c>
      <c r="F355" s="78" t="n">
        <f aca="false">IF(ISNUMBER(FIND("SALDO ANTERIOR",C355)),0,IF(ISNUMBER(FIND("SALDO DO DIA",C355)),0,IF(ISNUMBER(FIND("SALDO PARCIAL",C355)),0,IF(ISNUMBER(FIND("SDO CTA/APL AUTOMATICAS",C355)),0,IF(ISNUMBER(FIND("APL APLIC AUT MAIS",C355)),0,IF(ISNUMBER(FIND("TEC DEPOSITO",C355)),0,IF(E355&gt;0,0,E355*(-1))))))))</f>
        <v>7.61</v>
      </c>
      <c r="G355" s="79" t="n">
        <f aca="false">IF(ISNUMBER(FIND("SALDO ANTERIOR",C355)),0,IF(ISNUMBER(FIND("SALDO DO DIA",C355)),0,IF(ISNUMBER(FIND("SDO CTA/APL AUTOMATICAS",C355)),0,IF(ISNUMBER(FIND("TEC DEPOSITO",C355)),0,IF(ISNUMBER(FIND("APL APLIC AUT MAIS",C355)),E355,IF(E355&gt;0,E355,0))))))</f>
        <v>0</v>
      </c>
      <c r="H355" s="80" t="n">
        <v>43922</v>
      </c>
    </row>
    <row r="356" customFormat="false" ht="13.8" hidden="false" customHeight="false" outlineLevel="0" collapsed="false">
      <c r="A356" s="59" t="s">
        <v>67</v>
      </c>
      <c r="B356" s="74" t="s">
        <v>338</v>
      </c>
      <c r="C356" s="75" t="s">
        <v>69</v>
      </c>
      <c r="D356" s="76"/>
      <c r="E356" s="77" t="n">
        <v>49.52</v>
      </c>
      <c r="F356" s="78" t="n">
        <f aca="false">IF(ISNUMBER(FIND("SALDO ANTERIOR",C356)),0,IF(ISNUMBER(FIND("SALDO DO DIA",C356)),0,IF(ISNUMBER(FIND("SALDO PARCIAL",C356)),0,IF(ISNUMBER(FIND("SDO CTA/APL AUTOMATICAS",C356)),0,IF(ISNUMBER(FIND("APL APLIC AUT MAIS",C356)),0,IF(ISNUMBER(FIND("TEC DEPOSITO",C356)),0,IF(E356&gt;0,0,E356*(-1))))))))</f>
        <v>0</v>
      </c>
      <c r="G356" s="79" t="n">
        <f aca="false">IF(ISNUMBER(FIND("SALDO ANTERIOR",C356)),0,IF(ISNUMBER(FIND("SALDO DO DIA",C356)),0,IF(ISNUMBER(FIND("SDO CTA/APL AUTOMATICAS",C356)),0,IF(ISNUMBER(FIND("TEC DEPOSITO",C356)),0,IF(ISNUMBER(FIND("APL APLIC AUT MAIS",C356)),E356,IF(E356&gt;0,E356,0))))))</f>
        <v>49.52</v>
      </c>
      <c r="H356" s="80" t="n">
        <v>43922</v>
      </c>
    </row>
    <row r="357" customFormat="false" ht="13.8" hidden="false" customHeight="false" outlineLevel="0" collapsed="false">
      <c r="A357" s="59" t="s">
        <v>29</v>
      </c>
      <c r="B357" s="74" t="s">
        <v>338</v>
      </c>
      <c r="C357" s="75" t="s">
        <v>70</v>
      </c>
      <c r="D357" s="76"/>
      <c r="E357" s="77" t="n">
        <v>1517.73</v>
      </c>
      <c r="F357" s="78" t="n">
        <f aca="false">IF(ISNUMBER(FIND("SALDO ANTERIOR",C357)),0,IF(ISNUMBER(FIND("SALDO DO DIA",C357)),0,IF(ISNUMBER(FIND("SALDO PARCIAL",C357)),0,IF(ISNUMBER(FIND("SDO CTA/APL AUTOMATICAS",C357)),0,IF(ISNUMBER(FIND("APL APLIC AUT MAIS",C357)),0,IF(ISNUMBER(FIND("TEC DEPOSITO",C357)),0,IF(E357&gt;0,0,E357*(-1))))))))</f>
        <v>0</v>
      </c>
      <c r="G357" s="79" t="n">
        <f aca="false">IF(ISNUMBER(FIND("SALDO ANTERIOR",C357)),0,IF(ISNUMBER(FIND("SALDO DO DIA",C357)),0,IF(ISNUMBER(FIND("SDO CTA/APL AUTOMATICAS",C357)),0,IF(ISNUMBER(FIND("TEC DEPOSITO",C357)),0,IF(ISNUMBER(FIND("APL APLIC AUT MAIS",C357)),E357,IF(E357&gt;0,E357,0))))))</f>
        <v>1517.73</v>
      </c>
      <c r="H357" s="80" t="n">
        <v>43922</v>
      </c>
    </row>
    <row r="358" customFormat="false" ht="13.8" hidden="false" customHeight="false" outlineLevel="0" collapsed="false">
      <c r="A358" s="59" t="s">
        <v>67</v>
      </c>
      <c r="B358" s="74" t="s">
        <v>341</v>
      </c>
      <c r="C358" s="75" t="s">
        <v>342</v>
      </c>
      <c r="D358" s="76" t="s">
        <v>82</v>
      </c>
      <c r="E358" s="81" t="n">
        <v>-76.9</v>
      </c>
      <c r="F358" s="78" t="n">
        <f aca="false">IF(ISNUMBER(FIND("SALDO ANTERIOR",C358)),0,IF(ISNUMBER(FIND("SALDO DO DIA",C358)),0,IF(ISNUMBER(FIND("SALDO PARCIAL",C358)),0,IF(ISNUMBER(FIND("SDO CTA/APL AUTOMATICAS",C358)),0,IF(ISNUMBER(FIND("APL APLIC AUT MAIS",C358)),0,IF(ISNUMBER(FIND("TEC DEPOSITO",C358)),0,IF(E358&gt;0,0,E358*(-1))))))))</f>
        <v>76.9</v>
      </c>
      <c r="G358" s="79" t="n">
        <f aca="false">IF(ISNUMBER(FIND("SALDO ANTERIOR",C358)),0,IF(ISNUMBER(FIND("SALDO DO DIA",C358)),0,IF(ISNUMBER(FIND("SDO CTA/APL AUTOMATICAS",C358)),0,IF(ISNUMBER(FIND("TEC DEPOSITO",C358)),0,IF(ISNUMBER(FIND("APL APLIC AUT MAIS",C358)),E358,IF(E358&gt;0,E358,0))))))</f>
        <v>0</v>
      </c>
      <c r="H358" s="80" t="n">
        <v>43922</v>
      </c>
    </row>
    <row r="359" customFormat="false" ht="13.8" hidden="false" customHeight="false" outlineLevel="0" collapsed="false">
      <c r="A359" s="59" t="s">
        <v>67</v>
      </c>
      <c r="B359" s="74" t="s">
        <v>341</v>
      </c>
      <c r="C359" s="75" t="s">
        <v>69</v>
      </c>
      <c r="D359" s="76"/>
      <c r="E359" s="77" t="n">
        <v>76.9</v>
      </c>
      <c r="F359" s="78" t="n">
        <f aca="false">IF(ISNUMBER(FIND("SALDO ANTERIOR",C359)),0,IF(ISNUMBER(FIND("SALDO DO DIA",C359)),0,IF(ISNUMBER(FIND("SALDO PARCIAL",C359)),0,IF(ISNUMBER(FIND("SDO CTA/APL AUTOMATICAS",C359)),0,IF(ISNUMBER(FIND("APL APLIC AUT MAIS",C359)),0,IF(ISNUMBER(FIND("TEC DEPOSITO",C359)),0,IF(E359&gt;0,0,E359*(-1))))))))</f>
        <v>0</v>
      </c>
      <c r="G359" s="79" t="n">
        <f aca="false">IF(ISNUMBER(FIND("SALDO ANTERIOR",C359)),0,IF(ISNUMBER(FIND("SALDO DO DIA",C359)),0,IF(ISNUMBER(FIND("SDO CTA/APL AUTOMATICAS",C359)),0,IF(ISNUMBER(FIND("TEC DEPOSITO",C359)),0,IF(ISNUMBER(FIND("APL APLIC AUT MAIS",C359)),E359,IF(E359&gt;0,E359,0))))))</f>
        <v>76.9</v>
      </c>
      <c r="H359" s="80" t="n">
        <v>43922</v>
      </c>
    </row>
    <row r="360" customFormat="false" ht="13.8" hidden="false" customHeight="false" outlineLevel="0" collapsed="false">
      <c r="A360" s="59" t="s">
        <v>29</v>
      </c>
      <c r="B360" s="74" t="s">
        <v>341</v>
      </c>
      <c r="C360" s="75" t="s">
        <v>70</v>
      </c>
      <c r="D360" s="76"/>
      <c r="E360" s="77" t="n">
        <v>1440.83</v>
      </c>
      <c r="F360" s="78" t="n">
        <f aca="false">IF(ISNUMBER(FIND("SALDO ANTERIOR",C360)),0,IF(ISNUMBER(FIND("SALDO DO DIA",C360)),0,IF(ISNUMBER(FIND("SALDO PARCIAL",C360)),0,IF(ISNUMBER(FIND("SDO CTA/APL AUTOMATICAS",C360)),0,IF(ISNUMBER(FIND("APL APLIC AUT MAIS",C360)),0,IF(ISNUMBER(FIND("TEC DEPOSITO",C360)),0,IF(E360&gt;0,0,E360*(-1))))))))</f>
        <v>0</v>
      </c>
      <c r="G360" s="79" t="n">
        <f aca="false">IF(ISNUMBER(FIND("SALDO ANTERIOR",C360)),0,IF(ISNUMBER(FIND("SALDO DO DIA",C360)),0,IF(ISNUMBER(FIND("SDO CTA/APL AUTOMATICAS",C360)),0,IF(ISNUMBER(FIND("TEC DEPOSITO",C360)),0,IF(ISNUMBER(FIND("APL APLIC AUT MAIS",C360)),E360,IF(E360&gt;0,E360,0))))))</f>
        <v>1440.83</v>
      </c>
      <c r="H360" s="80" t="n">
        <v>43922</v>
      </c>
    </row>
    <row r="361" customFormat="false" ht="13.8" hidden="false" customHeight="false" outlineLevel="0" collapsed="false">
      <c r="A361" s="59" t="s">
        <v>65</v>
      </c>
      <c r="B361" s="74" t="s">
        <v>343</v>
      </c>
      <c r="C361" s="75" t="s">
        <v>344</v>
      </c>
      <c r="D361" s="76" t="s">
        <v>271</v>
      </c>
      <c r="E361" s="81" t="n">
        <v>-65.6</v>
      </c>
      <c r="F361" s="78" t="n">
        <f aca="false">IF(ISNUMBER(FIND("SALDO ANTERIOR",C361)),0,IF(ISNUMBER(FIND("SALDO DO DIA",C361)),0,IF(ISNUMBER(FIND("SALDO PARCIAL",C361)),0,IF(ISNUMBER(FIND("SDO CTA/APL AUTOMATICAS",C361)),0,IF(ISNUMBER(FIND("APL APLIC AUT MAIS",C361)),0,IF(ISNUMBER(FIND("TEC DEPOSITO",C361)),0,IF(E361&gt;0,0,E361*(-1))))))))</f>
        <v>65.6</v>
      </c>
      <c r="G361" s="79" t="n">
        <f aca="false">IF(ISNUMBER(FIND("SALDO ANTERIOR",C361)),0,IF(ISNUMBER(FIND("SALDO DO DIA",C361)),0,IF(ISNUMBER(FIND("SDO CTA/APL AUTOMATICAS",C361)),0,IF(ISNUMBER(FIND("TEC DEPOSITO",C361)),0,IF(ISNUMBER(FIND("APL APLIC AUT MAIS",C361)),E361,IF(E361&gt;0,E361,0))))))</f>
        <v>0</v>
      </c>
      <c r="H361" s="80" t="n">
        <v>43922</v>
      </c>
    </row>
    <row r="362" customFormat="false" ht="13.8" hidden="false" customHeight="false" outlineLevel="0" collapsed="false">
      <c r="A362" s="59" t="s">
        <v>65</v>
      </c>
      <c r="B362" s="74" t="s">
        <v>343</v>
      </c>
      <c r="C362" s="75" t="s">
        <v>345</v>
      </c>
      <c r="D362" s="76" t="s">
        <v>271</v>
      </c>
      <c r="E362" s="81" t="n">
        <v>-34</v>
      </c>
      <c r="F362" s="78" t="n">
        <f aca="false">IF(ISNUMBER(FIND("SALDO ANTERIOR",C362)),0,IF(ISNUMBER(FIND("SALDO DO DIA",C362)),0,IF(ISNUMBER(FIND("SALDO PARCIAL",C362)),0,IF(ISNUMBER(FIND("SDO CTA/APL AUTOMATICAS",C362)),0,IF(ISNUMBER(FIND("APL APLIC AUT MAIS",C362)),0,IF(ISNUMBER(FIND("TEC DEPOSITO",C362)),0,IF(E362&gt;0,0,E362*(-1))))))))</f>
        <v>34</v>
      </c>
      <c r="G362" s="79" t="n">
        <f aca="false">IF(ISNUMBER(FIND("SALDO ANTERIOR",C362)),0,IF(ISNUMBER(FIND("SALDO DO DIA",C362)),0,IF(ISNUMBER(FIND("SDO CTA/APL AUTOMATICAS",C362)),0,IF(ISNUMBER(FIND("TEC DEPOSITO",C362)),0,IF(ISNUMBER(FIND("APL APLIC AUT MAIS",C362)),E362,IF(E362&gt;0,E362,0))))))</f>
        <v>0</v>
      </c>
      <c r="H362" s="80" t="n">
        <v>43922</v>
      </c>
    </row>
    <row r="363" customFormat="false" ht="13.8" hidden="false" customHeight="false" outlineLevel="0" collapsed="false">
      <c r="A363" s="59" t="s">
        <v>74</v>
      </c>
      <c r="B363" s="74" t="s">
        <v>343</v>
      </c>
      <c r="C363" s="75" t="s">
        <v>346</v>
      </c>
      <c r="D363" s="76" t="s">
        <v>271</v>
      </c>
      <c r="E363" s="81" t="n">
        <v>-10.09</v>
      </c>
      <c r="F363" s="78" t="n">
        <f aca="false">IF(ISNUMBER(FIND("SALDO ANTERIOR",C363)),0,IF(ISNUMBER(FIND("SALDO DO DIA",C363)),0,IF(ISNUMBER(FIND("SALDO PARCIAL",C363)),0,IF(ISNUMBER(FIND("SDO CTA/APL AUTOMATICAS",C363)),0,IF(ISNUMBER(FIND("APL APLIC AUT MAIS",C363)),0,IF(ISNUMBER(FIND("TEC DEPOSITO",C363)),0,IF(E363&gt;0,0,E363*(-1))))))))</f>
        <v>10.09</v>
      </c>
      <c r="G363" s="79" t="n">
        <f aca="false">IF(ISNUMBER(FIND("SALDO ANTERIOR",C363)),0,IF(ISNUMBER(FIND("SALDO DO DIA",C363)),0,IF(ISNUMBER(FIND("SDO CTA/APL AUTOMATICAS",C363)),0,IF(ISNUMBER(FIND("TEC DEPOSITO",C363)),0,IF(ISNUMBER(FIND("APL APLIC AUT MAIS",C363)),E363,IF(E363&gt;0,E363,0))))))</f>
        <v>0</v>
      </c>
      <c r="H363" s="80" t="n">
        <v>43922</v>
      </c>
    </row>
    <row r="364" customFormat="false" ht="13.8" hidden="false" customHeight="false" outlineLevel="0" collapsed="false">
      <c r="A364" s="59" t="s">
        <v>98</v>
      </c>
      <c r="B364" s="74" t="s">
        <v>343</v>
      </c>
      <c r="C364" s="75" t="s">
        <v>347</v>
      </c>
      <c r="D364" s="76" t="s">
        <v>271</v>
      </c>
      <c r="E364" s="81" t="n">
        <v>-119.63</v>
      </c>
      <c r="F364" s="78" t="n">
        <f aca="false">IF(ISNUMBER(FIND("SALDO ANTERIOR",C364)),0,IF(ISNUMBER(FIND("SALDO DO DIA",C364)),0,IF(ISNUMBER(FIND("SALDO PARCIAL",C364)),0,IF(ISNUMBER(FIND("SDO CTA/APL AUTOMATICAS",C364)),0,IF(ISNUMBER(FIND("APL APLIC AUT MAIS",C364)),0,IF(ISNUMBER(FIND("TEC DEPOSITO",C364)),0,IF(E364&gt;0,0,E364*(-1))))))))</f>
        <v>119.63</v>
      </c>
      <c r="G364" s="79" t="n">
        <f aca="false">IF(ISNUMBER(FIND("SALDO ANTERIOR",C364)),0,IF(ISNUMBER(FIND("SALDO DO DIA",C364)),0,IF(ISNUMBER(FIND("SDO CTA/APL AUTOMATICAS",C364)),0,IF(ISNUMBER(FIND("TEC DEPOSITO",C364)),0,IF(ISNUMBER(FIND("APL APLIC AUT MAIS",C364)),E364,IF(E364&gt;0,E364,0))))))</f>
        <v>0</v>
      </c>
      <c r="H364" s="80" t="n">
        <v>43922</v>
      </c>
    </row>
    <row r="365" customFormat="false" ht="13.8" hidden="false" customHeight="false" outlineLevel="0" collapsed="false">
      <c r="A365" s="59" t="s">
        <v>67</v>
      </c>
      <c r="B365" s="74" t="s">
        <v>343</v>
      </c>
      <c r="C365" s="75" t="s">
        <v>69</v>
      </c>
      <c r="D365" s="76"/>
      <c r="E365" s="77" t="n">
        <v>229.32</v>
      </c>
      <c r="F365" s="78" t="n">
        <f aca="false">IF(ISNUMBER(FIND("SALDO ANTERIOR",C365)),0,IF(ISNUMBER(FIND("SALDO DO DIA",C365)),0,IF(ISNUMBER(FIND("SALDO PARCIAL",C365)),0,IF(ISNUMBER(FIND("SDO CTA/APL AUTOMATICAS",C365)),0,IF(ISNUMBER(FIND("APL APLIC AUT MAIS",C365)),0,IF(ISNUMBER(FIND("TEC DEPOSITO",C365)),0,IF(E365&gt;0,0,E365*(-1))))))))</f>
        <v>0</v>
      </c>
      <c r="G365" s="79" t="n">
        <f aca="false">IF(ISNUMBER(FIND("SALDO ANTERIOR",C365)),0,IF(ISNUMBER(FIND("SALDO DO DIA",C365)),0,IF(ISNUMBER(FIND("SDO CTA/APL AUTOMATICAS",C365)),0,IF(ISNUMBER(FIND("TEC DEPOSITO",C365)),0,IF(ISNUMBER(FIND("APL APLIC AUT MAIS",C365)),E365,IF(E365&gt;0,E365,0))))))</f>
        <v>229.32</v>
      </c>
      <c r="H365" s="80" t="n">
        <v>43922</v>
      </c>
    </row>
    <row r="366" customFormat="false" ht="13.8" hidden="false" customHeight="false" outlineLevel="0" collapsed="false">
      <c r="A366" s="59" t="s">
        <v>29</v>
      </c>
      <c r="B366" s="74" t="s">
        <v>343</v>
      </c>
      <c r="C366" s="75" t="s">
        <v>70</v>
      </c>
      <c r="D366" s="76"/>
      <c r="E366" s="77" t="n">
        <v>1211.51</v>
      </c>
      <c r="F366" s="78" t="n">
        <f aca="false">IF(ISNUMBER(FIND("SALDO ANTERIOR",C366)),0,IF(ISNUMBER(FIND("SALDO DO DIA",C366)),0,IF(ISNUMBER(FIND("SALDO PARCIAL",C366)),0,IF(ISNUMBER(FIND("SDO CTA/APL AUTOMATICAS",C366)),0,IF(ISNUMBER(FIND("APL APLIC AUT MAIS",C366)),0,IF(ISNUMBER(FIND("TEC DEPOSITO",C366)),0,IF(E366&gt;0,0,E366*(-1))))))))</f>
        <v>0</v>
      </c>
      <c r="G366" s="79" t="n">
        <f aca="false">IF(ISNUMBER(FIND("SALDO ANTERIOR",C366)),0,IF(ISNUMBER(FIND("SALDO DO DIA",C366)),0,IF(ISNUMBER(FIND("SDO CTA/APL AUTOMATICAS",C366)),0,IF(ISNUMBER(FIND("TEC DEPOSITO",C366)),0,IF(ISNUMBER(FIND("APL APLIC AUT MAIS",C366)),E366,IF(E366&gt;0,E366,0))))))</f>
        <v>1211.51</v>
      </c>
      <c r="H366" s="80" t="n">
        <v>43922</v>
      </c>
    </row>
    <row r="367" customFormat="false" ht="13.8" hidden="false" customHeight="false" outlineLevel="0" collapsed="false">
      <c r="A367" s="59" t="s">
        <v>203</v>
      </c>
      <c r="B367" s="74" t="s">
        <v>348</v>
      </c>
      <c r="C367" s="75" t="s">
        <v>349</v>
      </c>
      <c r="D367" s="76" t="s">
        <v>239</v>
      </c>
      <c r="E367" s="81" t="n">
        <v>-100</v>
      </c>
      <c r="F367" s="78" t="n">
        <f aca="false">IF(ISNUMBER(FIND("SALDO ANTERIOR",C367)),0,IF(ISNUMBER(FIND("SALDO DO DIA",C367)),0,IF(ISNUMBER(FIND("SALDO PARCIAL",C367)),0,IF(ISNUMBER(FIND("SDO CTA/APL AUTOMATICAS",C367)),0,IF(ISNUMBER(FIND("APL APLIC AUT MAIS",C367)),0,IF(ISNUMBER(FIND("TEC DEPOSITO",C367)),0,IF(E367&gt;0,0,E367*(-1))))))))</f>
        <v>100</v>
      </c>
      <c r="G367" s="79" t="n">
        <f aca="false">IF(ISNUMBER(FIND("SALDO ANTERIOR",C367)),0,IF(ISNUMBER(FIND("SALDO DO DIA",C367)),0,IF(ISNUMBER(FIND("SDO CTA/APL AUTOMATICAS",C367)),0,IF(ISNUMBER(FIND("TEC DEPOSITO",C367)),0,IF(ISNUMBER(FIND("APL APLIC AUT MAIS",C367)),E367,IF(E367&gt;0,E367,0))))))</f>
        <v>0</v>
      </c>
      <c r="H367" s="80" t="n">
        <v>43922</v>
      </c>
    </row>
    <row r="368" customFormat="false" ht="13.8" hidden="false" customHeight="false" outlineLevel="0" collapsed="false">
      <c r="A368" s="59" t="s">
        <v>225</v>
      </c>
      <c r="B368" s="74" t="s">
        <v>348</v>
      </c>
      <c r="C368" s="75" t="s">
        <v>350</v>
      </c>
      <c r="D368" s="76" t="s">
        <v>271</v>
      </c>
      <c r="E368" s="81" t="n">
        <v>-28.4</v>
      </c>
      <c r="F368" s="78" t="n">
        <f aca="false">IF(ISNUMBER(FIND("SALDO ANTERIOR",C368)),0,IF(ISNUMBER(FIND("SALDO DO DIA",C368)),0,IF(ISNUMBER(FIND("SALDO PARCIAL",C368)),0,IF(ISNUMBER(FIND("SDO CTA/APL AUTOMATICAS",C368)),0,IF(ISNUMBER(FIND("APL APLIC AUT MAIS",C368)),0,IF(ISNUMBER(FIND("TEC DEPOSITO",C368)),0,IF(E368&gt;0,0,E368*(-1))))))))</f>
        <v>28.4</v>
      </c>
      <c r="G368" s="79" t="n">
        <f aca="false">IF(ISNUMBER(FIND("SALDO ANTERIOR",C368)),0,IF(ISNUMBER(FIND("SALDO DO DIA",C368)),0,IF(ISNUMBER(FIND("SDO CTA/APL AUTOMATICAS",C368)),0,IF(ISNUMBER(FIND("TEC DEPOSITO",C368)),0,IF(ISNUMBER(FIND("APL APLIC AUT MAIS",C368)),E368,IF(E368&gt;0,E368,0))))))</f>
        <v>0</v>
      </c>
      <c r="H368" s="80" t="n">
        <v>43922</v>
      </c>
    </row>
    <row r="369" customFormat="false" ht="13.8" hidden="false" customHeight="false" outlineLevel="0" collapsed="false">
      <c r="A369" s="59" t="s">
        <v>225</v>
      </c>
      <c r="B369" s="74" t="s">
        <v>348</v>
      </c>
      <c r="C369" s="75" t="s">
        <v>350</v>
      </c>
      <c r="D369" s="76" t="s">
        <v>271</v>
      </c>
      <c r="E369" s="81" t="n">
        <v>-93.98</v>
      </c>
      <c r="F369" s="78" t="n">
        <f aca="false">IF(ISNUMBER(FIND("SALDO ANTERIOR",C369)),0,IF(ISNUMBER(FIND("SALDO DO DIA",C369)),0,IF(ISNUMBER(FIND("SALDO PARCIAL",C369)),0,IF(ISNUMBER(FIND("SDO CTA/APL AUTOMATICAS",C369)),0,IF(ISNUMBER(FIND("APL APLIC AUT MAIS",C369)),0,IF(ISNUMBER(FIND("TEC DEPOSITO",C369)),0,IF(E369&gt;0,0,E369*(-1))))))))</f>
        <v>93.98</v>
      </c>
      <c r="G369" s="79" t="n">
        <f aca="false">IF(ISNUMBER(FIND("SALDO ANTERIOR",C369)),0,IF(ISNUMBER(FIND("SALDO DO DIA",C369)),0,IF(ISNUMBER(FIND("SDO CTA/APL AUTOMATICAS",C369)),0,IF(ISNUMBER(FIND("TEC DEPOSITO",C369)),0,IF(ISNUMBER(FIND("APL APLIC AUT MAIS",C369)),E369,IF(E369&gt;0,E369,0))))))</f>
        <v>0</v>
      </c>
      <c r="H369" s="80" t="n">
        <v>43922</v>
      </c>
    </row>
    <row r="370" customFormat="false" ht="13.8" hidden="false" customHeight="false" outlineLevel="0" collapsed="false">
      <c r="A370" s="59" t="s">
        <v>65</v>
      </c>
      <c r="B370" s="74" t="s">
        <v>348</v>
      </c>
      <c r="C370" s="75" t="s">
        <v>351</v>
      </c>
      <c r="D370" s="76" t="s">
        <v>271</v>
      </c>
      <c r="E370" s="81" t="n">
        <v>-100.66</v>
      </c>
      <c r="F370" s="78" t="n">
        <f aca="false">IF(ISNUMBER(FIND("SALDO ANTERIOR",C370)),0,IF(ISNUMBER(FIND("SALDO DO DIA",C370)),0,IF(ISNUMBER(FIND("SALDO PARCIAL",C370)),0,IF(ISNUMBER(FIND("SDO CTA/APL AUTOMATICAS",C370)),0,IF(ISNUMBER(FIND("APL APLIC AUT MAIS",C370)),0,IF(ISNUMBER(FIND("TEC DEPOSITO",C370)),0,IF(E370&gt;0,0,E370*(-1))))))))</f>
        <v>100.66</v>
      </c>
      <c r="G370" s="79" t="n">
        <f aca="false">IF(ISNUMBER(FIND("SALDO ANTERIOR",C370)),0,IF(ISNUMBER(FIND("SALDO DO DIA",C370)),0,IF(ISNUMBER(FIND("SDO CTA/APL AUTOMATICAS",C370)),0,IF(ISNUMBER(FIND("TEC DEPOSITO",C370)),0,IF(ISNUMBER(FIND("APL APLIC AUT MAIS",C370)),E370,IF(E370&gt;0,E370,0))))))</f>
        <v>0</v>
      </c>
      <c r="H370" s="80" t="n">
        <v>43922</v>
      </c>
    </row>
    <row r="371" customFormat="false" ht="13.8" hidden="false" customHeight="false" outlineLevel="0" collapsed="false">
      <c r="A371" s="59" t="s">
        <v>65</v>
      </c>
      <c r="B371" s="74" t="s">
        <v>348</v>
      </c>
      <c r="C371" s="75" t="s">
        <v>352</v>
      </c>
      <c r="D371" s="76" t="s">
        <v>271</v>
      </c>
      <c r="E371" s="81" t="n">
        <v>-51</v>
      </c>
      <c r="F371" s="78" t="n">
        <f aca="false">IF(ISNUMBER(FIND("SALDO ANTERIOR",C371)),0,IF(ISNUMBER(FIND("SALDO DO DIA",C371)),0,IF(ISNUMBER(FIND("SALDO PARCIAL",C371)),0,IF(ISNUMBER(FIND("SDO CTA/APL AUTOMATICAS",C371)),0,IF(ISNUMBER(FIND("APL APLIC AUT MAIS",C371)),0,IF(ISNUMBER(FIND("TEC DEPOSITO",C371)),0,IF(E371&gt;0,0,E371*(-1))))))))</f>
        <v>51</v>
      </c>
      <c r="G371" s="79" t="n">
        <f aca="false">IF(ISNUMBER(FIND("SALDO ANTERIOR",C371)),0,IF(ISNUMBER(FIND("SALDO DO DIA",C371)),0,IF(ISNUMBER(FIND("SDO CTA/APL AUTOMATICAS",C371)),0,IF(ISNUMBER(FIND("TEC DEPOSITO",C371)),0,IF(ISNUMBER(FIND("APL APLIC AUT MAIS",C371)),E371,IF(E371&gt;0,E371,0))))))</f>
        <v>0</v>
      </c>
      <c r="H371" s="80" t="n">
        <v>43922</v>
      </c>
    </row>
    <row r="372" customFormat="false" ht="13.8" hidden="false" customHeight="false" outlineLevel="0" collapsed="false">
      <c r="A372" s="59" t="s">
        <v>74</v>
      </c>
      <c r="B372" s="74" t="s">
        <v>348</v>
      </c>
      <c r="C372" s="75" t="s">
        <v>353</v>
      </c>
      <c r="D372" s="76" t="s">
        <v>271</v>
      </c>
      <c r="E372" s="81" t="n">
        <v>-21.99</v>
      </c>
      <c r="F372" s="78" t="n">
        <f aca="false">IF(ISNUMBER(FIND("SALDO ANTERIOR",C372)),0,IF(ISNUMBER(FIND("SALDO DO DIA",C372)),0,IF(ISNUMBER(FIND("SALDO PARCIAL",C372)),0,IF(ISNUMBER(FIND("SDO CTA/APL AUTOMATICAS",C372)),0,IF(ISNUMBER(FIND("APL APLIC AUT MAIS",C372)),0,IF(ISNUMBER(FIND("TEC DEPOSITO",C372)),0,IF(E372&gt;0,0,E372*(-1))))))))</f>
        <v>21.99</v>
      </c>
      <c r="G372" s="79" t="n">
        <f aca="false">IF(ISNUMBER(FIND("SALDO ANTERIOR",C372)),0,IF(ISNUMBER(FIND("SALDO DO DIA",C372)),0,IF(ISNUMBER(FIND("SDO CTA/APL AUTOMATICAS",C372)),0,IF(ISNUMBER(FIND("TEC DEPOSITO",C372)),0,IF(ISNUMBER(FIND("APL APLIC AUT MAIS",C372)),E372,IF(E372&gt;0,E372,0))))))</f>
        <v>0</v>
      </c>
      <c r="H372" s="80" t="n">
        <v>43922</v>
      </c>
    </row>
    <row r="373" customFormat="false" ht="13.8" hidden="false" customHeight="false" outlineLevel="0" collapsed="false">
      <c r="A373" s="59" t="s">
        <v>74</v>
      </c>
      <c r="B373" s="74" t="s">
        <v>348</v>
      </c>
      <c r="C373" s="75" t="s">
        <v>354</v>
      </c>
      <c r="D373" s="76" t="s">
        <v>271</v>
      </c>
      <c r="E373" s="81" t="n">
        <v>-3.5</v>
      </c>
      <c r="F373" s="78" t="n">
        <f aca="false">IF(ISNUMBER(FIND("SALDO ANTERIOR",C373)),0,IF(ISNUMBER(FIND("SALDO DO DIA",C373)),0,IF(ISNUMBER(FIND("SALDO PARCIAL",C373)),0,IF(ISNUMBER(FIND("SDO CTA/APL AUTOMATICAS",C373)),0,IF(ISNUMBER(FIND("APL APLIC AUT MAIS",C373)),0,IF(ISNUMBER(FIND("TEC DEPOSITO",C373)),0,IF(E373&gt;0,0,E373*(-1))))))))</f>
        <v>3.5</v>
      </c>
      <c r="G373" s="79" t="n">
        <f aca="false">IF(ISNUMBER(FIND("SALDO ANTERIOR",C373)),0,IF(ISNUMBER(FIND("SALDO DO DIA",C373)),0,IF(ISNUMBER(FIND("SDO CTA/APL AUTOMATICAS",C373)),0,IF(ISNUMBER(FIND("TEC DEPOSITO",C373)),0,IF(ISNUMBER(FIND("APL APLIC AUT MAIS",C373)),E373,IF(E373&gt;0,E373,0))))))</f>
        <v>0</v>
      </c>
      <c r="H373" s="80" t="n">
        <v>43922</v>
      </c>
    </row>
    <row r="374" customFormat="false" ht="13.8" hidden="false" customHeight="false" outlineLevel="0" collapsed="false">
      <c r="A374" s="59" t="s">
        <v>74</v>
      </c>
      <c r="B374" s="74" t="s">
        <v>348</v>
      </c>
      <c r="C374" s="75" t="s">
        <v>354</v>
      </c>
      <c r="D374" s="76" t="s">
        <v>271</v>
      </c>
      <c r="E374" s="81" t="n">
        <v>-23</v>
      </c>
      <c r="F374" s="78" t="n">
        <f aca="false">IF(ISNUMBER(FIND("SALDO ANTERIOR",C374)),0,IF(ISNUMBER(FIND("SALDO DO DIA",C374)),0,IF(ISNUMBER(FIND("SALDO PARCIAL",C374)),0,IF(ISNUMBER(FIND("SDO CTA/APL AUTOMATICAS",C374)),0,IF(ISNUMBER(FIND("APL APLIC AUT MAIS",C374)),0,IF(ISNUMBER(FIND("TEC DEPOSITO",C374)),0,IF(E374&gt;0,0,E374*(-1))))))))</f>
        <v>23</v>
      </c>
      <c r="G374" s="79" t="n">
        <f aca="false">IF(ISNUMBER(FIND("SALDO ANTERIOR",C374)),0,IF(ISNUMBER(FIND("SALDO DO DIA",C374)),0,IF(ISNUMBER(FIND("SDO CTA/APL AUTOMATICAS",C374)),0,IF(ISNUMBER(FIND("TEC DEPOSITO",C374)),0,IF(ISNUMBER(FIND("APL APLIC AUT MAIS",C374)),E374,IF(E374&gt;0,E374,0))))))</f>
        <v>0</v>
      </c>
      <c r="H374" s="80" t="n">
        <v>43922</v>
      </c>
    </row>
    <row r="375" customFormat="false" ht="13.8" hidden="false" customHeight="false" outlineLevel="0" collapsed="false">
      <c r="A375" s="59" t="s">
        <v>87</v>
      </c>
      <c r="B375" s="74" t="s">
        <v>348</v>
      </c>
      <c r="C375" s="75" t="s">
        <v>355</v>
      </c>
      <c r="D375" s="76" t="s">
        <v>271</v>
      </c>
      <c r="E375" s="81" t="n">
        <v>-16</v>
      </c>
      <c r="F375" s="78" t="n">
        <f aca="false">IF(ISNUMBER(FIND("SALDO ANTERIOR",C375)),0,IF(ISNUMBER(FIND("SALDO DO DIA",C375)),0,IF(ISNUMBER(FIND("SALDO PARCIAL",C375)),0,IF(ISNUMBER(FIND("SDO CTA/APL AUTOMATICAS",C375)),0,IF(ISNUMBER(FIND("APL APLIC AUT MAIS",C375)),0,IF(ISNUMBER(FIND("TEC DEPOSITO",C375)),0,IF(E375&gt;0,0,E375*(-1))))))))</f>
        <v>16</v>
      </c>
      <c r="G375" s="79" t="n">
        <f aca="false">IF(ISNUMBER(FIND("SALDO ANTERIOR",C375)),0,IF(ISNUMBER(FIND("SALDO DO DIA",C375)),0,IF(ISNUMBER(FIND("SDO CTA/APL AUTOMATICAS",C375)),0,IF(ISNUMBER(FIND("TEC DEPOSITO",C375)),0,IF(ISNUMBER(FIND("APL APLIC AUT MAIS",C375)),E375,IF(E375&gt;0,E375,0))))))</f>
        <v>0</v>
      </c>
      <c r="H375" s="80" t="n">
        <v>43922</v>
      </c>
    </row>
    <row r="376" customFormat="false" ht="13.8" hidden="false" customHeight="false" outlineLevel="0" collapsed="false">
      <c r="A376" s="59" t="s">
        <v>65</v>
      </c>
      <c r="B376" s="74" t="s">
        <v>348</v>
      </c>
      <c r="C376" s="75" t="s">
        <v>356</v>
      </c>
      <c r="D376" s="76" t="s">
        <v>271</v>
      </c>
      <c r="E376" s="81" t="n">
        <v>-10</v>
      </c>
      <c r="F376" s="78" t="n">
        <f aca="false">IF(ISNUMBER(FIND("SALDO ANTERIOR",C376)),0,IF(ISNUMBER(FIND("SALDO DO DIA",C376)),0,IF(ISNUMBER(FIND("SALDO PARCIAL",C376)),0,IF(ISNUMBER(FIND("SDO CTA/APL AUTOMATICAS",C376)),0,IF(ISNUMBER(FIND("APL APLIC AUT MAIS",C376)),0,IF(ISNUMBER(FIND("TEC DEPOSITO",C376)),0,IF(E376&gt;0,0,E376*(-1))))))))</f>
        <v>10</v>
      </c>
      <c r="G376" s="79" t="n">
        <f aca="false">IF(ISNUMBER(FIND("SALDO ANTERIOR",C376)),0,IF(ISNUMBER(FIND("SALDO DO DIA",C376)),0,IF(ISNUMBER(FIND("SDO CTA/APL AUTOMATICAS",C376)),0,IF(ISNUMBER(FIND("TEC DEPOSITO",C376)),0,IF(ISNUMBER(FIND("APL APLIC AUT MAIS",C376)),E376,IF(E376&gt;0,E376,0))))))</f>
        <v>0</v>
      </c>
      <c r="H376" s="80" t="n">
        <v>43922</v>
      </c>
    </row>
    <row r="377" customFormat="false" ht="13.8" hidden="false" customHeight="false" outlineLevel="0" collapsed="false">
      <c r="A377" s="59" t="s">
        <v>65</v>
      </c>
      <c r="B377" s="74" t="s">
        <v>348</v>
      </c>
      <c r="C377" s="75" t="s">
        <v>357</v>
      </c>
      <c r="D377" s="76" t="s">
        <v>271</v>
      </c>
      <c r="E377" s="81" t="n">
        <v>-35</v>
      </c>
      <c r="F377" s="78" t="n">
        <f aca="false">IF(ISNUMBER(FIND("SALDO ANTERIOR",C377)),0,IF(ISNUMBER(FIND("SALDO DO DIA",C377)),0,IF(ISNUMBER(FIND("SALDO PARCIAL",C377)),0,IF(ISNUMBER(FIND("SDO CTA/APL AUTOMATICAS",C377)),0,IF(ISNUMBER(FIND("APL APLIC AUT MAIS",C377)),0,IF(ISNUMBER(FIND("TEC DEPOSITO",C377)),0,IF(E377&gt;0,0,E377*(-1))))))))</f>
        <v>35</v>
      </c>
      <c r="G377" s="79" t="n">
        <f aca="false">IF(ISNUMBER(FIND("SALDO ANTERIOR",C377)),0,IF(ISNUMBER(FIND("SALDO DO DIA",C377)),0,IF(ISNUMBER(FIND("SDO CTA/APL AUTOMATICAS",C377)),0,IF(ISNUMBER(FIND("TEC DEPOSITO",C377)),0,IF(ISNUMBER(FIND("APL APLIC AUT MAIS",C377)),E377,IF(E377&gt;0,E377,0))))))</f>
        <v>0</v>
      </c>
      <c r="H377" s="80" t="n">
        <v>43922</v>
      </c>
    </row>
    <row r="378" customFormat="false" ht="13.8" hidden="false" customHeight="false" outlineLevel="0" collapsed="false">
      <c r="A378" s="59" t="s">
        <v>98</v>
      </c>
      <c r="B378" s="74" t="s">
        <v>348</v>
      </c>
      <c r="C378" s="75" t="s">
        <v>358</v>
      </c>
      <c r="D378" s="76" t="s">
        <v>271</v>
      </c>
      <c r="E378" s="81" t="n">
        <v>-7.66</v>
      </c>
      <c r="F378" s="78" t="n">
        <f aca="false">IF(ISNUMBER(FIND("SALDO ANTERIOR",C378)),0,IF(ISNUMBER(FIND("SALDO DO DIA",C378)),0,IF(ISNUMBER(FIND("SALDO PARCIAL",C378)),0,IF(ISNUMBER(FIND("SDO CTA/APL AUTOMATICAS",C378)),0,IF(ISNUMBER(FIND("APL APLIC AUT MAIS",C378)),0,IF(ISNUMBER(FIND("TEC DEPOSITO",C378)),0,IF(E378&gt;0,0,E378*(-1))))))))</f>
        <v>7.66</v>
      </c>
      <c r="G378" s="79" t="n">
        <f aca="false">IF(ISNUMBER(FIND("SALDO ANTERIOR",C378)),0,IF(ISNUMBER(FIND("SALDO DO DIA",C378)),0,IF(ISNUMBER(FIND("SDO CTA/APL AUTOMATICAS",C378)),0,IF(ISNUMBER(FIND("TEC DEPOSITO",C378)),0,IF(ISNUMBER(FIND("APL APLIC AUT MAIS",C378)),E378,IF(E378&gt;0,E378,0))))))</f>
        <v>0</v>
      </c>
      <c r="H378" s="80" t="n">
        <v>43922</v>
      </c>
    </row>
    <row r="379" customFormat="false" ht="13.8" hidden="false" customHeight="false" outlineLevel="0" collapsed="false">
      <c r="A379" s="59" t="s">
        <v>74</v>
      </c>
      <c r="B379" s="74" t="s">
        <v>348</v>
      </c>
      <c r="C379" s="75" t="s">
        <v>359</v>
      </c>
      <c r="D379" s="76" t="s">
        <v>271</v>
      </c>
      <c r="E379" s="81" t="n">
        <v>-5.69</v>
      </c>
      <c r="F379" s="78" t="n">
        <f aca="false">IF(ISNUMBER(FIND("SALDO ANTERIOR",C379)),0,IF(ISNUMBER(FIND("SALDO DO DIA",C379)),0,IF(ISNUMBER(FIND("SALDO PARCIAL",C379)),0,IF(ISNUMBER(FIND("SDO CTA/APL AUTOMATICAS",C379)),0,IF(ISNUMBER(FIND("APL APLIC AUT MAIS",C379)),0,IF(ISNUMBER(FIND("TEC DEPOSITO",C379)),0,IF(E379&gt;0,0,E379*(-1))))))))</f>
        <v>5.69</v>
      </c>
      <c r="G379" s="79" t="n">
        <f aca="false">IF(ISNUMBER(FIND("SALDO ANTERIOR",C379)),0,IF(ISNUMBER(FIND("SALDO DO DIA",C379)),0,IF(ISNUMBER(FIND("SDO CTA/APL AUTOMATICAS",C379)),0,IF(ISNUMBER(FIND("TEC DEPOSITO",C379)),0,IF(ISNUMBER(FIND("APL APLIC AUT MAIS",C379)),E379,IF(E379&gt;0,E379,0))))))</f>
        <v>0</v>
      </c>
      <c r="H379" s="80" t="n">
        <v>43922</v>
      </c>
    </row>
    <row r="380" customFormat="false" ht="13.8" hidden="false" customHeight="false" outlineLevel="0" collapsed="false">
      <c r="A380" s="59" t="s">
        <v>98</v>
      </c>
      <c r="B380" s="74" t="s">
        <v>348</v>
      </c>
      <c r="C380" s="75" t="s">
        <v>360</v>
      </c>
      <c r="D380" s="76" t="s">
        <v>271</v>
      </c>
      <c r="E380" s="81" t="n">
        <v>-42.64</v>
      </c>
      <c r="F380" s="78" t="n">
        <f aca="false">IF(ISNUMBER(FIND("SALDO ANTERIOR",C380)),0,IF(ISNUMBER(FIND("SALDO DO DIA",C380)),0,IF(ISNUMBER(FIND("SALDO PARCIAL",C380)),0,IF(ISNUMBER(FIND("SDO CTA/APL AUTOMATICAS",C380)),0,IF(ISNUMBER(FIND("APL APLIC AUT MAIS",C380)),0,IF(ISNUMBER(FIND("TEC DEPOSITO",C380)),0,IF(E380&gt;0,0,E380*(-1))))))))</f>
        <v>42.64</v>
      </c>
      <c r="G380" s="79" t="n">
        <f aca="false">IF(ISNUMBER(FIND("SALDO ANTERIOR",C380)),0,IF(ISNUMBER(FIND("SALDO DO DIA",C380)),0,IF(ISNUMBER(FIND("SDO CTA/APL AUTOMATICAS",C380)),0,IF(ISNUMBER(FIND("TEC DEPOSITO",C380)),0,IF(ISNUMBER(FIND("APL APLIC AUT MAIS",C380)),E380,IF(E380&gt;0,E380,0))))))</f>
        <v>0</v>
      </c>
      <c r="H380" s="80" t="n">
        <v>43922</v>
      </c>
    </row>
    <row r="381" customFormat="false" ht="13.8" hidden="false" customHeight="false" outlineLevel="0" collapsed="false">
      <c r="A381" s="59" t="s">
        <v>98</v>
      </c>
      <c r="B381" s="74" t="s">
        <v>348</v>
      </c>
      <c r="C381" s="75" t="s">
        <v>361</v>
      </c>
      <c r="D381" s="76" t="s">
        <v>271</v>
      </c>
      <c r="E381" s="81" t="n">
        <v>-82.19</v>
      </c>
      <c r="F381" s="78" t="n">
        <f aca="false">IF(ISNUMBER(FIND("SALDO ANTERIOR",C381)),0,IF(ISNUMBER(FIND("SALDO DO DIA",C381)),0,IF(ISNUMBER(FIND("SALDO PARCIAL",C381)),0,IF(ISNUMBER(FIND("SDO CTA/APL AUTOMATICAS",C381)),0,IF(ISNUMBER(FIND("APL APLIC AUT MAIS",C381)),0,IF(ISNUMBER(FIND("TEC DEPOSITO",C381)),0,IF(E381&gt;0,0,E381*(-1))))))))</f>
        <v>82.19</v>
      </c>
      <c r="G381" s="79" t="n">
        <f aca="false">IF(ISNUMBER(FIND("SALDO ANTERIOR",C381)),0,IF(ISNUMBER(FIND("SALDO DO DIA",C381)),0,IF(ISNUMBER(FIND("SDO CTA/APL AUTOMATICAS",C381)),0,IF(ISNUMBER(FIND("TEC DEPOSITO",C381)),0,IF(ISNUMBER(FIND("APL APLIC AUT MAIS",C381)),E381,IF(E381&gt;0,E381,0))))))</f>
        <v>0</v>
      </c>
      <c r="H381" s="80" t="n">
        <v>43922</v>
      </c>
    </row>
    <row r="382" customFormat="false" ht="13.8" hidden="false" customHeight="false" outlineLevel="0" collapsed="false">
      <c r="A382" s="59" t="s">
        <v>98</v>
      </c>
      <c r="B382" s="74" t="s">
        <v>348</v>
      </c>
      <c r="C382" s="75" t="s">
        <v>362</v>
      </c>
      <c r="D382" s="76" t="s">
        <v>271</v>
      </c>
      <c r="E382" s="81" t="n">
        <v>-140.95</v>
      </c>
      <c r="F382" s="78" t="n">
        <f aca="false">IF(ISNUMBER(FIND("SALDO ANTERIOR",C382)),0,IF(ISNUMBER(FIND("SALDO DO DIA",C382)),0,IF(ISNUMBER(FIND("SALDO PARCIAL",C382)),0,IF(ISNUMBER(FIND("SDO CTA/APL AUTOMATICAS",C382)),0,IF(ISNUMBER(FIND("APL APLIC AUT MAIS",C382)),0,IF(ISNUMBER(FIND("TEC DEPOSITO",C382)),0,IF(E382&gt;0,0,E382*(-1))))))))</f>
        <v>140.95</v>
      </c>
      <c r="G382" s="79" t="n">
        <f aca="false">IF(ISNUMBER(FIND("SALDO ANTERIOR",C382)),0,IF(ISNUMBER(FIND("SALDO DO DIA",C382)),0,IF(ISNUMBER(FIND("SDO CTA/APL AUTOMATICAS",C382)),0,IF(ISNUMBER(FIND("TEC DEPOSITO",C382)),0,IF(ISNUMBER(FIND("APL APLIC AUT MAIS",C382)),E382,IF(E382&gt;0,E382,0))))))</f>
        <v>0</v>
      </c>
      <c r="H382" s="80" t="n">
        <v>43922</v>
      </c>
    </row>
    <row r="383" customFormat="false" ht="13.8" hidden="false" customHeight="false" outlineLevel="0" collapsed="false">
      <c r="A383" s="59" t="s">
        <v>67</v>
      </c>
      <c r="B383" s="74" t="s">
        <v>348</v>
      </c>
      <c r="C383" s="75" t="s">
        <v>69</v>
      </c>
      <c r="D383" s="76"/>
      <c r="E383" s="77" t="n">
        <v>762.66</v>
      </c>
      <c r="F383" s="78" t="n">
        <f aca="false">IF(ISNUMBER(FIND("SALDO ANTERIOR",C383)),0,IF(ISNUMBER(FIND("SALDO DO DIA",C383)),0,IF(ISNUMBER(FIND("SALDO PARCIAL",C383)),0,IF(ISNUMBER(FIND("SDO CTA/APL AUTOMATICAS",C383)),0,IF(ISNUMBER(FIND("APL APLIC AUT MAIS",C383)),0,IF(ISNUMBER(FIND("TEC DEPOSITO",C383)),0,IF(E383&gt;0,0,E383*(-1))))))))</f>
        <v>0</v>
      </c>
      <c r="G383" s="79" t="n">
        <f aca="false">IF(ISNUMBER(FIND("SALDO ANTERIOR",C383)),0,IF(ISNUMBER(FIND("SALDO DO DIA",C383)),0,IF(ISNUMBER(FIND("SDO CTA/APL AUTOMATICAS",C383)),0,IF(ISNUMBER(FIND("TEC DEPOSITO",C383)),0,IF(ISNUMBER(FIND("APL APLIC AUT MAIS",C383)),E383,IF(E383&gt;0,E383,0))))))</f>
        <v>762.66</v>
      </c>
      <c r="H383" s="80" t="n">
        <v>43922</v>
      </c>
    </row>
    <row r="384" customFormat="false" ht="13.8" hidden="false" customHeight="false" outlineLevel="0" collapsed="false">
      <c r="A384" s="59" t="s">
        <v>29</v>
      </c>
      <c r="B384" s="74" t="s">
        <v>348</v>
      </c>
      <c r="C384" s="75" t="s">
        <v>70</v>
      </c>
      <c r="D384" s="76"/>
      <c r="E384" s="77" t="n">
        <v>448.85</v>
      </c>
      <c r="F384" s="78" t="n">
        <f aca="false">IF(ISNUMBER(FIND("SALDO ANTERIOR",C384)),0,IF(ISNUMBER(FIND("SALDO DO DIA",C384)),0,IF(ISNUMBER(FIND("SALDO PARCIAL",C384)),0,IF(ISNUMBER(FIND("SDO CTA/APL AUTOMATICAS",C384)),0,IF(ISNUMBER(FIND("APL APLIC AUT MAIS",C384)),0,IF(ISNUMBER(FIND("TEC DEPOSITO",C384)),0,IF(E384&gt;0,0,E384*(-1))))))))</f>
        <v>0</v>
      </c>
      <c r="G384" s="79" t="n">
        <f aca="false">IF(ISNUMBER(FIND("SALDO ANTERIOR",C384)),0,IF(ISNUMBER(FIND("SALDO DO DIA",C384)),0,IF(ISNUMBER(FIND("SDO CTA/APL AUTOMATICAS",C384)),0,IF(ISNUMBER(FIND("TEC DEPOSITO",C384)),0,IF(ISNUMBER(FIND("APL APLIC AUT MAIS",C384)),E384,IF(E384&gt;0,E384,0))))))</f>
        <v>448.85</v>
      </c>
      <c r="H384" s="80" t="n">
        <v>43922</v>
      </c>
    </row>
    <row r="385" customFormat="false" ht="13.8" hidden="false" customHeight="false" outlineLevel="0" collapsed="false">
      <c r="A385" s="59" t="s">
        <v>98</v>
      </c>
      <c r="B385" s="74" t="s">
        <v>363</v>
      </c>
      <c r="C385" s="75" t="s">
        <v>364</v>
      </c>
      <c r="D385" s="76" t="s">
        <v>271</v>
      </c>
      <c r="E385" s="81" t="n">
        <v>-76.98</v>
      </c>
      <c r="F385" s="78" t="n">
        <f aca="false">IF(ISNUMBER(FIND("SALDO ANTERIOR",C385)),0,IF(ISNUMBER(FIND("SALDO DO DIA",C385)),0,IF(ISNUMBER(FIND("SALDO PARCIAL",C385)),0,IF(ISNUMBER(FIND("SDO CTA/APL AUTOMATICAS",C385)),0,IF(ISNUMBER(FIND("APL APLIC AUT MAIS",C385)),0,IF(ISNUMBER(FIND("TEC DEPOSITO",C385)),0,IF(E385&gt;0,0,E385*(-1))))))))</f>
        <v>76.98</v>
      </c>
      <c r="G385" s="79" t="n">
        <f aca="false">IF(ISNUMBER(FIND("SALDO ANTERIOR",C385)),0,IF(ISNUMBER(FIND("SALDO DO DIA",C385)),0,IF(ISNUMBER(FIND("SDO CTA/APL AUTOMATICAS",C385)),0,IF(ISNUMBER(FIND("TEC DEPOSITO",C385)),0,IF(ISNUMBER(FIND("APL APLIC AUT MAIS",C385)),E385,IF(E385&gt;0,E385,0))))))</f>
        <v>0</v>
      </c>
      <c r="H385" s="80" t="n">
        <v>43922</v>
      </c>
    </row>
    <row r="386" customFormat="false" ht="13.8" hidden="false" customHeight="false" outlineLevel="0" collapsed="false">
      <c r="A386" s="59" t="s">
        <v>176</v>
      </c>
      <c r="B386" s="74" t="s">
        <v>363</v>
      </c>
      <c r="C386" s="75" t="s">
        <v>365</v>
      </c>
      <c r="D386" s="76" t="s">
        <v>61</v>
      </c>
      <c r="E386" s="81" t="n">
        <v>-90</v>
      </c>
      <c r="F386" s="78" t="n">
        <f aca="false">IF(ISNUMBER(FIND("SALDO ANTERIOR",C386)),0,IF(ISNUMBER(FIND("SALDO DO DIA",C386)),0,IF(ISNUMBER(FIND("SALDO PARCIAL",C386)),0,IF(ISNUMBER(FIND("SDO CTA/APL AUTOMATICAS",C386)),0,IF(ISNUMBER(FIND("APL APLIC AUT MAIS",C386)),0,IF(ISNUMBER(FIND("TEC DEPOSITO",C386)),0,IF(E386&gt;0,0,E386*(-1))))))))</f>
        <v>90</v>
      </c>
      <c r="G386" s="79" t="n">
        <f aca="false">IF(ISNUMBER(FIND("SALDO ANTERIOR",C386)),0,IF(ISNUMBER(FIND("SALDO DO DIA",C386)),0,IF(ISNUMBER(FIND("SDO CTA/APL AUTOMATICAS",C386)),0,IF(ISNUMBER(FIND("TEC DEPOSITO",C386)),0,IF(ISNUMBER(FIND("APL APLIC AUT MAIS",C386)),E386,IF(E386&gt;0,E386,0))))))</f>
        <v>0</v>
      </c>
      <c r="H386" s="80" t="n">
        <v>43922</v>
      </c>
    </row>
    <row r="387" customFormat="false" ht="13.8" hidden="false" customHeight="false" outlineLevel="0" collapsed="false">
      <c r="A387" s="59" t="s">
        <v>176</v>
      </c>
      <c r="B387" s="74" t="s">
        <v>363</v>
      </c>
      <c r="C387" s="75" t="s">
        <v>366</v>
      </c>
      <c r="D387" s="76" t="s">
        <v>61</v>
      </c>
      <c r="E387" s="81" t="n">
        <v>-60</v>
      </c>
      <c r="F387" s="78" t="n">
        <f aca="false">IF(ISNUMBER(FIND("SALDO ANTERIOR",C387)),0,IF(ISNUMBER(FIND("SALDO DO DIA",C387)),0,IF(ISNUMBER(FIND("SALDO PARCIAL",C387)),0,IF(ISNUMBER(FIND("SDO CTA/APL AUTOMATICAS",C387)),0,IF(ISNUMBER(FIND("APL APLIC AUT MAIS",C387)),0,IF(ISNUMBER(FIND("TEC DEPOSITO",C387)),0,IF(E387&gt;0,0,E387*(-1))))))))</f>
        <v>60</v>
      </c>
      <c r="G387" s="79" t="n">
        <f aca="false">IF(ISNUMBER(FIND("SALDO ANTERIOR",C387)),0,IF(ISNUMBER(FIND("SALDO DO DIA",C387)),0,IF(ISNUMBER(FIND("SDO CTA/APL AUTOMATICAS",C387)),0,IF(ISNUMBER(FIND("TEC DEPOSITO",C387)),0,IF(ISNUMBER(FIND("APL APLIC AUT MAIS",C387)),E387,IF(E387&gt;0,E387,0))))))</f>
        <v>0</v>
      </c>
      <c r="H387" s="80" t="n">
        <v>43922</v>
      </c>
    </row>
    <row r="388" customFormat="false" ht="13.8" hidden="false" customHeight="false" outlineLevel="0" collapsed="false">
      <c r="A388" s="59" t="s">
        <v>67</v>
      </c>
      <c r="B388" s="74" t="s">
        <v>363</v>
      </c>
      <c r="C388" s="75" t="s">
        <v>69</v>
      </c>
      <c r="D388" s="76"/>
      <c r="E388" s="77" t="n">
        <v>226.98</v>
      </c>
      <c r="F388" s="78" t="n">
        <f aca="false">IF(ISNUMBER(FIND("SALDO ANTERIOR",C388)),0,IF(ISNUMBER(FIND("SALDO DO DIA",C388)),0,IF(ISNUMBER(FIND("SALDO PARCIAL",C388)),0,IF(ISNUMBER(FIND("SDO CTA/APL AUTOMATICAS",C388)),0,IF(ISNUMBER(FIND("APL APLIC AUT MAIS",C388)),0,IF(ISNUMBER(FIND("TEC DEPOSITO",C388)),0,IF(E388&gt;0,0,E388*(-1))))))))</f>
        <v>0</v>
      </c>
      <c r="G388" s="79" t="n">
        <f aca="false">IF(ISNUMBER(FIND("SALDO ANTERIOR",C388)),0,IF(ISNUMBER(FIND("SALDO DO DIA",C388)),0,IF(ISNUMBER(FIND("SDO CTA/APL AUTOMATICAS",C388)),0,IF(ISNUMBER(FIND("TEC DEPOSITO",C388)),0,IF(ISNUMBER(FIND("APL APLIC AUT MAIS",C388)),E388,IF(E388&gt;0,E388,0))))))</f>
        <v>226.98</v>
      </c>
      <c r="H388" s="80" t="n">
        <v>43922</v>
      </c>
    </row>
    <row r="389" customFormat="false" ht="13.8" hidden="false" customHeight="false" outlineLevel="0" collapsed="false">
      <c r="A389" s="59" t="s">
        <v>29</v>
      </c>
      <c r="B389" s="74" t="s">
        <v>363</v>
      </c>
      <c r="C389" s="75" t="s">
        <v>70</v>
      </c>
      <c r="D389" s="76"/>
      <c r="E389" s="77" t="n">
        <v>221.87</v>
      </c>
      <c r="F389" s="78" t="n">
        <f aca="false">IF(ISNUMBER(FIND("SALDO ANTERIOR",C389)),0,IF(ISNUMBER(FIND("SALDO DO DIA",C389)),0,IF(ISNUMBER(FIND("SALDO PARCIAL",C389)),0,IF(ISNUMBER(FIND("SDO CTA/APL AUTOMATICAS",C389)),0,IF(ISNUMBER(FIND("APL APLIC AUT MAIS",C389)),0,IF(ISNUMBER(FIND("TEC DEPOSITO",C389)),0,IF(E389&gt;0,0,E389*(-1))))))))</f>
        <v>0</v>
      </c>
      <c r="G389" s="79" t="n">
        <f aca="false">IF(ISNUMBER(FIND("SALDO ANTERIOR",C389)),0,IF(ISNUMBER(FIND("SALDO DO DIA",C389)),0,IF(ISNUMBER(FIND("SDO CTA/APL AUTOMATICAS",C389)),0,IF(ISNUMBER(FIND("TEC DEPOSITO",C389)),0,IF(ISNUMBER(FIND("APL APLIC AUT MAIS",C389)),E389,IF(E389&gt;0,E389,0))))))</f>
        <v>221.87</v>
      </c>
      <c r="H389" s="80" t="n">
        <v>43922</v>
      </c>
    </row>
    <row r="390" customFormat="false" ht="13.8" hidden="false" customHeight="false" outlineLevel="0" collapsed="false">
      <c r="A390" s="59" t="s">
        <v>130</v>
      </c>
      <c r="B390" s="74" t="s">
        <v>367</v>
      </c>
      <c r="C390" s="75" t="s">
        <v>131</v>
      </c>
      <c r="D390" s="76" t="s">
        <v>82</v>
      </c>
      <c r="E390" s="81" t="n">
        <v>-75</v>
      </c>
      <c r="F390" s="78" t="n">
        <f aca="false">IF(ISNUMBER(FIND("SALDO ANTERIOR",C390)),0,IF(ISNUMBER(FIND("SALDO DO DIA",C390)),0,IF(ISNUMBER(FIND("SALDO PARCIAL",C390)),0,IF(ISNUMBER(FIND("SDO CTA/APL AUTOMATICAS",C390)),0,IF(ISNUMBER(FIND("APL APLIC AUT MAIS",C390)),0,IF(ISNUMBER(FIND("TEC DEPOSITO",C390)),0,IF(E390&gt;0,0,E390*(-1))))))))</f>
        <v>75</v>
      </c>
      <c r="G390" s="79" t="n">
        <f aca="false">IF(ISNUMBER(FIND("SALDO ANTERIOR",C390)),0,IF(ISNUMBER(FIND("SALDO DO DIA",C390)),0,IF(ISNUMBER(FIND("SDO CTA/APL AUTOMATICAS",C390)),0,IF(ISNUMBER(FIND("TEC DEPOSITO",C390)),0,IF(ISNUMBER(FIND("APL APLIC AUT MAIS",C390)),E390,IF(E390&gt;0,E390,0))))))</f>
        <v>0</v>
      </c>
      <c r="H390" s="80" t="n">
        <v>43922</v>
      </c>
    </row>
    <row r="391" customFormat="false" ht="13.8" hidden="false" customHeight="false" outlineLevel="0" collapsed="false">
      <c r="A391" s="59" t="s">
        <v>67</v>
      </c>
      <c r="B391" s="74" t="s">
        <v>367</v>
      </c>
      <c r="C391" s="75" t="s">
        <v>69</v>
      </c>
      <c r="D391" s="76"/>
      <c r="E391" s="77" t="n">
        <v>75</v>
      </c>
      <c r="F391" s="78" t="n">
        <f aca="false">IF(ISNUMBER(FIND("SALDO ANTERIOR",C391)),0,IF(ISNUMBER(FIND("SALDO DO DIA",C391)),0,IF(ISNUMBER(FIND("SALDO PARCIAL",C391)),0,IF(ISNUMBER(FIND("SDO CTA/APL AUTOMATICAS",C391)),0,IF(ISNUMBER(FIND("APL APLIC AUT MAIS",C391)),0,IF(ISNUMBER(FIND("TEC DEPOSITO",C391)),0,IF(E391&gt;0,0,E391*(-1))))))))</f>
        <v>0</v>
      </c>
      <c r="G391" s="79" t="n">
        <f aca="false">IF(ISNUMBER(FIND("SALDO ANTERIOR",C391)),0,IF(ISNUMBER(FIND("SALDO DO DIA",C391)),0,IF(ISNUMBER(FIND("SDO CTA/APL AUTOMATICAS",C391)),0,IF(ISNUMBER(FIND("TEC DEPOSITO",C391)),0,IF(ISNUMBER(FIND("APL APLIC AUT MAIS",C391)),E391,IF(E391&gt;0,E391,0))))))</f>
        <v>75</v>
      </c>
      <c r="H391" s="80" t="n">
        <v>43922</v>
      </c>
    </row>
    <row r="392" customFormat="false" ht="13.8" hidden="false" customHeight="false" outlineLevel="0" collapsed="false">
      <c r="A392" s="59" t="s">
        <v>29</v>
      </c>
      <c r="B392" s="74" t="s">
        <v>367</v>
      </c>
      <c r="C392" s="75" t="s">
        <v>70</v>
      </c>
      <c r="D392" s="76"/>
      <c r="E392" s="77" t="n">
        <v>146.87</v>
      </c>
      <c r="F392" s="78" t="n">
        <f aca="false">IF(ISNUMBER(FIND("SALDO ANTERIOR",C392)),0,IF(ISNUMBER(FIND("SALDO DO DIA",C392)),0,IF(ISNUMBER(FIND("SALDO PARCIAL",C392)),0,IF(ISNUMBER(FIND("SDO CTA/APL AUTOMATICAS",C392)),0,IF(ISNUMBER(FIND("APL APLIC AUT MAIS",C392)),0,IF(ISNUMBER(FIND("TEC DEPOSITO",C392)),0,IF(E392&gt;0,0,E392*(-1))))))))</f>
        <v>0</v>
      </c>
      <c r="G392" s="79" t="n">
        <f aca="false">IF(ISNUMBER(FIND("SALDO ANTERIOR",C392)),0,IF(ISNUMBER(FIND("SALDO DO DIA",C392)),0,IF(ISNUMBER(FIND("SDO CTA/APL AUTOMATICAS",C392)),0,IF(ISNUMBER(FIND("TEC DEPOSITO",C392)),0,IF(ISNUMBER(FIND("APL APLIC AUT MAIS",C392)),E392,IF(E392&gt;0,E392,0))))))</f>
        <v>146.87</v>
      </c>
      <c r="H392" s="80" t="n">
        <v>43922</v>
      </c>
    </row>
    <row r="393" customFormat="false" ht="13.8" hidden="false" customHeight="false" outlineLevel="0" collapsed="false">
      <c r="A393" s="59" t="s">
        <v>203</v>
      </c>
      <c r="B393" s="74" t="s">
        <v>368</v>
      </c>
      <c r="C393" s="75" t="s">
        <v>209</v>
      </c>
      <c r="D393" s="76" t="s">
        <v>274</v>
      </c>
      <c r="E393" s="81" t="n">
        <v>-100</v>
      </c>
      <c r="F393" s="78" t="n">
        <f aca="false">IF(ISNUMBER(FIND("SALDO ANTERIOR",C393)),0,IF(ISNUMBER(FIND("SALDO DO DIA",C393)),0,IF(ISNUMBER(FIND("SALDO PARCIAL",C393)),0,IF(ISNUMBER(FIND("SDO CTA/APL AUTOMATICAS",C393)),0,IF(ISNUMBER(FIND("APL APLIC AUT MAIS",C393)),0,IF(ISNUMBER(FIND("TEC DEPOSITO",C393)),0,IF(E393&gt;0,0,E393*(-1))))))))</f>
        <v>100</v>
      </c>
      <c r="G393" s="79" t="n">
        <f aca="false">IF(ISNUMBER(FIND("SALDO ANTERIOR",C393)),0,IF(ISNUMBER(FIND("SALDO DO DIA",C393)),0,IF(ISNUMBER(FIND("SDO CTA/APL AUTOMATICAS",C393)),0,IF(ISNUMBER(FIND("TEC DEPOSITO",C393)),0,IF(ISNUMBER(FIND("APL APLIC AUT MAIS",C393)),E393,IF(E393&gt;0,E393,0))))))</f>
        <v>0</v>
      </c>
      <c r="H393" s="80" t="n">
        <v>43922</v>
      </c>
    </row>
    <row r="394" customFormat="false" ht="13.8" hidden="false" customHeight="false" outlineLevel="0" collapsed="false">
      <c r="A394" s="59" t="s">
        <v>225</v>
      </c>
      <c r="B394" s="74" t="s">
        <v>368</v>
      </c>
      <c r="C394" s="75" t="s">
        <v>369</v>
      </c>
      <c r="D394" s="76" t="s">
        <v>271</v>
      </c>
      <c r="E394" s="81" t="n">
        <v>-17.97</v>
      </c>
      <c r="F394" s="78" t="n">
        <f aca="false">IF(ISNUMBER(FIND("SALDO ANTERIOR",C394)),0,IF(ISNUMBER(FIND("SALDO DO DIA",C394)),0,IF(ISNUMBER(FIND("SALDO PARCIAL",C394)),0,IF(ISNUMBER(FIND("SDO CTA/APL AUTOMATICAS",C394)),0,IF(ISNUMBER(FIND("APL APLIC AUT MAIS",C394)),0,IF(ISNUMBER(FIND("TEC DEPOSITO",C394)),0,IF(E394&gt;0,0,E394*(-1))))))))</f>
        <v>17.97</v>
      </c>
      <c r="G394" s="79" t="n">
        <f aca="false">IF(ISNUMBER(FIND("SALDO ANTERIOR",C394)),0,IF(ISNUMBER(FIND("SALDO DO DIA",C394)),0,IF(ISNUMBER(FIND("SDO CTA/APL AUTOMATICAS",C394)),0,IF(ISNUMBER(FIND("TEC DEPOSITO",C394)),0,IF(ISNUMBER(FIND("APL APLIC AUT MAIS",C394)),E394,IF(E394&gt;0,E394,0))))))</f>
        <v>0</v>
      </c>
      <c r="H394" s="80" t="n">
        <v>43922</v>
      </c>
    </row>
    <row r="395" customFormat="false" ht="13.8" hidden="false" customHeight="false" outlineLevel="0" collapsed="false">
      <c r="A395" s="59" t="s">
        <v>67</v>
      </c>
      <c r="B395" s="74" t="s">
        <v>368</v>
      </c>
      <c r="C395" s="75" t="s">
        <v>69</v>
      </c>
      <c r="D395" s="76"/>
      <c r="E395" s="77" t="n">
        <v>117.97</v>
      </c>
      <c r="F395" s="78" t="n">
        <f aca="false">IF(ISNUMBER(FIND("SALDO ANTERIOR",C395)),0,IF(ISNUMBER(FIND("SALDO DO DIA",C395)),0,IF(ISNUMBER(FIND("SALDO PARCIAL",C395)),0,IF(ISNUMBER(FIND("SDO CTA/APL AUTOMATICAS",C395)),0,IF(ISNUMBER(FIND("APL APLIC AUT MAIS",C395)),0,IF(ISNUMBER(FIND("TEC DEPOSITO",C395)),0,IF(E395&gt;0,0,E395*(-1))))))))</f>
        <v>0</v>
      </c>
      <c r="G395" s="79" t="n">
        <f aca="false">IF(ISNUMBER(FIND("SALDO ANTERIOR",C395)),0,IF(ISNUMBER(FIND("SALDO DO DIA",C395)),0,IF(ISNUMBER(FIND("SDO CTA/APL AUTOMATICAS",C395)),0,IF(ISNUMBER(FIND("TEC DEPOSITO",C395)),0,IF(ISNUMBER(FIND("APL APLIC AUT MAIS",C395)),E395,IF(E395&gt;0,E395,0))))))</f>
        <v>117.97</v>
      </c>
      <c r="H395" s="80" t="n">
        <v>43922</v>
      </c>
    </row>
    <row r="396" customFormat="false" ht="13.8" hidden="false" customHeight="false" outlineLevel="0" collapsed="false">
      <c r="A396" s="59" t="s">
        <v>29</v>
      </c>
      <c r="B396" s="74" t="s">
        <v>368</v>
      </c>
      <c r="C396" s="75" t="s">
        <v>70</v>
      </c>
      <c r="D396" s="76"/>
      <c r="E396" s="77" t="n">
        <v>28.9</v>
      </c>
      <c r="F396" s="78" t="n">
        <f aca="false">IF(ISNUMBER(FIND("SALDO ANTERIOR",C396)),0,IF(ISNUMBER(FIND("SALDO DO DIA",C396)),0,IF(ISNUMBER(FIND("SALDO PARCIAL",C396)),0,IF(ISNUMBER(FIND("SDO CTA/APL AUTOMATICAS",C396)),0,IF(ISNUMBER(FIND("APL APLIC AUT MAIS",C396)),0,IF(ISNUMBER(FIND("TEC DEPOSITO",C396)),0,IF(E396&gt;0,0,E396*(-1))))))))</f>
        <v>0</v>
      </c>
      <c r="G396" s="79" t="n">
        <f aca="false">IF(ISNUMBER(FIND("SALDO ANTERIOR",C396)),0,IF(ISNUMBER(FIND("SALDO DO DIA",C396)),0,IF(ISNUMBER(FIND("SDO CTA/APL AUTOMATICAS",C396)),0,IF(ISNUMBER(FIND("TEC DEPOSITO",C396)),0,IF(ISNUMBER(FIND("APL APLIC AUT MAIS",C396)),E396,IF(E396&gt;0,E396,0))))))</f>
        <v>28.9</v>
      </c>
      <c r="H396" s="80" t="n">
        <v>43922</v>
      </c>
    </row>
    <row r="397" customFormat="false" ht="13.8" hidden="false" customHeight="false" outlineLevel="0" collapsed="false">
      <c r="A397" s="59" t="s">
        <v>71</v>
      </c>
      <c r="B397" s="74" t="s">
        <v>370</v>
      </c>
      <c r="C397" s="75" t="s">
        <v>371</v>
      </c>
      <c r="D397" s="76" t="s">
        <v>271</v>
      </c>
      <c r="E397" s="81" t="n">
        <v>-7.44</v>
      </c>
      <c r="F397" s="78" t="n">
        <f aca="false">IF(ISNUMBER(FIND("SALDO ANTERIOR",C397)),0,IF(ISNUMBER(FIND("SALDO DO DIA",C397)),0,IF(ISNUMBER(FIND("SALDO PARCIAL",C397)),0,IF(ISNUMBER(FIND("SDO CTA/APL AUTOMATICAS",C397)),0,IF(ISNUMBER(FIND("APL APLIC AUT MAIS",C397)),0,IF(ISNUMBER(FIND("TEC DEPOSITO",C397)),0,IF(E397&gt;0,0,E397*(-1))))))))</f>
        <v>7.44</v>
      </c>
      <c r="G397" s="79" t="n">
        <f aca="false">IF(ISNUMBER(FIND("SALDO ANTERIOR",C397)),0,IF(ISNUMBER(FIND("SALDO DO DIA",C397)),0,IF(ISNUMBER(FIND("SDO CTA/APL AUTOMATICAS",C397)),0,IF(ISNUMBER(FIND("TEC DEPOSITO",C397)),0,IF(ISNUMBER(FIND("APL APLIC AUT MAIS",C397)),E397,IF(E397&gt;0,E397,0))))))</f>
        <v>0</v>
      </c>
      <c r="H397" s="80" t="n">
        <v>43922</v>
      </c>
    </row>
    <row r="398" customFormat="false" ht="13.8" hidden="false" customHeight="false" outlineLevel="0" collapsed="false">
      <c r="A398" s="59" t="s">
        <v>76</v>
      </c>
      <c r="B398" s="74" t="s">
        <v>370</v>
      </c>
      <c r="C398" s="75" t="s">
        <v>372</v>
      </c>
      <c r="D398" s="76" t="s">
        <v>271</v>
      </c>
      <c r="E398" s="81" t="n">
        <v>-106.1</v>
      </c>
      <c r="F398" s="78" t="n">
        <f aca="false">IF(ISNUMBER(FIND("SALDO ANTERIOR",C398)),0,IF(ISNUMBER(FIND("SALDO DO DIA",C398)),0,IF(ISNUMBER(FIND("SALDO PARCIAL",C398)),0,IF(ISNUMBER(FIND("SDO CTA/APL AUTOMATICAS",C398)),0,IF(ISNUMBER(FIND("APL APLIC AUT MAIS",C398)),0,IF(ISNUMBER(FIND("TEC DEPOSITO",C398)),0,IF(E398&gt;0,0,E398*(-1))))))))</f>
        <v>106.1</v>
      </c>
      <c r="G398" s="79" t="n">
        <f aca="false">IF(ISNUMBER(FIND("SALDO ANTERIOR",C398)),0,IF(ISNUMBER(FIND("SALDO DO DIA",C398)),0,IF(ISNUMBER(FIND("SDO CTA/APL AUTOMATICAS",C398)),0,IF(ISNUMBER(FIND("TEC DEPOSITO",C398)),0,IF(ISNUMBER(FIND("APL APLIC AUT MAIS",C398)),E398,IF(E398&gt;0,E398,0))))))</f>
        <v>0</v>
      </c>
      <c r="H398" s="80" t="n">
        <v>43922</v>
      </c>
    </row>
    <row r="399" customFormat="false" ht="13.8" hidden="false" customHeight="false" outlineLevel="0" collapsed="false">
      <c r="A399" s="59" t="s">
        <v>74</v>
      </c>
      <c r="B399" s="74" t="s">
        <v>370</v>
      </c>
      <c r="C399" s="75" t="s">
        <v>373</v>
      </c>
      <c r="D399" s="76" t="s">
        <v>271</v>
      </c>
      <c r="E399" s="81" t="n">
        <v>-21.99</v>
      </c>
      <c r="F399" s="78" t="n">
        <f aca="false">IF(ISNUMBER(FIND("SALDO ANTERIOR",C399)),0,IF(ISNUMBER(FIND("SALDO DO DIA",C399)),0,IF(ISNUMBER(FIND("SALDO PARCIAL",C399)),0,IF(ISNUMBER(FIND("SDO CTA/APL AUTOMATICAS",C399)),0,IF(ISNUMBER(FIND("APL APLIC AUT MAIS",C399)),0,IF(ISNUMBER(FIND("TEC DEPOSITO",C399)),0,IF(E399&gt;0,0,E399*(-1))))))))</f>
        <v>21.99</v>
      </c>
      <c r="G399" s="79" t="n">
        <f aca="false">IF(ISNUMBER(FIND("SALDO ANTERIOR",C399)),0,IF(ISNUMBER(FIND("SALDO DO DIA",C399)),0,IF(ISNUMBER(FIND("SDO CTA/APL AUTOMATICAS",C399)),0,IF(ISNUMBER(FIND("TEC DEPOSITO",C399)),0,IF(ISNUMBER(FIND("APL APLIC AUT MAIS",C399)),E399,IF(E399&gt;0,E399,0))))))</f>
        <v>0</v>
      </c>
      <c r="H399" s="80" t="n">
        <v>43922</v>
      </c>
    </row>
    <row r="400" customFormat="false" ht="13.8" hidden="false" customHeight="false" outlineLevel="0" collapsed="false">
      <c r="A400" s="59" t="s">
        <v>76</v>
      </c>
      <c r="B400" s="74" t="s">
        <v>370</v>
      </c>
      <c r="C400" s="75" t="s">
        <v>374</v>
      </c>
      <c r="D400" s="76" t="s">
        <v>271</v>
      </c>
      <c r="E400" s="81" t="n">
        <v>-100</v>
      </c>
      <c r="F400" s="78" t="n">
        <f aca="false">IF(ISNUMBER(FIND("SALDO ANTERIOR",C400)),0,IF(ISNUMBER(FIND("SALDO DO DIA",C400)),0,IF(ISNUMBER(FIND("SALDO PARCIAL",C400)),0,IF(ISNUMBER(FIND("SDO CTA/APL AUTOMATICAS",C400)),0,IF(ISNUMBER(FIND("APL APLIC AUT MAIS",C400)),0,IF(ISNUMBER(FIND("TEC DEPOSITO",C400)),0,IF(E400&gt;0,0,E400*(-1))))))))</f>
        <v>100</v>
      </c>
      <c r="G400" s="79" t="n">
        <f aca="false">IF(ISNUMBER(FIND("SALDO ANTERIOR",C400)),0,IF(ISNUMBER(FIND("SALDO DO DIA",C400)),0,IF(ISNUMBER(FIND("SDO CTA/APL AUTOMATICAS",C400)),0,IF(ISNUMBER(FIND("TEC DEPOSITO",C400)),0,IF(ISNUMBER(FIND("APL APLIC AUT MAIS",C400)),E400,IF(E400&gt;0,E400,0))))))</f>
        <v>0</v>
      </c>
      <c r="H400" s="80" t="n">
        <v>43922</v>
      </c>
    </row>
    <row r="401" customFormat="false" ht="13.8" hidden="false" customHeight="false" outlineLevel="0" collapsed="false">
      <c r="A401" s="59" t="s">
        <v>71</v>
      </c>
      <c r="B401" s="74" t="s">
        <v>370</v>
      </c>
      <c r="C401" s="75" t="s">
        <v>375</v>
      </c>
      <c r="D401" s="76" t="s">
        <v>271</v>
      </c>
      <c r="E401" s="81" t="n">
        <v>-25</v>
      </c>
      <c r="F401" s="78" t="n">
        <f aca="false">IF(ISNUMBER(FIND("SALDO ANTERIOR",C401)),0,IF(ISNUMBER(FIND("SALDO DO DIA",C401)),0,IF(ISNUMBER(FIND("SALDO PARCIAL",C401)),0,IF(ISNUMBER(FIND("SDO CTA/APL AUTOMATICAS",C401)),0,IF(ISNUMBER(FIND("APL APLIC AUT MAIS",C401)),0,IF(ISNUMBER(FIND("TEC DEPOSITO",C401)),0,IF(E401&gt;0,0,E401*(-1))))))))</f>
        <v>25</v>
      </c>
      <c r="G401" s="79" t="n">
        <f aca="false">IF(ISNUMBER(FIND("SALDO ANTERIOR",C401)),0,IF(ISNUMBER(FIND("SALDO DO DIA",C401)),0,IF(ISNUMBER(FIND("SDO CTA/APL AUTOMATICAS",C401)),0,IF(ISNUMBER(FIND("TEC DEPOSITO",C401)),0,IF(ISNUMBER(FIND("APL APLIC AUT MAIS",C401)),E401,IF(E401&gt;0,E401,0))))))</f>
        <v>0</v>
      </c>
      <c r="H401" s="80" t="n">
        <v>43922</v>
      </c>
    </row>
    <row r="402" customFormat="false" ht="13.8" hidden="false" customHeight="false" outlineLevel="0" collapsed="false">
      <c r="A402" s="59" t="s">
        <v>65</v>
      </c>
      <c r="B402" s="74" t="s">
        <v>370</v>
      </c>
      <c r="C402" s="75" t="s">
        <v>376</v>
      </c>
      <c r="D402" s="76" t="s">
        <v>271</v>
      </c>
      <c r="E402" s="81" t="n">
        <v>-10</v>
      </c>
      <c r="F402" s="78" t="n">
        <f aca="false">IF(ISNUMBER(FIND("SALDO ANTERIOR",C402)),0,IF(ISNUMBER(FIND("SALDO DO DIA",C402)),0,IF(ISNUMBER(FIND("SALDO PARCIAL",C402)),0,IF(ISNUMBER(FIND("SDO CTA/APL AUTOMATICAS",C402)),0,IF(ISNUMBER(FIND("APL APLIC AUT MAIS",C402)),0,IF(ISNUMBER(FIND("TEC DEPOSITO",C402)),0,IF(E402&gt;0,0,E402*(-1))))))))</f>
        <v>10</v>
      </c>
      <c r="G402" s="79" t="n">
        <f aca="false">IF(ISNUMBER(FIND("SALDO ANTERIOR",C402)),0,IF(ISNUMBER(FIND("SALDO DO DIA",C402)),0,IF(ISNUMBER(FIND("SDO CTA/APL AUTOMATICAS",C402)),0,IF(ISNUMBER(FIND("TEC DEPOSITO",C402)),0,IF(ISNUMBER(FIND("APL APLIC AUT MAIS",C402)),E402,IF(E402&gt;0,E402,0))))))</f>
        <v>0</v>
      </c>
      <c r="H402" s="80" t="n">
        <v>43922</v>
      </c>
    </row>
    <row r="403" customFormat="false" ht="13.8" hidden="false" customHeight="false" outlineLevel="0" collapsed="false">
      <c r="A403" s="59" t="s">
        <v>98</v>
      </c>
      <c r="B403" s="74" t="s">
        <v>370</v>
      </c>
      <c r="C403" s="75" t="s">
        <v>377</v>
      </c>
      <c r="D403" s="76" t="s">
        <v>271</v>
      </c>
      <c r="E403" s="81" t="n">
        <v>-72.96</v>
      </c>
      <c r="F403" s="78" t="n">
        <f aca="false">IF(ISNUMBER(FIND("SALDO ANTERIOR",C403)),0,IF(ISNUMBER(FIND("SALDO DO DIA",C403)),0,IF(ISNUMBER(FIND("SALDO PARCIAL",C403)),0,IF(ISNUMBER(FIND("SDO CTA/APL AUTOMATICAS",C403)),0,IF(ISNUMBER(FIND("APL APLIC AUT MAIS",C403)),0,IF(ISNUMBER(FIND("TEC DEPOSITO",C403)),0,IF(E403&gt;0,0,E403*(-1))))))))</f>
        <v>72.96</v>
      </c>
      <c r="G403" s="79" t="n">
        <f aca="false">IF(ISNUMBER(FIND("SALDO ANTERIOR",C403)),0,IF(ISNUMBER(FIND("SALDO DO DIA",C403)),0,IF(ISNUMBER(FIND("SDO CTA/APL AUTOMATICAS",C403)),0,IF(ISNUMBER(FIND("TEC DEPOSITO",C403)),0,IF(ISNUMBER(FIND("APL APLIC AUT MAIS",C403)),E403,IF(E403&gt;0,E403,0))))))</f>
        <v>0</v>
      </c>
      <c r="H403" s="80" t="n">
        <v>43922</v>
      </c>
    </row>
    <row r="404" customFormat="false" ht="13.8" hidden="false" customHeight="false" outlineLevel="0" collapsed="false">
      <c r="A404" s="59" t="s">
        <v>65</v>
      </c>
      <c r="B404" s="74" t="s">
        <v>370</v>
      </c>
      <c r="C404" s="75" t="s">
        <v>378</v>
      </c>
      <c r="D404" s="76" t="s">
        <v>271</v>
      </c>
      <c r="E404" s="81" t="n">
        <v>-7.5</v>
      </c>
      <c r="F404" s="78" t="n">
        <f aca="false">IF(ISNUMBER(FIND("SALDO ANTERIOR",C404)),0,IF(ISNUMBER(FIND("SALDO DO DIA",C404)),0,IF(ISNUMBER(FIND("SALDO PARCIAL",C404)),0,IF(ISNUMBER(FIND("SDO CTA/APL AUTOMATICAS",C404)),0,IF(ISNUMBER(FIND("APL APLIC AUT MAIS",C404)),0,IF(ISNUMBER(FIND("TEC DEPOSITO",C404)),0,IF(E404&gt;0,0,E404*(-1))))))))</f>
        <v>7.5</v>
      </c>
      <c r="G404" s="79" t="n">
        <f aca="false">IF(ISNUMBER(FIND("SALDO ANTERIOR",C404)),0,IF(ISNUMBER(FIND("SALDO DO DIA",C404)),0,IF(ISNUMBER(FIND("SDO CTA/APL AUTOMATICAS",C404)),0,IF(ISNUMBER(FIND("TEC DEPOSITO",C404)),0,IF(ISNUMBER(FIND("APL APLIC AUT MAIS",C404)),E404,IF(E404&gt;0,E404,0))))))</f>
        <v>0</v>
      </c>
      <c r="H404" s="80" t="n">
        <v>43922</v>
      </c>
    </row>
    <row r="405" customFormat="false" ht="13.8" hidden="false" customHeight="false" outlineLevel="0" collapsed="false">
      <c r="A405" s="59" t="s">
        <v>67</v>
      </c>
      <c r="B405" s="74" t="s">
        <v>370</v>
      </c>
      <c r="C405" s="75" t="s">
        <v>109</v>
      </c>
      <c r="D405" s="76" t="s">
        <v>82</v>
      </c>
      <c r="E405" s="81" t="n">
        <v>-6.61</v>
      </c>
      <c r="F405" s="78" t="n">
        <f aca="false">IF(ISNUMBER(FIND("SALDO ANTERIOR",C405)),0,IF(ISNUMBER(FIND("SALDO DO DIA",C405)),0,IF(ISNUMBER(FIND("SALDO PARCIAL",C405)),0,IF(ISNUMBER(FIND("SDO CTA/APL AUTOMATICAS",C405)),0,IF(ISNUMBER(FIND("APL APLIC AUT MAIS",C405)),0,IF(ISNUMBER(FIND("TEC DEPOSITO",C405)),0,IF(E405&gt;0,0,E405*(-1))))))))</f>
        <v>6.61</v>
      </c>
      <c r="G405" s="79" t="n">
        <f aca="false">IF(ISNUMBER(FIND("SALDO ANTERIOR",C405)),0,IF(ISNUMBER(FIND("SALDO DO DIA",C405)),0,IF(ISNUMBER(FIND("SDO CTA/APL AUTOMATICAS",C405)),0,IF(ISNUMBER(FIND("TEC DEPOSITO",C405)),0,IF(ISNUMBER(FIND("APL APLIC AUT MAIS",C405)),E405,IF(E405&gt;0,E405,0))))))</f>
        <v>0</v>
      </c>
      <c r="H405" s="80" t="n">
        <v>43922</v>
      </c>
    </row>
    <row r="406" customFormat="false" ht="13.8" hidden="false" customHeight="false" outlineLevel="0" collapsed="false">
      <c r="A406" s="59" t="s">
        <v>29</v>
      </c>
      <c r="B406" s="74" t="s">
        <v>370</v>
      </c>
      <c r="C406" s="75" t="s">
        <v>110</v>
      </c>
      <c r="D406" s="76"/>
      <c r="E406" s="81" t="n">
        <v>-347.6</v>
      </c>
      <c r="F406" s="78" t="n">
        <f aca="false">IF(ISNUMBER(FIND("SALDO ANTERIOR",C406)),0,IF(ISNUMBER(FIND("SALDO DO DIA",C406)),0,IF(ISNUMBER(FIND("SALDO PARCIAL",C406)),0,IF(ISNUMBER(FIND("SDO CTA/APL AUTOMATICAS",C406)),0,IF(ISNUMBER(FIND("APL APLIC AUT MAIS",C406)),0,IF(ISNUMBER(FIND("TEC DEPOSITO",C406)),0,IF(E406&gt;0,0,E406*(-1))))))))</f>
        <v>0</v>
      </c>
      <c r="G406" s="79" t="n">
        <f aca="false">IF(ISNUMBER(FIND("SALDO ANTERIOR",C406)),0,IF(ISNUMBER(FIND("SALDO DO DIA",C406)),0,IF(ISNUMBER(FIND("SDO CTA/APL AUTOMATICAS",C406)),0,IF(ISNUMBER(FIND("TEC DEPOSITO",C406)),0,IF(ISNUMBER(FIND("APL APLIC AUT MAIS",C406)),E406,IF(E406&gt;0,E406,0))))))</f>
        <v>0</v>
      </c>
      <c r="H406" s="80" t="n">
        <v>43922</v>
      </c>
    </row>
    <row r="407" customFormat="false" ht="15" hidden="false" customHeight="false" outlineLevel="0" collapsed="false">
      <c r="A407" s="59" t="s">
        <v>29</v>
      </c>
      <c r="B407" s="74" t="s">
        <v>370</v>
      </c>
      <c r="C407" s="83" t="s">
        <v>111</v>
      </c>
      <c r="D407" s="76"/>
      <c r="E407" s="84" t="n">
        <v>-347.6</v>
      </c>
      <c r="F407" s="78" t="n">
        <f aca="false">IF(ISNUMBER(FIND("SALDO ANTERIOR",C407)),0,IF(ISNUMBER(FIND("SALDO DO DIA",C407)),0,IF(ISNUMBER(FIND("SALDO PARCIAL",C407)),0,IF(ISNUMBER(FIND("SDO CTA/APL AUTOMATICAS",C407)),0,IF(ISNUMBER(FIND("APL APLIC AUT MAIS",C407)),0,IF(ISNUMBER(FIND("TEC DEPOSITO",C407)),0,IF(E407&gt;0,0,E407*(-1))))))))</f>
        <v>0</v>
      </c>
      <c r="G407" s="79" t="n">
        <f aca="false">IF(ISNUMBER(FIND("SALDO ANTERIOR",C407)),0,IF(ISNUMBER(FIND("SALDO DO DIA",C407)),0,IF(ISNUMBER(FIND("SDO CTA/APL AUTOMATICAS",C407)),0,IF(ISNUMBER(FIND("TEC DEPOSITO",C407)),0,IF(ISNUMBER(FIND("APL APLIC AUT MAIS",C407)),E407,IF(E407&gt;0,E407,0))))))</f>
        <v>0</v>
      </c>
      <c r="H407" s="80" t="n">
        <v>43922</v>
      </c>
    </row>
    <row r="408" customFormat="false" ht="13.8" hidden="false" customHeight="false" outlineLevel="0" collapsed="false">
      <c r="A408" s="59" t="s">
        <v>67</v>
      </c>
      <c r="B408" s="74" t="s">
        <v>370</v>
      </c>
      <c r="C408" s="75" t="s">
        <v>69</v>
      </c>
      <c r="D408" s="76"/>
      <c r="E408" s="77" t="n">
        <v>28.9</v>
      </c>
      <c r="F408" s="78" t="n">
        <f aca="false">IF(ISNUMBER(FIND("SALDO ANTERIOR",C408)),0,IF(ISNUMBER(FIND("SALDO DO DIA",C408)),0,IF(ISNUMBER(FIND("SALDO PARCIAL",C408)),0,IF(ISNUMBER(FIND("SDO CTA/APL AUTOMATICAS",C408)),0,IF(ISNUMBER(FIND("APL APLIC AUT MAIS",C408)),0,IF(ISNUMBER(FIND("TEC DEPOSITO",C408)),0,IF(E408&gt;0,0,E408*(-1))))))))</f>
        <v>0</v>
      </c>
      <c r="G408" s="79" t="n">
        <f aca="false">IF(ISNUMBER(FIND("SALDO ANTERIOR",C408)),0,IF(ISNUMBER(FIND("SALDO DO DIA",C408)),0,IF(ISNUMBER(FIND("SDO CTA/APL AUTOMATICAS",C408)),0,IF(ISNUMBER(FIND("TEC DEPOSITO",C408)),0,IF(ISNUMBER(FIND("APL APLIC AUT MAIS",C408)),E408,IF(E408&gt;0,E408,0))))))</f>
        <v>28.9</v>
      </c>
      <c r="H408" s="80" t="n">
        <v>43922</v>
      </c>
    </row>
    <row r="409" customFormat="false" ht="13.8" hidden="false" customHeight="false" outlineLevel="0" collapsed="false">
      <c r="A409" s="59" t="s">
        <v>76</v>
      </c>
      <c r="B409" s="74" t="s">
        <v>379</v>
      </c>
      <c r="C409" s="75" t="s">
        <v>380</v>
      </c>
      <c r="D409" s="76" t="s">
        <v>271</v>
      </c>
      <c r="E409" s="81" t="n">
        <v>-37.5</v>
      </c>
      <c r="F409" s="78" t="n">
        <f aca="false">IF(ISNUMBER(FIND("SALDO ANTERIOR",C409)),0,IF(ISNUMBER(FIND("SALDO DO DIA",C409)),0,IF(ISNUMBER(FIND("SALDO PARCIAL",C409)),0,IF(ISNUMBER(FIND("SDO CTA/APL AUTOMATICAS",C409)),0,IF(ISNUMBER(FIND("APL APLIC AUT MAIS",C409)),0,IF(ISNUMBER(FIND("TEC DEPOSITO",C409)),0,IF(E409&gt;0,0,E409*(-1))))))))</f>
        <v>37.5</v>
      </c>
      <c r="G409" s="79" t="n">
        <f aca="false">IF(ISNUMBER(FIND("SALDO ANTERIOR",C409)),0,IF(ISNUMBER(FIND("SALDO DO DIA",C409)),0,IF(ISNUMBER(FIND("SDO CTA/APL AUTOMATICAS",C409)),0,IF(ISNUMBER(FIND("TEC DEPOSITO",C409)),0,IF(ISNUMBER(FIND("APL APLIC AUT MAIS",C409)),E409,IF(E409&gt;0,E409,0))))))</f>
        <v>0</v>
      </c>
      <c r="H409" s="80" t="n">
        <v>43922</v>
      </c>
    </row>
    <row r="410" customFormat="false" ht="13.8" hidden="false" customHeight="false" outlineLevel="0" collapsed="false">
      <c r="A410" s="59" t="s">
        <v>98</v>
      </c>
      <c r="B410" s="74" t="s">
        <v>379</v>
      </c>
      <c r="C410" s="75" t="s">
        <v>381</v>
      </c>
      <c r="D410" s="76" t="s">
        <v>271</v>
      </c>
      <c r="E410" s="81" t="n">
        <v>-86.74</v>
      </c>
      <c r="F410" s="78" t="n">
        <f aca="false">IF(ISNUMBER(FIND("SALDO ANTERIOR",C410)),0,IF(ISNUMBER(FIND("SALDO DO DIA",C410)),0,IF(ISNUMBER(FIND("SALDO PARCIAL",C410)),0,IF(ISNUMBER(FIND("SDO CTA/APL AUTOMATICAS",C410)),0,IF(ISNUMBER(FIND("APL APLIC AUT MAIS",C410)),0,IF(ISNUMBER(FIND("TEC DEPOSITO",C410)),0,IF(E410&gt;0,0,E410*(-1))))))))</f>
        <v>86.74</v>
      </c>
      <c r="G410" s="79" t="n">
        <f aca="false">IF(ISNUMBER(FIND("SALDO ANTERIOR",C410)),0,IF(ISNUMBER(FIND("SALDO DO DIA",C410)),0,IF(ISNUMBER(FIND("SDO CTA/APL AUTOMATICAS",C410)),0,IF(ISNUMBER(FIND("TEC DEPOSITO",C410)),0,IF(ISNUMBER(FIND("APL APLIC AUT MAIS",C410)),E410,IF(E410&gt;0,E410,0))))))</f>
        <v>0</v>
      </c>
      <c r="H410" s="80" t="n">
        <v>43922</v>
      </c>
    </row>
    <row r="411" customFormat="false" ht="13.8" hidden="false" customHeight="false" outlineLevel="0" collapsed="false">
      <c r="A411" s="59" t="s">
        <v>71</v>
      </c>
      <c r="B411" s="74" t="s">
        <v>382</v>
      </c>
      <c r="C411" s="75" t="s">
        <v>383</v>
      </c>
      <c r="D411" s="76" t="s">
        <v>271</v>
      </c>
      <c r="E411" s="81" t="n">
        <v>-14.42</v>
      </c>
      <c r="F411" s="78" t="n">
        <f aca="false">IF(ISNUMBER(FIND("SALDO ANTERIOR",C411)),0,IF(ISNUMBER(FIND("SALDO DO DIA",C411)),0,IF(ISNUMBER(FIND("SALDO PARCIAL",C411)),0,IF(ISNUMBER(FIND("SDO CTA/APL AUTOMATICAS",C411)),0,IF(ISNUMBER(FIND("APL APLIC AUT MAIS",C411)),0,IF(ISNUMBER(FIND("TEC DEPOSITO",C411)),0,IF(E411&gt;0,0,E411*(-1))))))))</f>
        <v>14.42</v>
      </c>
      <c r="G411" s="79" t="n">
        <f aca="false">IF(ISNUMBER(FIND("SALDO ANTERIOR",C411)),0,IF(ISNUMBER(FIND("SALDO DO DIA",C411)),0,IF(ISNUMBER(FIND("SDO CTA/APL AUTOMATICAS",C411)),0,IF(ISNUMBER(FIND("TEC DEPOSITO",C411)),0,IF(ISNUMBER(FIND("APL APLIC AUT MAIS",C411)),E411,IF(E411&gt;0,E411,0))))))</f>
        <v>0</v>
      </c>
      <c r="H411" s="80" t="n">
        <v>43922</v>
      </c>
    </row>
    <row r="412" customFormat="false" ht="13.8" hidden="false" customHeight="false" outlineLevel="0" collapsed="false">
      <c r="A412" s="59" t="s">
        <v>74</v>
      </c>
      <c r="B412" s="74" t="s">
        <v>382</v>
      </c>
      <c r="C412" s="75" t="s">
        <v>384</v>
      </c>
      <c r="D412" s="76" t="s">
        <v>271</v>
      </c>
      <c r="E412" s="81" t="n">
        <v>-14.99</v>
      </c>
      <c r="F412" s="78" t="n">
        <f aca="false">IF(ISNUMBER(FIND("SALDO ANTERIOR",C412)),0,IF(ISNUMBER(FIND("SALDO DO DIA",C412)),0,IF(ISNUMBER(FIND("SALDO PARCIAL",C412)),0,IF(ISNUMBER(FIND("SDO CTA/APL AUTOMATICAS",C412)),0,IF(ISNUMBER(FIND("APL APLIC AUT MAIS",C412)),0,IF(ISNUMBER(FIND("TEC DEPOSITO",C412)),0,IF(E412&gt;0,0,E412*(-1))))))))</f>
        <v>14.99</v>
      </c>
      <c r="G412" s="79" t="n">
        <f aca="false">IF(ISNUMBER(FIND("SALDO ANTERIOR",C412)),0,IF(ISNUMBER(FIND("SALDO DO DIA",C412)),0,IF(ISNUMBER(FIND("SDO CTA/APL AUTOMATICAS",C412)),0,IF(ISNUMBER(FIND("TEC DEPOSITO",C412)),0,IF(ISNUMBER(FIND("APL APLIC AUT MAIS",C412)),E412,IF(E412&gt;0,E412,0))))))</f>
        <v>0</v>
      </c>
      <c r="H412" s="80" t="n">
        <v>43922</v>
      </c>
    </row>
    <row r="413" customFormat="false" ht="13.8" hidden="false" customHeight="false" outlineLevel="0" collapsed="false">
      <c r="A413" s="59" t="s">
        <v>74</v>
      </c>
      <c r="B413" s="74" t="s">
        <v>382</v>
      </c>
      <c r="C413" s="75" t="s">
        <v>384</v>
      </c>
      <c r="D413" s="76" t="s">
        <v>271</v>
      </c>
      <c r="E413" s="81" t="n">
        <v>-2.5</v>
      </c>
      <c r="F413" s="78" t="n">
        <f aca="false">IF(ISNUMBER(FIND("SALDO ANTERIOR",C413)),0,IF(ISNUMBER(FIND("SALDO DO DIA",C413)),0,IF(ISNUMBER(FIND("SALDO PARCIAL",C413)),0,IF(ISNUMBER(FIND("SDO CTA/APL AUTOMATICAS",C413)),0,IF(ISNUMBER(FIND("APL APLIC AUT MAIS",C413)),0,IF(ISNUMBER(FIND("TEC DEPOSITO",C413)),0,IF(E413&gt;0,0,E413*(-1))))))))</f>
        <v>2.5</v>
      </c>
      <c r="G413" s="79" t="n">
        <f aca="false">IF(ISNUMBER(FIND("SALDO ANTERIOR",C413)),0,IF(ISNUMBER(FIND("SALDO DO DIA",C413)),0,IF(ISNUMBER(FIND("SDO CTA/APL AUTOMATICAS",C413)),0,IF(ISNUMBER(FIND("TEC DEPOSITO",C413)),0,IF(ISNUMBER(FIND("APL APLIC AUT MAIS",C413)),E413,IF(E413&gt;0,E413,0))))))</f>
        <v>0</v>
      </c>
      <c r="H413" s="80" t="n">
        <v>43922</v>
      </c>
    </row>
    <row r="414" customFormat="false" ht="13.8" hidden="false" customHeight="false" outlineLevel="0" collapsed="false">
      <c r="A414" s="59" t="s">
        <v>124</v>
      </c>
      <c r="B414" s="74" t="s">
        <v>382</v>
      </c>
      <c r="C414" s="75" t="s">
        <v>385</v>
      </c>
      <c r="D414" s="76" t="s">
        <v>61</v>
      </c>
      <c r="E414" s="81" t="n">
        <v>-30</v>
      </c>
      <c r="F414" s="78" t="n">
        <f aca="false">IF(ISNUMBER(FIND("SALDO ANTERIOR",C414)),0,IF(ISNUMBER(FIND("SALDO DO DIA",C414)),0,IF(ISNUMBER(FIND("SALDO PARCIAL",C414)),0,IF(ISNUMBER(FIND("SDO CTA/APL AUTOMATICAS",C414)),0,IF(ISNUMBER(FIND("APL APLIC AUT MAIS",C414)),0,IF(ISNUMBER(FIND("TEC DEPOSITO",C414)),0,IF(E414&gt;0,0,E414*(-1))))))))</f>
        <v>30</v>
      </c>
      <c r="G414" s="79" t="n">
        <f aca="false">IF(ISNUMBER(FIND("SALDO ANTERIOR",C414)),0,IF(ISNUMBER(FIND("SALDO DO DIA",C414)),0,IF(ISNUMBER(FIND("SDO CTA/APL AUTOMATICAS",C414)),0,IF(ISNUMBER(FIND("TEC DEPOSITO",C414)),0,IF(ISNUMBER(FIND("APL APLIC AUT MAIS",C414)),E414,IF(E414&gt;0,E414,0))))))</f>
        <v>0</v>
      </c>
      <c r="H414" s="80" t="n">
        <v>43922</v>
      </c>
    </row>
    <row r="415" customFormat="false" ht="13.8" hidden="false" customHeight="false" outlineLevel="0" collapsed="false">
      <c r="A415" s="59" t="s">
        <v>122</v>
      </c>
      <c r="B415" s="74" t="s">
        <v>382</v>
      </c>
      <c r="C415" s="75" t="s">
        <v>123</v>
      </c>
      <c r="D415" s="76" t="s">
        <v>61</v>
      </c>
      <c r="E415" s="81" t="n">
        <v>-3859.33</v>
      </c>
      <c r="F415" s="78" t="n">
        <f aca="false">IF(ISNUMBER(FIND("SALDO ANTERIOR",C415)),0,IF(ISNUMBER(FIND("SALDO DO DIA",C415)),0,IF(ISNUMBER(FIND("SALDO PARCIAL",C415)),0,IF(ISNUMBER(FIND("SDO CTA/APL AUTOMATICAS",C415)),0,IF(ISNUMBER(FIND("APL APLIC AUT MAIS",C415)),0,IF(ISNUMBER(FIND("TEC DEPOSITO",C415)),0,IF(E415&gt;0,0,E415*(-1))))))))</f>
        <v>3859.33</v>
      </c>
      <c r="G415" s="79" t="n">
        <f aca="false">IF(ISNUMBER(FIND("SALDO ANTERIOR",C415)),0,IF(ISNUMBER(FIND("SALDO DO DIA",C415)),0,IF(ISNUMBER(FIND("SDO CTA/APL AUTOMATICAS",C415)),0,IF(ISNUMBER(FIND("TEC DEPOSITO",C415)),0,IF(ISNUMBER(FIND("APL APLIC AUT MAIS",C415)),E415,IF(E415&gt;0,E415,0))))))</f>
        <v>0</v>
      </c>
      <c r="H415" s="80" t="n">
        <v>43922</v>
      </c>
    </row>
    <row r="416" customFormat="false" ht="13.8" hidden="false" customHeight="false" outlineLevel="0" collapsed="false">
      <c r="A416" s="59" t="s">
        <v>167</v>
      </c>
      <c r="B416" s="74" t="s">
        <v>382</v>
      </c>
      <c r="C416" s="75" t="s">
        <v>168</v>
      </c>
      <c r="D416" s="76" t="s">
        <v>61</v>
      </c>
      <c r="E416" s="77" t="n">
        <v>700</v>
      </c>
      <c r="F416" s="78" t="n">
        <f aca="false">IF(ISNUMBER(FIND("SALDO ANTERIOR",C416)),0,IF(ISNUMBER(FIND("SALDO DO DIA",C416)),0,IF(ISNUMBER(FIND("SALDO PARCIAL",C416)),0,IF(ISNUMBER(FIND("SDO CTA/APL AUTOMATICAS",C416)),0,IF(ISNUMBER(FIND("APL APLIC AUT MAIS",C416)),0,IF(ISNUMBER(FIND("TEC DEPOSITO",C416)),0,IF(E416&gt;0,0,E416*(-1))))))))</f>
        <v>0</v>
      </c>
      <c r="G416" s="79" t="n">
        <f aca="false">IF(ISNUMBER(FIND("SALDO ANTERIOR",C416)),0,IF(ISNUMBER(FIND("SALDO DO DIA",C416)),0,IF(ISNUMBER(FIND("SDO CTA/APL AUTOMATICAS",C416)),0,IF(ISNUMBER(FIND("TEC DEPOSITO",C416)),0,IF(ISNUMBER(FIND("APL APLIC AUT MAIS",C416)),E416,IF(E416&gt;0,E416,0))))))</f>
        <v>700</v>
      </c>
      <c r="H416" s="80" t="n">
        <v>43922</v>
      </c>
    </row>
    <row r="417" customFormat="false" ht="13.8" hidden="false" customHeight="false" outlineLevel="0" collapsed="false">
      <c r="A417" s="59" t="s">
        <v>127</v>
      </c>
      <c r="B417" s="74" t="s">
        <v>382</v>
      </c>
      <c r="C417" s="75" t="s">
        <v>128</v>
      </c>
      <c r="D417" s="76"/>
      <c r="E417" s="77" t="n">
        <v>4390</v>
      </c>
      <c r="F417" s="78" t="n">
        <f aca="false">IF(ISNUMBER(FIND("SALDO ANTERIOR",C417)),0,IF(ISNUMBER(FIND("SALDO DO DIA",C417)),0,IF(ISNUMBER(FIND("SALDO PARCIAL",C417)),0,IF(ISNUMBER(FIND("SDO CTA/APL AUTOMATICAS",C417)),0,IF(ISNUMBER(FIND("APL APLIC AUT MAIS",C417)),0,IF(ISNUMBER(FIND("TEC DEPOSITO",C417)),0,IF(E417&gt;0,0,E417*(-1))))))))</f>
        <v>0</v>
      </c>
      <c r="G417" s="79" t="n">
        <f aca="false">IF(ISNUMBER(FIND("SALDO ANTERIOR",C417)),0,IF(ISNUMBER(FIND("SALDO DO DIA",C417)),0,IF(ISNUMBER(FIND("SDO CTA/APL AUTOMATICAS",C417)),0,IF(ISNUMBER(FIND("TEC DEPOSITO",C417)),0,IF(ISNUMBER(FIND("APL APLIC AUT MAIS",C417)),E417,IF(E417&gt;0,E417,0))))))</f>
        <v>4390</v>
      </c>
      <c r="H417" s="80" t="n">
        <v>43922</v>
      </c>
    </row>
    <row r="418" customFormat="false" ht="13.8" hidden="false" customHeight="false" outlineLevel="0" collapsed="false">
      <c r="A418" s="59" t="s">
        <v>29</v>
      </c>
      <c r="B418" s="74" t="s">
        <v>382</v>
      </c>
      <c r="C418" s="75" t="s">
        <v>129</v>
      </c>
      <c r="D418" s="76"/>
      <c r="E418" s="81" t="n">
        <v>-715.82</v>
      </c>
      <c r="F418" s="78" t="n">
        <f aca="false">IF(ISNUMBER(FIND("SALDO ANTERIOR",C418)),0,IF(ISNUMBER(FIND("SALDO DO DIA",C418)),0,IF(ISNUMBER(FIND("SALDO PARCIAL",C418)),0,IF(ISNUMBER(FIND("SDO CTA/APL AUTOMATICAS",C418)),0,IF(ISNUMBER(FIND("APL APLIC AUT MAIS",C418)),0,IF(ISNUMBER(FIND("TEC DEPOSITO",C418)),0,IF(E418&gt;0,0,E418*(-1))))))))</f>
        <v>0</v>
      </c>
      <c r="G418" s="79" t="n">
        <f aca="false">IF(ISNUMBER(FIND("SALDO ANTERIOR",C418)),0,IF(ISNUMBER(FIND("SALDO DO DIA",C418)),0,IF(ISNUMBER(FIND("SDO CTA/APL AUTOMATICAS",C418)),0,IF(ISNUMBER(FIND("TEC DEPOSITO",C418)),0,IF(ISNUMBER(FIND("APL APLIC AUT MAIS",C418)),E418,IF(E418&gt;0,E418,0))))))</f>
        <v>-715.82</v>
      </c>
      <c r="H418" s="80" t="n">
        <v>43922</v>
      </c>
    </row>
    <row r="419" customFormat="false" ht="13.8" hidden="false" customHeight="false" outlineLevel="0" collapsed="false">
      <c r="A419" s="59" t="s">
        <v>29</v>
      </c>
      <c r="B419" s="74" t="s">
        <v>382</v>
      </c>
      <c r="C419" s="75" t="s">
        <v>70</v>
      </c>
      <c r="D419" s="76"/>
      <c r="E419" s="77" t="n">
        <v>715.82</v>
      </c>
      <c r="F419" s="78" t="n">
        <f aca="false">IF(ISNUMBER(FIND("SALDO ANTERIOR",C419)),0,IF(ISNUMBER(FIND("SALDO DO DIA",C419)),0,IF(ISNUMBER(FIND("SALDO PARCIAL",C419)),0,IF(ISNUMBER(FIND("SDO CTA/APL AUTOMATICAS",C419)),0,IF(ISNUMBER(FIND("APL APLIC AUT MAIS",C419)),0,IF(ISNUMBER(FIND("TEC DEPOSITO",C419)),0,IF(E419&gt;0,0,E419*(-1))))))))</f>
        <v>0</v>
      </c>
      <c r="G419" s="79" t="n">
        <f aca="false">IF(ISNUMBER(FIND("SALDO ANTERIOR",C419)),0,IF(ISNUMBER(FIND("SALDO DO DIA",C419)),0,IF(ISNUMBER(FIND("SDO CTA/APL AUTOMATICAS",C419)),0,IF(ISNUMBER(FIND("TEC DEPOSITO",C419)),0,IF(ISNUMBER(FIND("APL APLIC AUT MAIS",C419)),E419,IF(E419&gt;0,E419,0))))))</f>
        <v>715.82</v>
      </c>
      <c r="H419" s="80" t="n">
        <v>43922</v>
      </c>
    </row>
    <row r="420" customFormat="false" ht="13.8" hidden="false" customHeight="false" outlineLevel="0" collapsed="false">
      <c r="A420" s="59" t="s">
        <v>65</v>
      </c>
      <c r="B420" s="74" t="s">
        <v>386</v>
      </c>
      <c r="C420" s="75" t="s">
        <v>387</v>
      </c>
      <c r="D420" s="76" t="s">
        <v>271</v>
      </c>
      <c r="E420" s="81" t="n">
        <v>-8</v>
      </c>
      <c r="F420" s="78" t="n">
        <f aca="false">IF(ISNUMBER(FIND("SALDO ANTERIOR",C420)),0,IF(ISNUMBER(FIND("SALDO DO DIA",C420)),0,IF(ISNUMBER(FIND("SALDO PARCIAL",C420)),0,IF(ISNUMBER(FIND("SDO CTA/APL AUTOMATICAS",C420)),0,IF(ISNUMBER(FIND("APL APLIC AUT MAIS",C420)),0,IF(ISNUMBER(FIND("TEC DEPOSITO",C420)),0,IF(E420&gt;0,0,E420*(-1))))))))</f>
        <v>8</v>
      </c>
      <c r="G420" s="79" t="n">
        <f aca="false">IF(ISNUMBER(FIND("SALDO ANTERIOR",C420)),0,IF(ISNUMBER(FIND("SALDO DO DIA",C420)),0,IF(ISNUMBER(FIND("SDO CTA/APL AUTOMATICAS",C420)),0,IF(ISNUMBER(FIND("TEC DEPOSITO",C420)),0,IF(ISNUMBER(FIND("APL APLIC AUT MAIS",C420)),E420,IF(E420&gt;0,E420,0))))))</f>
        <v>0</v>
      </c>
      <c r="H420" s="80" t="n">
        <v>43922</v>
      </c>
    </row>
    <row r="421" customFormat="false" ht="13.8" hidden="false" customHeight="false" outlineLevel="0" collapsed="false">
      <c r="A421" s="59" t="s">
        <v>65</v>
      </c>
      <c r="B421" s="74" t="s">
        <v>386</v>
      </c>
      <c r="C421" s="75" t="s">
        <v>388</v>
      </c>
      <c r="D421" s="76" t="s">
        <v>271</v>
      </c>
      <c r="E421" s="81" t="n">
        <v>-16</v>
      </c>
      <c r="F421" s="78" t="n">
        <f aca="false">IF(ISNUMBER(FIND("SALDO ANTERIOR",C421)),0,IF(ISNUMBER(FIND("SALDO DO DIA",C421)),0,IF(ISNUMBER(FIND("SALDO PARCIAL",C421)),0,IF(ISNUMBER(FIND("SDO CTA/APL AUTOMATICAS",C421)),0,IF(ISNUMBER(FIND("APL APLIC AUT MAIS",C421)),0,IF(ISNUMBER(FIND("TEC DEPOSITO",C421)),0,IF(E421&gt;0,0,E421*(-1))))))))</f>
        <v>16</v>
      </c>
      <c r="G421" s="79" t="n">
        <f aca="false">IF(ISNUMBER(FIND("SALDO ANTERIOR",C421)),0,IF(ISNUMBER(FIND("SALDO DO DIA",C421)),0,IF(ISNUMBER(FIND("SDO CTA/APL AUTOMATICAS",C421)),0,IF(ISNUMBER(FIND("TEC DEPOSITO",C421)),0,IF(ISNUMBER(FIND("APL APLIC AUT MAIS",C421)),E421,IF(E421&gt;0,E421,0))))))</f>
        <v>0</v>
      </c>
      <c r="H421" s="80" t="n">
        <v>43922</v>
      </c>
    </row>
    <row r="422" customFormat="false" ht="13.8" hidden="false" customHeight="false" outlineLevel="0" collapsed="false">
      <c r="A422" s="59" t="s">
        <v>65</v>
      </c>
      <c r="B422" s="74" t="s">
        <v>386</v>
      </c>
      <c r="C422" s="75" t="s">
        <v>389</v>
      </c>
      <c r="D422" s="76" t="s">
        <v>271</v>
      </c>
      <c r="E422" s="81" t="n">
        <v>-60</v>
      </c>
      <c r="F422" s="78" t="n">
        <f aca="false">IF(ISNUMBER(FIND("SALDO ANTERIOR",C422)),0,IF(ISNUMBER(FIND("SALDO DO DIA",C422)),0,IF(ISNUMBER(FIND("SALDO PARCIAL",C422)),0,IF(ISNUMBER(FIND("SDO CTA/APL AUTOMATICAS",C422)),0,IF(ISNUMBER(FIND("APL APLIC AUT MAIS",C422)),0,IF(ISNUMBER(FIND("TEC DEPOSITO",C422)),0,IF(E422&gt;0,0,E422*(-1))))))))</f>
        <v>60</v>
      </c>
      <c r="G422" s="79" t="n">
        <f aca="false">IF(ISNUMBER(FIND("SALDO ANTERIOR",C422)),0,IF(ISNUMBER(FIND("SALDO DO DIA",C422)),0,IF(ISNUMBER(FIND("SDO CTA/APL AUTOMATICAS",C422)),0,IF(ISNUMBER(FIND("TEC DEPOSITO",C422)),0,IF(ISNUMBER(FIND("APL APLIC AUT MAIS",C422)),E422,IF(E422&gt;0,E422,0))))))</f>
        <v>0</v>
      </c>
      <c r="H422" s="80" t="n">
        <v>43922</v>
      </c>
    </row>
    <row r="423" customFormat="false" ht="13.8" hidden="false" customHeight="false" outlineLevel="0" collapsed="false">
      <c r="A423" s="59" t="s">
        <v>65</v>
      </c>
      <c r="B423" s="74" t="s">
        <v>386</v>
      </c>
      <c r="C423" s="75" t="s">
        <v>390</v>
      </c>
      <c r="D423" s="76" t="s">
        <v>271</v>
      </c>
      <c r="E423" s="81" t="n">
        <v>-4</v>
      </c>
      <c r="F423" s="78" t="n">
        <f aca="false">IF(ISNUMBER(FIND("SALDO ANTERIOR",C423)),0,IF(ISNUMBER(FIND("SALDO DO DIA",C423)),0,IF(ISNUMBER(FIND("SALDO PARCIAL",C423)),0,IF(ISNUMBER(FIND("SDO CTA/APL AUTOMATICAS",C423)),0,IF(ISNUMBER(FIND("APL APLIC AUT MAIS",C423)),0,IF(ISNUMBER(FIND("TEC DEPOSITO",C423)),0,IF(E423&gt;0,0,E423*(-1))))))))</f>
        <v>4</v>
      </c>
      <c r="G423" s="79" t="n">
        <f aca="false">IF(ISNUMBER(FIND("SALDO ANTERIOR",C423)),0,IF(ISNUMBER(FIND("SALDO DO DIA",C423)),0,IF(ISNUMBER(FIND("SDO CTA/APL AUTOMATICAS",C423)),0,IF(ISNUMBER(FIND("TEC DEPOSITO",C423)),0,IF(ISNUMBER(FIND("APL APLIC AUT MAIS",C423)),E423,IF(E423&gt;0,E423,0))))))</f>
        <v>0</v>
      </c>
      <c r="H423" s="80" t="n">
        <v>43922</v>
      </c>
    </row>
    <row r="424" customFormat="false" ht="13.8" hidden="false" customHeight="false" outlineLevel="0" collapsed="false">
      <c r="A424" s="59" t="s">
        <v>65</v>
      </c>
      <c r="B424" s="74" t="s">
        <v>386</v>
      </c>
      <c r="C424" s="75" t="s">
        <v>391</v>
      </c>
      <c r="D424" s="76" t="s">
        <v>271</v>
      </c>
      <c r="E424" s="81" t="n">
        <v>-10</v>
      </c>
      <c r="F424" s="78" t="n">
        <f aca="false">IF(ISNUMBER(FIND("SALDO ANTERIOR",C424)),0,IF(ISNUMBER(FIND("SALDO DO DIA",C424)),0,IF(ISNUMBER(FIND("SALDO PARCIAL",C424)),0,IF(ISNUMBER(FIND("SDO CTA/APL AUTOMATICAS",C424)),0,IF(ISNUMBER(FIND("APL APLIC AUT MAIS",C424)),0,IF(ISNUMBER(FIND("TEC DEPOSITO",C424)),0,IF(E424&gt;0,0,E424*(-1))))))))</f>
        <v>10</v>
      </c>
      <c r="G424" s="79" t="n">
        <f aca="false">IF(ISNUMBER(FIND("SALDO ANTERIOR",C424)),0,IF(ISNUMBER(FIND("SALDO DO DIA",C424)),0,IF(ISNUMBER(FIND("SDO CTA/APL AUTOMATICAS",C424)),0,IF(ISNUMBER(FIND("TEC DEPOSITO",C424)),0,IF(ISNUMBER(FIND("APL APLIC AUT MAIS",C424)),E424,IF(E424&gt;0,E424,0))))))</f>
        <v>0</v>
      </c>
      <c r="H424" s="80" t="n">
        <v>43922</v>
      </c>
    </row>
    <row r="425" customFormat="false" ht="13.8" hidden="false" customHeight="false" outlineLevel="0" collapsed="false">
      <c r="A425" s="59" t="s">
        <v>67</v>
      </c>
      <c r="B425" s="74" t="s">
        <v>386</v>
      </c>
      <c r="C425" s="75" t="s">
        <v>69</v>
      </c>
      <c r="D425" s="76"/>
      <c r="E425" s="77" t="n">
        <v>98</v>
      </c>
      <c r="F425" s="78" t="n">
        <f aca="false">IF(ISNUMBER(FIND("SALDO ANTERIOR",C425)),0,IF(ISNUMBER(FIND("SALDO DO DIA",C425)),0,IF(ISNUMBER(FIND("SALDO PARCIAL",C425)),0,IF(ISNUMBER(FIND("SDO CTA/APL AUTOMATICAS",C425)),0,IF(ISNUMBER(FIND("APL APLIC AUT MAIS",C425)),0,IF(ISNUMBER(FIND("TEC DEPOSITO",C425)),0,IF(E425&gt;0,0,E425*(-1))))))))</f>
        <v>0</v>
      </c>
      <c r="G425" s="79" t="n">
        <f aca="false">IF(ISNUMBER(FIND("SALDO ANTERIOR",C425)),0,IF(ISNUMBER(FIND("SALDO DO DIA",C425)),0,IF(ISNUMBER(FIND("SDO CTA/APL AUTOMATICAS",C425)),0,IF(ISNUMBER(FIND("TEC DEPOSITO",C425)),0,IF(ISNUMBER(FIND("APL APLIC AUT MAIS",C425)),E425,IF(E425&gt;0,E425,0))))))</f>
        <v>98</v>
      </c>
      <c r="H425" s="80" t="n">
        <v>43922</v>
      </c>
    </row>
    <row r="426" customFormat="false" ht="13.8" hidden="false" customHeight="false" outlineLevel="0" collapsed="false">
      <c r="A426" s="59" t="s">
        <v>29</v>
      </c>
      <c r="B426" s="74" t="s">
        <v>386</v>
      </c>
      <c r="C426" s="75" t="s">
        <v>70</v>
      </c>
      <c r="D426" s="76"/>
      <c r="E426" s="77" t="n">
        <v>617.82</v>
      </c>
      <c r="F426" s="78" t="n">
        <f aca="false">IF(ISNUMBER(FIND("SALDO ANTERIOR",C426)),0,IF(ISNUMBER(FIND("SALDO DO DIA",C426)),0,IF(ISNUMBER(FIND("SALDO PARCIAL",C426)),0,IF(ISNUMBER(FIND("SDO CTA/APL AUTOMATICAS",C426)),0,IF(ISNUMBER(FIND("APL APLIC AUT MAIS",C426)),0,IF(ISNUMBER(FIND("TEC DEPOSITO",C426)),0,IF(E426&gt;0,0,E426*(-1))))))))</f>
        <v>0</v>
      </c>
      <c r="G426" s="79" t="n">
        <f aca="false">IF(ISNUMBER(FIND("SALDO ANTERIOR",C426)),0,IF(ISNUMBER(FIND("SALDO DO DIA",C426)),0,IF(ISNUMBER(FIND("SDO CTA/APL AUTOMATICAS",C426)),0,IF(ISNUMBER(FIND("TEC DEPOSITO",C426)),0,IF(ISNUMBER(FIND("APL APLIC AUT MAIS",C426)),E426,IF(E426&gt;0,E426,0))))))</f>
        <v>617.82</v>
      </c>
      <c r="H426" s="80" t="n">
        <v>43922</v>
      </c>
    </row>
    <row r="427" customFormat="false" ht="13.8" hidden="false" customHeight="false" outlineLevel="0" collapsed="false">
      <c r="A427" s="59" t="s">
        <v>74</v>
      </c>
      <c r="B427" s="74" t="s">
        <v>392</v>
      </c>
      <c r="C427" s="75" t="s">
        <v>393</v>
      </c>
      <c r="D427" s="76" t="s">
        <v>271</v>
      </c>
      <c r="E427" s="81" t="n">
        <v>-23.49</v>
      </c>
      <c r="F427" s="78" t="n">
        <f aca="false">IF(ISNUMBER(FIND("SALDO ANTERIOR",C427)),0,IF(ISNUMBER(FIND("SALDO DO DIA",C427)),0,IF(ISNUMBER(FIND("SALDO PARCIAL",C427)),0,IF(ISNUMBER(FIND("SDO CTA/APL AUTOMATICAS",C427)),0,IF(ISNUMBER(FIND("APL APLIC AUT MAIS",C427)),0,IF(ISNUMBER(FIND("TEC DEPOSITO",C427)),0,IF(E427&gt;0,0,E427*(-1))))))))</f>
        <v>23.49</v>
      </c>
      <c r="G427" s="79" t="n">
        <f aca="false">IF(ISNUMBER(FIND("SALDO ANTERIOR",C427)),0,IF(ISNUMBER(FIND("SALDO DO DIA",C427)),0,IF(ISNUMBER(FIND("SDO CTA/APL AUTOMATICAS",C427)),0,IF(ISNUMBER(FIND("TEC DEPOSITO",C427)),0,IF(ISNUMBER(FIND("APL APLIC AUT MAIS",C427)),E427,IF(E427&gt;0,E427,0))))))</f>
        <v>0</v>
      </c>
      <c r="H427" s="80" t="n">
        <v>43922</v>
      </c>
    </row>
    <row r="428" customFormat="false" ht="13.8" hidden="false" customHeight="false" outlineLevel="0" collapsed="false">
      <c r="A428" s="59" t="s">
        <v>67</v>
      </c>
      <c r="B428" s="74" t="s">
        <v>392</v>
      </c>
      <c r="C428" s="75" t="s">
        <v>69</v>
      </c>
      <c r="D428" s="76"/>
      <c r="E428" s="77" t="n">
        <v>23.49</v>
      </c>
      <c r="F428" s="78" t="n">
        <f aca="false">IF(ISNUMBER(FIND("SALDO ANTERIOR",C428)),0,IF(ISNUMBER(FIND("SALDO DO DIA",C428)),0,IF(ISNUMBER(FIND("SALDO PARCIAL",C428)),0,IF(ISNUMBER(FIND("SDO CTA/APL AUTOMATICAS",C428)),0,IF(ISNUMBER(FIND("APL APLIC AUT MAIS",C428)),0,IF(ISNUMBER(FIND("TEC DEPOSITO",C428)),0,IF(E428&gt;0,0,E428*(-1))))))))</f>
        <v>0</v>
      </c>
      <c r="G428" s="79" t="n">
        <f aca="false">IF(ISNUMBER(FIND("SALDO ANTERIOR",C428)),0,IF(ISNUMBER(FIND("SALDO DO DIA",C428)),0,IF(ISNUMBER(FIND("SDO CTA/APL AUTOMATICAS",C428)),0,IF(ISNUMBER(FIND("TEC DEPOSITO",C428)),0,IF(ISNUMBER(FIND("APL APLIC AUT MAIS",C428)),E428,IF(E428&gt;0,E428,0))))))</f>
        <v>23.49</v>
      </c>
      <c r="H428" s="80" t="n">
        <v>43922</v>
      </c>
    </row>
    <row r="429" customFormat="false" ht="13.8" hidden="false" customHeight="false" outlineLevel="0" collapsed="false">
      <c r="A429" s="59" t="s">
        <v>29</v>
      </c>
      <c r="B429" s="74" t="s">
        <v>392</v>
      </c>
      <c r="C429" s="75" t="s">
        <v>70</v>
      </c>
      <c r="D429" s="76"/>
      <c r="E429" s="77" t="n">
        <v>594.33</v>
      </c>
      <c r="F429" s="78" t="n">
        <f aca="false">IF(ISNUMBER(FIND("SALDO ANTERIOR",C429)),0,IF(ISNUMBER(FIND("SALDO DO DIA",C429)),0,IF(ISNUMBER(FIND("SALDO PARCIAL",C429)),0,IF(ISNUMBER(FIND("SDO CTA/APL AUTOMATICAS",C429)),0,IF(ISNUMBER(FIND("APL APLIC AUT MAIS",C429)),0,IF(ISNUMBER(FIND("TEC DEPOSITO",C429)),0,IF(E429&gt;0,0,E429*(-1))))))))</f>
        <v>0</v>
      </c>
      <c r="G429" s="79" t="n">
        <f aca="false">IF(ISNUMBER(FIND("SALDO ANTERIOR",C429)),0,IF(ISNUMBER(FIND("SALDO DO DIA",C429)),0,IF(ISNUMBER(FIND("SDO CTA/APL AUTOMATICAS",C429)),0,IF(ISNUMBER(FIND("TEC DEPOSITO",C429)),0,IF(ISNUMBER(FIND("APL APLIC AUT MAIS",C429)),E429,IF(E429&gt;0,E429,0))))))</f>
        <v>594.33</v>
      </c>
      <c r="H429" s="80" t="n">
        <v>43922</v>
      </c>
    </row>
    <row r="430" customFormat="false" ht="13.8" hidden="false" customHeight="false" outlineLevel="0" collapsed="false">
      <c r="A430" s="59" t="s">
        <v>76</v>
      </c>
      <c r="B430" s="74" t="s">
        <v>394</v>
      </c>
      <c r="C430" s="75" t="s">
        <v>395</v>
      </c>
      <c r="D430" s="76" t="s">
        <v>271</v>
      </c>
      <c r="E430" s="81" t="n">
        <v>-10</v>
      </c>
      <c r="F430" s="78" t="n">
        <f aca="false">IF(ISNUMBER(FIND("SALDO ANTERIOR",C430)),0,IF(ISNUMBER(FIND("SALDO DO DIA",C430)),0,IF(ISNUMBER(FIND("SALDO PARCIAL",C430)),0,IF(ISNUMBER(FIND("SDO CTA/APL AUTOMATICAS",C430)),0,IF(ISNUMBER(FIND("APL APLIC AUT MAIS",C430)),0,IF(ISNUMBER(FIND("TEC DEPOSITO",C430)),0,IF(E430&gt;0,0,E430*(-1))))))))</f>
        <v>10</v>
      </c>
      <c r="G430" s="79" t="n">
        <f aca="false">IF(ISNUMBER(FIND("SALDO ANTERIOR",C430)),0,IF(ISNUMBER(FIND("SALDO DO DIA",C430)),0,IF(ISNUMBER(FIND("SDO CTA/APL AUTOMATICAS",C430)),0,IF(ISNUMBER(FIND("TEC DEPOSITO",C430)),0,IF(ISNUMBER(FIND("APL APLIC AUT MAIS",C430)),E430,IF(E430&gt;0,E430,0))))))</f>
        <v>0</v>
      </c>
      <c r="H430" s="80" t="n">
        <v>43922</v>
      </c>
    </row>
    <row r="431" customFormat="false" ht="13.8" hidden="false" customHeight="false" outlineLevel="0" collapsed="false">
      <c r="A431" s="59" t="s">
        <v>71</v>
      </c>
      <c r="B431" s="74" t="s">
        <v>394</v>
      </c>
      <c r="C431" s="75" t="s">
        <v>396</v>
      </c>
      <c r="D431" s="76" t="s">
        <v>271</v>
      </c>
      <c r="E431" s="81" t="n">
        <v>-6.94</v>
      </c>
      <c r="F431" s="78" t="n">
        <f aca="false">IF(ISNUMBER(FIND("SALDO ANTERIOR",C431)),0,IF(ISNUMBER(FIND("SALDO DO DIA",C431)),0,IF(ISNUMBER(FIND("SALDO PARCIAL",C431)),0,IF(ISNUMBER(FIND("SDO CTA/APL AUTOMATICAS",C431)),0,IF(ISNUMBER(FIND("APL APLIC AUT MAIS",C431)),0,IF(ISNUMBER(FIND("TEC DEPOSITO",C431)),0,IF(E431&gt;0,0,E431*(-1))))))))</f>
        <v>6.94</v>
      </c>
      <c r="G431" s="79" t="n">
        <f aca="false">IF(ISNUMBER(FIND("SALDO ANTERIOR",C431)),0,IF(ISNUMBER(FIND("SALDO DO DIA",C431)),0,IF(ISNUMBER(FIND("SDO CTA/APL AUTOMATICAS",C431)),0,IF(ISNUMBER(FIND("TEC DEPOSITO",C431)),0,IF(ISNUMBER(FIND("APL APLIC AUT MAIS",C431)),E431,IF(E431&gt;0,E431,0))))))</f>
        <v>0</v>
      </c>
      <c r="H431" s="80" t="n">
        <v>43922</v>
      </c>
    </row>
    <row r="432" customFormat="false" ht="13.8" hidden="false" customHeight="false" outlineLevel="0" collapsed="false">
      <c r="A432" s="59" t="s">
        <v>74</v>
      </c>
      <c r="B432" s="74" t="s">
        <v>394</v>
      </c>
      <c r="C432" s="75" t="s">
        <v>397</v>
      </c>
      <c r="D432" s="76" t="s">
        <v>271</v>
      </c>
      <c r="E432" s="81" t="n">
        <v>-14.42</v>
      </c>
      <c r="F432" s="78" t="n">
        <f aca="false">IF(ISNUMBER(FIND("SALDO ANTERIOR",C432)),0,IF(ISNUMBER(FIND("SALDO DO DIA",C432)),0,IF(ISNUMBER(FIND("SALDO PARCIAL",C432)),0,IF(ISNUMBER(FIND("SDO CTA/APL AUTOMATICAS",C432)),0,IF(ISNUMBER(FIND("APL APLIC AUT MAIS",C432)),0,IF(ISNUMBER(FIND("TEC DEPOSITO",C432)),0,IF(E432&gt;0,0,E432*(-1))))))))</f>
        <v>14.42</v>
      </c>
      <c r="G432" s="79" t="n">
        <f aca="false">IF(ISNUMBER(FIND("SALDO ANTERIOR",C432)),0,IF(ISNUMBER(FIND("SALDO DO DIA",C432)),0,IF(ISNUMBER(FIND("SDO CTA/APL AUTOMATICAS",C432)),0,IF(ISNUMBER(FIND("TEC DEPOSITO",C432)),0,IF(ISNUMBER(FIND("APL APLIC AUT MAIS",C432)),E432,IF(E432&gt;0,E432,0))))))</f>
        <v>0</v>
      </c>
      <c r="H432" s="80" t="n">
        <v>43922</v>
      </c>
    </row>
    <row r="433" customFormat="false" ht="13.8" hidden="false" customHeight="false" outlineLevel="0" collapsed="false">
      <c r="A433" s="59" t="s">
        <v>65</v>
      </c>
      <c r="B433" s="74" t="s">
        <v>394</v>
      </c>
      <c r="C433" s="75" t="s">
        <v>398</v>
      </c>
      <c r="D433" s="76" t="s">
        <v>271</v>
      </c>
      <c r="E433" s="81" t="n">
        <v>-32.5</v>
      </c>
      <c r="F433" s="78" t="n">
        <f aca="false">IF(ISNUMBER(FIND("SALDO ANTERIOR",C433)),0,IF(ISNUMBER(FIND("SALDO DO DIA",C433)),0,IF(ISNUMBER(FIND("SALDO PARCIAL",C433)),0,IF(ISNUMBER(FIND("SDO CTA/APL AUTOMATICAS",C433)),0,IF(ISNUMBER(FIND("APL APLIC AUT MAIS",C433)),0,IF(ISNUMBER(FIND("TEC DEPOSITO",C433)),0,IF(E433&gt;0,0,E433*(-1))))))))</f>
        <v>32.5</v>
      </c>
      <c r="G433" s="79" t="n">
        <f aca="false">IF(ISNUMBER(FIND("SALDO ANTERIOR",C433)),0,IF(ISNUMBER(FIND("SALDO DO DIA",C433)),0,IF(ISNUMBER(FIND("SDO CTA/APL AUTOMATICAS",C433)),0,IF(ISNUMBER(FIND("TEC DEPOSITO",C433)),0,IF(ISNUMBER(FIND("APL APLIC AUT MAIS",C433)),E433,IF(E433&gt;0,E433,0))))))</f>
        <v>0</v>
      </c>
      <c r="H433" s="80" t="n">
        <v>43922</v>
      </c>
    </row>
    <row r="434" customFormat="false" ht="13.8" hidden="false" customHeight="false" outlineLevel="0" collapsed="false">
      <c r="A434" s="59" t="s">
        <v>74</v>
      </c>
      <c r="B434" s="74" t="s">
        <v>394</v>
      </c>
      <c r="C434" s="75" t="s">
        <v>399</v>
      </c>
      <c r="D434" s="76" t="s">
        <v>271</v>
      </c>
      <c r="E434" s="81" t="n">
        <v>-3.99</v>
      </c>
      <c r="F434" s="78" t="n">
        <f aca="false">IF(ISNUMBER(FIND("SALDO ANTERIOR",C434)),0,IF(ISNUMBER(FIND("SALDO DO DIA",C434)),0,IF(ISNUMBER(FIND("SALDO PARCIAL",C434)),0,IF(ISNUMBER(FIND("SDO CTA/APL AUTOMATICAS",C434)),0,IF(ISNUMBER(FIND("APL APLIC AUT MAIS",C434)),0,IF(ISNUMBER(FIND("TEC DEPOSITO",C434)),0,IF(E434&gt;0,0,E434*(-1))))))))</f>
        <v>3.99</v>
      </c>
      <c r="G434" s="79" t="n">
        <f aca="false">IF(ISNUMBER(FIND("SALDO ANTERIOR",C434)),0,IF(ISNUMBER(FIND("SALDO DO DIA",C434)),0,IF(ISNUMBER(FIND("SDO CTA/APL AUTOMATICAS",C434)),0,IF(ISNUMBER(FIND("TEC DEPOSITO",C434)),0,IF(ISNUMBER(FIND("APL APLIC AUT MAIS",C434)),E434,IF(E434&gt;0,E434,0))))))</f>
        <v>0</v>
      </c>
      <c r="H434" s="80" t="n">
        <v>43922</v>
      </c>
    </row>
    <row r="435" customFormat="false" ht="13.8" hidden="false" customHeight="false" outlineLevel="0" collapsed="false">
      <c r="A435" s="59" t="s">
        <v>98</v>
      </c>
      <c r="B435" s="74" t="s">
        <v>394</v>
      </c>
      <c r="C435" s="75" t="s">
        <v>400</v>
      </c>
      <c r="D435" s="76" t="s">
        <v>271</v>
      </c>
      <c r="E435" s="81" t="n">
        <v>-6</v>
      </c>
      <c r="F435" s="78" t="n">
        <f aca="false">IF(ISNUMBER(FIND("SALDO ANTERIOR",C435)),0,IF(ISNUMBER(FIND("SALDO DO DIA",C435)),0,IF(ISNUMBER(FIND("SALDO PARCIAL",C435)),0,IF(ISNUMBER(FIND("SDO CTA/APL AUTOMATICAS",C435)),0,IF(ISNUMBER(FIND("APL APLIC AUT MAIS",C435)),0,IF(ISNUMBER(FIND("TEC DEPOSITO",C435)),0,IF(E435&gt;0,0,E435*(-1))))))))</f>
        <v>6</v>
      </c>
      <c r="G435" s="79" t="n">
        <f aca="false">IF(ISNUMBER(FIND("SALDO ANTERIOR",C435)),0,IF(ISNUMBER(FIND("SALDO DO DIA",C435)),0,IF(ISNUMBER(FIND("SDO CTA/APL AUTOMATICAS",C435)),0,IF(ISNUMBER(FIND("TEC DEPOSITO",C435)),0,IF(ISNUMBER(FIND("APL APLIC AUT MAIS",C435)),E435,IF(E435&gt;0,E435,0))))))</f>
        <v>0</v>
      </c>
      <c r="H435" s="80" t="n">
        <v>43922</v>
      </c>
    </row>
    <row r="436" customFormat="false" ht="13.8" hidden="false" customHeight="false" outlineLevel="0" collapsed="false">
      <c r="A436" s="59" t="s">
        <v>98</v>
      </c>
      <c r="B436" s="74" t="s">
        <v>394</v>
      </c>
      <c r="C436" s="75" t="s">
        <v>401</v>
      </c>
      <c r="D436" s="76" t="s">
        <v>271</v>
      </c>
      <c r="E436" s="81" t="n">
        <v>-25.08</v>
      </c>
      <c r="F436" s="78" t="n">
        <f aca="false">IF(ISNUMBER(FIND("SALDO ANTERIOR",C436)),0,IF(ISNUMBER(FIND("SALDO DO DIA",C436)),0,IF(ISNUMBER(FIND("SALDO PARCIAL",C436)),0,IF(ISNUMBER(FIND("SDO CTA/APL AUTOMATICAS",C436)),0,IF(ISNUMBER(FIND("APL APLIC AUT MAIS",C436)),0,IF(ISNUMBER(FIND("TEC DEPOSITO",C436)),0,IF(E436&gt;0,0,E436*(-1))))))))</f>
        <v>25.08</v>
      </c>
      <c r="G436" s="79" t="n">
        <f aca="false">IF(ISNUMBER(FIND("SALDO ANTERIOR",C436)),0,IF(ISNUMBER(FIND("SALDO DO DIA",C436)),0,IF(ISNUMBER(FIND("SDO CTA/APL AUTOMATICAS",C436)),0,IF(ISNUMBER(FIND("TEC DEPOSITO",C436)),0,IF(ISNUMBER(FIND("APL APLIC AUT MAIS",C436)),E436,IF(E436&gt;0,E436,0))))))</f>
        <v>0</v>
      </c>
      <c r="H436" s="80" t="n">
        <v>43922</v>
      </c>
    </row>
    <row r="437" customFormat="false" ht="13.8" hidden="false" customHeight="false" outlineLevel="0" collapsed="false">
      <c r="A437" s="59" t="s">
        <v>67</v>
      </c>
      <c r="B437" s="74" t="s">
        <v>394</v>
      </c>
      <c r="C437" s="75" t="s">
        <v>69</v>
      </c>
      <c r="D437" s="76"/>
      <c r="E437" s="77" t="n">
        <v>98.93</v>
      </c>
      <c r="F437" s="78" t="n">
        <f aca="false">IF(ISNUMBER(FIND("SALDO ANTERIOR",C437)),0,IF(ISNUMBER(FIND("SALDO DO DIA",C437)),0,IF(ISNUMBER(FIND("SALDO PARCIAL",C437)),0,IF(ISNUMBER(FIND("SDO CTA/APL AUTOMATICAS",C437)),0,IF(ISNUMBER(FIND("APL APLIC AUT MAIS",C437)),0,IF(ISNUMBER(FIND("TEC DEPOSITO",C437)),0,IF(E437&gt;0,0,E437*(-1))))))))</f>
        <v>0</v>
      </c>
      <c r="G437" s="79" t="n">
        <f aca="false">IF(ISNUMBER(FIND("SALDO ANTERIOR",C437)),0,IF(ISNUMBER(FIND("SALDO DO DIA",C437)),0,IF(ISNUMBER(FIND("SDO CTA/APL AUTOMATICAS",C437)),0,IF(ISNUMBER(FIND("TEC DEPOSITO",C437)),0,IF(ISNUMBER(FIND("APL APLIC AUT MAIS",C437)),E437,IF(E437&gt;0,E437,0))))))</f>
        <v>98.93</v>
      </c>
      <c r="H437" s="80" t="n">
        <v>43922</v>
      </c>
    </row>
    <row r="438" customFormat="false" ht="13.8" hidden="false" customHeight="false" outlineLevel="0" collapsed="false">
      <c r="A438" s="59" t="s">
        <v>29</v>
      </c>
      <c r="B438" s="74" t="s">
        <v>394</v>
      </c>
      <c r="C438" s="75" t="s">
        <v>70</v>
      </c>
      <c r="D438" s="76"/>
      <c r="E438" s="77" t="n">
        <v>495.4</v>
      </c>
      <c r="F438" s="78" t="n">
        <f aca="false">IF(ISNUMBER(FIND("SALDO ANTERIOR",C438)),0,IF(ISNUMBER(FIND("SALDO DO DIA",C438)),0,IF(ISNUMBER(FIND("SALDO PARCIAL",C438)),0,IF(ISNUMBER(FIND("SDO CTA/APL AUTOMATICAS",C438)),0,IF(ISNUMBER(FIND("APL APLIC AUT MAIS",C438)),0,IF(ISNUMBER(FIND("TEC DEPOSITO",C438)),0,IF(E438&gt;0,0,E438*(-1))))))))</f>
        <v>0</v>
      </c>
      <c r="G438" s="79" t="n">
        <f aca="false">IF(ISNUMBER(FIND("SALDO ANTERIOR",C438)),0,IF(ISNUMBER(FIND("SALDO DO DIA",C438)),0,IF(ISNUMBER(FIND("SDO CTA/APL AUTOMATICAS",C438)),0,IF(ISNUMBER(FIND("TEC DEPOSITO",C438)),0,IF(ISNUMBER(FIND("APL APLIC AUT MAIS",C438)),E438,IF(E438&gt;0,E438,0))))))</f>
        <v>495.4</v>
      </c>
      <c r="H438" s="80" t="n">
        <v>43922</v>
      </c>
    </row>
    <row r="439" customFormat="false" ht="13.8" hidden="false" customHeight="false" outlineLevel="0" collapsed="false">
      <c r="A439" s="59" t="s">
        <v>71</v>
      </c>
      <c r="B439" s="74" t="s">
        <v>402</v>
      </c>
      <c r="C439" s="75" t="s">
        <v>403</v>
      </c>
      <c r="D439" s="76" t="s">
        <v>271</v>
      </c>
      <c r="E439" s="81" t="n">
        <v>-5.84</v>
      </c>
      <c r="F439" s="78" t="n">
        <f aca="false">IF(ISNUMBER(FIND("SALDO ANTERIOR",C439)),0,IF(ISNUMBER(FIND("SALDO DO DIA",C439)),0,IF(ISNUMBER(FIND("SALDO PARCIAL",C439)),0,IF(ISNUMBER(FIND("SDO CTA/APL AUTOMATICAS",C439)),0,IF(ISNUMBER(FIND("APL APLIC AUT MAIS",C439)),0,IF(ISNUMBER(FIND("TEC DEPOSITO",C439)),0,IF(E439&gt;0,0,E439*(-1))))))))</f>
        <v>5.84</v>
      </c>
      <c r="G439" s="79" t="n">
        <f aca="false">IF(ISNUMBER(FIND("SALDO ANTERIOR",C439)),0,IF(ISNUMBER(FIND("SALDO DO DIA",C439)),0,IF(ISNUMBER(FIND("SDO CTA/APL AUTOMATICAS",C439)),0,IF(ISNUMBER(FIND("TEC DEPOSITO",C439)),0,IF(ISNUMBER(FIND("APL APLIC AUT MAIS",C439)),E439,IF(E439&gt;0,E439,0))))))</f>
        <v>0</v>
      </c>
      <c r="H439" s="80" t="n">
        <v>43922</v>
      </c>
    </row>
    <row r="440" customFormat="false" ht="13.8" hidden="false" customHeight="false" outlineLevel="0" collapsed="false">
      <c r="A440" s="59" t="s">
        <v>119</v>
      </c>
      <c r="B440" s="74" t="s">
        <v>402</v>
      </c>
      <c r="C440" s="75" t="s">
        <v>404</v>
      </c>
      <c r="D440" s="76" t="s">
        <v>61</v>
      </c>
      <c r="E440" s="81" t="n">
        <v>-197.78</v>
      </c>
      <c r="F440" s="78" t="n">
        <f aca="false">IF(ISNUMBER(FIND("SALDO ANTERIOR",C440)),0,IF(ISNUMBER(FIND("SALDO DO DIA",C440)),0,IF(ISNUMBER(FIND("SALDO PARCIAL",C440)),0,IF(ISNUMBER(FIND("SDO CTA/APL AUTOMATICAS",C440)),0,IF(ISNUMBER(FIND("APL APLIC AUT MAIS",C440)),0,IF(ISNUMBER(FIND("TEC DEPOSITO",C440)),0,IF(E440&gt;0,0,E440*(-1))))))))</f>
        <v>197.78</v>
      </c>
      <c r="G440" s="79" t="n">
        <f aca="false">IF(ISNUMBER(FIND("SALDO ANTERIOR",C440)),0,IF(ISNUMBER(FIND("SALDO DO DIA",C440)),0,IF(ISNUMBER(FIND("SDO CTA/APL AUTOMATICAS",C440)),0,IF(ISNUMBER(FIND("TEC DEPOSITO",C440)),0,IF(ISNUMBER(FIND("APL APLIC AUT MAIS",C440)),E440,IF(E440&gt;0,E440,0))))))</f>
        <v>0</v>
      </c>
      <c r="H440" s="80" t="n">
        <v>43922</v>
      </c>
    </row>
    <row r="441" customFormat="false" ht="13.8" hidden="false" customHeight="false" outlineLevel="0" collapsed="false">
      <c r="A441" s="59" t="s">
        <v>67</v>
      </c>
      <c r="B441" s="74" t="s">
        <v>402</v>
      </c>
      <c r="C441" s="75" t="s">
        <v>69</v>
      </c>
      <c r="D441" s="76"/>
      <c r="E441" s="77" t="n">
        <v>203.62</v>
      </c>
      <c r="F441" s="78" t="n">
        <f aca="false">IF(ISNUMBER(FIND("SALDO ANTERIOR",C441)),0,IF(ISNUMBER(FIND("SALDO DO DIA",C441)),0,IF(ISNUMBER(FIND("SALDO PARCIAL",C441)),0,IF(ISNUMBER(FIND("SDO CTA/APL AUTOMATICAS",C441)),0,IF(ISNUMBER(FIND("APL APLIC AUT MAIS",C441)),0,IF(ISNUMBER(FIND("TEC DEPOSITO",C441)),0,IF(E441&gt;0,0,E441*(-1))))))))</f>
        <v>0</v>
      </c>
      <c r="G441" s="79" t="n">
        <f aca="false">IF(ISNUMBER(FIND("SALDO ANTERIOR",C441)),0,IF(ISNUMBER(FIND("SALDO DO DIA",C441)),0,IF(ISNUMBER(FIND("SDO CTA/APL AUTOMATICAS",C441)),0,IF(ISNUMBER(FIND("TEC DEPOSITO",C441)),0,IF(ISNUMBER(FIND("APL APLIC AUT MAIS",C441)),E441,IF(E441&gt;0,E441,0))))))</f>
        <v>203.62</v>
      </c>
      <c r="H441" s="80" t="n">
        <v>43922</v>
      </c>
    </row>
    <row r="442" customFormat="false" ht="13.8" hidden="false" customHeight="false" outlineLevel="0" collapsed="false">
      <c r="A442" s="59" t="s">
        <v>29</v>
      </c>
      <c r="B442" s="74" t="s">
        <v>402</v>
      </c>
      <c r="C442" s="75" t="s">
        <v>70</v>
      </c>
      <c r="D442" s="76"/>
      <c r="E442" s="77" t="n">
        <v>291.78</v>
      </c>
      <c r="F442" s="78" t="n">
        <f aca="false">IF(ISNUMBER(FIND("SALDO ANTERIOR",C442)),0,IF(ISNUMBER(FIND("SALDO DO DIA",C442)),0,IF(ISNUMBER(FIND("SALDO PARCIAL",C442)),0,IF(ISNUMBER(FIND("SDO CTA/APL AUTOMATICAS",C442)),0,IF(ISNUMBER(FIND("APL APLIC AUT MAIS",C442)),0,IF(ISNUMBER(FIND("TEC DEPOSITO",C442)),0,IF(E442&gt;0,0,E442*(-1))))))))</f>
        <v>0</v>
      </c>
      <c r="G442" s="79" t="n">
        <f aca="false">IF(ISNUMBER(FIND("SALDO ANTERIOR",C442)),0,IF(ISNUMBER(FIND("SALDO DO DIA",C442)),0,IF(ISNUMBER(FIND("SDO CTA/APL AUTOMATICAS",C442)),0,IF(ISNUMBER(FIND("TEC DEPOSITO",C442)),0,IF(ISNUMBER(FIND("APL APLIC AUT MAIS",C442)),E442,IF(E442&gt;0,E442,0))))))</f>
        <v>291.78</v>
      </c>
      <c r="H442" s="80" t="n">
        <v>43922</v>
      </c>
    </row>
    <row r="443" customFormat="false" ht="13.8" hidden="false" customHeight="false" outlineLevel="0" collapsed="false">
      <c r="A443" s="59" t="s">
        <v>203</v>
      </c>
      <c r="B443" s="74" t="s">
        <v>405</v>
      </c>
      <c r="C443" s="75" t="s">
        <v>406</v>
      </c>
      <c r="D443" s="76" t="s">
        <v>274</v>
      </c>
      <c r="E443" s="81" t="n">
        <v>-500</v>
      </c>
      <c r="F443" s="78" t="n">
        <f aca="false">IF(ISNUMBER(FIND("SALDO ANTERIOR",C443)),0,IF(ISNUMBER(FIND("SALDO DO DIA",C443)),0,IF(ISNUMBER(FIND("SALDO PARCIAL",C443)),0,IF(ISNUMBER(FIND("SDO CTA/APL AUTOMATICAS",C443)),0,IF(ISNUMBER(FIND("APL APLIC AUT MAIS",C443)),0,IF(ISNUMBER(FIND("TEC DEPOSITO",C443)),0,IF(E443&gt;0,0,E443*(-1))))))))</f>
        <v>500</v>
      </c>
      <c r="G443" s="79" t="n">
        <f aca="false">IF(ISNUMBER(FIND("SALDO ANTERIOR",C443)),0,IF(ISNUMBER(FIND("SALDO DO DIA",C443)),0,IF(ISNUMBER(FIND("SDO CTA/APL AUTOMATICAS",C443)),0,IF(ISNUMBER(FIND("TEC DEPOSITO",C443)),0,IF(ISNUMBER(FIND("APL APLIC AUT MAIS",C443)),E443,IF(E443&gt;0,E443,0))))))</f>
        <v>0</v>
      </c>
      <c r="H443" s="80" t="n">
        <v>43922</v>
      </c>
    </row>
    <row r="444" customFormat="false" ht="13.8" hidden="false" customHeight="false" outlineLevel="0" collapsed="false">
      <c r="A444" s="59" t="s">
        <v>71</v>
      </c>
      <c r="B444" s="74" t="s">
        <v>405</v>
      </c>
      <c r="C444" s="75" t="s">
        <v>407</v>
      </c>
      <c r="D444" s="76" t="s">
        <v>271</v>
      </c>
      <c r="E444" s="81" t="n">
        <v>-16.8</v>
      </c>
      <c r="F444" s="78" t="n">
        <f aca="false">IF(ISNUMBER(FIND("SALDO ANTERIOR",C444)),0,IF(ISNUMBER(FIND("SALDO DO DIA",C444)),0,IF(ISNUMBER(FIND("SALDO PARCIAL",C444)),0,IF(ISNUMBER(FIND("SDO CTA/APL AUTOMATICAS",C444)),0,IF(ISNUMBER(FIND("APL APLIC AUT MAIS",C444)),0,IF(ISNUMBER(FIND("TEC DEPOSITO",C444)),0,IF(E444&gt;0,0,E444*(-1))))))))</f>
        <v>16.8</v>
      </c>
      <c r="G444" s="79" t="n">
        <f aca="false">IF(ISNUMBER(FIND("SALDO ANTERIOR",C444)),0,IF(ISNUMBER(FIND("SALDO DO DIA",C444)),0,IF(ISNUMBER(FIND("SDO CTA/APL AUTOMATICAS",C444)),0,IF(ISNUMBER(FIND("TEC DEPOSITO",C444)),0,IF(ISNUMBER(FIND("APL APLIC AUT MAIS",C444)),E444,IF(E444&gt;0,E444,0))))))</f>
        <v>0</v>
      </c>
      <c r="H444" s="80" t="n">
        <v>43922</v>
      </c>
    </row>
    <row r="445" customFormat="false" ht="13.8" hidden="false" customHeight="false" outlineLevel="0" collapsed="false">
      <c r="A445" s="59" t="s">
        <v>67</v>
      </c>
      <c r="B445" s="74" t="s">
        <v>405</v>
      </c>
      <c r="C445" s="75" t="s">
        <v>69</v>
      </c>
      <c r="D445" s="76"/>
      <c r="E445" s="77" t="n">
        <v>291.78</v>
      </c>
      <c r="F445" s="78" t="n">
        <f aca="false">IF(ISNUMBER(FIND("SALDO ANTERIOR",C445)),0,IF(ISNUMBER(FIND("SALDO DO DIA",C445)),0,IF(ISNUMBER(FIND("SALDO PARCIAL",C445)),0,IF(ISNUMBER(FIND("SDO CTA/APL AUTOMATICAS",C445)),0,IF(ISNUMBER(FIND("APL APLIC AUT MAIS",C445)),0,IF(ISNUMBER(FIND("TEC DEPOSITO",C445)),0,IF(E445&gt;0,0,E445*(-1))))))))</f>
        <v>0</v>
      </c>
      <c r="G445" s="79" t="n">
        <f aca="false">IF(ISNUMBER(FIND("SALDO ANTERIOR",C445)),0,IF(ISNUMBER(FIND("SALDO DO DIA",C445)),0,IF(ISNUMBER(FIND("SDO CTA/APL AUTOMATICAS",C445)),0,IF(ISNUMBER(FIND("TEC DEPOSITO",C445)),0,IF(ISNUMBER(FIND("APL APLIC AUT MAIS",C445)),E445,IF(E445&gt;0,E445,0))))))</f>
        <v>291.78</v>
      </c>
      <c r="H445" s="80" t="n">
        <v>43922</v>
      </c>
    </row>
    <row r="446" customFormat="false" ht="13.8" hidden="false" customHeight="false" outlineLevel="0" collapsed="false">
      <c r="A446" s="59" t="s">
        <v>225</v>
      </c>
      <c r="B446" s="74" t="s">
        <v>408</v>
      </c>
      <c r="C446" s="75" t="s">
        <v>409</v>
      </c>
      <c r="D446" s="76" t="s">
        <v>271</v>
      </c>
      <c r="E446" s="81" t="n">
        <v>-50</v>
      </c>
      <c r="F446" s="78" t="n">
        <f aca="false">IF(ISNUMBER(FIND("SALDO ANTERIOR",C446)),0,IF(ISNUMBER(FIND("SALDO DO DIA",C446)),0,IF(ISNUMBER(FIND("SALDO PARCIAL",C446)),0,IF(ISNUMBER(FIND("SDO CTA/APL AUTOMATICAS",C446)),0,IF(ISNUMBER(FIND("APL APLIC AUT MAIS",C446)),0,IF(ISNUMBER(FIND("TEC DEPOSITO",C446)),0,IF(E446&gt;0,0,E446*(-1))))))))</f>
        <v>50</v>
      </c>
      <c r="G446" s="79" t="n">
        <f aca="false">IF(ISNUMBER(FIND("SALDO ANTERIOR",C446)),0,IF(ISNUMBER(FIND("SALDO DO DIA",C446)),0,IF(ISNUMBER(FIND("SDO CTA/APL AUTOMATICAS",C446)),0,IF(ISNUMBER(FIND("TEC DEPOSITO",C446)),0,IF(ISNUMBER(FIND("APL APLIC AUT MAIS",C446)),E446,IF(E446&gt;0,E446,0))))))</f>
        <v>0</v>
      </c>
      <c r="H446" s="80" t="n">
        <v>43922</v>
      </c>
    </row>
    <row r="447" customFormat="false" ht="13.8" hidden="false" customHeight="false" outlineLevel="0" collapsed="false">
      <c r="A447" s="59" t="s">
        <v>98</v>
      </c>
      <c r="B447" s="74" t="s">
        <v>408</v>
      </c>
      <c r="C447" s="75" t="s">
        <v>410</v>
      </c>
      <c r="D447" s="76" t="s">
        <v>271</v>
      </c>
      <c r="E447" s="81" t="n">
        <v>-27.17</v>
      </c>
      <c r="F447" s="78" t="n">
        <f aca="false">IF(ISNUMBER(FIND("SALDO ANTERIOR",C447)),0,IF(ISNUMBER(FIND("SALDO DO DIA",C447)),0,IF(ISNUMBER(FIND("SALDO PARCIAL",C447)),0,IF(ISNUMBER(FIND("SDO CTA/APL AUTOMATICAS",C447)),0,IF(ISNUMBER(FIND("APL APLIC AUT MAIS",C447)),0,IF(ISNUMBER(FIND("TEC DEPOSITO",C447)),0,IF(E447&gt;0,0,E447*(-1))))))))</f>
        <v>27.17</v>
      </c>
      <c r="G447" s="79" t="n">
        <f aca="false">IF(ISNUMBER(FIND("SALDO ANTERIOR",C447)),0,IF(ISNUMBER(FIND("SALDO DO DIA",C447)),0,IF(ISNUMBER(FIND("SDO CTA/APL AUTOMATICAS",C447)),0,IF(ISNUMBER(FIND("TEC DEPOSITO",C447)),0,IF(ISNUMBER(FIND("APL APLIC AUT MAIS",C447)),E447,IF(E447&gt;0,E447,0))))))</f>
        <v>0</v>
      </c>
      <c r="H447" s="80" t="n">
        <v>43922</v>
      </c>
    </row>
    <row r="448" customFormat="false" ht="13.8" hidden="false" customHeight="false" outlineLevel="0" collapsed="false">
      <c r="A448" s="59" t="s">
        <v>65</v>
      </c>
      <c r="B448" s="74" t="s">
        <v>411</v>
      </c>
      <c r="C448" s="75" t="s">
        <v>412</v>
      </c>
      <c r="D448" s="76" t="s">
        <v>271</v>
      </c>
      <c r="E448" s="81" t="n">
        <v>-49.9</v>
      </c>
      <c r="F448" s="78" t="n">
        <f aca="false">IF(ISNUMBER(FIND("SALDO ANTERIOR",C448)),0,IF(ISNUMBER(FIND("SALDO DO DIA",C448)),0,IF(ISNUMBER(FIND("SALDO PARCIAL",C448)),0,IF(ISNUMBER(FIND("SDO CTA/APL AUTOMATICAS",C448)),0,IF(ISNUMBER(FIND("APL APLIC AUT MAIS",C448)),0,IF(ISNUMBER(FIND("TEC DEPOSITO",C448)),0,IF(E448&gt;0,0,E448*(-1))))))))</f>
        <v>49.9</v>
      </c>
      <c r="G448" s="79" t="n">
        <f aca="false">IF(ISNUMBER(FIND("SALDO ANTERIOR",C448)),0,IF(ISNUMBER(FIND("SALDO DO DIA",C448)),0,IF(ISNUMBER(FIND("SDO CTA/APL AUTOMATICAS",C448)),0,IF(ISNUMBER(FIND("TEC DEPOSITO",C448)),0,IF(ISNUMBER(FIND("APL APLIC AUT MAIS",C448)),E448,IF(E448&gt;0,E448,0))))))</f>
        <v>0</v>
      </c>
      <c r="H448" s="80" t="n">
        <v>43922</v>
      </c>
    </row>
    <row r="449" customFormat="false" ht="13.8" hidden="false" customHeight="false" outlineLevel="0" collapsed="false">
      <c r="A449" s="59" t="s">
        <v>71</v>
      </c>
      <c r="B449" s="74" t="s">
        <v>411</v>
      </c>
      <c r="C449" s="75" t="s">
        <v>413</v>
      </c>
      <c r="D449" s="76" t="s">
        <v>271</v>
      </c>
      <c r="E449" s="81" t="n">
        <v>-11.07</v>
      </c>
      <c r="F449" s="78" t="n">
        <f aca="false">IF(ISNUMBER(FIND("SALDO ANTERIOR",C449)),0,IF(ISNUMBER(FIND("SALDO DO DIA",C449)),0,IF(ISNUMBER(FIND("SALDO PARCIAL",C449)),0,IF(ISNUMBER(FIND("SDO CTA/APL AUTOMATICAS",C449)),0,IF(ISNUMBER(FIND("APL APLIC AUT MAIS",C449)),0,IF(ISNUMBER(FIND("TEC DEPOSITO",C449)),0,IF(E449&gt;0,0,E449*(-1))))))))</f>
        <v>11.07</v>
      </c>
      <c r="G449" s="79" t="n">
        <f aca="false">IF(ISNUMBER(FIND("SALDO ANTERIOR",C449)),0,IF(ISNUMBER(FIND("SALDO DO DIA",C449)),0,IF(ISNUMBER(FIND("SDO CTA/APL AUTOMATICAS",C449)),0,IF(ISNUMBER(FIND("TEC DEPOSITO",C449)),0,IF(ISNUMBER(FIND("APL APLIC AUT MAIS",C449)),E449,IF(E449&gt;0,E449,0))))))</f>
        <v>0</v>
      </c>
      <c r="H449" s="80" t="n">
        <v>43922</v>
      </c>
    </row>
    <row r="450" customFormat="false" ht="13.8" hidden="false" customHeight="false" outlineLevel="0" collapsed="false">
      <c r="A450" s="59" t="s">
        <v>225</v>
      </c>
      <c r="B450" s="74" t="s">
        <v>411</v>
      </c>
      <c r="C450" s="75" t="s">
        <v>414</v>
      </c>
      <c r="D450" s="76" t="s">
        <v>271</v>
      </c>
      <c r="E450" s="81" t="n">
        <v>-198.79</v>
      </c>
      <c r="F450" s="78" t="n">
        <f aca="false">IF(ISNUMBER(FIND("SALDO ANTERIOR",C450)),0,IF(ISNUMBER(FIND("SALDO DO DIA",C450)),0,IF(ISNUMBER(FIND("SALDO PARCIAL",C450)),0,IF(ISNUMBER(FIND("SDO CTA/APL AUTOMATICAS",C450)),0,IF(ISNUMBER(FIND("APL APLIC AUT MAIS",C450)),0,IF(ISNUMBER(FIND("TEC DEPOSITO",C450)),0,IF(E450&gt;0,0,E450*(-1))))))))</f>
        <v>198.79</v>
      </c>
      <c r="G450" s="79" t="n">
        <f aca="false">IF(ISNUMBER(FIND("SALDO ANTERIOR",C450)),0,IF(ISNUMBER(FIND("SALDO DO DIA",C450)),0,IF(ISNUMBER(FIND("SDO CTA/APL AUTOMATICAS",C450)),0,IF(ISNUMBER(FIND("TEC DEPOSITO",C450)),0,IF(ISNUMBER(FIND("APL APLIC AUT MAIS",C450)),E450,IF(E450&gt;0,E450,0))))))</f>
        <v>0</v>
      </c>
      <c r="H450" s="80" t="n">
        <v>43922</v>
      </c>
    </row>
    <row r="451" customFormat="false" ht="13.8" hidden="false" customHeight="false" outlineLevel="0" collapsed="false">
      <c r="A451" s="59" t="s">
        <v>74</v>
      </c>
      <c r="B451" s="74" t="s">
        <v>411</v>
      </c>
      <c r="C451" s="75" t="s">
        <v>415</v>
      </c>
      <c r="D451" s="76" t="s">
        <v>271</v>
      </c>
      <c r="E451" s="81" t="n">
        <v>-21.99</v>
      </c>
      <c r="F451" s="78" t="n">
        <f aca="false">IF(ISNUMBER(FIND("SALDO ANTERIOR",C451)),0,IF(ISNUMBER(FIND("SALDO DO DIA",C451)),0,IF(ISNUMBER(FIND("SALDO PARCIAL",C451)),0,IF(ISNUMBER(FIND("SDO CTA/APL AUTOMATICAS",C451)),0,IF(ISNUMBER(FIND("APL APLIC AUT MAIS",C451)),0,IF(ISNUMBER(FIND("TEC DEPOSITO",C451)),0,IF(E451&gt;0,0,E451*(-1))))))))</f>
        <v>21.99</v>
      </c>
      <c r="G451" s="79" t="n">
        <f aca="false">IF(ISNUMBER(FIND("SALDO ANTERIOR",C451)),0,IF(ISNUMBER(FIND("SALDO DO DIA",C451)),0,IF(ISNUMBER(FIND("SDO CTA/APL AUTOMATICAS",C451)),0,IF(ISNUMBER(FIND("TEC DEPOSITO",C451)),0,IF(ISNUMBER(FIND("APL APLIC AUT MAIS",C451)),E451,IF(E451&gt;0,E451,0))))))</f>
        <v>0</v>
      </c>
      <c r="H451" s="80" t="n">
        <v>43922</v>
      </c>
    </row>
    <row r="452" customFormat="false" ht="13.8" hidden="false" customHeight="false" outlineLevel="0" collapsed="false">
      <c r="A452" s="59" t="s">
        <v>65</v>
      </c>
      <c r="B452" s="74" t="s">
        <v>411</v>
      </c>
      <c r="C452" s="75" t="s">
        <v>416</v>
      </c>
      <c r="D452" s="76" t="s">
        <v>271</v>
      </c>
      <c r="E452" s="81" t="n">
        <v>-75.56</v>
      </c>
      <c r="F452" s="78" t="n">
        <f aca="false">IF(ISNUMBER(FIND("SALDO ANTERIOR",C452)),0,IF(ISNUMBER(FIND("SALDO DO DIA",C452)),0,IF(ISNUMBER(FIND("SALDO PARCIAL",C452)),0,IF(ISNUMBER(FIND("SDO CTA/APL AUTOMATICAS",C452)),0,IF(ISNUMBER(FIND("APL APLIC AUT MAIS",C452)),0,IF(ISNUMBER(FIND("TEC DEPOSITO",C452)),0,IF(E452&gt;0,0,E452*(-1))))))))</f>
        <v>75.56</v>
      </c>
      <c r="G452" s="79" t="n">
        <f aca="false">IF(ISNUMBER(FIND("SALDO ANTERIOR",C452)),0,IF(ISNUMBER(FIND("SALDO DO DIA",C452)),0,IF(ISNUMBER(FIND("SDO CTA/APL AUTOMATICAS",C452)),0,IF(ISNUMBER(FIND("TEC DEPOSITO",C452)),0,IF(ISNUMBER(FIND("APL APLIC AUT MAIS",C452)),E452,IF(E452&gt;0,E452,0))))))</f>
        <v>0</v>
      </c>
      <c r="H452" s="80" t="n">
        <v>43922</v>
      </c>
    </row>
    <row r="453" customFormat="false" ht="13.8" hidden="false" customHeight="false" outlineLevel="0" collapsed="false">
      <c r="A453" s="59" t="s">
        <v>76</v>
      </c>
      <c r="B453" s="74" t="s">
        <v>411</v>
      </c>
      <c r="C453" s="75" t="s">
        <v>417</v>
      </c>
      <c r="D453" s="76" t="s">
        <v>271</v>
      </c>
      <c r="E453" s="81" t="n">
        <v>-45.3</v>
      </c>
      <c r="F453" s="78" t="n">
        <f aca="false">IF(ISNUMBER(FIND("SALDO ANTERIOR",C453)),0,IF(ISNUMBER(FIND("SALDO DO DIA",C453)),0,IF(ISNUMBER(FIND("SALDO PARCIAL",C453)),0,IF(ISNUMBER(FIND("SDO CTA/APL AUTOMATICAS",C453)),0,IF(ISNUMBER(FIND("APL APLIC AUT MAIS",C453)),0,IF(ISNUMBER(FIND("TEC DEPOSITO",C453)),0,IF(E453&gt;0,0,E453*(-1))))))))</f>
        <v>45.3</v>
      </c>
      <c r="G453" s="79" t="n">
        <f aca="false">IF(ISNUMBER(FIND("SALDO ANTERIOR",C453)),0,IF(ISNUMBER(FIND("SALDO DO DIA",C453)),0,IF(ISNUMBER(FIND("SDO CTA/APL AUTOMATICAS",C453)),0,IF(ISNUMBER(FIND("TEC DEPOSITO",C453)),0,IF(ISNUMBER(FIND("APL APLIC AUT MAIS",C453)),E453,IF(E453&gt;0,E453,0))))))</f>
        <v>0</v>
      </c>
      <c r="H453" s="80" t="n">
        <v>43922</v>
      </c>
    </row>
    <row r="454" customFormat="false" ht="13.8" hidden="false" customHeight="false" outlineLevel="0" collapsed="false">
      <c r="A454" s="59" t="s">
        <v>65</v>
      </c>
      <c r="B454" s="74" t="s">
        <v>411</v>
      </c>
      <c r="C454" s="75" t="s">
        <v>418</v>
      </c>
      <c r="D454" s="76" t="s">
        <v>271</v>
      </c>
      <c r="E454" s="81" t="n">
        <v>-32.2</v>
      </c>
      <c r="F454" s="78" t="n">
        <f aca="false">IF(ISNUMBER(FIND("SALDO ANTERIOR",C454)),0,IF(ISNUMBER(FIND("SALDO DO DIA",C454)),0,IF(ISNUMBER(FIND("SALDO PARCIAL",C454)),0,IF(ISNUMBER(FIND("SDO CTA/APL AUTOMATICAS",C454)),0,IF(ISNUMBER(FIND("APL APLIC AUT MAIS",C454)),0,IF(ISNUMBER(FIND("TEC DEPOSITO",C454)),0,IF(E454&gt;0,0,E454*(-1))))))))</f>
        <v>32.2</v>
      </c>
      <c r="G454" s="79" t="n">
        <f aca="false">IF(ISNUMBER(FIND("SALDO ANTERIOR",C454)),0,IF(ISNUMBER(FIND("SALDO DO DIA",C454)),0,IF(ISNUMBER(FIND("SDO CTA/APL AUTOMATICAS",C454)),0,IF(ISNUMBER(FIND("TEC DEPOSITO",C454)),0,IF(ISNUMBER(FIND("APL APLIC AUT MAIS",C454)),E454,IF(E454&gt;0,E454,0))))))</f>
        <v>0</v>
      </c>
      <c r="H454" s="80" t="n">
        <v>43922</v>
      </c>
    </row>
    <row r="455" customFormat="false" ht="13.8" hidden="false" customHeight="false" outlineLevel="0" collapsed="false">
      <c r="A455" s="59" t="s">
        <v>74</v>
      </c>
      <c r="B455" s="74" t="s">
        <v>411</v>
      </c>
      <c r="C455" s="75" t="s">
        <v>419</v>
      </c>
      <c r="D455" s="76" t="s">
        <v>271</v>
      </c>
      <c r="E455" s="81" t="n">
        <v>-49.35</v>
      </c>
      <c r="F455" s="78" t="n">
        <f aca="false">IF(ISNUMBER(FIND("SALDO ANTERIOR",C455)),0,IF(ISNUMBER(FIND("SALDO DO DIA",C455)),0,IF(ISNUMBER(FIND("SALDO PARCIAL",C455)),0,IF(ISNUMBER(FIND("SDO CTA/APL AUTOMATICAS",C455)),0,IF(ISNUMBER(FIND("APL APLIC AUT MAIS",C455)),0,IF(ISNUMBER(FIND("TEC DEPOSITO",C455)),0,IF(E455&gt;0,0,E455*(-1))))))))</f>
        <v>49.35</v>
      </c>
      <c r="G455" s="79" t="n">
        <f aca="false">IF(ISNUMBER(FIND("SALDO ANTERIOR",C455)),0,IF(ISNUMBER(FIND("SALDO DO DIA",C455)),0,IF(ISNUMBER(FIND("SDO CTA/APL AUTOMATICAS",C455)),0,IF(ISNUMBER(FIND("TEC DEPOSITO",C455)),0,IF(ISNUMBER(FIND("APL APLIC AUT MAIS",C455)),E455,IF(E455&gt;0,E455,0))))))</f>
        <v>0</v>
      </c>
      <c r="H455" s="80" t="n">
        <v>43922</v>
      </c>
    </row>
    <row r="456" customFormat="false" ht="13.8" hidden="false" customHeight="false" outlineLevel="0" collapsed="false">
      <c r="A456" s="59" t="s">
        <v>98</v>
      </c>
      <c r="B456" s="74" t="s">
        <v>411</v>
      </c>
      <c r="C456" s="75" t="s">
        <v>420</v>
      </c>
      <c r="D456" s="76" t="s">
        <v>271</v>
      </c>
      <c r="E456" s="81" t="n">
        <v>-10.7</v>
      </c>
      <c r="F456" s="78" t="n">
        <f aca="false">IF(ISNUMBER(FIND("SALDO ANTERIOR",C456)),0,IF(ISNUMBER(FIND("SALDO DO DIA",C456)),0,IF(ISNUMBER(FIND("SALDO PARCIAL",C456)),0,IF(ISNUMBER(FIND("SDO CTA/APL AUTOMATICAS",C456)),0,IF(ISNUMBER(FIND("APL APLIC AUT MAIS",C456)),0,IF(ISNUMBER(FIND("TEC DEPOSITO",C456)),0,IF(E456&gt;0,0,E456*(-1))))))))</f>
        <v>10.7</v>
      </c>
      <c r="G456" s="79" t="n">
        <f aca="false">IF(ISNUMBER(FIND("SALDO ANTERIOR",C456)),0,IF(ISNUMBER(FIND("SALDO DO DIA",C456)),0,IF(ISNUMBER(FIND("SDO CTA/APL AUTOMATICAS",C456)),0,IF(ISNUMBER(FIND("TEC DEPOSITO",C456)),0,IF(ISNUMBER(FIND("APL APLIC AUT MAIS",C456)),E456,IF(E456&gt;0,E456,0))))))</f>
        <v>0</v>
      </c>
      <c r="H456" s="80" t="n">
        <v>43922</v>
      </c>
    </row>
    <row r="457" customFormat="false" ht="13.8" hidden="false" customHeight="false" outlineLevel="0" collapsed="false">
      <c r="A457" s="59" t="s">
        <v>98</v>
      </c>
      <c r="B457" s="74" t="s">
        <v>411</v>
      </c>
      <c r="C457" s="75" t="s">
        <v>420</v>
      </c>
      <c r="D457" s="76" t="s">
        <v>271</v>
      </c>
      <c r="E457" s="81" t="n">
        <v>-145.45</v>
      </c>
      <c r="F457" s="78" t="n">
        <f aca="false">IF(ISNUMBER(FIND("SALDO ANTERIOR",C457)),0,IF(ISNUMBER(FIND("SALDO DO DIA",C457)),0,IF(ISNUMBER(FIND("SALDO PARCIAL",C457)),0,IF(ISNUMBER(FIND("SDO CTA/APL AUTOMATICAS",C457)),0,IF(ISNUMBER(FIND("APL APLIC AUT MAIS",C457)),0,IF(ISNUMBER(FIND("TEC DEPOSITO",C457)),0,IF(E457&gt;0,0,E457*(-1))))))))</f>
        <v>145.45</v>
      </c>
      <c r="G457" s="79" t="n">
        <f aca="false">IF(ISNUMBER(FIND("SALDO ANTERIOR",C457)),0,IF(ISNUMBER(FIND("SALDO DO DIA",C457)),0,IF(ISNUMBER(FIND("SDO CTA/APL AUTOMATICAS",C457)),0,IF(ISNUMBER(FIND("TEC DEPOSITO",C457)),0,IF(ISNUMBER(FIND("APL APLIC AUT MAIS",C457)),E457,IF(E457&gt;0,E457,0))))))</f>
        <v>0</v>
      </c>
      <c r="H457" s="80" t="n">
        <v>43922</v>
      </c>
    </row>
    <row r="458" customFormat="false" ht="13.8" hidden="false" customHeight="false" outlineLevel="0" collapsed="false">
      <c r="A458" s="59" t="s">
        <v>65</v>
      </c>
      <c r="B458" s="74" t="s">
        <v>421</v>
      </c>
      <c r="C458" s="75" t="s">
        <v>422</v>
      </c>
      <c r="D458" s="76" t="s">
        <v>271</v>
      </c>
      <c r="E458" s="81" t="n">
        <v>-29.88</v>
      </c>
      <c r="F458" s="78" t="n">
        <f aca="false">IF(ISNUMBER(FIND("SALDO ANTERIOR",C458)),0,IF(ISNUMBER(FIND("SALDO DO DIA",C458)),0,IF(ISNUMBER(FIND("SALDO PARCIAL",C458)),0,IF(ISNUMBER(FIND("SDO CTA/APL AUTOMATICAS",C458)),0,IF(ISNUMBER(FIND("APL APLIC AUT MAIS",C458)),0,IF(ISNUMBER(FIND("TEC DEPOSITO",C458)),0,IF(E458&gt;0,0,E458*(-1))))))))</f>
        <v>29.88</v>
      </c>
      <c r="G458" s="79" t="n">
        <f aca="false">IF(ISNUMBER(FIND("SALDO ANTERIOR",C458)),0,IF(ISNUMBER(FIND("SALDO DO DIA",C458)),0,IF(ISNUMBER(FIND("SDO CTA/APL AUTOMATICAS",C458)),0,IF(ISNUMBER(FIND("TEC DEPOSITO",C458)),0,IF(ISNUMBER(FIND("APL APLIC AUT MAIS",C458)),E458,IF(E458&gt;0,E458,0))))))</f>
        <v>0</v>
      </c>
      <c r="H458" s="80" t="n">
        <v>43922</v>
      </c>
    </row>
    <row r="459" customFormat="false" ht="13.8" hidden="false" customHeight="false" outlineLevel="0" collapsed="false">
      <c r="A459" s="59" t="s">
        <v>203</v>
      </c>
      <c r="B459" s="74" t="s">
        <v>423</v>
      </c>
      <c r="C459" s="75" t="s">
        <v>424</v>
      </c>
      <c r="D459" s="76" t="s">
        <v>274</v>
      </c>
      <c r="E459" s="81" t="n">
        <v>-100</v>
      </c>
      <c r="F459" s="78" t="n">
        <f aca="false">IF(ISNUMBER(FIND("SALDO ANTERIOR",C459)),0,IF(ISNUMBER(FIND("SALDO DO DIA",C459)),0,IF(ISNUMBER(FIND("SALDO PARCIAL",C459)),0,IF(ISNUMBER(FIND("SDO CTA/APL AUTOMATICAS",C459)),0,IF(ISNUMBER(FIND("APL APLIC AUT MAIS",C459)),0,IF(ISNUMBER(FIND("TEC DEPOSITO",C459)),0,IF(E459&gt;0,0,E459*(-1))))))))</f>
        <v>100</v>
      </c>
      <c r="G459" s="79" t="n">
        <f aca="false">IF(ISNUMBER(FIND("SALDO ANTERIOR",C459)),0,IF(ISNUMBER(FIND("SALDO DO DIA",C459)),0,IF(ISNUMBER(FIND("SDO CTA/APL AUTOMATICAS",C459)),0,IF(ISNUMBER(FIND("TEC DEPOSITO",C459)),0,IF(ISNUMBER(FIND("APL APLIC AUT MAIS",C459)),E459,IF(E459&gt;0,E459,0))))))</f>
        <v>0</v>
      </c>
      <c r="H459" s="80" t="n">
        <v>43922</v>
      </c>
    </row>
    <row r="460" customFormat="false" ht="13.8" hidden="false" customHeight="false" outlineLevel="0" collapsed="false">
      <c r="A460" s="59" t="s">
        <v>98</v>
      </c>
      <c r="B460" s="74" t="s">
        <v>423</v>
      </c>
      <c r="C460" s="75" t="s">
        <v>425</v>
      </c>
      <c r="D460" s="76" t="s">
        <v>271</v>
      </c>
      <c r="E460" s="81" t="n">
        <v>-352.18</v>
      </c>
      <c r="F460" s="78" t="n">
        <f aca="false">IF(ISNUMBER(FIND("SALDO ANTERIOR",C460)),0,IF(ISNUMBER(FIND("SALDO DO DIA",C460)),0,IF(ISNUMBER(FIND("SALDO PARCIAL",C460)),0,IF(ISNUMBER(FIND("SDO CTA/APL AUTOMATICAS",C460)),0,IF(ISNUMBER(FIND("APL APLIC AUT MAIS",C460)),0,IF(ISNUMBER(FIND("TEC DEPOSITO",C460)),0,IF(E460&gt;0,0,E460*(-1))))))))</f>
        <v>352.18</v>
      </c>
      <c r="G460" s="79" t="n">
        <f aca="false">IF(ISNUMBER(FIND("SALDO ANTERIOR",C460)),0,IF(ISNUMBER(FIND("SALDO DO DIA",C460)),0,IF(ISNUMBER(FIND("SDO CTA/APL AUTOMATICAS",C460)),0,IF(ISNUMBER(FIND("TEC DEPOSITO",C460)),0,IF(ISNUMBER(FIND("APL APLIC AUT MAIS",C460)),E460,IF(E460&gt;0,E460,0))))))</f>
        <v>0</v>
      </c>
      <c r="H460" s="80" t="n">
        <v>43922</v>
      </c>
    </row>
    <row r="461" customFormat="false" ht="13.8" hidden="false" customHeight="false" outlineLevel="0" collapsed="false">
      <c r="A461" s="59" t="s">
        <v>29</v>
      </c>
      <c r="B461" s="74" t="s">
        <v>423</v>
      </c>
      <c r="C461" s="75" t="s">
        <v>110</v>
      </c>
      <c r="D461" s="76"/>
      <c r="E461" s="81" t="n">
        <v>-1414.56</v>
      </c>
      <c r="F461" s="78" t="n">
        <f aca="false">IF(ISNUMBER(FIND("SALDO ANTERIOR",C461)),0,IF(ISNUMBER(FIND("SALDO DO DIA",C461)),0,IF(ISNUMBER(FIND("SALDO PARCIAL",C461)),0,IF(ISNUMBER(FIND("SDO CTA/APL AUTOMATICAS",C461)),0,IF(ISNUMBER(FIND("APL APLIC AUT MAIS",C461)),0,IF(ISNUMBER(FIND("TEC DEPOSITO",C461)),0,IF(E461&gt;0,0,E461*(-1))))))))</f>
        <v>0</v>
      </c>
      <c r="G461" s="79" t="n">
        <f aca="false">IF(ISNUMBER(FIND("SALDO ANTERIOR",C461)),0,IF(ISNUMBER(FIND("SALDO DO DIA",C461)),0,IF(ISNUMBER(FIND("SDO CTA/APL AUTOMATICAS",C461)),0,IF(ISNUMBER(FIND("TEC DEPOSITO",C461)),0,IF(ISNUMBER(FIND("APL APLIC AUT MAIS",C461)),E461,IF(E461&gt;0,E461,0))))))</f>
        <v>0</v>
      </c>
      <c r="H461" s="80" t="n">
        <v>43922</v>
      </c>
    </row>
    <row r="462" customFormat="false" ht="15" hidden="false" customHeight="false" outlineLevel="0" collapsed="false">
      <c r="A462" s="59" t="s">
        <v>29</v>
      </c>
      <c r="B462" s="74" t="s">
        <v>423</v>
      </c>
      <c r="C462" s="83" t="s">
        <v>111</v>
      </c>
      <c r="D462" s="76"/>
      <c r="E462" s="84" t="n">
        <v>-1414.56</v>
      </c>
      <c r="F462" s="78" t="n">
        <f aca="false">IF(ISNUMBER(FIND("SALDO ANTERIOR",C462)),0,IF(ISNUMBER(FIND("SALDO DO DIA",C462)),0,IF(ISNUMBER(FIND("SALDO PARCIAL",C462)),0,IF(ISNUMBER(FIND("SDO CTA/APL AUTOMATICAS",C462)),0,IF(ISNUMBER(FIND("APL APLIC AUT MAIS",C462)),0,IF(ISNUMBER(FIND("TEC DEPOSITO",C462)),0,IF(E462&gt;0,0,E462*(-1))))))))</f>
        <v>0</v>
      </c>
      <c r="G462" s="79" t="n">
        <f aca="false">IF(ISNUMBER(FIND("SALDO ANTERIOR",C462)),0,IF(ISNUMBER(FIND("SALDO DO DIA",C462)),0,IF(ISNUMBER(FIND("SDO CTA/APL AUTOMATICAS",C462)),0,IF(ISNUMBER(FIND("TEC DEPOSITO",C462)),0,IF(ISNUMBER(FIND("APL APLIC AUT MAIS",C462)),E462,IF(E462&gt;0,E462,0))))))</f>
        <v>0</v>
      </c>
      <c r="H462" s="80" t="n">
        <v>43922</v>
      </c>
    </row>
    <row r="463" customFormat="false" ht="13.8" hidden="false" customHeight="false" outlineLevel="0" collapsed="false">
      <c r="A463" s="59" t="s">
        <v>76</v>
      </c>
      <c r="B463" s="74" t="s">
        <v>423</v>
      </c>
      <c r="C463" s="75" t="s">
        <v>426</v>
      </c>
      <c r="D463" s="76" t="s">
        <v>271</v>
      </c>
      <c r="E463" s="81" t="n">
        <v>-21</v>
      </c>
      <c r="F463" s="78" t="n">
        <f aca="false">IF(ISNUMBER(FIND("SALDO ANTERIOR",C463)),0,IF(ISNUMBER(FIND("SALDO DO DIA",C463)),0,IF(ISNUMBER(FIND("SALDO PARCIAL",C463)),0,IF(ISNUMBER(FIND("SDO CTA/APL AUTOMATICAS",C463)),0,IF(ISNUMBER(FIND("APL APLIC AUT MAIS",C463)),0,IF(ISNUMBER(FIND("TEC DEPOSITO",C463)),0,IF(E463&gt;0,0,E463*(-1))))))))</f>
        <v>21</v>
      </c>
      <c r="G463" s="79" t="n">
        <f aca="false">IF(ISNUMBER(FIND("SALDO ANTERIOR",C463)),0,IF(ISNUMBER(FIND("SALDO DO DIA",C463)),0,IF(ISNUMBER(FIND("SDO CTA/APL AUTOMATICAS",C463)),0,IF(ISNUMBER(FIND("TEC DEPOSITO",C463)),0,IF(ISNUMBER(FIND("APL APLIC AUT MAIS",C463)),E463,IF(E463&gt;0,E463,0))))))</f>
        <v>0</v>
      </c>
      <c r="H463" s="80" t="n">
        <v>43922</v>
      </c>
    </row>
    <row r="464" customFormat="false" ht="13.8" hidden="false" customHeight="false" outlineLevel="0" collapsed="false">
      <c r="A464" s="59" t="s">
        <v>76</v>
      </c>
      <c r="B464" s="74" t="s">
        <v>423</v>
      </c>
      <c r="C464" s="75" t="s">
        <v>427</v>
      </c>
      <c r="D464" s="76" t="s">
        <v>271</v>
      </c>
      <c r="E464" s="81" t="n">
        <v>-10</v>
      </c>
      <c r="F464" s="78" t="n">
        <f aca="false">IF(ISNUMBER(FIND("SALDO ANTERIOR",C464)),0,IF(ISNUMBER(FIND("SALDO DO DIA",C464)),0,IF(ISNUMBER(FIND("SALDO PARCIAL",C464)),0,IF(ISNUMBER(FIND("SDO CTA/APL AUTOMATICAS",C464)),0,IF(ISNUMBER(FIND("APL APLIC AUT MAIS",C464)),0,IF(ISNUMBER(FIND("TEC DEPOSITO",C464)),0,IF(E464&gt;0,0,E464*(-1))))))))</f>
        <v>10</v>
      </c>
      <c r="G464" s="79" t="n">
        <f aca="false">IF(ISNUMBER(FIND("SALDO ANTERIOR",C464)),0,IF(ISNUMBER(FIND("SALDO DO DIA",C464)),0,IF(ISNUMBER(FIND("SDO CTA/APL AUTOMATICAS",C464)),0,IF(ISNUMBER(FIND("TEC DEPOSITO",C464)),0,IF(ISNUMBER(FIND("APL APLIC AUT MAIS",C464)),E464,IF(E464&gt;0,E464,0))))))</f>
        <v>0</v>
      </c>
      <c r="H464" s="80" t="n">
        <v>43922</v>
      </c>
    </row>
    <row r="465" customFormat="false" ht="13.8" hidden="false" customHeight="false" outlineLevel="0" collapsed="false">
      <c r="A465" s="59" t="s">
        <v>119</v>
      </c>
      <c r="B465" s="74" t="s">
        <v>423</v>
      </c>
      <c r="C465" s="75" t="s">
        <v>428</v>
      </c>
      <c r="D465" s="76" t="s">
        <v>61</v>
      </c>
      <c r="E465" s="81" t="n">
        <v>-1000</v>
      </c>
      <c r="F465" s="78" t="n">
        <f aca="false">IF(ISNUMBER(FIND("SALDO ANTERIOR",C465)),0,IF(ISNUMBER(FIND("SALDO DO DIA",C465)),0,IF(ISNUMBER(FIND("SALDO PARCIAL",C465)),0,IF(ISNUMBER(FIND("SDO CTA/APL AUTOMATICAS",C465)),0,IF(ISNUMBER(FIND("APL APLIC AUT MAIS",C465)),0,IF(ISNUMBER(FIND("TEC DEPOSITO",C465)),0,IF(E465&gt;0,0,E465*(-1))))))))</f>
        <v>1000</v>
      </c>
      <c r="G465" s="79" t="n">
        <f aca="false">IF(ISNUMBER(FIND("SALDO ANTERIOR",C465)),0,IF(ISNUMBER(FIND("SALDO DO DIA",C465)),0,IF(ISNUMBER(FIND("SDO CTA/APL AUTOMATICAS",C465)),0,IF(ISNUMBER(FIND("TEC DEPOSITO",C465)),0,IF(ISNUMBER(FIND("APL APLIC AUT MAIS",C465)),E465,IF(E465&gt;0,E465,0))))))</f>
        <v>0</v>
      </c>
      <c r="H465" s="80" t="n">
        <v>43922</v>
      </c>
    </row>
    <row r="466" customFormat="false" ht="13.8" hidden="false" customHeight="false" outlineLevel="0" collapsed="false">
      <c r="A466" s="59" t="s">
        <v>181</v>
      </c>
      <c r="B466" s="74" t="s">
        <v>423</v>
      </c>
      <c r="C466" s="75" t="s">
        <v>429</v>
      </c>
      <c r="D466" s="76" t="s">
        <v>61</v>
      </c>
      <c r="E466" s="81" t="n">
        <v>-283.5</v>
      </c>
      <c r="F466" s="78" t="n">
        <f aca="false">IF(ISNUMBER(FIND("SALDO ANTERIOR",C466)),0,IF(ISNUMBER(FIND("SALDO DO DIA",C466)),0,IF(ISNUMBER(FIND("SALDO PARCIAL",C466)),0,IF(ISNUMBER(FIND("SDO CTA/APL AUTOMATICAS",C466)),0,IF(ISNUMBER(FIND("APL APLIC AUT MAIS",C466)),0,IF(ISNUMBER(FIND("TEC DEPOSITO",C466)),0,IF(E466&gt;0,0,E466*(-1))))))))</f>
        <v>283.5</v>
      </c>
      <c r="G466" s="79" t="n">
        <f aca="false">IF(ISNUMBER(FIND("SALDO ANTERIOR",C466)),0,IF(ISNUMBER(FIND("SALDO DO DIA",C466)),0,IF(ISNUMBER(FIND("SDO CTA/APL AUTOMATICAS",C466)),0,IF(ISNUMBER(FIND("TEC DEPOSITO",C466)),0,IF(ISNUMBER(FIND("APL APLIC AUT MAIS",C466)),E466,IF(E466&gt;0,E466,0))))))</f>
        <v>0</v>
      </c>
      <c r="H466" s="80" t="n">
        <v>43922</v>
      </c>
    </row>
    <row r="467" customFormat="false" ht="13.8" hidden="false" customHeight="false" outlineLevel="0" collapsed="false">
      <c r="A467" s="59" t="s">
        <v>127</v>
      </c>
      <c r="B467" s="74" t="s">
        <v>423</v>
      </c>
      <c r="C467" s="75" t="s">
        <v>128</v>
      </c>
      <c r="D467" s="76"/>
      <c r="E467" s="77" t="n">
        <v>10976.56</v>
      </c>
      <c r="F467" s="78" t="n">
        <f aca="false">IF(ISNUMBER(FIND("SALDO ANTERIOR",C467)),0,IF(ISNUMBER(FIND("SALDO DO DIA",C467)),0,IF(ISNUMBER(FIND("SALDO PARCIAL",C467)),0,IF(ISNUMBER(FIND("SDO CTA/APL AUTOMATICAS",C467)),0,IF(ISNUMBER(FIND("APL APLIC AUT MAIS",C467)),0,IF(ISNUMBER(FIND("TEC DEPOSITO",C467)),0,IF(E467&gt;0,0,E467*(-1))))))))</f>
        <v>0</v>
      </c>
      <c r="G467" s="79" t="n">
        <f aca="false">IF(ISNUMBER(FIND("SALDO ANTERIOR",C467)),0,IF(ISNUMBER(FIND("SALDO DO DIA",C467)),0,IF(ISNUMBER(FIND("SDO CTA/APL AUTOMATICAS",C467)),0,IF(ISNUMBER(FIND("TEC DEPOSITO",C467)),0,IF(ISNUMBER(FIND("APL APLIC AUT MAIS",C467)),E467,IF(E467&gt;0,E467,0))))))</f>
        <v>10976.56</v>
      </c>
      <c r="H467" s="80" t="n">
        <v>43922</v>
      </c>
    </row>
    <row r="468" customFormat="false" ht="13.8" hidden="false" customHeight="false" outlineLevel="0" collapsed="false">
      <c r="A468" s="59" t="s">
        <v>29</v>
      </c>
      <c r="B468" s="74" t="s">
        <v>423</v>
      </c>
      <c r="C468" s="75" t="s">
        <v>129</v>
      </c>
      <c r="D468" s="76"/>
      <c r="E468" s="81" t="n">
        <v>-8237.5</v>
      </c>
      <c r="F468" s="78" t="n">
        <f aca="false">IF(ISNUMBER(FIND("SALDO ANTERIOR",C468)),0,IF(ISNUMBER(FIND("SALDO DO DIA",C468)),0,IF(ISNUMBER(FIND("SALDO PARCIAL",C468)),0,IF(ISNUMBER(FIND("SDO CTA/APL AUTOMATICAS",C468)),0,IF(ISNUMBER(FIND("APL APLIC AUT MAIS",C468)),0,IF(ISNUMBER(FIND("TEC DEPOSITO",C468)),0,IF(E468&gt;0,0,E468*(-1))))))))</f>
        <v>0</v>
      </c>
      <c r="G468" s="79" t="n">
        <f aca="false">IF(ISNUMBER(FIND("SALDO ANTERIOR",C468)),0,IF(ISNUMBER(FIND("SALDO DO DIA",C468)),0,IF(ISNUMBER(FIND("SDO CTA/APL AUTOMATICAS",C468)),0,IF(ISNUMBER(FIND("TEC DEPOSITO",C468)),0,IF(ISNUMBER(FIND("APL APLIC AUT MAIS",C468)),E468,IF(E468&gt;0,E468,0))))))</f>
        <v>-8237.5</v>
      </c>
      <c r="H468" s="80" t="n">
        <v>43922</v>
      </c>
    </row>
    <row r="469" customFormat="false" ht="13.8" hidden="false" customHeight="false" outlineLevel="0" collapsed="false">
      <c r="A469" s="59" t="s">
        <v>29</v>
      </c>
      <c r="B469" s="74" t="s">
        <v>423</v>
      </c>
      <c r="C469" s="75" t="s">
        <v>70</v>
      </c>
      <c r="D469" s="76"/>
      <c r="E469" s="77" t="n">
        <v>8237.5</v>
      </c>
      <c r="F469" s="78" t="n">
        <f aca="false">IF(ISNUMBER(FIND("SALDO ANTERIOR",C469)),0,IF(ISNUMBER(FIND("SALDO DO DIA",C469)),0,IF(ISNUMBER(FIND("SALDO PARCIAL",C469)),0,IF(ISNUMBER(FIND("SDO CTA/APL AUTOMATICAS",C469)),0,IF(ISNUMBER(FIND("APL APLIC AUT MAIS",C469)),0,IF(ISNUMBER(FIND("TEC DEPOSITO",C469)),0,IF(E469&gt;0,0,E469*(-1))))))))</f>
        <v>0</v>
      </c>
      <c r="G469" s="79" t="n">
        <f aca="false">IF(ISNUMBER(FIND("SALDO ANTERIOR",C469)),0,IF(ISNUMBER(FIND("SALDO DO DIA",C469)),0,IF(ISNUMBER(FIND("SDO CTA/APL AUTOMATICAS",C469)),0,IF(ISNUMBER(FIND("TEC DEPOSITO",C469)),0,IF(ISNUMBER(FIND("APL APLIC AUT MAIS",C469)),E469,IF(E469&gt;0,E469,0))))))</f>
        <v>8237.5</v>
      </c>
      <c r="H469" s="80" t="n">
        <v>43922</v>
      </c>
    </row>
    <row r="470" customFormat="false" ht="13.8" hidden="false" customHeight="false" outlineLevel="0" collapsed="false">
      <c r="A470" s="59" t="s">
        <v>29</v>
      </c>
      <c r="B470" s="74" t="s">
        <v>423</v>
      </c>
      <c r="C470" s="75" t="s">
        <v>169</v>
      </c>
      <c r="D470" s="76"/>
      <c r="E470" s="77" t="n">
        <v>10</v>
      </c>
      <c r="F470" s="78" t="n">
        <f aca="false">IF(ISNUMBER(FIND("SALDO ANTERIOR",C470)),0,IF(ISNUMBER(FIND("SALDO DO DIA",C470)),0,IF(ISNUMBER(FIND("SALDO PARCIAL",C470)),0,IF(ISNUMBER(FIND("SDO CTA/APL AUTOMATICAS",C470)),0,IF(ISNUMBER(FIND("APL APLIC AUT MAIS",C470)),0,IF(ISNUMBER(FIND("TEC DEPOSITO",C470)),0,IF(E470&gt;0,0,E470*(-1))))))))</f>
        <v>0</v>
      </c>
      <c r="G470" s="79" t="n">
        <f aca="false">IF(ISNUMBER(FIND("SALDO ANTERIOR",C470)),0,IF(ISNUMBER(FIND("SALDO DO DIA",C470)),0,IF(ISNUMBER(FIND("SDO CTA/APL AUTOMATICAS",C470)),0,IF(ISNUMBER(FIND("TEC DEPOSITO",C470)),0,IF(ISNUMBER(FIND("APL APLIC AUT MAIS",C470)),E470,IF(E470&gt;0,E470,0))))))</f>
        <v>10</v>
      </c>
      <c r="H470" s="80" t="n">
        <v>43922</v>
      </c>
    </row>
    <row r="471" customFormat="false" ht="13.8" hidden="false" customHeight="false" outlineLevel="0" collapsed="false">
      <c r="A471" s="59" t="s">
        <v>29</v>
      </c>
      <c r="B471" s="85" t="s">
        <v>430</v>
      </c>
      <c r="C471" s="86" t="s">
        <v>58</v>
      </c>
      <c r="D471" s="87"/>
      <c r="E471" s="88" t="n">
        <v>10</v>
      </c>
      <c r="F471" s="64" t="n">
        <f aca="false">IF(ISNUMBER(FIND("SALDO ANTERIOR",C471)),0,IF(ISNUMBER(FIND("SALDO DO DIA",C471)),0,IF(ISNUMBER(FIND("SALDO PARCIAL",C471)),0,IF(ISNUMBER(FIND("SDO CTA/APL AUTOMATICAS",C471)),0,IF(ISNUMBER(FIND("APL APLIC AUT MAIS",C471)),0,IF(ISNUMBER(FIND("TEC DEPOSITO",C471)),0,IF(E471&gt;0,0,E471*(-1))))))))</f>
        <v>0</v>
      </c>
      <c r="G471" s="65" t="n">
        <f aca="false">IF(ISNUMBER(FIND("SALDO ANTERIOR",C471)),0,IF(ISNUMBER(FIND("SALDO DO DIA",C471)),0,IF(ISNUMBER(FIND("SDO CTA/APL AUTOMATICAS",C471)),0,IF(ISNUMBER(FIND("TEC DEPOSITO",C471)),0,IF(ISNUMBER(FIND("APL APLIC AUT MAIS",C471)),E471,IF(E471&gt;0,E471,0))))))</f>
        <v>10</v>
      </c>
      <c r="H471" s="66" t="n">
        <v>43952</v>
      </c>
    </row>
    <row r="472" customFormat="false" ht="13.8" hidden="false" customHeight="false" outlineLevel="0" collapsed="false">
      <c r="A472" s="59" t="s">
        <v>65</v>
      </c>
      <c r="B472" s="85" t="s">
        <v>430</v>
      </c>
      <c r="C472" s="86" t="s">
        <v>431</v>
      </c>
      <c r="D472" s="87" t="s">
        <v>271</v>
      </c>
      <c r="E472" s="89" t="n">
        <v>-45.94</v>
      </c>
      <c r="F472" s="64" t="n">
        <f aca="false">IF(ISNUMBER(FIND("SALDO ANTERIOR",C472)),0,IF(ISNUMBER(FIND("SALDO DO DIA",C472)),0,IF(ISNUMBER(FIND("SALDO PARCIAL",C472)),0,IF(ISNUMBER(FIND("SDO CTA/APL AUTOMATICAS",C472)),0,IF(ISNUMBER(FIND("APL APLIC AUT MAIS",C472)),0,IF(ISNUMBER(FIND("TEC DEPOSITO",C472)),0,IF(E472&gt;0,0,E472*(-1))))))))</f>
        <v>45.94</v>
      </c>
      <c r="G472" s="65" t="n">
        <f aca="false">IF(ISNUMBER(FIND("SALDO ANTERIOR",C472)),0,IF(ISNUMBER(FIND("SALDO DO DIA",C472)),0,IF(ISNUMBER(FIND("SDO CTA/APL AUTOMATICAS",C472)),0,IF(ISNUMBER(FIND("TEC DEPOSITO",C472)),0,IF(ISNUMBER(FIND("APL APLIC AUT MAIS",C472)),E472,IF(E472&gt;0,E472,0))))))</f>
        <v>0</v>
      </c>
      <c r="H472" s="66" t="n">
        <v>43952</v>
      </c>
    </row>
    <row r="473" customFormat="false" ht="13.8" hidden="false" customHeight="false" outlineLevel="0" collapsed="false">
      <c r="A473" s="59" t="s">
        <v>98</v>
      </c>
      <c r="B473" s="85" t="s">
        <v>430</v>
      </c>
      <c r="C473" s="86" t="s">
        <v>432</v>
      </c>
      <c r="D473" s="87" t="s">
        <v>271</v>
      </c>
      <c r="E473" s="89" t="n">
        <v>-20.99</v>
      </c>
      <c r="F473" s="64" t="n">
        <f aca="false">IF(ISNUMBER(FIND("SALDO ANTERIOR",C473)),0,IF(ISNUMBER(FIND("SALDO DO DIA",C473)),0,IF(ISNUMBER(FIND("SALDO PARCIAL",C473)),0,IF(ISNUMBER(FIND("SDO CTA/APL AUTOMATICAS",C473)),0,IF(ISNUMBER(FIND("APL APLIC AUT MAIS",C473)),0,IF(ISNUMBER(FIND("TEC DEPOSITO",C473)),0,IF(E473&gt;0,0,E473*(-1))))))))</f>
        <v>20.99</v>
      </c>
      <c r="G473" s="65" t="n">
        <f aca="false">IF(ISNUMBER(FIND("SALDO ANTERIOR",C473)),0,IF(ISNUMBER(FIND("SALDO DO DIA",C473)),0,IF(ISNUMBER(FIND("SDO CTA/APL AUTOMATICAS",C473)),0,IF(ISNUMBER(FIND("TEC DEPOSITO",C473)),0,IF(ISNUMBER(FIND("APL APLIC AUT MAIS",C473)),E473,IF(E473&gt;0,E473,0))))))</f>
        <v>0</v>
      </c>
      <c r="H473" s="66" t="n">
        <v>43952</v>
      </c>
    </row>
    <row r="474" customFormat="false" ht="13.8" hidden="false" customHeight="false" outlineLevel="0" collapsed="false">
      <c r="A474" s="59" t="s">
        <v>65</v>
      </c>
      <c r="B474" s="85" t="s">
        <v>430</v>
      </c>
      <c r="C474" s="86" t="s">
        <v>433</v>
      </c>
      <c r="D474" s="87" t="s">
        <v>271</v>
      </c>
      <c r="E474" s="89" t="n">
        <v>-63.79</v>
      </c>
      <c r="F474" s="64" t="n">
        <f aca="false">IF(ISNUMBER(FIND("SALDO ANTERIOR",C474)),0,IF(ISNUMBER(FIND("SALDO DO DIA",C474)),0,IF(ISNUMBER(FIND("SALDO PARCIAL",C474)),0,IF(ISNUMBER(FIND("SDO CTA/APL AUTOMATICAS",C474)),0,IF(ISNUMBER(FIND("APL APLIC AUT MAIS",C474)),0,IF(ISNUMBER(FIND("TEC DEPOSITO",C474)),0,IF(E474&gt;0,0,E474*(-1))))))))</f>
        <v>63.79</v>
      </c>
      <c r="G474" s="65" t="n">
        <f aca="false">IF(ISNUMBER(FIND("SALDO ANTERIOR",C474)),0,IF(ISNUMBER(FIND("SALDO DO DIA",C474)),0,IF(ISNUMBER(FIND("SDO CTA/APL AUTOMATICAS",C474)),0,IF(ISNUMBER(FIND("TEC DEPOSITO",C474)),0,IF(ISNUMBER(FIND("APL APLIC AUT MAIS",C474)),E474,IF(E474&gt;0,E474,0))))))</f>
        <v>0</v>
      </c>
      <c r="H474" s="66" t="n">
        <v>43952</v>
      </c>
    </row>
    <row r="475" customFormat="false" ht="13.8" hidden="false" customHeight="false" outlineLevel="0" collapsed="false">
      <c r="A475" s="59" t="s">
        <v>225</v>
      </c>
      <c r="B475" s="85" t="s">
        <v>430</v>
      </c>
      <c r="C475" s="86" t="s">
        <v>434</v>
      </c>
      <c r="D475" s="87" t="s">
        <v>271</v>
      </c>
      <c r="E475" s="89" t="n">
        <v>-25</v>
      </c>
      <c r="F475" s="64" t="n">
        <f aca="false">IF(ISNUMBER(FIND("SALDO ANTERIOR",C475)),0,IF(ISNUMBER(FIND("SALDO DO DIA",C475)),0,IF(ISNUMBER(FIND("SALDO PARCIAL",C475)),0,IF(ISNUMBER(FIND("SDO CTA/APL AUTOMATICAS",C475)),0,IF(ISNUMBER(FIND("APL APLIC AUT MAIS",C475)),0,IF(ISNUMBER(FIND("TEC DEPOSITO",C475)),0,IF(E475&gt;0,0,E475*(-1))))))))</f>
        <v>25</v>
      </c>
      <c r="G475" s="65" t="n">
        <f aca="false">IF(ISNUMBER(FIND("SALDO ANTERIOR",C475)),0,IF(ISNUMBER(FIND("SALDO DO DIA",C475)),0,IF(ISNUMBER(FIND("SDO CTA/APL AUTOMATICAS",C475)),0,IF(ISNUMBER(FIND("TEC DEPOSITO",C475)),0,IF(ISNUMBER(FIND("APL APLIC AUT MAIS",C475)),E475,IF(E475&gt;0,E475,0))))))</f>
        <v>0</v>
      </c>
      <c r="H475" s="66" t="n">
        <v>43952</v>
      </c>
    </row>
    <row r="476" customFormat="false" ht="13.8" hidden="false" customHeight="false" outlineLevel="0" collapsed="false">
      <c r="A476" s="59" t="s">
        <v>65</v>
      </c>
      <c r="B476" s="85" t="s">
        <v>430</v>
      </c>
      <c r="C476" s="86" t="s">
        <v>435</v>
      </c>
      <c r="D476" s="87" t="s">
        <v>271</v>
      </c>
      <c r="E476" s="89" t="n">
        <v>-25</v>
      </c>
      <c r="F476" s="64" t="n">
        <f aca="false">IF(ISNUMBER(FIND("SALDO ANTERIOR",C476)),0,IF(ISNUMBER(FIND("SALDO DO DIA",C476)),0,IF(ISNUMBER(FIND("SALDO PARCIAL",C476)),0,IF(ISNUMBER(FIND("SDO CTA/APL AUTOMATICAS",C476)),0,IF(ISNUMBER(FIND("APL APLIC AUT MAIS",C476)),0,IF(ISNUMBER(FIND("TEC DEPOSITO",C476)),0,IF(E476&gt;0,0,E476*(-1))))))))</f>
        <v>25</v>
      </c>
      <c r="G476" s="65" t="n">
        <f aca="false">IF(ISNUMBER(FIND("SALDO ANTERIOR",C476)),0,IF(ISNUMBER(FIND("SALDO DO DIA",C476)),0,IF(ISNUMBER(FIND("SDO CTA/APL AUTOMATICAS",C476)),0,IF(ISNUMBER(FIND("TEC DEPOSITO",C476)),0,IF(ISNUMBER(FIND("APL APLIC AUT MAIS",C476)),E476,IF(E476&gt;0,E476,0))))))</f>
        <v>0</v>
      </c>
      <c r="H476" s="66" t="n">
        <v>43952</v>
      </c>
    </row>
    <row r="477" customFormat="false" ht="13.8" hidden="false" customHeight="false" outlineLevel="0" collapsed="false">
      <c r="A477" s="59" t="s">
        <v>35</v>
      </c>
      <c r="B477" s="85" t="s">
        <v>430</v>
      </c>
      <c r="C477" s="86" t="s">
        <v>168</v>
      </c>
      <c r="D477" s="87" t="s">
        <v>61</v>
      </c>
      <c r="E477" s="89" t="n">
        <v>-5000</v>
      </c>
      <c r="F477" s="64" t="n">
        <f aca="false">IF(ISNUMBER(FIND("SALDO ANTERIOR",C477)),0,IF(ISNUMBER(FIND("SALDO DO DIA",C477)),0,IF(ISNUMBER(FIND("SALDO PARCIAL",C477)),0,IF(ISNUMBER(FIND("SDO CTA/APL AUTOMATICAS",C477)),0,IF(ISNUMBER(FIND("APL APLIC AUT MAIS",C477)),0,IF(ISNUMBER(FIND("TEC DEPOSITO",C477)),0,IF(E477&gt;0,0,E477*(-1))))))))</f>
        <v>5000</v>
      </c>
      <c r="G477" s="65" t="n">
        <f aca="false">IF(ISNUMBER(FIND("SALDO ANTERIOR",C477)),0,IF(ISNUMBER(FIND("SALDO DO DIA",C477)),0,IF(ISNUMBER(FIND("SDO CTA/APL AUTOMATICAS",C477)),0,IF(ISNUMBER(FIND("TEC DEPOSITO",C477)),0,IF(ISNUMBER(FIND("APL APLIC AUT MAIS",C477)),E477,IF(E477&gt;0,E477,0))))))</f>
        <v>0</v>
      </c>
      <c r="H477" s="66" t="n">
        <v>43952</v>
      </c>
    </row>
    <row r="478" customFormat="false" ht="13.8" hidden="false" customHeight="false" outlineLevel="0" collapsed="false">
      <c r="A478" s="59" t="s">
        <v>67</v>
      </c>
      <c r="B478" s="85" t="s">
        <v>430</v>
      </c>
      <c r="C478" s="86" t="s">
        <v>69</v>
      </c>
      <c r="D478" s="87"/>
      <c r="E478" s="88" t="n">
        <v>5180.71</v>
      </c>
      <c r="F478" s="64" t="n">
        <f aca="false">IF(ISNUMBER(FIND("SALDO ANTERIOR",C478)),0,IF(ISNUMBER(FIND("SALDO DO DIA",C478)),0,IF(ISNUMBER(FIND("SALDO PARCIAL",C478)),0,IF(ISNUMBER(FIND("SDO CTA/APL AUTOMATICAS",C478)),0,IF(ISNUMBER(FIND("APL APLIC AUT MAIS",C478)),0,IF(ISNUMBER(FIND("TEC DEPOSITO",C478)),0,IF(E478&gt;0,0,E478*(-1))))))))</f>
        <v>0</v>
      </c>
      <c r="G478" s="65" t="n">
        <f aca="false">IF(ISNUMBER(FIND("SALDO ANTERIOR",C478)),0,IF(ISNUMBER(FIND("SALDO DO DIA",C478)),0,IF(ISNUMBER(FIND("SDO CTA/APL AUTOMATICAS",C478)),0,IF(ISNUMBER(FIND("TEC DEPOSITO",C478)),0,IF(ISNUMBER(FIND("APL APLIC AUT MAIS",C478)),E478,IF(E478&gt;0,E478,0))))))</f>
        <v>5180.71</v>
      </c>
      <c r="H478" s="66" t="n">
        <v>43952</v>
      </c>
    </row>
    <row r="479" customFormat="false" ht="13.8" hidden="false" customHeight="false" outlineLevel="0" collapsed="false">
      <c r="A479" s="59" t="s">
        <v>29</v>
      </c>
      <c r="B479" s="85" t="s">
        <v>430</v>
      </c>
      <c r="C479" s="86" t="s">
        <v>277</v>
      </c>
      <c r="D479" s="87"/>
      <c r="E479" s="88" t="n">
        <v>0.01</v>
      </c>
      <c r="F479" s="64" t="n">
        <f aca="false">IF(ISNUMBER(FIND("SALDO ANTERIOR",C479)),0,IF(ISNUMBER(FIND("SALDO DO DIA",C479)),0,IF(ISNUMBER(FIND("SALDO PARCIAL",C479)),0,IF(ISNUMBER(FIND("SDO CTA/APL AUTOMATICAS",C479)),0,IF(ISNUMBER(FIND("APL APLIC AUT MAIS",C479)),0,IF(ISNUMBER(FIND("TEC DEPOSITO",C479)),0,IF(E479&gt;0,0,E479*(-1))))))))</f>
        <v>0</v>
      </c>
      <c r="G479" s="65" t="n">
        <f aca="false">IF(ISNUMBER(FIND("SALDO ANTERIOR",C479)),0,IF(ISNUMBER(FIND("SALDO DO DIA",C479)),0,IF(ISNUMBER(FIND("SDO CTA/APL AUTOMATICAS",C479)),0,IF(ISNUMBER(FIND("TEC DEPOSITO",C479)),0,IF(ISNUMBER(FIND("APL APLIC AUT MAIS",C479)),E479,IF(E479&gt;0,E479,0))))))</f>
        <v>0.01</v>
      </c>
      <c r="H479" s="66" t="n">
        <v>43952</v>
      </c>
    </row>
    <row r="480" customFormat="false" ht="13.8" hidden="false" customHeight="false" outlineLevel="0" collapsed="false">
      <c r="A480" s="59" t="s">
        <v>29</v>
      </c>
      <c r="B480" s="85" t="s">
        <v>430</v>
      </c>
      <c r="C480" s="86" t="s">
        <v>70</v>
      </c>
      <c r="D480" s="87"/>
      <c r="E480" s="88" t="n">
        <v>3056.79</v>
      </c>
      <c r="F480" s="64" t="n">
        <f aca="false">IF(ISNUMBER(FIND("SALDO ANTERIOR",C480)),0,IF(ISNUMBER(FIND("SALDO DO DIA",C480)),0,IF(ISNUMBER(FIND("SALDO PARCIAL",C480)),0,IF(ISNUMBER(FIND("SDO CTA/APL AUTOMATICAS",C480)),0,IF(ISNUMBER(FIND("APL APLIC AUT MAIS",C480)),0,IF(ISNUMBER(FIND("TEC DEPOSITO",C480)),0,IF(E480&gt;0,0,E480*(-1))))))))</f>
        <v>0</v>
      </c>
      <c r="G480" s="65" t="n">
        <f aca="false">IF(ISNUMBER(FIND("SALDO ANTERIOR",C480)),0,IF(ISNUMBER(FIND("SALDO DO DIA",C480)),0,IF(ISNUMBER(FIND("SDO CTA/APL AUTOMATICAS",C480)),0,IF(ISNUMBER(FIND("TEC DEPOSITO",C480)),0,IF(ISNUMBER(FIND("APL APLIC AUT MAIS",C480)),E480,IF(E480&gt;0,E480,0))))))</f>
        <v>3056.79</v>
      </c>
      <c r="H480" s="66" t="n">
        <v>43952</v>
      </c>
    </row>
    <row r="481" customFormat="false" ht="13.8" hidden="false" customHeight="false" outlineLevel="0" collapsed="false">
      <c r="A481" s="59" t="s">
        <v>119</v>
      </c>
      <c r="B481" s="85" t="s">
        <v>436</v>
      </c>
      <c r="C481" s="86" t="s">
        <v>437</v>
      </c>
      <c r="D481" s="87" t="s">
        <v>61</v>
      </c>
      <c r="E481" s="89" t="n">
        <v>-700</v>
      </c>
      <c r="F481" s="64" t="n">
        <f aca="false">IF(ISNUMBER(FIND("SALDO ANTERIOR",C481)),0,IF(ISNUMBER(FIND("SALDO DO DIA",C481)),0,IF(ISNUMBER(FIND("SALDO PARCIAL",C481)),0,IF(ISNUMBER(FIND("SDO CTA/APL AUTOMATICAS",C481)),0,IF(ISNUMBER(FIND("APL APLIC AUT MAIS",C481)),0,IF(ISNUMBER(FIND("TEC DEPOSITO",C481)),0,IF(E481&gt;0,0,E481*(-1))))))))</f>
        <v>700</v>
      </c>
      <c r="G481" s="65" t="n">
        <f aca="false">IF(ISNUMBER(FIND("SALDO ANTERIOR",C481)),0,IF(ISNUMBER(FIND("SALDO DO DIA",C481)),0,IF(ISNUMBER(FIND("SDO CTA/APL AUTOMATICAS",C481)),0,IF(ISNUMBER(FIND("TEC DEPOSITO",C481)),0,IF(ISNUMBER(FIND("APL APLIC AUT MAIS",C481)),E481,IF(E481&gt;0,E481,0))))))</f>
        <v>0</v>
      </c>
      <c r="H481" s="66" t="n">
        <v>43952</v>
      </c>
    </row>
    <row r="482" customFormat="false" ht="13.8" hidden="false" customHeight="false" outlineLevel="0" collapsed="false">
      <c r="A482" s="59" t="s">
        <v>67</v>
      </c>
      <c r="B482" s="85" t="s">
        <v>436</v>
      </c>
      <c r="C482" s="86" t="s">
        <v>438</v>
      </c>
      <c r="D482" s="87" t="s">
        <v>82</v>
      </c>
      <c r="E482" s="89" t="n">
        <v>-76.9</v>
      </c>
      <c r="F482" s="64" t="n">
        <f aca="false">IF(ISNUMBER(FIND("SALDO ANTERIOR",C482)),0,IF(ISNUMBER(FIND("SALDO DO DIA",C482)),0,IF(ISNUMBER(FIND("SALDO PARCIAL",C482)),0,IF(ISNUMBER(FIND("SDO CTA/APL AUTOMATICAS",C482)),0,IF(ISNUMBER(FIND("APL APLIC AUT MAIS",C482)),0,IF(ISNUMBER(FIND("TEC DEPOSITO",C482)),0,IF(E482&gt;0,0,E482*(-1))))))))</f>
        <v>76.9</v>
      </c>
      <c r="G482" s="65" t="n">
        <f aca="false">IF(ISNUMBER(FIND("SALDO ANTERIOR",C482)),0,IF(ISNUMBER(FIND("SALDO DO DIA",C482)),0,IF(ISNUMBER(FIND("SDO CTA/APL AUTOMATICAS",C482)),0,IF(ISNUMBER(FIND("TEC DEPOSITO",C482)),0,IF(ISNUMBER(FIND("APL APLIC AUT MAIS",C482)),E482,IF(E482&gt;0,E482,0))))))</f>
        <v>0</v>
      </c>
      <c r="H482" s="66" t="n">
        <v>43952</v>
      </c>
    </row>
    <row r="483" customFormat="false" ht="13.8" hidden="false" customHeight="false" outlineLevel="0" collapsed="false">
      <c r="A483" s="59" t="s">
        <v>67</v>
      </c>
      <c r="B483" s="85" t="s">
        <v>436</v>
      </c>
      <c r="C483" s="86" t="s">
        <v>69</v>
      </c>
      <c r="D483" s="87"/>
      <c r="E483" s="88" t="n">
        <v>776.9</v>
      </c>
      <c r="F483" s="64" t="n">
        <f aca="false">IF(ISNUMBER(FIND("SALDO ANTERIOR",C483)),0,IF(ISNUMBER(FIND("SALDO DO DIA",C483)),0,IF(ISNUMBER(FIND("SALDO PARCIAL",C483)),0,IF(ISNUMBER(FIND("SDO CTA/APL AUTOMATICAS",C483)),0,IF(ISNUMBER(FIND("APL APLIC AUT MAIS",C483)),0,IF(ISNUMBER(FIND("TEC DEPOSITO",C483)),0,IF(E483&gt;0,0,E483*(-1))))))))</f>
        <v>0</v>
      </c>
      <c r="G483" s="65" t="n">
        <f aca="false">IF(ISNUMBER(FIND("SALDO ANTERIOR",C483)),0,IF(ISNUMBER(FIND("SALDO DO DIA",C483)),0,IF(ISNUMBER(FIND("SDO CTA/APL AUTOMATICAS",C483)),0,IF(ISNUMBER(FIND("TEC DEPOSITO",C483)),0,IF(ISNUMBER(FIND("APL APLIC AUT MAIS",C483)),E483,IF(E483&gt;0,E483,0))))))</f>
        <v>776.9</v>
      </c>
      <c r="H483" s="66" t="n">
        <v>43952</v>
      </c>
    </row>
    <row r="484" customFormat="false" ht="13.8" hidden="false" customHeight="false" outlineLevel="0" collapsed="false">
      <c r="A484" s="59" t="s">
        <v>29</v>
      </c>
      <c r="B484" s="85" t="s">
        <v>436</v>
      </c>
      <c r="C484" s="86" t="s">
        <v>70</v>
      </c>
      <c r="D484" s="87"/>
      <c r="E484" s="88" t="n">
        <v>2279.89</v>
      </c>
      <c r="F484" s="64" t="n">
        <f aca="false">IF(ISNUMBER(FIND("SALDO ANTERIOR",C484)),0,IF(ISNUMBER(FIND("SALDO DO DIA",C484)),0,IF(ISNUMBER(FIND("SALDO PARCIAL",C484)),0,IF(ISNUMBER(FIND("SDO CTA/APL AUTOMATICAS",C484)),0,IF(ISNUMBER(FIND("APL APLIC AUT MAIS",C484)),0,IF(ISNUMBER(FIND("TEC DEPOSITO",C484)),0,IF(E484&gt;0,0,E484*(-1))))))))</f>
        <v>0</v>
      </c>
      <c r="G484" s="65" t="n">
        <f aca="false">IF(ISNUMBER(FIND("SALDO ANTERIOR",C484)),0,IF(ISNUMBER(FIND("SALDO DO DIA",C484)),0,IF(ISNUMBER(FIND("SDO CTA/APL AUTOMATICAS",C484)),0,IF(ISNUMBER(FIND("TEC DEPOSITO",C484)),0,IF(ISNUMBER(FIND("APL APLIC AUT MAIS",C484)),E484,IF(E484&gt;0,E484,0))))))</f>
        <v>2279.89</v>
      </c>
      <c r="H484" s="66" t="n">
        <v>43952</v>
      </c>
    </row>
    <row r="485" customFormat="false" ht="13.8" hidden="false" customHeight="false" outlineLevel="0" collapsed="false">
      <c r="A485" s="59" t="s">
        <v>29</v>
      </c>
      <c r="B485" s="85" t="s">
        <v>439</v>
      </c>
      <c r="C485" s="86" t="s">
        <v>70</v>
      </c>
      <c r="D485" s="87"/>
      <c r="E485" s="88" t="n">
        <v>2279.89</v>
      </c>
      <c r="F485" s="64" t="n">
        <f aca="false">IF(ISNUMBER(FIND("SALDO ANTERIOR",C485)),0,IF(ISNUMBER(FIND("SALDO DO DIA",C485)),0,IF(ISNUMBER(FIND("SALDO PARCIAL",C485)),0,IF(ISNUMBER(FIND("SDO CTA/APL AUTOMATICAS",C485)),0,IF(ISNUMBER(FIND("APL APLIC AUT MAIS",C485)),0,IF(ISNUMBER(FIND("TEC DEPOSITO",C485)),0,IF(E485&gt;0,0,E485*(-1))))))))</f>
        <v>0</v>
      </c>
      <c r="G485" s="65" t="n">
        <f aca="false">IF(ISNUMBER(FIND("SALDO ANTERIOR",C485)),0,IF(ISNUMBER(FIND("SALDO DO DIA",C485)),0,IF(ISNUMBER(FIND("SDO CTA/APL AUTOMATICAS",C485)),0,IF(ISNUMBER(FIND("TEC DEPOSITO",C485)),0,IF(ISNUMBER(FIND("APL APLIC AUT MAIS",C485)),E485,IF(E485&gt;0,E485,0))))))</f>
        <v>2279.89</v>
      </c>
      <c r="H485" s="66" t="n">
        <v>43952</v>
      </c>
    </row>
    <row r="486" customFormat="false" ht="13.8" hidden="false" customHeight="false" outlineLevel="0" collapsed="false">
      <c r="A486" s="59" t="s">
        <v>203</v>
      </c>
      <c r="B486" s="85" t="s">
        <v>440</v>
      </c>
      <c r="C486" s="86" t="s">
        <v>441</v>
      </c>
      <c r="D486" s="87" t="s">
        <v>82</v>
      </c>
      <c r="E486" s="89" t="n">
        <v>-100</v>
      </c>
      <c r="F486" s="64" t="n">
        <f aca="false">IF(ISNUMBER(FIND("SALDO ANTERIOR",C486)),0,IF(ISNUMBER(FIND("SALDO DO DIA",C486)),0,IF(ISNUMBER(FIND("SALDO PARCIAL",C486)),0,IF(ISNUMBER(FIND("SDO CTA/APL AUTOMATICAS",C486)),0,IF(ISNUMBER(FIND("APL APLIC AUT MAIS",C486)),0,IF(ISNUMBER(FIND("TEC DEPOSITO",C486)),0,IF(E486&gt;0,0,E486*(-1))))))))</f>
        <v>100</v>
      </c>
      <c r="G486" s="65" t="n">
        <f aca="false">IF(ISNUMBER(FIND("SALDO ANTERIOR",C486)),0,IF(ISNUMBER(FIND("SALDO DO DIA",C486)),0,IF(ISNUMBER(FIND("SDO CTA/APL AUTOMATICAS",C486)),0,IF(ISNUMBER(FIND("TEC DEPOSITO",C486)),0,IF(ISNUMBER(FIND("APL APLIC AUT MAIS",C486)),E486,IF(E486&gt;0,E486,0))))))</f>
        <v>0</v>
      </c>
      <c r="H486" s="66" t="n">
        <v>43952</v>
      </c>
    </row>
    <row r="487" customFormat="false" ht="13.8" hidden="false" customHeight="false" outlineLevel="0" collapsed="false">
      <c r="A487" s="59" t="s">
        <v>67</v>
      </c>
      <c r="B487" s="85" t="s">
        <v>440</v>
      </c>
      <c r="C487" s="86" t="s">
        <v>69</v>
      </c>
      <c r="D487" s="87"/>
      <c r="E487" s="88" t="n">
        <v>100</v>
      </c>
      <c r="F487" s="64" t="n">
        <f aca="false">IF(ISNUMBER(FIND("SALDO ANTERIOR",C487)),0,IF(ISNUMBER(FIND("SALDO DO DIA",C487)),0,IF(ISNUMBER(FIND("SALDO PARCIAL",C487)),0,IF(ISNUMBER(FIND("SDO CTA/APL AUTOMATICAS",C487)),0,IF(ISNUMBER(FIND("APL APLIC AUT MAIS",C487)),0,IF(ISNUMBER(FIND("TEC DEPOSITO",C487)),0,IF(E487&gt;0,0,E487*(-1))))))))</f>
        <v>0</v>
      </c>
      <c r="G487" s="65" t="n">
        <f aca="false">IF(ISNUMBER(FIND("SALDO ANTERIOR",C487)),0,IF(ISNUMBER(FIND("SALDO DO DIA",C487)),0,IF(ISNUMBER(FIND("SDO CTA/APL AUTOMATICAS",C487)),0,IF(ISNUMBER(FIND("TEC DEPOSITO",C487)),0,IF(ISNUMBER(FIND("APL APLIC AUT MAIS",C487)),E487,IF(E487&gt;0,E487,0))))))</f>
        <v>100</v>
      </c>
      <c r="H487" s="66" t="n">
        <v>43952</v>
      </c>
    </row>
    <row r="488" customFormat="false" ht="13.8" hidden="false" customHeight="false" outlineLevel="0" collapsed="false">
      <c r="A488" s="59" t="s">
        <v>29</v>
      </c>
      <c r="B488" s="85" t="s">
        <v>440</v>
      </c>
      <c r="C488" s="86" t="s">
        <v>70</v>
      </c>
      <c r="D488" s="87"/>
      <c r="E488" s="88" t="n">
        <v>2179.89</v>
      </c>
      <c r="F488" s="64" t="n">
        <f aca="false">IF(ISNUMBER(FIND("SALDO ANTERIOR",C488)),0,IF(ISNUMBER(FIND("SALDO DO DIA",C488)),0,IF(ISNUMBER(FIND("SALDO PARCIAL",C488)),0,IF(ISNUMBER(FIND("SDO CTA/APL AUTOMATICAS",C488)),0,IF(ISNUMBER(FIND("APL APLIC AUT MAIS",C488)),0,IF(ISNUMBER(FIND("TEC DEPOSITO",C488)),0,IF(E488&gt;0,0,E488*(-1))))))))</f>
        <v>0</v>
      </c>
      <c r="G488" s="65" t="n">
        <f aca="false">IF(ISNUMBER(FIND("SALDO ANTERIOR",C488)),0,IF(ISNUMBER(FIND("SALDO DO DIA",C488)),0,IF(ISNUMBER(FIND("SDO CTA/APL AUTOMATICAS",C488)),0,IF(ISNUMBER(FIND("TEC DEPOSITO",C488)),0,IF(ISNUMBER(FIND("APL APLIC AUT MAIS",C488)),E488,IF(E488&gt;0,E488,0))))))</f>
        <v>2179.89</v>
      </c>
      <c r="H488" s="66" t="n">
        <v>43952</v>
      </c>
    </row>
    <row r="489" customFormat="false" ht="13.8" hidden="false" customHeight="false" outlineLevel="0" collapsed="false">
      <c r="A489" s="59" t="s">
        <v>98</v>
      </c>
      <c r="B489" s="85" t="s">
        <v>442</v>
      </c>
      <c r="C489" s="86" t="s">
        <v>99</v>
      </c>
      <c r="D489" s="87" t="s">
        <v>64</v>
      </c>
      <c r="E489" s="89" t="n">
        <v>-35.86</v>
      </c>
      <c r="F489" s="64" t="n">
        <f aca="false">IF(ISNUMBER(FIND("SALDO ANTERIOR",C489)),0,IF(ISNUMBER(FIND("SALDO DO DIA",C489)),0,IF(ISNUMBER(FIND("SALDO PARCIAL",C489)),0,IF(ISNUMBER(FIND("SDO CTA/APL AUTOMATICAS",C489)),0,IF(ISNUMBER(FIND("APL APLIC AUT MAIS",C489)),0,IF(ISNUMBER(FIND("TEC DEPOSITO",C489)),0,IF(E489&gt;0,0,E489*(-1))))))))</f>
        <v>35.86</v>
      </c>
      <c r="G489" s="65" t="n">
        <f aca="false">IF(ISNUMBER(FIND("SALDO ANTERIOR",C489)),0,IF(ISNUMBER(FIND("SALDO DO DIA",C489)),0,IF(ISNUMBER(FIND("SDO CTA/APL AUTOMATICAS",C489)),0,IF(ISNUMBER(FIND("TEC DEPOSITO",C489)),0,IF(ISNUMBER(FIND("APL APLIC AUT MAIS",C489)),E489,IF(E489&gt;0,E489,0))))))</f>
        <v>0</v>
      </c>
      <c r="H489" s="66" t="n">
        <v>43952</v>
      </c>
    </row>
    <row r="490" customFormat="false" ht="13.8" hidden="false" customHeight="false" outlineLevel="0" collapsed="false">
      <c r="A490" s="59" t="s">
        <v>67</v>
      </c>
      <c r="B490" s="85" t="s">
        <v>442</v>
      </c>
      <c r="C490" s="86" t="s">
        <v>69</v>
      </c>
      <c r="D490" s="87"/>
      <c r="E490" s="88" t="n">
        <v>35.86</v>
      </c>
      <c r="F490" s="64" t="n">
        <f aca="false">IF(ISNUMBER(FIND("SALDO ANTERIOR",C490)),0,IF(ISNUMBER(FIND("SALDO DO DIA",C490)),0,IF(ISNUMBER(FIND("SALDO PARCIAL",C490)),0,IF(ISNUMBER(FIND("SDO CTA/APL AUTOMATICAS",C490)),0,IF(ISNUMBER(FIND("APL APLIC AUT MAIS",C490)),0,IF(ISNUMBER(FIND("TEC DEPOSITO",C490)),0,IF(E490&gt;0,0,E490*(-1))))))))</f>
        <v>0</v>
      </c>
      <c r="G490" s="65" t="n">
        <f aca="false">IF(ISNUMBER(FIND("SALDO ANTERIOR",C490)),0,IF(ISNUMBER(FIND("SALDO DO DIA",C490)),0,IF(ISNUMBER(FIND("SDO CTA/APL AUTOMATICAS",C490)),0,IF(ISNUMBER(FIND("TEC DEPOSITO",C490)),0,IF(ISNUMBER(FIND("APL APLIC AUT MAIS",C490)),E490,IF(E490&gt;0,E490,0))))))</f>
        <v>35.86</v>
      </c>
      <c r="H490" s="66" t="n">
        <v>43952</v>
      </c>
    </row>
    <row r="491" customFormat="false" ht="13.8" hidden="false" customHeight="false" outlineLevel="0" collapsed="false">
      <c r="A491" s="59" t="s">
        <v>29</v>
      </c>
      <c r="B491" s="85" t="s">
        <v>442</v>
      </c>
      <c r="C491" s="86" t="s">
        <v>70</v>
      </c>
      <c r="D491" s="87"/>
      <c r="E491" s="88" t="n">
        <v>2144.03</v>
      </c>
      <c r="F491" s="64" t="n">
        <f aca="false">IF(ISNUMBER(FIND("SALDO ANTERIOR",C491)),0,IF(ISNUMBER(FIND("SALDO DO DIA",C491)),0,IF(ISNUMBER(FIND("SALDO PARCIAL",C491)),0,IF(ISNUMBER(FIND("SDO CTA/APL AUTOMATICAS",C491)),0,IF(ISNUMBER(FIND("APL APLIC AUT MAIS",C491)),0,IF(ISNUMBER(FIND("TEC DEPOSITO",C491)),0,IF(E491&gt;0,0,E491*(-1))))))))</f>
        <v>0</v>
      </c>
      <c r="G491" s="65" t="n">
        <f aca="false">IF(ISNUMBER(FIND("SALDO ANTERIOR",C491)),0,IF(ISNUMBER(FIND("SALDO DO DIA",C491)),0,IF(ISNUMBER(FIND("SDO CTA/APL AUTOMATICAS",C491)),0,IF(ISNUMBER(FIND("TEC DEPOSITO",C491)),0,IF(ISNUMBER(FIND("APL APLIC AUT MAIS",C491)),E491,IF(E491&gt;0,E491,0))))))</f>
        <v>2144.03</v>
      </c>
      <c r="H491" s="66" t="n">
        <v>43952</v>
      </c>
    </row>
    <row r="492" customFormat="false" ht="13.8" hidden="false" customHeight="false" outlineLevel="0" collapsed="false">
      <c r="A492" s="59" t="s">
        <v>76</v>
      </c>
      <c r="B492" s="85" t="s">
        <v>443</v>
      </c>
      <c r="C492" s="86" t="s">
        <v>102</v>
      </c>
      <c r="D492" s="87" t="s">
        <v>64</v>
      </c>
      <c r="E492" s="89" t="n">
        <v>-10</v>
      </c>
      <c r="F492" s="64" t="n">
        <f aca="false">IF(ISNUMBER(FIND("SALDO ANTERIOR",C492)),0,IF(ISNUMBER(FIND("SALDO DO DIA",C492)),0,IF(ISNUMBER(FIND("SALDO PARCIAL",C492)),0,IF(ISNUMBER(FIND("SDO CTA/APL AUTOMATICAS",C492)),0,IF(ISNUMBER(FIND("APL APLIC AUT MAIS",C492)),0,IF(ISNUMBER(FIND("TEC DEPOSITO",C492)),0,IF(E492&gt;0,0,E492*(-1))))))))</f>
        <v>10</v>
      </c>
      <c r="G492" s="65" t="n">
        <f aca="false">IF(ISNUMBER(FIND("SALDO ANTERIOR",C492)),0,IF(ISNUMBER(FIND("SALDO DO DIA",C492)),0,IF(ISNUMBER(FIND("SDO CTA/APL AUTOMATICAS",C492)),0,IF(ISNUMBER(FIND("TEC DEPOSITO",C492)),0,IF(ISNUMBER(FIND("APL APLIC AUT MAIS",C492)),E492,IF(E492&gt;0,E492,0))))))</f>
        <v>0</v>
      </c>
      <c r="H492" s="66" t="n">
        <v>43952</v>
      </c>
    </row>
    <row r="493" customFormat="false" ht="13.8" hidden="false" customHeight="false" outlineLevel="0" collapsed="false">
      <c r="A493" s="59" t="s">
        <v>65</v>
      </c>
      <c r="B493" s="85" t="s">
        <v>443</v>
      </c>
      <c r="C493" s="86" t="s">
        <v>444</v>
      </c>
      <c r="D493" s="87" t="s">
        <v>64</v>
      </c>
      <c r="E493" s="89" t="n">
        <v>-4</v>
      </c>
      <c r="F493" s="64" t="n">
        <f aca="false">IF(ISNUMBER(FIND("SALDO ANTERIOR",C493)),0,IF(ISNUMBER(FIND("SALDO DO DIA",C493)),0,IF(ISNUMBER(FIND("SALDO PARCIAL",C493)),0,IF(ISNUMBER(FIND("SDO CTA/APL AUTOMATICAS",C493)),0,IF(ISNUMBER(FIND("APL APLIC AUT MAIS",C493)),0,IF(ISNUMBER(FIND("TEC DEPOSITO",C493)),0,IF(E493&gt;0,0,E493*(-1))))))))</f>
        <v>4</v>
      </c>
      <c r="G493" s="65" t="n">
        <f aca="false">IF(ISNUMBER(FIND("SALDO ANTERIOR",C493)),0,IF(ISNUMBER(FIND("SALDO DO DIA",C493)),0,IF(ISNUMBER(FIND("SDO CTA/APL AUTOMATICAS",C493)),0,IF(ISNUMBER(FIND("TEC DEPOSITO",C493)),0,IF(ISNUMBER(FIND("APL APLIC AUT MAIS",C493)),E493,IF(E493&gt;0,E493,0))))))</f>
        <v>0</v>
      </c>
      <c r="H493" s="66" t="n">
        <v>43952</v>
      </c>
    </row>
    <row r="494" customFormat="false" ht="13.8" hidden="false" customHeight="false" outlineLevel="0" collapsed="false">
      <c r="A494" s="59" t="s">
        <v>71</v>
      </c>
      <c r="B494" s="85" t="s">
        <v>443</v>
      </c>
      <c r="C494" s="86" t="s">
        <v>85</v>
      </c>
      <c r="D494" s="87" t="s">
        <v>64</v>
      </c>
      <c r="E494" s="89" t="n">
        <v>-21.4</v>
      </c>
      <c r="F494" s="64" t="n">
        <f aca="false">IF(ISNUMBER(FIND("SALDO ANTERIOR",C494)),0,IF(ISNUMBER(FIND("SALDO DO DIA",C494)),0,IF(ISNUMBER(FIND("SALDO PARCIAL",C494)),0,IF(ISNUMBER(FIND("SDO CTA/APL AUTOMATICAS",C494)),0,IF(ISNUMBER(FIND("APL APLIC AUT MAIS",C494)),0,IF(ISNUMBER(FIND("TEC DEPOSITO",C494)),0,IF(E494&gt;0,0,E494*(-1))))))))</f>
        <v>21.4</v>
      </c>
      <c r="G494" s="65" t="n">
        <f aca="false">IF(ISNUMBER(FIND("SALDO ANTERIOR",C494)),0,IF(ISNUMBER(FIND("SALDO DO DIA",C494)),0,IF(ISNUMBER(FIND("SDO CTA/APL AUTOMATICAS",C494)),0,IF(ISNUMBER(FIND("TEC DEPOSITO",C494)),0,IF(ISNUMBER(FIND("APL APLIC AUT MAIS",C494)),E494,IF(E494&gt;0,E494,0))))))</f>
        <v>0</v>
      </c>
      <c r="H494" s="66" t="n">
        <v>43952</v>
      </c>
    </row>
    <row r="495" customFormat="false" ht="13.8" hidden="false" customHeight="false" outlineLevel="0" collapsed="false">
      <c r="A495" s="59" t="s">
        <v>71</v>
      </c>
      <c r="B495" s="85" t="s">
        <v>443</v>
      </c>
      <c r="C495" s="86" t="s">
        <v>85</v>
      </c>
      <c r="D495" s="87" t="s">
        <v>64</v>
      </c>
      <c r="E495" s="89" t="n">
        <v>-128.55</v>
      </c>
      <c r="F495" s="64" t="n">
        <f aca="false">IF(ISNUMBER(FIND("SALDO ANTERIOR",C495)),0,IF(ISNUMBER(FIND("SALDO DO DIA",C495)),0,IF(ISNUMBER(FIND("SALDO PARCIAL",C495)),0,IF(ISNUMBER(FIND("SDO CTA/APL AUTOMATICAS",C495)),0,IF(ISNUMBER(FIND("APL APLIC AUT MAIS",C495)),0,IF(ISNUMBER(FIND("TEC DEPOSITO",C495)),0,IF(E495&gt;0,0,E495*(-1))))))))</f>
        <v>128.55</v>
      </c>
      <c r="G495" s="65" t="n">
        <f aca="false">IF(ISNUMBER(FIND("SALDO ANTERIOR",C495)),0,IF(ISNUMBER(FIND("SALDO DO DIA",C495)),0,IF(ISNUMBER(FIND("SDO CTA/APL AUTOMATICAS",C495)),0,IF(ISNUMBER(FIND("TEC DEPOSITO",C495)),0,IF(ISNUMBER(FIND("APL APLIC AUT MAIS",C495)),E495,IF(E495&gt;0,E495,0))))))</f>
        <v>0</v>
      </c>
      <c r="H495" s="66" t="n">
        <v>43952</v>
      </c>
    </row>
    <row r="496" customFormat="false" ht="13.8" hidden="false" customHeight="false" outlineLevel="0" collapsed="false">
      <c r="A496" s="59" t="s">
        <v>65</v>
      </c>
      <c r="B496" s="85" t="s">
        <v>443</v>
      </c>
      <c r="C496" s="86" t="s">
        <v>258</v>
      </c>
      <c r="D496" s="87" t="s">
        <v>64</v>
      </c>
      <c r="E496" s="89" t="n">
        <v>-40</v>
      </c>
      <c r="F496" s="64" t="n">
        <f aca="false">IF(ISNUMBER(FIND("SALDO ANTERIOR",C496)),0,IF(ISNUMBER(FIND("SALDO DO DIA",C496)),0,IF(ISNUMBER(FIND("SALDO PARCIAL",C496)),0,IF(ISNUMBER(FIND("SDO CTA/APL AUTOMATICAS",C496)),0,IF(ISNUMBER(FIND("APL APLIC AUT MAIS",C496)),0,IF(ISNUMBER(FIND("TEC DEPOSITO",C496)),0,IF(E496&gt;0,0,E496*(-1))))))))</f>
        <v>40</v>
      </c>
      <c r="G496" s="65" t="n">
        <f aca="false">IF(ISNUMBER(FIND("SALDO ANTERIOR",C496)),0,IF(ISNUMBER(FIND("SALDO DO DIA",C496)),0,IF(ISNUMBER(FIND("SDO CTA/APL AUTOMATICAS",C496)),0,IF(ISNUMBER(FIND("TEC DEPOSITO",C496)),0,IF(ISNUMBER(FIND("APL APLIC AUT MAIS",C496)),E496,IF(E496&gt;0,E496,0))))))</f>
        <v>0</v>
      </c>
      <c r="H496" s="66" t="n">
        <v>43952</v>
      </c>
    </row>
    <row r="497" customFormat="false" ht="13.8" hidden="false" customHeight="false" outlineLevel="0" collapsed="false">
      <c r="A497" s="59" t="s">
        <v>65</v>
      </c>
      <c r="B497" s="85" t="s">
        <v>443</v>
      </c>
      <c r="C497" s="86" t="s">
        <v>445</v>
      </c>
      <c r="D497" s="87" t="s">
        <v>64</v>
      </c>
      <c r="E497" s="89" t="n">
        <v>-27.2</v>
      </c>
      <c r="F497" s="64" t="n">
        <f aca="false">IF(ISNUMBER(FIND("SALDO ANTERIOR",C497)),0,IF(ISNUMBER(FIND("SALDO DO DIA",C497)),0,IF(ISNUMBER(FIND("SALDO PARCIAL",C497)),0,IF(ISNUMBER(FIND("SDO CTA/APL AUTOMATICAS",C497)),0,IF(ISNUMBER(FIND("APL APLIC AUT MAIS",C497)),0,IF(ISNUMBER(FIND("TEC DEPOSITO",C497)),0,IF(E497&gt;0,0,E497*(-1))))))))</f>
        <v>27.2</v>
      </c>
      <c r="G497" s="65" t="n">
        <f aca="false">IF(ISNUMBER(FIND("SALDO ANTERIOR",C497)),0,IF(ISNUMBER(FIND("SALDO DO DIA",C497)),0,IF(ISNUMBER(FIND("SDO CTA/APL AUTOMATICAS",C497)),0,IF(ISNUMBER(FIND("TEC DEPOSITO",C497)),0,IF(ISNUMBER(FIND("APL APLIC AUT MAIS",C497)),E497,IF(E497&gt;0,E497,0))))))</f>
        <v>0</v>
      </c>
      <c r="H497" s="66" t="n">
        <v>43952</v>
      </c>
    </row>
    <row r="498" customFormat="false" ht="13.8" hidden="false" customHeight="false" outlineLevel="0" collapsed="false">
      <c r="A498" s="59" t="s">
        <v>65</v>
      </c>
      <c r="B498" s="85" t="s">
        <v>443</v>
      </c>
      <c r="C498" s="86" t="s">
        <v>188</v>
      </c>
      <c r="D498" s="87" t="s">
        <v>64</v>
      </c>
      <c r="E498" s="89" t="n">
        <v>-24</v>
      </c>
      <c r="F498" s="64" t="n">
        <f aca="false">IF(ISNUMBER(FIND("SALDO ANTERIOR",C498)),0,IF(ISNUMBER(FIND("SALDO DO DIA",C498)),0,IF(ISNUMBER(FIND("SALDO PARCIAL",C498)),0,IF(ISNUMBER(FIND("SDO CTA/APL AUTOMATICAS",C498)),0,IF(ISNUMBER(FIND("APL APLIC AUT MAIS",C498)),0,IF(ISNUMBER(FIND("TEC DEPOSITO",C498)),0,IF(E498&gt;0,0,E498*(-1))))))))</f>
        <v>24</v>
      </c>
      <c r="G498" s="65" t="n">
        <f aca="false">IF(ISNUMBER(FIND("SALDO ANTERIOR",C498)),0,IF(ISNUMBER(FIND("SALDO DO DIA",C498)),0,IF(ISNUMBER(FIND("SDO CTA/APL AUTOMATICAS",C498)),0,IF(ISNUMBER(FIND("TEC DEPOSITO",C498)),0,IF(ISNUMBER(FIND("APL APLIC AUT MAIS",C498)),E498,IF(E498&gt;0,E498,0))))))</f>
        <v>0</v>
      </c>
      <c r="H498" s="66" t="n">
        <v>43952</v>
      </c>
    </row>
    <row r="499" customFormat="false" ht="13.8" hidden="false" customHeight="false" outlineLevel="0" collapsed="false">
      <c r="A499" s="59" t="s">
        <v>76</v>
      </c>
      <c r="B499" s="85" t="s">
        <v>443</v>
      </c>
      <c r="C499" s="86" t="s">
        <v>446</v>
      </c>
      <c r="D499" s="87" t="s">
        <v>64</v>
      </c>
      <c r="E499" s="89" t="n">
        <v>-102.6</v>
      </c>
      <c r="F499" s="64" t="n">
        <f aca="false">IF(ISNUMBER(FIND("SALDO ANTERIOR",C499)),0,IF(ISNUMBER(FIND("SALDO DO DIA",C499)),0,IF(ISNUMBER(FIND("SALDO PARCIAL",C499)),0,IF(ISNUMBER(FIND("SDO CTA/APL AUTOMATICAS",C499)),0,IF(ISNUMBER(FIND("APL APLIC AUT MAIS",C499)),0,IF(ISNUMBER(FIND("TEC DEPOSITO",C499)),0,IF(E499&gt;0,0,E499*(-1))))))))</f>
        <v>102.6</v>
      </c>
      <c r="G499" s="65" t="n">
        <f aca="false">IF(ISNUMBER(FIND("SALDO ANTERIOR",C499)),0,IF(ISNUMBER(FIND("SALDO DO DIA",C499)),0,IF(ISNUMBER(FIND("SDO CTA/APL AUTOMATICAS",C499)),0,IF(ISNUMBER(FIND("TEC DEPOSITO",C499)),0,IF(ISNUMBER(FIND("APL APLIC AUT MAIS",C499)),E499,IF(E499&gt;0,E499,0))))))</f>
        <v>0</v>
      </c>
      <c r="H499" s="66" t="n">
        <v>43952</v>
      </c>
    </row>
    <row r="500" customFormat="false" ht="13.8" hidden="false" customHeight="false" outlineLevel="0" collapsed="false">
      <c r="A500" s="59" t="s">
        <v>98</v>
      </c>
      <c r="B500" s="85" t="s">
        <v>443</v>
      </c>
      <c r="C500" s="86" t="s">
        <v>180</v>
      </c>
      <c r="D500" s="87" t="s">
        <v>64</v>
      </c>
      <c r="E500" s="89" t="n">
        <v>-104.37</v>
      </c>
      <c r="F500" s="64" t="n">
        <f aca="false">IF(ISNUMBER(FIND("SALDO ANTERIOR",C500)),0,IF(ISNUMBER(FIND("SALDO DO DIA",C500)),0,IF(ISNUMBER(FIND("SALDO PARCIAL",C500)),0,IF(ISNUMBER(FIND("SDO CTA/APL AUTOMATICAS",C500)),0,IF(ISNUMBER(FIND("APL APLIC AUT MAIS",C500)),0,IF(ISNUMBER(FIND("TEC DEPOSITO",C500)),0,IF(E500&gt;0,0,E500*(-1))))))))</f>
        <v>104.37</v>
      </c>
      <c r="G500" s="65" t="n">
        <f aca="false">IF(ISNUMBER(FIND("SALDO ANTERIOR",C500)),0,IF(ISNUMBER(FIND("SALDO DO DIA",C500)),0,IF(ISNUMBER(FIND("SDO CTA/APL AUTOMATICAS",C500)),0,IF(ISNUMBER(FIND("TEC DEPOSITO",C500)),0,IF(ISNUMBER(FIND("APL APLIC AUT MAIS",C500)),E500,IF(E500&gt;0,E500,0))))))</f>
        <v>0</v>
      </c>
      <c r="H500" s="66" t="n">
        <v>43952</v>
      </c>
    </row>
    <row r="501" customFormat="false" ht="13.8" hidden="false" customHeight="false" outlineLevel="0" collapsed="false">
      <c r="A501" s="59" t="s">
        <v>98</v>
      </c>
      <c r="B501" s="85" t="s">
        <v>443</v>
      </c>
      <c r="C501" s="86" t="s">
        <v>180</v>
      </c>
      <c r="D501" s="87" t="s">
        <v>64</v>
      </c>
      <c r="E501" s="89" t="n">
        <v>-135.18</v>
      </c>
      <c r="F501" s="64" t="n">
        <f aca="false">IF(ISNUMBER(FIND("SALDO ANTERIOR",C501)),0,IF(ISNUMBER(FIND("SALDO DO DIA",C501)),0,IF(ISNUMBER(FIND("SALDO PARCIAL",C501)),0,IF(ISNUMBER(FIND("SDO CTA/APL AUTOMATICAS",C501)),0,IF(ISNUMBER(FIND("APL APLIC AUT MAIS",C501)),0,IF(ISNUMBER(FIND("TEC DEPOSITO",C501)),0,IF(E501&gt;0,0,E501*(-1))))))))</f>
        <v>135.18</v>
      </c>
      <c r="G501" s="65" t="n">
        <f aca="false">IF(ISNUMBER(FIND("SALDO ANTERIOR",C501)),0,IF(ISNUMBER(FIND("SALDO DO DIA",C501)),0,IF(ISNUMBER(FIND("SDO CTA/APL AUTOMATICAS",C501)),0,IF(ISNUMBER(FIND("TEC DEPOSITO",C501)),0,IF(ISNUMBER(FIND("APL APLIC AUT MAIS",C501)),E501,IF(E501&gt;0,E501,0))))))</f>
        <v>0</v>
      </c>
      <c r="H501" s="66" t="n">
        <v>43952</v>
      </c>
    </row>
    <row r="502" customFormat="false" ht="13.8" hidden="false" customHeight="false" outlineLevel="0" collapsed="false">
      <c r="A502" s="59" t="s">
        <v>67</v>
      </c>
      <c r="B502" s="85" t="s">
        <v>443</v>
      </c>
      <c r="C502" s="86" t="s">
        <v>109</v>
      </c>
      <c r="D502" s="87" t="s">
        <v>82</v>
      </c>
      <c r="E502" s="89" t="n">
        <v>-6.61</v>
      </c>
      <c r="F502" s="64" t="n">
        <f aca="false">IF(ISNUMBER(FIND("SALDO ANTERIOR",C502)),0,IF(ISNUMBER(FIND("SALDO DO DIA",C502)),0,IF(ISNUMBER(FIND("SALDO PARCIAL",C502)),0,IF(ISNUMBER(FIND("SDO CTA/APL AUTOMATICAS",C502)),0,IF(ISNUMBER(FIND("APL APLIC AUT MAIS",C502)),0,IF(ISNUMBER(FIND("TEC DEPOSITO",C502)),0,IF(E502&gt;0,0,E502*(-1))))))))</f>
        <v>6.61</v>
      </c>
      <c r="G502" s="65" t="n">
        <f aca="false">IF(ISNUMBER(FIND("SALDO ANTERIOR",C502)),0,IF(ISNUMBER(FIND("SALDO DO DIA",C502)),0,IF(ISNUMBER(FIND("SDO CTA/APL AUTOMATICAS",C502)),0,IF(ISNUMBER(FIND("TEC DEPOSITO",C502)),0,IF(ISNUMBER(FIND("APL APLIC AUT MAIS",C502)),E502,IF(E502&gt;0,E502,0))))))</f>
        <v>0</v>
      </c>
      <c r="H502" s="66" t="n">
        <v>43952</v>
      </c>
    </row>
    <row r="503" customFormat="false" ht="13.8" hidden="false" customHeight="false" outlineLevel="0" collapsed="false">
      <c r="A503" s="59" t="s">
        <v>130</v>
      </c>
      <c r="B503" s="85" t="s">
        <v>443</v>
      </c>
      <c r="C503" s="86" t="s">
        <v>131</v>
      </c>
      <c r="D503" s="87" t="s">
        <v>82</v>
      </c>
      <c r="E503" s="89" t="n">
        <v>-75</v>
      </c>
      <c r="F503" s="64" t="n">
        <f aca="false">IF(ISNUMBER(FIND("SALDO ANTERIOR",C503)),0,IF(ISNUMBER(FIND("SALDO DO DIA",C503)),0,IF(ISNUMBER(FIND("SALDO PARCIAL",C503)),0,IF(ISNUMBER(FIND("SDO CTA/APL AUTOMATICAS",C503)),0,IF(ISNUMBER(FIND("APL APLIC AUT MAIS",C503)),0,IF(ISNUMBER(FIND("TEC DEPOSITO",C503)),0,IF(E503&gt;0,0,E503*(-1))))))))</f>
        <v>75</v>
      </c>
      <c r="G503" s="65" t="n">
        <f aca="false">IF(ISNUMBER(FIND("SALDO ANTERIOR",C503)),0,IF(ISNUMBER(FIND("SALDO DO DIA",C503)),0,IF(ISNUMBER(FIND("SDO CTA/APL AUTOMATICAS",C503)),0,IF(ISNUMBER(FIND("TEC DEPOSITO",C503)),0,IF(ISNUMBER(FIND("APL APLIC AUT MAIS",C503)),E503,IF(E503&gt;0,E503,0))))))</f>
        <v>0</v>
      </c>
      <c r="H503" s="66" t="n">
        <v>43952</v>
      </c>
    </row>
    <row r="504" customFormat="false" ht="13.8" hidden="false" customHeight="false" outlineLevel="0" collapsed="false">
      <c r="A504" s="59" t="s">
        <v>67</v>
      </c>
      <c r="B504" s="85" t="s">
        <v>443</v>
      </c>
      <c r="C504" s="86" t="s">
        <v>69</v>
      </c>
      <c r="D504" s="87"/>
      <c r="E504" s="88" t="n">
        <v>678.9</v>
      </c>
      <c r="F504" s="64" t="n">
        <f aca="false">IF(ISNUMBER(FIND("SALDO ANTERIOR",C504)),0,IF(ISNUMBER(FIND("SALDO DO DIA",C504)),0,IF(ISNUMBER(FIND("SALDO PARCIAL",C504)),0,IF(ISNUMBER(FIND("SDO CTA/APL AUTOMATICAS",C504)),0,IF(ISNUMBER(FIND("APL APLIC AUT MAIS",C504)),0,IF(ISNUMBER(FIND("TEC DEPOSITO",C504)),0,IF(E504&gt;0,0,E504*(-1))))))))</f>
        <v>0</v>
      </c>
      <c r="G504" s="65" t="n">
        <f aca="false">IF(ISNUMBER(FIND("SALDO ANTERIOR",C504)),0,IF(ISNUMBER(FIND("SALDO DO DIA",C504)),0,IF(ISNUMBER(FIND("SDO CTA/APL AUTOMATICAS",C504)),0,IF(ISNUMBER(FIND("TEC DEPOSITO",C504)),0,IF(ISNUMBER(FIND("APL APLIC AUT MAIS",C504)),E504,IF(E504&gt;0,E504,0))))))</f>
        <v>678.9</v>
      </c>
      <c r="H504" s="66" t="n">
        <v>43952</v>
      </c>
    </row>
    <row r="505" customFormat="false" ht="13.8" hidden="false" customHeight="false" outlineLevel="0" collapsed="false">
      <c r="A505" s="59" t="s">
        <v>29</v>
      </c>
      <c r="B505" s="85" t="s">
        <v>443</v>
      </c>
      <c r="C505" s="86" t="s">
        <v>277</v>
      </c>
      <c r="D505" s="87"/>
      <c r="E505" s="88" t="n">
        <v>0.01</v>
      </c>
      <c r="F505" s="64" t="n">
        <f aca="false">IF(ISNUMBER(FIND("SALDO ANTERIOR",C505)),0,IF(ISNUMBER(FIND("SALDO DO DIA",C505)),0,IF(ISNUMBER(FIND("SALDO PARCIAL",C505)),0,IF(ISNUMBER(FIND("SDO CTA/APL AUTOMATICAS",C505)),0,IF(ISNUMBER(FIND("APL APLIC AUT MAIS",C505)),0,IF(ISNUMBER(FIND("TEC DEPOSITO",C505)),0,IF(E505&gt;0,0,E505*(-1))))))))</f>
        <v>0</v>
      </c>
      <c r="G505" s="65" t="n">
        <f aca="false">IF(ISNUMBER(FIND("SALDO ANTERIOR",C505)),0,IF(ISNUMBER(FIND("SALDO DO DIA",C505)),0,IF(ISNUMBER(FIND("SDO CTA/APL AUTOMATICAS",C505)),0,IF(ISNUMBER(FIND("TEC DEPOSITO",C505)),0,IF(ISNUMBER(FIND("APL APLIC AUT MAIS",C505)),E505,IF(E505&gt;0,E505,0))))))</f>
        <v>0.01</v>
      </c>
      <c r="H505" s="66" t="n">
        <v>43952</v>
      </c>
    </row>
    <row r="506" customFormat="false" ht="13.8" hidden="false" customHeight="false" outlineLevel="0" collapsed="false">
      <c r="A506" s="59" t="s">
        <v>29</v>
      </c>
      <c r="B506" s="85" t="s">
        <v>443</v>
      </c>
      <c r="C506" s="86" t="s">
        <v>70</v>
      </c>
      <c r="D506" s="87"/>
      <c r="E506" s="88" t="n">
        <v>1465.13</v>
      </c>
      <c r="F506" s="64" t="n">
        <f aca="false">IF(ISNUMBER(FIND("SALDO ANTERIOR",C506)),0,IF(ISNUMBER(FIND("SALDO DO DIA",C506)),0,IF(ISNUMBER(FIND("SALDO PARCIAL",C506)),0,IF(ISNUMBER(FIND("SDO CTA/APL AUTOMATICAS",C506)),0,IF(ISNUMBER(FIND("APL APLIC AUT MAIS",C506)),0,IF(ISNUMBER(FIND("TEC DEPOSITO",C506)),0,IF(E506&gt;0,0,E506*(-1))))))))</f>
        <v>0</v>
      </c>
      <c r="G506" s="65" t="n">
        <f aca="false">IF(ISNUMBER(FIND("SALDO ANTERIOR",C506)),0,IF(ISNUMBER(FIND("SALDO DO DIA",C506)),0,IF(ISNUMBER(FIND("SDO CTA/APL AUTOMATICAS",C506)),0,IF(ISNUMBER(FIND("TEC DEPOSITO",C506)),0,IF(ISNUMBER(FIND("APL APLIC AUT MAIS",C506)),E506,IF(E506&gt;0,E506,0))))))</f>
        <v>1465.13</v>
      </c>
      <c r="H506" s="66" t="n">
        <v>43952</v>
      </c>
    </row>
    <row r="507" customFormat="false" ht="13.8" hidden="false" customHeight="false" outlineLevel="0" collapsed="false">
      <c r="A507" s="59" t="s">
        <v>225</v>
      </c>
      <c r="B507" s="85" t="s">
        <v>447</v>
      </c>
      <c r="C507" s="86" t="s">
        <v>240</v>
      </c>
      <c r="D507" s="87" t="s">
        <v>64</v>
      </c>
      <c r="E507" s="89" t="n">
        <v>-164.94</v>
      </c>
      <c r="F507" s="64" t="n">
        <f aca="false">IF(ISNUMBER(FIND("SALDO ANTERIOR",C507)),0,IF(ISNUMBER(FIND("SALDO DO DIA",C507)),0,IF(ISNUMBER(FIND("SALDO PARCIAL",C507)),0,IF(ISNUMBER(FIND("SDO CTA/APL AUTOMATICAS",C507)),0,IF(ISNUMBER(FIND("APL APLIC AUT MAIS",C507)),0,IF(ISNUMBER(FIND("TEC DEPOSITO",C507)),0,IF(E507&gt;0,0,E507*(-1))))))))</f>
        <v>164.94</v>
      </c>
      <c r="G507" s="65" t="n">
        <f aca="false">IF(ISNUMBER(FIND("SALDO ANTERIOR",C507)),0,IF(ISNUMBER(FIND("SALDO DO DIA",C507)),0,IF(ISNUMBER(FIND("SDO CTA/APL AUTOMATICAS",C507)),0,IF(ISNUMBER(FIND("TEC DEPOSITO",C507)),0,IF(ISNUMBER(FIND("APL APLIC AUT MAIS",C507)),E507,IF(E507&gt;0,E507,0))))))</f>
        <v>0</v>
      </c>
      <c r="H507" s="66" t="n">
        <v>43952</v>
      </c>
    </row>
    <row r="508" customFormat="false" ht="13.8" hidden="false" customHeight="false" outlineLevel="0" collapsed="false">
      <c r="A508" s="59" t="s">
        <v>67</v>
      </c>
      <c r="B508" s="85" t="s">
        <v>447</v>
      </c>
      <c r="C508" s="86" t="s">
        <v>69</v>
      </c>
      <c r="D508" s="87"/>
      <c r="E508" s="88" t="n">
        <v>164.94</v>
      </c>
      <c r="F508" s="64" t="n">
        <f aca="false">IF(ISNUMBER(FIND("SALDO ANTERIOR",C508)),0,IF(ISNUMBER(FIND("SALDO DO DIA",C508)),0,IF(ISNUMBER(FIND("SALDO PARCIAL",C508)),0,IF(ISNUMBER(FIND("SDO CTA/APL AUTOMATICAS",C508)),0,IF(ISNUMBER(FIND("APL APLIC AUT MAIS",C508)),0,IF(ISNUMBER(FIND("TEC DEPOSITO",C508)),0,IF(E508&gt;0,0,E508*(-1))))))))</f>
        <v>0</v>
      </c>
      <c r="G508" s="65" t="n">
        <f aca="false">IF(ISNUMBER(FIND("SALDO ANTERIOR",C508)),0,IF(ISNUMBER(FIND("SALDO DO DIA",C508)),0,IF(ISNUMBER(FIND("SDO CTA/APL AUTOMATICAS",C508)),0,IF(ISNUMBER(FIND("TEC DEPOSITO",C508)),0,IF(ISNUMBER(FIND("APL APLIC AUT MAIS",C508)),E508,IF(E508&gt;0,E508,0))))))</f>
        <v>164.94</v>
      </c>
      <c r="H508" s="66" t="n">
        <v>43952</v>
      </c>
    </row>
    <row r="509" customFormat="false" ht="13.8" hidden="false" customHeight="false" outlineLevel="0" collapsed="false">
      <c r="A509" s="59" t="s">
        <v>29</v>
      </c>
      <c r="B509" s="85" t="s">
        <v>447</v>
      </c>
      <c r="C509" s="86" t="s">
        <v>70</v>
      </c>
      <c r="D509" s="87"/>
      <c r="E509" s="88" t="n">
        <v>1300.19</v>
      </c>
      <c r="F509" s="64" t="n">
        <f aca="false">IF(ISNUMBER(FIND("SALDO ANTERIOR",C509)),0,IF(ISNUMBER(FIND("SALDO DO DIA",C509)),0,IF(ISNUMBER(FIND("SALDO PARCIAL",C509)),0,IF(ISNUMBER(FIND("SDO CTA/APL AUTOMATICAS",C509)),0,IF(ISNUMBER(FIND("APL APLIC AUT MAIS",C509)),0,IF(ISNUMBER(FIND("TEC DEPOSITO",C509)),0,IF(E509&gt;0,0,E509*(-1))))))))</f>
        <v>0</v>
      </c>
      <c r="G509" s="65" t="n">
        <f aca="false">IF(ISNUMBER(FIND("SALDO ANTERIOR",C509)),0,IF(ISNUMBER(FIND("SALDO DO DIA",C509)),0,IF(ISNUMBER(FIND("SDO CTA/APL AUTOMATICAS",C509)),0,IF(ISNUMBER(FIND("TEC DEPOSITO",C509)),0,IF(ISNUMBER(FIND("APL APLIC AUT MAIS",C509)),E509,IF(E509&gt;0,E509,0))))))</f>
        <v>1300.19</v>
      </c>
      <c r="H509" s="66" t="n">
        <v>43952</v>
      </c>
    </row>
    <row r="510" customFormat="false" ht="13.8" hidden="false" customHeight="false" outlineLevel="0" collapsed="false">
      <c r="A510" s="59" t="s">
        <v>203</v>
      </c>
      <c r="B510" s="85" t="s">
        <v>448</v>
      </c>
      <c r="C510" s="86" t="s">
        <v>449</v>
      </c>
      <c r="D510" s="87" t="s">
        <v>450</v>
      </c>
      <c r="E510" s="89" t="n">
        <v>-20</v>
      </c>
      <c r="F510" s="64" t="n">
        <f aca="false">IF(ISNUMBER(FIND("SALDO ANTERIOR",C510)),0,IF(ISNUMBER(FIND("SALDO DO DIA",C510)),0,IF(ISNUMBER(FIND("SALDO PARCIAL",C510)),0,IF(ISNUMBER(FIND("SDO CTA/APL AUTOMATICAS",C510)),0,IF(ISNUMBER(FIND("APL APLIC AUT MAIS",C510)),0,IF(ISNUMBER(FIND("TEC DEPOSITO",C510)),0,IF(E510&gt;0,0,E510*(-1))))))))</f>
        <v>20</v>
      </c>
      <c r="G510" s="65" t="n">
        <f aca="false">IF(ISNUMBER(FIND("SALDO ANTERIOR",C510)),0,IF(ISNUMBER(FIND("SALDO DO DIA",C510)),0,IF(ISNUMBER(FIND("SDO CTA/APL AUTOMATICAS",C510)),0,IF(ISNUMBER(FIND("TEC DEPOSITO",C510)),0,IF(ISNUMBER(FIND("APL APLIC AUT MAIS",C510)),E510,IF(E510&gt;0,E510,0))))))</f>
        <v>0</v>
      </c>
      <c r="H510" s="66" t="n">
        <v>43952</v>
      </c>
    </row>
    <row r="511" customFormat="false" ht="13.8" hidden="false" customHeight="false" outlineLevel="0" collapsed="false">
      <c r="A511" s="59" t="s">
        <v>98</v>
      </c>
      <c r="B511" s="85" t="s">
        <v>448</v>
      </c>
      <c r="C511" s="86" t="s">
        <v>180</v>
      </c>
      <c r="D511" s="87" t="s">
        <v>64</v>
      </c>
      <c r="E511" s="89" t="n">
        <v>-170.97</v>
      </c>
      <c r="F511" s="64" t="n">
        <f aca="false">IF(ISNUMBER(FIND("SALDO ANTERIOR",C511)),0,IF(ISNUMBER(FIND("SALDO DO DIA",C511)),0,IF(ISNUMBER(FIND("SALDO PARCIAL",C511)),0,IF(ISNUMBER(FIND("SDO CTA/APL AUTOMATICAS",C511)),0,IF(ISNUMBER(FIND("APL APLIC AUT MAIS",C511)),0,IF(ISNUMBER(FIND("TEC DEPOSITO",C511)),0,IF(E511&gt;0,0,E511*(-1))))))))</f>
        <v>170.97</v>
      </c>
      <c r="G511" s="65" t="n">
        <f aca="false">IF(ISNUMBER(FIND("SALDO ANTERIOR",C511)),0,IF(ISNUMBER(FIND("SALDO DO DIA",C511)),0,IF(ISNUMBER(FIND("SDO CTA/APL AUTOMATICAS",C511)),0,IF(ISNUMBER(FIND("TEC DEPOSITO",C511)),0,IF(ISNUMBER(FIND("APL APLIC AUT MAIS",C511)),E511,IF(E511&gt;0,E511,0))))))</f>
        <v>0</v>
      </c>
      <c r="H511" s="66" t="n">
        <v>43952</v>
      </c>
    </row>
    <row r="512" customFormat="false" ht="13.8" hidden="false" customHeight="false" outlineLevel="0" collapsed="false">
      <c r="A512" s="59" t="s">
        <v>67</v>
      </c>
      <c r="B512" s="85" t="s">
        <v>448</v>
      </c>
      <c r="C512" s="86" t="s">
        <v>69</v>
      </c>
      <c r="D512" s="87"/>
      <c r="E512" s="88" t="n">
        <v>190.97</v>
      </c>
      <c r="F512" s="64" t="n">
        <f aca="false">IF(ISNUMBER(FIND("SALDO ANTERIOR",C512)),0,IF(ISNUMBER(FIND("SALDO DO DIA",C512)),0,IF(ISNUMBER(FIND("SALDO PARCIAL",C512)),0,IF(ISNUMBER(FIND("SDO CTA/APL AUTOMATICAS",C512)),0,IF(ISNUMBER(FIND("APL APLIC AUT MAIS",C512)),0,IF(ISNUMBER(FIND("TEC DEPOSITO",C512)),0,IF(E512&gt;0,0,E512*(-1))))))))</f>
        <v>0</v>
      </c>
      <c r="G512" s="65" t="n">
        <f aca="false">IF(ISNUMBER(FIND("SALDO ANTERIOR",C512)),0,IF(ISNUMBER(FIND("SALDO DO DIA",C512)),0,IF(ISNUMBER(FIND("SDO CTA/APL AUTOMATICAS",C512)),0,IF(ISNUMBER(FIND("TEC DEPOSITO",C512)),0,IF(ISNUMBER(FIND("APL APLIC AUT MAIS",C512)),E512,IF(E512&gt;0,E512,0))))))</f>
        <v>190.97</v>
      </c>
      <c r="H512" s="66" t="n">
        <v>43952</v>
      </c>
    </row>
    <row r="513" customFormat="false" ht="13.8" hidden="false" customHeight="false" outlineLevel="0" collapsed="false">
      <c r="A513" s="59" t="s">
        <v>29</v>
      </c>
      <c r="B513" s="85" t="s">
        <v>448</v>
      </c>
      <c r="C513" s="86" t="s">
        <v>70</v>
      </c>
      <c r="D513" s="87"/>
      <c r="E513" s="88" t="n">
        <v>1109.22</v>
      </c>
      <c r="F513" s="64" t="n">
        <f aca="false">IF(ISNUMBER(FIND("SALDO ANTERIOR",C513)),0,IF(ISNUMBER(FIND("SALDO DO DIA",C513)),0,IF(ISNUMBER(FIND("SALDO PARCIAL",C513)),0,IF(ISNUMBER(FIND("SDO CTA/APL AUTOMATICAS",C513)),0,IF(ISNUMBER(FIND("APL APLIC AUT MAIS",C513)),0,IF(ISNUMBER(FIND("TEC DEPOSITO",C513)),0,IF(E513&gt;0,0,E513*(-1))))))))</f>
        <v>0</v>
      </c>
      <c r="G513" s="65" t="n">
        <f aca="false">IF(ISNUMBER(FIND("SALDO ANTERIOR",C513)),0,IF(ISNUMBER(FIND("SALDO DO DIA",C513)),0,IF(ISNUMBER(FIND("SDO CTA/APL AUTOMATICAS",C513)),0,IF(ISNUMBER(FIND("TEC DEPOSITO",C513)),0,IF(ISNUMBER(FIND("APL APLIC AUT MAIS",C513)),E513,IF(E513&gt;0,E513,0))))))</f>
        <v>1109.22</v>
      </c>
      <c r="H513" s="66" t="n">
        <v>43952</v>
      </c>
    </row>
    <row r="514" customFormat="false" ht="13.8" hidden="false" customHeight="false" outlineLevel="0" collapsed="false">
      <c r="A514" s="59" t="s">
        <v>176</v>
      </c>
      <c r="B514" s="85" t="s">
        <v>451</v>
      </c>
      <c r="C514" s="86" t="s">
        <v>452</v>
      </c>
      <c r="D514" s="87" t="s">
        <v>61</v>
      </c>
      <c r="E514" s="89" t="n">
        <v>-62.58</v>
      </c>
      <c r="F514" s="64" t="n">
        <f aca="false">IF(ISNUMBER(FIND("SALDO ANTERIOR",C514)),0,IF(ISNUMBER(FIND("SALDO DO DIA",C514)),0,IF(ISNUMBER(FIND("SALDO PARCIAL",C514)),0,IF(ISNUMBER(FIND("SDO CTA/APL AUTOMATICAS",C514)),0,IF(ISNUMBER(FIND("APL APLIC AUT MAIS",C514)),0,IF(ISNUMBER(FIND("TEC DEPOSITO",C514)),0,IF(E514&gt;0,0,E514*(-1))))))))</f>
        <v>62.58</v>
      </c>
      <c r="G514" s="65" t="n">
        <f aca="false">IF(ISNUMBER(FIND("SALDO ANTERIOR",C514)),0,IF(ISNUMBER(FIND("SALDO DO DIA",C514)),0,IF(ISNUMBER(FIND("SDO CTA/APL AUTOMATICAS",C514)),0,IF(ISNUMBER(FIND("TEC DEPOSITO",C514)),0,IF(ISNUMBER(FIND("APL APLIC AUT MAIS",C514)),E514,IF(E514&gt;0,E514,0))))))</f>
        <v>0</v>
      </c>
      <c r="H514" s="66" t="n">
        <v>43952</v>
      </c>
    </row>
    <row r="515" customFormat="false" ht="13.8" hidden="false" customHeight="false" outlineLevel="0" collapsed="false">
      <c r="A515" s="59" t="s">
        <v>176</v>
      </c>
      <c r="B515" s="85" t="s">
        <v>451</v>
      </c>
      <c r="C515" s="86" t="s">
        <v>453</v>
      </c>
      <c r="D515" s="87" t="s">
        <v>61</v>
      </c>
      <c r="E515" s="89" t="n">
        <v>-93.87</v>
      </c>
      <c r="F515" s="64" t="n">
        <f aca="false">IF(ISNUMBER(FIND("SALDO ANTERIOR",C515)),0,IF(ISNUMBER(FIND("SALDO DO DIA",C515)),0,IF(ISNUMBER(FIND("SALDO PARCIAL",C515)),0,IF(ISNUMBER(FIND("SDO CTA/APL AUTOMATICAS",C515)),0,IF(ISNUMBER(FIND("APL APLIC AUT MAIS",C515)),0,IF(ISNUMBER(FIND("TEC DEPOSITO",C515)),0,IF(E515&gt;0,0,E515*(-1))))))))</f>
        <v>93.87</v>
      </c>
      <c r="G515" s="65" t="n">
        <f aca="false">IF(ISNUMBER(FIND("SALDO ANTERIOR",C515)),0,IF(ISNUMBER(FIND("SALDO DO DIA",C515)),0,IF(ISNUMBER(FIND("SDO CTA/APL AUTOMATICAS",C515)),0,IF(ISNUMBER(FIND("TEC DEPOSITO",C515)),0,IF(ISNUMBER(FIND("APL APLIC AUT MAIS",C515)),E515,IF(E515&gt;0,E515,0))))))</f>
        <v>0</v>
      </c>
      <c r="H515" s="66" t="n">
        <v>43952</v>
      </c>
    </row>
    <row r="516" customFormat="false" ht="13.8" hidden="false" customHeight="false" outlineLevel="0" collapsed="false">
      <c r="A516" s="59" t="s">
        <v>65</v>
      </c>
      <c r="B516" s="85" t="s">
        <v>451</v>
      </c>
      <c r="C516" s="86" t="s">
        <v>454</v>
      </c>
      <c r="D516" s="87" t="s">
        <v>64</v>
      </c>
      <c r="E516" s="89" t="n">
        <v>-50.96</v>
      </c>
      <c r="F516" s="64" t="n">
        <f aca="false">IF(ISNUMBER(FIND("SALDO ANTERIOR",C516)),0,IF(ISNUMBER(FIND("SALDO DO DIA",C516)),0,IF(ISNUMBER(FIND("SALDO PARCIAL",C516)),0,IF(ISNUMBER(FIND("SDO CTA/APL AUTOMATICAS",C516)),0,IF(ISNUMBER(FIND("APL APLIC AUT MAIS",C516)),0,IF(ISNUMBER(FIND("TEC DEPOSITO",C516)),0,IF(E516&gt;0,0,E516*(-1))))))))</f>
        <v>50.96</v>
      </c>
      <c r="G516" s="65" t="n">
        <f aca="false">IF(ISNUMBER(FIND("SALDO ANTERIOR",C516)),0,IF(ISNUMBER(FIND("SALDO DO DIA",C516)),0,IF(ISNUMBER(FIND("SDO CTA/APL AUTOMATICAS",C516)),0,IF(ISNUMBER(FIND("TEC DEPOSITO",C516)),0,IF(ISNUMBER(FIND("APL APLIC AUT MAIS",C516)),E516,IF(E516&gt;0,E516,0))))))</f>
        <v>0</v>
      </c>
      <c r="H516" s="66" t="n">
        <v>43952</v>
      </c>
    </row>
    <row r="517" customFormat="false" ht="13.8" hidden="false" customHeight="false" outlineLevel="0" collapsed="false">
      <c r="A517" s="59" t="s">
        <v>98</v>
      </c>
      <c r="B517" s="85" t="s">
        <v>451</v>
      </c>
      <c r="C517" s="86" t="s">
        <v>180</v>
      </c>
      <c r="D517" s="87" t="s">
        <v>64</v>
      </c>
      <c r="E517" s="89" t="n">
        <v>-93.2</v>
      </c>
      <c r="F517" s="64" t="n">
        <f aca="false">IF(ISNUMBER(FIND("SALDO ANTERIOR",C517)),0,IF(ISNUMBER(FIND("SALDO DO DIA",C517)),0,IF(ISNUMBER(FIND("SALDO PARCIAL",C517)),0,IF(ISNUMBER(FIND("SDO CTA/APL AUTOMATICAS",C517)),0,IF(ISNUMBER(FIND("APL APLIC AUT MAIS",C517)),0,IF(ISNUMBER(FIND("TEC DEPOSITO",C517)),0,IF(E517&gt;0,0,E517*(-1))))))))</f>
        <v>93.2</v>
      </c>
      <c r="G517" s="65" t="n">
        <f aca="false">IF(ISNUMBER(FIND("SALDO ANTERIOR",C517)),0,IF(ISNUMBER(FIND("SALDO DO DIA",C517)),0,IF(ISNUMBER(FIND("SDO CTA/APL AUTOMATICAS",C517)),0,IF(ISNUMBER(FIND("TEC DEPOSITO",C517)),0,IF(ISNUMBER(FIND("APL APLIC AUT MAIS",C517)),E517,IF(E517&gt;0,E517,0))))))</f>
        <v>0</v>
      </c>
      <c r="H517" s="66" t="n">
        <v>43952</v>
      </c>
    </row>
    <row r="518" customFormat="false" ht="13.8" hidden="false" customHeight="false" outlineLevel="0" collapsed="false">
      <c r="A518" s="59" t="s">
        <v>176</v>
      </c>
      <c r="B518" s="85" t="s">
        <v>451</v>
      </c>
      <c r="C518" s="86" t="s">
        <v>455</v>
      </c>
      <c r="D518" s="87" t="s">
        <v>64</v>
      </c>
      <c r="E518" s="89" t="n">
        <v>-400</v>
      </c>
      <c r="F518" s="64" t="n">
        <f aca="false">IF(ISNUMBER(FIND("SALDO ANTERIOR",C518)),0,IF(ISNUMBER(FIND("SALDO DO DIA",C518)),0,IF(ISNUMBER(FIND("SALDO PARCIAL",C518)),0,IF(ISNUMBER(FIND("SDO CTA/APL AUTOMATICAS",C518)),0,IF(ISNUMBER(FIND("APL APLIC AUT MAIS",C518)),0,IF(ISNUMBER(FIND("TEC DEPOSITO",C518)),0,IF(E518&gt;0,0,E518*(-1))))))))</f>
        <v>400</v>
      </c>
      <c r="G518" s="65" t="n">
        <f aca="false">IF(ISNUMBER(FIND("SALDO ANTERIOR",C518)),0,IF(ISNUMBER(FIND("SALDO DO DIA",C518)),0,IF(ISNUMBER(FIND("SDO CTA/APL AUTOMATICAS",C518)),0,IF(ISNUMBER(FIND("TEC DEPOSITO",C518)),0,IF(ISNUMBER(FIND("APL APLIC AUT MAIS",C518)),E518,IF(E518&gt;0,E518,0))))))</f>
        <v>0</v>
      </c>
      <c r="H518" s="66" t="n">
        <v>43952</v>
      </c>
    </row>
    <row r="519" customFormat="false" ht="13.8" hidden="false" customHeight="false" outlineLevel="0" collapsed="false">
      <c r="A519" s="59" t="s">
        <v>67</v>
      </c>
      <c r="B519" s="85" t="s">
        <v>451</v>
      </c>
      <c r="C519" s="86" t="s">
        <v>69</v>
      </c>
      <c r="D519" s="87"/>
      <c r="E519" s="88" t="n">
        <v>700.6</v>
      </c>
      <c r="F519" s="64" t="n">
        <f aca="false">IF(ISNUMBER(FIND("SALDO ANTERIOR",C519)),0,IF(ISNUMBER(FIND("SALDO DO DIA",C519)),0,IF(ISNUMBER(FIND("SALDO PARCIAL",C519)),0,IF(ISNUMBER(FIND("SDO CTA/APL AUTOMATICAS",C519)),0,IF(ISNUMBER(FIND("APL APLIC AUT MAIS",C519)),0,IF(ISNUMBER(FIND("TEC DEPOSITO",C519)),0,IF(E519&gt;0,0,E519*(-1))))))))</f>
        <v>0</v>
      </c>
      <c r="G519" s="65" t="n">
        <f aca="false">IF(ISNUMBER(FIND("SALDO ANTERIOR",C519)),0,IF(ISNUMBER(FIND("SALDO DO DIA",C519)),0,IF(ISNUMBER(FIND("SDO CTA/APL AUTOMATICAS",C519)),0,IF(ISNUMBER(FIND("TEC DEPOSITO",C519)),0,IF(ISNUMBER(FIND("APL APLIC AUT MAIS",C519)),E519,IF(E519&gt;0,E519,0))))))</f>
        <v>700.6</v>
      </c>
      <c r="H519" s="66" t="n">
        <v>43952</v>
      </c>
    </row>
    <row r="520" customFormat="false" ht="13.8" hidden="false" customHeight="false" outlineLevel="0" collapsed="false">
      <c r="A520" s="59" t="s">
        <v>29</v>
      </c>
      <c r="B520" s="85" t="s">
        <v>451</v>
      </c>
      <c r="C520" s="86" t="s">
        <v>277</v>
      </c>
      <c r="D520" s="87"/>
      <c r="E520" s="88" t="n">
        <v>0.01</v>
      </c>
      <c r="F520" s="64" t="n">
        <f aca="false">IF(ISNUMBER(FIND("SALDO ANTERIOR",C520)),0,IF(ISNUMBER(FIND("SALDO DO DIA",C520)),0,IF(ISNUMBER(FIND("SALDO PARCIAL",C520)),0,IF(ISNUMBER(FIND("SDO CTA/APL AUTOMATICAS",C520)),0,IF(ISNUMBER(FIND("APL APLIC AUT MAIS",C520)),0,IF(ISNUMBER(FIND("TEC DEPOSITO",C520)),0,IF(E520&gt;0,0,E520*(-1))))))))</f>
        <v>0</v>
      </c>
      <c r="G520" s="65" t="n">
        <f aca="false">IF(ISNUMBER(FIND("SALDO ANTERIOR",C520)),0,IF(ISNUMBER(FIND("SALDO DO DIA",C520)),0,IF(ISNUMBER(FIND("SDO CTA/APL AUTOMATICAS",C520)),0,IF(ISNUMBER(FIND("TEC DEPOSITO",C520)),0,IF(ISNUMBER(FIND("APL APLIC AUT MAIS",C520)),E520,IF(E520&gt;0,E520,0))))))</f>
        <v>0.01</v>
      </c>
      <c r="H520" s="66" t="n">
        <v>43952</v>
      </c>
    </row>
    <row r="521" customFormat="false" ht="13.8" hidden="false" customHeight="false" outlineLevel="0" collapsed="false">
      <c r="A521" s="59" t="s">
        <v>29</v>
      </c>
      <c r="B521" s="85" t="s">
        <v>451</v>
      </c>
      <c r="C521" s="86" t="s">
        <v>70</v>
      </c>
      <c r="D521" s="87"/>
      <c r="E521" s="88" t="n">
        <v>408.62</v>
      </c>
      <c r="F521" s="64" t="n">
        <f aca="false">IF(ISNUMBER(FIND("SALDO ANTERIOR",C521)),0,IF(ISNUMBER(FIND("SALDO DO DIA",C521)),0,IF(ISNUMBER(FIND("SALDO PARCIAL",C521)),0,IF(ISNUMBER(FIND("SDO CTA/APL AUTOMATICAS",C521)),0,IF(ISNUMBER(FIND("APL APLIC AUT MAIS",C521)),0,IF(ISNUMBER(FIND("TEC DEPOSITO",C521)),0,IF(E521&gt;0,0,E521*(-1))))))))</f>
        <v>0</v>
      </c>
      <c r="G521" s="65" t="n">
        <f aca="false">IF(ISNUMBER(FIND("SALDO ANTERIOR",C521)),0,IF(ISNUMBER(FIND("SALDO DO DIA",C521)),0,IF(ISNUMBER(FIND("SDO CTA/APL AUTOMATICAS",C521)),0,IF(ISNUMBER(FIND("TEC DEPOSITO",C521)),0,IF(ISNUMBER(FIND("APL APLIC AUT MAIS",C521)),E521,IF(E521&gt;0,E521,0))))))</f>
        <v>408.62</v>
      </c>
      <c r="H521" s="66" t="n">
        <v>43952</v>
      </c>
    </row>
    <row r="522" customFormat="false" ht="13.8" hidden="false" customHeight="false" outlineLevel="0" collapsed="false">
      <c r="A522" s="59" t="s">
        <v>76</v>
      </c>
      <c r="B522" s="85" t="s">
        <v>456</v>
      </c>
      <c r="C522" s="86" t="s">
        <v>102</v>
      </c>
      <c r="D522" s="87" t="s">
        <v>64</v>
      </c>
      <c r="E522" s="89" t="n">
        <v>-10</v>
      </c>
      <c r="F522" s="64" t="n">
        <f aca="false">IF(ISNUMBER(FIND("SALDO ANTERIOR",C522)),0,IF(ISNUMBER(FIND("SALDO DO DIA",C522)),0,IF(ISNUMBER(FIND("SALDO PARCIAL",C522)),0,IF(ISNUMBER(FIND("SDO CTA/APL AUTOMATICAS",C522)),0,IF(ISNUMBER(FIND("APL APLIC AUT MAIS",C522)),0,IF(ISNUMBER(FIND("TEC DEPOSITO",C522)),0,IF(E522&gt;0,0,E522*(-1))))))))</f>
        <v>10</v>
      </c>
      <c r="G522" s="65" t="n">
        <f aca="false">IF(ISNUMBER(FIND("SALDO ANTERIOR",C522)),0,IF(ISNUMBER(FIND("SALDO DO DIA",C522)),0,IF(ISNUMBER(FIND("SDO CTA/APL AUTOMATICAS",C522)),0,IF(ISNUMBER(FIND("TEC DEPOSITO",C522)),0,IF(ISNUMBER(FIND("APL APLIC AUT MAIS",C522)),E522,IF(E522&gt;0,E522,0))))))</f>
        <v>0</v>
      </c>
      <c r="H522" s="66" t="n">
        <v>43952</v>
      </c>
    </row>
    <row r="523" customFormat="false" ht="13.8" hidden="false" customHeight="false" outlineLevel="0" collapsed="false">
      <c r="A523" s="59" t="s">
        <v>71</v>
      </c>
      <c r="B523" s="85" t="s">
        <v>456</v>
      </c>
      <c r="C523" s="86" t="s">
        <v>85</v>
      </c>
      <c r="D523" s="87" t="s">
        <v>64</v>
      </c>
      <c r="E523" s="89" t="n">
        <v>-34.36</v>
      </c>
      <c r="F523" s="64" t="n">
        <f aca="false">IF(ISNUMBER(FIND("SALDO ANTERIOR",C523)),0,IF(ISNUMBER(FIND("SALDO DO DIA",C523)),0,IF(ISNUMBER(FIND("SALDO PARCIAL",C523)),0,IF(ISNUMBER(FIND("SDO CTA/APL AUTOMATICAS",C523)),0,IF(ISNUMBER(FIND("APL APLIC AUT MAIS",C523)),0,IF(ISNUMBER(FIND("TEC DEPOSITO",C523)),0,IF(E523&gt;0,0,E523*(-1))))))))</f>
        <v>34.36</v>
      </c>
      <c r="G523" s="65" t="n">
        <f aca="false">IF(ISNUMBER(FIND("SALDO ANTERIOR",C523)),0,IF(ISNUMBER(FIND("SALDO DO DIA",C523)),0,IF(ISNUMBER(FIND("SDO CTA/APL AUTOMATICAS",C523)),0,IF(ISNUMBER(FIND("TEC DEPOSITO",C523)),0,IF(ISNUMBER(FIND("APL APLIC AUT MAIS",C523)),E523,IF(E523&gt;0,E523,0))))))</f>
        <v>0</v>
      </c>
      <c r="H523" s="66" t="n">
        <v>43952</v>
      </c>
    </row>
    <row r="524" customFormat="false" ht="13.8" hidden="false" customHeight="false" outlineLevel="0" collapsed="false">
      <c r="A524" s="59" t="s">
        <v>74</v>
      </c>
      <c r="B524" s="85" t="s">
        <v>456</v>
      </c>
      <c r="C524" s="86" t="s">
        <v>457</v>
      </c>
      <c r="D524" s="87" t="s">
        <v>64</v>
      </c>
      <c r="E524" s="89" t="n">
        <v>-37</v>
      </c>
      <c r="F524" s="64" t="n">
        <f aca="false">IF(ISNUMBER(FIND("SALDO ANTERIOR",C524)),0,IF(ISNUMBER(FIND("SALDO DO DIA",C524)),0,IF(ISNUMBER(FIND("SALDO PARCIAL",C524)),0,IF(ISNUMBER(FIND("SDO CTA/APL AUTOMATICAS",C524)),0,IF(ISNUMBER(FIND("APL APLIC AUT MAIS",C524)),0,IF(ISNUMBER(FIND("TEC DEPOSITO",C524)),0,IF(E524&gt;0,0,E524*(-1))))))))</f>
        <v>37</v>
      </c>
      <c r="G524" s="65" t="n">
        <f aca="false">IF(ISNUMBER(FIND("SALDO ANTERIOR",C524)),0,IF(ISNUMBER(FIND("SALDO DO DIA",C524)),0,IF(ISNUMBER(FIND("SDO CTA/APL AUTOMATICAS",C524)),0,IF(ISNUMBER(FIND("TEC DEPOSITO",C524)),0,IF(ISNUMBER(FIND("APL APLIC AUT MAIS",C524)),E524,IF(E524&gt;0,E524,0))))))</f>
        <v>0</v>
      </c>
      <c r="H524" s="66" t="n">
        <v>43952</v>
      </c>
    </row>
    <row r="525" customFormat="false" ht="13.8" hidden="false" customHeight="false" outlineLevel="0" collapsed="false">
      <c r="A525" s="59" t="s">
        <v>29</v>
      </c>
      <c r="B525" s="85" t="s">
        <v>456</v>
      </c>
      <c r="C525" s="86" t="s">
        <v>110</v>
      </c>
      <c r="D525" s="87"/>
      <c r="E525" s="89" t="n">
        <v>-71.36</v>
      </c>
      <c r="F525" s="64" t="n">
        <f aca="false">IF(ISNUMBER(FIND("SALDO ANTERIOR",C525)),0,IF(ISNUMBER(FIND("SALDO DO DIA",C525)),0,IF(ISNUMBER(FIND("SALDO PARCIAL",C525)),0,IF(ISNUMBER(FIND("SDO CTA/APL AUTOMATICAS",C525)),0,IF(ISNUMBER(FIND("APL APLIC AUT MAIS",C525)),0,IF(ISNUMBER(FIND("TEC DEPOSITO",C525)),0,IF(E525&gt;0,0,E525*(-1))))))))</f>
        <v>0</v>
      </c>
      <c r="G525" s="65" t="n">
        <f aca="false">IF(ISNUMBER(FIND("SALDO ANTERIOR",C525)),0,IF(ISNUMBER(FIND("SALDO DO DIA",C525)),0,IF(ISNUMBER(FIND("SDO CTA/APL AUTOMATICAS",C525)),0,IF(ISNUMBER(FIND("TEC DEPOSITO",C525)),0,IF(ISNUMBER(FIND("APL APLIC AUT MAIS",C525)),E525,IF(E525&gt;0,E525,0))))))</f>
        <v>0</v>
      </c>
      <c r="H525" s="66" t="n">
        <v>43952</v>
      </c>
    </row>
    <row r="526" customFormat="false" ht="15" hidden="false" customHeight="false" outlineLevel="0" collapsed="false">
      <c r="A526" s="59" t="s">
        <v>29</v>
      </c>
      <c r="B526" s="85" t="s">
        <v>456</v>
      </c>
      <c r="C526" s="90" t="s">
        <v>111</v>
      </c>
      <c r="D526" s="87"/>
      <c r="E526" s="92" t="n">
        <v>-71.36</v>
      </c>
      <c r="F526" s="64" t="n">
        <f aca="false">IF(ISNUMBER(FIND("SALDO ANTERIOR",C526)),0,IF(ISNUMBER(FIND("SALDO DO DIA",C526)),0,IF(ISNUMBER(FIND("SALDO PARCIAL",C526)),0,IF(ISNUMBER(FIND("SDO CTA/APL AUTOMATICAS",C526)),0,IF(ISNUMBER(FIND("APL APLIC AUT MAIS",C526)),0,IF(ISNUMBER(FIND("TEC DEPOSITO",C526)),0,IF(E526&gt;0,0,E526*(-1))))))))</f>
        <v>0</v>
      </c>
      <c r="G526" s="65" t="n">
        <f aca="false">IF(ISNUMBER(FIND("SALDO ANTERIOR",C526)),0,IF(ISNUMBER(FIND("SALDO DO DIA",C526)),0,IF(ISNUMBER(FIND("SDO CTA/APL AUTOMATICAS",C526)),0,IF(ISNUMBER(FIND("TEC DEPOSITO",C526)),0,IF(ISNUMBER(FIND("APL APLIC AUT MAIS",C526)),E526,IF(E526&gt;0,E526,0))))))</f>
        <v>0</v>
      </c>
      <c r="H526" s="66" t="n">
        <v>43952</v>
      </c>
    </row>
    <row r="527" customFormat="false" ht="13.8" hidden="false" customHeight="false" outlineLevel="0" collapsed="false">
      <c r="A527" s="59" t="s">
        <v>76</v>
      </c>
      <c r="B527" s="85" t="s">
        <v>456</v>
      </c>
      <c r="C527" s="86" t="s">
        <v>458</v>
      </c>
      <c r="D527" s="87" t="s">
        <v>64</v>
      </c>
      <c r="E527" s="89" t="n">
        <v>-47.7</v>
      </c>
      <c r="F527" s="64" t="n">
        <f aca="false">IF(ISNUMBER(FIND("SALDO ANTERIOR",C527)),0,IF(ISNUMBER(FIND("SALDO DO DIA",C527)),0,IF(ISNUMBER(FIND("SALDO PARCIAL",C527)),0,IF(ISNUMBER(FIND("SDO CTA/APL AUTOMATICAS",C527)),0,IF(ISNUMBER(FIND("APL APLIC AUT MAIS",C527)),0,IF(ISNUMBER(FIND("TEC DEPOSITO",C527)),0,IF(E527&gt;0,0,E527*(-1))))))))</f>
        <v>47.7</v>
      </c>
      <c r="G527" s="65" t="n">
        <f aca="false">IF(ISNUMBER(FIND("SALDO ANTERIOR",C527)),0,IF(ISNUMBER(FIND("SALDO DO DIA",C527)),0,IF(ISNUMBER(FIND("SDO CTA/APL AUTOMATICAS",C527)),0,IF(ISNUMBER(FIND("TEC DEPOSITO",C527)),0,IF(ISNUMBER(FIND("APL APLIC AUT MAIS",C527)),E527,IF(E527&gt;0,E527,0))))))</f>
        <v>0</v>
      </c>
      <c r="H527" s="66" t="n">
        <v>43952</v>
      </c>
    </row>
    <row r="528" customFormat="false" ht="13.8" hidden="false" customHeight="false" outlineLevel="0" collapsed="false">
      <c r="A528" s="59" t="s">
        <v>65</v>
      </c>
      <c r="B528" s="85" t="s">
        <v>456</v>
      </c>
      <c r="C528" s="86" t="s">
        <v>459</v>
      </c>
      <c r="D528" s="87" t="s">
        <v>64</v>
      </c>
      <c r="E528" s="89" t="n">
        <v>-8.75</v>
      </c>
      <c r="F528" s="64" t="n">
        <f aca="false">IF(ISNUMBER(FIND("SALDO ANTERIOR",C528)),0,IF(ISNUMBER(FIND("SALDO DO DIA",C528)),0,IF(ISNUMBER(FIND("SALDO PARCIAL",C528)),0,IF(ISNUMBER(FIND("SDO CTA/APL AUTOMATICAS",C528)),0,IF(ISNUMBER(FIND("APL APLIC AUT MAIS",C528)),0,IF(ISNUMBER(FIND("TEC DEPOSITO",C528)),0,IF(E528&gt;0,0,E528*(-1))))))))</f>
        <v>8.75</v>
      </c>
      <c r="G528" s="65" t="n">
        <f aca="false">IF(ISNUMBER(FIND("SALDO ANTERIOR",C528)),0,IF(ISNUMBER(FIND("SALDO DO DIA",C528)),0,IF(ISNUMBER(FIND("SDO CTA/APL AUTOMATICAS",C528)),0,IF(ISNUMBER(FIND("TEC DEPOSITO",C528)),0,IF(ISNUMBER(FIND("APL APLIC AUT MAIS",C528)),E528,IF(E528&gt;0,E528,0))))))</f>
        <v>0</v>
      </c>
      <c r="H528" s="66" t="n">
        <v>43952</v>
      </c>
    </row>
    <row r="529" customFormat="false" ht="13.8" hidden="false" customHeight="false" outlineLevel="0" collapsed="false">
      <c r="A529" s="59" t="s">
        <v>122</v>
      </c>
      <c r="B529" s="85" t="s">
        <v>456</v>
      </c>
      <c r="C529" s="86" t="s">
        <v>123</v>
      </c>
      <c r="D529" s="87" t="s">
        <v>61</v>
      </c>
      <c r="E529" s="89" t="n">
        <v>-3164.72</v>
      </c>
      <c r="F529" s="64" t="n">
        <f aca="false">IF(ISNUMBER(FIND("SALDO ANTERIOR",C529)),0,IF(ISNUMBER(FIND("SALDO DO DIA",C529)),0,IF(ISNUMBER(FIND("SALDO PARCIAL",C529)),0,IF(ISNUMBER(FIND("SDO CTA/APL AUTOMATICAS",C529)),0,IF(ISNUMBER(FIND("APL APLIC AUT MAIS",C529)),0,IF(ISNUMBER(FIND("TEC DEPOSITO",C529)),0,IF(E529&gt;0,0,E529*(-1))))))))</f>
        <v>3164.72</v>
      </c>
      <c r="G529" s="65" t="n">
        <f aca="false">IF(ISNUMBER(FIND("SALDO ANTERIOR",C529)),0,IF(ISNUMBER(FIND("SALDO DO DIA",C529)),0,IF(ISNUMBER(FIND("SDO CTA/APL AUTOMATICAS",C529)),0,IF(ISNUMBER(FIND("TEC DEPOSITO",C529)),0,IF(ISNUMBER(FIND("APL APLIC AUT MAIS",C529)),E529,IF(E529&gt;0,E529,0))))))</f>
        <v>0</v>
      </c>
      <c r="H529" s="66" t="n">
        <v>43952</v>
      </c>
    </row>
    <row r="530" customFormat="false" ht="13.8" hidden="false" customHeight="false" outlineLevel="0" collapsed="false">
      <c r="A530" s="59" t="s">
        <v>127</v>
      </c>
      <c r="B530" s="85" t="s">
        <v>456</v>
      </c>
      <c r="C530" s="86" t="s">
        <v>128</v>
      </c>
      <c r="D530" s="87"/>
      <c r="E530" s="88" t="n">
        <v>4390</v>
      </c>
      <c r="F530" s="64" t="n">
        <f aca="false">IF(ISNUMBER(FIND("SALDO ANTERIOR",C530)),0,IF(ISNUMBER(FIND("SALDO DO DIA",C530)),0,IF(ISNUMBER(FIND("SALDO PARCIAL",C530)),0,IF(ISNUMBER(FIND("SDO CTA/APL AUTOMATICAS",C530)),0,IF(ISNUMBER(FIND("APL APLIC AUT MAIS",C530)),0,IF(ISNUMBER(FIND("TEC DEPOSITO",C530)),0,IF(E530&gt;0,0,E530*(-1))))))))</f>
        <v>0</v>
      </c>
      <c r="G530" s="65" t="n">
        <f aca="false">IF(ISNUMBER(FIND("SALDO ANTERIOR",C530)),0,IF(ISNUMBER(FIND("SALDO DO DIA",C530)),0,IF(ISNUMBER(FIND("SDO CTA/APL AUTOMATICAS",C530)),0,IF(ISNUMBER(FIND("TEC DEPOSITO",C530)),0,IF(ISNUMBER(FIND("APL APLIC AUT MAIS",C530)),E530,IF(E530&gt;0,E530,0))))))</f>
        <v>4390</v>
      </c>
      <c r="H530" s="66" t="n">
        <v>43952</v>
      </c>
    </row>
    <row r="531" customFormat="false" ht="13.8" hidden="false" customHeight="false" outlineLevel="0" collapsed="false">
      <c r="A531" s="59" t="s">
        <v>29</v>
      </c>
      <c r="B531" s="85" t="s">
        <v>456</v>
      </c>
      <c r="C531" s="86" t="s">
        <v>129</v>
      </c>
      <c r="D531" s="87"/>
      <c r="E531" s="89" t="n">
        <v>-1087.47</v>
      </c>
      <c r="F531" s="64" t="n">
        <f aca="false">IF(ISNUMBER(FIND("SALDO ANTERIOR",C531)),0,IF(ISNUMBER(FIND("SALDO DO DIA",C531)),0,IF(ISNUMBER(FIND("SALDO PARCIAL",C531)),0,IF(ISNUMBER(FIND("SDO CTA/APL AUTOMATICAS",C531)),0,IF(ISNUMBER(FIND("APL APLIC AUT MAIS",C531)),0,IF(ISNUMBER(FIND("TEC DEPOSITO",C531)),0,IF(E531&gt;0,0,E531*(-1))))))))</f>
        <v>0</v>
      </c>
      <c r="G531" s="65" t="n">
        <f aca="false">IF(ISNUMBER(FIND("SALDO ANTERIOR",C531)),0,IF(ISNUMBER(FIND("SALDO DO DIA",C531)),0,IF(ISNUMBER(FIND("SDO CTA/APL AUTOMATICAS",C531)),0,IF(ISNUMBER(FIND("TEC DEPOSITO",C531)),0,IF(ISNUMBER(FIND("APL APLIC AUT MAIS",C531)),E531,IF(E531&gt;0,E531,0))))))</f>
        <v>-1087.47</v>
      </c>
      <c r="H531" s="66" t="n">
        <v>43952</v>
      </c>
    </row>
    <row r="532" customFormat="false" ht="13.8" hidden="false" customHeight="false" outlineLevel="0" collapsed="false">
      <c r="A532" s="59" t="s">
        <v>29</v>
      </c>
      <c r="B532" s="85" t="s">
        <v>456</v>
      </c>
      <c r="C532" s="86" t="s">
        <v>70</v>
      </c>
      <c r="D532" s="87"/>
      <c r="E532" s="88" t="n">
        <v>1496.09</v>
      </c>
      <c r="F532" s="64" t="n">
        <f aca="false">IF(ISNUMBER(FIND("SALDO ANTERIOR",C532)),0,IF(ISNUMBER(FIND("SALDO DO DIA",C532)),0,IF(ISNUMBER(FIND("SALDO PARCIAL",C532)),0,IF(ISNUMBER(FIND("SDO CTA/APL AUTOMATICAS",C532)),0,IF(ISNUMBER(FIND("APL APLIC AUT MAIS",C532)),0,IF(ISNUMBER(FIND("TEC DEPOSITO",C532)),0,IF(E532&gt;0,0,E532*(-1))))))))</f>
        <v>0</v>
      </c>
      <c r="G532" s="65" t="n">
        <f aca="false">IF(ISNUMBER(FIND("SALDO ANTERIOR",C532)),0,IF(ISNUMBER(FIND("SALDO DO DIA",C532)),0,IF(ISNUMBER(FIND("SDO CTA/APL AUTOMATICAS",C532)),0,IF(ISNUMBER(FIND("TEC DEPOSITO",C532)),0,IF(ISNUMBER(FIND("APL APLIC AUT MAIS",C532)),E532,IF(E532&gt;0,E532,0))))))</f>
        <v>1496.09</v>
      </c>
      <c r="H532" s="66" t="n">
        <v>43952</v>
      </c>
    </row>
    <row r="533" customFormat="false" ht="13.8" hidden="false" customHeight="false" outlineLevel="0" collapsed="false">
      <c r="A533" s="59" t="s">
        <v>203</v>
      </c>
      <c r="B533" s="85" t="s">
        <v>460</v>
      </c>
      <c r="C533" s="86" t="s">
        <v>461</v>
      </c>
      <c r="D533" s="87" t="s">
        <v>239</v>
      </c>
      <c r="E533" s="89" t="n">
        <v>-100</v>
      </c>
      <c r="F533" s="64" t="n">
        <f aca="false">IF(ISNUMBER(FIND("SALDO ANTERIOR",C533)),0,IF(ISNUMBER(FIND("SALDO DO DIA",C533)),0,IF(ISNUMBER(FIND("SALDO PARCIAL",C533)),0,IF(ISNUMBER(FIND("SDO CTA/APL AUTOMATICAS",C533)),0,IF(ISNUMBER(FIND("APL APLIC AUT MAIS",C533)),0,IF(ISNUMBER(FIND("TEC DEPOSITO",C533)),0,IF(E533&gt;0,0,E533*(-1))))))))</f>
        <v>100</v>
      </c>
      <c r="G533" s="65" t="n">
        <f aca="false">IF(ISNUMBER(FIND("SALDO ANTERIOR",C533)),0,IF(ISNUMBER(FIND("SALDO DO DIA",C533)),0,IF(ISNUMBER(FIND("SDO CTA/APL AUTOMATICAS",C533)),0,IF(ISNUMBER(FIND("TEC DEPOSITO",C533)),0,IF(ISNUMBER(FIND("APL APLIC AUT MAIS",C533)),E533,IF(E533&gt;0,E533,0))))))</f>
        <v>0</v>
      </c>
      <c r="H533" s="66" t="n">
        <v>43952</v>
      </c>
    </row>
    <row r="534" customFormat="false" ht="13.8" hidden="false" customHeight="false" outlineLevel="0" collapsed="false">
      <c r="A534" s="59" t="s">
        <v>71</v>
      </c>
      <c r="B534" s="85" t="s">
        <v>460</v>
      </c>
      <c r="C534" s="86" t="s">
        <v>85</v>
      </c>
      <c r="D534" s="87" t="s">
        <v>64</v>
      </c>
      <c r="E534" s="89" t="n">
        <v>-38.15</v>
      </c>
      <c r="F534" s="64" t="n">
        <f aca="false">IF(ISNUMBER(FIND("SALDO ANTERIOR",C534)),0,IF(ISNUMBER(FIND("SALDO DO DIA",C534)),0,IF(ISNUMBER(FIND("SALDO PARCIAL",C534)),0,IF(ISNUMBER(FIND("SDO CTA/APL AUTOMATICAS",C534)),0,IF(ISNUMBER(FIND("APL APLIC AUT MAIS",C534)),0,IF(ISNUMBER(FIND("TEC DEPOSITO",C534)),0,IF(E534&gt;0,0,E534*(-1))))))))</f>
        <v>38.15</v>
      </c>
      <c r="G534" s="65" t="n">
        <f aca="false">IF(ISNUMBER(FIND("SALDO ANTERIOR",C534)),0,IF(ISNUMBER(FIND("SALDO DO DIA",C534)),0,IF(ISNUMBER(FIND("SDO CTA/APL AUTOMATICAS",C534)),0,IF(ISNUMBER(FIND("TEC DEPOSITO",C534)),0,IF(ISNUMBER(FIND("APL APLIC AUT MAIS",C534)),E534,IF(E534&gt;0,E534,0))))))</f>
        <v>0</v>
      </c>
      <c r="H534" s="66" t="n">
        <v>43952</v>
      </c>
    </row>
    <row r="535" customFormat="false" ht="13.8" hidden="false" customHeight="false" outlineLevel="0" collapsed="false">
      <c r="A535" s="59" t="s">
        <v>74</v>
      </c>
      <c r="B535" s="85" t="s">
        <v>460</v>
      </c>
      <c r="C535" s="86" t="s">
        <v>457</v>
      </c>
      <c r="D535" s="87" t="s">
        <v>64</v>
      </c>
      <c r="E535" s="89" t="n">
        <v>-21.49</v>
      </c>
      <c r="F535" s="64" t="n">
        <f aca="false">IF(ISNUMBER(FIND("SALDO ANTERIOR",C535)),0,IF(ISNUMBER(FIND("SALDO DO DIA",C535)),0,IF(ISNUMBER(FIND("SALDO PARCIAL",C535)),0,IF(ISNUMBER(FIND("SDO CTA/APL AUTOMATICAS",C535)),0,IF(ISNUMBER(FIND("APL APLIC AUT MAIS",C535)),0,IF(ISNUMBER(FIND("TEC DEPOSITO",C535)),0,IF(E535&gt;0,0,E535*(-1))))))))</f>
        <v>21.49</v>
      </c>
      <c r="G535" s="65" t="n">
        <f aca="false">IF(ISNUMBER(FIND("SALDO ANTERIOR",C535)),0,IF(ISNUMBER(FIND("SALDO DO DIA",C535)),0,IF(ISNUMBER(FIND("SDO CTA/APL AUTOMATICAS",C535)),0,IF(ISNUMBER(FIND("TEC DEPOSITO",C535)),0,IF(ISNUMBER(FIND("APL APLIC AUT MAIS",C535)),E535,IF(E535&gt;0,E535,0))))))</f>
        <v>0</v>
      </c>
      <c r="H535" s="66" t="n">
        <v>43952</v>
      </c>
    </row>
    <row r="536" customFormat="false" ht="13.8" hidden="false" customHeight="false" outlineLevel="0" collapsed="false">
      <c r="A536" s="59" t="s">
        <v>65</v>
      </c>
      <c r="B536" s="85" t="s">
        <v>460</v>
      </c>
      <c r="C536" s="86" t="s">
        <v>462</v>
      </c>
      <c r="D536" s="87" t="s">
        <v>64</v>
      </c>
      <c r="E536" s="89" t="n">
        <v>-10</v>
      </c>
      <c r="F536" s="64" t="n">
        <f aca="false">IF(ISNUMBER(FIND("SALDO ANTERIOR",C536)),0,IF(ISNUMBER(FIND("SALDO DO DIA",C536)),0,IF(ISNUMBER(FIND("SALDO PARCIAL",C536)),0,IF(ISNUMBER(FIND("SDO CTA/APL AUTOMATICAS",C536)),0,IF(ISNUMBER(FIND("APL APLIC AUT MAIS",C536)),0,IF(ISNUMBER(FIND("TEC DEPOSITO",C536)),0,IF(E536&gt;0,0,E536*(-1))))))))</f>
        <v>10</v>
      </c>
      <c r="G536" s="65" t="n">
        <f aca="false">IF(ISNUMBER(FIND("SALDO ANTERIOR",C536)),0,IF(ISNUMBER(FIND("SALDO DO DIA",C536)),0,IF(ISNUMBER(FIND("SDO CTA/APL AUTOMATICAS",C536)),0,IF(ISNUMBER(FIND("TEC DEPOSITO",C536)),0,IF(ISNUMBER(FIND("APL APLIC AUT MAIS",C536)),E536,IF(E536&gt;0,E536,0))))))</f>
        <v>0</v>
      </c>
      <c r="H536" s="66" t="n">
        <v>43952</v>
      </c>
    </row>
    <row r="537" customFormat="false" ht="13.8" hidden="false" customHeight="false" outlineLevel="0" collapsed="false">
      <c r="A537" s="59" t="s">
        <v>76</v>
      </c>
      <c r="B537" s="85" t="s">
        <v>460</v>
      </c>
      <c r="C537" s="86" t="s">
        <v>463</v>
      </c>
      <c r="D537" s="87" t="s">
        <v>64</v>
      </c>
      <c r="E537" s="89" t="n">
        <v>-17.8</v>
      </c>
      <c r="F537" s="64" t="n">
        <f aca="false">IF(ISNUMBER(FIND("SALDO ANTERIOR",C537)),0,IF(ISNUMBER(FIND("SALDO DO DIA",C537)),0,IF(ISNUMBER(FIND("SALDO PARCIAL",C537)),0,IF(ISNUMBER(FIND("SDO CTA/APL AUTOMATICAS",C537)),0,IF(ISNUMBER(FIND("APL APLIC AUT MAIS",C537)),0,IF(ISNUMBER(FIND("TEC DEPOSITO",C537)),0,IF(E537&gt;0,0,E537*(-1))))))))</f>
        <v>17.8</v>
      </c>
      <c r="G537" s="65" t="n">
        <f aca="false">IF(ISNUMBER(FIND("SALDO ANTERIOR",C537)),0,IF(ISNUMBER(FIND("SALDO DO DIA",C537)),0,IF(ISNUMBER(FIND("SDO CTA/APL AUTOMATICAS",C537)),0,IF(ISNUMBER(FIND("TEC DEPOSITO",C537)),0,IF(ISNUMBER(FIND("APL APLIC AUT MAIS",C537)),E537,IF(E537&gt;0,E537,0))))))</f>
        <v>0</v>
      </c>
      <c r="H537" s="66" t="n">
        <v>43952</v>
      </c>
    </row>
    <row r="538" customFormat="false" ht="13.8" hidden="false" customHeight="false" outlineLevel="0" collapsed="false">
      <c r="A538" s="59" t="s">
        <v>87</v>
      </c>
      <c r="B538" s="85" t="s">
        <v>460</v>
      </c>
      <c r="C538" s="86" t="s">
        <v>91</v>
      </c>
      <c r="D538" s="87" t="s">
        <v>64</v>
      </c>
      <c r="E538" s="89" t="n">
        <v>-6</v>
      </c>
      <c r="F538" s="64" t="n">
        <f aca="false">IF(ISNUMBER(FIND("SALDO ANTERIOR",C538)),0,IF(ISNUMBER(FIND("SALDO DO DIA",C538)),0,IF(ISNUMBER(FIND("SALDO PARCIAL",C538)),0,IF(ISNUMBER(FIND("SDO CTA/APL AUTOMATICAS",C538)),0,IF(ISNUMBER(FIND("APL APLIC AUT MAIS",C538)),0,IF(ISNUMBER(FIND("TEC DEPOSITO",C538)),0,IF(E538&gt;0,0,E538*(-1))))))))</f>
        <v>6</v>
      </c>
      <c r="G538" s="65" t="n">
        <f aca="false">IF(ISNUMBER(FIND("SALDO ANTERIOR",C538)),0,IF(ISNUMBER(FIND("SALDO DO DIA",C538)),0,IF(ISNUMBER(FIND("SDO CTA/APL AUTOMATICAS",C538)),0,IF(ISNUMBER(FIND("TEC DEPOSITO",C538)),0,IF(ISNUMBER(FIND("APL APLIC AUT MAIS",C538)),E538,IF(E538&gt;0,E538,0))))))</f>
        <v>0</v>
      </c>
      <c r="H538" s="66" t="n">
        <v>43952</v>
      </c>
    </row>
    <row r="539" customFormat="false" ht="13.8" hidden="false" customHeight="false" outlineLevel="0" collapsed="false">
      <c r="A539" s="59" t="s">
        <v>65</v>
      </c>
      <c r="B539" s="85" t="s">
        <v>460</v>
      </c>
      <c r="C539" s="86" t="s">
        <v>188</v>
      </c>
      <c r="D539" s="87" t="s">
        <v>64</v>
      </c>
      <c r="E539" s="89" t="n">
        <v>-10</v>
      </c>
      <c r="F539" s="64" t="n">
        <f aca="false">IF(ISNUMBER(FIND("SALDO ANTERIOR",C539)),0,IF(ISNUMBER(FIND("SALDO DO DIA",C539)),0,IF(ISNUMBER(FIND("SALDO PARCIAL",C539)),0,IF(ISNUMBER(FIND("SDO CTA/APL AUTOMATICAS",C539)),0,IF(ISNUMBER(FIND("APL APLIC AUT MAIS",C539)),0,IF(ISNUMBER(FIND("TEC DEPOSITO",C539)),0,IF(E539&gt;0,0,E539*(-1))))))))</f>
        <v>10</v>
      </c>
      <c r="G539" s="65" t="n">
        <f aca="false">IF(ISNUMBER(FIND("SALDO ANTERIOR",C539)),0,IF(ISNUMBER(FIND("SALDO DO DIA",C539)),0,IF(ISNUMBER(FIND("SDO CTA/APL AUTOMATICAS",C539)),0,IF(ISNUMBER(FIND("TEC DEPOSITO",C539)),0,IF(ISNUMBER(FIND("APL APLIC AUT MAIS",C539)),E539,IF(E539&gt;0,E539,0))))))</f>
        <v>0</v>
      </c>
      <c r="H539" s="66" t="n">
        <v>43952</v>
      </c>
    </row>
    <row r="540" customFormat="false" ht="13.8" hidden="false" customHeight="false" outlineLevel="0" collapsed="false">
      <c r="A540" s="59" t="s">
        <v>65</v>
      </c>
      <c r="B540" s="85" t="s">
        <v>460</v>
      </c>
      <c r="C540" s="86" t="s">
        <v>464</v>
      </c>
      <c r="D540" s="87" t="s">
        <v>64</v>
      </c>
      <c r="E540" s="89" t="n">
        <v>-5</v>
      </c>
      <c r="F540" s="64" t="n">
        <f aca="false">IF(ISNUMBER(FIND("SALDO ANTERIOR",C540)),0,IF(ISNUMBER(FIND("SALDO DO DIA",C540)),0,IF(ISNUMBER(FIND("SALDO PARCIAL",C540)),0,IF(ISNUMBER(FIND("SDO CTA/APL AUTOMATICAS",C540)),0,IF(ISNUMBER(FIND("APL APLIC AUT MAIS",C540)),0,IF(ISNUMBER(FIND("TEC DEPOSITO",C540)),0,IF(E540&gt;0,0,E540*(-1))))))))</f>
        <v>5</v>
      </c>
      <c r="G540" s="65" t="n">
        <f aca="false">IF(ISNUMBER(FIND("SALDO ANTERIOR",C540)),0,IF(ISNUMBER(FIND("SALDO DO DIA",C540)),0,IF(ISNUMBER(FIND("SDO CTA/APL AUTOMATICAS",C540)),0,IF(ISNUMBER(FIND("TEC DEPOSITO",C540)),0,IF(ISNUMBER(FIND("APL APLIC AUT MAIS",C540)),E540,IF(E540&gt;0,E540,0))))))</f>
        <v>0</v>
      </c>
      <c r="H540" s="66" t="n">
        <v>43952</v>
      </c>
    </row>
    <row r="541" customFormat="false" ht="13.8" hidden="false" customHeight="false" outlineLevel="0" collapsed="false">
      <c r="A541" s="59" t="s">
        <v>65</v>
      </c>
      <c r="B541" s="85" t="s">
        <v>460</v>
      </c>
      <c r="C541" s="86" t="s">
        <v>190</v>
      </c>
      <c r="D541" s="87" t="s">
        <v>64</v>
      </c>
      <c r="E541" s="89" t="n">
        <v>-4</v>
      </c>
      <c r="F541" s="64" t="n">
        <f aca="false">IF(ISNUMBER(FIND("SALDO ANTERIOR",C541)),0,IF(ISNUMBER(FIND("SALDO DO DIA",C541)),0,IF(ISNUMBER(FIND("SALDO PARCIAL",C541)),0,IF(ISNUMBER(FIND("SDO CTA/APL AUTOMATICAS",C541)),0,IF(ISNUMBER(FIND("APL APLIC AUT MAIS",C541)),0,IF(ISNUMBER(FIND("TEC DEPOSITO",C541)),0,IF(E541&gt;0,0,E541*(-1))))))))</f>
        <v>4</v>
      </c>
      <c r="G541" s="65" t="n">
        <f aca="false">IF(ISNUMBER(FIND("SALDO ANTERIOR",C541)),0,IF(ISNUMBER(FIND("SALDO DO DIA",C541)),0,IF(ISNUMBER(FIND("SDO CTA/APL AUTOMATICAS",C541)),0,IF(ISNUMBER(FIND("TEC DEPOSITO",C541)),0,IF(ISNUMBER(FIND("APL APLIC AUT MAIS",C541)),E541,IF(E541&gt;0,E541,0))))))</f>
        <v>0</v>
      </c>
      <c r="H541" s="66" t="n">
        <v>43952</v>
      </c>
    </row>
    <row r="542" customFormat="false" ht="13.8" hidden="false" customHeight="false" outlineLevel="0" collapsed="false">
      <c r="A542" s="59" t="s">
        <v>65</v>
      </c>
      <c r="B542" s="85" t="s">
        <v>460</v>
      </c>
      <c r="C542" s="86" t="s">
        <v>465</v>
      </c>
      <c r="D542" s="87" t="s">
        <v>64</v>
      </c>
      <c r="E542" s="89" t="n">
        <v>-10</v>
      </c>
      <c r="F542" s="64" t="n">
        <f aca="false">IF(ISNUMBER(FIND("SALDO ANTERIOR",C542)),0,IF(ISNUMBER(FIND("SALDO DO DIA",C542)),0,IF(ISNUMBER(FIND("SALDO PARCIAL",C542)),0,IF(ISNUMBER(FIND("SDO CTA/APL AUTOMATICAS",C542)),0,IF(ISNUMBER(FIND("APL APLIC AUT MAIS",C542)),0,IF(ISNUMBER(FIND("TEC DEPOSITO",C542)),0,IF(E542&gt;0,0,E542*(-1))))))))</f>
        <v>10</v>
      </c>
      <c r="G542" s="65" t="n">
        <f aca="false">IF(ISNUMBER(FIND("SALDO ANTERIOR",C542)),0,IF(ISNUMBER(FIND("SALDO DO DIA",C542)),0,IF(ISNUMBER(FIND("SDO CTA/APL AUTOMATICAS",C542)),0,IF(ISNUMBER(FIND("TEC DEPOSITO",C542)),0,IF(ISNUMBER(FIND("APL APLIC AUT MAIS",C542)),E542,IF(E542&gt;0,E542,0))))))</f>
        <v>0</v>
      </c>
      <c r="H542" s="66" t="n">
        <v>43952</v>
      </c>
    </row>
    <row r="543" customFormat="false" ht="13.8" hidden="false" customHeight="false" outlineLevel="0" collapsed="false">
      <c r="A543" s="59" t="s">
        <v>65</v>
      </c>
      <c r="B543" s="85" t="s">
        <v>460</v>
      </c>
      <c r="C543" s="86" t="s">
        <v>459</v>
      </c>
      <c r="D543" s="87" t="s">
        <v>64</v>
      </c>
      <c r="E543" s="89" t="n">
        <v>-6.75</v>
      </c>
      <c r="F543" s="64" t="n">
        <f aca="false">IF(ISNUMBER(FIND("SALDO ANTERIOR",C543)),0,IF(ISNUMBER(FIND("SALDO DO DIA",C543)),0,IF(ISNUMBER(FIND("SALDO PARCIAL",C543)),0,IF(ISNUMBER(FIND("SDO CTA/APL AUTOMATICAS",C543)),0,IF(ISNUMBER(FIND("APL APLIC AUT MAIS",C543)),0,IF(ISNUMBER(FIND("TEC DEPOSITO",C543)),0,IF(E543&gt;0,0,E543*(-1))))))))</f>
        <v>6.75</v>
      </c>
      <c r="G543" s="65" t="n">
        <f aca="false">IF(ISNUMBER(FIND("SALDO ANTERIOR",C543)),0,IF(ISNUMBER(FIND("SALDO DO DIA",C543)),0,IF(ISNUMBER(FIND("SDO CTA/APL AUTOMATICAS",C543)),0,IF(ISNUMBER(FIND("TEC DEPOSITO",C543)),0,IF(ISNUMBER(FIND("APL APLIC AUT MAIS",C543)),E543,IF(E543&gt;0,E543,0))))))</f>
        <v>0</v>
      </c>
      <c r="H543" s="66" t="n">
        <v>43952</v>
      </c>
    </row>
    <row r="544" customFormat="false" ht="13.8" hidden="false" customHeight="false" outlineLevel="0" collapsed="false">
      <c r="A544" s="59" t="s">
        <v>98</v>
      </c>
      <c r="B544" s="85" t="s">
        <v>460</v>
      </c>
      <c r="C544" s="86" t="s">
        <v>99</v>
      </c>
      <c r="D544" s="87" t="s">
        <v>64</v>
      </c>
      <c r="E544" s="89" t="n">
        <v>-8.78</v>
      </c>
      <c r="F544" s="64" t="n">
        <f aca="false">IF(ISNUMBER(FIND("SALDO ANTERIOR",C544)),0,IF(ISNUMBER(FIND("SALDO DO DIA",C544)),0,IF(ISNUMBER(FIND("SALDO PARCIAL",C544)),0,IF(ISNUMBER(FIND("SDO CTA/APL AUTOMATICAS",C544)),0,IF(ISNUMBER(FIND("APL APLIC AUT MAIS",C544)),0,IF(ISNUMBER(FIND("TEC DEPOSITO",C544)),0,IF(E544&gt;0,0,E544*(-1))))))))</f>
        <v>8.78</v>
      </c>
      <c r="G544" s="65" t="n">
        <f aca="false">IF(ISNUMBER(FIND("SALDO ANTERIOR",C544)),0,IF(ISNUMBER(FIND("SALDO DO DIA",C544)),0,IF(ISNUMBER(FIND("SDO CTA/APL AUTOMATICAS",C544)),0,IF(ISNUMBER(FIND("TEC DEPOSITO",C544)),0,IF(ISNUMBER(FIND("APL APLIC AUT MAIS",C544)),E544,IF(E544&gt;0,E544,0))))))</f>
        <v>0</v>
      </c>
      <c r="H544" s="66" t="n">
        <v>43952</v>
      </c>
    </row>
    <row r="545" customFormat="false" ht="13.8" hidden="false" customHeight="false" outlineLevel="0" collapsed="false">
      <c r="A545" s="59" t="s">
        <v>67</v>
      </c>
      <c r="B545" s="85" t="s">
        <v>460</v>
      </c>
      <c r="C545" s="86" t="s">
        <v>69</v>
      </c>
      <c r="D545" s="87"/>
      <c r="E545" s="88" t="n">
        <v>237.97</v>
      </c>
      <c r="F545" s="64" t="n">
        <f aca="false">IF(ISNUMBER(FIND("SALDO ANTERIOR",C545)),0,IF(ISNUMBER(FIND("SALDO DO DIA",C545)),0,IF(ISNUMBER(FIND("SALDO PARCIAL",C545)),0,IF(ISNUMBER(FIND("SDO CTA/APL AUTOMATICAS",C545)),0,IF(ISNUMBER(FIND("APL APLIC AUT MAIS",C545)),0,IF(ISNUMBER(FIND("TEC DEPOSITO",C545)),0,IF(E545&gt;0,0,E545*(-1))))))))</f>
        <v>0</v>
      </c>
      <c r="G545" s="65" t="n">
        <f aca="false">IF(ISNUMBER(FIND("SALDO ANTERIOR",C545)),0,IF(ISNUMBER(FIND("SALDO DO DIA",C545)),0,IF(ISNUMBER(FIND("SDO CTA/APL AUTOMATICAS",C545)),0,IF(ISNUMBER(FIND("TEC DEPOSITO",C545)),0,IF(ISNUMBER(FIND("APL APLIC AUT MAIS",C545)),E545,IF(E545&gt;0,E545,0))))))</f>
        <v>237.97</v>
      </c>
      <c r="H545" s="66" t="n">
        <v>43952</v>
      </c>
    </row>
    <row r="546" customFormat="false" ht="13.8" hidden="false" customHeight="false" outlineLevel="0" collapsed="false">
      <c r="A546" s="59" t="s">
        <v>29</v>
      </c>
      <c r="B546" s="85" t="s">
        <v>460</v>
      </c>
      <c r="C546" s="86" t="s">
        <v>70</v>
      </c>
      <c r="D546" s="87"/>
      <c r="E546" s="88" t="n">
        <v>1258.12</v>
      </c>
      <c r="F546" s="64" t="n">
        <f aca="false">IF(ISNUMBER(FIND("SALDO ANTERIOR",C546)),0,IF(ISNUMBER(FIND("SALDO DO DIA",C546)),0,IF(ISNUMBER(FIND("SALDO PARCIAL",C546)),0,IF(ISNUMBER(FIND("SDO CTA/APL AUTOMATICAS",C546)),0,IF(ISNUMBER(FIND("APL APLIC AUT MAIS",C546)),0,IF(ISNUMBER(FIND("TEC DEPOSITO",C546)),0,IF(E546&gt;0,0,E546*(-1))))))))</f>
        <v>0</v>
      </c>
      <c r="G546" s="65" t="n">
        <f aca="false">IF(ISNUMBER(FIND("SALDO ANTERIOR",C546)),0,IF(ISNUMBER(FIND("SALDO DO DIA",C546)),0,IF(ISNUMBER(FIND("SDO CTA/APL AUTOMATICAS",C546)),0,IF(ISNUMBER(FIND("TEC DEPOSITO",C546)),0,IF(ISNUMBER(FIND("APL APLIC AUT MAIS",C546)),E546,IF(E546&gt;0,E546,0))))))</f>
        <v>1258.12</v>
      </c>
      <c r="H546" s="66" t="n">
        <v>43952</v>
      </c>
    </row>
    <row r="547" customFormat="false" ht="13.8" hidden="false" customHeight="false" outlineLevel="0" collapsed="false">
      <c r="A547" s="59" t="s">
        <v>71</v>
      </c>
      <c r="B547" s="85" t="s">
        <v>466</v>
      </c>
      <c r="C547" s="86" t="s">
        <v>85</v>
      </c>
      <c r="D547" s="87" t="s">
        <v>64</v>
      </c>
      <c r="E547" s="89" t="n">
        <v>-22.06</v>
      </c>
      <c r="F547" s="64" t="n">
        <f aca="false">IF(ISNUMBER(FIND("SALDO ANTERIOR",C547)),0,IF(ISNUMBER(FIND("SALDO DO DIA",C547)),0,IF(ISNUMBER(FIND("SALDO PARCIAL",C547)),0,IF(ISNUMBER(FIND("SDO CTA/APL AUTOMATICAS",C547)),0,IF(ISNUMBER(FIND("APL APLIC AUT MAIS",C547)),0,IF(ISNUMBER(FIND("TEC DEPOSITO",C547)),0,IF(E547&gt;0,0,E547*(-1))))))))</f>
        <v>22.06</v>
      </c>
      <c r="G547" s="65" t="n">
        <f aca="false">IF(ISNUMBER(FIND("SALDO ANTERIOR",C547)),0,IF(ISNUMBER(FIND("SALDO DO DIA",C547)),0,IF(ISNUMBER(FIND("SDO CTA/APL AUTOMATICAS",C547)),0,IF(ISNUMBER(FIND("TEC DEPOSITO",C547)),0,IF(ISNUMBER(FIND("APL APLIC AUT MAIS",C547)),E547,IF(E547&gt;0,E547,0))))))</f>
        <v>0</v>
      </c>
      <c r="H547" s="66" t="n">
        <v>43952</v>
      </c>
    </row>
    <row r="548" customFormat="false" ht="13.8" hidden="false" customHeight="false" outlineLevel="0" collapsed="false">
      <c r="A548" s="59" t="s">
        <v>225</v>
      </c>
      <c r="B548" s="85" t="s">
        <v>466</v>
      </c>
      <c r="C548" s="86" t="s">
        <v>240</v>
      </c>
      <c r="D548" s="87" t="s">
        <v>64</v>
      </c>
      <c r="E548" s="89" t="n">
        <v>-50</v>
      </c>
      <c r="F548" s="64" t="n">
        <f aca="false">IF(ISNUMBER(FIND("SALDO ANTERIOR",C548)),0,IF(ISNUMBER(FIND("SALDO DO DIA",C548)),0,IF(ISNUMBER(FIND("SALDO PARCIAL",C548)),0,IF(ISNUMBER(FIND("SDO CTA/APL AUTOMATICAS",C548)),0,IF(ISNUMBER(FIND("APL APLIC AUT MAIS",C548)),0,IF(ISNUMBER(FIND("TEC DEPOSITO",C548)),0,IF(E548&gt;0,0,E548*(-1))))))))</f>
        <v>50</v>
      </c>
      <c r="G548" s="65" t="n">
        <f aca="false">IF(ISNUMBER(FIND("SALDO ANTERIOR",C548)),0,IF(ISNUMBER(FIND("SALDO DO DIA",C548)),0,IF(ISNUMBER(FIND("SDO CTA/APL AUTOMATICAS",C548)),0,IF(ISNUMBER(FIND("TEC DEPOSITO",C548)),0,IF(ISNUMBER(FIND("APL APLIC AUT MAIS",C548)),E548,IF(E548&gt;0,E548,0))))))</f>
        <v>0</v>
      </c>
      <c r="H548" s="66" t="n">
        <v>43952</v>
      </c>
    </row>
    <row r="549" customFormat="false" ht="13.8" hidden="false" customHeight="false" outlineLevel="0" collapsed="false">
      <c r="A549" s="59" t="s">
        <v>65</v>
      </c>
      <c r="B549" s="85" t="s">
        <v>466</v>
      </c>
      <c r="C549" s="86" t="s">
        <v>467</v>
      </c>
      <c r="D549" s="87" t="s">
        <v>64</v>
      </c>
      <c r="E549" s="89" t="n">
        <v>-15.9</v>
      </c>
      <c r="F549" s="64" t="n">
        <f aca="false">IF(ISNUMBER(FIND("SALDO ANTERIOR",C549)),0,IF(ISNUMBER(FIND("SALDO DO DIA",C549)),0,IF(ISNUMBER(FIND("SALDO PARCIAL",C549)),0,IF(ISNUMBER(FIND("SDO CTA/APL AUTOMATICAS",C549)),0,IF(ISNUMBER(FIND("APL APLIC AUT MAIS",C549)),0,IF(ISNUMBER(FIND("TEC DEPOSITO",C549)),0,IF(E549&gt;0,0,E549*(-1))))))))</f>
        <v>15.9</v>
      </c>
      <c r="G549" s="65" t="n">
        <f aca="false">IF(ISNUMBER(FIND("SALDO ANTERIOR",C549)),0,IF(ISNUMBER(FIND("SALDO DO DIA",C549)),0,IF(ISNUMBER(FIND("SDO CTA/APL AUTOMATICAS",C549)),0,IF(ISNUMBER(FIND("TEC DEPOSITO",C549)),0,IF(ISNUMBER(FIND("APL APLIC AUT MAIS",C549)),E549,IF(E549&gt;0,E549,0))))))</f>
        <v>0</v>
      </c>
      <c r="H549" s="66" t="n">
        <v>43952</v>
      </c>
    </row>
    <row r="550" customFormat="false" ht="13.8" hidden="false" customHeight="false" outlineLevel="0" collapsed="false">
      <c r="A550" s="59" t="s">
        <v>65</v>
      </c>
      <c r="B550" s="85" t="s">
        <v>466</v>
      </c>
      <c r="C550" s="86" t="s">
        <v>467</v>
      </c>
      <c r="D550" s="87" t="s">
        <v>64</v>
      </c>
      <c r="E550" s="89" t="n">
        <v>-28</v>
      </c>
      <c r="F550" s="64" t="n">
        <f aca="false">IF(ISNUMBER(FIND("SALDO ANTERIOR",C550)),0,IF(ISNUMBER(FIND("SALDO DO DIA",C550)),0,IF(ISNUMBER(FIND("SALDO PARCIAL",C550)),0,IF(ISNUMBER(FIND("SDO CTA/APL AUTOMATICAS",C550)),0,IF(ISNUMBER(FIND("APL APLIC AUT MAIS",C550)),0,IF(ISNUMBER(FIND("TEC DEPOSITO",C550)),0,IF(E550&gt;0,0,E550*(-1))))))))</f>
        <v>28</v>
      </c>
      <c r="G550" s="65" t="n">
        <f aca="false">IF(ISNUMBER(FIND("SALDO ANTERIOR",C550)),0,IF(ISNUMBER(FIND("SALDO DO DIA",C550)),0,IF(ISNUMBER(FIND("SDO CTA/APL AUTOMATICAS",C550)),0,IF(ISNUMBER(FIND("TEC DEPOSITO",C550)),0,IF(ISNUMBER(FIND("APL APLIC AUT MAIS",C550)),E550,IF(E550&gt;0,E550,0))))))</f>
        <v>0</v>
      </c>
      <c r="H550" s="66" t="n">
        <v>43952</v>
      </c>
    </row>
    <row r="551" customFormat="false" ht="13.8" hidden="false" customHeight="false" outlineLevel="0" collapsed="false">
      <c r="A551" s="59" t="s">
        <v>65</v>
      </c>
      <c r="B551" s="85" t="s">
        <v>466</v>
      </c>
      <c r="C551" s="86" t="s">
        <v>468</v>
      </c>
      <c r="D551" s="87" t="s">
        <v>64</v>
      </c>
      <c r="E551" s="89" t="n">
        <v>-39.26</v>
      </c>
      <c r="F551" s="64" t="n">
        <f aca="false">IF(ISNUMBER(FIND("SALDO ANTERIOR",C551)),0,IF(ISNUMBER(FIND("SALDO DO DIA",C551)),0,IF(ISNUMBER(FIND("SALDO PARCIAL",C551)),0,IF(ISNUMBER(FIND("SDO CTA/APL AUTOMATICAS",C551)),0,IF(ISNUMBER(FIND("APL APLIC AUT MAIS",C551)),0,IF(ISNUMBER(FIND("TEC DEPOSITO",C551)),0,IF(E551&gt;0,0,E551*(-1))))))))</f>
        <v>39.26</v>
      </c>
      <c r="G551" s="65" t="n">
        <f aca="false">IF(ISNUMBER(FIND("SALDO ANTERIOR",C551)),0,IF(ISNUMBER(FIND("SALDO DO DIA",C551)),0,IF(ISNUMBER(FIND("SDO CTA/APL AUTOMATICAS",C551)),0,IF(ISNUMBER(FIND("TEC DEPOSITO",C551)),0,IF(ISNUMBER(FIND("APL APLIC AUT MAIS",C551)),E551,IF(E551&gt;0,E551,0))))))</f>
        <v>0</v>
      </c>
      <c r="H551" s="66" t="n">
        <v>43952</v>
      </c>
    </row>
    <row r="552" customFormat="false" ht="13.8" hidden="false" customHeight="false" outlineLevel="0" collapsed="false">
      <c r="A552" s="59" t="s">
        <v>67</v>
      </c>
      <c r="B552" s="85" t="s">
        <v>466</v>
      </c>
      <c r="C552" s="86" t="s">
        <v>69</v>
      </c>
      <c r="D552" s="87"/>
      <c r="E552" s="88" t="n">
        <v>155.22</v>
      </c>
      <c r="F552" s="64" t="n">
        <f aca="false">IF(ISNUMBER(FIND("SALDO ANTERIOR",C552)),0,IF(ISNUMBER(FIND("SALDO DO DIA",C552)),0,IF(ISNUMBER(FIND("SALDO PARCIAL",C552)),0,IF(ISNUMBER(FIND("SDO CTA/APL AUTOMATICAS",C552)),0,IF(ISNUMBER(FIND("APL APLIC AUT MAIS",C552)),0,IF(ISNUMBER(FIND("TEC DEPOSITO",C552)),0,IF(E552&gt;0,0,E552*(-1))))))))</f>
        <v>0</v>
      </c>
      <c r="G552" s="65" t="n">
        <f aca="false">IF(ISNUMBER(FIND("SALDO ANTERIOR",C552)),0,IF(ISNUMBER(FIND("SALDO DO DIA",C552)),0,IF(ISNUMBER(FIND("SDO CTA/APL AUTOMATICAS",C552)),0,IF(ISNUMBER(FIND("TEC DEPOSITO",C552)),0,IF(ISNUMBER(FIND("APL APLIC AUT MAIS",C552)),E552,IF(E552&gt;0,E552,0))))))</f>
        <v>155.22</v>
      </c>
      <c r="H552" s="66" t="n">
        <v>43952</v>
      </c>
    </row>
    <row r="553" customFormat="false" ht="13.8" hidden="false" customHeight="false" outlineLevel="0" collapsed="false">
      <c r="A553" s="59" t="s">
        <v>29</v>
      </c>
      <c r="B553" s="85" t="s">
        <v>466</v>
      </c>
      <c r="C553" s="86" t="s">
        <v>70</v>
      </c>
      <c r="D553" s="87"/>
      <c r="E553" s="88" t="n">
        <v>1102.9</v>
      </c>
      <c r="F553" s="64" t="n">
        <f aca="false">IF(ISNUMBER(FIND("SALDO ANTERIOR",C553)),0,IF(ISNUMBER(FIND("SALDO DO DIA",C553)),0,IF(ISNUMBER(FIND("SALDO PARCIAL",C553)),0,IF(ISNUMBER(FIND("SDO CTA/APL AUTOMATICAS",C553)),0,IF(ISNUMBER(FIND("APL APLIC AUT MAIS",C553)),0,IF(ISNUMBER(FIND("TEC DEPOSITO",C553)),0,IF(E553&gt;0,0,E553*(-1))))))))</f>
        <v>0</v>
      </c>
      <c r="G553" s="65" t="n">
        <f aca="false">IF(ISNUMBER(FIND("SALDO ANTERIOR",C553)),0,IF(ISNUMBER(FIND("SALDO DO DIA",C553)),0,IF(ISNUMBER(FIND("SDO CTA/APL AUTOMATICAS",C553)),0,IF(ISNUMBER(FIND("TEC DEPOSITO",C553)),0,IF(ISNUMBER(FIND("APL APLIC AUT MAIS",C553)),E553,IF(E553&gt;0,E553,0))))))</f>
        <v>1102.9</v>
      </c>
      <c r="H553" s="66" t="n">
        <v>43952</v>
      </c>
    </row>
    <row r="554" customFormat="false" ht="13.8" hidden="false" customHeight="false" outlineLevel="0" collapsed="false">
      <c r="A554" s="59" t="s">
        <v>98</v>
      </c>
      <c r="B554" s="85" t="s">
        <v>469</v>
      </c>
      <c r="C554" s="86" t="s">
        <v>470</v>
      </c>
      <c r="D554" s="87" t="s">
        <v>64</v>
      </c>
      <c r="E554" s="89" t="n">
        <v>-335.36</v>
      </c>
      <c r="F554" s="64" t="n">
        <f aca="false">IF(ISNUMBER(FIND("SALDO ANTERIOR",C554)),0,IF(ISNUMBER(FIND("SALDO DO DIA",C554)),0,IF(ISNUMBER(FIND("SALDO PARCIAL",C554)),0,IF(ISNUMBER(FIND("SDO CTA/APL AUTOMATICAS",C554)),0,IF(ISNUMBER(FIND("APL APLIC AUT MAIS",C554)),0,IF(ISNUMBER(FIND("TEC DEPOSITO",C554)),0,IF(E554&gt;0,0,E554*(-1))))))))</f>
        <v>335.36</v>
      </c>
      <c r="G554" s="65" t="n">
        <f aca="false">IF(ISNUMBER(FIND("SALDO ANTERIOR",C554)),0,IF(ISNUMBER(FIND("SALDO DO DIA",C554)),0,IF(ISNUMBER(FIND("SDO CTA/APL AUTOMATICAS",C554)),0,IF(ISNUMBER(FIND("TEC DEPOSITO",C554)),0,IF(ISNUMBER(FIND("APL APLIC AUT MAIS",C554)),E554,IF(E554&gt;0,E554,0))))))</f>
        <v>0</v>
      </c>
      <c r="H554" s="66" t="n">
        <v>43952</v>
      </c>
    </row>
    <row r="555" customFormat="false" ht="13.8" hidden="false" customHeight="false" outlineLevel="0" collapsed="false">
      <c r="A555" s="59" t="s">
        <v>98</v>
      </c>
      <c r="B555" s="85" t="s">
        <v>469</v>
      </c>
      <c r="C555" s="86" t="s">
        <v>470</v>
      </c>
      <c r="D555" s="87" t="s">
        <v>64</v>
      </c>
      <c r="E555" s="89" t="n">
        <v>-57.73</v>
      </c>
      <c r="F555" s="64" t="n">
        <f aca="false">IF(ISNUMBER(FIND("SALDO ANTERIOR",C555)),0,IF(ISNUMBER(FIND("SALDO DO DIA",C555)),0,IF(ISNUMBER(FIND("SALDO PARCIAL",C555)),0,IF(ISNUMBER(FIND("SDO CTA/APL AUTOMATICAS",C555)),0,IF(ISNUMBER(FIND("APL APLIC AUT MAIS",C555)),0,IF(ISNUMBER(FIND("TEC DEPOSITO",C555)),0,IF(E555&gt;0,0,E555*(-1))))))))</f>
        <v>57.73</v>
      </c>
      <c r="G555" s="65" t="n">
        <f aca="false">IF(ISNUMBER(FIND("SALDO ANTERIOR",C555)),0,IF(ISNUMBER(FIND("SALDO DO DIA",C555)),0,IF(ISNUMBER(FIND("SDO CTA/APL AUTOMATICAS",C555)),0,IF(ISNUMBER(FIND("TEC DEPOSITO",C555)),0,IF(ISNUMBER(FIND("APL APLIC AUT MAIS",C555)),E555,IF(E555&gt;0,E555,0))))))</f>
        <v>0</v>
      </c>
      <c r="H555" s="66" t="n">
        <v>43952</v>
      </c>
    </row>
    <row r="556" customFormat="false" ht="13.8" hidden="false" customHeight="false" outlineLevel="0" collapsed="false">
      <c r="A556" s="59" t="s">
        <v>67</v>
      </c>
      <c r="B556" s="85" t="s">
        <v>469</v>
      </c>
      <c r="C556" s="86" t="s">
        <v>69</v>
      </c>
      <c r="D556" s="87"/>
      <c r="E556" s="88" t="n">
        <v>393.09</v>
      </c>
      <c r="F556" s="64" t="n">
        <f aca="false">IF(ISNUMBER(FIND("SALDO ANTERIOR",C556)),0,IF(ISNUMBER(FIND("SALDO DO DIA",C556)),0,IF(ISNUMBER(FIND("SALDO PARCIAL",C556)),0,IF(ISNUMBER(FIND("SDO CTA/APL AUTOMATICAS",C556)),0,IF(ISNUMBER(FIND("APL APLIC AUT MAIS",C556)),0,IF(ISNUMBER(FIND("TEC DEPOSITO",C556)),0,IF(E556&gt;0,0,E556*(-1))))))))</f>
        <v>0</v>
      </c>
      <c r="G556" s="65" t="n">
        <f aca="false">IF(ISNUMBER(FIND("SALDO ANTERIOR",C556)),0,IF(ISNUMBER(FIND("SALDO DO DIA",C556)),0,IF(ISNUMBER(FIND("SDO CTA/APL AUTOMATICAS",C556)),0,IF(ISNUMBER(FIND("TEC DEPOSITO",C556)),0,IF(ISNUMBER(FIND("APL APLIC AUT MAIS",C556)),E556,IF(E556&gt;0,E556,0))))))</f>
        <v>393.09</v>
      </c>
      <c r="H556" s="66" t="n">
        <v>43952</v>
      </c>
    </row>
    <row r="557" customFormat="false" ht="13.8" hidden="false" customHeight="false" outlineLevel="0" collapsed="false">
      <c r="A557" s="59" t="s">
        <v>29</v>
      </c>
      <c r="B557" s="85" t="s">
        <v>469</v>
      </c>
      <c r="C557" s="86" t="s">
        <v>70</v>
      </c>
      <c r="D557" s="87"/>
      <c r="E557" s="88" t="n">
        <v>709.81</v>
      </c>
      <c r="F557" s="64" t="n">
        <f aca="false">IF(ISNUMBER(FIND("SALDO ANTERIOR",C557)),0,IF(ISNUMBER(FIND("SALDO DO DIA",C557)),0,IF(ISNUMBER(FIND("SALDO PARCIAL",C557)),0,IF(ISNUMBER(FIND("SDO CTA/APL AUTOMATICAS",C557)),0,IF(ISNUMBER(FIND("APL APLIC AUT MAIS",C557)),0,IF(ISNUMBER(FIND("TEC DEPOSITO",C557)),0,IF(E557&gt;0,0,E557*(-1))))))))</f>
        <v>0</v>
      </c>
      <c r="G557" s="65" t="n">
        <f aca="false">IF(ISNUMBER(FIND("SALDO ANTERIOR",C557)),0,IF(ISNUMBER(FIND("SALDO DO DIA",C557)),0,IF(ISNUMBER(FIND("SDO CTA/APL AUTOMATICAS",C557)),0,IF(ISNUMBER(FIND("TEC DEPOSITO",C557)),0,IF(ISNUMBER(FIND("APL APLIC AUT MAIS",C557)),E557,IF(E557&gt;0,E557,0))))))</f>
        <v>709.81</v>
      </c>
      <c r="H557" s="66" t="n">
        <v>43952</v>
      </c>
    </row>
    <row r="558" customFormat="false" ht="13.8" hidden="false" customHeight="false" outlineLevel="0" collapsed="false">
      <c r="A558" s="59" t="s">
        <v>29</v>
      </c>
      <c r="B558" s="85" t="s">
        <v>471</v>
      </c>
      <c r="C558" s="86" t="s">
        <v>70</v>
      </c>
      <c r="D558" s="87"/>
      <c r="E558" s="88" t="n">
        <v>709.81</v>
      </c>
      <c r="F558" s="64" t="n">
        <f aca="false">IF(ISNUMBER(FIND("SALDO ANTERIOR",C558)),0,IF(ISNUMBER(FIND("SALDO DO DIA",C558)),0,IF(ISNUMBER(FIND("SALDO PARCIAL",C558)),0,IF(ISNUMBER(FIND("SDO CTA/APL AUTOMATICAS",C558)),0,IF(ISNUMBER(FIND("APL APLIC AUT MAIS",C558)),0,IF(ISNUMBER(FIND("TEC DEPOSITO",C558)),0,IF(E558&gt;0,0,E558*(-1))))))))</f>
        <v>0</v>
      </c>
      <c r="G558" s="65" t="n">
        <f aca="false">IF(ISNUMBER(FIND("SALDO ANTERIOR",C558)),0,IF(ISNUMBER(FIND("SALDO DO DIA",C558)),0,IF(ISNUMBER(FIND("SDO CTA/APL AUTOMATICAS",C558)),0,IF(ISNUMBER(FIND("TEC DEPOSITO",C558)),0,IF(ISNUMBER(FIND("APL APLIC AUT MAIS",C558)),E558,IF(E558&gt;0,E558,0))))))</f>
        <v>709.81</v>
      </c>
      <c r="H558" s="66" t="n">
        <v>43952</v>
      </c>
    </row>
    <row r="559" customFormat="false" ht="13.8" hidden="false" customHeight="false" outlineLevel="0" collapsed="false">
      <c r="A559" s="59" t="s">
        <v>65</v>
      </c>
      <c r="B559" s="85" t="s">
        <v>472</v>
      </c>
      <c r="C559" s="86" t="s">
        <v>473</v>
      </c>
      <c r="D559" s="87" t="s">
        <v>64</v>
      </c>
      <c r="E559" s="89" t="n">
        <v>-45</v>
      </c>
      <c r="F559" s="64" t="n">
        <f aca="false">IF(ISNUMBER(FIND("SALDO ANTERIOR",C559)),0,IF(ISNUMBER(FIND("SALDO DO DIA",C559)),0,IF(ISNUMBER(FIND("SALDO PARCIAL",C559)),0,IF(ISNUMBER(FIND("SDO CTA/APL AUTOMATICAS",C559)),0,IF(ISNUMBER(FIND("APL APLIC AUT MAIS",C559)),0,IF(ISNUMBER(FIND("TEC DEPOSITO",C559)),0,IF(E559&gt;0,0,E559*(-1))))))))</f>
        <v>45</v>
      </c>
      <c r="G559" s="65" t="n">
        <f aca="false">IF(ISNUMBER(FIND("SALDO ANTERIOR",C559)),0,IF(ISNUMBER(FIND("SALDO DO DIA",C559)),0,IF(ISNUMBER(FIND("SDO CTA/APL AUTOMATICAS",C559)),0,IF(ISNUMBER(FIND("TEC DEPOSITO",C559)),0,IF(ISNUMBER(FIND("APL APLIC AUT MAIS",C559)),E559,IF(E559&gt;0,E559,0))))))</f>
        <v>0</v>
      </c>
      <c r="H559" s="66" t="n">
        <v>43952</v>
      </c>
    </row>
    <row r="560" customFormat="false" ht="13.8" hidden="false" customHeight="false" outlineLevel="0" collapsed="false">
      <c r="A560" s="59" t="s">
        <v>474</v>
      </c>
      <c r="B560" s="85" t="s">
        <v>472</v>
      </c>
      <c r="C560" s="86" t="s">
        <v>475</v>
      </c>
      <c r="D560" s="87" t="s">
        <v>61</v>
      </c>
      <c r="E560" s="89" t="n">
        <v>-198</v>
      </c>
      <c r="F560" s="64" t="n">
        <f aca="false">IF(ISNUMBER(FIND("SALDO ANTERIOR",C560)),0,IF(ISNUMBER(FIND("SALDO DO DIA",C560)),0,IF(ISNUMBER(FIND("SALDO PARCIAL",C560)),0,IF(ISNUMBER(FIND("SDO CTA/APL AUTOMATICAS",C560)),0,IF(ISNUMBER(FIND("APL APLIC AUT MAIS",C560)),0,IF(ISNUMBER(FIND("TEC DEPOSITO",C560)),0,IF(E560&gt;0,0,E560*(-1))))))))</f>
        <v>198</v>
      </c>
      <c r="G560" s="65" t="n">
        <f aca="false">IF(ISNUMBER(FIND("SALDO ANTERIOR",C560)),0,IF(ISNUMBER(FIND("SALDO DO DIA",C560)),0,IF(ISNUMBER(FIND("SDO CTA/APL AUTOMATICAS",C560)),0,IF(ISNUMBER(FIND("TEC DEPOSITO",C560)),0,IF(ISNUMBER(FIND("APL APLIC AUT MAIS",C560)),E560,IF(E560&gt;0,E560,0))))))</f>
        <v>0</v>
      </c>
      <c r="H560" s="66" t="n">
        <v>43952</v>
      </c>
    </row>
    <row r="561" customFormat="false" ht="13.8" hidden="false" customHeight="false" outlineLevel="0" collapsed="false">
      <c r="A561" s="59" t="s">
        <v>67</v>
      </c>
      <c r="B561" s="85" t="s">
        <v>472</v>
      </c>
      <c r="C561" s="86" t="s">
        <v>69</v>
      </c>
      <c r="D561" s="87"/>
      <c r="E561" s="88" t="n">
        <v>243</v>
      </c>
      <c r="F561" s="64" t="n">
        <f aca="false">IF(ISNUMBER(FIND("SALDO ANTERIOR",C561)),0,IF(ISNUMBER(FIND("SALDO DO DIA",C561)),0,IF(ISNUMBER(FIND("SALDO PARCIAL",C561)),0,IF(ISNUMBER(FIND("SDO CTA/APL AUTOMATICAS",C561)),0,IF(ISNUMBER(FIND("APL APLIC AUT MAIS",C561)),0,IF(ISNUMBER(FIND("TEC DEPOSITO",C561)),0,IF(E561&gt;0,0,E561*(-1))))))))</f>
        <v>0</v>
      </c>
      <c r="G561" s="65" t="n">
        <f aca="false">IF(ISNUMBER(FIND("SALDO ANTERIOR",C561)),0,IF(ISNUMBER(FIND("SALDO DO DIA",C561)),0,IF(ISNUMBER(FIND("SDO CTA/APL AUTOMATICAS",C561)),0,IF(ISNUMBER(FIND("TEC DEPOSITO",C561)),0,IF(ISNUMBER(FIND("APL APLIC AUT MAIS",C561)),E561,IF(E561&gt;0,E561,0))))))</f>
        <v>243</v>
      </c>
      <c r="H561" s="66" t="n">
        <v>43952</v>
      </c>
    </row>
    <row r="562" customFormat="false" ht="13.8" hidden="false" customHeight="false" outlineLevel="0" collapsed="false">
      <c r="A562" s="59" t="s">
        <v>29</v>
      </c>
      <c r="B562" s="85" t="s">
        <v>472</v>
      </c>
      <c r="C562" s="86" t="s">
        <v>70</v>
      </c>
      <c r="D562" s="87"/>
      <c r="E562" s="88" t="n">
        <v>466.81</v>
      </c>
      <c r="F562" s="64" t="n">
        <f aca="false">IF(ISNUMBER(FIND("SALDO ANTERIOR",C562)),0,IF(ISNUMBER(FIND("SALDO DO DIA",C562)),0,IF(ISNUMBER(FIND("SALDO PARCIAL",C562)),0,IF(ISNUMBER(FIND("SDO CTA/APL AUTOMATICAS",C562)),0,IF(ISNUMBER(FIND("APL APLIC AUT MAIS",C562)),0,IF(ISNUMBER(FIND("TEC DEPOSITO",C562)),0,IF(E562&gt;0,0,E562*(-1))))))))</f>
        <v>0</v>
      </c>
      <c r="G562" s="65" t="n">
        <f aca="false">IF(ISNUMBER(FIND("SALDO ANTERIOR",C562)),0,IF(ISNUMBER(FIND("SALDO DO DIA",C562)),0,IF(ISNUMBER(FIND("SDO CTA/APL AUTOMATICAS",C562)),0,IF(ISNUMBER(FIND("TEC DEPOSITO",C562)),0,IF(ISNUMBER(FIND("APL APLIC AUT MAIS",C562)),E562,IF(E562&gt;0,E562,0))))))</f>
        <v>466.81</v>
      </c>
      <c r="H562" s="66" t="n">
        <v>43952</v>
      </c>
    </row>
    <row r="563" customFormat="false" ht="13.8" hidden="false" customHeight="false" outlineLevel="0" collapsed="false">
      <c r="A563" s="59" t="s">
        <v>203</v>
      </c>
      <c r="B563" s="85" t="s">
        <v>476</v>
      </c>
      <c r="C563" s="86" t="s">
        <v>477</v>
      </c>
      <c r="D563" s="87" t="s">
        <v>478</v>
      </c>
      <c r="E563" s="89" t="n">
        <v>-100</v>
      </c>
      <c r="F563" s="64" t="n">
        <f aca="false">IF(ISNUMBER(FIND("SALDO ANTERIOR",C563)),0,IF(ISNUMBER(FIND("SALDO DO DIA",C563)),0,IF(ISNUMBER(FIND("SALDO PARCIAL",C563)),0,IF(ISNUMBER(FIND("SDO CTA/APL AUTOMATICAS",C563)),0,IF(ISNUMBER(FIND("APL APLIC AUT MAIS",C563)),0,IF(ISNUMBER(FIND("TEC DEPOSITO",C563)),0,IF(E563&gt;0,0,E563*(-1))))))))</f>
        <v>100</v>
      </c>
      <c r="G563" s="65" t="n">
        <f aca="false">IF(ISNUMBER(FIND("SALDO ANTERIOR",C563)),0,IF(ISNUMBER(FIND("SALDO DO DIA",C563)),0,IF(ISNUMBER(FIND("SDO CTA/APL AUTOMATICAS",C563)),0,IF(ISNUMBER(FIND("TEC DEPOSITO",C563)),0,IF(ISNUMBER(FIND("APL APLIC AUT MAIS",C563)),E563,IF(E563&gt;0,E563,0))))))</f>
        <v>0</v>
      </c>
      <c r="H563" s="66" t="n">
        <v>43952</v>
      </c>
    </row>
    <row r="564" customFormat="false" ht="13.8" hidden="false" customHeight="false" outlineLevel="0" collapsed="false">
      <c r="A564" s="59" t="s">
        <v>71</v>
      </c>
      <c r="B564" s="85" t="s">
        <v>476</v>
      </c>
      <c r="C564" s="86" t="s">
        <v>85</v>
      </c>
      <c r="D564" s="87" t="s">
        <v>64</v>
      </c>
      <c r="E564" s="89" t="n">
        <v>-28.29</v>
      </c>
      <c r="F564" s="64" t="n">
        <f aca="false">IF(ISNUMBER(FIND("SALDO ANTERIOR",C564)),0,IF(ISNUMBER(FIND("SALDO DO DIA",C564)),0,IF(ISNUMBER(FIND("SALDO PARCIAL",C564)),0,IF(ISNUMBER(FIND("SDO CTA/APL AUTOMATICAS",C564)),0,IF(ISNUMBER(FIND("APL APLIC AUT MAIS",C564)),0,IF(ISNUMBER(FIND("TEC DEPOSITO",C564)),0,IF(E564&gt;0,0,E564*(-1))))))))</f>
        <v>28.29</v>
      </c>
      <c r="G564" s="65" t="n">
        <f aca="false">IF(ISNUMBER(FIND("SALDO ANTERIOR",C564)),0,IF(ISNUMBER(FIND("SALDO DO DIA",C564)),0,IF(ISNUMBER(FIND("SDO CTA/APL AUTOMATICAS",C564)),0,IF(ISNUMBER(FIND("TEC DEPOSITO",C564)),0,IF(ISNUMBER(FIND("APL APLIC AUT MAIS",C564)),E564,IF(E564&gt;0,E564,0))))))</f>
        <v>0</v>
      </c>
      <c r="H564" s="66" t="n">
        <v>43952</v>
      </c>
    </row>
    <row r="565" customFormat="false" ht="13.8" hidden="false" customHeight="false" outlineLevel="0" collapsed="false">
      <c r="A565" s="59" t="s">
        <v>71</v>
      </c>
      <c r="B565" s="85" t="s">
        <v>476</v>
      </c>
      <c r="C565" s="86" t="s">
        <v>85</v>
      </c>
      <c r="D565" s="87" t="s">
        <v>64</v>
      </c>
      <c r="E565" s="89" t="n">
        <v>-9.19</v>
      </c>
      <c r="F565" s="64" t="n">
        <f aca="false">IF(ISNUMBER(FIND("SALDO ANTERIOR",C565)),0,IF(ISNUMBER(FIND("SALDO DO DIA",C565)),0,IF(ISNUMBER(FIND("SALDO PARCIAL",C565)),0,IF(ISNUMBER(FIND("SDO CTA/APL AUTOMATICAS",C565)),0,IF(ISNUMBER(FIND("APL APLIC AUT MAIS",C565)),0,IF(ISNUMBER(FIND("TEC DEPOSITO",C565)),0,IF(E565&gt;0,0,E565*(-1))))))))</f>
        <v>9.19</v>
      </c>
      <c r="G565" s="65" t="n">
        <f aca="false">IF(ISNUMBER(FIND("SALDO ANTERIOR",C565)),0,IF(ISNUMBER(FIND("SALDO DO DIA",C565)),0,IF(ISNUMBER(FIND("SDO CTA/APL AUTOMATICAS",C565)),0,IF(ISNUMBER(FIND("TEC DEPOSITO",C565)),0,IF(ISNUMBER(FIND("APL APLIC AUT MAIS",C565)),E565,IF(E565&gt;0,E565,0))))))</f>
        <v>0</v>
      </c>
      <c r="H565" s="66" t="n">
        <v>43952</v>
      </c>
    </row>
    <row r="566" customFormat="false" ht="13.8" hidden="false" customHeight="false" outlineLevel="0" collapsed="false">
      <c r="A566" s="59" t="s">
        <v>74</v>
      </c>
      <c r="B566" s="85" t="s">
        <v>476</v>
      </c>
      <c r="C566" s="86" t="s">
        <v>457</v>
      </c>
      <c r="D566" s="87" t="s">
        <v>64</v>
      </c>
      <c r="E566" s="89" t="n">
        <v>-70.96</v>
      </c>
      <c r="F566" s="64" t="n">
        <f aca="false">IF(ISNUMBER(FIND("SALDO ANTERIOR",C566)),0,IF(ISNUMBER(FIND("SALDO DO DIA",C566)),0,IF(ISNUMBER(FIND("SALDO PARCIAL",C566)),0,IF(ISNUMBER(FIND("SDO CTA/APL AUTOMATICAS",C566)),0,IF(ISNUMBER(FIND("APL APLIC AUT MAIS",C566)),0,IF(ISNUMBER(FIND("TEC DEPOSITO",C566)),0,IF(E566&gt;0,0,E566*(-1))))))))</f>
        <v>70.96</v>
      </c>
      <c r="G566" s="65" t="n">
        <f aca="false">IF(ISNUMBER(FIND("SALDO ANTERIOR",C566)),0,IF(ISNUMBER(FIND("SALDO DO DIA",C566)),0,IF(ISNUMBER(FIND("SDO CTA/APL AUTOMATICAS",C566)),0,IF(ISNUMBER(FIND("TEC DEPOSITO",C566)),0,IF(ISNUMBER(FIND("APL APLIC AUT MAIS",C566)),E566,IF(E566&gt;0,E566,0))))))</f>
        <v>0</v>
      </c>
      <c r="H566" s="66" t="n">
        <v>43952</v>
      </c>
    </row>
    <row r="567" customFormat="false" ht="13.8" hidden="false" customHeight="false" outlineLevel="0" collapsed="false">
      <c r="A567" s="73" t="s">
        <v>316</v>
      </c>
      <c r="B567" s="85" t="s">
        <v>476</v>
      </c>
      <c r="C567" s="86" t="s">
        <v>479</v>
      </c>
      <c r="D567" s="87" t="s">
        <v>64</v>
      </c>
      <c r="E567" s="89" t="n">
        <v>-23.5</v>
      </c>
      <c r="F567" s="64" t="n">
        <f aca="false">IF(ISNUMBER(FIND("SALDO ANTERIOR",C567)),0,IF(ISNUMBER(FIND("SALDO DO DIA",C567)),0,IF(ISNUMBER(FIND("SALDO PARCIAL",C567)),0,IF(ISNUMBER(FIND("SDO CTA/APL AUTOMATICAS",C567)),0,IF(ISNUMBER(FIND("APL APLIC AUT MAIS",C567)),0,IF(ISNUMBER(FIND("TEC DEPOSITO",C567)),0,IF(E567&gt;0,0,E567*(-1))))))))</f>
        <v>23.5</v>
      </c>
      <c r="G567" s="65" t="n">
        <f aca="false">IF(ISNUMBER(FIND("SALDO ANTERIOR",C567)),0,IF(ISNUMBER(FIND("SALDO DO DIA",C567)),0,IF(ISNUMBER(FIND("SDO CTA/APL AUTOMATICAS",C567)),0,IF(ISNUMBER(FIND("TEC DEPOSITO",C567)),0,IF(ISNUMBER(FIND("APL APLIC AUT MAIS",C567)),E567,IF(E567&gt;0,E567,0))))))</f>
        <v>0</v>
      </c>
      <c r="H567" s="66" t="n">
        <v>43952</v>
      </c>
    </row>
    <row r="568" customFormat="false" ht="13.8" hidden="false" customHeight="false" outlineLevel="0" collapsed="false">
      <c r="A568" s="59" t="s">
        <v>65</v>
      </c>
      <c r="B568" s="85" t="s">
        <v>476</v>
      </c>
      <c r="C568" s="86" t="s">
        <v>480</v>
      </c>
      <c r="D568" s="87" t="s">
        <v>64</v>
      </c>
      <c r="E568" s="89" t="n">
        <v>-16.5</v>
      </c>
      <c r="F568" s="64" t="n">
        <f aca="false">IF(ISNUMBER(FIND("SALDO ANTERIOR",C568)),0,IF(ISNUMBER(FIND("SALDO DO DIA",C568)),0,IF(ISNUMBER(FIND("SALDO PARCIAL",C568)),0,IF(ISNUMBER(FIND("SDO CTA/APL AUTOMATICAS",C568)),0,IF(ISNUMBER(FIND("APL APLIC AUT MAIS",C568)),0,IF(ISNUMBER(FIND("TEC DEPOSITO",C568)),0,IF(E568&gt;0,0,E568*(-1))))))))</f>
        <v>16.5</v>
      </c>
      <c r="G568" s="65" t="n">
        <f aca="false">IF(ISNUMBER(FIND("SALDO ANTERIOR",C568)),0,IF(ISNUMBER(FIND("SALDO DO DIA",C568)),0,IF(ISNUMBER(FIND("SDO CTA/APL AUTOMATICAS",C568)),0,IF(ISNUMBER(FIND("TEC DEPOSITO",C568)),0,IF(ISNUMBER(FIND("APL APLIC AUT MAIS",C568)),E568,IF(E568&gt;0,E568,0))))))</f>
        <v>0</v>
      </c>
      <c r="H568" s="66" t="n">
        <v>43952</v>
      </c>
    </row>
    <row r="569" customFormat="false" ht="13.8" hidden="false" customHeight="false" outlineLevel="0" collapsed="false">
      <c r="A569" s="59" t="s">
        <v>67</v>
      </c>
      <c r="B569" s="85" t="s">
        <v>476</v>
      </c>
      <c r="C569" s="86" t="s">
        <v>69</v>
      </c>
      <c r="D569" s="87"/>
      <c r="E569" s="88" t="n">
        <v>248.44</v>
      </c>
      <c r="F569" s="64" t="n">
        <f aca="false">IF(ISNUMBER(FIND("SALDO ANTERIOR",C569)),0,IF(ISNUMBER(FIND("SALDO DO DIA",C569)),0,IF(ISNUMBER(FIND("SALDO PARCIAL",C569)),0,IF(ISNUMBER(FIND("SDO CTA/APL AUTOMATICAS",C569)),0,IF(ISNUMBER(FIND("APL APLIC AUT MAIS",C569)),0,IF(ISNUMBER(FIND("TEC DEPOSITO",C569)),0,IF(E569&gt;0,0,E569*(-1))))))))</f>
        <v>0</v>
      </c>
      <c r="G569" s="65" t="n">
        <f aca="false">IF(ISNUMBER(FIND("SALDO ANTERIOR",C569)),0,IF(ISNUMBER(FIND("SALDO DO DIA",C569)),0,IF(ISNUMBER(FIND("SDO CTA/APL AUTOMATICAS",C569)),0,IF(ISNUMBER(FIND("TEC DEPOSITO",C569)),0,IF(ISNUMBER(FIND("APL APLIC AUT MAIS",C569)),E569,IF(E569&gt;0,E569,0))))))</f>
        <v>248.44</v>
      </c>
      <c r="H569" s="66" t="n">
        <v>43952</v>
      </c>
    </row>
    <row r="570" customFormat="false" ht="13.8" hidden="false" customHeight="false" outlineLevel="0" collapsed="false">
      <c r="A570" s="59" t="s">
        <v>29</v>
      </c>
      <c r="B570" s="85" t="s">
        <v>476</v>
      </c>
      <c r="C570" s="86" t="s">
        <v>70</v>
      </c>
      <c r="D570" s="87"/>
      <c r="E570" s="88" t="n">
        <v>218.37</v>
      </c>
      <c r="F570" s="64" t="n">
        <f aca="false">IF(ISNUMBER(FIND("SALDO ANTERIOR",C570)),0,IF(ISNUMBER(FIND("SALDO DO DIA",C570)),0,IF(ISNUMBER(FIND("SALDO PARCIAL",C570)),0,IF(ISNUMBER(FIND("SDO CTA/APL AUTOMATICAS",C570)),0,IF(ISNUMBER(FIND("APL APLIC AUT MAIS",C570)),0,IF(ISNUMBER(FIND("TEC DEPOSITO",C570)),0,IF(E570&gt;0,0,E570*(-1))))))))</f>
        <v>0</v>
      </c>
      <c r="G570" s="65" t="n">
        <f aca="false">IF(ISNUMBER(FIND("SALDO ANTERIOR",C570)),0,IF(ISNUMBER(FIND("SALDO DO DIA",C570)),0,IF(ISNUMBER(FIND("SDO CTA/APL AUTOMATICAS",C570)),0,IF(ISNUMBER(FIND("TEC DEPOSITO",C570)),0,IF(ISNUMBER(FIND("APL APLIC AUT MAIS",C570)),E570,IF(E570&gt;0,E570,0))))))</f>
        <v>218.37</v>
      </c>
      <c r="H570" s="66" t="n">
        <v>43952</v>
      </c>
    </row>
    <row r="571" customFormat="false" ht="13.8" hidden="false" customHeight="false" outlineLevel="0" collapsed="false">
      <c r="A571" s="59" t="s">
        <v>29</v>
      </c>
      <c r="B571" s="85" t="s">
        <v>481</v>
      </c>
      <c r="C571" s="86" t="s">
        <v>70</v>
      </c>
      <c r="D571" s="87"/>
      <c r="E571" s="88" t="n">
        <v>218.37</v>
      </c>
      <c r="F571" s="64" t="n">
        <f aca="false">IF(ISNUMBER(FIND("SALDO ANTERIOR",C571)),0,IF(ISNUMBER(FIND("SALDO DO DIA",C571)),0,IF(ISNUMBER(FIND("SALDO PARCIAL",C571)),0,IF(ISNUMBER(FIND("SDO CTA/APL AUTOMATICAS",C571)),0,IF(ISNUMBER(FIND("APL APLIC AUT MAIS",C571)),0,IF(ISNUMBER(FIND("TEC DEPOSITO",C571)),0,IF(E571&gt;0,0,E571*(-1))))))))</f>
        <v>0</v>
      </c>
      <c r="G571" s="65" t="n">
        <f aca="false">IF(ISNUMBER(FIND("SALDO ANTERIOR",C571)),0,IF(ISNUMBER(FIND("SALDO DO DIA",C571)),0,IF(ISNUMBER(FIND("SDO CTA/APL AUTOMATICAS",C571)),0,IF(ISNUMBER(FIND("TEC DEPOSITO",C571)),0,IF(ISNUMBER(FIND("APL APLIC AUT MAIS",C571)),E571,IF(E571&gt;0,E571,0))))))</f>
        <v>218.37</v>
      </c>
      <c r="H571" s="66" t="n">
        <v>43952</v>
      </c>
    </row>
    <row r="572" customFormat="false" ht="13.8" hidden="false" customHeight="false" outlineLevel="0" collapsed="false">
      <c r="A572" s="59" t="s">
        <v>29</v>
      </c>
      <c r="B572" s="85" t="s">
        <v>482</v>
      </c>
      <c r="C572" s="86" t="s">
        <v>70</v>
      </c>
      <c r="D572" s="87"/>
      <c r="E572" s="88" t="n">
        <v>218.37</v>
      </c>
      <c r="F572" s="64" t="n">
        <f aca="false">IF(ISNUMBER(FIND("SALDO ANTERIOR",C572)),0,IF(ISNUMBER(FIND("SALDO DO DIA",C572)),0,IF(ISNUMBER(FIND("SALDO PARCIAL",C572)),0,IF(ISNUMBER(FIND("SDO CTA/APL AUTOMATICAS",C572)),0,IF(ISNUMBER(FIND("APL APLIC AUT MAIS",C572)),0,IF(ISNUMBER(FIND("TEC DEPOSITO",C572)),0,IF(E572&gt;0,0,E572*(-1))))))))</f>
        <v>0</v>
      </c>
      <c r="G572" s="65" t="n">
        <f aca="false">IF(ISNUMBER(FIND("SALDO ANTERIOR",C572)),0,IF(ISNUMBER(FIND("SALDO DO DIA",C572)),0,IF(ISNUMBER(FIND("SDO CTA/APL AUTOMATICAS",C572)),0,IF(ISNUMBER(FIND("TEC DEPOSITO",C572)),0,IF(ISNUMBER(FIND("APL APLIC AUT MAIS",C572)),E572,IF(E572&gt;0,E572,0))))))</f>
        <v>218.37</v>
      </c>
      <c r="H572" s="66" t="n">
        <v>43952</v>
      </c>
    </row>
    <row r="573" customFormat="false" ht="13.8" hidden="false" customHeight="false" outlineLevel="0" collapsed="false">
      <c r="A573" s="59" t="s">
        <v>71</v>
      </c>
      <c r="B573" s="85" t="s">
        <v>483</v>
      </c>
      <c r="C573" s="86" t="s">
        <v>85</v>
      </c>
      <c r="D573" s="87" t="s">
        <v>64</v>
      </c>
      <c r="E573" s="89" t="n">
        <v>-20.7</v>
      </c>
      <c r="F573" s="64" t="n">
        <f aca="false">IF(ISNUMBER(FIND("SALDO ANTERIOR",C573)),0,IF(ISNUMBER(FIND("SALDO DO DIA",C573)),0,IF(ISNUMBER(FIND("SALDO PARCIAL",C573)),0,IF(ISNUMBER(FIND("SDO CTA/APL AUTOMATICAS",C573)),0,IF(ISNUMBER(FIND("APL APLIC AUT MAIS",C573)),0,IF(ISNUMBER(FIND("TEC DEPOSITO",C573)),0,IF(E573&gt;0,0,E573*(-1))))))))</f>
        <v>20.7</v>
      </c>
      <c r="G573" s="65" t="n">
        <f aca="false">IF(ISNUMBER(FIND("SALDO ANTERIOR",C573)),0,IF(ISNUMBER(FIND("SALDO DO DIA",C573)),0,IF(ISNUMBER(FIND("SDO CTA/APL AUTOMATICAS",C573)),0,IF(ISNUMBER(FIND("TEC DEPOSITO",C573)),0,IF(ISNUMBER(FIND("APL APLIC AUT MAIS",C573)),E573,IF(E573&gt;0,E573,0))))))</f>
        <v>0</v>
      </c>
      <c r="H573" s="66" t="n">
        <v>43952</v>
      </c>
    </row>
    <row r="574" customFormat="false" ht="13.8" hidden="false" customHeight="false" outlineLevel="0" collapsed="false">
      <c r="A574" s="59" t="s">
        <v>74</v>
      </c>
      <c r="B574" s="85" t="s">
        <v>483</v>
      </c>
      <c r="C574" s="86" t="s">
        <v>457</v>
      </c>
      <c r="D574" s="87" t="s">
        <v>64</v>
      </c>
      <c r="E574" s="89" t="n">
        <v>-43.44</v>
      </c>
      <c r="F574" s="64" t="n">
        <f aca="false">IF(ISNUMBER(FIND("SALDO ANTERIOR",C574)),0,IF(ISNUMBER(FIND("SALDO DO DIA",C574)),0,IF(ISNUMBER(FIND("SALDO PARCIAL",C574)),0,IF(ISNUMBER(FIND("SDO CTA/APL AUTOMATICAS",C574)),0,IF(ISNUMBER(FIND("APL APLIC AUT MAIS",C574)),0,IF(ISNUMBER(FIND("TEC DEPOSITO",C574)),0,IF(E574&gt;0,0,E574*(-1))))))))</f>
        <v>43.44</v>
      </c>
      <c r="G574" s="65" t="n">
        <f aca="false">IF(ISNUMBER(FIND("SALDO ANTERIOR",C574)),0,IF(ISNUMBER(FIND("SALDO DO DIA",C574)),0,IF(ISNUMBER(FIND("SDO CTA/APL AUTOMATICAS",C574)),0,IF(ISNUMBER(FIND("TEC DEPOSITO",C574)),0,IF(ISNUMBER(FIND("APL APLIC AUT MAIS",C574)),E574,IF(E574&gt;0,E574,0))))))</f>
        <v>0</v>
      </c>
      <c r="H574" s="66" t="n">
        <v>43952</v>
      </c>
    </row>
    <row r="575" customFormat="false" ht="13.8" hidden="false" customHeight="false" outlineLevel="0" collapsed="false">
      <c r="A575" s="59" t="s">
        <v>67</v>
      </c>
      <c r="B575" s="85" t="s">
        <v>483</v>
      </c>
      <c r="C575" s="86" t="s">
        <v>69</v>
      </c>
      <c r="D575" s="87"/>
      <c r="E575" s="88" t="n">
        <v>64.14</v>
      </c>
      <c r="F575" s="64" t="n">
        <f aca="false">IF(ISNUMBER(FIND("SALDO ANTERIOR",C575)),0,IF(ISNUMBER(FIND("SALDO DO DIA",C575)),0,IF(ISNUMBER(FIND("SALDO PARCIAL",C575)),0,IF(ISNUMBER(FIND("SDO CTA/APL AUTOMATICAS",C575)),0,IF(ISNUMBER(FIND("APL APLIC AUT MAIS",C575)),0,IF(ISNUMBER(FIND("TEC DEPOSITO",C575)),0,IF(E575&gt;0,0,E575*(-1))))))))</f>
        <v>0</v>
      </c>
      <c r="G575" s="65" t="n">
        <f aca="false">IF(ISNUMBER(FIND("SALDO ANTERIOR",C575)),0,IF(ISNUMBER(FIND("SALDO DO DIA",C575)),0,IF(ISNUMBER(FIND("SDO CTA/APL AUTOMATICAS",C575)),0,IF(ISNUMBER(FIND("TEC DEPOSITO",C575)),0,IF(ISNUMBER(FIND("APL APLIC AUT MAIS",C575)),E575,IF(E575&gt;0,E575,0))))))</f>
        <v>64.14</v>
      </c>
      <c r="H575" s="66" t="n">
        <v>43952</v>
      </c>
    </row>
    <row r="576" customFormat="false" ht="13.8" hidden="false" customHeight="false" outlineLevel="0" collapsed="false">
      <c r="A576" s="59" t="s">
        <v>29</v>
      </c>
      <c r="B576" s="85" t="s">
        <v>483</v>
      </c>
      <c r="C576" s="86" t="s">
        <v>70</v>
      </c>
      <c r="D576" s="87"/>
      <c r="E576" s="88" t="n">
        <v>154.23</v>
      </c>
      <c r="F576" s="64" t="n">
        <f aca="false">IF(ISNUMBER(FIND("SALDO ANTERIOR",C576)),0,IF(ISNUMBER(FIND("SALDO DO DIA",C576)),0,IF(ISNUMBER(FIND("SALDO PARCIAL",C576)),0,IF(ISNUMBER(FIND("SDO CTA/APL AUTOMATICAS",C576)),0,IF(ISNUMBER(FIND("APL APLIC AUT MAIS",C576)),0,IF(ISNUMBER(FIND("TEC DEPOSITO",C576)),0,IF(E576&gt;0,0,E576*(-1))))))))</f>
        <v>0</v>
      </c>
      <c r="G576" s="65" t="n">
        <f aca="false">IF(ISNUMBER(FIND("SALDO ANTERIOR",C576)),0,IF(ISNUMBER(FIND("SALDO DO DIA",C576)),0,IF(ISNUMBER(FIND("SDO CTA/APL AUTOMATICAS",C576)),0,IF(ISNUMBER(FIND("TEC DEPOSITO",C576)),0,IF(ISNUMBER(FIND("APL APLIC AUT MAIS",C576)),E576,IF(E576&gt;0,E576,0))))))</f>
        <v>154.23</v>
      </c>
      <c r="H576" s="66" t="n">
        <v>43952</v>
      </c>
    </row>
    <row r="577" customFormat="false" ht="13.8" hidden="false" customHeight="false" outlineLevel="0" collapsed="false">
      <c r="A577" s="59" t="s">
        <v>76</v>
      </c>
      <c r="B577" s="85" t="s">
        <v>484</v>
      </c>
      <c r="C577" s="86" t="s">
        <v>102</v>
      </c>
      <c r="D577" s="87" t="s">
        <v>64</v>
      </c>
      <c r="E577" s="89" t="n">
        <v>-10</v>
      </c>
      <c r="F577" s="64" t="n">
        <f aca="false">IF(ISNUMBER(FIND("SALDO ANTERIOR",C577)),0,IF(ISNUMBER(FIND("SALDO DO DIA",C577)),0,IF(ISNUMBER(FIND("SALDO PARCIAL",C577)),0,IF(ISNUMBER(FIND("SDO CTA/APL AUTOMATICAS",C577)),0,IF(ISNUMBER(FIND("APL APLIC AUT MAIS",C577)),0,IF(ISNUMBER(FIND("TEC DEPOSITO",C577)),0,IF(E577&gt;0,0,E577*(-1))))))))</f>
        <v>10</v>
      </c>
      <c r="G577" s="65" t="n">
        <f aca="false">IF(ISNUMBER(FIND("SALDO ANTERIOR",C577)),0,IF(ISNUMBER(FIND("SALDO DO DIA",C577)),0,IF(ISNUMBER(FIND("SDO CTA/APL AUTOMATICAS",C577)),0,IF(ISNUMBER(FIND("TEC DEPOSITO",C577)),0,IF(ISNUMBER(FIND("APL APLIC AUT MAIS",C577)),E577,IF(E577&gt;0,E577,0))))))</f>
        <v>0</v>
      </c>
      <c r="H577" s="66" t="n">
        <v>43952</v>
      </c>
    </row>
    <row r="578" customFormat="false" ht="13.8" hidden="false" customHeight="false" outlineLevel="0" collapsed="false">
      <c r="A578" s="59" t="s">
        <v>71</v>
      </c>
      <c r="B578" s="85" t="s">
        <v>484</v>
      </c>
      <c r="C578" s="86" t="s">
        <v>85</v>
      </c>
      <c r="D578" s="87" t="s">
        <v>64</v>
      </c>
      <c r="E578" s="89" t="n">
        <v>-80.13</v>
      </c>
      <c r="F578" s="64" t="n">
        <f aca="false">IF(ISNUMBER(FIND("SALDO ANTERIOR",C578)),0,IF(ISNUMBER(FIND("SALDO DO DIA",C578)),0,IF(ISNUMBER(FIND("SALDO PARCIAL",C578)),0,IF(ISNUMBER(FIND("SDO CTA/APL AUTOMATICAS",C578)),0,IF(ISNUMBER(FIND("APL APLIC AUT MAIS",C578)),0,IF(ISNUMBER(FIND("TEC DEPOSITO",C578)),0,IF(E578&gt;0,0,E578*(-1))))))))</f>
        <v>80.13</v>
      </c>
      <c r="G578" s="65" t="n">
        <f aca="false">IF(ISNUMBER(FIND("SALDO ANTERIOR",C578)),0,IF(ISNUMBER(FIND("SALDO DO DIA",C578)),0,IF(ISNUMBER(FIND("SDO CTA/APL AUTOMATICAS",C578)),0,IF(ISNUMBER(FIND("TEC DEPOSITO",C578)),0,IF(ISNUMBER(FIND("APL APLIC AUT MAIS",C578)),E578,IF(E578&gt;0,E578,0))))))</f>
        <v>0</v>
      </c>
      <c r="H578" s="66" t="n">
        <v>43952</v>
      </c>
    </row>
    <row r="579" customFormat="false" ht="13.8" hidden="false" customHeight="false" outlineLevel="0" collapsed="false">
      <c r="A579" s="59" t="s">
        <v>76</v>
      </c>
      <c r="B579" s="85" t="s">
        <v>484</v>
      </c>
      <c r="C579" s="86" t="s">
        <v>179</v>
      </c>
      <c r="D579" s="87" t="s">
        <v>64</v>
      </c>
      <c r="E579" s="89" t="n">
        <v>-31.05</v>
      </c>
      <c r="F579" s="64" t="n">
        <f aca="false">IF(ISNUMBER(FIND("SALDO ANTERIOR",C579)),0,IF(ISNUMBER(FIND("SALDO DO DIA",C579)),0,IF(ISNUMBER(FIND("SALDO PARCIAL",C579)),0,IF(ISNUMBER(FIND("SDO CTA/APL AUTOMATICAS",C579)),0,IF(ISNUMBER(FIND("APL APLIC AUT MAIS",C579)),0,IF(ISNUMBER(FIND("TEC DEPOSITO",C579)),0,IF(E579&gt;0,0,E579*(-1))))))))</f>
        <v>31.05</v>
      </c>
      <c r="G579" s="65" t="n">
        <f aca="false">IF(ISNUMBER(FIND("SALDO ANTERIOR",C579)),0,IF(ISNUMBER(FIND("SALDO DO DIA",C579)),0,IF(ISNUMBER(FIND("SDO CTA/APL AUTOMATICAS",C579)),0,IF(ISNUMBER(FIND("TEC DEPOSITO",C579)),0,IF(ISNUMBER(FIND("APL APLIC AUT MAIS",C579)),E579,IF(E579&gt;0,E579,0))))))</f>
        <v>0</v>
      </c>
      <c r="H579" s="66" t="n">
        <v>43952</v>
      </c>
    </row>
    <row r="580" customFormat="false" ht="13.8" hidden="false" customHeight="false" outlineLevel="0" collapsed="false">
      <c r="A580" s="59" t="s">
        <v>29</v>
      </c>
      <c r="B580" s="85" t="s">
        <v>484</v>
      </c>
      <c r="C580" s="86" t="s">
        <v>110</v>
      </c>
      <c r="D580" s="87"/>
      <c r="E580" s="89" t="n">
        <v>-111.18</v>
      </c>
      <c r="F580" s="64" t="n">
        <f aca="false">IF(ISNUMBER(FIND("SALDO ANTERIOR",C580)),0,IF(ISNUMBER(FIND("SALDO DO DIA",C580)),0,IF(ISNUMBER(FIND("SALDO PARCIAL",C580)),0,IF(ISNUMBER(FIND("SDO CTA/APL AUTOMATICAS",C580)),0,IF(ISNUMBER(FIND("APL APLIC AUT MAIS",C580)),0,IF(ISNUMBER(FIND("TEC DEPOSITO",C580)),0,IF(E580&gt;0,0,E580*(-1))))))))</f>
        <v>0</v>
      </c>
      <c r="G580" s="65" t="n">
        <f aca="false">IF(ISNUMBER(FIND("SALDO ANTERIOR",C580)),0,IF(ISNUMBER(FIND("SALDO DO DIA",C580)),0,IF(ISNUMBER(FIND("SDO CTA/APL AUTOMATICAS",C580)),0,IF(ISNUMBER(FIND("TEC DEPOSITO",C580)),0,IF(ISNUMBER(FIND("APL APLIC AUT MAIS",C580)),E580,IF(E580&gt;0,E580,0))))))</f>
        <v>0</v>
      </c>
      <c r="H580" s="66" t="n">
        <v>43952</v>
      </c>
    </row>
    <row r="581" customFormat="false" ht="15" hidden="false" customHeight="false" outlineLevel="0" collapsed="false">
      <c r="A581" s="59" t="s">
        <v>29</v>
      </c>
      <c r="B581" s="85" t="s">
        <v>484</v>
      </c>
      <c r="C581" s="90" t="s">
        <v>111</v>
      </c>
      <c r="D581" s="87"/>
      <c r="E581" s="92" t="n">
        <v>-111.18</v>
      </c>
      <c r="F581" s="64" t="n">
        <f aca="false">IF(ISNUMBER(FIND("SALDO ANTERIOR",C581)),0,IF(ISNUMBER(FIND("SALDO DO DIA",C581)),0,IF(ISNUMBER(FIND("SALDO PARCIAL",C581)),0,IF(ISNUMBER(FIND("SDO CTA/APL AUTOMATICAS",C581)),0,IF(ISNUMBER(FIND("APL APLIC AUT MAIS",C581)),0,IF(ISNUMBER(FIND("TEC DEPOSITO",C581)),0,IF(E581&gt;0,0,E581*(-1))))))))</f>
        <v>0</v>
      </c>
      <c r="G581" s="65" t="n">
        <f aca="false">IF(ISNUMBER(FIND("SALDO ANTERIOR",C581)),0,IF(ISNUMBER(FIND("SALDO DO DIA",C581)),0,IF(ISNUMBER(FIND("SDO CTA/APL AUTOMATICAS",C581)),0,IF(ISNUMBER(FIND("TEC DEPOSITO",C581)),0,IF(ISNUMBER(FIND("APL APLIC AUT MAIS",C581)),E581,IF(E581&gt;0,E581,0))))))</f>
        <v>0</v>
      </c>
      <c r="H581" s="66" t="n">
        <v>43952</v>
      </c>
    </row>
    <row r="582" customFormat="false" ht="13.8" hidden="false" customHeight="false" outlineLevel="0" collapsed="false">
      <c r="A582" s="59" t="s">
        <v>65</v>
      </c>
      <c r="B582" s="85" t="s">
        <v>484</v>
      </c>
      <c r="C582" s="86" t="s">
        <v>485</v>
      </c>
      <c r="D582" s="87" t="s">
        <v>64</v>
      </c>
      <c r="E582" s="89" t="n">
        <v>-30</v>
      </c>
      <c r="F582" s="64" t="n">
        <f aca="false">IF(ISNUMBER(FIND("SALDO ANTERIOR",C582)),0,IF(ISNUMBER(FIND("SALDO DO DIA",C582)),0,IF(ISNUMBER(FIND("SALDO PARCIAL",C582)),0,IF(ISNUMBER(FIND("SDO CTA/APL AUTOMATICAS",C582)),0,IF(ISNUMBER(FIND("APL APLIC AUT MAIS",C582)),0,IF(ISNUMBER(FIND("TEC DEPOSITO",C582)),0,IF(E582&gt;0,0,E582*(-1))))))))</f>
        <v>30</v>
      </c>
      <c r="G582" s="65" t="n">
        <f aca="false">IF(ISNUMBER(FIND("SALDO ANTERIOR",C582)),0,IF(ISNUMBER(FIND("SALDO DO DIA",C582)),0,IF(ISNUMBER(FIND("SDO CTA/APL AUTOMATICAS",C582)),0,IF(ISNUMBER(FIND("TEC DEPOSITO",C582)),0,IF(ISNUMBER(FIND("APL APLIC AUT MAIS",C582)),E582,IF(E582&gt;0,E582,0))))))</f>
        <v>0</v>
      </c>
      <c r="H582" s="66" t="n">
        <v>43952</v>
      </c>
    </row>
    <row r="583" customFormat="false" ht="13.8" hidden="false" customHeight="false" outlineLevel="0" collapsed="false">
      <c r="A583" s="59" t="s">
        <v>65</v>
      </c>
      <c r="B583" s="85" t="s">
        <v>484</v>
      </c>
      <c r="C583" s="86" t="s">
        <v>486</v>
      </c>
      <c r="D583" s="87" t="s">
        <v>64</v>
      </c>
      <c r="E583" s="89" t="n">
        <v>-11.9</v>
      </c>
      <c r="F583" s="64" t="n">
        <f aca="false">IF(ISNUMBER(FIND("SALDO ANTERIOR",C583)),0,IF(ISNUMBER(FIND("SALDO DO DIA",C583)),0,IF(ISNUMBER(FIND("SALDO PARCIAL",C583)),0,IF(ISNUMBER(FIND("SDO CTA/APL AUTOMATICAS",C583)),0,IF(ISNUMBER(FIND("APL APLIC AUT MAIS",C583)),0,IF(ISNUMBER(FIND("TEC DEPOSITO",C583)),0,IF(E583&gt;0,0,E583*(-1))))))))</f>
        <v>11.9</v>
      </c>
      <c r="G583" s="65" t="n">
        <f aca="false">IF(ISNUMBER(FIND("SALDO ANTERIOR",C583)),0,IF(ISNUMBER(FIND("SALDO DO DIA",C583)),0,IF(ISNUMBER(FIND("SDO CTA/APL AUTOMATICAS",C583)),0,IF(ISNUMBER(FIND("TEC DEPOSITO",C583)),0,IF(ISNUMBER(FIND("APL APLIC AUT MAIS",C583)),E583,IF(E583&gt;0,E583,0))))))</f>
        <v>0</v>
      </c>
      <c r="H583" s="66" t="n">
        <v>43952</v>
      </c>
    </row>
    <row r="584" customFormat="false" ht="13.8" hidden="false" customHeight="false" outlineLevel="0" collapsed="false">
      <c r="A584" s="59" t="s">
        <v>65</v>
      </c>
      <c r="B584" s="85" t="s">
        <v>484</v>
      </c>
      <c r="C584" s="86" t="s">
        <v>487</v>
      </c>
      <c r="D584" s="87" t="s">
        <v>64</v>
      </c>
      <c r="E584" s="89" t="n">
        <v>-40</v>
      </c>
      <c r="F584" s="64" t="n">
        <f aca="false">IF(ISNUMBER(FIND("SALDO ANTERIOR",C584)),0,IF(ISNUMBER(FIND("SALDO DO DIA",C584)),0,IF(ISNUMBER(FIND("SALDO PARCIAL",C584)),0,IF(ISNUMBER(FIND("SDO CTA/APL AUTOMATICAS",C584)),0,IF(ISNUMBER(FIND("APL APLIC AUT MAIS",C584)),0,IF(ISNUMBER(FIND("TEC DEPOSITO",C584)),0,IF(E584&gt;0,0,E584*(-1))))))))</f>
        <v>40</v>
      </c>
      <c r="G584" s="65" t="n">
        <f aca="false">IF(ISNUMBER(FIND("SALDO ANTERIOR",C584)),0,IF(ISNUMBER(FIND("SALDO DO DIA",C584)),0,IF(ISNUMBER(FIND("SDO CTA/APL AUTOMATICAS",C584)),0,IF(ISNUMBER(FIND("TEC DEPOSITO",C584)),0,IF(ISNUMBER(FIND("APL APLIC AUT MAIS",C584)),E584,IF(E584&gt;0,E584,0))))))</f>
        <v>0</v>
      </c>
      <c r="H584" s="66" t="n">
        <v>43952</v>
      </c>
    </row>
    <row r="585" customFormat="false" ht="13.8" hidden="false" customHeight="false" outlineLevel="0" collapsed="false">
      <c r="A585" s="59" t="s">
        <v>67</v>
      </c>
      <c r="B585" s="85" t="s">
        <v>484</v>
      </c>
      <c r="C585" s="86" t="s">
        <v>69</v>
      </c>
      <c r="D585" s="87"/>
      <c r="E585" s="88" t="n">
        <v>154.23</v>
      </c>
      <c r="F585" s="64" t="n">
        <f aca="false">IF(ISNUMBER(FIND("SALDO ANTERIOR",C585)),0,IF(ISNUMBER(FIND("SALDO DO DIA",C585)),0,IF(ISNUMBER(FIND("SALDO PARCIAL",C585)),0,IF(ISNUMBER(FIND("SDO CTA/APL AUTOMATICAS",C585)),0,IF(ISNUMBER(FIND("APL APLIC AUT MAIS",C585)),0,IF(ISNUMBER(FIND("TEC DEPOSITO",C585)),0,IF(E585&gt;0,0,E585*(-1))))))))</f>
        <v>0</v>
      </c>
      <c r="G585" s="65" t="n">
        <f aca="false">IF(ISNUMBER(FIND("SALDO ANTERIOR",C585)),0,IF(ISNUMBER(FIND("SALDO DO DIA",C585)),0,IF(ISNUMBER(FIND("SDO CTA/APL AUTOMATICAS",C585)),0,IF(ISNUMBER(FIND("TEC DEPOSITO",C585)),0,IF(ISNUMBER(FIND("APL APLIC AUT MAIS",C585)),E585,IF(E585&gt;0,E585,0))))))</f>
        <v>154.23</v>
      </c>
      <c r="H585" s="66" t="n">
        <v>43952</v>
      </c>
    </row>
    <row r="586" customFormat="false" ht="13.8" hidden="false" customHeight="false" outlineLevel="0" collapsed="false">
      <c r="A586" s="59" t="s">
        <v>29</v>
      </c>
      <c r="B586" s="85" t="s">
        <v>484</v>
      </c>
      <c r="C586" s="86" t="s">
        <v>169</v>
      </c>
      <c r="D586" s="87"/>
      <c r="E586" s="89" t="n">
        <v>-38.85</v>
      </c>
      <c r="F586" s="64" t="n">
        <f aca="false">IF(ISNUMBER(FIND("SALDO ANTERIOR",C586)),0,IF(ISNUMBER(FIND("SALDO DO DIA",C586)),0,IF(ISNUMBER(FIND("SALDO FINAL",C586)),0,IF(ISNUMBER(FIND("SALDO PARCIAL",C586)),0,IF(ISNUMBER(FIND("SDO CTA/APL AUTOMATICAS",C586)),0,IF(ISNUMBER(FIND("APL APLIC AUT MAIS",C586)),0,IF(ISNUMBER(FIND("TEC DEPOSITO",C586)),0,IF(E586&gt;0,0,E586*(-1)))))))))</f>
        <v>0</v>
      </c>
      <c r="G586" s="65" t="n">
        <f aca="false">IF(ISNUMBER(FIND("SALDO ANTERIOR",C586)),0,IF(ISNUMBER(FIND("SALDO DO DIA",C586)),0,IF(ISNUMBER(FIND("SDO CTA/APL AUTOMATICAS",C586)),0,IF(ISNUMBER(FIND("TEC DEPOSITO",C586)),0,IF(ISNUMBER(FIND("APL APLIC AUT MAIS",C586)),E586,IF(E586&gt;0,E586,0))))))</f>
        <v>0</v>
      </c>
      <c r="H586" s="66" t="n">
        <v>43952</v>
      </c>
    </row>
    <row r="587" customFormat="false" ht="15" hidden="false" customHeight="false" outlineLevel="0" collapsed="false">
      <c r="A587" s="59" t="s">
        <v>29</v>
      </c>
      <c r="B587" s="74" t="s">
        <v>484</v>
      </c>
      <c r="C587" s="83" t="s">
        <v>111</v>
      </c>
      <c r="D587" s="76"/>
      <c r="E587" s="84" t="n">
        <v>-38.85</v>
      </c>
      <c r="F587" s="78" t="n">
        <f aca="false">IF(ISNUMBER(FIND("SALDO ANTERIOR",C587)),0,IF(ISNUMBER(FIND("SALDO DO DIA",C587)),0,IF(ISNUMBER(FIND("SALDO PARCIAL",C587)),0,IF(ISNUMBER(FIND("SDO CTA/APL AUTOMATICAS",C587)),0,IF(ISNUMBER(FIND("APL APLIC AUT MAIS",C587)),0,IF(ISNUMBER(FIND("TEC DEPOSITO",C587)),0,IF(E587&gt;0,0,E587*(-1))))))))</f>
        <v>0</v>
      </c>
      <c r="G587" s="79" t="n">
        <f aca="false">IF(ISNUMBER(FIND("SALDO ANTERIOR",C587)),0,IF(ISNUMBER(FIND("SALDO DO DIA",C587)),0,IF(ISNUMBER(FIND("SDO CTA/APL AUTOMATICAS",C587)),0,IF(ISNUMBER(FIND("TEC DEPOSITO",C587)),0,IF(ISNUMBER(FIND("APL APLIC AUT MAIS",C587)),E587,IF(E587&gt;0,E587,0))))))</f>
        <v>0</v>
      </c>
      <c r="H587" s="80" t="n">
        <v>43983</v>
      </c>
    </row>
    <row r="588" customFormat="false" ht="13.8" hidden="false" customHeight="false" outlineLevel="0" collapsed="false">
      <c r="A588" s="59" t="s">
        <v>74</v>
      </c>
      <c r="B588" s="74" t="s">
        <v>488</v>
      </c>
      <c r="C588" s="75" t="s">
        <v>489</v>
      </c>
      <c r="D588" s="76" t="s">
        <v>64</v>
      </c>
      <c r="E588" s="81" t="n">
        <v>-3.79</v>
      </c>
      <c r="F588" s="78" t="n">
        <f aca="false">IF(ISNUMBER(FIND("SALDO ANTERIOR",C588)),0,IF(ISNUMBER(FIND("SALDO DO DIA",C588)),0,IF(ISNUMBER(FIND("SALDO PARCIAL",C588)),0,IF(ISNUMBER(FIND("SDO CTA/APL AUTOMATICAS",C588)),0,IF(ISNUMBER(FIND("APL APLIC AUT MAIS",C588)),0,IF(ISNUMBER(FIND("TEC DEPOSITO",C588)),0,IF(E588&gt;0,0,E588*(-1))))))))</f>
        <v>3.79</v>
      </c>
      <c r="G588" s="79" t="n">
        <f aca="false">IF(ISNUMBER(FIND("SALDO ANTERIOR",C588)),0,IF(ISNUMBER(FIND("SALDO DO DIA",C588)),0,IF(ISNUMBER(FIND("SDO CTA/APL AUTOMATICAS",C588)),0,IF(ISNUMBER(FIND("TEC DEPOSITO",C588)),0,IF(ISNUMBER(FIND("APL APLIC AUT MAIS",C588)),E588,IF(E588&gt;0,E588,0))))))</f>
        <v>0</v>
      </c>
      <c r="H588" s="80" t="n">
        <v>43983</v>
      </c>
    </row>
    <row r="589" customFormat="false" ht="13.8" hidden="false" customHeight="false" outlineLevel="0" collapsed="false">
      <c r="A589" s="59" t="s">
        <v>65</v>
      </c>
      <c r="B589" s="74" t="s">
        <v>488</v>
      </c>
      <c r="C589" s="75" t="s">
        <v>490</v>
      </c>
      <c r="D589" s="76" t="s">
        <v>64</v>
      </c>
      <c r="E589" s="81" t="n">
        <v>-5</v>
      </c>
      <c r="F589" s="78" t="n">
        <f aca="false">IF(ISNUMBER(FIND("SALDO ANTERIOR",C589)),0,IF(ISNUMBER(FIND("SALDO DO DIA",C589)),0,IF(ISNUMBER(FIND("SALDO PARCIAL",C589)),0,IF(ISNUMBER(FIND("SDO CTA/APL AUTOMATICAS",C589)),0,IF(ISNUMBER(FIND("APL APLIC AUT MAIS",C589)),0,IF(ISNUMBER(FIND("TEC DEPOSITO",C589)),0,IF(E589&gt;0,0,E589*(-1))))))))</f>
        <v>5</v>
      </c>
      <c r="G589" s="79" t="n">
        <f aca="false">IF(ISNUMBER(FIND("SALDO ANTERIOR",C589)),0,IF(ISNUMBER(FIND("SALDO DO DIA",C589)),0,IF(ISNUMBER(FIND("SDO CTA/APL AUTOMATICAS",C589)),0,IF(ISNUMBER(FIND("TEC DEPOSITO",C589)),0,IF(ISNUMBER(FIND("APL APLIC AUT MAIS",C589)),E589,IF(E589&gt;0,E589,0))))))</f>
        <v>0</v>
      </c>
      <c r="H589" s="80" t="n">
        <v>43983</v>
      </c>
    </row>
    <row r="590" customFormat="false" ht="13.8" hidden="false" customHeight="false" outlineLevel="0" collapsed="false">
      <c r="A590" s="59" t="s">
        <v>87</v>
      </c>
      <c r="B590" s="74" t="s">
        <v>488</v>
      </c>
      <c r="C590" s="75" t="s">
        <v>88</v>
      </c>
      <c r="D590" s="76" t="s">
        <v>64</v>
      </c>
      <c r="E590" s="81" t="n">
        <v>-10</v>
      </c>
      <c r="F590" s="78" t="n">
        <f aca="false">IF(ISNUMBER(FIND("SALDO ANTERIOR",C590)),0,IF(ISNUMBER(FIND("SALDO DO DIA",C590)),0,IF(ISNUMBER(FIND("SALDO PARCIAL",C590)),0,IF(ISNUMBER(FIND("SDO CTA/APL AUTOMATICAS",C590)),0,IF(ISNUMBER(FIND("APL APLIC AUT MAIS",C590)),0,IF(ISNUMBER(FIND("TEC DEPOSITO",C590)),0,IF(E590&gt;0,0,E590*(-1))))))))</f>
        <v>10</v>
      </c>
      <c r="G590" s="79" t="n">
        <f aca="false">IF(ISNUMBER(FIND("SALDO ANTERIOR",C590)),0,IF(ISNUMBER(FIND("SALDO DO DIA",C590)),0,IF(ISNUMBER(FIND("SDO CTA/APL AUTOMATICAS",C590)),0,IF(ISNUMBER(FIND("TEC DEPOSITO",C590)),0,IF(ISNUMBER(FIND("APL APLIC AUT MAIS",C590)),E590,IF(E590&gt;0,E590,0))))))</f>
        <v>0</v>
      </c>
      <c r="H590" s="80" t="n">
        <v>43983</v>
      </c>
    </row>
    <row r="591" customFormat="false" ht="13.8" hidden="false" customHeight="false" outlineLevel="0" collapsed="false">
      <c r="A591" s="59" t="s">
        <v>65</v>
      </c>
      <c r="B591" s="74" t="s">
        <v>488</v>
      </c>
      <c r="C591" s="75" t="s">
        <v>491</v>
      </c>
      <c r="D591" s="76" t="s">
        <v>64</v>
      </c>
      <c r="E591" s="81" t="n">
        <v>-32</v>
      </c>
      <c r="F591" s="78" t="n">
        <f aca="false">IF(ISNUMBER(FIND("SALDO ANTERIOR",C591)),0,IF(ISNUMBER(FIND("SALDO DO DIA",C591)),0,IF(ISNUMBER(FIND("SALDO PARCIAL",C591)),0,IF(ISNUMBER(FIND("SDO CTA/APL AUTOMATICAS",C591)),0,IF(ISNUMBER(FIND("APL APLIC AUT MAIS",C591)),0,IF(ISNUMBER(FIND("TEC DEPOSITO",C591)),0,IF(E591&gt;0,0,E591*(-1))))))))</f>
        <v>32</v>
      </c>
      <c r="G591" s="79" t="n">
        <f aca="false">IF(ISNUMBER(FIND("SALDO ANTERIOR",C591)),0,IF(ISNUMBER(FIND("SALDO DO DIA",C591)),0,IF(ISNUMBER(FIND("SDO CTA/APL AUTOMATICAS",C591)),0,IF(ISNUMBER(FIND("TEC DEPOSITO",C591)),0,IF(ISNUMBER(FIND("APL APLIC AUT MAIS",C591)),E591,IF(E591&gt;0,E591,0))))))</f>
        <v>0</v>
      </c>
      <c r="H591" s="80" t="n">
        <v>43983</v>
      </c>
    </row>
    <row r="592" customFormat="false" ht="13.8" hidden="false" customHeight="false" outlineLevel="0" collapsed="false">
      <c r="A592" s="59" t="s">
        <v>65</v>
      </c>
      <c r="B592" s="74" t="s">
        <v>488</v>
      </c>
      <c r="C592" s="75" t="s">
        <v>492</v>
      </c>
      <c r="D592" s="76" t="s">
        <v>64</v>
      </c>
      <c r="E592" s="81" t="n">
        <v>-5</v>
      </c>
      <c r="F592" s="78" t="n">
        <f aca="false">IF(ISNUMBER(FIND("SALDO ANTERIOR",C592)),0,IF(ISNUMBER(FIND("SALDO DO DIA",C592)),0,IF(ISNUMBER(FIND("SALDO PARCIAL",C592)),0,IF(ISNUMBER(FIND("SDO CTA/APL AUTOMATICAS",C592)),0,IF(ISNUMBER(FIND("APL APLIC AUT MAIS",C592)),0,IF(ISNUMBER(FIND("TEC DEPOSITO",C592)),0,IF(E592&gt;0,0,E592*(-1))))))))</f>
        <v>5</v>
      </c>
      <c r="G592" s="79" t="n">
        <f aca="false">IF(ISNUMBER(FIND("SALDO ANTERIOR",C592)),0,IF(ISNUMBER(FIND("SALDO DO DIA",C592)),0,IF(ISNUMBER(FIND("SDO CTA/APL AUTOMATICAS",C592)),0,IF(ISNUMBER(FIND("TEC DEPOSITO",C592)),0,IF(ISNUMBER(FIND("APL APLIC AUT MAIS",C592)),E592,IF(E592&gt;0,E592,0))))))</f>
        <v>0</v>
      </c>
      <c r="H592" s="80" t="n">
        <v>43983</v>
      </c>
    </row>
    <row r="593" customFormat="false" ht="13.8" hidden="false" customHeight="false" outlineLevel="0" collapsed="false">
      <c r="A593" s="59" t="s">
        <v>65</v>
      </c>
      <c r="B593" s="74" t="s">
        <v>488</v>
      </c>
      <c r="C593" s="75" t="s">
        <v>94</v>
      </c>
      <c r="D593" s="76" t="s">
        <v>64</v>
      </c>
      <c r="E593" s="81" t="n">
        <v>-3</v>
      </c>
      <c r="F593" s="78" t="n">
        <f aca="false">IF(ISNUMBER(FIND("SALDO ANTERIOR",C593)),0,IF(ISNUMBER(FIND("SALDO DO DIA",C593)),0,IF(ISNUMBER(FIND("SALDO PARCIAL",C593)),0,IF(ISNUMBER(FIND("SDO CTA/APL AUTOMATICAS",C593)),0,IF(ISNUMBER(FIND("APL APLIC AUT MAIS",C593)),0,IF(ISNUMBER(FIND("TEC DEPOSITO",C593)),0,IF(E593&gt;0,0,E593*(-1))))))))</f>
        <v>3</v>
      </c>
      <c r="G593" s="79" t="n">
        <f aca="false">IF(ISNUMBER(FIND("SALDO ANTERIOR",C593)),0,IF(ISNUMBER(FIND("SALDO DO DIA",C593)),0,IF(ISNUMBER(FIND("SDO CTA/APL AUTOMATICAS",C593)),0,IF(ISNUMBER(FIND("TEC DEPOSITO",C593)),0,IF(ISNUMBER(FIND("APL APLIC AUT MAIS",C593)),E593,IF(E593&gt;0,E593,0))))))</f>
        <v>0</v>
      </c>
      <c r="H593" s="80" t="n">
        <v>43983</v>
      </c>
    </row>
    <row r="594" customFormat="false" ht="13.8" hidden="false" customHeight="false" outlineLevel="0" collapsed="false">
      <c r="A594" s="59" t="s">
        <v>65</v>
      </c>
      <c r="B594" s="74" t="s">
        <v>488</v>
      </c>
      <c r="C594" s="75" t="s">
        <v>493</v>
      </c>
      <c r="D594" s="76" t="s">
        <v>64</v>
      </c>
      <c r="E594" s="81" t="n">
        <v>-8</v>
      </c>
      <c r="F594" s="78" t="n">
        <f aca="false">IF(ISNUMBER(FIND("SALDO ANTERIOR",C594)),0,IF(ISNUMBER(FIND("SALDO DO DIA",C594)),0,IF(ISNUMBER(FIND("SALDO PARCIAL",C594)),0,IF(ISNUMBER(FIND("SDO CTA/APL AUTOMATICAS",C594)),0,IF(ISNUMBER(FIND("APL APLIC AUT MAIS",C594)),0,IF(ISNUMBER(FIND("TEC DEPOSITO",C594)),0,IF(E594&gt;0,0,E594*(-1))))))))</f>
        <v>8</v>
      </c>
      <c r="G594" s="79" t="n">
        <f aca="false">IF(ISNUMBER(FIND("SALDO ANTERIOR",C594)),0,IF(ISNUMBER(FIND("SALDO DO DIA",C594)),0,IF(ISNUMBER(FIND("SDO CTA/APL AUTOMATICAS",C594)),0,IF(ISNUMBER(FIND("TEC DEPOSITO",C594)),0,IF(ISNUMBER(FIND("APL APLIC AUT MAIS",C594)),E594,IF(E594&gt;0,E594,0))))))</f>
        <v>0</v>
      </c>
      <c r="H594" s="80" t="n">
        <v>43983</v>
      </c>
    </row>
    <row r="595" customFormat="false" ht="13.8" hidden="false" customHeight="false" outlineLevel="0" collapsed="false">
      <c r="A595" s="59" t="s">
        <v>65</v>
      </c>
      <c r="B595" s="74" t="s">
        <v>488</v>
      </c>
      <c r="C595" s="75" t="s">
        <v>199</v>
      </c>
      <c r="D595" s="76" t="s">
        <v>64</v>
      </c>
      <c r="E595" s="81" t="n">
        <v>-4</v>
      </c>
      <c r="F595" s="78" t="n">
        <f aca="false">IF(ISNUMBER(FIND("SALDO ANTERIOR",C595)),0,IF(ISNUMBER(FIND("SALDO DO DIA",C595)),0,IF(ISNUMBER(FIND("SALDO PARCIAL",C595)),0,IF(ISNUMBER(FIND("SDO CTA/APL AUTOMATICAS",C595)),0,IF(ISNUMBER(FIND("APL APLIC AUT MAIS",C595)),0,IF(ISNUMBER(FIND("TEC DEPOSITO",C595)),0,IF(E595&gt;0,0,E595*(-1))))))))</f>
        <v>4</v>
      </c>
      <c r="G595" s="79" t="n">
        <f aca="false">IF(ISNUMBER(FIND("SALDO ANTERIOR",C595)),0,IF(ISNUMBER(FIND("SALDO DO DIA",C595)),0,IF(ISNUMBER(FIND("SDO CTA/APL AUTOMATICAS",C595)),0,IF(ISNUMBER(FIND("TEC DEPOSITO",C595)),0,IF(ISNUMBER(FIND("APL APLIC AUT MAIS",C595)),E595,IF(E595&gt;0,E595,0))))))</f>
        <v>0</v>
      </c>
      <c r="H595" s="80" t="n">
        <v>43983</v>
      </c>
    </row>
    <row r="596" customFormat="false" ht="13.8" hidden="false" customHeight="false" outlineLevel="0" collapsed="false">
      <c r="A596" s="59" t="s">
        <v>98</v>
      </c>
      <c r="B596" s="74" t="s">
        <v>488</v>
      </c>
      <c r="C596" s="75" t="s">
        <v>99</v>
      </c>
      <c r="D596" s="76" t="s">
        <v>64</v>
      </c>
      <c r="E596" s="81" t="n">
        <v>-86.19</v>
      </c>
      <c r="F596" s="78" t="n">
        <f aca="false">IF(ISNUMBER(FIND("SALDO ANTERIOR",C596)),0,IF(ISNUMBER(FIND("SALDO DO DIA",C596)),0,IF(ISNUMBER(FIND("SALDO PARCIAL",C596)),0,IF(ISNUMBER(FIND("SDO CTA/APL AUTOMATICAS",C596)),0,IF(ISNUMBER(FIND("APL APLIC AUT MAIS",C596)),0,IF(ISNUMBER(FIND("TEC DEPOSITO",C596)),0,IF(E596&gt;0,0,E596*(-1))))))))</f>
        <v>86.19</v>
      </c>
      <c r="G596" s="79" t="n">
        <f aca="false">IF(ISNUMBER(FIND("SALDO ANTERIOR",C596)),0,IF(ISNUMBER(FIND("SALDO DO DIA",C596)),0,IF(ISNUMBER(FIND("SDO CTA/APL AUTOMATICAS",C596)),0,IF(ISNUMBER(FIND("TEC DEPOSITO",C596)),0,IF(ISNUMBER(FIND("APL APLIC AUT MAIS",C596)),E596,IF(E596&gt;0,E596,0))))))</f>
        <v>0</v>
      </c>
      <c r="H596" s="80" t="n">
        <v>43983</v>
      </c>
    </row>
    <row r="597" customFormat="false" ht="15" hidden="false" customHeight="false" outlineLevel="0" collapsed="false">
      <c r="A597" s="59" t="s">
        <v>29</v>
      </c>
      <c r="B597" s="74" t="s">
        <v>488</v>
      </c>
      <c r="C597" s="83" t="s">
        <v>494</v>
      </c>
      <c r="D597" s="76"/>
      <c r="E597" s="84" t="n">
        <v>-195.83</v>
      </c>
      <c r="F597" s="78" t="n">
        <f aca="false">IF(ISNUMBER(FIND("SALDO ANTERIOR",C597)),0,IF(ISNUMBER(FIND("SALDO DO DIA",C597)),0,IF(ISNUMBER(FIND("SALDO PARCIAL",C597)),0,IF(ISNUMBER(FIND("SDO CTA/APL AUTOMATICAS",C597)),0,IF(ISNUMBER(FIND("APL APLIC AUT MAIS",C597)),0,IF(ISNUMBER(FIND("TEC DEPOSITO",C597)),0,IF(E597&gt;0,0,E597*(-1))))))))</f>
        <v>0</v>
      </c>
      <c r="G597" s="79" t="n">
        <f aca="false">IF(ISNUMBER(FIND("SALDO ANTERIOR",C597)),0,IF(ISNUMBER(FIND("SALDO DO DIA",C597)),0,IF(ISNUMBER(FIND("SDO CTA/APL AUTOMATICAS",C597)),0,IF(ISNUMBER(FIND("TEC DEPOSITO",C597)),0,IF(ISNUMBER(FIND("APL APLIC AUT MAIS",C597)),E597,IF(E597&gt;0,E597,0))))))</f>
        <v>0</v>
      </c>
      <c r="H597" s="80" t="n">
        <v>43983</v>
      </c>
    </row>
    <row r="598" customFormat="false" ht="13.8" hidden="false" customHeight="false" outlineLevel="0" collapsed="false">
      <c r="A598" s="59" t="s">
        <v>71</v>
      </c>
      <c r="B598" s="74" t="s">
        <v>495</v>
      </c>
      <c r="C598" s="75" t="s">
        <v>85</v>
      </c>
      <c r="D598" s="76" t="s">
        <v>64</v>
      </c>
      <c r="E598" s="81" t="n">
        <v>-12.71</v>
      </c>
      <c r="F598" s="78" t="n">
        <f aca="false">IF(ISNUMBER(FIND("SALDO ANTERIOR",C598)),0,IF(ISNUMBER(FIND("SALDO DO DIA",C598)),0,IF(ISNUMBER(FIND("SALDO PARCIAL",C598)),0,IF(ISNUMBER(FIND("SDO CTA/APL AUTOMATICAS",C598)),0,IF(ISNUMBER(FIND("APL APLIC AUT MAIS",C598)),0,IF(ISNUMBER(FIND("TEC DEPOSITO",C598)),0,IF(E598&gt;0,0,E598*(-1))))))))</f>
        <v>12.71</v>
      </c>
      <c r="G598" s="79" t="n">
        <f aca="false">IF(ISNUMBER(FIND("SALDO ANTERIOR",C598)),0,IF(ISNUMBER(FIND("SALDO DO DIA",C598)),0,IF(ISNUMBER(FIND("SDO CTA/APL AUTOMATICAS",C598)),0,IF(ISNUMBER(FIND("TEC DEPOSITO",C598)),0,IF(ISNUMBER(FIND("APL APLIC AUT MAIS",C598)),E598,IF(E598&gt;0,E598,0))))))</f>
        <v>0</v>
      </c>
      <c r="H598" s="80" t="n">
        <v>43983</v>
      </c>
    </row>
    <row r="599" customFormat="false" ht="13.8" hidden="false" customHeight="false" outlineLevel="0" collapsed="false">
      <c r="A599" s="59" t="s">
        <v>67</v>
      </c>
      <c r="B599" s="74" t="s">
        <v>495</v>
      </c>
      <c r="C599" s="75" t="s">
        <v>496</v>
      </c>
      <c r="D599" s="76" t="s">
        <v>82</v>
      </c>
      <c r="E599" s="81" t="n">
        <v>-76.9</v>
      </c>
      <c r="F599" s="78" t="n">
        <f aca="false">IF(ISNUMBER(FIND("SALDO ANTERIOR",C599)),0,IF(ISNUMBER(FIND("SALDO DO DIA",C599)),0,IF(ISNUMBER(FIND("SALDO PARCIAL",C599)),0,IF(ISNUMBER(FIND("SDO CTA/APL AUTOMATICAS",C599)),0,IF(ISNUMBER(FIND("APL APLIC AUT MAIS",C599)),0,IF(ISNUMBER(FIND("TEC DEPOSITO",C599)),0,IF(E599&gt;0,0,E599*(-1))))))))</f>
        <v>76.9</v>
      </c>
      <c r="G599" s="79" t="n">
        <f aca="false">IF(ISNUMBER(FIND("SALDO ANTERIOR",C599)),0,IF(ISNUMBER(FIND("SALDO DO DIA",C599)),0,IF(ISNUMBER(FIND("SDO CTA/APL AUTOMATICAS",C599)),0,IF(ISNUMBER(FIND("TEC DEPOSITO",C599)),0,IF(ISNUMBER(FIND("APL APLIC AUT MAIS",C599)),E599,IF(E599&gt;0,E599,0))))))</f>
        <v>0</v>
      </c>
      <c r="H599" s="80" t="n">
        <v>43983</v>
      </c>
    </row>
    <row r="600" customFormat="false" ht="15" hidden="false" customHeight="false" outlineLevel="0" collapsed="false">
      <c r="A600" s="59" t="s">
        <v>29</v>
      </c>
      <c r="B600" s="74" t="s">
        <v>495</v>
      </c>
      <c r="C600" s="83" t="s">
        <v>494</v>
      </c>
      <c r="D600" s="76"/>
      <c r="E600" s="84" t="n">
        <v>-285.44</v>
      </c>
      <c r="F600" s="78" t="n">
        <f aca="false">IF(ISNUMBER(FIND("SALDO ANTERIOR",C600)),0,IF(ISNUMBER(FIND("SALDO DO DIA",C600)),0,IF(ISNUMBER(FIND("SALDO PARCIAL",C600)),0,IF(ISNUMBER(FIND("SDO CTA/APL AUTOMATICAS",C600)),0,IF(ISNUMBER(FIND("APL APLIC AUT MAIS",C600)),0,IF(ISNUMBER(FIND("TEC DEPOSITO",C600)),0,IF(E600&gt;0,0,E600*(-1))))))))</f>
        <v>0</v>
      </c>
      <c r="G600" s="79" t="n">
        <f aca="false">IF(ISNUMBER(FIND("SALDO ANTERIOR",C600)),0,IF(ISNUMBER(FIND("SALDO DO DIA",C600)),0,IF(ISNUMBER(FIND("SDO CTA/APL AUTOMATICAS",C600)),0,IF(ISNUMBER(FIND("TEC DEPOSITO",C600)),0,IF(ISNUMBER(FIND("APL APLIC AUT MAIS",C600)),E600,IF(E600&gt;0,E600,0))))))</f>
        <v>0</v>
      </c>
      <c r="H600" s="80" t="n">
        <v>43983</v>
      </c>
    </row>
    <row r="601" customFormat="false" ht="13.8" hidden="false" customHeight="false" outlineLevel="0" collapsed="false">
      <c r="A601" s="59" t="s">
        <v>76</v>
      </c>
      <c r="B601" s="74" t="s">
        <v>497</v>
      </c>
      <c r="C601" s="75" t="s">
        <v>102</v>
      </c>
      <c r="D601" s="76" t="s">
        <v>64</v>
      </c>
      <c r="E601" s="81" t="n">
        <v>-12</v>
      </c>
      <c r="F601" s="78" t="n">
        <f aca="false">IF(ISNUMBER(FIND("SALDO ANTERIOR",C601)),0,IF(ISNUMBER(FIND("SALDO DO DIA",C601)),0,IF(ISNUMBER(FIND("SALDO PARCIAL",C601)),0,IF(ISNUMBER(FIND("SDO CTA/APL AUTOMATICAS",C601)),0,IF(ISNUMBER(FIND("APL APLIC AUT MAIS",C601)),0,IF(ISNUMBER(FIND("TEC DEPOSITO",C601)),0,IF(E601&gt;0,0,E601*(-1))))))))</f>
        <v>12</v>
      </c>
      <c r="G601" s="79" t="n">
        <f aca="false">IF(ISNUMBER(FIND("SALDO ANTERIOR",C601)),0,IF(ISNUMBER(FIND("SALDO DO DIA",C601)),0,IF(ISNUMBER(FIND("SDO CTA/APL AUTOMATICAS",C601)),0,IF(ISNUMBER(FIND("TEC DEPOSITO",C601)),0,IF(ISNUMBER(FIND("APL APLIC AUT MAIS",C601)),E601,IF(E601&gt;0,E601,0))))))</f>
        <v>0</v>
      </c>
      <c r="H601" s="80" t="n">
        <v>43983</v>
      </c>
    </row>
    <row r="602" customFormat="false" ht="13.8" hidden="false" customHeight="false" outlineLevel="0" collapsed="false">
      <c r="A602" s="59" t="s">
        <v>98</v>
      </c>
      <c r="B602" s="74" t="s">
        <v>497</v>
      </c>
      <c r="C602" s="75" t="s">
        <v>146</v>
      </c>
      <c r="D602" s="76" t="s">
        <v>64</v>
      </c>
      <c r="E602" s="81" t="n">
        <v>-23.65</v>
      </c>
      <c r="F602" s="78" t="n">
        <f aca="false">IF(ISNUMBER(FIND("SALDO ANTERIOR",C602)),0,IF(ISNUMBER(FIND("SALDO DO DIA",C602)),0,IF(ISNUMBER(FIND("SALDO PARCIAL",C602)),0,IF(ISNUMBER(FIND("SDO CTA/APL AUTOMATICAS",C602)),0,IF(ISNUMBER(FIND("APL APLIC AUT MAIS",C602)),0,IF(ISNUMBER(FIND("TEC DEPOSITO",C602)),0,IF(E602&gt;0,0,E602*(-1))))))))</f>
        <v>23.65</v>
      </c>
      <c r="G602" s="79" t="n">
        <f aca="false">IF(ISNUMBER(FIND("SALDO ANTERIOR",C602)),0,IF(ISNUMBER(FIND("SALDO DO DIA",C602)),0,IF(ISNUMBER(FIND("SDO CTA/APL AUTOMATICAS",C602)),0,IF(ISNUMBER(FIND("TEC DEPOSITO",C602)),0,IF(ISNUMBER(FIND("APL APLIC AUT MAIS",C602)),E602,IF(E602&gt;0,E602,0))))))</f>
        <v>0</v>
      </c>
      <c r="H602" s="80" t="n">
        <v>43983</v>
      </c>
    </row>
    <row r="603" customFormat="false" ht="13.8" hidden="false" customHeight="false" outlineLevel="0" collapsed="false">
      <c r="A603" s="59" t="s">
        <v>74</v>
      </c>
      <c r="B603" s="74" t="s">
        <v>497</v>
      </c>
      <c r="C603" s="75" t="s">
        <v>457</v>
      </c>
      <c r="D603" s="76" t="s">
        <v>64</v>
      </c>
      <c r="E603" s="81" t="n">
        <v>-25.23</v>
      </c>
      <c r="F603" s="78" t="n">
        <f aca="false">IF(ISNUMBER(FIND("SALDO ANTERIOR",C603)),0,IF(ISNUMBER(FIND("SALDO DO DIA",C603)),0,IF(ISNUMBER(FIND("SALDO PARCIAL",C603)),0,IF(ISNUMBER(FIND("SDO CTA/APL AUTOMATICAS",C603)),0,IF(ISNUMBER(FIND("APL APLIC AUT MAIS",C603)),0,IF(ISNUMBER(FIND("TEC DEPOSITO",C603)),0,IF(E603&gt;0,0,E603*(-1))))))))</f>
        <v>25.23</v>
      </c>
      <c r="G603" s="79" t="n">
        <f aca="false">IF(ISNUMBER(FIND("SALDO ANTERIOR",C603)),0,IF(ISNUMBER(FIND("SALDO DO DIA",C603)),0,IF(ISNUMBER(FIND("SDO CTA/APL AUTOMATICAS",C603)),0,IF(ISNUMBER(FIND("TEC DEPOSITO",C603)),0,IF(ISNUMBER(FIND("APL APLIC AUT MAIS",C603)),E603,IF(E603&gt;0,E603,0))))))</f>
        <v>0</v>
      </c>
      <c r="H603" s="80" t="n">
        <v>43983</v>
      </c>
    </row>
    <row r="604" customFormat="false" ht="15" hidden="false" customHeight="false" outlineLevel="0" collapsed="false">
      <c r="A604" s="59" t="s">
        <v>29</v>
      </c>
      <c r="B604" s="74" t="s">
        <v>497</v>
      </c>
      <c r="C604" s="83" t="s">
        <v>494</v>
      </c>
      <c r="D604" s="76"/>
      <c r="E604" s="84" t="n">
        <v>-346.32</v>
      </c>
      <c r="F604" s="78" t="n">
        <f aca="false">IF(ISNUMBER(FIND("SALDO ANTERIOR",C604)),0,IF(ISNUMBER(FIND("SALDO DO DIA",C604)),0,IF(ISNUMBER(FIND("SALDO PARCIAL",C604)),0,IF(ISNUMBER(FIND("SDO CTA/APL AUTOMATICAS",C604)),0,IF(ISNUMBER(FIND("APL APLIC AUT MAIS",C604)),0,IF(ISNUMBER(FIND("TEC DEPOSITO",C604)),0,IF(E604&gt;0,0,E604*(-1))))))))</f>
        <v>0</v>
      </c>
      <c r="G604" s="79" t="n">
        <f aca="false">IF(ISNUMBER(FIND("SALDO ANTERIOR",C604)),0,IF(ISNUMBER(FIND("SALDO DO DIA",C604)),0,IF(ISNUMBER(FIND("SDO CTA/APL AUTOMATICAS",C604)),0,IF(ISNUMBER(FIND("TEC DEPOSITO",C604)),0,IF(ISNUMBER(FIND("APL APLIC AUT MAIS",C604)),E604,IF(E604&gt;0,E604,0))))))</f>
        <v>0</v>
      </c>
      <c r="H604" s="80" t="n">
        <v>43983</v>
      </c>
    </row>
    <row r="605" customFormat="false" ht="13.8" hidden="false" customHeight="false" outlineLevel="0" collapsed="false">
      <c r="A605" s="59" t="s">
        <v>71</v>
      </c>
      <c r="B605" s="74" t="s">
        <v>498</v>
      </c>
      <c r="C605" s="75" t="s">
        <v>85</v>
      </c>
      <c r="D605" s="76" t="s">
        <v>64</v>
      </c>
      <c r="E605" s="81" t="n">
        <v>-40.14</v>
      </c>
      <c r="F605" s="78" t="n">
        <f aca="false">IF(ISNUMBER(FIND("SALDO ANTERIOR",C605)),0,IF(ISNUMBER(FIND("SALDO DO DIA",C605)),0,IF(ISNUMBER(FIND("SALDO PARCIAL",C605)),0,IF(ISNUMBER(FIND("SDO CTA/APL AUTOMATICAS",C605)),0,IF(ISNUMBER(FIND("APL APLIC AUT MAIS",C605)),0,IF(ISNUMBER(FIND("TEC DEPOSITO",C605)),0,IF(E605&gt;0,0,E605*(-1))))))))</f>
        <v>40.14</v>
      </c>
      <c r="G605" s="79" t="n">
        <f aca="false">IF(ISNUMBER(FIND("SALDO ANTERIOR",C605)),0,IF(ISNUMBER(FIND("SALDO DO DIA",C605)),0,IF(ISNUMBER(FIND("SDO CTA/APL AUTOMATICAS",C605)),0,IF(ISNUMBER(FIND("TEC DEPOSITO",C605)),0,IF(ISNUMBER(FIND("APL APLIC AUT MAIS",C605)),E605,IF(E605&gt;0,E605,0))))))</f>
        <v>0</v>
      </c>
      <c r="H605" s="80" t="n">
        <v>43983</v>
      </c>
    </row>
    <row r="606" customFormat="false" ht="13.8" hidden="false" customHeight="false" outlineLevel="0" collapsed="false">
      <c r="A606" s="59" t="s">
        <v>65</v>
      </c>
      <c r="B606" s="74" t="s">
        <v>498</v>
      </c>
      <c r="C606" s="75" t="s">
        <v>499</v>
      </c>
      <c r="D606" s="76" t="s">
        <v>64</v>
      </c>
      <c r="E606" s="81" t="n">
        <v>-36.29</v>
      </c>
      <c r="F606" s="78" t="n">
        <f aca="false">IF(ISNUMBER(FIND("SALDO ANTERIOR",C606)),0,IF(ISNUMBER(FIND("SALDO DO DIA",C606)),0,IF(ISNUMBER(FIND("SALDO PARCIAL",C606)),0,IF(ISNUMBER(FIND("SDO CTA/APL AUTOMATICAS",C606)),0,IF(ISNUMBER(FIND("APL APLIC AUT MAIS",C606)),0,IF(ISNUMBER(FIND("TEC DEPOSITO",C606)),0,IF(E606&gt;0,0,E606*(-1))))))))</f>
        <v>36.29</v>
      </c>
      <c r="G606" s="79" t="n">
        <f aca="false">IF(ISNUMBER(FIND("SALDO ANTERIOR",C606)),0,IF(ISNUMBER(FIND("SALDO DO DIA",C606)),0,IF(ISNUMBER(FIND("SDO CTA/APL AUTOMATICAS",C606)),0,IF(ISNUMBER(FIND("TEC DEPOSITO",C606)),0,IF(ISNUMBER(FIND("APL APLIC AUT MAIS",C606)),E606,IF(E606&gt;0,E606,0))))))</f>
        <v>0</v>
      </c>
      <c r="H606" s="80" t="n">
        <v>43983</v>
      </c>
    </row>
    <row r="607" customFormat="false" ht="13.8" hidden="false" customHeight="false" outlineLevel="0" collapsed="false">
      <c r="A607" s="59" t="s">
        <v>74</v>
      </c>
      <c r="B607" s="74" t="s">
        <v>498</v>
      </c>
      <c r="C607" s="75" t="s">
        <v>457</v>
      </c>
      <c r="D607" s="76" t="s">
        <v>64</v>
      </c>
      <c r="E607" s="81" t="n">
        <v>-8.37</v>
      </c>
      <c r="F607" s="78" t="n">
        <f aca="false">IF(ISNUMBER(FIND("SALDO ANTERIOR",C607)),0,IF(ISNUMBER(FIND("SALDO DO DIA",C607)),0,IF(ISNUMBER(FIND("SALDO PARCIAL",C607)),0,IF(ISNUMBER(FIND("SDO CTA/APL AUTOMATICAS",C607)),0,IF(ISNUMBER(FIND("APL APLIC AUT MAIS",C607)),0,IF(ISNUMBER(FIND("TEC DEPOSITO",C607)),0,IF(E607&gt;0,0,E607*(-1))))))))</f>
        <v>8.37</v>
      </c>
      <c r="G607" s="79" t="n">
        <f aca="false">IF(ISNUMBER(FIND("SALDO ANTERIOR",C607)),0,IF(ISNUMBER(FIND("SALDO DO DIA",C607)),0,IF(ISNUMBER(FIND("SDO CTA/APL AUTOMATICAS",C607)),0,IF(ISNUMBER(FIND("TEC DEPOSITO",C607)),0,IF(ISNUMBER(FIND("APL APLIC AUT MAIS",C607)),E607,IF(E607&gt;0,E607,0))))))</f>
        <v>0</v>
      </c>
      <c r="H607" s="80" t="n">
        <v>43983</v>
      </c>
    </row>
    <row r="608" customFormat="false" ht="15" hidden="false" customHeight="false" outlineLevel="0" collapsed="false">
      <c r="A608" s="59" t="s">
        <v>29</v>
      </c>
      <c r="B608" s="74" t="s">
        <v>498</v>
      </c>
      <c r="C608" s="83" t="s">
        <v>494</v>
      </c>
      <c r="D608" s="76"/>
      <c r="E608" s="84" t="n">
        <v>-431.12</v>
      </c>
      <c r="F608" s="78" t="n">
        <f aca="false">IF(ISNUMBER(FIND("SALDO ANTERIOR",C608)),0,IF(ISNUMBER(FIND("SALDO DO DIA",C608)),0,IF(ISNUMBER(FIND("SALDO PARCIAL",C608)),0,IF(ISNUMBER(FIND("SDO CTA/APL AUTOMATICAS",C608)),0,IF(ISNUMBER(FIND("APL APLIC AUT MAIS",C608)),0,IF(ISNUMBER(FIND("TEC DEPOSITO",C608)),0,IF(E608&gt;0,0,E608*(-1))))))))</f>
        <v>0</v>
      </c>
      <c r="G608" s="79" t="n">
        <f aca="false">IF(ISNUMBER(FIND("SALDO ANTERIOR",C608)),0,IF(ISNUMBER(FIND("SALDO DO DIA",C608)),0,IF(ISNUMBER(FIND("SDO CTA/APL AUTOMATICAS",C608)),0,IF(ISNUMBER(FIND("TEC DEPOSITO",C608)),0,IF(ISNUMBER(FIND("APL APLIC AUT MAIS",C608)),E608,IF(E608&gt;0,E608,0))))))</f>
        <v>0</v>
      </c>
      <c r="H608" s="80" t="n">
        <v>43983</v>
      </c>
    </row>
    <row r="609" customFormat="false" ht="13.8" hidden="false" customHeight="false" outlineLevel="0" collapsed="false">
      <c r="A609" s="59" t="s">
        <v>203</v>
      </c>
      <c r="B609" s="74" t="s">
        <v>500</v>
      </c>
      <c r="C609" s="75" t="s">
        <v>501</v>
      </c>
      <c r="D609" s="76" t="s">
        <v>478</v>
      </c>
      <c r="E609" s="81" t="n">
        <v>-100</v>
      </c>
      <c r="F609" s="78" t="n">
        <f aca="false">IF(ISNUMBER(FIND("SALDO ANTERIOR",C609)),0,IF(ISNUMBER(FIND("SALDO DO DIA",C609)),0,IF(ISNUMBER(FIND("SALDO PARCIAL",C609)),0,IF(ISNUMBER(FIND("SDO CTA/APL AUTOMATICAS",C609)),0,IF(ISNUMBER(FIND("APL APLIC AUT MAIS",C609)),0,IF(ISNUMBER(FIND("TEC DEPOSITO",C609)),0,IF(E609&gt;0,0,E609*(-1))))))))</f>
        <v>100</v>
      </c>
      <c r="G609" s="79" t="n">
        <f aca="false">IF(ISNUMBER(FIND("SALDO ANTERIOR",C609)),0,IF(ISNUMBER(FIND("SALDO DO DIA",C609)),0,IF(ISNUMBER(FIND("SDO CTA/APL AUTOMATICAS",C609)),0,IF(ISNUMBER(FIND("TEC DEPOSITO",C609)),0,IF(ISNUMBER(FIND("APL APLIC AUT MAIS",C609)),E609,IF(E609&gt;0,E609,0))))))</f>
        <v>0</v>
      </c>
      <c r="H609" s="80" t="n">
        <v>43983</v>
      </c>
    </row>
    <row r="610" customFormat="false" ht="13.8" hidden="false" customHeight="false" outlineLevel="0" collapsed="false">
      <c r="A610" s="59" t="s">
        <v>71</v>
      </c>
      <c r="B610" s="74" t="s">
        <v>500</v>
      </c>
      <c r="C610" s="75" t="s">
        <v>85</v>
      </c>
      <c r="D610" s="76" t="s">
        <v>64</v>
      </c>
      <c r="E610" s="81" t="n">
        <v>-7.18</v>
      </c>
      <c r="F610" s="78" t="n">
        <f aca="false">IF(ISNUMBER(FIND("SALDO ANTERIOR",C610)),0,IF(ISNUMBER(FIND("SALDO DO DIA",C610)),0,IF(ISNUMBER(FIND("SALDO PARCIAL",C610)),0,IF(ISNUMBER(FIND("SDO CTA/APL AUTOMATICAS",C610)),0,IF(ISNUMBER(FIND("APL APLIC AUT MAIS",C610)),0,IF(ISNUMBER(FIND("TEC DEPOSITO",C610)),0,IF(E610&gt;0,0,E610*(-1))))))))</f>
        <v>7.18</v>
      </c>
      <c r="G610" s="79" t="n">
        <f aca="false">IF(ISNUMBER(FIND("SALDO ANTERIOR",C610)),0,IF(ISNUMBER(FIND("SALDO DO DIA",C610)),0,IF(ISNUMBER(FIND("SDO CTA/APL AUTOMATICAS",C610)),0,IF(ISNUMBER(FIND("TEC DEPOSITO",C610)),0,IF(ISNUMBER(FIND("APL APLIC AUT MAIS",C610)),E610,IF(E610&gt;0,E610,0))))))</f>
        <v>0</v>
      </c>
      <c r="H610" s="80" t="n">
        <v>43983</v>
      </c>
    </row>
    <row r="611" customFormat="false" ht="13.8" hidden="false" customHeight="false" outlineLevel="0" collapsed="false">
      <c r="A611" s="59" t="s">
        <v>98</v>
      </c>
      <c r="B611" s="74" t="s">
        <v>500</v>
      </c>
      <c r="C611" s="75" t="s">
        <v>502</v>
      </c>
      <c r="D611" s="76" t="s">
        <v>64</v>
      </c>
      <c r="E611" s="81" t="n">
        <v>-77.74</v>
      </c>
      <c r="F611" s="78" t="n">
        <f aca="false">IF(ISNUMBER(FIND("SALDO ANTERIOR",C611)),0,IF(ISNUMBER(FIND("SALDO DO DIA",C611)),0,IF(ISNUMBER(FIND("SALDO PARCIAL",C611)),0,IF(ISNUMBER(FIND("SDO CTA/APL AUTOMATICAS",C611)),0,IF(ISNUMBER(FIND("APL APLIC AUT MAIS",C611)),0,IF(ISNUMBER(FIND("TEC DEPOSITO",C611)),0,IF(E611&gt;0,0,E611*(-1))))))))</f>
        <v>77.74</v>
      </c>
      <c r="G611" s="79" t="n">
        <f aca="false">IF(ISNUMBER(FIND("SALDO ANTERIOR",C611)),0,IF(ISNUMBER(FIND("SALDO DO DIA",C611)),0,IF(ISNUMBER(FIND("SDO CTA/APL AUTOMATICAS",C611)),0,IF(ISNUMBER(FIND("TEC DEPOSITO",C611)),0,IF(ISNUMBER(FIND("APL APLIC AUT MAIS",C611)),E611,IF(E611&gt;0,E611,0))))))</f>
        <v>0</v>
      </c>
      <c r="H611" s="80" t="n">
        <v>43983</v>
      </c>
    </row>
    <row r="612" customFormat="false" ht="13.8" hidden="false" customHeight="false" outlineLevel="0" collapsed="false">
      <c r="A612" s="59" t="s">
        <v>65</v>
      </c>
      <c r="B612" s="74" t="s">
        <v>500</v>
      </c>
      <c r="C612" s="75" t="s">
        <v>503</v>
      </c>
      <c r="D612" s="76" t="s">
        <v>64</v>
      </c>
      <c r="E612" s="81" t="n">
        <v>-10.9</v>
      </c>
      <c r="F612" s="78" t="n">
        <f aca="false">IF(ISNUMBER(FIND("SALDO ANTERIOR",C612)),0,IF(ISNUMBER(FIND("SALDO DO DIA",C612)),0,IF(ISNUMBER(FIND("SALDO PARCIAL",C612)),0,IF(ISNUMBER(FIND("SDO CTA/APL AUTOMATICAS",C612)),0,IF(ISNUMBER(FIND("APL APLIC AUT MAIS",C612)),0,IF(ISNUMBER(FIND("TEC DEPOSITO",C612)),0,IF(E612&gt;0,0,E612*(-1))))))))</f>
        <v>10.9</v>
      </c>
      <c r="G612" s="79" t="n">
        <f aca="false">IF(ISNUMBER(FIND("SALDO ANTERIOR",C612)),0,IF(ISNUMBER(FIND("SALDO DO DIA",C612)),0,IF(ISNUMBER(FIND("SDO CTA/APL AUTOMATICAS",C612)),0,IF(ISNUMBER(FIND("TEC DEPOSITO",C612)),0,IF(ISNUMBER(FIND("APL APLIC AUT MAIS",C612)),E612,IF(E612&gt;0,E612,0))))))</f>
        <v>0</v>
      </c>
      <c r="H612" s="80" t="n">
        <v>43983</v>
      </c>
    </row>
    <row r="613" customFormat="false" ht="13.8" hidden="false" customHeight="false" outlineLevel="0" collapsed="false">
      <c r="A613" s="49" t="s">
        <v>504</v>
      </c>
      <c r="B613" s="74" t="s">
        <v>500</v>
      </c>
      <c r="C613" s="75" t="s">
        <v>505</v>
      </c>
      <c r="D613" s="76" t="s">
        <v>64</v>
      </c>
      <c r="E613" s="81" t="n">
        <v>-55</v>
      </c>
      <c r="F613" s="78" t="n">
        <f aca="false">IF(ISNUMBER(FIND("SALDO ANTERIOR",C613)),0,IF(ISNUMBER(FIND("SALDO DO DIA",C613)),0,IF(ISNUMBER(FIND("SALDO PARCIAL",C613)),0,IF(ISNUMBER(FIND("SDO CTA/APL AUTOMATICAS",C613)),0,IF(ISNUMBER(FIND("APL APLIC AUT MAIS",C613)),0,IF(ISNUMBER(FIND("TEC DEPOSITO",C613)),0,IF(E613&gt;0,0,E613*(-1))))))))</f>
        <v>55</v>
      </c>
      <c r="G613" s="79" t="n">
        <f aca="false">IF(ISNUMBER(FIND("SALDO ANTERIOR",C613)),0,IF(ISNUMBER(FIND("SALDO DO DIA",C613)),0,IF(ISNUMBER(FIND("SDO CTA/APL AUTOMATICAS",C613)),0,IF(ISNUMBER(FIND("TEC DEPOSITO",C613)),0,IF(ISNUMBER(FIND("APL APLIC AUT MAIS",C613)),E613,IF(E613&gt;0,E613,0))))))</f>
        <v>0</v>
      </c>
      <c r="H613" s="80" t="n">
        <v>43983</v>
      </c>
    </row>
    <row r="614" customFormat="false" ht="13.8" hidden="false" customHeight="false" outlineLevel="0" collapsed="false">
      <c r="A614" s="59" t="s">
        <v>74</v>
      </c>
      <c r="B614" s="74" t="s">
        <v>500</v>
      </c>
      <c r="C614" s="75" t="s">
        <v>489</v>
      </c>
      <c r="D614" s="76" t="s">
        <v>64</v>
      </c>
      <c r="E614" s="81" t="n">
        <v>-113.66</v>
      </c>
      <c r="F614" s="78" t="n">
        <f aca="false">IF(ISNUMBER(FIND("SALDO ANTERIOR",C614)),0,IF(ISNUMBER(FIND("SALDO DO DIA",C614)),0,IF(ISNUMBER(FIND("SALDO PARCIAL",C614)),0,IF(ISNUMBER(FIND("SDO CTA/APL AUTOMATICAS",C614)),0,IF(ISNUMBER(FIND("APL APLIC AUT MAIS",C614)),0,IF(ISNUMBER(FIND("TEC DEPOSITO",C614)),0,IF(E614&gt;0,0,E614*(-1))))))))</f>
        <v>113.66</v>
      </c>
      <c r="G614" s="79" t="n">
        <f aca="false">IF(ISNUMBER(FIND("SALDO ANTERIOR",C614)),0,IF(ISNUMBER(FIND("SALDO DO DIA",C614)),0,IF(ISNUMBER(FIND("SDO CTA/APL AUTOMATICAS",C614)),0,IF(ISNUMBER(FIND("TEC DEPOSITO",C614)),0,IF(ISNUMBER(FIND("APL APLIC AUT MAIS",C614)),E614,IF(E614&gt;0,E614,0))))))</f>
        <v>0</v>
      </c>
      <c r="H614" s="80" t="n">
        <v>43983</v>
      </c>
    </row>
    <row r="615" customFormat="false" ht="13.8" hidden="false" customHeight="false" outlineLevel="0" collapsed="false">
      <c r="A615" s="59" t="s">
        <v>98</v>
      </c>
      <c r="B615" s="74" t="s">
        <v>500</v>
      </c>
      <c r="C615" s="75" t="s">
        <v>247</v>
      </c>
      <c r="D615" s="76" t="s">
        <v>64</v>
      </c>
      <c r="E615" s="81" t="n">
        <v>-126.92</v>
      </c>
      <c r="F615" s="78" t="n">
        <f aca="false">IF(ISNUMBER(FIND("SALDO ANTERIOR",C615)),0,IF(ISNUMBER(FIND("SALDO DO DIA",C615)),0,IF(ISNUMBER(FIND("SALDO PARCIAL",C615)),0,IF(ISNUMBER(FIND("SDO CTA/APL AUTOMATICAS",C615)),0,IF(ISNUMBER(FIND("APL APLIC AUT MAIS",C615)),0,IF(ISNUMBER(FIND("TEC DEPOSITO",C615)),0,IF(E615&gt;0,0,E615*(-1))))))))</f>
        <v>126.92</v>
      </c>
      <c r="G615" s="79" t="n">
        <f aca="false">IF(ISNUMBER(FIND("SALDO ANTERIOR",C615)),0,IF(ISNUMBER(FIND("SALDO DO DIA",C615)),0,IF(ISNUMBER(FIND("SDO CTA/APL AUTOMATICAS",C615)),0,IF(ISNUMBER(FIND("TEC DEPOSITO",C615)),0,IF(ISNUMBER(FIND("APL APLIC AUT MAIS",C615)),E615,IF(E615&gt;0,E615,0))))))</f>
        <v>0</v>
      </c>
      <c r="H615" s="80" t="n">
        <v>43983</v>
      </c>
    </row>
    <row r="616" customFormat="false" ht="13.8" hidden="false" customHeight="false" outlineLevel="0" collapsed="false">
      <c r="A616" s="59" t="s">
        <v>65</v>
      </c>
      <c r="B616" s="74" t="s">
        <v>500</v>
      </c>
      <c r="C616" s="75" t="s">
        <v>492</v>
      </c>
      <c r="D616" s="76" t="s">
        <v>64</v>
      </c>
      <c r="E616" s="81" t="n">
        <v>-10</v>
      </c>
      <c r="F616" s="78" t="n">
        <f aca="false">IF(ISNUMBER(FIND("SALDO ANTERIOR",C616)),0,IF(ISNUMBER(FIND("SALDO DO DIA",C616)),0,IF(ISNUMBER(FIND("SALDO PARCIAL",C616)),0,IF(ISNUMBER(FIND("SDO CTA/APL AUTOMATICAS",C616)),0,IF(ISNUMBER(FIND("APL APLIC AUT MAIS",C616)),0,IF(ISNUMBER(FIND("TEC DEPOSITO",C616)),0,IF(E616&gt;0,0,E616*(-1))))))))</f>
        <v>10</v>
      </c>
      <c r="G616" s="79" t="n">
        <f aca="false">IF(ISNUMBER(FIND("SALDO ANTERIOR",C616)),0,IF(ISNUMBER(FIND("SALDO DO DIA",C616)),0,IF(ISNUMBER(FIND("SDO CTA/APL AUTOMATICAS",C616)),0,IF(ISNUMBER(FIND("TEC DEPOSITO",C616)),0,IF(ISNUMBER(FIND("APL APLIC AUT MAIS",C616)),E616,IF(E616&gt;0,E616,0))))))</f>
        <v>0</v>
      </c>
      <c r="H616" s="80" t="n">
        <v>43983</v>
      </c>
    </row>
    <row r="617" customFormat="false" ht="13.8" hidden="false" customHeight="false" outlineLevel="0" collapsed="false">
      <c r="A617" s="59" t="s">
        <v>76</v>
      </c>
      <c r="B617" s="74" t="s">
        <v>500</v>
      </c>
      <c r="C617" s="75" t="s">
        <v>506</v>
      </c>
      <c r="D617" s="76" t="s">
        <v>64</v>
      </c>
      <c r="E617" s="81" t="n">
        <v>-21.8</v>
      </c>
      <c r="F617" s="78" t="n">
        <f aca="false">IF(ISNUMBER(FIND("SALDO ANTERIOR",C617)),0,IF(ISNUMBER(FIND("SALDO DO DIA",C617)),0,IF(ISNUMBER(FIND("SALDO PARCIAL",C617)),0,IF(ISNUMBER(FIND("SDO CTA/APL AUTOMATICAS",C617)),0,IF(ISNUMBER(FIND("APL APLIC AUT MAIS",C617)),0,IF(ISNUMBER(FIND("TEC DEPOSITO",C617)),0,IF(E617&gt;0,0,E617*(-1))))))))</f>
        <v>21.8</v>
      </c>
      <c r="G617" s="79" t="n">
        <f aca="false">IF(ISNUMBER(FIND("SALDO ANTERIOR",C617)),0,IF(ISNUMBER(FIND("SALDO DO DIA",C617)),0,IF(ISNUMBER(FIND("SDO CTA/APL AUTOMATICAS",C617)),0,IF(ISNUMBER(FIND("TEC DEPOSITO",C617)),0,IF(ISNUMBER(FIND("APL APLIC AUT MAIS",C617)),E617,IF(E617&gt;0,E617,0))))))</f>
        <v>0</v>
      </c>
      <c r="H617" s="80" t="n">
        <v>43983</v>
      </c>
    </row>
    <row r="618" customFormat="false" ht="13.8" hidden="false" customHeight="false" outlineLevel="0" collapsed="false">
      <c r="A618" s="59" t="s">
        <v>65</v>
      </c>
      <c r="B618" s="74" t="s">
        <v>500</v>
      </c>
      <c r="C618" s="75" t="s">
        <v>507</v>
      </c>
      <c r="D618" s="76" t="s">
        <v>64</v>
      </c>
      <c r="E618" s="81" t="n">
        <v>-18.99</v>
      </c>
      <c r="F618" s="78" t="n">
        <f aca="false">IF(ISNUMBER(FIND("SALDO ANTERIOR",C618)),0,IF(ISNUMBER(FIND("SALDO DO DIA",C618)),0,IF(ISNUMBER(FIND("SALDO PARCIAL",C618)),0,IF(ISNUMBER(FIND("SDO CTA/APL AUTOMATICAS",C618)),0,IF(ISNUMBER(FIND("APL APLIC AUT MAIS",C618)),0,IF(ISNUMBER(FIND("TEC DEPOSITO",C618)),0,IF(E618&gt;0,0,E618*(-1))))))))</f>
        <v>18.99</v>
      </c>
      <c r="G618" s="79" t="n">
        <f aca="false">IF(ISNUMBER(FIND("SALDO ANTERIOR",C618)),0,IF(ISNUMBER(FIND("SALDO DO DIA",C618)),0,IF(ISNUMBER(FIND("SDO CTA/APL AUTOMATICAS",C618)),0,IF(ISNUMBER(FIND("TEC DEPOSITO",C618)),0,IF(ISNUMBER(FIND("APL APLIC AUT MAIS",C618)),E618,IF(E618&gt;0,E618,0))))))</f>
        <v>0</v>
      </c>
      <c r="H618" s="80" t="n">
        <v>43983</v>
      </c>
    </row>
    <row r="619" customFormat="false" ht="13.8" hidden="false" customHeight="false" outlineLevel="0" collapsed="false">
      <c r="A619" s="59" t="s">
        <v>65</v>
      </c>
      <c r="B619" s="74" t="s">
        <v>500</v>
      </c>
      <c r="C619" s="75" t="s">
        <v>507</v>
      </c>
      <c r="D619" s="76" t="s">
        <v>64</v>
      </c>
      <c r="E619" s="81" t="n">
        <v>-24.23</v>
      </c>
      <c r="F619" s="78" t="n">
        <f aca="false">IF(ISNUMBER(FIND("SALDO ANTERIOR",C619)),0,IF(ISNUMBER(FIND("SALDO DO DIA",C619)),0,IF(ISNUMBER(FIND("SALDO PARCIAL",C619)),0,IF(ISNUMBER(FIND("SDO CTA/APL AUTOMATICAS",C619)),0,IF(ISNUMBER(FIND("APL APLIC AUT MAIS",C619)),0,IF(ISNUMBER(FIND("TEC DEPOSITO",C619)),0,IF(E619&gt;0,0,E619*(-1))))))))</f>
        <v>24.23</v>
      </c>
      <c r="G619" s="79" t="n">
        <f aca="false">IF(ISNUMBER(FIND("SALDO ANTERIOR",C619)),0,IF(ISNUMBER(FIND("SALDO DO DIA",C619)),0,IF(ISNUMBER(FIND("SDO CTA/APL AUTOMATICAS",C619)),0,IF(ISNUMBER(FIND("TEC DEPOSITO",C619)),0,IF(ISNUMBER(FIND("APL APLIC AUT MAIS",C619)),E619,IF(E619&gt;0,E619,0))))))</f>
        <v>0</v>
      </c>
      <c r="H619" s="80" t="n">
        <v>43983</v>
      </c>
    </row>
    <row r="620" customFormat="false" ht="13.8" hidden="false" customHeight="false" outlineLevel="0" collapsed="false">
      <c r="A620" s="59" t="s">
        <v>65</v>
      </c>
      <c r="B620" s="74" t="s">
        <v>500</v>
      </c>
      <c r="C620" s="75" t="s">
        <v>507</v>
      </c>
      <c r="D620" s="76" t="s">
        <v>64</v>
      </c>
      <c r="E620" s="81" t="n">
        <v>-1.99</v>
      </c>
      <c r="F620" s="78" t="n">
        <f aca="false">IF(ISNUMBER(FIND("SALDO ANTERIOR",C620)),0,IF(ISNUMBER(FIND("SALDO DO DIA",C620)),0,IF(ISNUMBER(FIND("SALDO PARCIAL",C620)),0,IF(ISNUMBER(FIND("SDO CTA/APL AUTOMATICAS",C620)),0,IF(ISNUMBER(FIND("APL APLIC AUT MAIS",C620)),0,IF(ISNUMBER(FIND("TEC DEPOSITO",C620)),0,IF(E620&gt;0,0,E620*(-1))))))))</f>
        <v>1.99</v>
      </c>
      <c r="G620" s="79" t="n">
        <f aca="false">IF(ISNUMBER(FIND("SALDO ANTERIOR",C620)),0,IF(ISNUMBER(FIND("SALDO DO DIA",C620)),0,IF(ISNUMBER(FIND("SDO CTA/APL AUTOMATICAS",C620)),0,IF(ISNUMBER(FIND("TEC DEPOSITO",C620)),0,IF(ISNUMBER(FIND("APL APLIC AUT MAIS",C620)),E620,IF(E620&gt;0,E620,0))))))</f>
        <v>0</v>
      </c>
      <c r="H620" s="80" t="n">
        <v>43983</v>
      </c>
    </row>
    <row r="621" customFormat="false" ht="13.8" hidden="false" customHeight="false" outlineLevel="0" collapsed="false">
      <c r="A621" s="59" t="s">
        <v>98</v>
      </c>
      <c r="B621" s="74" t="s">
        <v>500</v>
      </c>
      <c r="C621" s="75" t="s">
        <v>180</v>
      </c>
      <c r="D621" s="76" t="s">
        <v>64</v>
      </c>
      <c r="E621" s="81" t="n">
        <v>-79.21</v>
      </c>
      <c r="F621" s="78" t="n">
        <f aca="false">IF(ISNUMBER(FIND("SALDO ANTERIOR",C621)),0,IF(ISNUMBER(FIND("SALDO DO DIA",C621)),0,IF(ISNUMBER(FIND("SALDO PARCIAL",C621)),0,IF(ISNUMBER(FIND("SDO CTA/APL AUTOMATICAS",C621)),0,IF(ISNUMBER(FIND("APL APLIC AUT MAIS",C621)),0,IF(ISNUMBER(FIND("TEC DEPOSITO",C621)),0,IF(E621&gt;0,0,E621*(-1))))))))</f>
        <v>79.21</v>
      </c>
      <c r="G621" s="79" t="n">
        <f aca="false">IF(ISNUMBER(FIND("SALDO ANTERIOR",C621)),0,IF(ISNUMBER(FIND("SALDO DO DIA",C621)),0,IF(ISNUMBER(FIND("SDO CTA/APL AUTOMATICAS",C621)),0,IF(ISNUMBER(FIND("TEC DEPOSITO",C621)),0,IF(ISNUMBER(FIND("APL APLIC AUT MAIS",C621)),E621,IF(E621&gt;0,E621,0))))))</f>
        <v>0</v>
      </c>
      <c r="H621" s="80" t="n">
        <v>43983</v>
      </c>
    </row>
    <row r="622" customFormat="false" ht="15" hidden="false" customHeight="false" outlineLevel="0" collapsed="false">
      <c r="A622" s="59" t="s">
        <v>29</v>
      </c>
      <c r="B622" s="74" t="s">
        <v>500</v>
      </c>
      <c r="C622" s="83" t="s">
        <v>494</v>
      </c>
      <c r="D622" s="76"/>
      <c r="E622" s="84" t="n">
        <v>-1078.74</v>
      </c>
      <c r="F622" s="78" t="n">
        <f aca="false">IF(ISNUMBER(FIND("SALDO ANTERIOR",C622)),0,IF(ISNUMBER(FIND("SALDO DO DIA",C622)),0,IF(ISNUMBER(FIND("SALDO PARCIAL",C622)),0,IF(ISNUMBER(FIND("SDO CTA/APL AUTOMATICAS",C622)),0,IF(ISNUMBER(FIND("APL APLIC AUT MAIS",C622)),0,IF(ISNUMBER(FIND("TEC DEPOSITO",C622)),0,IF(E622&gt;0,0,E622*(-1))))))))</f>
        <v>0</v>
      </c>
      <c r="G622" s="79" t="n">
        <f aca="false">IF(ISNUMBER(FIND("SALDO ANTERIOR",C622)),0,IF(ISNUMBER(FIND("SALDO DO DIA",C622)),0,IF(ISNUMBER(FIND("SDO CTA/APL AUTOMATICAS",C622)),0,IF(ISNUMBER(FIND("TEC DEPOSITO",C622)),0,IF(ISNUMBER(FIND("APL APLIC AUT MAIS",C622)),E622,IF(E622&gt;0,E622,0))))))</f>
        <v>0</v>
      </c>
      <c r="H622" s="80" t="n">
        <v>43983</v>
      </c>
    </row>
    <row r="623" customFormat="false" ht="13.8" hidden="false" customHeight="false" outlineLevel="0" collapsed="false">
      <c r="A623" s="59" t="s">
        <v>176</v>
      </c>
      <c r="B623" s="74" t="s">
        <v>508</v>
      </c>
      <c r="C623" s="75" t="s">
        <v>509</v>
      </c>
      <c r="D623" s="76" t="s">
        <v>61</v>
      </c>
      <c r="E623" s="81" t="n">
        <v>-60</v>
      </c>
      <c r="F623" s="78" t="n">
        <f aca="false">IF(ISNUMBER(FIND("SALDO ANTERIOR",C623)),0,IF(ISNUMBER(FIND("SALDO DO DIA",C623)),0,IF(ISNUMBER(FIND("SALDO PARCIAL",C623)),0,IF(ISNUMBER(FIND("SDO CTA/APL AUTOMATICAS",C623)),0,IF(ISNUMBER(FIND("APL APLIC AUT MAIS",C623)),0,IF(ISNUMBER(FIND("TEC DEPOSITO",C623)),0,IF(E623&gt;0,0,E623*(-1))))))))</f>
        <v>60</v>
      </c>
      <c r="G623" s="79" t="n">
        <f aca="false">IF(ISNUMBER(FIND("SALDO ANTERIOR",C623)),0,IF(ISNUMBER(FIND("SALDO DO DIA",C623)),0,IF(ISNUMBER(FIND("SDO CTA/APL AUTOMATICAS",C623)),0,IF(ISNUMBER(FIND("TEC DEPOSITO",C623)),0,IF(ISNUMBER(FIND("APL APLIC AUT MAIS",C623)),E623,IF(E623&gt;0,E623,0))))))</f>
        <v>0</v>
      </c>
      <c r="H623" s="80" t="n">
        <v>43983</v>
      </c>
    </row>
    <row r="624" customFormat="false" ht="13.8" hidden="false" customHeight="false" outlineLevel="0" collapsed="false">
      <c r="A624" s="59" t="s">
        <v>176</v>
      </c>
      <c r="B624" s="74" t="s">
        <v>508</v>
      </c>
      <c r="C624" s="75" t="s">
        <v>510</v>
      </c>
      <c r="D624" s="76" t="s">
        <v>61</v>
      </c>
      <c r="E624" s="81" t="n">
        <v>-90</v>
      </c>
      <c r="F624" s="78" t="n">
        <f aca="false">IF(ISNUMBER(FIND("SALDO ANTERIOR",C624)),0,IF(ISNUMBER(FIND("SALDO DO DIA",C624)),0,IF(ISNUMBER(FIND("SALDO PARCIAL",C624)),0,IF(ISNUMBER(FIND("SDO CTA/APL AUTOMATICAS",C624)),0,IF(ISNUMBER(FIND("APL APLIC AUT MAIS",C624)),0,IF(ISNUMBER(FIND("TEC DEPOSITO",C624)),0,IF(E624&gt;0,0,E624*(-1))))))))</f>
        <v>90</v>
      </c>
      <c r="G624" s="79" t="n">
        <f aca="false">IF(ISNUMBER(FIND("SALDO ANTERIOR",C624)),0,IF(ISNUMBER(FIND("SALDO DO DIA",C624)),0,IF(ISNUMBER(FIND("SDO CTA/APL AUTOMATICAS",C624)),0,IF(ISNUMBER(FIND("TEC DEPOSITO",C624)),0,IF(ISNUMBER(FIND("APL APLIC AUT MAIS",C624)),E624,IF(E624&gt;0,E624,0))))))</f>
        <v>0</v>
      </c>
      <c r="H624" s="80" t="n">
        <v>43983</v>
      </c>
    </row>
    <row r="625" customFormat="false" ht="13.8" hidden="false" customHeight="false" outlineLevel="0" collapsed="false">
      <c r="A625" s="59" t="s">
        <v>65</v>
      </c>
      <c r="B625" s="74" t="s">
        <v>508</v>
      </c>
      <c r="C625" s="75" t="s">
        <v>163</v>
      </c>
      <c r="D625" s="76" t="s">
        <v>64</v>
      </c>
      <c r="E625" s="81" t="n">
        <v>-50</v>
      </c>
      <c r="F625" s="78" t="n">
        <f aca="false">IF(ISNUMBER(FIND("SALDO ANTERIOR",C625)),0,IF(ISNUMBER(FIND("SALDO DO DIA",C625)),0,IF(ISNUMBER(FIND("SALDO PARCIAL",C625)),0,IF(ISNUMBER(FIND("SDO CTA/APL AUTOMATICAS",C625)),0,IF(ISNUMBER(FIND("APL APLIC AUT MAIS",C625)),0,IF(ISNUMBER(FIND("TEC DEPOSITO",C625)),0,IF(E625&gt;0,0,E625*(-1))))))))</f>
        <v>50</v>
      </c>
      <c r="G625" s="79" t="n">
        <f aca="false">IF(ISNUMBER(FIND("SALDO ANTERIOR",C625)),0,IF(ISNUMBER(FIND("SALDO DO DIA",C625)),0,IF(ISNUMBER(FIND("SDO CTA/APL AUTOMATICAS",C625)),0,IF(ISNUMBER(FIND("TEC DEPOSITO",C625)),0,IF(ISNUMBER(FIND("APL APLIC AUT MAIS",C625)),E625,IF(E625&gt;0,E625,0))))))</f>
        <v>0</v>
      </c>
      <c r="H625" s="80" t="n">
        <v>43983</v>
      </c>
    </row>
    <row r="626" customFormat="false" ht="13.8" hidden="false" customHeight="false" outlineLevel="0" collapsed="false">
      <c r="A626" s="59" t="s">
        <v>98</v>
      </c>
      <c r="B626" s="74" t="s">
        <v>508</v>
      </c>
      <c r="C626" s="75" t="s">
        <v>247</v>
      </c>
      <c r="D626" s="76" t="s">
        <v>64</v>
      </c>
      <c r="E626" s="81" t="n">
        <v>-78.52</v>
      </c>
      <c r="F626" s="78" t="n">
        <f aca="false">IF(ISNUMBER(FIND("SALDO ANTERIOR",C626)),0,IF(ISNUMBER(FIND("SALDO DO DIA",C626)),0,IF(ISNUMBER(FIND("SALDO PARCIAL",C626)),0,IF(ISNUMBER(FIND("SDO CTA/APL AUTOMATICAS",C626)),0,IF(ISNUMBER(FIND("APL APLIC AUT MAIS",C626)),0,IF(ISNUMBER(FIND("TEC DEPOSITO",C626)),0,IF(E626&gt;0,0,E626*(-1))))))))</f>
        <v>78.52</v>
      </c>
      <c r="G626" s="79" t="n">
        <f aca="false">IF(ISNUMBER(FIND("SALDO ANTERIOR",C626)),0,IF(ISNUMBER(FIND("SALDO DO DIA",C626)),0,IF(ISNUMBER(FIND("SDO CTA/APL AUTOMATICAS",C626)),0,IF(ISNUMBER(FIND("TEC DEPOSITO",C626)),0,IF(ISNUMBER(FIND("APL APLIC AUT MAIS",C626)),E626,IF(E626&gt;0,E626,0))))))</f>
        <v>0</v>
      </c>
      <c r="H626" s="80" t="n">
        <v>43983</v>
      </c>
    </row>
    <row r="627" customFormat="false" ht="13.8" hidden="false" customHeight="false" outlineLevel="0" collapsed="false">
      <c r="A627" s="59" t="s">
        <v>65</v>
      </c>
      <c r="B627" s="74" t="s">
        <v>508</v>
      </c>
      <c r="C627" s="75" t="s">
        <v>507</v>
      </c>
      <c r="D627" s="76" t="s">
        <v>64</v>
      </c>
      <c r="E627" s="81" t="n">
        <v>-18.99</v>
      </c>
      <c r="F627" s="78" t="n">
        <f aca="false">IF(ISNUMBER(FIND("SALDO ANTERIOR",C627)),0,IF(ISNUMBER(FIND("SALDO DO DIA",C627)),0,IF(ISNUMBER(FIND("SALDO PARCIAL",C627)),0,IF(ISNUMBER(FIND("SDO CTA/APL AUTOMATICAS",C627)),0,IF(ISNUMBER(FIND("APL APLIC AUT MAIS",C627)),0,IF(ISNUMBER(FIND("TEC DEPOSITO",C627)),0,IF(E627&gt;0,0,E627*(-1))))))))</f>
        <v>18.99</v>
      </c>
      <c r="G627" s="79" t="n">
        <f aca="false">IF(ISNUMBER(FIND("SALDO ANTERIOR",C627)),0,IF(ISNUMBER(FIND("SALDO DO DIA",C627)),0,IF(ISNUMBER(FIND("SDO CTA/APL AUTOMATICAS",C627)),0,IF(ISNUMBER(FIND("TEC DEPOSITO",C627)),0,IF(ISNUMBER(FIND("APL APLIC AUT MAIS",C627)),E627,IF(E627&gt;0,E627,0))))))</f>
        <v>0</v>
      </c>
      <c r="H627" s="80" t="n">
        <v>43983</v>
      </c>
    </row>
    <row r="628" customFormat="false" ht="13.8" hidden="false" customHeight="false" outlineLevel="0" collapsed="false">
      <c r="A628" s="59" t="s">
        <v>67</v>
      </c>
      <c r="B628" s="74" t="s">
        <v>508</v>
      </c>
      <c r="C628" s="75" t="s">
        <v>109</v>
      </c>
      <c r="D628" s="76" t="s">
        <v>82</v>
      </c>
      <c r="E628" s="81" t="n">
        <v>-6.61</v>
      </c>
      <c r="F628" s="78" t="n">
        <f aca="false">IF(ISNUMBER(FIND("SALDO ANTERIOR",C628)),0,IF(ISNUMBER(FIND("SALDO DO DIA",C628)),0,IF(ISNUMBER(FIND("SALDO PARCIAL",C628)),0,IF(ISNUMBER(FIND("SDO CTA/APL AUTOMATICAS",C628)),0,IF(ISNUMBER(FIND("APL APLIC AUT MAIS",C628)),0,IF(ISNUMBER(FIND("TEC DEPOSITO",C628)),0,IF(E628&gt;0,0,E628*(-1))))))))</f>
        <v>6.61</v>
      </c>
      <c r="G628" s="79" t="n">
        <f aca="false">IF(ISNUMBER(FIND("SALDO ANTERIOR",C628)),0,IF(ISNUMBER(FIND("SALDO DO DIA",C628)),0,IF(ISNUMBER(FIND("SDO CTA/APL AUTOMATICAS",C628)),0,IF(ISNUMBER(FIND("TEC DEPOSITO",C628)),0,IF(ISNUMBER(FIND("APL APLIC AUT MAIS",C628)),E628,IF(E628&gt;0,E628,0))))))</f>
        <v>0</v>
      </c>
      <c r="H628" s="80" t="n">
        <v>43983</v>
      </c>
    </row>
    <row r="629" customFormat="false" ht="15" hidden="false" customHeight="false" outlineLevel="0" collapsed="false">
      <c r="A629" s="59" t="s">
        <v>29</v>
      </c>
      <c r="B629" s="74" t="s">
        <v>508</v>
      </c>
      <c r="C629" s="83" t="s">
        <v>494</v>
      </c>
      <c r="D629" s="76"/>
      <c r="E629" s="84" t="n">
        <v>-1382.86</v>
      </c>
      <c r="F629" s="78" t="n">
        <f aca="false">IF(ISNUMBER(FIND("SALDO ANTERIOR",C629)),0,IF(ISNUMBER(FIND("SALDO DO DIA",C629)),0,IF(ISNUMBER(FIND("SALDO PARCIAL",C629)),0,IF(ISNUMBER(FIND("SDO CTA/APL AUTOMATICAS",C629)),0,IF(ISNUMBER(FIND("APL APLIC AUT MAIS",C629)),0,IF(ISNUMBER(FIND("TEC DEPOSITO",C629)),0,IF(E629&gt;0,0,E629*(-1))))))))</f>
        <v>0</v>
      </c>
      <c r="G629" s="79" t="n">
        <f aca="false">IF(ISNUMBER(FIND("SALDO ANTERIOR",C629)),0,IF(ISNUMBER(FIND("SALDO DO DIA",C629)),0,IF(ISNUMBER(FIND("SDO CTA/APL AUTOMATICAS",C629)),0,IF(ISNUMBER(FIND("TEC DEPOSITO",C629)),0,IF(ISNUMBER(FIND("APL APLIC AUT MAIS",C629)),E629,IF(E629&gt;0,E629,0))))))</f>
        <v>0</v>
      </c>
      <c r="H629" s="80" t="n">
        <v>43983</v>
      </c>
    </row>
    <row r="630" customFormat="false" ht="13.8" hidden="false" customHeight="false" outlineLevel="0" collapsed="false">
      <c r="A630" s="59" t="s">
        <v>119</v>
      </c>
      <c r="B630" s="74" t="s">
        <v>511</v>
      </c>
      <c r="C630" s="75" t="s">
        <v>512</v>
      </c>
      <c r="D630" s="76" t="s">
        <v>61</v>
      </c>
      <c r="E630" s="81" t="n">
        <v>-176.6</v>
      </c>
      <c r="F630" s="78" t="n">
        <f aca="false">IF(ISNUMBER(FIND("SALDO ANTERIOR",C630)),0,IF(ISNUMBER(FIND("SALDO DO DIA",C630)),0,IF(ISNUMBER(FIND("SALDO PARCIAL",C630)),0,IF(ISNUMBER(FIND("SDO CTA/APL AUTOMATICAS",C630)),0,IF(ISNUMBER(FIND("APL APLIC AUT MAIS",C630)),0,IF(ISNUMBER(FIND("TEC DEPOSITO",C630)),0,IF(E630&gt;0,0,E630*(-1))))))))</f>
        <v>176.6</v>
      </c>
      <c r="G630" s="79" t="n">
        <f aca="false">IF(ISNUMBER(FIND("SALDO ANTERIOR",C630)),0,IF(ISNUMBER(FIND("SALDO DO DIA",C630)),0,IF(ISNUMBER(FIND("SDO CTA/APL AUTOMATICAS",C630)),0,IF(ISNUMBER(FIND("TEC DEPOSITO",C630)),0,IF(ISNUMBER(FIND("APL APLIC AUT MAIS",C630)),E630,IF(E630&gt;0,E630,0))))))</f>
        <v>0</v>
      </c>
      <c r="H630" s="80" t="n">
        <v>43983</v>
      </c>
    </row>
    <row r="631" customFormat="false" ht="13.8" hidden="false" customHeight="false" outlineLevel="0" collapsed="false">
      <c r="A631" s="59" t="s">
        <v>119</v>
      </c>
      <c r="B631" s="74" t="s">
        <v>511</v>
      </c>
      <c r="C631" s="75" t="s">
        <v>217</v>
      </c>
      <c r="D631" s="76" t="s">
        <v>61</v>
      </c>
      <c r="E631" s="81" t="n">
        <v>-803.04</v>
      </c>
      <c r="F631" s="78" t="n">
        <f aca="false">IF(ISNUMBER(FIND("SALDO ANTERIOR",C631)),0,IF(ISNUMBER(FIND("SALDO DO DIA",C631)),0,IF(ISNUMBER(FIND("SALDO PARCIAL",C631)),0,IF(ISNUMBER(FIND("SDO CTA/APL AUTOMATICAS",C631)),0,IF(ISNUMBER(FIND("APL APLIC AUT MAIS",C631)),0,IF(ISNUMBER(FIND("TEC DEPOSITO",C631)),0,IF(E631&gt;0,0,E631*(-1))))))))</f>
        <v>803.04</v>
      </c>
      <c r="G631" s="79" t="n">
        <f aca="false">IF(ISNUMBER(FIND("SALDO ANTERIOR",C631)),0,IF(ISNUMBER(FIND("SALDO DO DIA",C631)),0,IF(ISNUMBER(FIND("SDO CTA/APL AUTOMATICAS",C631)),0,IF(ISNUMBER(FIND("TEC DEPOSITO",C631)),0,IF(ISNUMBER(FIND("APL APLIC AUT MAIS",C631)),E631,IF(E631&gt;0,E631,0))))))</f>
        <v>0</v>
      </c>
      <c r="H631" s="80" t="n">
        <v>43983</v>
      </c>
    </row>
    <row r="632" customFormat="false" ht="13.8" hidden="false" customHeight="false" outlineLevel="0" collapsed="false">
      <c r="A632" s="59" t="s">
        <v>76</v>
      </c>
      <c r="B632" s="74" t="s">
        <v>511</v>
      </c>
      <c r="C632" s="75" t="s">
        <v>179</v>
      </c>
      <c r="D632" s="76" t="s">
        <v>64</v>
      </c>
      <c r="E632" s="81" t="n">
        <v>-51.95</v>
      </c>
      <c r="F632" s="78" t="n">
        <f aca="false">IF(ISNUMBER(FIND("SALDO ANTERIOR",C632)),0,IF(ISNUMBER(FIND("SALDO DO DIA",C632)),0,IF(ISNUMBER(FIND("SALDO PARCIAL",C632)),0,IF(ISNUMBER(FIND("SDO CTA/APL AUTOMATICAS",C632)),0,IF(ISNUMBER(FIND("APL APLIC AUT MAIS",C632)),0,IF(ISNUMBER(FIND("TEC DEPOSITO",C632)),0,IF(E632&gt;0,0,E632*(-1))))))))</f>
        <v>51.95</v>
      </c>
      <c r="G632" s="79" t="n">
        <f aca="false">IF(ISNUMBER(FIND("SALDO ANTERIOR",C632)),0,IF(ISNUMBER(FIND("SALDO DO DIA",C632)),0,IF(ISNUMBER(FIND("SDO CTA/APL AUTOMATICAS",C632)),0,IF(ISNUMBER(FIND("TEC DEPOSITO",C632)),0,IF(ISNUMBER(FIND("APL APLIC AUT MAIS",C632)),E632,IF(E632&gt;0,E632,0))))))</f>
        <v>0</v>
      </c>
      <c r="H632" s="80" t="n">
        <v>43983</v>
      </c>
    </row>
    <row r="633" customFormat="false" ht="13.8" hidden="false" customHeight="false" outlineLevel="0" collapsed="false">
      <c r="A633" s="59" t="s">
        <v>65</v>
      </c>
      <c r="B633" s="74" t="s">
        <v>511</v>
      </c>
      <c r="C633" s="75" t="s">
        <v>513</v>
      </c>
      <c r="D633" s="76" t="s">
        <v>64</v>
      </c>
      <c r="E633" s="81" t="n">
        <v>-20</v>
      </c>
      <c r="F633" s="78" t="n">
        <f aca="false">IF(ISNUMBER(FIND("SALDO ANTERIOR",C633)),0,IF(ISNUMBER(FIND("SALDO DO DIA",C633)),0,IF(ISNUMBER(FIND("SALDO PARCIAL",C633)),0,IF(ISNUMBER(FIND("SDO CTA/APL AUTOMATICAS",C633)),0,IF(ISNUMBER(FIND("APL APLIC AUT MAIS",C633)),0,IF(ISNUMBER(FIND("TEC DEPOSITO",C633)),0,IF(E633&gt;0,0,E633*(-1))))))))</f>
        <v>20</v>
      </c>
      <c r="G633" s="79" t="n">
        <f aca="false">IF(ISNUMBER(FIND("SALDO ANTERIOR",C633)),0,IF(ISNUMBER(FIND("SALDO DO DIA",C633)),0,IF(ISNUMBER(FIND("SDO CTA/APL AUTOMATICAS",C633)),0,IF(ISNUMBER(FIND("TEC DEPOSITO",C633)),0,IF(ISNUMBER(FIND("APL APLIC AUT MAIS",C633)),E633,IF(E633&gt;0,E633,0))))))</f>
        <v>0</v>
      </c>
      <c r="H633" s="80" t="n">
        <v>43983</v>
      </c>
    </row>
    <row r="634" customFormat="false" ht="13.8" hidden="false" customHeight="false" outlineLevel="0" collapsed="false">
      <c r="A634" s="59" t="s">
        <v>65</v>
      </c>
      <c r="B634" s="74" t="s">
        <v>511</v>
      </c>
      <c r="C634" s="75" t="s">
        <v>514</v>
      </c>
      <c r="D634" s="76" t="s">
        <v>64</v>
      </c>
      <c r="E634" s="81" t="n">
        <v>-10</v>
      </c>
      <c r="F634" s="78" t="n">
        <f aca="false">IF(ISNUMBER(FIND("SALDO ANTERIOR",C634)),0,IF(ISNUMBER(FIND("SALDO DO DIA",C634)),0,IF(ISNUMBER(FIND("SALDO PARCIAL",C634)),0,IF(ISNUMBER(FIND("SDO CTA/APL AUTOMATICAS",C634)),0,IF(ISNUMBER(FIND("APL APLIC AUT MAIS",C634)),0,IF(ISNUMBER(FIND("TEC DEPOSITO",C634)),0,IF(E634&gt;0,0,E634*(-1))))))))</f>
        <v>10</v>
      </c>
      <c r="G634" s="79" t="n">
        <f aca="false">IF(ISNUMBER(FIND("SALDO ANTERIOR",C634)),0,IF(ISNUMBER(FIND("SALDO DO DIA",C634)),0,IF(ISNUMBER(FIND("SDO CTA/APL AUTOMATICAS",C634)),0,IF(ISNUMBER(FIND("TEC DEPOSITO",C634)),0,IF(ISNUMBER(FIND("APL APLIC AUT MAIS",C634)),E634,IF(E634&gt;0,E634,0))))))</f>
        <v>0</v>
      </c>
      <c r="H634" s="80" t="n">
        <v>43983</v>
      </c>
    </row>
    <row r="635" customFormat="false" ht="13.8" hidden="false" customHeight="false" outlineLevel="0" collapsed="false">
      <c r="A635" s="59" t="s">
        <v>65</v>
      </c>
      <c r="B635" s="74" t="s">
        <v>511</v>
      </c>
      <c r="C635" s="75" t="s">
        <v>515</v>
      </c>
      <c r="D635" s="76" t="s">
        <v>64</v>
      </c>
      <c r="E635" s="81" t="n">
        <v>-29.97</v>
      </c>
      <c r="F635" s="78" t="n">
        <f aca="false">IF(ISNUMBER(FIND("SALDO ANTERIOR",C635)),0,IF(ISNUMBER(FIND("SALDO DO DIA",C635)),0,IF(ISNUMBER(FIND("SALDO PARCIAL",C635)),0,IF(ISNUMBER(FIND("SDO CTA/APL AUTOMATICAS",C635)),0,IF(ISNUMBER(FIND("APL APLIC AUT MAIS",C635)),0,IF(ISNUMBER(FIND("TEC DEPOSITO",C635)),0,IF(E635&gt;0,0,E635*(-1))))))))</f>
        <v>29.97</v>
      </c>
      <c r="G635" s="79" t="n">
        <f aca="false">IF(ISNUMBER(FIND("SALDO ANTERIOR",C635)),0,IF(ISNUMBER(FIND("SALDO DO DIA",C635)),0,IF(ISNUMBER(FIND("SDO CTA/APL AUTOMATICAS",C635)),0,IF(ISNUMBER(FIND("TEC DEPOSITO",C635)),0,IF(ISNUMBER(FIND("APL APLIC AUT MAIS",C635)),E635,IF(E635&gt;0,E635,0))))))</f>
        <v>0</v>
      </c>
      <c r="H635" s="80" t="n">
        <v>43983</v>
      </c>
    </row>
    <row r="636" customFormat="false" ht="13.8" hidden="false" customHeight="false" outlineLevel="0" collapsed="false">
      <c r="A636" s="59" t="s">
        <v>65</v>
      </c>
      <c r="B636" s="74" t="s">
        <v>511</v>
      </c>
      <c r="C636" s="75" t="s">
        <v>516</v>
      </c>
      <c r="D636" s="76" t="s">
        <v>64</v>
      </c>
      <c r="E636" s="81" t="n">
        <v>-39.99</v>
      </c>
      <c r="F636" s="78" t="n">
        <f aca="false">IF(ISNUMBER(FIND("SALDO ANTERIOR",C636)),0,IF(ISNUMBER(FIND("SALDO DO DIA",C636)),0,IF(ISNUMBER(FIND("SALDO PARCIAL",C636)),0,IF(ISNUMBER(FIND("SDO CTA/APL AUTOMATICAS",C636)),0,IF(ISNUMBER(FIND("APL APLIC AUT MAIS",C636)),0,IF(ISNUMBER(FIND("TEC DEPOSITO",C636)),0,IF(E636&gt;0,0,E636*(-1))))))))</f>
        <v>39.99</v>
      </c>
      <c r="G636" s="79" t="n">
        <f aca="false">IF(ISNUMBER(FIND("SALDO ANTERIOR",C636)),0,IF(ISNUMBER(FIND("SALDO DO DIA",C636)),0,IF(ISNUMBER(FIND("SDO CTA/APL AUTOMATICAS",C636)),0,IF(ISNUMBER(FIND("TEC DEPOSITO",C636)),0,IF(ISNUMBER(FIND("APL APLIC AUT MAIS",C636)),E636,IF(E636&gt;0,E636,0))))))</f>
        <v>0</v>
      </c>
      <c r="H636" s="80" t="n">
        <v>43983</v>
      </c>
    </row>
    <row r="637" customFormat="false" ht="13.8" hidden="false" customHeight="false" outlineLevel="0" collapsed="false">
      <c r="A637" s="59" t="s">
        <v>65</v>
      </c>
      <c r="B637" s="74" t="s">
        <v>511</v>
      </c>
      <c r="C637" s="75" t="s">
        <v>486</v>
      </c>
      <c r="D637" s="76" t="s">
        <v>64</v>
      </c>
      <c r="E637" s="81" t="n">
        <v>-26.08</v>
      </c>
      <c r="F637" s="78" t="n">
        <f aca="false">IF(ISNUMBER(FIND("SALDO ANTERIOR",C637)),0,IF(ISNUMBER(FIND("SALDO DO DIA",C637)),0,IF(ISNUMBER(FIND("SALDO PARCIAL",C637)),0,IF(ISNUMBER(FIND("SDO CTA/APL AUTOMATICAS",C637)),0,IF(ISNUMBER(FIND("APL APLIC AUT MAIS",C637)),0,IF(ISNUMBER(FIND("TEC DEPOSITO",C637)),0,IF(E637&gt;0,0,E637*(-1))))))))</f>
        <v>26.08</v>
      </c>
      <c r="G637" s="79" t="n">
        <f aca="false">IF(ISNUMBER(FIND("SALDO ANTERIOR",C637)),0,IF(ISNUMBER(FIND("SALDO DO DIA",C637)),0,IF(ISNUMBER(FIND("SDO CTA/APL AUTOMATICAS",C637)),0,IF(ISNUMBER(FIND("TEC DEPOSITO",C637)),0,IF(ISNUMBER(FIND("APL APLIC AUT MAIS",C637)),E637,IF(E637&gt;0,E637,0))))))</f>
        <v>0</v>
      </c>
      <c r="H637" s="80" t="n">
        <v>43983</v>
      </c>
    </row>
    <row r="638" customFormat="false" ht="13.8" hidden="false" customHeight="false" outlineLevel="0" collapsed="false">
      <c r="A638" s="59" t="s">
        <v>130</v>
      </c>
      <c r="B638" s="74" t="s">
        <v>511</v>
      </c>
      <c r="C638" s="75" t="s">
        <v>131</v>
      </c>
      <c r="D638" s="76" t="s">
        <v>82</v>
      </c>
      <c r="E638" s="81" t="n">
        <v>-75</v>
      </c>
      <c r="F638" s="78" t="n">
        <f aca="false">IF(ISNUMBER(FIND("SALDO ANTERIOR",C638)),0,IF(ISNUMBER(FIND("SALDO DO DIA",C638)),0,IF(ISNUMBER(FIND("SALDO PARCIAL",C638)),0,IF(ISNUMBER(FIND("SDO CTA/APL AUTOMATICAS",C638)),0,IF(ISNUMBER(FIND("APL APLIC AUT MAIS",C638)),0,IF(ISNUMBER(FIND("TEC DEPOSITO",C638)),0,IF(E638&gt;0,0,E638*(-1))))))))</f>
        <v>75</v>
      </c>
      <c r="G638" s="79" t="n">
        <f aca="false">IF(ISNUMBER(FIND("SALDO ANTERIOR",C638)),0,IF(ISNUMBER(FIND("SALDO DO DIA",C638)),0,IF(ISNUMBER(FIND("SDO CTA/APL AUTOMATICAS",C638)),0,IF(ISNUMBER(FIND("TEC DEPOSITO",C638)),0,IF(ISNUMBER(FIND("APL APLIC AUT MAIS",C638)),E638,IF(E638&gt;0,E638,0))))))</f>
        <v>0</v>
      </c>
      <c r="H638" s="80" t="n">
        <v>43983</v>
      </c>
    </row>
    <row r="639" customFormat="false" ht="15" hidden="false" customHeight="false" outlineLevel="0" collapsed="false">
      <c r="A639" s="59" t="s">
        <v>29</v>
      </c>
      <c r="B639" s="74" t="s">
        <v>511</v>
      </c>
      <c r="C639" s="83" t="s">
        <v>494</v>
      </c>
      <c r="D639" s="76"/>
      <c r="E639" s="84" t="n">
        <v>-2615.49</v>
      </c>
      <c r="F639" s="78" t="n">
        <f aca="false">IF(ISNUMBER(FIND("SALDO ANTERIOR",C639)),0,IF(ISNUMBER(FIND("SALDO DO DIA",C639)),0,IF(ISNUMBER(FIND("SALDO PARCIAL",C639)),0,IF(ISNUMBER(FIND("SDO CTA/APL AUTOMATICAS",C639)),0,IF(ISNUMBER(FIND("APL APLIC AUT MAIS",C639)),0,IF(ISNUMBER(FIND("TEC DEPOSITO",C639)),0,IF(E639&gt;0,0,E639*(-1))))))))</f>
        <v>0</v>
      </c>
      <c r="G639" s="79" t="n">
        <f aca="false">IF(ISNUMBER(FIND("SALDO ANTERIOR",C639)),0,IF(ISNUMBER(FIND("SALDO DO DIA",C639)),0,IF(ISNUMBER(FIND("SDO CTA/APL AUTOMATICAS",C639)),0,IF(ISNUMBER(FIND("TEC DEPOSITO",C639)),0,IF(ISNUMBER(FIND("APL APLIC AUT MAIS",C639)),E639,IF(E639&gt;0,E639,0))))))</f>
        <v>0</v>
      </c>
      <c r="H639" s="80" t="n">
        <v>43983</v>
      </c>
    </row>
    <row r="640" customFormat="false" ht="13.8" hidden="false" customHeight="false" outlineLevel="0" collapsed="false">
      <c r="A640" s="59" t="s">
        <v>203</v>
      </c>
      <c r="B640" s="74" t="s">
        <v>517</v>
      </c>
      <c r="C640" s="75" t="s">
        <v>518</v>
      </c>
      <c r="D640" s="76" t="s">
        <v>478</v>
      </c>
      <c r="E640" s="81" t="n">
        <v>-100</v>
      </c>
      <c r="F640" s="78" t="n">
        <f aca="false">IF(ISNUMBER(FIND("SALDO ANTERIOR",C640)),0,IF(ISNUMBER(FIND("SALDO DO DIA",C640)),0,IF(ISNUMBER(FIND("SALDO PARCIAL",C640)),0,IF(ISNUMBER(FIND("SDO CTA/APL AUTOMATICAS",C640)),0,IF(ISNUMBER(FIND("APL APLIC AUT MAIS",C640)),0,IF(ISNUMBER(FIND("TEC DEPOSITO",C640)),0,IF(E640&gt;0,0,E640*(-1))))))))</f>
        <v>100</v>
      </c>
      <c r="G640" s="79" t="n">
        <f aca="false">IF(ISNUMBER(FIND("SALDO ANTERIOR",C640)),0,IF(ISNUMBER(FIND("SALDO DO DIA",C640)),0,IF(ISNUMBER(FIND("SDO CTA/APL AUTOMATICAS",C640)),0,IF(ISNUMBER(FIND("TEC DEPOSITO",C640)),0,IF(ISNUMBER(FIND("APL APLIC AUT MAIS",C640)),E640,IF(E640&gt;0,E640,0))))))</f>
        <v>0</v>
      </c>
      <c r="H640" s="80" t="n">
        <v>43983</v>
      </c>
    </row>
    <row r="641" customFormat="false" ht="13.8" hidden="false" customHeight="false" outlineLevel="0" collapsed="false">
      <c r="A641" s="59" t="s">
        <v>71</v>
      </c>
      <c r="B641" s="74" t="s">
        <v>517</v>
      </c>
      <c r="C641" s="75" t="s">
        <v>85</v>
      </c>
      <c r="D641" s="76" t="s">
        <v>64</v>
      </c>
      <c r="E641" s="81" t="n">
        <v>-11.53</v>
      </c>
      <c r="F641" s="78" t="n">
        <f aca="false">IF(ISNUMBER(FIND("SALDO ANTERIOR",C641)),0,IF(ISNUMBER(FIND("SALDO DO DIA",C641)),0,IF(ISNUMBER(FIND("SALDO PARCIAL",C641)),0,IF(ISNUMBER(FIND("SDO CTA/APL AUTOMATICAS",C641)),0,IF(ISNUMBER(FIND("APL APLIC AUT MAIS",C641)),0,IF(ISNUMBER(FIND("TEC DEPOSITO",C641)),0,IF(E641&gt;0,0,E641*(-1))))))))</f>
        <v>11.53</v>
      </c>
      <c r="G641" s="79" t="n">
        <f aca="false">IF(ISNUMBER(FIND("SALDO ANTERIOR",C641)),0,IF(ISNUMBER(FIND("SALDO DO DIA",C641)),0,IF(ISNUMBER(FIND("SDO CTA/APL AUTOMATICAS",C641)),0,IF(ISNUMBER(FIND("TEC DEPOSITO",C641)),0,IF(ISNUMBER(FIND("APL APLIC AUT MAIS",C641)),E641,IF(E641&gt;0,E641,0))))))</f>
        <v>0</v>
      </c>
      <c r="H641" s="80" t="n">
        <v>43983</v>
      </c>
    </row>
    <row r="642" customFormat="false" ht="13.8" hidden="false" customHeight="false" outlineLevel="0" collapsed="false">
      <c r="A642" s="59" t="s">
        <v>71</v>
      </c>
      <c r="B642" s="74" t="s">
        <v>517</v>
      </c>
      <c r="C642" s="75" t="s">
        <v>85</v>
      </c>
      <c r="D642" s="76" t="s">
        <v>64</v>
      </c>
      <c r="E642" s="81" t="n">
        <v>-23.48</v>
      </c>
      <c r="F642" s="78" t="n">
        <f aca="false">IF(ISNUMBER(FIND("SALDO ANTERIOR",C642)),0,IF(ISNUMBER(FIND("SALDO DO DIA",C642)),0,IF(ISNUMBER(FIND("SALDO PARCIAL",C642)),0,IF(ISNUMBER(FIND("SDO CTA/APL AUTOMATICAS",C642)),0,IF(ISNUMBER(FIND("APL APLIC AUT MAIS",C642)),0,IF(ISNUMBER(FIND("TEC DEPOSITO",C642)),0,IF(E642&gt;0,0,E642*(-1))))))))</f>
        <v>23.48</v>
      </c>
      <c r="G642" s="79" t="n">
        <f aca="false">IF(ISNUMBER(FIND("SALDO ANTERIOR",C642)),0,IF(ISNUMBER(FIND("SALDO DO DIA",C642)),0,IF(ISNUMBER(FIND("SDO CTA/APL AUTOMATICAS",C642)),0,IF(ISNUMBER(FIND("TEC DEPOSITO",C642)),0,IF(ISNUMBER(FIND("APL APLIC AUT MAIS",C642)),E642,IF(E642&gt;0,E642,0))))))</f>
        <v>0</v>
      </c>
      <c r="H642" s="80" t="n">
        <v>43983</v>
      </c>
    </row>
    <row r="643" customFormat="false" ht="13.8" hidden="false" customHeight="false" outlineLevel="0" collapsed="false">
      <c r="A643" s="59" t="s">
        <v>74</v>
      </c>
      <c r="B643" s="74" t="s">
        <v>517</v>
      </c>
      <c r="C643" s="75" t="s">
        <v>457</v>
      </c>
      <c r="D643" s="76" t="s">
        <v>64</v>
      </c>
      <c r="E643" s="81" t="n">
        <v>-43.98</v>
      </c>
      <c r="F643" s="78" t="n">
        <f aca="false">IF(ISNUMBER(FIND("SALDO ANTERIOR",C643)),0,IF(ISNUMBER(FIND("SALDO DO DIA",C643)),0,IF(ISNUMBER(FIND("SALDO PARCIAL",C643)),0,IF(ISNUMBER(FIND("SDO CTA/APL AUTOMATICAS",C643)),0,IF(ISNUMBER(FIND("APL APLIC AUT MAIS",C643)),0,IF(ISNUMBER(FIND("TEC DEPOSITO",C643)),0,IF(E643&gt;0,0,E643*(-1))))))))</f>
        <v>43.98</v>
      </c>
      <c r="G643" s="79" t="n">
        <f aca="false">IF(ISNUMBER(FIND("SALDO ANTERIOR",C643)),0,IF(ISNUMBER(FIND("SALDO DO DIA",C643)),0,IF(ISNUMBER(FIND("SDO CTA/APL AUTOMATICAS",C643)),0,IF(ISNUMBER(FIND("TEC DEPOSITO",C643)),0,IF(ISNUMBER(FIND("APL APLIC AUT MAIS",C643)),E643,IF(E643&gt;0,E643,0))))))</f>
        <v>0</v>
      </c>
      <c r="H643" s="80" t="n">
        <v>43983</v>
      </c>
    </row>
    <row r="644" customFormat="false" ht="13.8" hidden="false" customHeight="false" outlineLevel="0" collapsed="false">
      <c r="A644" s="59" t="s">
        <v>65</v>
      </c>
      <c r="B644" s="74" t="s">
        <v>517</v>
      </c>
      <c r="C644" s="75" t="s">
        <v>519</v>
      </c>
      <c r="D644" s="76" t="s">
        <v>64</v>
      </c>
      <c r="E644" s="81" t="n">
        <v>-194</v>
      </c>
      <c r="F644" s="78" t="n">
        <f aca="false">IF(ISNUMBER(FIND("SALDO ANTERIOR",C644)),0,IF(ISNUMBER(FIND("SALDO DO DIA",C644)),0,IF(ISNUMBER(FIND("SALDO PARCIAL",C644)),0,IF(ISNUMBER(FIND("SDO CTA/APL AUTOMATICAS",C644)),0,IF(ISNUMBER(FIND("APL APLIC AUT MAIS",C644)),0,IF(ISNUMBER(FIND("TEC DEPOSITO",C644)),0,IF(E644&gt;0,0,E644*(-1))))))))</f>
        <v>194</v>
      </c>
      <c r="G644" s="79" t="n">
        <f aca="false">IF(ISNUMBER(FIND("SALDO ANTERIOR",C644)),0,IF(ISNUMBER(FIND("SALDO DO DIA",C644)),0,IF(ISNUMBER(FIND("SDO CTA/APL AUTOMATICAS",C644)),0,IF(ISNUMBER(FIND("TEC DEPOSITO",C644)),0,IF(ISNUMBER(FIND("APL APLIC AUT MAIS",C644)),E644,IF(E644&gt;0,E644,0))))))</f>
        <v>0</v>
      </c>
      <c r="H644" s="80" t="n">
        <v>43983</v>
      </c>
    </row>
    <row r="645" customFormat="false" ht="13.8" hidden="false" customHeight="false" outlineLevel="0" collapsed="false">
      <c r="A645" s="59" t="s">
        <v>65</v>
      </c>
      <c r="B645" s="74" t="s">
        <v>517</v>
      </c>
      <c r="C645" s="75" t="s">
        <v>520</v>
      </c>
      <c r="D645" s="76" t="s">
        <v>64</v>
      </c>
      <c r="E645" s="81" t="n">
        <v>-24.04</v>
      </c>
      <c r="F645" s="78" t="n">
        <f aca="false">IF(ISNUMBER(FIND("SALDO ANTERIOR",C645)),0,IF(ISNUMBER(FIND("SALDO DO DIA",C645)),0,IF(ISNUMBER(FIND("SALDO PARCIAL",C645)),0,IF(ISNUMBER(FIND("SDO CTA/APL AUTOMATICAS",C645)),0,IF(ISNUMBER(FIND("APL APLIC AUT MAIS",C645)),0,IF(ISNUMBER(FIND("TEC DEPOSITO",C645)),0,IF(E645&gt;0,0,E645*(-1))))))))</f>
        <v>24.04</v>
      </c>
      <c r="G645" s="79" t="n">
        <f aca="false">IF(ISNUMBER(FIND("SALDO ANTERIOR",C645)),0,IF(ISNUMBER(FIND("SALDO DO DIA",C645)),0,IF(ISNUMBER(FIND("SDO CTA/APL AUTOMATICAS",C645)),0,IF(ISNUMBER(FIND("TEC DEPOSITO",C645)),0,IF(ISNUMBER(FIND("APL APLIC AUT MAIS",C645)),E645,IF(E645&gt;0,E645,0))))))</f>
        <v>0</v>
      </c>
      <c r="H645" s="80" t="n">
        <v>43983</v>
      </c>
    </row>
    <row r="646" customFormat="false" ht="13.8" hidden="false" customHeight="false" outlineLevel="0" collapsed="false">
      <c r="A646" s="59" t="s">
        <v>98</v>
      </c>
      <c r="B646" s="74" t="s">
        <v>517</v>
      </c>
      <c r="C646" s="75" t="s">
        <v>180</v>
      </c>
      <c r="D646" s="76" t="s">
        <v>64</v>
      </c>
      <c r="E646" s="81" t="n">
        <v>-60.47</v>
      </c>
      <c r="F646" s="78" t="n">
        <f aca="false">IF(ISNUMBER(FIND("SALDO ANTERIOR",C646)),0,IF(ISNUMBER(FIND("SALDO DO DIA",C646)),0,IF(ISNUMBER(FIND("SALDO PARCIAL",C646)),0,IF(ISNUMBER(FIND("SDO CTA/APL AUTOMATICAS",C646)),0,IF(ISNUMBER(FIND("APL APLIC AUT MAIS",C646)),0,IF(ISNUMBER(FIND("TEC DEPOSITO",C646)),0,IF(E646&gt;0,0,E646*(-1))))))))</f>
        <v>60.47</v>
      </c>
      <c r="G646" s="79" t="n">
        <f aca="false">IF(ISNUMBER(FIND("SALDO ANTERIOR",C646)),0,IF(ISNUMBER(FIND("SALDO DO DIA",C646)),0,IF(ISNUMBER(FIND("SDO CTA/APL AUTOMATICAS",C646)),0,IF(ISNUMBER(FIND("TEC DEPOSITO",C646)),0,IF(ISNUMBER(FIND("APL APLIC AUT MAIS",C646)),E646,IF(E646&gt;0,E646,0))))))</f>
        <v>0</v>
      </c>
      <c r="H646" s="80" t="n">
        <v>43983</v>
      </c>
    </row>
    <row r="647" customFormat="false" ht="13.8" hidden="false" customHeight="false" outlineLevel="0" collapsed="false">
      <c r="A647" s="59" t="s">
        <v>65</v>
      </c>
      <c r="B647" s="74" t="s">
        <v>517</v>
      </c>
      <c r="C647" s="75" t="s">
        <v>115</v>
      </c>
      <c r="D647" s="76" t="s">
        <v>64</v>
      </c>
      <c r="E647" s="81" t="n">
        <v>-15</v>
      </c>
      <c r="F647" s="78" t="n">
        <f aca="false">IF(ISNUMBER(FIND("SALDO ANTERIOR",C647)),0,IF(ISNUMBER(FIND("SALDO DO DIA",C647)),0,IF(ISNUMBER(FIND("SALDO PARCIAL",C647)),0,IF(ISNUMBER(FIND("SDO CTA/APL AUTOMATICAS",C647)),0,IF(ISNUMBER(FIND("APL APLIC AUT MAIS",C647)),0,IF(ISNUMBER(FIND("TEC DEPOSITO",C647)),0,IF(E647&gt;0,0,E647*(-1))))))))</f>
        <v>15</v>
      </c>
      <c r="G647" s="79" t="n">
        <f aca="false">IF(ISNUMBER(FIND("SALDO ANTERIOR",C647)),0,IF(ISNUMBER(FIND("SALDO DO DIA",C647)),0,IF(ISNUMBER(FIND("SDO CTA/APL AUTOMATICAS",C647)),0,IF(ISNUMBER(FIND("TEC DEPOSITO",C647)),0,IF(ISNUMBER(FIND("APL APLIC AUT MAIS",C647)),E647,IF(E647&gt;0,E647,0))))))</f>
        <v>0</v>
      </c>
      <c r="H647" s="80" t="n">
        <v>43983</v>
      </c>
    </row>
    <row r="648" customFormat="false" ht="13.8" hidden="false" customHeight="false" outlineLevel="0" collapsed="false">
      <c r="A648" s="59" t="s">
        <v>122</v>
      </c>
      <c r="B648" s="74" t="s">
        <v>517</v>
      </c>
      <c r="C648" s="75" t="s">
        <v>123</v>
      </c>
      <c r="D648" s="76" t="s">
        <v>61</v>
      </c>
      <c r="E648" s="81" t="n">
        <v>-4992.46</v>
      </c>
      <c r="F648" s="78" t="n">
        <f aca="false">IF(ISNUMBER(FIND("SALDO ANTERIOR",C648)),0,IF(ISNUMBER(FIND("SALDO DO DIA",C648)),0,IF(ISNUMBER(FIND("SALDO PARCIAL",C648)),0,IF(ISNUMBER(FIND("SDO CTA/APL AUTOMATICAS",C648)),0,IF(ISNUMBER(FIND("APL APLIC AUT MAIS",C648)),0,IF(ISNUMBER(FIND("TEC DEPOSITO",C648)),0,IF(E648&gt;0,0,E648*(-1))))))))</f>
        <v>4992.46</v>
      </c>
      <c r="G648" s="79" t="n">
        <f aca="false">IF(ISNUMBER(FIND("SALDO ANTERIOR",C648)),0,IF(ISNUMBER(FIND("SALDO DO DIA",C648)),0,IF(ISNUMBER(FIND("SDO CTA/APL AUTOMATICAS",C648)),0,IF(ISNUMBER(FIND("TEC DEPOSITO",C648)),0,IF(ISNUMBER(FIND("APL APLIC AUT MAIS",C648)),E648,IF(E648&gt;0,E648,0))))))</f>
        <v>0</v>
      </c>
      <c r="H648" s="80" t="n">
        <v>43983</v>
      </c>
    </row>
    <row r="649" customFormat="false" ht="13.8" hidden="false" customHeight="false" outlineLevel="0" collapsed="false">
      <c r="A649" s="59" t="s">
        <v>167</v>
      </c>
      <c r="B649" s="74" t="s">
        <v>517</v>
      </c>
      <c r="C649" s="75" t="s">
        <v>168</v>
      </c>
      <c r="D649" s="76" t="s">
        <v>61</v>
      </c>
      <c r="E649" s="77" t="n">
        <v>5000</v>
      </c>
      <c r="F649" s="78" t="n">
        <f aca="false">IF(ISNUMBER(FIND("SALDO ANTERIOR",C649)),0,IF(ISNUMBER(FIND("SALDO DO DIA",C649)),0,IF(ISNUMBER(FIND("SALDO PARCIAL",C649)),0,IF(ISNUMBER(FIND("SDO CTA/APL AUTOMATICAS",C649)),0,IF(ISNUMBER(FIND("APL APLIC AUT MAIS",C649)),0,IF(ISNUMBER(FIND("TEC DEPOSITO",C649)),0,IF(E649&gt;0,0,E649*(-1))))))))</f>
        <v>0</v>
      </c>
      <c r="G649" s="79" t="n">
        <f aca="false">IF(ISNUMBER(FIND("SALDO ANTERIOR",C649)),0,IF(ISNUMBER(FIND("SALDO DO DIA",C649)),0,IF(ISNUMBER(FIND("SDO CTA/APL AUTOMATICAS",C649)),0,IF(ISNUMBER(FIND("TEC DEPOSITO",C649)),0,IF(ISNUMBER(FIND("APL APLIC AUT MAIS",C649)),E649,IF(E649&gt;0,E649,0))))))</f>
        <v>5000</v>
      </c>
      <c r="H649" s="80" t="n">
        <v>43983</v>
      </c>
    </row>
    <row r="650" customFormat="false" ht="13.8" hidden="false" customHeight="false" outlineLevel="0" collapsed="false">
      <c r="A650" s="59" t="s">
        <v>127</v>
      </c>
      <c r="B650" s="74" t="s">
        <v>517</v>
      </c>
      <c r="C650" s="75" t="s">
        <v>128</v>
      </c>
      <c r="D650" s="76"/>
      <c r="E650" s="77" t="n">
        <v>4799.86</v>
      </c>
      <c r="F650" s="78" t="n">
        <f aca="false">IF(ISNUMBER(FIND("SALDO ANTERIOR",C650)),0,IF(ISNUMBER(FIND("SALDO DO DIA",C650)),0,IF(ISNUMBER(FIND("SALDO PARCIAL",C650)),0,IF(ISNUMBER(FIND("SDO CTA/APL AUTOMATICAS",C650)),0,IF(ISNUMBER(FIND("APL APLIC AUT MAIS",C650)),0,IF(ISNUMBER(FIND("TEC DEPOSITO",C650)),0,IF(E650&gt;0,0,E650*(-1))))))))</f>
        <v>0</v>
      </c>
      <c r="G650" s="79" t="n">
        <f aca="false">IF(ISNUMBER(FIND("SALDO ANTERIOR",C650)),0,IF(ISNUMBER(FIND("SALDO DO DIA",C650)),0,IF(ISNUMBER(FIND("SDO CTA/APL AUTOMATICAS",C650)),0,IF(ISNUMBER(FIND("TEC DEPOSITO",C650)),0,IF(ISNUMBER(FIND("APL APLIC AUT MAIS",C650)),E650,IF(E650&gt;0,E650,0))))))</f>
        <v>4799.86</v>
      </c>
      <c r="H650" s="80" t="n">
        <v>43983</v>
      </c>
    </row>
    <row r="651" customFormat="false" ht="15" hidden="false" customHeight="false" outlineLevel="0" collapsed="false">
      <c r="A651" s="59" t="s">
        <v>29</v>
      </c>
      <c r="B651" s="74" t="s">
        <v>517</v>
      </c>
      <c r="C651" s="83" t="s">
        <v>521</v>
      </c>
      <c r="D651" s="76"/>
      <c r="E651" s="93" t="n">
        <v>1719.41</v>
      </c>
      <c r="F651" s="78" t="n">
        <f aca="false">IF(ISNUMBER(FIND("SALDO ANTERIOR",C651)),0,IF(ISNUMBER(FIND("SALDO DO DIA",C651)),0,IF(ISNUMBER(FIND("SALDO PARCIAL",C651)),0,IF(ISNUMBER(FIND("SDO CTA/APL AUTOMATICAS",C651)),0,IF(ISNUMBER(FIND("APL APLIC AUT MAIS",C651)),0,IF(ISNUMBER(FIND("TEC DEPOSITO",C651)),0,IF(E651&gt;0,0,E651*(-1))))))))</f>
        <v>0</v>
      </c>
      <c r="G651" s="79" t="n">
        <f aca="false">IF(ISNUMBER(FIND("SALDO ANTERIOR",C651)),0,IF(ISNUMBER(FIND("SALDO DO DIA",C651)),0,IF(ISNUMBER(FIND("SDO CTA/APL AUTOMATICAS",C651)),0,IF(ISNUMBER(FIND("TEC DEPOSITO",C651)),0,IF(ISNUMBER(FIND("APL APLIC AUT MAIS",C651)),E651,IF(E651&gt;0,E651,0))))))</f>
        <v>0</v>
      </c>
      <c r="H651" s="80" t="n">
        <v>43983</v>
      </c>
    </row>
    <row r="652" customFormat="false" ht="13.8" hidden="false" customHeight="false" outlineLevel="0" collapsed="false">
      <c r="A652" s="59" t="s">
        <v>225</v>
      </c>
      <c r="B652" s="74" t="s">
        <v>522</v>
      </c>
      <c r="C652" s="75" t="s">
        <v>240</v>
      </c>
      <c r="D652" s="76" t="s">
        <v>64</v>
      </c>
      <c r="E652" s="81" t="n">
        <v>-29.9</v>
      </c>
      <c r="F652" s="78" t="n">
        <f aca="false">IF(ISNUMBER(FIND("SALDO ANTERIOR",C652)),0,IF(ISNUMBER(FIND("SALDO DO DIA",C652)),0,IF(ISNUMBER(FIND("SALDO PARCIAL",C652)),0,IF(ISNUMBER(FIND("SDO CTA/APL AUTOMATICAS",C652)),0,IF(ISNUMBER(FIND("APL APLIC AUT MAIS",C652)),0,IF(ISNUMBER(FIND("TEC DEPOSITO",C652)),0,IF(E652&gt;0,0,E652*(-1))))))))</f>
        <v>29.9</v>
      </c>
      <c r="G652" s="79" t="n">
        <f aca="false">IF(ISNUMBER(FIND("SALDO ANTERIOR",C652)),0,IF(ISNUMBER(FIND("SALDO DO DIA",C652)),0,IF(ISNUMBER(FIND("SDO CTA/APL AUTOMATICAS",C652)),0,IF(ISNUMBER(FIND("TEC DEPOSITO",C652)),0,IF(ISNUMBER(FIND("APL APLIC AUT MAIS",C652)),E652,IF(E652&gt;0,E652,0))))))</f>
        <v>0</v>
      </c>
      <c r="H652" s="80" t="n">
        <v>43983</v>
      </c>
    </row>
    <row r="653" customFormat="false" ht="13.8" hidden="false" customHeight="false" outlineLevel="0" collapsed="false">
      <c r="A653" s="59" t="s">
        <v>76</v>
      </c>
      <c r="B653" s="74" t="s">
        <v>522</v>
      </c>
      <c r="C653" s="75" t="s">
        <v>506</v>
      </c>
      <c r="D653" s="76" t="s">
        <v>64</v>
      </c>
      <c r="E653" s="81" t="n">
        <v>-15.6</v>
      </c>
      <c r="F653" s="78" t="n">
        <f aca="false">IF(ISNUMBER(FIND("SALDO ANTERIOR",C653)),0,IF(ISNUMBER(FIND("SALDO DO DIA",C653)),0,IF(ISNUMBER(FIND("SALDO PARCIAL",C653)),0,IF(ISNUMBER(FIND("SDO CTA/APL AUTOMATICAS",C653)),0,IF(ISNUMBER(FIND("APL APLIC AUT MAIS",C653)),0,IF(ISNUMBER(FIND("TEC DEPOSITO",C653)),0,IF(E653&gt;0,0,E653*(-1))))))))</f>
        <v>15.6</v>
      </c>
      <c r="G653" s="79" t="n">
        <f aca="false">IF(ISNUMBER(FIND("SALDO ANTERIOR",C653)),0,IF(ISNUMBER(FIND("SALDO DO DIA",C653)),0,IF(ISNUMBER(FIND("SDO CTA/APL AUTOMATICAS",C653)),0,IF(ISNUMBER(FIND("TEC DEPOSITO",C653)),0,IF(ISNUMBER(FIND("APL APLIC AUT MAIS",C653)),E653,IF(E653&gt;0,E653,0))))))</f>
        <v>0</v>
      </c>
      <c r="H653" s="80" t="n">
        <v>43983</v>
      </c>
    </row>
    <row r="654" customFormat="false" ht="15" hidden="false" customHeight="false" outlineLevel="0" collapsed="false">
      <c r="A654" s="59" t="s">
        <v>29</v>
      </c>
      <c r="B654" s="74" t="s">
        <v>522</v>
      </c>
      <c r="C654" s="83" t="s">
        <v>521</v>
      </c>
      <c r="D654" s="76"/>
      <c r="E654" s="93" t="n">
        <v>1673.91</v>
      </c>
      <c r="F654" s="78" t="n">
        <f aca="false">IF(ISNUMBER(FIND("SALDO ANTERIOR",C654)),0,IF(ISNUMBER(FIND("SALDO DO DIA",C654)),0,IF(ISNUMBER(FIND("SALDO PARCIAL",C654)),0,IF(ISNUMBER(FIND("SDO CTA/APL AUTOMATICAS",C654)),0,IF(ISNUMBER(FIND("APL APLIC AUT MAIS",C654)),0,IF(ISNUMBER(FIND("TEC DEPOSITO",C654)),0,IF(E654&gt;0,0,E654*(-1))))))))</f>
        <v>0</v>
      </c>
      <c r="G654" s="79" t="n">
        <f aca="false">IF(ISNUMBER(FIND("SALDO ANTERIOR",C654)),0,IF(ISNUMBER(FIND("SALDO DO DIA",C654)),0,IF(ISNUMBER(FIND("SDO CTA/APL AUTOMATICAS",C654)),0,IF(ISNUMBER(FIND("TEC DEPOSITO",C654)),0,IF(ISNUMBER(FIND("APL APLIC AUT MAIS",C654)),E654,IF(E654&gt;0,E654,0))))))</f>
        <v>0</v>
      </c>
      <c r="H654" s="80" t="n">
        <v>43983</v>
      </c>
    </row>
    <row r="655" customFormat="false" ht="13.8" hidden="false" customHeight="false" outlineLevel="0" collapsed="false">
      <c r="A655" s="59" t="s">
        <v>98</v>
      </c>
      <c r="B655" s="74" t="s">
        <v>523</v>
      </c>
      <c r="C655" s="75" t="s">
        <v>470</v>
      </c>
      <c r="D655" s="76" t="s">
        <v>64</v>
      </c>
      <c r="E655" s="81" t="n">
        <v>-262.04</v>
      </c>
      <c r="F655" s="78" t="n">
        <f aca="false">IF(ISNUMBER(FIND("SALDO ANTERIOR",C655)),0,IF(ISNUMBER(FIND("SALDO DO DIA",C655)),0,IF(ISNUMBER(FIND("SALDO PARCIAL",C655)),0,IF(ISNUMBER(FIND("SDO CTA/APL AUTOMATICAS",C655)),0,IF(ISNUMBER(FIND("APL APLIC AUT MAIS",C655)),0,IF(ISNUMBER(FIND("TEC DEPOSITO",C655)),0,IF(E655&gt;0,0,E655*(-1))))))))</f>
        <v>262.04</v>
      </c>
      <c r="G655" s="79" t="n">
        <f aca="false">IF(ISNUMBER(FIND("SALDO ANTERIOR",C655)),0,IF(ISNUMBER(FIND("SALDO DO DIA",C655)),0,IF(ISNUMBER(FIND("SDO CTA/APL AUTOMATICAS",C655)),0,IF(ISNUMBER(FIND("TEC DEPOSITO",C655)),0,IF(ISNUMBER(FIND("APL APLIC AUT MAIS",C655)),E655,IF(E655&gt;0,E655,0))))))</f>
        <v>0</v>
      </c>
      <c r="H655" s="80" t="n">
        <v>43983</v>
      </c>
    </row>
    <row r="656" customFormat="false" ht="13.8" hidden="false" customHeight="false" outlineLevel="0" collapsed="false">
      <c r="A656" s="59" t="s">
        <v>71</v>
      </c>
      <c r="B656" s="74" t="s">
        <v>523</v>
      </c>
      <c r="C656" s="75" t="s">
        <v>85</v>
      </c>
      <c r="D656" s="76" t="s">
        <v>64</v>
      </c>
      <c r="E656" s="81" t="n">
        <v>-21.5</v>
      </c>
      <c r="F656" s="78" t="n">
        <f aca="false">IF(ISNUMBER(FIND("SALDO ANTERIOR",C656)),0,IF(ISNUMBER(FIND("SALDO DO DIA",C656)),0,IF(ISNUMBER(FIND("SALDO PARCIAL",C656)),0,IF(ISNUMBER(FIND("SDO CTA/APL AUTOMATICAS",C656)),0,IF(ISNUMBER(FIND("APL APLIC AUT MAIS",C656)),0,IF(ISNUMBER(FIND("TEC DEPOSITO",C656)),0,IF(E656&gt;0,0,E656*(-1))))))))</f>
        <v>21.5</v>
      </c>
      <c r="G656" s="79" t="n">
        <f aca="false">IF(ISNUMBER(FIND("SALDO ANTERIOR",C656)),0,IF(ISNUMBER(FIND("SALDO DO DIA",C656)),0,IF(ISNUMBER(FIND("SDO CTA/APL AUTOMATICAS",C656)),0,IF(ISNUMBER(FIND("TEC DEPOSITO",C656)),0,IF(ISNUMBER(FIND("APL APLIC AUT MAIS",C656)),E656,IF(E656&gt;0,E656,0))))))</f>
        <v>0</v>
      </c>
      <c r="H656" s="80" t="n">
        <v>43983</v>
      </c>
    </row>
    <row r="657" customFormat="false" ht="15" hidden="false" customHeight="false" outlineLevel="0" collapsed="false">
      <c r="A657" s="59" t="s">
        <v>29</v>
      </c>
      <c r="B657" s="74" t="s">
        <v>523</v>
      </c>
      <c r="C657" s="83" t="s">
        <v>521</v>
      </c>
      <c r="D657" s="76"/>
      <c r="E657" s="93" t="n">
        <v>1390.37</v>
      </c>
      <c r="F657" s="78" t="n">
        <f aca="false">IF(ISNUMBER(FIND("SALDO ANTERIOR",C657)),0,IF(ISNUMBER(FIND("SALDO DO DIA",C657)),0,IF(ISNUMBER(FIND("SALDO PARCIAL",C657)),0,IF(ISNUMBER(FIND("SDO CTA/APL AUTOMATICAS",C657)),0,IF(ISNUMBER(FIND("APL APLIC AUT MAIS",C657)),0,IF(ISNUMBER(FIND("TEC DEPOSITO",C657)),0,IF(E657&gt;0,0,E657*(-1))))))))</f>
        <v>0</v>
      </c>
      <c r="G657" s="79" t="n">
        <f aca="false">IF(ISNUMBER(FIND("SALDO ANTERIOR",C657)),0,IF(ISNUMBER(FIND("SALDO DO DIA",C657)),0,IF(ISNUMBER(FIND("SDO CTA/APL AUTOMATICAS",C657)),0,IF(ISNUMBER(FIND("TEC DEPOSITO",C657)),0,IF(ISNUMBER(FIND("APL APLIC AUT MAIS",C657)),E657,IF(E657&gt;0,E657,0))))))</f>
        <v>0</v>
      </c>
      <c r="H657" s="80" t="n">
        <v>43983</v>
      </c>
    </row>
    <row r="658" customFormat="false" ht="13.8" hidden="false" customHeight="false" outlineLevel="0" collapsed="false">
      <c r="A658" s="59" t="s">
        <v>74</v>
      </c>
      <c r="B658" s="74" t="s">
        <v>524</v>
      </c>
      <c r="C658" s="75" t="s">
        <v>457</v>
      </c>
      <c r="D658" s="76" t="s">
        <v>64</v>
      </c>
      <c r="E658" s="81" t="n">
        <v>-38.98</v>
      </c>
      <c r="F658" s="78" t="n">
        <f aca="false">IF(ISNUMBER(FIND("SALDO ANTERIOR",C658)),0,IF(ISNUMBER(FIND("SALDO DO DIA",C658)),0,IF(ISNUMBER(FIND("SALDO PARCIAL",C658)),0,IF(ISNUMBER(FIND("SDO CTA/APL AUTOMATICAS",C658)),0,IF(ISNUMBER(FIND("APL APLIC AUT MAIS",C658)),0,IF(ISNUMBER(FIND("TEC DEPOSITO",C658)),0,IF(E658&gt;0,0,E658*(-1))))))))</f>
        <v>38.98</v>
      </c>
      <c r="G658" s="79" t="n">
        <f aca="false">IF(ISNUMBER(FIND("SALDO ANTERIOR",C658)),0,IF(ISNUMBER(FIND("SALDO DO DIA",C658)),0,IF(ISNUMBER(FIND("SDO CTA/APL AUTOMATICAS",C658)),0,IF(ISNUMBER(FIND("TEC DEPOSITO",C658)),0,IF(ISNUMBER(FIND("APL APLIC AUT MAIS",C658)),E658,IF(E658&gt;0,E658,0))))))</f>
        <v>0</v>
      </c>
      <c r="H658" s="80" t="n">
        <v>43983</v>
      </c>
    </row>
    <row r="659" customFormat="false" ht="15" hidden="false" customHeight="false" outlineLevel="0" collapsed="false">
      <c r="A659" s="59" t="s">
        <v>29</v>
      </c>
      <c r="B659" s="74" t="s">
        <v>524</v>
      </c>
      <c r="C659" s="83" t="s">
        <v>521</v>
      </c>
      <c r="D659" s="76"/>
      <c r="E659" s="93" t="n">
        <v>1351.39</v>
      </c>
      <c r="F659" s="78" t="n">
        <f aca="false">IF(ISNUMBER(FIND("SALDO ANTERIOR",C659)),0,IF(ISNUMBER(FIND("SALDO DO DIA",C659)),0,IF(ISNUMBER(FIND("SALDO PARCIAL",C659)),0,IF(ISNUMBER(FIND("SDO CTA/APL AUTOMATICAS",C659)),0,IF(ISNUMBER(FIND("APL APLIC AUT MAIS",C659)),0,IF(ISNUMBER(FIND("TEC DEPOSITO",C659)),0,IF(E659&gt;0,0,E659*(-1))))))))</f>
        <v>0</v>
      </c>
      <c r="G659" s="79" t="n">
        <f aca="false">IF(ISNUMBER(FIND("SALDO ANTERIOR",C659)),0,IF(ISNUMBER(FIND("SALDO DO DIA",C659)),0,IF(ISNUMBER(FIND("SDO CTA/APL AUTOMATICAS",C659)),0,IF(ISNUMBER(FIND("TEC DEPOSITO",C659)),0,IF(ISNUMBER(FIND("APL APLIC AUT MAIS",C659)),E659,IF(E659&gt;0,E659,0))))))</f>
        <v>0</v>
      </c>
      <c r="H659" s="80" t="n">
        <v>43983</v>
      </c>
    </row>
    <row r="660" customFormat="false" ht="13.8" hidden="false" customHeight="false" outlineLevel="0" collapsed="false">
      <c r="A660" s="59" t="s">
        <v>65</v>
      </c>
      <c r="B660" s="74" t="s">
        <v>525</v>
      </c>
      <c r="C660" s="75" t="s">
        <v>526</v>
      </c>
      <c r="D660" s="76" t="s">
        <v>64</v>
      </c>
      <c r="E660" s="81" t="n">
        <v>-39.9</v>
      </c>
      <c r="F660" s="78" t="n">
        <f aca="false">IF(ISNUMBER(FIND("SALDO ANTERIOR",C660)),0,IF(ISNUMBER(FIND("SALDO DO DIA",C660)),0,IF(ISNUMBER(FIND("SALDO PARCIAL",C660)),0,IF(ISNUMBER(FIND("SDO CTA/APL AUTOMATICAS",C660)),0,IF(ISNUMBER(FIND("APL APLIC AUT MAIS",C660)),0,IF(ISNUMBER(FIND("TEC DEPOSITO",C660)),0,IF(E660&gt;0,0,E660*(-1))))))))</f>
        <v>39.9</v>
      </c>
      <c r="G660" s="79" t="n">
        <f aca="false">IF(ISNUMBER(FIND("SALDO ANTERIOR",C660)),0,IF(ISNUMBER(FIND("SALDO DO DIA",C660)),0,IF(ISNUMBER(FIND("SDO CTA/APL AUTOMATICAS",C660)),0,IF(ISNUMBER(FIND("TEC DEPOSITO",C660)),0,IF(ISNUMBER(FIND("APL APLIC AUT MAIS",C660)),E660,IF(E660&gt;0,E660,0))))))</f>
        <v>0</v>
      </c>
      <c r="H660" s="80" t="n">
        <v>43983</v>
      </c>
    </row>
    <row r="661" customFormat="false" ht="13.8" hidden="false" customHeight="false" outlineLevel="0" collapsed="false">
      <c r="A661" s="59" t="s">
        <v>527</v>
      </c>
      <c r="B661" s="74" t="s">
        <v>525</v>
      </c>
      <c r="C661" s="75" t="s">
        <v>528</v>
      </c>
      <c r="D661" s="76" t="s">
        <v>64</v>
      </c>
      <c r="E661" s="81" t="n">
        <v>-31.61</v>
      </c>
      <c r="F661" s="78" t="n">
        <f aca="false">IF(ISNUMBER(FIND("SALDO ANTERIOR",C661)),0,IF(ISNUMBER(FIND("SALDO DO DIA",C661)),0,IF(ISNUMBER(FIND("SALDO PARCIAL",C661)),0,IF(ISNUMBER(FIND("SDO CTA/APL AUTOMATICAS",C661)),0,IF(ISNUMBER(FIND("APL APLIC AUT MAIS",C661)),0,IF(ISNUMBER(FIND("TEC DEPOSITO",C661)),0,IF(E661&gt;0,0,E661*(-1))))))))</f>
        <v>31.61</v>
      </c>
      <c r="G661" s="79" t="n">
        <f aca="false">IF(ISNUMBER(FIND("SALDO ANTERIOR",C661)),0,IF(ISNUMBER(FIND("SALDO DO DIA",C661)),0,IF(ISNUMBER(FIND("SDO CTA/APL AUTOMATICAS",C661)),0,IF(ISNUMBER(FIND("TEC DEPOSITO",C661)),0,IF(ISNUMBER(FIND("APL APLIC AUT MAIS",C661)),E661,IF(E661&gt;0,E661,0))))))</f>
        <v>0</v>
      </c>
      <c r="H661" s="80" t="n">
        <v>43983</v>
      </c>
    </row>
    <row r="662" customFormat="false" ht="13.8" hidden="false" customHeight="false" outlineLevel="0" collapsed="false">
      <c r="A662" s="59" t="s">
        <v>65</v>
      </c>
      <c r="B662" s="74" t="s">
        <v>525</v>
      </c>
      <c r="C662" s="75" t="s">
        <v>115</v>
      </c>
      <c r="D662" s="76" t="s">
        <v>64</v>
      </c>
      <c r="E662" s="81" t="n">
        <v>-25</v>
      </c>
      <c r="F662" s="78" t="n">
        <f aca="false">IF(ISNUMBER(FIND("SALDO ANTERIOR",C662)),0,IF(ISNUMBER(FIND("SALDO DO DIA",C662)),0,IF(ISNUMBER(FIND("SALDO PARCIAL",C662)),0,IF(ISNUMBER(FIND("SDO CTA/APL AUTOMATICAS",C662)),0,IF(ISNUMBER(FIND("APL APLIC AUT MAIS",C662)),0,IF(ISNUMBER(FIND("TEC DEPOSITO",C662)),0,IF(E662&gt;0,0,E662*(-1))))))))</f>
        <v>25</v>
      </c>
      <c r="G662" s="79" t="n">
        <f aca="false">IF(ISNUMBER(FIND("SALDO ANTERIOR",C662)),0,IF(ISNUMBER(FIND("SALDO DO DIA",C662)),0,IF(ISNUMBER(FIND("SDO CTA/APL AUTOMATICAS",C662)),0,IF(ISNUMBER(FIND("TEC DEPOSITO",C662)),0,IF(ISNUMBER(FIND("APL APLIC AUT MAIS",C662)),E662,IF(E662&gt;0,E662,0))))))</f>
        <v>0</v>
      </c>
      <c r="H662" s="80" t="n">
        <v>43983</v>
      </c>
    </row>
    <row r="663" customFormat="false" ht="15" hidden="false" customHeight="false" outlineLevel="0" collapsed="false">
      <c r="A663" s="59" t="s">
        <v>29</v>
      </c>
      <c r="B663" s="74" t="s">
        <v>525</v>
      </c>
      <c r="C663" s="83" t="s">
        <v>521</v>
      </c>
      <c r="D663" s="76"/>
      <c r="E663" s="93" t="n">
        <v>1254.88</v>
      </c>
      <c r="F663" s="78" t="n">
        <f aca="false">IF(ISNUMBER(FIND("SALDO ANTERIOR",C663)),0,IF(ISNUMBER(FIND("SALDO DO DIA",C663)),0,IF(ISNUMBER(FIND("SALDO PARCIAL",C663)),0,IF(ISNUMBER(FIND("SDO CTA/APL AUTOMATICAS",C663)),0,IF(ISNUMBER(FIND("APL APLIC AUT MAIS",C663)),0,IF(ISNUMBER(FIND("TEC DEPOSITO",C663)),0,IF(E663&gt;0,0,E663*(-1))))))))</f>
        <v>0</v>
      </c>
      <c r="G663" s="79" t="n">
        <f aca="false">IF(ISNUMBER(FIND("SALDO ANTERIOR",C663)),0,IF(ISNUMBER(FIND("SALDO DO DIA",C663)),0,IF(ISNUMBER(FIND("SDO CTA/APL AUTOMATICAS",C663)),0,IF(ISNUMBER(FIND("TEC DEPOSITO",C663)),0,IF(ISNUMBER(FIND("APL APLIC AUT MAIS",C663)),E663,IF(E663&gt;0,E663,0))))))</f>
        <v>0</v>
      </c>
      <c r="H663" s="80" t="n">
        <v>43983</v>
      </c>
    </row>
    <row r="664" customFormat="false" ht="13.8" hidden="false" customHeight="false" outlineLevel="0" collapsed="false">
      <c r="A664" s="59" t="s">
        <v>119</v>
      </c>
      <c r="B664" s="74" t="s">
        <v>529</v>
      </c>
      <c r="C664" s="75" t="s">
        <v>530</v>
      </c>
      <c r="D664" s="76" t="s">
        <v>61</v>
      </c>
      <c r="E664" s="81" t="n">
        <v>-236.73</v>
      </c>
      <c r="F664" s="78" t="n">
        <f aca="false">IF(ISNUMBER(FIND("SALDO ANTERIOR",C664)),0,IF(ISNUMBER(FIND("SALDO DO DIA",C664)),0,IF(ISNUMBER(FIND("SALDO PARCIAL",C664)),0,IF(ISNUMBER(FIND("SDO CTA/APL AUTOMATICAS",C664)),0,IF(ISNUMBER(FIND("APL APLIC AUT MAIS",C664)),0,IF(ISNUMBER(FIND("TEC DEPOSITO",C664)),0,IF(E664&gt;0,0,E664*(-1))))))))</f>
        <v>236.73</v>
      </c>
      <c r="G664" s="79" t="n">
        <f aca="false">IF(ISNUMBER(FIND("SALDO ANTERIOR",C664)),0,IF(ISNUMBER(FIND("SALDO DO DIA",C664)),0,IF(ISNUMBER(FIND("SDO CTA/APL AUTOMATICAS",C664)),0,IF(ISNUMBER(FIND("TEC DEPOSITO",C664)),0,IF(ISNUMBER(FIND("APL APLIC AUT MAIS",C664)),E664,IF(E664&gt;0,E664,0))))))</f>
        <v>0</v>
      </c>
      <c r="H664" s="80" t="n">
        <v>43983</v>
      </c>
    </row>
    <row r="665" customFormat="false" ht="13.8" hidden="false" customHeight="false" outlineLevel="0" collapsed="false">
      <c r="A665" s="59" t="s">
        <v>203</v>
      </c>
      <c r="B665" s="74" t="s">
        <v>529</v>
      </c>
      <c r="C665" s="75" t="s">
        <v>531</v>
      </c>
      <c r="D665" s="76" t="s">
        <v>478</v>
      </c>
      <c r="E665" s="81" t="n">
        <v>-100</v>
      </c>
      <c r="F665" s="78" t="n">
        <f aca="false">IF(ISNUMBER(FIND("SALDO ANTERIOR",C665)),0,IF(ISNUMBER(FIND("SALDO DO DIA",C665)),0,IF(ISNUMBER(FIND("SALDO PARCIAL",C665)),0,IF(ISNUMBER(FIND("SDO CTA/APL AUTOMATICAS",C665)),0,IF(ISNUMBER(FIND("APL APLIC AUT MAIS",C665)),0,IF(ISNUMBER(FIND("TEC DEPOSITO",C665)),0,IF(E665&gt;0,0,E665*(-1))))))))</f>
        <v>100</v>
      </c>
      <c r="G665" s="79" t="n">
        <f aca="false">IF(ISNUMBER(FIND("SALDO ANTERIOR",C665)),0,IF(ISNUMBER(FIND("SALDO DO DIA",C665)),0,IF(ISNUMBER(FIND("SDO CTA/APL AUTOMATICAS",C665)),0,IF(ISNUMBER(FIND("TEC DEPOSITO",C665)),0,IF(ISNUMBER(FIND("APL APLIC AUT MAIS",C665)),E665,IF(E665&gt;0,E665,0))))))</f>
        <v>0</v>
      </c>
      <c r="H665" s="80" t="n">
        <v>43983</v>
      </c>
    </row>
    <row r="666" customFormat="false" ht="13.8" hidden="false" customHeight="false" outlineLevel="0" collapsed="false">
      <c r="A666" s="59" t="s">
        <v>71</v>
      </c>
      <c r="B666" s="74" t="s">
        <v>529</v>
      </c>
      <c r="C666" s="75" t="s">
        <v>85</v>
      </c>
      <c r="D666" s="76" t="s">
        <v>64</v>
      </c>
      <c r="E666" s="81" t="n">
        <v>-13.32</v>
      </c>
      <c r="F666" s="78" t="n">
        <f aca="false">IF(ISNUMBER(FIND("SALDO ANTERIOR",C666)),0,IF(ISNUMBER(FIND("SALDO DO DIA",C666)),0,IF(ISNUMBER(FIND("SALDO PARCIAL",C666)),0,IF(ISNUMBER(FIND("SDO CTA/APL AUTOMATICAS",C666)),0,IF(ISNUMBER(FIND("APL APLIC AUT MAIS",C666)),0,IF(ISNUMBER(FIND("TEC DEPOSITO",C666)),0,IF(E666&gt;0,0,E666*(-1))))))))</f>
        <v>13.32</v>
      </c>
      <c r="G666" s="79" t="n">
        <f aca="false">IF(ISNUMBER(FIND("SALDO ANTERIOR",C666)),0,IF(ISNUMBER(FIND("SALDO DO DIA",C666)),0,IF(ISNUMBER(FIND("SDO CTA/APL AUTOMATICAS",C666)),0,IF(ISNUMBER(FIND("TEC DEPOSITO",C666)),0,IF(ISNUMBER(FIND("APL APLIC AUT MAIS",C666)),E666,IF(E666&gt;0,E666,0))))))</f>
        <v>0</v>
      </c>
      <c r="H666" s="80" t="n">
        <v>43983</v>
      </c>
    </row>
    <row r="667" customFormat="false" ht="13.8" hidden="false" customHeight="false" outlineLevel="0" collapsed="false">
      <c r="A667" s="59" t="s">
        <v>532</v>
      </c>
      <c r="B667" s="74" t="s">
        <v>529</v>
      </c>
      <c r="C667" s="75" t="s">
        <v>533</v>
      </c>
      <c r="D667" s="76" t="s">
        <v>64</v>
      </c>
      <c r="E667" s="81" t="n">
        <v>-10</v>
      </c>
      <c r="F667" s="78" t="n">
        <f aca="false">IF(ISNUMBER(FIND("SALDO ANTERIOR",C667)),0,IF(ISNUMBER(FIND("SALDO DO DIA",C667)),0,IF(ISNUMBER(FIND("SALDO PARCIAL",C667)),0,IF(ISNUMBER(FIND("SDO CTA/APL AUTOMATICAS",C667)),0,IF(ISNUMBER(FIND("APL APLIC AUT MAIS",C667)),0,IF(ISNUMBER(FIND("TEC DEPOSITO",C667)),0,IF(E667&gt;0,0,E667*(-1))))))))</f>
        <v>10</v>
      </c>
      <c r="G667" s="79" t="n">
        <f aca="false">IF(ISNUMBER(FIND("SALDO ANTERIOR",C667)),0,IF(ISNUMBER(FIND("SALDO DO DIA",C667)),0,IF(ISNUMBER(FIND("SDO CTA/APL AUTOMATICAS",C667)),0,IF(ISNUMBER(FIND("TEC DEPOSITO",C667)),0,IF(ISNUMBER(FIND("APL APLIC AUT MAIS",C667)),E667,IF(E667&gt;0,E667,0))))))</f>
        <v>0</v>
      </c>
      <c r="H667" s="80" t="n">
        <v>43983</v>
      </c>
    </row>
    <row r="668" customFormat="false" ht="13.8" hidden="false" customHeight="false" outlineLevel="0" collapsed="false">
      <c r="A668" s="59" t="s">
        <v>71</v>
      </c>
      <c r="B668" s="74" t="s">
        <v>529</v>
      </c>
      <c r="C668" s="75" t="s">
        <v>189</v>
      </c>
      <c r="D668" s="76" t="s">
        <v>64</v>
      </c>
      <c r="E668" s="81" t="n">
        <v>-17.56</v>
      </c>
      <c r="F668" s="78" t="n">
        <f aca="false">IF(ISNUMBER(FIND("SALDO ANTERIOR",C668)),0,IF(ISNUMBER(FIND("SALDO DO DIA",C668)),0,IF(ISNUMBER(FIND("SALDO PARCIAL",C668)),0,IF(ISNUMBER(FIND("SDO CTA/APL AUTOMATICAS",C668)),0,IF(ISNUMBER(FIND("APL APLIC AUT MAIS",C668)),0,IF(ISNUMBER(FIND("TEC DEPOSITO",C668)),0,IF(E668&gt;0,0,E668*(-1))))))))</f>
        <v>17.56</v>
      </c>
      <c r="G668" s="79" t="n">
        <f aca="false">IF(ISNUMBER(FIND("SALDO ANTERIOR",C668)),0,IF(ISNUMBER(FIND("SALDO DO DIA",C668)),0,IF(ISNUMBER(FIND("SDO CTA/APL AUTOMATICAS",C668)),0,IF(ISNUMBER(FIND("TEC DEPOSITO",C668)),0,IF(ISNUMBER(FIND("APL APLIC AUT MAIS",C668)),E668,IF(E668&gt;0,E668,0))))))</f>
        <v>0</v>
      </c>
      <c r="H668" s="80" t="n">
        <v>43983</v>
      </c>
    </row>
    <row r="669" customFormat="false" ht="13.8" hidden="false" customHeight="false" outlineLevel="0" collapsed="false">
      <c r="A669" s="59" t="s">
        <v>65</v>
      </c>
      <c r="B669" s="74" t="s">
        <v>529</v>
      </c>
      <c r="C669" s="75" t="s">
        <v>534</v>
      </c>
      <c r="D669" s="76" t="s">
        <v>64</v>
      </c>
      <c r="E669" s="81" t="n">
        <v>-57</v>
      </c>
      <c r="F669" s="78" t="n">
        <f aca="false">IF(ISNUMBER(FIND("SALDO ANTERIOR",C669)),0,IF(ISNUMBER(FIND("SALDO DO DIA",C669)),0,IF(ISNUMBER(FIND("SALDO PARCIAL",C669)),0,IF(ISNUMBER(FIND("SDO CTA/APL AUTOMATICAS",C669)),0,IF(ISNUMBER(FIND("APL APLIC AUT MAIS",C669)),0,IF(ISNUMBER(FIND("TEC DEPOSITO",C669)),0,IF(E669&gt;0,0,E669*(-1))))))))</f>
        <v>57</v>
      </c>
      <c r="G669" s="79" t="n">
        <f aca="false">IF(ISNUMBER(FIND("SALDO ANTERIOR",C669)),0,IF(ISNUMBER(FIND("SALDO DO DIA",C669)),0,IF(ISNUMBER(FIND("SDO CTA/APL AUTOMATICAS",C669)),0,IF(ISNUMBER(FIND("TEC DEPOSITO",C669)),0,IF(ISNUMBER(FIND("APL APLIC AUT MAIS",C669)),E669,IF(E669&gt;0,E669,0))))))</f>
        <v>0</v>
      </c>
      <c r="H669" s="80" t="n">
        <v>43983</v>
      </c>
    </row>
    <row r="670" customFormat="false" ht="13.8" hidden="false" customHeight="false" outlineLevel="0" collapsed="false">
      <c r="A670" s="59" t="s">
        <v>474</v>
      </c>
      <c r="B670" s="74" t="s">
        <v>529</v>
      </c>
      <c r="C670" s="75" t="s">
        <v>475</v>
      </c>
      <c r="D670" s="76" t="s">
        <v>61</v>
      </c>
      <c r="E670" s="81" t="n">
        <v>-198</v>
      </c>
      <c r="F670" s="78" t="n">
        <f aca="false">IF(ISNUMBER(FIND("SALDO ANTERIOR",C670)),0,IF(ISNUMBER(FIND("SALDO DO DIA",C670)),0,IF(ISNUMBER(FIND("SALDO PARCIAL",C670)),0,IF(ISNUMBER(FIND("SDO CTA/APL AUTOMATICAS",C670)),0,IF(ISNUMBER(FIND("APL APLIC AUT MAIS",C670)),0,IF(ISNUMBER(FIND("TEC DEPOSITO",C670)),0,IF(E670&gt;0,0,E670*(-1))))))))</f>
        <v>198</v>
      </c>
      <c r="G670" s="79" t="n">
        <f aca="false">IF(ISNUMBER(FIND("SALDO ANTERIOR",C670)),0,IF(ISNUMBER(FIND("SALDO DO DIA",C670)),0,IF(ISNUMBER(FIND("SDO CTA/APL AUTOMATICAS",C670)),0,IF(ISNUMBER(FIND("TEC DEPOSITO",C670)),0,IF(ISNUMBER(FIND("APL APLIC AUT MAIS",C670)),E670,IF(E670&gt;0,E670,0))))))</f>
        <v>0</v>
      </c>
      <c r="H670" s="80" t="n">
        <v>43983</v>
      </c>
    </row>
    <row r="671" customFormat="false" ht="15" hidden="false" customHeight="false" outlineLevel="0" collapsed="false">
      <c r="A671" s="59" t="s">
        <v>29</v>
      </c>
      <c r="B671" s="74" t="s">
        <v>529</v>
      </c>
      <c r="C671" s="83" t="s">
        <v>521</v>
      </c>
      <c r="D671" s="76"/>
      <c r="E671" s="93" t="n">
        <v>622.27</v>
      </c>
      <c r="F671" s="78" t="n">
        <f aca="false">IF(ISNUMBER(FIND("SALDO ANTERIOR",C671)),0,IF(ISNUMBER(FIND("SALDO DO DIA",C671)),0,IF(ISNUMBER(FIND("SALDO PARCIAL",C671)),0,IF(ISNUMBER(FIND("SDO CTA/APL AUTOMATICAS",C671)),0,IF(ISNUMBER(FIND("APL APLIC AUT MAIS",C671)),0,IF(ISNUMBER(FIND("TEC DEPOSITO",C671)),0,IF(E671&gt;0,0,E671*(-1))))))))</f>
        <v>0</v>
      </c>
      <c r="G671" s="79" t="n">
        <f aca="false">IF(ISNUMBER(FIND("SALDO ANTERIOR",C671)),0,IF(ISNUMBER(FIND("SALDO DO DIA",C671)),0,IF(ISNUMBER(FIND("SDO CTA/APL AUTOMATICAS",C671)),0,IF(ISNUMBER(FIND("TEC DEPOSITO",C671)),0,IF(ISNUMBER(FIND("APL APLIC AUT MAIS",C671)),E671,IF(E671&gt;0,E671,0))))))</f>
        <v>0</v>
      </c>
      <c r="H671" s="80" t="n">
        <v>43983</v>
      </c>
    </row>
    <row r="672" customFormat="false" ht="13.8" hidden="false" customHeight="false" outlineLevel="0" collapsed="false">
      <c r="A672" s="59" t="s">
        <v>71</v>
      </c>
      <c r="B672" s="74" t="s">
        <v>535</v>
      </c>
      <c r="C672" s="75" t="s">
        <v>85</v>
      </c>
      <c r="D672" s="76" t="s">
        <v>64</v>
      </c>
      <c r="E672" s="81" t="n">
        <v>-16.59</v>
      </c>
      <c r="F672" s="78" t="n">
        <f aca="false">IF(ISNUMBER(FIND("SALDO ANTERIOR",C672)),0,IF(ISNUMBER(FIND("SALDO DO DIA",C672)),0,IF(ISNUMBER(FIND("SALDO PARCIAL",C672)),0,IF(ISNUMBER(FIND("SDO CTA/APL AUTOMATICAS",C672)),0,IF(ISNUMBER(FIND("APL APLIC AUT MAIS",C672)),0,IF(ISNUMBER(FIND("TEC DEPOSITO",C672)),0,IF(E672&gt;0,0,E672*(-1))))))))</f>
        <v>16.59</v>
      </c>
      <c r="G672" s="79" t="n">
        <f aca="false">IF(ISNUMBER(FIND("SALDO ANTERIOR",C672)),0,IF(ISNUMBER(FIND("SALDO DO DIA",C672)),0,IF(ISNUMBER(FIND("SDO CTA/APL AUTOMATICAS",C672)),0,IF(ISNUMBER(FIND("TEC DEPOSITO",C672)),0,IF(ISNUMBER(FIND("APL APLIC AUT MAIS",C672)),E672,IF(E672&gt;0,E672,0))))))</f>
        <v>0</v>
      </c>
      <c r="H672" s="80" t="n">
        <v>43983</v>
      </c>
    </row>
    <row r="673" customFormat="false" ht="13.8" hidden="false" customHeight="false" outlineLevel="0" collapsed="false">
      <c r="A673" s="59" t="s">
        <v>74</v>
      </c>
      <c r="B673" s="74" t="s">
        <v>535</v>
      </c>
      <c r="C673" s="75" t="s">
        <v>457</v>
      </c>
      <c r="D673" s="76" t="s">
        <v>64</v>
      </c>
      <c r="E673" s="81" t="n">
        <v>-28.31</v>
      </c>
      <c r="F673" s="78" t="n">
        <f aca="false">IF(ISNUMBER(FIND("SALDO ANTERIOR",C673)),0,IF(ISNUMBER(FIND("SALDO DO DIA",C673)),0,IF(ISNUMBER(FIND("SALDO PARCIAL",C673)),0,IF(ISNUMBER(FIND("SDO CTA/APL AUTOMATICAS",C673)),0,IF(ISNUMBER(FIND("APL APLIC AUT MAIS",C673)),0,IF(ISNUMBER(FIND("TEC DEPOSITO",C673)),0,IF(E673&gt;0,0,E673*(-1))))))))</f>
        <v>28.31</v>
      </c>
      <c r="G673" s="79" t="n">
        <f aca="false">IF(ISNUMBER(FIND("SALDO ANTERIOR",C673)),0,IF(ISNUMBER(FIND("SALDO DO DIA",C673)),0,IF(ISNUMBER(FIND("SDO CTA/APL AUTOMATICAS",C673)),0,IF(ISNUMBER(FIND("TEC DEPOSITO",C673)),0,IF(ISNUMBER(FIND("APL APLIC AUT MAIS",C673)),E673,IF(E673&gt;0,E673,0))))))</f>
        <v>0</v>
      </c>
      <c r="H673" s="80" t="n">
        <v>43983</v>
      </c>
    </row>
    <row r="674" customFormat="false" ht="13.8" hidden="false" customHeight="false" outlineLevel="0" collapsed="false">
      <c r="A674" s="59" t="s">
        <v>98</v>
      </c>
      <c r="B674" s="74" t="s">
        <v>535</v>
      </c>
      <c r="C674" s="75" t="s">
        <v>247</v>
      </c>
      <c r="D674" s="76" t="s">
        <v>64</v>
      </c>
      <c r="E674" s="81" t="n">
        <v>-230.29</v>
      </c>
      <c r="F674" s="78" t="n">
        <f aca="false">IF(ISNUMBER(FIND("SALDO ANTERIOR",C674)),0,IF(ISNUMBER(FIND("SALDO DO DIA",C674)),0,IF(ISNUMBER(FIND("SALDO PARCIAL",C674)),0,IF(ISNUMBER(FIND("SDO CTA/APL AUTOMATICAS",C674)),0,IF(ISNUMBER(FIND("APL APLIC AUT MAIS",C674)),0,IF(ISNUMBER(FIND("TEC DEPOSITO",C674)),0,IF(E674&gt;0,0,E674*(-1))))))))</f>
        <v>230.29</v>
      </c>
      <c r="G674" s="79" t="n">
        <f aca="false">IF(ISNUMBER(FIND("SALDO ANTERIOR",C674)),0,IF(ISNUMBER(FIND("SALDO DO DIA",C674)),0,IF(ISNUMBER(FIND("SDO CTA/APL AUTOMATICAS",C674)),0,IF(ISNUMBER(FIND("TEC DEPOSITO",C674)),0,IF(ISNUMBER(FIND("APL APLIC AUT MAIS",C674)),E674,IF(E674&gt;0,E674,0))))))</f>
        <v>0</v>
      </c>
      <c r="H674" s="80" t="n">
        <v>43983</v>
      </c>
    </row>
    <row r="675" customFormat="false" ht="15" hidden="false" customHeight="false" outlineLevel="0" collapsed="false">
      <c r="A675" s="59" t="s">
        <v>29</v>
      </c>
      <c r="B675" s="74" t="s">
        <v>535</v>
      </c>
      <c r="C675" s="83" t="s">
        <v>521</v>
      </c>
      <c r="D675" s="76"/>
      <c r="E675" s="93" t="n">
        <v>347.08</v>
      </c>
      <c r="F675" s="78" t="n">
        <f aca="false">IF(ISNUMBER(FIND("SALDO ANTERIOR",C675)),0,IF(ISNUMBER(FIND("SALDO DO DIA",C675)),0,IF(ISNUMBER(FIND("SALDO PARCIAL",C675)),0,IF(ISNUMBER(FIND("SDO CTA/APL AUTOMATICAS",C675)),0,IF(ISNUMBER(FIND("APL APLIC AUT MAIS",C675)),0,IF(ISNUMBER(FIND("TEC DEPOSITO",C675)),0,IF(E675&gt;0,0,E675*(-1))))))))</f>
        <v>0</v>
      </c>
      <c r="G675" s="79" t="n">
        <f aca="false">IF(ISNUMBER(FIND("SALDO ANTERIOR",C675)),0,IF(ISNUMBER(FIND("SALDO DO DIA",C675)),0,IF(ISNUMBER(FIND("SDO CTA/APL AUTOMATICAS",C675)),0,IF(ISNUMBER(FIND("TEC DEPOSITO",C675)),0,IF(ISNUMBER(FIND("APL APLIC AUT MAIS",C675)),E675,IF(E675&gt;0,E675,0))))))</f>
        <v>0</v>
      </c>
      <c r="H675" s="80" t="n">
        <v>43983</v>
      </c>
    </row>
    <row r="676" customFormat="false" ht="13.8" hidden="false" customHeight="false" outlineLevel="0" collapsed="false">
      <c r="A676" s="59" t="s">
        <v>71</v>
      </c>
      <c r="B676" s="74" t="s">
        <v>536</v>
      </c>
      <c r="C676" s="75" t="s">
        <v>85</v>
      </c>
      <c r="D676" s="76" t="s">
        <v>64</v>
      </c>
      <c r="E676" s="81" t="n">
        <v>-4.55</v>
      </c>
      <c r="F676" s="78" t="n">
        <f aca="false">IF(ISNUMBER(FIND("SALDO ANTERIOR",C676)),0,IF(ISNUMBER(FIND("SALDO DO DIA",C676)),0,IF(ISNUMBER(FIND("SALDO PARCIAL",C676)),0,IF(ISNUMBER(FIND("SDO CTA/APL AUTOMATICAS",C676)),0,IF(ISNUMBER(FIND("APL APLIC AUT MAIS",C676)),0,IF(ISNUMBER(FIND("TEC DEPOSITO",C676)),0,IF(E676&gt;0,0,E676*(-1))))))))</f>
        <v>4.55</v>
      </c>
      <c r="G676" s="79" t="n">
        <f aca="false">IF(ISNUMBER(FIND("SALDO ANTERIOR",C676)),0,IF(ISNUMBER(FIND("SALDO DO DIA",C676)),0,IF(ISNUMBER(FIND("SDO CTA/APL AUTOMATICAS",C676)),0,IF(ISNUMBER(FIND("TEC DEPOSITO",C676)),0,IF(ISNUMBER(FIND("APL APLIC AUT MAIS",C676)),E676,IF(E676&gt;0,E676,0))))))</f>
        <v>0</v>
      </c>
      <c r="H676" s="80" t="n">
        <v>43983</v>
      </c>
    </row>
    <row r="677" customFormat="false" ht="13.8" hidden="false" customHeight="false" outlineLevel="0" collapsed="false">
      <c r="A677" s="59" t="s">
        <v>74</v>
      </c>
      <c r="B677" s="74" t="s">
        <v>536</v>
      </c>
      <c r="C677" s="75" t="s">
        <v>457</v>
      </c>
      <c r="D677" s="76" t="s">
        <v>64</v>
      </c>
      <c r="E677" s="81" t="n">
        <v>-19.9</v>
      </c>
      <c r="F677" s="78" t="n">
        <f aca="false">IF(ISNUMBER(FIND("SALDO ANTERIOR",C677)),0,IF(ISNUMBER(FIND("SALDO DO DIA",C677)),0,IF(ISNUMBER(FIND("SALDO PARCIAL",C677)),0,IF(ISNUMBER(FIND("SDO CTA/APL AUTOMATICAS",C677)),0,IF(ISNUMBER(FIND("APL APLIC AUT MAIS",C677)),0,IF(ISNUMBER(FIND("TEC DEPOSITO",C677)),0,IF(E677&gt;0,0,E677*(-1))))))))</f>
        <v>19.9</v>
      </c>
      <c r="G677" s="79" t="n">
        <f aca="false">IF(ISNUMBER(FIND("SALDO ANTERIOR",C677)),0,IF(ISNUMBER(FIND("SALDO DO DIA",C677)),0,IF(ISNUMBER(FIND("SDO CTA/APL AUTOMATICAS",C677)),0,IF(ISNUMBER(FIND("TEC DEPOSITO",C677)),0,IF(ISNUMBER(FIND("APL APLIC AUT MAIS",C677)),E677,IF(E677&gt;0,E677,0))))))</f>
        <v>0</v>
      </c>
      <c r="H677" s="80" t="n">
        <v>43983</v>
      </c>
    </row>
    <row r="678" customFormat="false" ht="13.8" hidden="false" customHeight="false" outlineLevel="0" collapsed="false">
      <c r="A678" s="59" t="s">
        <v>74</v>
      </c>
      <c r="B678" s="74" t="s">
        <v>536</v>
      </c>
      <c r="C678" s="75" t="s">
        <v>489</v>
      </c>
      <c r="D678" s="76" t="s">
        <v>64</v>
      </c>
      <c r="E678" s="81" t="n">
        <v>-225.53</v>
      </c>
      <c r="F678" s="78" t="n">
        <f aca="false">IF(ISNUMBER(FIND("SALDO ANTERIOR",C678)),0,IF(ISNUMBER(FIND("SALDO DO DIA",C678)),0,IF(ISNUMBER(FIND("SALDO PARCIAL",C678)),0,IF(ISNUMBER(FIND("SDO CTA/APL AUTOMATICAS",C678)),0,IF(ISNUMBER(FIND("APL APLIC AUT MAIS",C678)),0,IF(ISNUMBER(FIND("TEC DEPOSITO",C678)),0,IF(E678&gt;0,0,E678*(-1))))))))</f>
        <v>225.53</v>
      </c>
      <c r="G678" s="79" t="n">
        <f aca="false">IF(ISNUMBER(FIND("SALDO ANTERIOR",C678)),0,IF(ISNUMBER(FIND("SALDO DO DIA",C678)),0,IF(ISNUMBER(FIND("SDO CTA/APL AUTOMATICAS",C678)),0,IF(ISNUMBER(FIND("TEC DEPOSITO",C678)),0,IF(ISNUMBER(FIND("APL APLIC AUT MAIS",C678)),E678,IF(E678&gt;0,E678,0))))))</f>
        <v>0</v>
      </c>
      <c r="H678" s="80" t="n">
        <v>43983</v>
      </c>
    </row>
    <row r="679" customFormat="false" ht="15" hidden="false" customHeight="false" outlineLevel="0" collapsed="false">
      <c r="A679" s="59" t="s">
        <v>29</v>
      </c>
      <c r="B679" s="74" t="s">
        <v>536</v>
      </c>
      <c r="C679" s="83" t="s">
        <v>521</v>
      </c>
      <c r="D679" s="76"/>
      <c r="E679" s="93" t="n">
        <v>97.1</v>
      </c>
      <c r="F679" s="78" t="n">
        <f aca="false">IF(ISNUMBER(FIND("SALDO ANTERIOR",C679)),0,IF(ISNUMBER(FIND("SALDO DO DIA",C679)),0,IF(ISNUMBER(FIND("SALDO PARCIAL",C679)),0,IF(ISNUMBER(FIND("SDO CTA/APL AUTOMATICAS",C679)),0,IF(ISNUMBER(FIND("APL APLIC AUT MAIS",C679)),0,IF(ISNUMBER(FIND("TEC DEPOSITO",C679)),0,IF(E679&gt;0,0,E679*(-1))))))))</f>
        <v>0</v>
      </c>
      <c r="G679" s="79" t="n">
        <f aca="false">IF(ISNUMBER(FIND("SALDO ANTERIOR",C679)),0,IF(ISNUMBER(FIND("SALDO DO DIA",C679)),0,IF(ISNUMBER(FIND("SDO CTA/APL AUTOMATICAS",C679)),0,IF(ISNUMBER(FIND("TEC DEPOSITO",C679)),0,IF(ISNUMBER(FIND("APL APLIC AUT MAIS",C679)),E679,IF(E679&gt;0,E679,0))))))</f>
        <v>0</v>
      </c>
      <c r="H679" s="80" t="n">
        <v>43983</v>
      </c>
    </row>
    <row r="680" customFormat="false" ht="13.8" hidden="false" customHeight="false" outlineLevel="0" collapsed="false">
      <c r="A680" s="59" t="s">
        <v>71</v>
      </c>
      <c r="B680" s="74" t="s">
        <v>537</v>
      </c>
      <c r="C680" s="75" t="s">
        <v>85</v>
      </c>
      <c r="D680" s="76" t="s">
        <v>64</v>
      </c>
      <c r="E680" s="81" t="n">
        <v>-27.11</v>
      </c>
      <c r="F680" s="78" t="n">
        <f aca="false">IF(ISNUMBER(FIND("SALDO ANTERIOR",C680)),0,IF(ISNUMBER(FIND("SALDO DO DIA",C680)),0,IF(ISNUMBER(FIND("SALDO PARCIAL",C680)),0,IF(ISNUMBER(FIND("SDO CTA/APL AUTOMATICAS",C680)),0,IF(ISNUMBER(FIND("APL APLIC AUT MAIS",C680)),0,IF(ISNUMBER(FIND("TEC DEPOSITO",C680)),0,IF(E680&gt;0,0,E680*(-1))))))))</f>
        <v>27.11</v>
      </c>
      <c r="G680" s="79" t="n">
        <f aca="false">IF(ISNUMBER(FIND("SALDO ANTERIOR",C680)),0,IF(ISNUMBER(FIND("SALDO DO DIA",C680)),0,IF(ISNUMBER(FIND("SDO CTA/APL AUTOMATICAS",C680)),0,IF(ISNUMBER(FIND("TEC DEPOSITO",C680)),0,IF(ISNUMBER(FIND("APL APLIC AUT MAIS",C680)),E680,IF(E680&gt;0,E680,0))))))</f>
        <v>0</v>
      </c>
      <c r="H680" s="80" t="n">
        <v>43983</v>
      </c>
    </row>
    <row r="681" customFormat="false" ht="13.8" hidden="false" customHeight="false" outlineLevel="0" collapsed="false">
      <c r="A681" s="59" t="s">
        <v>65</v>
      </c>
      <c r="B681" s="74" t="s">
        <v>537</v>
      </c>
      <c r="C681" s="75" t="s">
        <v>538</v>
      </c>
      <c r="D681" s="76" t="s">
        <v>64</v>
      </c>
      <c r="E681" s="81" t="n">
        <v>-15</v>
      </c>
      <c r="F681" s="78" t="n">
        <f aca="false">IF(ISNUMBER(FIND("SALDO ANTERIOR",C681)),0,IF(ISNUMBER(FIND("SALDO DO DIA",C681)),0,IF(ISNUMBER(FIND("SALDO PARCIAL",C681)),0,IF(ISNUMBER(FIND("SDO CTA/APL AUTOMATICAS",C681)),0,IF(ISNUMBER(FIND("APL APLIC AUT MAIS",C681)),0,IF(ISNUMBER(FIND("TEC DEPOSITO",C681)),0,IF(E681&gt;0,0,E681*(-1))))))))</f>
        <v>15</v>
      </c>
      <c r="G681" s="79" t="n">
        <f aca="false">IF(ISNUMBER(FIND("SALDO ANTERIOR",C681)),0,IF(ISNUMBER(FIND("SALDO DO DIA",C681)),0,IF(ISNUMBER(FIND("SDO CTA/APL AUTOMATICAS",C681)),0,IF(ISNUMBER(FIND("TEC DEPOSITO",C681)),0,IF(ISNUMBER(FIND("APL APLIC AUT MAIS",C681)),E681,IF(E681&gt;0,E681,0))))))</f>
        <v>0</v>
      </c>
      <c r="H681" s="80" t="n">
        <v>43983</v>
      </c>
    </row>
    <row r="682" customFormat="false" ht="13.8" hidden="false" customHeight="false" outlineLevel="0" collapsed="false">
      <c r="A682" s="59" t="s">
        <v>65</v>
      </c>
      <c r="B682" s="74" t="s">
        <v>537</v>
      </c>
      <c r="C682" s="75" t="s">
        <v>539</v>
      </c>
      <c r="D682" s="76" t="s">
        <v>64</v>
      </c>
      <c r="E682" s="81" t="n">
        <v>-8</v>
      </c>
      <c r="F682" s="78" t="n">
        <f aca="false">IF(ISNUMBER(FIND("SALDO ANTERIOR",C682)),0,IF(ISNUMBER(FIND("SALDO DO DIA",C682)),0,IF(ISNUMBER(FIND("SALDO PARCIAL",C682)),0,IF(ISNUMBER(FIND("SDO CTA/APL AUTOMATICAS",C682)),0,IF(ISNUMBER(FIND("APL APLIC AUT MAIS",C682)),0,IF(ISNUMBER(FIND("TEC DEPOSITO",C682)),0,IF(E682&gt;0,0,E682*(-1))))))))</f>
        <v>8</v>
      </c>
      <c r="G682" s="79" t="n">
        <f aca="false">IF(ISNUMBER(FIND("SALDO ANTERIOR",C682)),0,IF(ISNUMBER(FIND("SALDO DO DIA",C682)),0,IF(ISNUMBER(FIND("SDO CTA/APL AUTOMATICAS",C682)),0,IF(ISNUMBER(FIND("TEC DEPOSITO",C682)),0,IF(ISNUMBER(FIND("APL APLIC AUT MAIS",C682)),E682,IF(E682&gt;0,E682,0))))))</f>
        <v>0</v>
      </c>
      <c r="H682" s="80" t="n">
        <v>43983</v>
      </c>
    </row>
    <row r="683" customFormat="false" ht="13.8" hidden="false" customHeight="false" outlineLevel="0" collapsed="false">
      <c r="A683" s="59" t="s">
        <v>76</v>
      </c>
      <c r="B683" s="74" t="s">
        <v>537</v>
      </c>
      <c r="C683" s="75" t="s">
        <v>92</v>
      </c>
      <c r="D683" s="76" t="s">
        <v>64</v>
      </c>
      <c r="E683" s="81" t="n">
        <v>-35.8</v>
      </c>
      <c r="F683" s="78" t="n">
        <f aca="false">IF(ISNUMBER(FIND("SALDO ANTERIOR",C683)),0,IF(ISNUMBER(FIND("SALDO DO DIA",C683)),0,IF(ISNUMBER(FIND("SALDO PARCIAL",C683)),0,IF(ISNUMBER(FIND("SDO CTA/APL AUTOMATICAS",C683)),0,IF(ISNUMBER(FIND("APL APLIC AUT MAIS",C683)),0,IF(ISNUMBER(FIND("TEC DEPOSITO",C683)),0,IF(E683&gt;0,0,E683*(-1))))))))</f>
        <v>35.8</v>
      </c>
      <c r="G683" s="79" t="n">
        <f aca="false">IF(ISNUMBER(FIND("SALDO ANTERIOR",C683)),0,IF(ISNUMBER(FIND("SALDO DO DIA",C683)),0,IF(ISNUMBER(FIND("SDO CTA/APL AUTOMATICAS",C683)),0,IF(ISNUMBER(FIND("TEC DEPOSITO",C683)),0,IF(ISNUMBER(FIND("APL APLIC AUT MAIS",C683)),E683,IF(E683&gt;0,E683,0))))))</f>
        <v>0</v>
      </c>
      <c r="H683" s="80" t="n">
        <v>43983</v>
      </c>
    </row>
    <row r="684" customFormat="false" ht="15" hidden="false" customHeight="false" outlineLevel="0" collapsed="false">
      <c r="A684" s="59" t="s">
        <v>29</v>
      </c>
      <c r="B684" s="74" t="s">
        <v>537</v>
      </c>
      <c r="C684" s="83" t="s">
        <v>494</v>
      </c>
      <c r="D684" s="76"/>
      <c r="E684" s="93" t="n">
        <v>11.19</v>
      </c>
      <c r="F684" s="78" t="n">
        <f aca="false">IF(ISNUMBER(FIND("SALDO ANTERIOR",C684)),0,IF(ISNUMBER(FIND("SALDO DO DIA",C684)),0,IF(ISNUMBER(FIND("SALDO PARCIAL",C684)),0,IF(ISNUMBER(FIND("SDO CTA/APL AUTOMATICAS",C684)),0,IF(ISNUMBER(FIND("APL APLIC AUT MAIS",C684)),0,IF(ISNUMBER(FIND("TEC DEPOSITO",C684)),0,IF(E684&gt;0,0,E684*(-1))))))))</f>
        <v>0</v>
      </c>
      <c r="G684" s="79" t="n">
        <f aca="false">IF(ISNUMBER(FIND("SALDO ANTERIOR",C684)),0,IF(ISNUMBER(FIND("SALDO DO DIA",C684)),0,IF(ISNUMBER(FIND("SDO CTA/APL AUTOMATICAS",C684)),0,IF(ISNUMBER(FIND("TEC DEPOSITO",C684)),0,IF(ISNUMBER(FIND("APL APLIC AUT MAIS",C684)),E684,IF(E684&gt;0,E684,0))))))</f>
        <v>0</v>
      </c>
      <c r="H684" s="80" t="n">
        <v>43983</v>
      </c>
    </row>
    <row r="685" customFormat="false" ht="13.8" hidden="false" customHeight="false" outlineLevel="0" collapsed="false">
      <c r="A685" s="59" t="s">
        <v>71</v>
      </c>
      <c r="B685" s="74" t="s">
        <v>540</v>
      </c>
      <c r="C685" s="75" t="s">
        <v>85</v>
      </c>
      <c r="D685" s="76" t="s">
        <v>64</v>
      </c>
      <c r="E685" s="81" t="n">
        <v>-20.58</v>
      </c>
      <c r="F685" s="78" t="n">
        <f aca="false">IF(ISNUMBER(FIND("SALDO ANTERIOR",C685)),0,IF(ISNUMBER(FIND("SALDO DO DIA",C685)),0,IF(ISNUMBER(FIND("SALDO PARCIAL",C685)),0,IF(ISNUMBER(FIND("SDO CTA/APL AUTOMATICAS",C685)),0,IF(ISNUMBER(FIND("APL APLIC AUT MAIS",C685)),0,IF(ISNUMBER(FIND("TEC DEPOSITO",C685)),0,IF(E685&gt;0,0,E685*(-1))))))))</f>
        <v>20.58</v>
      </c>
      <c r="G685" s="79" t="n">
        <f aca="false">IF(ISNUMBER(FIND("SALDO ANTERIOR",C685)),0,IF(ISNUMBER(FIND("SALDO DO DIA",C685)),0,IF(ISNUMBER(FIND("SDO CTA/APL AUTOMATICAS",C685)),0,IF(ISNUMBER(FIND("TEC DEPOSITO",C685)),0,IF(ISNUMBER(FIND("APL APLIC AUT MAIS",C685)),E685,IF(E685&gt;0,E685,0))))))</f>
        <v>0</v>
      </c>
      <c r="H685" s="80" t="n">
        <v>43983</v>
      </c>
    </row>
    <row r="686" customFormat="false" ht="13.8" hidden="false" customHeight="false" outlineLevel="0" collapsed="false">
      <c r="A686" s="59" t="s">
        <v>76</v>
      </c>
      <c r="B686" s="74" t="s">
        <v>540</v>
      </c>
      <c r="C686" s="75" t="s">
        <v>179</v>
      </c>
      <c r="D686" s="76" t="s">
        <v>64</v>
      </c>
      <c r="E686" s="81" t="n">
        <v>-80.44</v>
      </c>
      <c r="F686" s="78" t="n">
        <f aca="false">IF(ISNUMBER(FIND("SALDO ANTERIOR",C686)),0,IF(ISNUMBER(FIND("SALDO DO DIA",C686)),0,IF(ISNUMBER(FIND("SALDO PARCIAL",C686)),0,IF(ISNUMBER(FIND("SDO CTA/APL AUTOMATICAS",C686)),0,IF(ISNUMBER(FIND("APL APLIC AUT MAIS",C686)),0,IF(ISNUMBER(FIND("TEC DEPOSITO",C686)),0,IF(E686&gt;0,0,E686*(-1))))))))</f>
        <v>80.44</v>
      </c>
      <c r="G686" s="79" t="n">
        <f aca="false">IF(ISNUMBER(FIND("SALDO ANTERIOR",C686)),0,IF(ISNUMBER(FIND("SALDO DO DIA",C686)),0,IF(ISNUMBER(FIND("SDO CTA/APL AUTOMATICAS",C686)),0,IF(ISNUMBER(FIND("TEC DEPOSITO",C686)),0,IF(ISNUMBER(FIND("APL APLIC AUT MAIS",C686)),E686,IF(E686&gt;0,E686,0))))))</f>
        <v>0</v>
      </c>
      <c r="H686" s="80" t="n">
        <v>43983</v>
      </c>
    </row>
    <row r="687" customFormat="false" ht="13.8" hidden="false" customHeight="false" outlineLevel="0" collapsed="false">
      <c r="A687" s="59" t="s">
        <v>65</v>
      </c>
      <c r="B687" s="74" t="s">
        <v>540</v>
      </c>
      <c r="C687" s="75" t="s">
        <v>541</v>
      </c>
      <c r="D687" s="76" t="s">
        <v>64</v>
      </c>
      <c r="E687" s="81" t="n">
        <v>-97</v>
      </c>
      <c r="F687" s="78" t="n">
        <f aca="false">IF(ISNUMBER(FIND("SALDO ANTERIOR",C687)),0,IF(ISNUMBER(FIND("SALDO DO DIA",C687)),0,IF(ISNUMBER(FIND("SALDO PARCIAL",C687)),0,IF(ISNUMBER(FIND("SDO CTA/APL AUTOMATICAS",C687)),0,IF(ISNUMBER(FIND("APL APLIC AUT MAIS",C687)),0,IF(ISNUMBER(FIND("TEC DEPOSITO",C687)),0,IF(E687&gt;0,0,E687*(-1))))))))</f>
        <v>97</v>
      </c>
      <c r="G687" s="79" t="n">
        <f aca="false">IF(ISNUMBER(FIND("SALDO ANTERIOR",C687)),0,IF(ISNUMBER(FIND("SALDO DO DIA",C687)),0,IF(ISNUMBER(FIND("SDO CTA/APL AUTOMATICAS",C687)),0,IF(ISNUMBER(FIND("TEC DEPOSITO",C687)),0,IF(ISNUMBER(FIND("APL APLIC AUT MAIS",C687)),E687,IF(E687&gt;0,E687,0))))))</f>
        <v>0</v>
      </c>
      <c r="H687" s="80" t="n">
        <v>43983</v>
      </c>
    </row>
    <row r="688" customFormat="false" ht="13.8" hidden="false" customHeight="false" outlineLevel="0" collapsed="false">
      <c r="A688" s="59" t="s">
        <v>74</v>
      </c>
      <c r="B688" s="74" t="s">
        <v>540</v>
      </c>
      <c r="C688" s="75" t="s">
        <v>156</v>
      </c>
      <c r="D688" s="76" t="s">
        <v>64</v>
      </c>
      <c r="E688" s="81" t="n">
        <v>-8.99</v>
      </c>
      <c r="F688" s="78" t="n">
        <f aca="false">IF(ISNUMBER(FIND("SALDO ANTERIOR",C688)),0,IF(ISNUMBER(FIND("SALDO DO DIA",C688)),0,IF(ISNUMBER(FIND("SALDO PARCIAL",C688)),0,IF(ISNUMBER(FIND("SDO CTA/APL AUTOMATICAS",C688)),0,IF(ISNUMBER(FIND("APL APLIC AUT MAIS",C688)),0,IF(ISNUMBER(FIND("TEC DEPOSITO",C688)),0,IF(E688&gt;0,0,E688*(-1))))))))</f>
        <v>8.99</v>
      </c>
      <c r="G688" s="79" t="n">
        <f aca="false">IF(ISNUMBER(FIND("SALDO ANTERIOR",C688)),0,IF(ISNUMBER(FIND("SALDO DO DIA",C688)),0,IF(ISNUMBER(FIND("SDO CTA/APL AUTOMATICAS",C688)),0,IF(ISNUMBER(FIND("TEC DEPOSITO",C688)),0,IF(ISNUMBER(FIND("APL APLIC AUT MAIS",C688)),E688,IF(E688&gt;0,E688,0))))))</f>
        <v>0</v>
      </c>
      <c r="H688" s="80" t="n">
        <v>43983</v>
      </c>
    </row>
    <row r="689" customFormat="false" ht="15" hidden="false" customHeight="false" outlineLevel="0" collapsed="false">
      <c r="A689" s="59" t="s">
        <v>29</v>
      </c>
      <c r="B689" s="74" t="s">
        <v>540</v>
      </c>
      <c r="C689" s="83" t="s">
        <v>494</v>
      </c>
      <c r="D689" s="76"/>
      <c r="E689" s="84" t="n">
        <v>-195.82</v>
      </c>
      <c r="F689" s="78" t="n">
        <f aca="false">IF(ISNUMBER(FIND("SALDO ANTERIOR",C689)),0,IF(ISNUMBER(FIND("SALDO DO DIA",C689)),0,IF(ISNUMBER(FIND("SALDO PARCIAL",C689)),0,IF(ISNUMBER(FIND("SDO CTA/APL AUTOMATICAS",C689)),0,IF(ISNUMBER(FIND("APL APLIC AUT MAIS",C689)),0,IF(ISNUMBER(FIND("TEC DEPOSITO",C689)),0,IF(E689&gt;0,0,E689*(-1))))))))</f>
        <v>0</v>
      </c>
      <c r="G689" s="79" t="n">
        <f aca="false">IF(ISNUMBER(FIND("SALDO ANTERIOR",C689)),0,IF(ISNUMBER(FIND("SALDO DO DIA",C689)),0,IF(ISNUMBER(FIND("SDO CTA/APL AUTOMATICAS",C689)),0,IF(ISNUMBER(FIND("TEC DEPOSITO",C689)),0,IF(ISNUMBER(FIND("APL APLIC AUT MAIS",C689)),E689,IF(E689&gt;0,E689,0))))))</f>
        <v>0</v>
      </c>
      <c r="H689" s="80" t="n">
        <v>43983</v>
      </c>
    </row>
    <row r="690" customFormat="false" ht="13.8" hidden="false" customHeight="false" outlineLevel="0" collapsed="false">
      <c r="A690" s="59" t="s">
        <v>119</v>
      </c>
      <c r="B690" s="74" t="s">
        <v>542</v>
      </c>
      <c r="C690" s="75" t="s">
        <v>543</v>
      </c>
      <c r="D690" s="76" t="s">
        <v>61</v>
      </c>
      <c r="E690" s="81" t="n">
        <v>-14.3</v>
      </c>
      <c r="F690" s="78" t="n">
        <f aca="false">IF(ISNUMBER(FIND("SALDO ANTERIOR",C690)),0,IF(ISNUMBER(FIND("SALDO DO DIA",C690)),0,IF(ISNUMBER(FIND("SALDO PARCIAL",C690)),0,IF(ISNUMBER(FIND("SDO CTA/APL AUTOMATICAS",C690)),0,IF(ISNUMBER(FIND("APL APLIC AUT MAIS",C690)),0,IF(ISNUMBER(FIND("TEC DEPOSITO",C690)),0,IF(E690&gt;0,0,E690*(-1))))))))</f>
        <v>14.3</v>
      </c>
      <c r="G690" s="79" t="n">
        <f aca="false">IF(ISNUMBER(FIND("SALDO ANTERIOR",C690)),0,IF(ISNUMBER(FIND("SALDO DO DIA",C690)),0,IF(ISNUMBER(FIND("SDO CTA/APL AUTOMATICAS",C690)),0,IF(ISNUMBER(FIND("TEC DEPOSITO",C690)),0,IF(ISNUMBER(FIND("APL APLIC AUT MAIS",C690)),E690,IF(E690&gt;0,E690,0))))))</f>
        <v>0</v>
      </c>
      <c r="H690" s="80" t="n">
        <v>43983</v>
      </c>
    </row>
    <row r="691" customFormat="false" ht="13.8" hidden="false" customHeight="false" outlineLevel="0" collapsed="false">
      <c r="A691" s="59" t="s">
        <v>119</v>
      </c>
      <c r="B691" s="74" t="s">
        <v>542</v>
      </c>
      <c r="C691" s="75" t="s">
        <v>512</v>
      </c>
      <c r="D691" s="76" t="s">
        <v>61</v>
      </c>
      <c r="E691" s="81" t="n">
        <v>-270</v>
      </c>
      <c r="F691" s="78" t="n">
        <f aca="false">IF(ISNUMBER(FIND("SALDO ANTERIOR",C691)),0,IF(ISNUMBER(FIND("SALDO DO DIA",C691)),0,IF(ISNUMBER(FIND("SALDO PARCIAL",C691)),0,IF(ISNUMBER(FIND("SDO CTA/APL AUTOMATICAS",C691)),0,IF(ISNUMBER(FIND("APL APLIC AUT MAIS",C691)),0,IF(ISNUMBER(FIND("TEC DEPOSITO",C691)),0,IF(E691&gt;0,0,E691*(-1))))))))</f>
        <v>270</v>
      </c>
      <c r="G691" s="79" t="n">
        <f aca="false">IF(ISNUMBER(FIND("SALDO ANTERIOR",C691)),0,IF(ISNUMBER(FIND("SALDO DO DIA",C691)),0,IF(ISNUMBER(FIND("SDO CTA/APL AUTOMATICAS",C691)),0,IF(ISNUMBER(FIND("TEC DEPOSITO",C691)),0,IF(ISNUMBER(FIND("APL APLIC AUT MAIS",C691)),E691,IF(E691&gt;0,E691,0))))))</f>
        <v>0</v>
      </c>
      <c r="H691" s="80" t="n">
        <v>43983</v>
      </c>
    </row>
    <row r="692" customFormat="false" ht="13.8" hidden="false" customHeight="false" outlineLevel="0" collapsed="false">
      <c r="A692" s="59" t="s">
        <v>119</v>
      </c>
      <c r="B692" s="74" t="s">
        <v>542</v>
      </c>
      <c r="C692" s="75" t="s">
        <v>512</v>
      </c>
      <c r="D692" s="76" t="s">
        <v>61</v>
      </c>
      <c r="E692" s="81" t="n">
        <v>-248.09</v>
      </c>
      <c r="F692" s="78" t="n">
        <f aca="false">IF(ISNUMBER(FIND("SALDO ANTERIOR",C692)),0,IF(ISNUMBER(FIND("SALDO DO DIA",C692)),0,IF(ISNUMBER(FIND("SALDO PARCIAL",C692)),0,IF(ISNUMBER(FIND("SDO CTA/APL AUTOMATICAS",C692)),0,IF(ISNUMBER(FIND("APL APLIC AUT MAIS",C692)),0,IF(ISNUMBER(FIND("TEC DEPOSITO",C692)),0,IF(E692&gt;0,0,E692*(-1))))))))</f>
        <v>248.09</v>
      </c>
      <c r="G692" s="79" t="n">
        <f aca="false">IF(ISNUMBER(FIND("SALDO ANTERIOR",C692)),0,IF(ISNUMBER(FIND("SALDO DO DIA",C692)),0,IF(ISNUMBER(FIND("SDO CTA/APL AUTOMATICAS",C692)),0,IF(ISNUMBER(FIND("TEC DEPOSITO",C692)),0,IF(ISNUMBER(FIND("APL APLIC AUT MAIS",C692)),E692,IF(E692&gt;0,E692,0))))))</f>
        <v>0</v>
      </c>
      <c r="H692" s="80" t="n">
        <v>43983</v>
      </c>
    </row>
    <row r="693" customFormat="false" ht="13.8" hidden="false" customHeight="false" outlineLevel="0" collapsed="false">
      <c r="A693" s="59" t="s">
        <v>203</v>
      </c>
      <c r="B693" s="74" t="s">
        <v>542</v>
      </c>
      <c r="C693" s="75" t="s">
        <v>544</v>
      </c>
      <c r="D693" s="76" t="s">
        <v>478</v>
      </c>
      <c r="E693" s="81" t="n">
        <v>-100</v>
      </c>
      <c r="F693" s="78" t="n">
        <f aca="false">IF(ISNUMBER(FIND("SALDO ANTERIOR",C693)),0,IF(ISNUMBER(FIND("SALDO DO DIA",C693)),0,IF(ISNUMBER(FIND("SALDO PARCIAL",C693)),0,IF(ISNUMBER(FIND("SDO CTA/APL AUTOMATICAS",C693)),0,IF(ISNUMBER(FIND("APL APLIC AUT MAIS",C693)),0,IF(ISNUMBER(FIND("TEC DEPOSITO",C693)),0,IF(E693&gt;0,0,E693*(-1))))))))</f>
        <v>100</v>
      </c>
      <c r="G693" s="79" t="n">
        <f aca="false">IF(ISNUMBER(FIND("SALDO ANTERIOR",C693)),0,IF(ISNUMBER(FIND("SALDO DO DIA",C693)),0,IF(ISNUMBER(FIND("SDO CTA/APL AUTOMATICAS",C693)),0,IF(ISNUMBER(FIND("TEC DEPOSITO",C693)),0,IF(ISNUMBER(FIND("APL APLIC AUT MAIS",C693)),E693,IF(E693&gt;0,E693,0))))))</f>
        <v>0</v>
      </c>
      <c r="H693" s="80" t="n">
        <v>43983</v>
      </c>
    </row>
    <row r="694" customFormat="false" ht="13.8" hidden="false" customHeight="false" outlineLevel="0" collapsed="false">
      <c r="A694" s="59" t="s">
        <v>545</v>
      </c>
      <c r="B694" s="74" t="s">
        <v>542</v>
      </c>
      <c r="C694" s="75" t="s">
        <v>546</v>
      </c>
      <c r="D694" s="76" t="s">
        <v>61</v>
      </c>
      <c r="E694" s="81" t="n">
        <v>-125.11</v>
      </c>
      <c r="F694" s="78" t="n">
        <f aca="false">IF(ISNUMBER(FIND("SALDO ANTERIOR",C694)),0,IF(ISNUMBER(FIND("SALDO DO DIA",C694)),0,IF(ISNUMBER(FIND("SALDO PARCIAL",C694)),0,IF(ISNUMBER(FIND("SDO CTA/APL AUTOMATICAS",C694)),0,IF(ISNUMBER(FIND("APL APLIC AUT MAIS",C694)),0,IF(ISNUMBER(FIND("TEC DEPOSITO",C694)),0,IF(E694&gt;0,0,E694*(-1))))))))</f>
        <v>125.11</v>
      </c>
      <c r="G694" s="79" t="n">
        <f aca="false">IF(ISNUMBER(FIND("SALDO ANTERIOR",C694)),0,IF(ISNUMBER(FIND("SALDO DO DIA",C694)),0,IF(ISNUMBER(FIND("SDO CTA/APL AUTOMATICAS",C694)),0,IF(ISNUMBER(FIND("TEC DEPOSITO",C694)),0,IF(ISNUMBER(FIND("APL APLIC AUT MAIS",C694)),E694,IF(E694&gt;0,E694,0))))))</f>
        <v>0</v>
      </c>
      <c r="H694" s="80" t="n">
        <v>43983</v>
      </c>
    </row>
    <row r="695" customFormat="false" ht="13.8" hidden="false" customHeight="false" outlineLevel="0" collapsed="false">
      <c r="A695" s="59" t="s">
        <v>545</v>
      </c>
      <c r="B695" s="74" t="s">
        <v>542</v>
      </c>
      <c r="C695" s="75" t="s">
        <v>546</v>
      </c>
      <c r="D695" s="76" t="s">
        <v>61</v>
      </c>
      <c r="E695" s="81" t="n">
        <v>-43.59</v>
      </c>
      <c r="F695" s="78" t="n">
        <f aca="false">IF(ISNUMBER(FIND("SALDO ANTERIOR",C695)),0,IF(ISNUMBER(FIND("SALDO DO DIA",C695)),0,IF(ISNUMBER(FIND("SALDO PARCIAL",C695)),0,IF(ISNUMBER(FIND("SDO CTA/APL AUTOMATICAS",C695)),0,IF(ISNUMBER(FIND("APL APLIC AUT MAIS",C695)),0,IF(ISNUMBER(FIND("TEC DEPOSITO",C695)),0,IF(E695&gt;0,0,E695*(-1))))))))</f>
        <v>43.59</v>
      </c>
      <c r="G695" s="79" t="n">
        <f aca="false">IF(ISNUMBER(FIND("SALDO ANTERIOR",C695)),0,IF(ISNUMBER(FIND("SALDO DO DIA",C695)),0,IF(ISNUMBER(FIND("SDO CTA/APL AUTOMATICAS",C695)),0,IF(ISNUMBER(FIND("TEC DEPOSITO",C695)),0,IF(ISNUMBER(FIND("APL APLIC AUT MAIS",C695)),E695,IF(E695&gt;0,E695,0))))))</f>
        <v>0</v>
      </c>
      <c r="H695" s="80" t="n">
        <v>43983</v>
      </c>
    </row>
    <row r="696" customFormat="false" ht="13.8" hidden="false" customHeight="false" outlineLevel="0" collapsed="false">
      <c r="A696" s="59" t="s">
        <v>545</v>
      </c>
      <c r="B696" s="74" t="s">
        <v>542</v>
      </c>
      <c r="C696" s="75" t="s">
        <v>546</v>
      </c>
      <c r="D696" s="76" t="s">
        <v>61</v>
      </c>
      <c r="E696" s="81" t="n">
        <v>-75.01</v>
      </c>
      <c r="F696" s="78" t="n">
        <f aca="false">IF(ISNUMBER(FIND("SALDO ANTERIOR",C696)),0,IF(ISNUMBER(FIND("SALDO DO DIA",C696)),0,IF(ISNUMBER(FIND("SALDO PARCIAL",C696)),0,IF(ISNUMBER(FIND("SDO CTA/APL AUTOMATICAS",C696)),0,IF(ISNUMBER(FIND("APL APLIC AUT MAIS",C696)),0,IF(ISNUMBER(FIND("TEC DEPOSITO",C696)),0,IF(E696&gt;0,0,E696*(-1))))))))</f>
        <v>75.01</v>
      </c>
      <c r="G696" s="79" t="n">
        <f aca="false">IF(ISNUMBER(FIND("SALDO ANTERIOR",C696)),0,IF(ISNUMBER(FIND("SALDO DO DIA",C696)),0,IF(ISNUMBER(FIND("SDO CTA/APL AUTOMATICAS",C696)),0,IF(ISNUMBER(FIND("TEC DEPOSITO",C696)),0,IF(ISNUMBER(FIND("APL APLIC AUT MAIS",C696)),E696,IF(E696&gt;0,E696,0))))))</f>
        <v>0</v>
      </c>
      <c r="H696" s="80" t="n">
        <v>43983</v>
      </c>
    </row>
    <row r="697" customFormat="false" ht="13.8" hidden="false" customHeight="false" outlineLevel="0" collapsed="false">
      <c r="A697" s="59" t="s">
        <v>98</v>
      </c>
      <c r="B697" s="74" t="s">
        <v>542</v>
      </c>
      <c r="C697" s="75" t="s">
        <v>470</v>
      </c>
      <c r="D697" s="76" t="s">
        <v>64</v>
      </c>
      <c r="E697" s="81" t="n">
        <v>-302.61</v>
      </c>
      <c r="F697" s="78" t="n">
        <f aca="false">IF(ISNUMBER(FIND("SALDO ANTERIOR",C697)),0,IF(ISNUMBER(FIND("SALDO DO DIA",C697)),0,IF(ISNUMBER(FIND("SALDO PARCIAL",C697)),0,IF(ISNUMBER(FIND("SDO CTA/APL AUTOMATICAS",C697)),0,IF(ISNUMBER(FIND("APL APLIC AUT MAIS",C697)),0,IF(ISNUMBER(FIND("TEC DEPOSITO",C697)),0,IF(E697&gt;0,0,E697*(-1))))))))</f>
        <v>302.61</v>
      </c>
      <c r="G697" s="79" t="n">
        <f aca="false">IF(ISNUMBER(FIND("SALDO ANTERIOR",C697)),0,IF(ISNUMBER(FIND("SALDO DO DIA",C697)),0,IF(ISNUMBER(FIND("SDO CTA/APL AUTOMATICAS",C697)),0,IF(ISNUMBER(FIND("TEC DEPOSITO",C697)),0,IF(ISNUMBER(FIND("APL APLIC AUT MAIS",C697)),E697,IF(E697&gt;0,E697,0))))))</f>
        <v>0</v>
      </c>
      <c r="H697" s="80" t="n">
        <v>43983</v>
      </c>
    </row>
    <row r="698" customFormat="false" ht="13.8" hidden="false" customHeight="false" outlineLevel="0" collapsed="false">
      <c r="A698" s="59" t="s">
        <v>65</v>
      </c>
      <c r="B698" s="74" t="s">
        <v>542</v>
      </c>
      <c r="C698" s="75" t="s">
        <v>547</v>
      </c>
      <c r="D698" s="76" t="s">
        <v>64</v>
      </c>
      <c r="E698" s="81" t="n">
        <v>-5.29</v>
      </c>
      <c r="F698" s="78" t="n">
        <f aca="false">IF(ISNUMBER(FIND("SALDO ANTERIOR",C698)),0,IF(ISNUMBER(FIND("SALDO DO DIA",C698)),0,IF(ISNUMBER(FIND("SALDO PARCIAL",C698)),0,IF(ISNUMBER(FIND("SDO CTA/APL AUTOMATICAS",C698)),0,IF(ISNUMBER(FIND("APL APLIC AUT MAIS",C698)),0,IF(ISNUMBER(FIND("TEC DEPOSITO",C698)),0,IF(E698&gt;0,0,E698*(-1))))))))</f>
        <v>5.29</v>
      </c>
      <c r="G698" s="79" t="n">
        <f aca="false">IF(ISNUMBER(FIND("SALDO ANTERIOR",C698)),0,IF(ISNUMBER(FIND("SALDO DO DIA",C698)),0,IF(ISNUMBER(FIND("SDO CTA/APL AUTOMATICAS",C698)),0,IF(ISNUMBER(FIND("TEC DEPOSITO",C698)),0,IF(ISNUMBER(FIND("APL APLIC AUT MAIS",C698)),E698,IF(E698&gt;0,E698,0))))))</f>
        <v>0</v>
      </c>
      <c r="H698" s="80" t="n">
        <v>43983</v>
      </c>
    </row>
    <row r="699" customFormat="false" ht="13.8" hidden="false" customHeight="false" outlineLevel="0" collapsed="false">
      <c r="A699" s="59" t="s">
        <v>98</v>
      </c>
      <c r="B699" s="74" t="s">
        <v>542</v>
      </c>
      <c r="C699" s="75" t="s">
        <v>247</v>
      </c>
      <c r="D699" s="76" t="s">
        <v>64</v>
      </c>
      <c r="E699" s="81" t="n">
        <v>-23.8</v>
      </c>
      <c r="F699" s="78" t="n">
        <f aca="false">IF(ISNUMBER(FIND("SALDO ANTERIOR",C699)),0,IF(ISNUMBER(FIND("SALDO DO DIA",C699)),0,IF(ISNUMBER(FIND("SALDO PARCIAL",C699)),0,IF(ISNUMBER(FIND("SDO CTA/APL AUTOMATICAS",C699)),0,IF(ISNUMBER(FIND("APL APLIC AUT MAIS",C699)),0,IF(ISNUMBER(FIND("TEC DEPOSITO",C699)),0,IF(E699&gt;0,0,E699*(-1))))))))</f>
        <v>23.8</v>
      </c>
      <c r="G699" s="79" t="n">
        <f aca="false">IF(ISNUMBER(FIND("SALDO ANTERIOR",C699)),0,IF(ISNUMBER(FIND("SALDO DO DIA",C699)),0,IF(ISNUMBER(FIND("SDO CTA/APL AUTOMATICAS",C699)),0,IF(ISNUMBER(FIND("TEC DEPOSITO",C699)),0,IF(ISNUMBER(FIND("APL APLIC AUT MAIS",C699)),E699,IF(E699&gt;0,E699,0))))))</f>
        <v>0</v>
      </c>
      <c r="H699" s="80" t="n">
        <v>43983</v>
      </c>
    </row>
    <row r="700" customFormat="false" ht="13.8" hidden="false" customHeight="false" outlineLevel="0" collapsed="false">
      <c r="A700" s="59" t="s">
        <v>65</v>
      </c>
      <c r="B700" s="74" t="s">
        <v>542</v>
      </c>
      <c r="C700" s="75" t="s">
        <v>464</v>
      </c>
      <c r="D700" s="76" t="s">
        <v>64</v>
      </c>
      <c r="E700" s="81" t="n">
        <v>-3</v>
      </c>
      <c r="F700" s="78" t="n">
        <f aca="false">IF(ISNUMBER(FIND("SALDO ANTERIOR",C700)),0,IF(ISNUMBER(FIND("SALDO DO DIA",C700)),0,IF(ISNUMBER(FIND("SALDO PARCIAL",C700)),0,IF(ISNUMBER(FIND("SDO CTA/APL AUTOMATICAS",C700)),0,IF(ISNUMBER(FIND("APL APLIC AUT MAIS",C700)),0,IF(ISNUMBER(FIND("TEC DEPOSITO",C700)),0,IF(E700&gt;0,0,E700*(-1))))))))</f>
        <v>3</v>
      </c>
      <c r="G700" s="79" t="n">
        <f aca="false">IF(ISNUMBER(FIND("SALDO ANTERIOR",C700)),0,IF(ISNUMBER(FIND("SALDO DO DIA",C700)),0,IF(ISNUMBER(FIND("SDO CTA/APL AUTOMATICAS",C700)),0,IF(ISNUMBER(FIND("TEC DEPOSITO",C700)),0,IF(ISNUMBER(FIND("APL APLIC AUT MAIS",C700)),E700,IF(E700&gt;0,E700,0))))))</f>
        <v>0</v>
      </c>
      <c r="H700" s="80" t="n">
        <v>43983</v>
      </c>
    </row>
    <row r="701" customFormat="false" ht="13.8" hidden="false" customHeight="false" outlineLevel="0" collapsed="false">
      <c r="A701" s="59" t="s">
        <v>65</v>
      </c>
      <c r="B701" s="74" t="s">
        <v>542</v>
      </c>
      <c r="C701" s="75" t="s">
        <v>464</v>
      </c>
      <c r="D701" s="76" t="s">
        <v>64</v>
      </c>
      <c r="E701" s="81" t="n">
        <v>-8.3</v>
      </c>
      <c r="F701" s="78" t="n">
        <f aca="false">IF(ISNUMBER(FIND("SALDO ANTERIOR",C701)),0,IF(ISNUMBER(FIND("SALDO DO DIA",C701)),0,IF(ISNUMBER(FIND("SALDO PARCIAL",C701)),0,IF(ISNUMBER(FIND("SDO CTA/APL AUTOMATICAS",C701)),0,IF(ISNUMBER(FIND("APL APLIC AUT MAIS",C701)),0,IF(ISNUMBER(FIND("TEC DEPOSITO",C701)),0,IF(E701&gt;0,0,E701*(-1))))))))</f>
        <v>8.3</v>
      </c>
      <c r="G701" s="79" t="n">
        <f aca="false">IF(ISNUMBER(FIND("SALDO ANTERIOR",C701)),0,IF(ISNUMBER(FIND("SALDO DO DIA",C701)),0,IF(ISNUMBER(FIND("SDO CTA/APL AUTOMATICAS",C701)),0,IF(ISNUMBER(FIND("TEC DEPOSITO",C701)),0,IF(ISNUMBER(FIND("APL APLIC AUT MAIS",C701)),E701,IF(E701&gt;0,E701,0))))))</f>
        <v>0</v>
      </c>
      <c r="H701" s="80" t="n">
        <v>43983</v>
      </c>
    </row>
    <row r="702" customFormat="false" ht="13.8" hidden="false" customHeight="false" outlineLevel="0" collapsed="false">
      <c r="A702" s="59" t="s">
        <v>316</v>
      </c>
      <c r="B702" s="74" t="s">
        <v>542</v>
      </c>
      <c r="C702" s="75" t="s">
        <v>479</v>
      </c>
      <c r="D702" s="76" t="s">
        <v>64</v>
      </c>
      <c r="E702" s="81" t="n">
        <v>-22</v>
      </c>
      <c r="F702" s="78" t="n">
        <f aca="false">IF(ISNUMBER(FIND("SALDO ANTERIOR",C702)),0,IF(ISNUMBER(FIND("SALDO DO DIA",C702)),0,IF(ISNUMBER(FIND("SALDO PARCIAL",C702)),0,IF(ISNUMBER(FIND("SDO CTA/APL AUTOMATICAS",C702)),0,IF(ISNUMBER(FIND("APL APLIC AUT MAIS",C702)),0,IF(ISNUMBER(FIND("TEC DEPOSITO",C702)),0,IF(E702&gt;0,0,E702*(-1))))))))</f>
        <v>22</v>
      </c>
      <c r="G702" s="79" t="n">
        <f aca="false">IF(ISNUMBER(FIND("SALDO ANTERIOR",C702)),0,IF(ISNUMBER(FIND("SALDO DO DIA",C702)),0,IF(ISNUMBER(FIND("SDO CTA/APL AUTOMATICAS",C702)),0,IF(ISNUMBER(FIND("TEC DEPOSITO",C702)),0,IF(ISNUMBER(FIND("APL APLIC AUT MAIS",C702)),E702,IF(E702&gt;0,E702,0))))))</f>
        <v>0</v>
      </c>
      <c r="H702" s="80" t="n">
        <v>43983</v>
      </c>
    </row>
    <row r="703" customFormat="false" ht="13.8" hidden="false" customHeight="false" outlineLevel="0" collapsed="false">
      <c r="A703" s="59" t="s">
        <v>98</v>
      </c>
      <c r="B703" s="74" t="s">
        <v>542</v>
      </c>
      <c r="C703" s="75" t="s">
        <v>180</v>
      </c>
      <c r="D703" s="76" t="s">
        <v>64</v>
      </c>
      <c r="E703" s="81" t="n">
        <v>-48.28</v>
      </c>
      <c r="F703" s="78" t="n">
        <f aca="false">IF(ISNUMBER(FIND("SALDO ANTERIOR",C703)),0,IF(ISNUMBER(FIND("SALDO DO DIA",C703)),0,IF(ISNUMBER(FIND("SALDO PARCIAL",C703)),0,IF(ISNUMBER(FIND("SDO CTA/APL AUTOMATICAS",C703)),0,IF(ISNUMBER(FIND("APL APLIC AUT MAIS",C703)),0,IF(ISNUMBER(FIND("TEC DEPOSITO",C703)),0,IF(E703&gt;0,0,E703*(-1))))))))</f>
        <v>48.28</v>
      </c>
      <c r="G703" s="79" t="n">
        <f aca="false">IF(ISNUMBER(FIND("SALDO ANTERIOR",C703)),0,IF(ISNUMBER(FIND("SALDO DO DIA",C703)),0,IF(ISNUMBER(FIND("SDO CTA/APL AUTOMATICAS",C703)),0,IF(ISNUMBER(FIND("TEC DEPOSITO",C703)),0,IF(ISNUMBER(FIND("APL APLIC AUT MAIS",C703)),E703,IF(E703&gt;0,E703,0))))))</f>
        <v>0</v>
      </c>
      <c r="H703" s="80" t="n">
        <v>43983</v>
      </c>
    </row>
    <row r="704" customFormat="false" ht="15" hidden="false" customHeight="false" outlineLevel="0" collapsed="false">
      <c r="A704" s="59" t="s">
        <v>29</v>
      </c>
      <c r="B704" s="74" t="s">
        <v>542</v>
      </c>
      <c r="C704" s="83" t="s">
        <v>494</v>
      </c>
      <c r="D704" s="76"/>
      <c r="E704" s="84" t="n">
        <v>-1485.2</v>
      </c>
      <c r="F704" s="78" t="n">
        <f aca="false">IF(ISNUMBER(FIND("SALDO ANTERIOR",C704)),0,IF(ISNUMBER(FIND("SALDO DO DIA",C704)),0,IF(ISNUMBER(FIND("SALDO PARCIAL",C704)),0,IF(ISNUMBER(FIND("SDO CTA/APL AUTOMATICAS",C704)),0,IF(ISNUMBER(FIND("APL APLIC AUT MAIS",C704)),0,IF(ISNUMBER(FIND("TEC DEPOSITO",C704)),0,IF(E704&gt;0,0,E704*(-1))))))))</f>
        <v>0</v>
      </c>
      <c r="G704" s="79" t="n">
        <f aca="false">IF(ISNUMBER(FIND("SALDO ANTERIOR",C704)),0,IF(ISNUMBER(FIND("SALDO DO DIA",C704)),0,IF(ISNUMBER(FIND("SDO CTA/APL AUTOMATICAS",C704)),0,IF(ISNUMBER(FIND("TEC DEPOSITO",C704)),0,IF(ISNUMBER(FIND("APL APLIC AUT MAIS",C704)),E704,IF(E704&gt;0,E704,0))))))</f>
        <v>0</v>
      </c>
      <c r="H704" s="80" t="n">
        <v>43983</v>
      </c>
    </row>
    <row r="705" customFormat="false" ht="13.8" hidden="false" customHeight="false" outlineLevel="0" collapsed="false">
      <c r="A705" s="59" t="s">
        <v>35</v>
      </c>
      <c r="B705" s="74" t="s">
        <v>548</v>
      </c>
      <c r="C705" s="75" t="s">
        <v>168</v>
      </c>
      <c r="D705" s="76" t="s">
        <v>61</v>
      </c>
      <c r="E705" s="81" t="n">
        <v>-3000</v>
      </c>
      <c r="F705" s="78" t="n">
        <f aca="false">IF(ISNUMBER(FIND("SALDO ANTERIOR",C705)),0,IF(ISNUMBER(FIND("SALDO DO DIA",C705)),0,IF(ISNUMBER(FIND("SALDO PARCIAL",C705)),0,IF(ISNUMBER(FIND("SDO CTA/APL AUTOMATICAS",C705)),0,IF(ISNUMBER(FIND("APL APLIC AUT MAIS",C705)),0,IF(ISNUMBER(FIND("TEC DEPOSITO",C705)),0,IF(E705&gt;0,0,E705*(-1))))))))</f>
        <v>3000</v>
      </c>
      <c r="G705" s="79" t="n">
        <f aca="false">IF(ISNUMBER(FIND("SALDO ANTERIOR",C705)),0,IF(ISNUMBER(FIND("SALDO DO DIA",C705)),0,IF(ISNUMBER(FIND("SDO CTA/APL AUTOMATICAS",C705)),0,IF(ISNUMBER(FIND("TEC DEPOSITO",C705)),0,IF(ISNUMBER(FIND("APL APLIC AUT MAIS",C705)),E705,IF(E705&gt;0,E705,0))))))</f>
        <v>0</v>
      </c>
      <c r="H705" s="80" t="n">
        <v>43983</v>
      </c>
    </row>
    <row r="706" customFormat="false" ht="13.8" hidden="false" customHeight="false" outlineLevel="0" collapsed="false">
      <c r="A706" s="59" t="s">
        <v>127</v>
      </c>
      <c r="B706" s="74" t="s">
        <v>548</v>
      </c>
      <c r="C706" s="75" t="s">
        <v>128</v>
      </c>
      <c r="D706" s="76"/>
      <c r="E706" s="77" t="n">
        <v>7248.2</v>
      </c>
      <c r="F706" s="78" t="n">
        <f aca="false">IF(ISNUMBER(FIND("SALDO ANTERIOR",C706)),0,IF(ISNUMBER(FIND("SALDO DO DIA",C706)),0,IF(ISNUMBER(FIND("SALDO PARCIAL",C706)),0,IF(ISNUMBER(FIND("SDO CTA/APL AUTOMATICAS",C706)),0,IF(ISNUMBER(FIND("APL APLIC AUT MAIS",C706)),0,IF(ISNUMBER(FIND("TEC DEPOSITO",C706)),0,IF(E706&gt;0,0,E706*(-1))))))))</f>
        <v>0</v>
      </c>
      <c r="G706" s="79" t="n">
        <f aca="false">IF(ISNUMBER(FIND("SALDO ANTERIOR",C706)),0,IF(ISNUMBER(FIND("SALDO DO DIA",C706)),0,IF(ISNUMBER(FIND("SDO CTA/APL AUTOMATICAS",C706)),0,IF(ISNUMBER(FIND("TEC DEPOSITO",C706)),0,IF(ISNUMBER(FIND("APL APLIC AUT MAIS",C706)),E706,IF(E706&gt;0,E706,0))))))</f>
        <v>7248.2</v>
      </c>
      <c r="H706" s="80" t="n">
        <v>43983</v>
      </c>
    </row>
    <row r="707" customFormat="false" ht="15" hidden="false" customHeight="false" outlineLevel="0" collapsed="false">
      <c r="A707" s="59" t="s">
        <v>29</v>
      </c>
      <c r="B707" s="74" t="s">
        <v>548</v>
      </c>
      <c r="C707" s="83" t="s">
        <v>521</v>
      </c>
      <c r="D707" s="76"/>
      <c r="E707" s="93" t="n">
        <v>2763</v>
      </c>
      <c r="F707" s="78" t="n">
        <f aca="false">IF(ISNUMBER(FIND("SALDO ANTERIOR",C707)),0,IF(ISNUMBER(FIND("SALDO DO DIA",C707)),0,IF(ISNUMBER(FIND("SALDO PARCIAL",C707)),0,IF(ISNUMBER(FIND("SDO CTA/APL AUTOMATICAS",C707)),0,IF(ISNUMBER(FIND("APL APLIC AUT MAIS",C707)),0,IF(ISNUMBER(FIND("TEC DEPOSITO",C707)),0,IF(E707&gt;0,0,E707*(-1))))))))</f>
        <v>0</v>
      </c>
      <c r="G707" s="79" t="n">
        <f aca="false">IF(ISNUMBER(FIND("SALDO ANTERIOR",C707)),0,IF(ISNUMBER(FIND("SALDO DO DIA",C707)),0,IF(ISNUMBER(FIND("SDO CTA/APL AUTOMATICAS",C707)),0,IF(ISNUMBER(FIND("TEC DEPOSITO",C707)),0,IF(ISNUMBER(FIND("APL APLIC AUT MAIS",C707)),E707,IF(E707&gt;0,E707,0))))))</f>
        <v>0</v>
      </c>
      <c r="H707" s="80" t="n">
        <v>43983</v>
      </c>
    </row>
    <row r="708" customFormat="false" ht="15" hidden="false" customHeight="false" outlineLevel="0" collapsed="false">
      <c r="A708" s="59" t="s">
        <v>29</v>
      </c>
      <c r="B708" s="60" t="s">
        <v>548</v>
      </c>
      <c r="C708" s="71" t="s">
        <v>111</v>
      </c>
      <c r="D708" s="62"/>
      <c r="E708" s="94" t="n">
        <v>2763</v>
      </c>
      <c r="F708" s="64" t="n">
        <f aca="false">IF(ISNUMBER(FIND("SALDO ANTERIOR",C708)),0,IF(ISNUMBER(FIND("SALDO DO DIA",C708)),0,IF(ISNUMBER(FIND("SALDO PARCIAL",C708)),0,IF(ISNUMBER(FIND("SDO CTA/APL AUTOMATICAS",C708)),0,IF(ISNUMBER(FIND("APL APLIC AUT MAIS",C708)),0,IF(ISNUMBER(FIND("TEC DEPOSITO",C708)),0,IF(E708&gt;0,0,E708*(-1))))))))</f>
        <v>0</v>
      </c>
      <c r="G708" s="65" t="n">
        <f aca="false">IF(ISNUMBER(FIND("SALDO ANTERIOR",C708)),0,IF(ISNUMBER(FIND("SALDO DO DIA",C708)),0,IF(ISNUMBER(FIND("SDO CTA/APL AUTOMATICAS",C708)),0,IF(ISNUMBER(FIND("TEC DEPOSITO",C708)),0,IF(ISNUMBER(FIND("APL APLIC AUT MAIS",C708)),E708,IF(E708&gt;0,E708,0))))))</f>
        <v>0</v>
      </c>
      <c r="H708" s="66" t="n">
        <v>44013</v>
      </c>
    </row>
    <row r="709" customFormat="false" ht="15" hidden="false" customHeight="false" outlineLevel="0" collapsed="false">
      <c r="A709" s="59" t="s">
        <v>29</v>
      </c>
      <c r="B709" s="60" t="s">
        <v>549</v>
      </c>
      <c r="C709" s="71" t="s">
        <v>111</v>
      </c>
      <c r="D709" s="62"/>
      <c r="E709" s="94" t="n">
        <v>10</v>
      </c>
      <c r="F709" s="64" t="n">
        <f aca="false">IF(ISNUMBER(FIND("SALDO ANTERIOR",C709)),0,IF(ISNUMBER(FIND("SALDO DO DIA",C709)),0,IF(ISNUMBER(FIND("SALDO PARCIAL",C709)),0,IF(ISNUMBER(FIND("SDO CTA/APL AUTOMATICAS",C709)),0,IF(ISNUMBER(FIND("APL APLIC AUT MAIS",C709)),0,IF(ISNUMBER(FIND("TEC DEPOSITO",C709)),0,IF(E709&gt;0,0,E709*(-1))))))))</f>
        <v>0</v>
      </c>
      <c r="G709" s="65" t="n">
        <f aca="false">IF(ISNUMBER(FIND("SALDO ANTERIOR",C709)),0,IF(ISNUMBER(FIND("SALDO DO DIA",C709)),0,IF(ISNUMBER(FIND("SDO CTA/APL AUTOMATICAS",C709)),0,IF(ISNUMBER(FIND("TEC DEPOSITO",C709)),0,IF(ISNUMBER(FIND("APL APLIC AUT MAIS",C709)),E709,IF(E709&gt;0,E709,0))))))</f>
        <v>0</v>
      </c>
      <c r="H709" s="66" t="n">
        <v>44013</v>
      </c>
    </row>
    <row r="710" customFormat="false" ht="13.8" hidden="false" customHeight="false" outlineLevel="0" collapsed="false">
      <c r="A710" s="59" t="s">
        <v>98</v>
      </c>
      <c r="B710" s="60" t="s">
        <v>550</v>
      </c>
      <c r="C710" s="61" t="s">
        <v>470</v>
      </c>
      <c r="D710" s="62" t="s">
        <v>64</v>
      </c>
      <c r="E710" s="67" t="n">
        <v>-203.27</v>
      </c>
      <c r="F710" s="64" t="n">
        <f aca="false">IF(ISNUMBER(FIND("SALDO ANTERIOR",C710)),0,IF(ISNUMBER(FIND("SALDO DO DIA",C710)),0,IF(ISNUMBER(FIND("SALDO PARCIAL",C710)),0,IF(ISNUMBER(FIND("SDO CTA/APL AUTOMATICAS",C710)),0,IF(ISNUMBER(FIND("APL APLIC AUT MAIS",C710)),0,IF(ISNUMBER(FIND("TEC DEPOSITO",C710)),0,IF(E710&gt;0,0,E710*(-1))))))))</f>
        <v>203.27</v>
      </c>
      <c r="G710" s="65" t="n">
        <f aca="false">IF(ISNUMBER(FIND("SALDO ANTERIOR",C710)),0,IF(ISNUMBER(FIND("SALDO DO DIA",C710)),0,IF(ISNUMBER(FIND("SDO CTA/APL AUTOMATICAS",C710)),0,IF(ISNUMBER(FIND("TEC DEPOSITO",C710)),0,IF(ISNUMBER(FIND("APL APLIC AUT MAIS",C710)),E710,IF(E710&gt;0,E710,0))))))</f>
        <v>0</v>
      </c>
      <c r="H710" s="66" t="n">
        <v>44013</v>
      </c>
    </row>
    <row r="711" customFormat="false" ht="13.8" hidden="false" customHeight="false" outlineLevel="0" collapsed="false">
      <c r="A711" s="59" t="s">
        <v>71</v>
      </c>
      <c r="B711" s="60" t="s">
        <v>550</v>
      </c>
      <c r="C711" s="61" t="s">
        <v>85</v>
      </c>
      <c r="D711" s="62" t="s">
        <v>64</v>
      </c>
      <c r="E711" s="67" t="n">
        <v>-15.14</v>
      </c>
      <c r="F711" s="64" t="n">
        <f aca="false">IF(ISNUMBER(FIND("SALDO ANTERIOR",C711)),0,IF(ISNUMBER(FIND("SALDO DO DIA",C711)),0,IF(ISNUMBER(FIND("SALDO PARCIAL",C711)),0,IF(ISNUMBER(FIND("SDO CTA/APL AUTOMATICAS",C711)),0,IF(ISNUMBER(FIND("APL APLIC AUT MAIS",C711)),0,IF(ISNUMBER(FIND("TEC DEPOSITO",C711)),0,IF(E711&gt;0,0,E711*(-1))))))))</f>
        <v>15.14</v>
      </c>
      <c r="G711" s="65" t="n">
        <f aca="false">IF(ISNUMBER(FIND("SALDO ANTERIOR",C711)),0,IF(ISNUMBER(FIND("SALDO DO DIA",C711)),0,IF(ISNUMBER(FIND("SDO CTA/APL AUTOMATICAS",C711)),0,IF(ISNUMBER(FIND("TEC DEPOSITO",C711)),0,IF(ISNUMBER(FIND("APL APLIC AUT MAIS",C711)),E711,IF(E711&gt;0,E711,0))))))</f>
        <v>0</v>
      </c>
      <c r="H711" s="66" t="n">
        <v>44013</v>
      </c>
    </row>
    <row r="712" customFormat="false" ht="13.8" hidden="false" customHeight="false" outlineLevel="0" collapsed="false">
      <c r="A712" s="59" t="s">
        <v>65</v>
      </c>
      <c r="B712" s="60" t="s">
        <v>550</v>
      </c>
      <c r="C712" s="61" t="s">
        <v>551</v>
      </c>
      <c r="D712" s="62" t="s">
        <v>64</v>
      </c>
      <c r="E712" s="67" t="n">
        <v>-40</v>
      </c>
      <c r="F712" s="64" t="n">
        <f aca="false">IF(ISNUMBER(FIND("SALDO ANTERIOR",C712)),0,IF(ISNUMBER(FIND("SALDO DO DIA",C712)),0,IF(ISNUMBER(FIND("SALDO PARCIAL",C712)),0,IF(ISNUMBER(FIND("SDO CTA/APL AUTOMATICAS",C712)),0,IF(ISNUMBER(FIND("APL APLIC AUT MAIS",C712)),0,IF(ISNUMBER(FIND("TEC DEPOSITO",C712)),0,IF(E712&gt;0,0,E712*(-1))))))))</f>
        <v>40</v>
      </c>
      <c r="G712" s="65" t="n">
        <f aca="false">IF(ISNUMBER(FIND("SALDO ANTERIOR",C712)),0,IF(ISNUMBER(FIND("SALDO DO DIA",C712)),0,IF(ISNUMBER(FIND("SDO CTA/APL AUTOMATICAS",C712)),0,IF(ISNUMBER(FIND("TEC DEPOSITO",C712)),0,IF(ISNUMBER(FIND("APL APLIC AUT MAIS",C712)),E712,IF(E712&gt;0,E712,0))))))</f>
        <v>0</v>
      </c>
      <c r="H712" s="66" t="n">
        <v>44013</v>
      </c>
    </row>
    <row r="713" customFormat="false" ht="13.8" hidden="false" customHeight="false" outlineLevel="0" collapsed="false">
      <c r="A713" s="59" t="s">
        <v>65</v>
      </c>
      <c r="B713" s="60" t="s">
        <v>550</v>
      </c>
      <c r="C713" s="61" t="s">
        <v>552</v>
      </c>
      <c r="D713" s="62" t="s">
        <v>64</v>
      </c>
      <c r="E713" s="67" t="n">
        <v>-129.11</v>
      </c>
      <c r="F713" s="64" t="n">
        <f aca="false">IF(ISNUMBER(FIND("SALDO ANTERIOR",C713)),0,IF(ISNUMBER(FIND("SALDO DO DIA",C713)),0,IF(ISNUMBER(FIND("SALDO PARCIAL",C713)),0,IF(ISNUMBER(FIND("SDO CTA/APL AUTOMATICAS",C713)),0,IF(ISNUMBER(FIND("APL APLIC AUT MAIS",C713)),0,IF(ISNUMBER(FIND("TEC DEPOSITO",C713)),0,IF(E713&gt;0,0,E713*(-1))))))))</f>
        <v>129.11</v>
      </c>
      <c r="G713" s="65" t="n">
        <f aca="false">IF(ISNUMBER(FIND("SALDO ANTERIOR",C713)),0,IF(ISNUMBER(FIND("SALDO DO DIA",C713)),0,IF(ISNUMBER(FIND("SDO CTA/APL AUTOMATICAS",C713)),0,IF(ISNUMBER(FIND("TEC DEPOSITO",C713)),0,IF(ISNUMBER(FIND("APL APLIC AUT MAIS",C713)),E713,IF(E713&gt;0,E713,0))))))</f>
        <v>0</v>
      </c>
      <c r="H713" s="66" t="n">
        <v>44013</v>
      </c>
    </row>
    <row r="714" customFormat="false" ht="13.8" hidden="false" customHeight="false" outlineLevel="0" collapsed="false">
      <c r="A714" s="59" t="s">
        <v>67</v>
      </c>
      <c r="B714" s="60" t="s">
        <v>550</v>
      </c>
      <c r="C714" s="61" t="s">
        <v>553</v>
      </c>
      <c r="D714" s="62" t="s">
        <v>82</v>
      </c>
      <c r="E714" s="67" t="n">
        <v>-76.9</v>
      </c>
      <c r="F714" s="64" t="n">
        <f aca="false">IF(ISNUMBER(FIND("SALDO ANTERIOR",C714)),0,IF(ISNUMBER(FIND("SALDO DO DIA",C714)),0,IF(ISNUMBER(FIND("SALDO PARCIAL",C714)),0,IF(ISNUMBER(FIND("SDO CTA/APL AUTOMATICAS",C714)),0,IF(ISNUMBER(FIND("APL APLIC AUT MAIS",C714)),0,IF(ISNUMBER(FIND("TEC DEPOSITO",C714)),0,IF(E714&gt;0,0,E714*(-1))))))))</f>
        <v>76.9</v>
      </c>
      <c r="G714" s="65" t="n">
        <f aca="false">IF(ISNUMBER(FIND("SALDO ANTERIOR",C714)),0,IF(ISNUMBER(FIND("SALDO DO DIA",C714)),0,IF(ISNUMBER(FIND("SDO CTA/APL AUTOMATICAS",C714)),0,IF(ISNUMBER(FIND("TEC DEPOSITO",C714)),0,IF(ISNUMBER(FIND("APL APLIC AUT MAIS",C714)),E714,IF(E714&gt;0,E714,0))))))</f>
        <v>0</v>
      </c>
      <c r="H714" s="66" t="n">
        <v>44013</v>
      </c>
    </row>
    <row r="715" customFormat="false" ht="15" hidden="false" customHeight="false" outlineLevel="0" collapsed="false">
      <c r="A715" s="59" t="s">
        <v>29</v>
      </c>
      <c r="B715" s="60" t="s">
        <v>550</v>
      </c>
      <c r="C715" s="71" t="s">
        <v>521</v>
      </c>
      <c r="D715" s="62"/>
      <c r="E715" s="94" t="n">
        <v>2298.58</v>
      </c>
      <c r="F715" s="64" t="n">
        <f aca="false">IF(ISNUMBER(FIND("SALDO ANTERIOR",C715)),0,IF(ISNUMBER(FIND("SALDO DO DIA",C715)),0,IF(ISNUMBER(FIND("SALDO PARCIAL",C715)),0,IF(ISNUMBER(FIND("SDO CTA/APL AUTOMATICAS",C715)),0,IF(ISNUMBER(FIND("APL APLIC AUT MAIS",C715)),0,IF(ISNUMBER(FIND("TEC DEPOSITO",C715)),0,IF(E715&gt;0,0,E715*(-1))))))))</f>
        <v>0</v>
      </c>
      <c r="G715" s="65" t="n">
        <f aca="false">IF(ISNUMBER(FIND("SALDO ANTERIOR",C715)),0,IF(ISNUMBER(FIND("SALDO DO DIA",C715)),0,IF(ISNUMBER(FIND("SDO CTA/APL AUTOMATICAS",C715)),0,IF(ISNUMBER(FIND("TEC DEPOSITO",C715)),0,IF(ISNUMBER(FIND("APL APLIC AUT MAIS",C715)),E715,IF(E715&gt;0,E715,0))))))</f>
        <v>0</v>
      </c>
      <c r="H715" s="66" t="n">
        <v>44013</v>
      </c>
    </row>
    <row r="716" customFormat="false" ht="15" hidden="false" customHeight="false" outlineLevel="0" collapsed="false">
      <c r="A716" s="59" t="s">
        <v>29</v>
      </c>
      <c r="B716" s="60" t="s">
        <v>554</v>
      </c>
      <c r="C716" s="71" t="s">
        <v>521</v>
      </c>
      <c r="D716" s="62"/>
      <c r="E716" s="94" t="n">
        <v>2298.58</v>
      </c>
      <c r="F716" s="64" t="n">
        <f aca="false">IF(ISNUMBER(FIND("SALDO ANTERIOR",C716)),0,IF(ISNUMBER(FIND("SALDO DO DIA",C716)),0,IF(ISNUMBER(FIND("SALDO PARCIAL",C716)),0,IF(ISNUMBER(FIND("SDO CTA/APL AUTOMATICAS",C716)),0,IF(ISNUMBER(FIND("APL APLIC AUT MAIS",C716)),0,IF(ISNUMBER(FIND("TEC DEPOSITO",C716)),0,IF(E716&gt;0,0,E716*(-1))))))))</f>
        <v>0</v>
      </c>
      <c r="G716" s="65" t="n">
        <f aca="false">IF(ISNUMBER(FIND("SALDO ANTERIOR",C716)),0,IF(ISNUMBER(FIND("SALDO DO DIA",C716)),0,IF(ISNUMBER(FIND("SDO CTA/APL AUTOMATICAS",C716)),0,IF(ISNUMBER(FIND("TEC DEPOSITO",C716)),0,IF(ISNUMBER(FIND("APL APLIC AUT MAIS",C716)),E716,IF(E716&gt;0,E716,0))))))</f>
        <v>0</v>
      </c>
      <c r="H716" s="66" t="n">
        <v>44013</v>
      </c>
    </row>
    <row r="717" customFormat="false" ht="13.8" hidden="false" customHeight="false" outlineLevel="0" collapsed="false">
      <c r="A717" s="73" t="s">
        <v>119</v>
      </c>
      <c r="B717" s="60" t="s">
        <v>555</v>
      </c>
      <c r="C717" s="61" t="s">
        <v>556</v>
      </c>
      <c r="D717" s="62" t="s">
        <v>61</v>
      </c>
      <c r="E717" s="67" t="n">
        <v>-569.07</v>
      </c>
      <c r="F717" s="64" t="n">
        <f aca="false">IF(ISNUMBER(FIND("SALDO ANTERIOR",C717)),0,IF(ISNUMBER(FIND("SALDO DO DIA",C717)),0,IF(ISNUMBER(FIND("SALDO PARCIAL",C717)),0,IF(ISNUMBER(FIND("SDO CTA/APL AUTOMATICAS",C717)),0,IF(ISNUMBER(FIND("APL APLIC AUT MAIS",C717)),0,IF(ISNUMBER(FIND("TEC DEPOSITO",C717)),0,IF(E717&gt;0,0,E717*(-1))))))))</f>
        <v>569.07</v>
      </c>
      <c r="G717" s="65" t="n">
        <f aca="false">IF(ISNUMBER(FIND("SALDO ANTERIOR",C717)),0,IF(ISNUMBER(FIND("SALDO DO DIA",C717)),0,IF(ISNUMBER(FIND("SDO CTA/APL AUTOMATICAS",C717)),0,IF(ISNUMBER(FIND("TEC DEPOSITO",C717)),0,IF(ISNUMBER(FIND("APL APLIC AUT MAIS",C717)),E717,IF(E717&gt;0,E717,0))))))</f>
        <v>0</v>
      </c>
      <c r="H717" s="66" t="n">
        <v>44013</v>
      </c>
    </row>
    <row r="718" customFormat="false" ht="13.8" hidden="false" customHeight="false" outlineLevel="0" collapsed="false">
      <c r="A718" s="59" t="s">
        <v>203</v>
      </c>
      <c r="B718" s="60" t="s">
        <v>555</v>
      </c>
      <c r="C718" s="61" t="s">
        <v>557</v>
      </c>
      <c r="D718" s="62" t="s">
        <v>478</v>
      </c>
      <c r="E718" s="67" t="n">
        <v>-50</v>
      </c>
      <c r="F718" s="64" t="n">
        <f aca="false">IF(ISNUMBER(FIND("SALDO ANTERIOR",C718)),0,IF(ISNUMBER(FIND("SALDO DO DIA",C718)),0,IF(ISNUMBER(FIND("SALDO PARCIAL",C718)),0,IF(ISNUMBER(FIND("SDO CTA/APL AUTOMATICAS",C718)),0,IF(ISNUMBER(FIND("APL APLIC AUT MAIS",C718)),0,IF(ISNUMBER(FIND("TEC DEPOSITO",C718)),0,IF(E718&gt;0,0,E718*(-1))))))))</f>
        <v>50</v>
      </c>
      <c r="G718" s="65" t="n">
        <f aca="false">IF(ISNUMBER(FIND("SALDO ANTERIOR",C718)),0,IF(ISNUMBER(FIND("SALDO DO DIA",C718)),0,IF(ISNUMBER(FIND("SDO CTA/APL AUTOMATICAS",C718)),0,IF(ISNUMBER(FIND("TEC DEPOSITO",C718)),0,IF(ISNUMBER(FIND("APL APLIC AUT MAIS",C718)),E718,IF(E718&gt;0,E718,0))))))</f>
        <v>0</v>
      </c>
      <c r="H718" s="66" t="n">
        <v>44013</v>
      </c>
    </row>
    <row r="719" customFormat="false" ht="13.8" hidden="false" customHeight="false" outlineLevel="0" collapsed="false">
      <c r="A719" s="59" t="s">
        <v>558</v>
      </c>
      <c r="B719" s="60" t="s">
        <v>555</v>
      </c>
      <c r="C719" s="61" t="s">
        <v>559</v>
      </c>
      <c r="D719" s="62" t="s">
        <v>478</v>
      </c>
      <c r="E719" s="67" t="n">
        <v>-400</v>
      </c>
      <c r="F719" s="64" t="n">
        <f aca="false">IF(ISNUMBER(FIND("SALDO ANTERIOR",C719)),0,IF(ISNUMBER(FIND("SALDO DO DIA",C719)),0,IF(ISNUMBER(FIND("SALDO PARCIAL",C719)),0,IF(ISNUMBER(FIND("SDO CTA/APL AUTOMATICAS",C719)),0,IF(ISNUMBER(FIND("APL APLIC AUT MAIS",C719)),0,IF(ISNUMBER(FIND("TEC DEPOSITO",C719)),0,IF(E719&gt;0,0,E719*(-1))))))))</f>
        <v>400</v>
      </c>
      <c r="G719" s="65" t="n">
        <f aca="false">IF(ISNUMBER(FIND("SALDO ANTERIOR",C719)),0,IF(ISNUMBER(FIND("SALDO DO DIA",C719)),0,IF(ISNUMBER(FIND("SDO CTA/APL AUTOMATICAS",C719)),0,IF(ISNUMBER(FIND("TEC DEPOSITO",C719)),0,IF(ISNUMBER(FIND("APL APLIC AUT MAIS",C719)),E719,IF(E719&gt;0,E719,0))))))</f>
        <v>0</v>
      </c>
      <c r="H719" s="66" t="n">
        <v>44013</v>
      </c>
    </row>
    <row r="720" customFormat="false" ht="13.8" hidden="false" customHeight="false" outlineLevel="0" collapsed="false">
      <c r="A720" s="59" t="s">
        <v>71</v>
      </c>
      <c r="B720" s="60" t="s">
        <v>555</v>
      </c>
      <c r="C720" s="61" t="s">
        <v>85</v>
      </c>
      <c r="D720" s="62" t="s">
        <v>64</v>
      </c>
      <c r="E720" s="67" t="n">
        <v>-23.78</v>
      </c>
      <c r="F720" s="64" t="n">
        <f aca="false">IF(ISNUMBER(FIND("SALDO ANTERIOR",C720)),0,IF(ISNUMBER(FIND("SALDO DO DIA",C720)),0,IF(ISNUMBER(FIND("SALDO PARCIAL",C720)),0,IF(ISNUMBER(FIND("SDO CTA/APL AUTOMATICAS",C720)),0,IF(ISNUMBER(FIND("APL APLIC AUT MAIS",C720)),0,IF(ISNUMBER(FIND("TEC DEPOSITO",C720)),0,IF(E720&gt;0,0,E720*(-1))))))))</f>
        <v>23.78</v>
      </c>
      <c r="G720" s="65" t="n">
        <f aca="false">IF(ISNUMBER(FIND("SALDO ANTERIOR",C720)),0,IF(ISNUMBER(FIND("SALDO DO DIA",C720)),0,IF(ISNUMBER(FIND("SDO CTA/APL AUTOMATICAS",C720)),0,IF(ISNUMBER(FIND("TEC DEPOSITO",C720)),0,IF(ISNUMBER(FIND("APL APLIC AUT MAIS",C720)),E720,IF(E720&gt;0,E720,0))))))</f>
        <v>0</v>
      </c>
      <c r="H720" s="66" t="n">
        <v>44013</v>
      </c>
    </row>
    <row r="721" customFormat="false" ht="13.8" hidden="false" customHeight="false" outlineLevel="0" collapsed="false">
      <c r="A721" s="59" t="s">
        <v>76</v>
      </c>
      <c r="B721" s="60" t="s">
        <v>555</v>
      </c>
      <c r="C721" s="61" t="s">
        <v>92</v>
      </c>
      <c r="D721" s="62" t="s">
        <v>64</v>
      </c>
      <c r="E721" s="67" t="n">
        <v>-107</v>
      </c>
      <c r="F721" s="64" t="n">
        <f aca="false">IF(ISNUMBER(FIND("SALDO ANTERIOR",C721)),0,IF(ISNUMBER(FIND("SALDO DO DIA",C721)),0,IF(ISNUMBER(FIND("SALDO PARCIAL",C721)),0,IF(ISNUMBER(FIND("SDO CTA/APL AUTOMATICAS",C721)),0,IF(ISNUMBER(FIND("APL APLIC AUT MAIS",C721)),0,IF(ISNUMBER(FIND("TEC DEPOSITO",C721)),0,IF(E721&gt;0,0,E721*(-1))))))))</f>
        <v>107</v>
      </c>
      <c r="G721" s="65" t="n">
        <f aca="false">IF(ISNUMBER(FIND("SALDO ANTERIOR",C721)),0,IF(ISNUMBER(FIND("SALDO DO DIA",C721)),0,IF(ISNUMBER(FIND("SDO CTA/APL AUTOMATICAS",C721)),0,IF(ISNUMBER(FIND("TEC DEPOSITO",C721)),0,IF(ISNUMBER(FIND("APL APLIC AUT MAIS",C721)),E721,IF(E721&gt;0,E721,0))))))</f>
        <v>0</v>
      </c>
      <c r="H721" s="66" t="n">
        <v>44013</v>
      </c>
    </row>
    <row r="722" customFormat="false" ht="13.8" hidden="false" customHeight="false" outlineLevel="0" collapsed="false">
      <c r="A722" s="73" t="s">
        <v>316</v>
      </c>
      <c r="B722" s="85" t="s">
        <v>555</v>
      </c>
      <c r="C722" s="61" t="s">
        <v>479</v>
      </c>
      <c r="D722" s="62" t="s">
        <v>64</v>
      </c>
      <c r="E722" s="67" t="n">
        <v>-23</v>
      </c>
      <c r="F722" s="64" t="n">
        <f aca="false">IF(ISNUMBER(FIND("SALDO ANTERIOR",C722)),0,IF(ISNUMBER(FIND("SALDO DO DIA",C722)),0,IF(ISNUMBER(FIND("SALDO PARCIAL",C722)),0,IF(ISNUMBER(FIND("SDO CTA/APL AUTOMATICAS",C722)),0,IF(ISNUMBER(FIND("APL APLIC AUT MAIS",C722)),0,IF(ISNUMBER(FIND("TEC DEPOSITO",C722)),0,IF(E722&gt;0,0,E722*(-1))))))))</f>
        <v>23</v>
      </c>
      <c r="G722" s="65" t="n">
        <f aca="false">IF(ISNUMBER(FIND("SALDO ANTERIOR",C722)),0,IF(ISNUMBER(FIND("SALDO DO DIA",C722)),0,IF(ISNUMBER(FIND("SDO CTA/APL AUTOMATICAS",C722)),0,IF(ISNUMBER(FIND("TEC DEPOSITO",C722)),0,IF(ISNUMBER(FIND("APL APLIC AUT MAIS",C722)),E722,IF(E722&gt;0,E722,0))))))</f>
        <v>0</v>
      </c>
      <c r="H722" s="66" t="n">
        <v>44013</v>
      </c>
    </row>
    <row r="723" customFormat="false" ht="13.8" hidden="false" customHeight="false" outlineLevel="0" collapsed="false">
      <c r="A723" s="59" t="s">
        <v>65</v>
      </c>
      <c r="B723" s="60" t="s">
        <v>555</v>
      </c>
      <c r="C723" s="61" t="s">
        <v>560</v>
      </c>
      <c r="D723" s="62" t="s">
        <v>64</v>
      </c>
      <c r="E723" s="67" t="n">
        <v>-10</v>
      </c>
      <c r="F723" s="64" t="n">
        <f aca="false">IF(ISNUMBER(FIND("SALDO ANTERIOR",C723)),0,IF(ISNUMBER(FIND("SALDO DO DIA",C723)),0,IF(ISNUMBER(FIND("SALDO PARCIAL",C723)),0,IF(ISNUMBER(FIND("SDO CTA/APL AUTOMATICAS",C723)),0,IF(ISNUMBER(FIND("APL APLIC AUT MAIS",C723)),0,IF(ISNUMBER(FIND("TEC DEPOSITO",C723)),0,IF(E723&gt;0,0,E723*(-1))))))))</f>
        <v>10</v>
      </c>
      <c r="G723" s="65" t="n">
        <f aca="false">IF(ISNUMBER(FIND("SALDO ANTERIOR",C723)),0,IF(ISNUMBER(FIND("SALDO DO DIA",C723)),0,IF(ISNUMBER(FIND("SDO CTA/APL AUTOMATICAS",C723)),0,IF(ISNUMBER(FIND("TEC DEPOSITO",C723)),0,IF(ISNUMBER(FIND("APL APLIC AUT MAIS",C723)),E723,IF(E723&gt;0,E723,0))))))</f>
        <v>0</v>
      </c>
      <c r="H723" s="66" t="n">
        <v>44013</v>
      </c>
    </row>
    <row r="724" customFormat="false" ht="13.8" hidden="false" customHeight="false" outlineLevel="0" collapsed="false">
      <c r="A724" s="59" t="s">
        <v>265</v>
      </c>
      <c r="B724" s="60" t="s">
        <v>555</v>
      </c>
      <c r="C724" s="61" t="s">
        <v>561</v>
      </c>
      <c r="D724" s="62"/>
      <c r="E724" s="67" t="n">
        <v>-31.58</v>
      </c>
      <c r="F724" s="64" t="n">
        <f aca="false">IF(ISNUMBER(FIND("SALDO ANTERIOR",C724)),0,IF(ISNUMBER(FIND("SALDO DO DIA",C724)),0,IF(ISNUMBER(FIND("SALDO PARCIAL",C724)),0,IF(ISNUMBER(FIND("SDO CTA/APL AUTOMATICAS",C724)),0,IF(ISNUMBER(FIND("APL APLIC AUT MAIS",C724)),0,IF(ISNUMBER(FIND("TEC DEPOSITO",C724)),0,IF(E724&gt;0,0,E724*(-1))))))))</f>
        <v>31.58</v>
      </c>
      <c r="G724" s="65" t="n">
        <f aca="false">IF(ISNUMBER(FIND("SALDO ANTERIOR",C724)),0,IF(ISNUMBER(FIND("SALDO DO DIA",C724)),0,IF(ISNUMBER(FIND("SDO CTA/APL AUTOMATICAS",C724)),0,IF(ISNUMBER(FIND("TEC DEPOSITO",C724)),0,IF(ISNUMBER(FIND("APL APLIC AUT MAIS",C724)),E724,IF(E724&gt;0,E724,0))))))</f>
        <v>0</v>
      </c>
      <c r="H724" s="66" t="n">
        <v>44013</v>
      </c>
    </row>
    <row r="725" customFormat="false" ht="15" hidden="false" customHeight="false" outlineLevel="0" collapsed="false">
      <c r="A725" s="59" t="s">
        <v>29</v>
      </c>
      <c r="B725" s="60" t="s">
        <v>555</v>
      </c>
      <c r="C725" s="71" t="s">
        <v>521</v>
      </c>
      <c r="D725" s="62"/>
      <c r="E725" s="94" t="n">
        <v>1084.15</v>
      </c>
      <c r="F725" s="64" t="n">
        <f aca="false">IF(ISNUMBER(FIND("SALDO ANTERIOR",C725)),0,IF(ISNUMBER(FIND("SALDO DO DIA",C725)),0,IF(ISNUMBER(FIND("SALDO PARCIAL",C725)),0,IF(ISNUMBER(FIND("SDO CTA/APL AUTOMATICAS",C725)),0,IF(ISNUMBER(FIND("APL APLIC AUT MAIS",C725)),0,IF(ISNUMBER(FIND("TEC DEPOSITO",C725)),0,IF(E725&gt;0,0,E725*(-1))))))))</f>
        <v>0</v>
      </c>
      <c r="G725" s="65" t="n">
        <f aca="false">IF(ISNUMBER(FIND("SALDO ANTERIOR",C725)),0,IF(ISNUMBER(FIND("SALDO DO DIA",C725)),0,IF(ISNUMBER(FIND("SDO CTA/APL AUTOMATICAS",C725)),0,IF(ISNUMBER(FIND("TEC DEPOSITO",C725)),0,IF(ISNUMBER(FIND("APL APLIC AUT MAIS",C725)),E725,IF(E725&gt;0,E725,0))))))</f>
        <v>0</v>
      </c>
      <c r="H725" s="66" t="n">
        <v>44013</v>
      </c>
    </row>
    <row r="726" customFormat="false" ht="13.8" hidden="false" customHeight="false" outlineLevel="0" collapsed="false">
      <c r="A726" s="59" t="s">
        <v>225</v>
      </c>
      <c r="B726" s="60" t="s">
        <v>562</v>
      </c>
      <c r="C726" s="61" t="s">
        <v>240</v>
      </c>
      <c r="D726" s="62" t="s">
        <v>64</v>
      </c>
      <c r="E726" s="67" t="n">
        <v>-20.46</v>
      </c>
      <c r="F726" s="64" t="n">
        <f aca="false">IF(ISNUMBER(FIND("SALDO ANTERIOR",C726)),0,IF(ISNUMBER(FIND("SALDO DO DIA",C726)),0,IF(ISNUMBER(FIND("SALDO PARCIAL",C726)),0,IF(ISNUMBER(FIND("SDO CTA/APL AUTOMATICAS",C726)),0,IF(ISNUMBER(FIND("APL APLIC AUT MAIS",C726)),0,IF(ISNUMBER(FIND("TEC DEPOSITO",C726)),0,IF(E726&gt;0,0,E726*(-1))))))))</f>
        <v>20.46</v>
      </c>
      <c r="G726" s="65" t="n">
        <f aca="false">IF(ISNUMBER(FIND("SALDO ANTERIOR",C726)),0,IF(ISNUMBER(FIND("SALDO DO DIA",C726)),0,IF(ISNUMBER(FIND("SDO CTA/APL AUTOMATICAS",C726)),0,IF(ISNUMBER(FIND("TEC DEPOSITO",C726)),0,IF(ISNUMBER(FIND("APL APLIC AUT MAIS",C726)),E726,IF(E726&gt;0,E726,0))))))</f>
        <v>0</v>
      </c>
      <c r="H726" s="66" t="n">
        <v>44013</v>
      </c>
    </row>
    <row r="727" customFormat="false" ht="13.8" hidden="false" customHeight="false" outlineLevel="0" collapsed="false">
      <c r="A727" s="59" t="s">
        <v>76</v>
      </c>
      <c r="B727" s="60" t="s">
        <v>562</v>
      </c>
      <c r="C727" s="61" t="s">
        <v>179</v>
      </c>
      <c r="D727" s="62" t="s">
        <v>64</v>
      </c>
      <c r="E727" s="67" t="n">
        <v>-5.18</v>
      </c>
      <c r="F727" s="64" t="n">
        <f aca="false">IF(ISNUMBER(FIND("SALDO ANTERIOR",C727)),0,IF(ISNUMBER(FIND("SALDO DO DIA",C727)),0,IF(ISNUMBER(FIND("SALDO PARCIAL",C727)),0,IF(ISNUMBER(FIND("SDO CTA/APL AUTOMATICAS",C727)),0,IF(ISNUMBER(FIND("APL APLIC AUT MAIS",C727)),0,IF(ISNUMBER(FIND("TEC DEPOSITO",C727)),0,IF(E727&gt;0,0,E727*(-1))))))))</f>
        <v>5.18</v>
      </c>
      <c r="G727" s="65" t="n">
        <f aca="false">IF(ISNUMBER(FIND("SALDO ANTERIOR",C727)),0,IF(ISNUMBER(FIND("SALDO DO DIA",C727)),0,IF(ISNUMBER(FIND("SDO CTA/APL AUTOMATICAS",C727)),0,IF(ISNUMBER(FIND("TEC DEPOSITO",C727)),0,IF(ISNUMBER(FIND("APL APLIC AUT MAIS",C727)),E727,IF(E727&gt;0,E727,0))))))</f>
        <v>0</v>
      </c>
      <c r="H727" s="66" t="n">
        <v>44013</v>
      </c>
    </row>
    <row r="728" customFormat="false" ht="13.8" hidden="false" customHeight="false" outlineLevel="0" collapsed="false">
      <c r="A728" s="59" t="s">
        <v>98</v>
      </c>
      <c r="B728" s="60" t="s">
        <v>562</v>
      </c>
      <c r="C728" s="61" t="s">
        <v>247</v>
      </c>
      <c r="D728" s="62" t="s">
        <v>64</v>
      </c>
      <c r="E728" s="67" t="n">
        <v>-56.44</v>
      </c>
      <c r="F728" s="64" t="n">
        <f aca="false">IF(ISNUMBER(FIND("SALDO ANTERIOR",C728)),0,IF(ISNUMBER(FIND("SALDO DO DIA",C728)),0,IF(ISNUMBER(FIND("SALDO PARCIAL",C728)),0,IF(ISNUMBER(FIND("SDO CTA/APL AUTOMATICAS",C728)),0,IF(ISNUMBER(FIND("APL APLIC AUT MAIS",C728)),0,IF(ISNUMBER(FIND("TEC DEPOSITO",C728)),0,IF(E728&gt;0,0,E728*(-1))))))))</f>
        <v>56.44</v>
      </c>
      <c r="G728" s="65" t="n">
        <f aca="false">IF(ISNUMBER(FIND("SALDO ANTERIOR",C728)),0,IF(ISNUMBER(FIND("SALDO DO DIA",C728)),0,IF(ISNUMBER(FIND("SDO CTA/APL AUTOMATICAS",C728)),0,IF(ISNUMBER(FIND("TEC DEPOSITO",C728)),0,IF(ISNUMBER(FIND("APL APLIC AUT MAIS",C728)),E728,IF(E728&gt;0,E728,0))))))</f>
        <v>0</v>
      </c>
      <c r="H728" s="66" t="n">
        <v>44013</v>
      </c>
    </row>
    <row r="729" customFormat="false" ht="13.8" hidden="false" customHeight="false" outlineLevel="0" collapsed="false">
      <c r="A729" s="59" t="s">
        <v>65</v>
      </c>
      <c r="B729" s="60" t="s">
        <v>562</v>
      </c>
      <c r="C729" s="61" t="s">
        <v>507</v>
      </c>
      <c r="D729" s="62" t="s">
        <v>64</v>
      </c>
      <c r="E729" s="67" t="n">
        <v>-37.98</v>
      </c>
      <c r="F729" s="64" t="n">
        <f aca="false">IF(ISNUMBER(FIND("SALDO ANTERIOR",C729)),0,IF(ISNUMBER(FIND("SALDO DO DIA",C729)),0,IF(ISNUMBER(FIND("SALDO PARCIAL",C729)),0,IF(ISNUMBER(FIND("SDO CTA/APL AUTOMATICAS",C729)),0,IF(ISNUMBER(FIND("APL APLIC AUT MAIS",C729)),0,IF(ISNUMBER(FIND("TEC DEPOSITO",C729)),0,IF(E729&gt;0,0,E729*(-1))))))))</f>
        <v>37.98</v>
      </c>
      <c r="G729" s="65" t="n">
        <f aca="false">IF(ISNUMBER(FIND("SALDO ANTERIOR",C729)),0,IF(ISNUMBER(FIND("SALDO DO DIA",C729)),0,IF(ISNUMBER(FIND("SDO CTA/APL AUTOMATICAS",C729)),0,IF(ISNUMBER(FIND("TEC DEPOSITO",C729)),0,IF(ISNUMBER(FIND("APL APLIC AUT MAIS",C729)),E729,IF(E729&gt;0,E729,0))))))</f>
        <v>0</v>
      </c>
      <c r="H729" s="66" t="n">
        <v>44013</v>
      </c>
    </row>
    <row r="730" customFormat="false" ht="15" hidden="false" customHeight="false" outlineLevel="0" collapsed="false">
      <c r="A730" s="59" t="s">
        <v>29</v>
      </c>
      <c r="B730" s="60" t="s">
        <v>562</v>
      </c>
      <c r="C730" s="71" t="s">
        <v>521</v>
      </c>
      <c r="D730" s="62"/>
      <c r="E730" s="94" t="n">
        <v>964.09</v>
      </c>
      <c r="F730" s="64" t="n">
        <f aca="false">IF(ISNUMBER(FIND("SALDO ANTERIOR",C730)),0,IF(ISNUMBER(FIND("SALDO DO DIA",C730)),0,IF(ISNUMBER(FIND("SALDO PARCIAL",C730)),0,IF(ISNUMBER(FIND("SDO CTA/APL AUTOMATICAS",C730)),0,IF(ISNUMBER(FIND("APL APLIC AUT MAIS",C730)),0,IF(ISNUMBER(FIND("TEC DEPOSITO",C730)),0,IF(E730&gt;0,0,E730*(-1))))))))</f>
        <v>0</v>
      </c>
      <c r="G730" s="65" t="n">
        <f aca="false">IF(ISNUMBER(FIND("SALDO ANTERIOR",C730)),0,IF(ISNUMBER(FIND("SALDO DO DIA",C730)),0,IF(ISNUMBER(FIND("SDO CTA/APL AUTOMATICAS",C730)),0,IF(ISNUMBER(FIND("TEC DEPOSITO",C730)),0,IF(ISNUMBER(FIND("APL APLIC AUT MAIS",C730)),E730,IF(E730&gt;0,E730,0))))))</f>
        <v>0</v>
      </c>
      <c r="H730" s="66" t="n">
        <v>44013</v>
      </c>
    </row>
    <row r="731" customFormat="false" ht="13.8" hidden="false" customHeight="false" outlineLevel="0" collapsed="false">
      <c r="A731" s="59" t="s">
        <v>176</v>
      </c>
      <c r="B731" s="60" t="s">
        <v>563</v>
      </c>
      <c r="C731" s="61" t="s">
        <v>564</v>
      </c>
      <c r="D731" s="62" t="s">
        <v>61</v>
      </c>
      <c r="E731" s="67" t="n">
        <v>-61.44</v>
      </c>
      <c r="F731" s="64" t="n">
        <f aca="false">IF(ISNUMBER(FIND("SALDO ANTERIOR",C731)),0,IF(ISNUMBER(FIND("SALDO DO DIA",C731)),0,IF(ISNUMBER(FIND("SALDO PARCIAL",C731)),0,IF(ISNUMBER(FIND("SDO CTA/APL AUTOMATICAS",C731)),0,IF(ISNUMBER(FIND("APL APLIC AUT MAIS",C731)),0,IF(ISNUMBER(FIND("TEC DEPOSITO",C731)),0,IF(E731&gt;0,0,E731*(-1))))))))</f>
        <v>61.44</v>
      </c>
      <c r="G731" s="65" t="n">
        <f aca="false">IF(ISNUMBER(FIND("SALDO ANTERIOR",C731)),0,IF(ISNUMBER(FIND("SALDO DO DIA",C731)),0,IF(ISNUMBER(FIND("SDO CTA/APL AUTOMATICAS",C731)),0,IF(ISNUMBER(FIND("TEC DEPOSITO",C731)),0,IF(ISNUMBER(FIND("APL APLIC AUT MAIS",C731)),E731,IF(E731&gt;0,E731,0))))))</f>
        <v>0</v>
      </c>
      <c r="H731" s="66" t="n">
        <v>44013</v>
      </c>
    </row>
    <row r="732" customFormat="false" ht="15" hidden="false" customHeight="false" outlineLevel="0" collapsed="false">
      <c r="A732" s="59" t="s">
        <v>29</v>
      </c>
      <c r="B732" s="60" t="s">
        <v>563</v>
      </c>
      <c r="C732" s="71" t="s">
        <v>521</v>
      </c>
      <c r="D732" s="62"/>
      <c r="E732" s="94" t="n">
        <v>902.65</v>
      </c>
      <c r="F732" s="64" t="n">
        <f aca="false">IF(ISNUMBER(FIND("SALDO ANTERIOR",C732)),0,IF(ISNUMBER(FIND("SALDO DO DIA",C732)),0,IF(ISNUMBER(FIND("SALDO PARCIAL",C732)),0,IF(ISNUMBER(FIND("SDO CTA/APL AUTOMATICAS",C732)),0,IF(ISNUMBER(FIND("APL APLIC AUT MAIS",C732)),0,IF(ISNUMBER(FIND("TEC DEPOSITO",C732)),0,IF(E732&gt;0,0,E732*(-1))))))))</f>
        <v>0</v>
      </c>
      <c r="G732" s="65" t="n">
        <f aca="false">IF(ISNUMBER(FIND("SALDO ANTERIOR",C732)),0,IF(ISNUMBER(FIND("SALDO DO DIA",C732)),0,IF(ISNUMBER(FIND("SDO CTA/APL AUTOMATICAS",C732)),0,IF(ISNUMBER(FIND("TEC DEPOSITO",C732)),0,IF(ISNUMBER(FIND("APL APLIC AUT MAIS",C732)),E732,IF(E732&gt;0,E732,0))))))</f>
        <v>0</v>
      </c>
      <c r="H732" s="66" t="n">
        <v>44013</v>
      </c>
    </row>
    <row r="733" customFormat="false" ht="13.8" hidden="false" customHeight="false" outlineLevel="0" collapsed="false">
      <c r="A733" s="59" t="s">
        <v>71</v>
      </c>
      <c r="B733" s="60" t="s">
        <v>565</v>
      </c>
      <c r="C733" s="61" t="s">
        <v>85</v>
      </c>
      <c r="D733" s="62" t="s">
        <v>64</v>
      </c>
      <c r="E733" s="67" t="n">
        <v>-15.55</v>
      </c>
      <c r="F733" s="64" t="n">
        <f aca="false">IF(ISNUMBER(FIND("SALDO ANTERIOR",C733)),0,IF(ISNUMBER(FIND("SALDO DO DIA",C733)),0,IF(ISNUMBER(FIND("SALDO PARCIAL",C733)),0,IF(ISNUMBER(FIND("SDO CTA/APL AUTOMATICAS",C733)),0,IF(ISNUMBER(FIND("APL APLIC AUT MAIS",C733)),0,IF(ISNUMBER(FIND("TEC DEPOSITO",C733)),0,IF(E733&gt;0,0,E733*(-1))))))))</f>
        <v>15.55</v>
      </c>
      <c r="G733" s="65" t="n">
        <f aca="false">IF(ISNUMBER(FIND("SALDO ANTERIOR",C733)),0,IF(ISNUMBER(FIND("SALDO DO DIA",C733)),0,IF(ISNUMBER(FIND("SDO CTA/APL AUTOMATICAS",C733)),0,IF(ISNUMBER(FIND("TEC DEPOSITO",C733)),0,IF(ISNUMBER(FIND("APL APLIC AUT MAIS",C733)),E733,IF(E733&gt;0,E733,0))))))</f>
        <v>0</v>
      </c>
      <c r="H733" s="66" t="n">
        <v>44013</v>
      </c>
    </row>
    <row r="734" customFormat="false" ht="13.8" hidden="false" customHeight="false" outlineLevel="0" collapsed="false">
      <c r="A734" s="59" t="s">
        <v>98</v>
      </c>
      <c r="B734" s="60" t="s">
        <v>565</v>
      </c>
      <c r="C734" s="61" t="s">
        <v>180</v>
      </c>
      <c r="D734" s="62" t="s">
        <v>64</v>
      </c>
      <c r="E734" s="67" t="n">
        <v>-56.23</v>
      </c>
      <c r="F734" s="64" t="n">
        <f aca="false">IF(ISNUMBER(FIND("SALDO ANTERIOR",C734)),0,IF(ISNUMBER(FIND("SALDO DO DIA",C734)),0,IF(ISNUMBER(FIND("SALDO PARCIAL",C734)),0,IF(ISNUMBER(FIND("SDO CTA/APL AUTOMATICAS",C734)),0,IF(ISNUMBER(FIND("APL APLIC AUT MAIS",C734)),0,IF(ISNUMBER(FIND("TEC DEPOSITO",C734)),0,IF(E734&gt;0,0,E734*(-1))))))))</f>
        <v>56.23</v>
      </c>
      <c r="G734" s="65" t="n">
        <f aca="false">IF(ISNUMBER(FIND("SALDO ANTERIOR",C734)),0,IF(ISNUMBER(FIND("SALDO DO DIA",C734)),0,IF(ISNUMBER(FIND("SDO CTA/APL AUTOMATICAS",C734)),0,IF(ISNUMBER(FIND("TEC DEPOSITO",C734)),0,IF(ISNUMBER(FIND("APL APLIC AUT MAIS",C734)),E734,IF(E734&gt;0,E734,0))))))</f>
        <v>0</v>
      </c>
      <c r="H734" s="66" t="n">
        <v>44013</v>
      </c>
    </row>
    <row r="735" customFormat="false" ht="15" hidden="false" customHeight="false" outlineLevel="0" collapsed="false">
      <c r="A735" s="59" t="s">
        <v>29</v>
      </c>
      <c r="B735" s="60" t="s">
        <v>565</v>
      </c>
      <c r="C735" s="71" t="s">
        <v>521</v>
      </c>
      <c r="D735" s="62"/>
      <c r="E735" s="94" t="n">
        <v>830.87</v>
      </c>
      <c r="F735" s="64" t="n">
        <f aca="false">IF(ISNUMBER(FIND("SALDO ANTERIOR",C735)),0,IF(ISNUMBER(FIND("SALDO DO DIA",C735)),0,IF(ISNUMBER(FIND("SALDO PARCIAL",C735)),0,IF(ISNUMBER(FIND("SDO CTA/APL AUTOMATICAS",C735)),0,IF(ISNUMBER(FIND("APL APLIC AUT MAIS",C735)),0,IF(ISNUMBER(FIND("TEC DEPOSITO",C735)),0,IF(E735&gt;0,0,E735*(-1))))))))</f>
        <v>0</v>
      </c>
      <c r="G735" s="65" t="n">
        <f aca="false">IF(ISNUMBER(FIND("SALDO ANTERIOR",C735)),0,IF(ISNUMBER(FIND("SALDO DO DIA",C735)),0,IF(ISNUMBER(FIND("SDO CTA/APL AUTOMATICAS",C735)),0,IF(ISNUMBER(FIND("TEC DEPOSITO",C735)),0,IF(ISNUMBER(FIND("APL APLIC AUT MAIS",C735)),E735,IF(E735&gt;0,E735,0))))))</f>
        <v>0</v>
      </c>
      <c r="H735" s="66" t="n">
        <v>44013</v>
      </c>
    </row>
    <row r="736" customFormat="false" ht="13.8" hidden="false" customHeight="false" outlineLevel="0" collapsed="false">
      <c r="A736" s="59" t="s">
        <v>65</v>
      </c>
      <c r="B736" s="60" t="s">
        <v>566</v>
      </c>
      <c r="C736" s="61" t="s">
        <v>567</v>
      </c>
      <c r="D736" s="62" t="s">
        <v>64</v>
      </c>
      <c r="E736" s="67" t="n">
        <v>-22.37</v>
      </c>
      <c r="F736" s="64" t="n">
        <f aca="false">IF(ISNUMBER(FIND("SALDO ANTERIOR",C736)),0,IF(ISNUMBER(FIND("SALDO DO DIA",C736)),0,IF(ISNUMBER(FIND("SALDO PARCIAL",C736)),0,IF(ISNUMBER(FIND("SDO CTA/APL AUTOMATICAS",C736)),0,IF(ISNUMBER(FIND("APL APLIC AUT MAIS",C736)),0,IF(ISNUMBER(FIND("TEC DEPOSITO",C736)),0,IF(E736&gt;0,0,E736*(-1))))))))</f>
        <v>22.37</v>
      </c>
      <c r="G736" s="65" t="n">
        <f aca="false">IF(ISNUMBER(FIND("SALDO ANTERIOR",C736)),0,IF(ISNUMBER(FIND("SALDO DO DIA",C736)),0,IF(ISNUMBER(FIND("SDO CTA/APL AUTOMATICAS",C736)),0,IF(ISNUMBER(FIND("TEC DEPOSITO",C736)),0,IF(ISNUMBER(FIND("APL APLIC AUT MAIS",C736)),E736,IF(E736&gt;0,E736,0))))))</f>
        <v>0</v>
      </c>
      <c r="H736" s="66" t="n">
        <v>44013</v>
      </c>
    </row>
    <row r="737" customFormat="false" ht="13.8" hidden="false" customHeight="false" outlineLevel="0" collapsed="false">
      <c r="A737" s="59" t="s">
        <v>65</v>
      </c>
      <c r="B737" s="60" t="s">
        <v>566</v>
      </c>
      <c r="C737" s="61" t="s">
        <v>568</v>
      </c>
      <c r="D737" s="62" t="s">
        <v>64</v>
      </c>
      <c r="E737" s="67" t="n">
        <v>-3</v>
      </c>
      <c r="F737" s="64" t="n">
        <f aca="false">IF(ISNUMBER(FIND("SALDO ANTERIOR",C737)),0,IF(ISNUMBER(FIND("SALDO DO DIA",C737)),0,IF(ISNUMBER(FIND("SALDO PARCIAL",C737)),0,IF(ISNUMBER(FIND("SDO CTA/APL AUTOMATICAS",C737)),0,IF(ISNUMBER(FIND("APL APLIC AUT MAIS",C737)),0,IF(ISNUMBER(FIND("TEC DEPOSITO",C737)),0,IF(E737&gt;0,0,E737*(-1))))))))</f>
        <v>3</v>
      </c>
      <c r="G737" s="65" t="n">
        <f aca="false">IF(ISNUMBER(FIND("SALDO ANTERIOR",C737)),0,IF(ISNUMBER(FIND("SALDO DO DIA",C737)),0,IF(ISNUMBER(FIND("SDO CTA/APL AUTOMATICAS",C737)),0,IF(ISNUMBER(FIND("TEC DEPOSITO",C737)),0,IF(ISNUMBER(FIND("APL APLIC AUT MAIS",C737)),E737,IF(E737&gt;0,E737,0))))))</f>
        <v>0</v>
      </c>
      <c r="H737" s="66" t="n">
        <v>44013</v>
      </c>
    </row>
    <row r="738" customFormat="false" ht="13.8" hidden="false" customHeight="false" outlineLevel="0" collapsed="false">
      <c r="A738" s="59" t="s">
        <v>65</v>
      </c>
      <c r="B738" s="60" t="s">
        <v>566</v>
      </c>
      <c r="C738" s="61" t="s">
        <v>569</v>
      </c>
      <c r="D738" s="62" t="s">
        <v>64</v>
      </c>
      <c r="E738" s="67" t="n">
        <v>-14.42</v>
      </c>
      <c r="F738" s="64" t="n">
        <f aca="false">IF(ISNUMBER(FIND("SALDO ANTERIOR",C738)),0,IF(ISNUMBER(FIND("SALDO DO DIA",C738)),0,IF(ISNUMBER(FIND("SALDO PARCIAL",C738)),0,IF(ISNUMBER(FIND("SDO CTA/APL AUTOMATICAS",C738)),0,IF(ISNUMBER(FIND("APL APLIC AUT MAIS",C738)),0,IF(ISNUMBER(FIND("TEC DEPOSITO",C738)),0,IF(E738&gt;0,0,E738*(-1))))))))</f>
        <v>14.42</v>
      </c>
      <c r="G738" s="65" t="n">
        <f aca="false">IF(ISNUMBER(FIND("SALDO ANTERIOR",C738)),0,IF(ISNUMBER(FIND("SALDO DO DIA",C738)),0,IF(ISNUMBER(FIND("SDO CTA/APL AUTOMATICAS",C738)),0,IF(ISNUMBER(FIND("TEC DEPOSITO",C738)),0,IF(ISNUMBER(FIND("APL APLIC AUT MAIS",C738)),E738,IF(E738&gt;0,E738,0))))))</f>
        <v>0</v>
      </c>
      <c r="H738" s="66" t="n">
        <v>44013</v>
      </c>
    </row>
    <row r="739" customFormat="false" ht="13.8" hidden="false" customHeight="false" outlineLevel="0" collapsed="false">
      <c r="A739" s="59" t="s">
        <v>67</v>
      </c>
      <c r="B739" s="60" t="s">
        <v>566</v>
      </c>
      <c r="C739" s="61" t="s">
        <v>109</v>
      </c>
      <c r="D739" s="62" t="s">
        <v>82</v>
      </c>
      <c r="E739" s="67" t="n">
        <v>-6.61</v>
      </c>
      <c r="F739" s="64" t="n">
        <f aca="false">IF(ISNUMBER(FIND("SALDO ANTERIOR",C739)),0,IF(ISNUMBER(FIND("SALDO DO DIA",C739)),0,IF(ISNUMBER(FIND("SALDO PARCIAL",C739)),0,IF(ISNUMBER(FIND("SDO CTA/APL AUTOMATICAS",C739)),0,IF(ISNUMBER(FIND("APL APLIC AUT MAIS",C739)),0,IF(ISNUMBER(FIND("TEC DEPOSITO",C739)),0,IF(E739&gt;0,0,E739*(-1))))))))</f>
        <v>6.61</v>
      </c>
      <c r="G739" s="65" t="n">
        <f aca="false">IF(ISNUMBER(FIND("SALDO ANTERIOR",C739)),0,IF(ISNUMBER(FIND("SALDO DO DIA",C739)),0,IF(ISNUMBER(FIND("SDO CTA/APL AUTOMATICAS",C739)),0,IF(ISNUMBER(FIND("TEC DEPOSITO",C739)),0,IF(ISNUMBER(FIND("APL APLIC AUT MAIS",C739)),E739,IF(E739&gt;0,E739,0))))))</f>
        <v>0</v>
      </c>
      <c r="H739" s="66" t="n">
        <v>44013</v>
      </c>
    </row>
    <row r="740" customFormat="false" ht="13.8" hidden="false" customHeight="false" outlineLevel="0" collapsed="false">
      <c r="A740" s="59" t="s">
        <v>130</v>
      </c>
      <c r="B740" s="60" t="s">
        <v>566</v>
      </c>
      <c r="C740" s="61" t="s">
        <v>131</v>
      </c>
      <c r="D740" s="62" t="s">
        <v>82</v>
      </c>
      <c r="E740" s="67" t="n">
        <v>-75</v>
      </c>
      <c r="F740" s="64" t="n">
        <f aca="false">IF(ISNUMBER(FIND("SALDO ANTERIOR",C740)),0,IF(ISNUMBER(FIND("SALDO DO DIA",C740)),0,IF(ISNUMBER(FIND("SALDO PARCIAL",C740)),0,IF(ISNUMBER(FIND("SDO CTA/APL AUTOMATICAS",C740)),0,IF(ISNUMBER(FIND("APL APLIC AUT MAIS",C740)),0,IF(ISNUMBER(FIND("TEC DEPOSITO",C740)),0,IF(E740&gt;0,0,E740*(-1))))))))</f>
        <v>75</v>
      </c>
      <c r="G740" s="65" t="n">
        <f aca="false">IF(ISNUMBER(FIND("SALDO ANTERIOR",C740)),0,IF(ISNUMBER(FIND("SALDO DO DIA",C740)),0,IF(ISNUMBER(FIND("SDO CTA/APL AUTOMATICAS",C740)),0,IF(ISNUMBER(FIND("TEC DEPOSITO",C740)),0,IF(ISNUMBER(FIND("APL APLIC AUT MAIS",C740)),E740,IF(E740&gt;0,E740,0))))))</f>
        <v>0</v>
      </c>
      <c r="H740" s="66" t="n">
        <v>44013</v>
      </c>
    </row>
    <row r="741" customFormat="false" ht="15" hidden="false" customHeight="false" outlineLevel="0" collapsed="false">
      <c r="A741" s="59" t="s">
        <v>29</v>
      </c>
      <c r="B741" s="60" t="s">
        <v>566</v>
      </c>
      <c r="C741" s="71" t="s">
        <v>521</v>
      </c>
      <c r="D741" s="62"/>
      <c r="E741" s="94" t="n">
        <v>709.47</v>
      </c>
      <c r="F741" s="64" t="n">
        <f aca="false">IF(ISNUMBER(FIND("SALDO ANTERIOR",C741)),0,IF(ISNUMBER(FIND("SALDO DO DIA",C741)),0,IF(ISNUMBER(FIND("SALDO PARCIAL",C741)),0,IF(ISNUMBER(FIND("SDO CTA/APL AUTOMATICAS",C741)),0,IF(ISNUMBER(FIND("APL APLIC AUT MAIS",C741)),0,IF(ISNUMBER(FIND("TEC DEPOSITO",C741)),0,IF(E741&gt;0,0,E741*(-1))))))))</f>
        <v>0</v>
      </c>
      <c r="G741" s="65" t="n">
        <f aca="false">IF(ISNUMBER(FIND("SALDO ANTERIOR",C741)),0,IF(ISNUMBER(FIND("SALDO DO DIA",C741)),0,IF(ISNUMBER(FIND("SDO CTA/APL AUTOMATICAS",C741)),0,IF(ISNUMBER(FIND("TEC DEPOSITO",C741)),0,IF(ISNUMBER(FIND("APL APLIC AUT MAIS",C741)),E741,IF(E741&gt;0,E741,0))))))</f>
        <v>0</v>
      </c>
      <c r="H741" s="66" t="n">
        <v>44013</v>
      </c>
    </row>
    <row r="742" customFormat="false" ht="13.8" hidden="false" customHeight="false" outlineLevel="0" collapsed="false">
      <c r="A742" s="59" t="s">
        <v>203</v>
      </c>
      <c r="B742" s="60" t="s">
        <v>570</v>
      </c>
      <c r="C742" s="61" t="s">
        <v>571</v>
      </c>
      <c r="D742" s="62" t="s">
        <v>478</v>
      </c>
      <c r="E742" s="67" t="n">
        <v>-50</v>
      </c>
      <c r="F742" s="64" t="n">
        <f aca="false">IF(ISNUMBER(FIND("SALDO ANTERIOR",C742)),0,IF(ISNUMBER(FIND("SALDO DO DIA",C742)),0,IF(ISNUMBER(FIND("SALDO PARCIAL",C742)),0,IF(ISNUMBER(FIND("SDO CTA/APL AUTOMATICAS",C742)),0,IF(ISNUMBER(FIND("APL APLIC AUT MAIS",C742)),0,IF(ISNUMBER(FIND("TEC DEPOSITO",C742)),0,IF(E742&gt;0,0,E742*(-1))))))))</f>
        <v>50</v>
      </c>
      <c r="G742" s="65" t="n">
        <f aca="false">IF(ISNUMBER(FIND("SALDO ANTERIOR",C742)),0,IF(ISNUMBER(FIND("SALDO DO DIA",C742)),0,IF(ISNUMBER(FIND("SDO CTA/APL AUTOMATICAS",C742)),0,IF(ISNUMBER(FIND("TEC DEPOSITO",C742)),0,IF(ISNUMBER(FIND("APL APLIC AUT MAIS",C742)),E742,IF(E742&gt;0,E742,0))))))</f>
        <v>0</v>
      </c>
      <c r="H742" s="66" t="n">
        <v>44013</v>
      </c>
    </row>
    <row r="743" customFormat="false" ht="13.8" hidden="false" customHeight="false" outlineLevel="0" collapsed="false">
      <c r="A743" s="59" t="s">
        <v>176</v>
      </c>
      <c r="B743" s="60" t="s">
        <v>570</v>
      </c>
      <c r="C743" s="61" t="s">
        <v>572</v>
      </c>
      <c r="D743" s="62" t="s">
        <v>61</v>
      </c>
      <c r="E743" s="67" t="n">
        <v>-92.16</v>
      </c>
      <c r="F743" s="64" t="n">
        <f aca="false">IF(ISNUMBER(FIND("SALDO ANTERIOR",C743)),0,IF(ISNUMBER(FIND("SALDO DO DIA",C743)),0,IF(ISNUMBER(FIND("SALDO PARCIAL",C743)),0,IF(ISNUMBER(FIND("SDO CTA/APL AUTOMATICAS",C743)),0,IF(ISNUMBER(FIND("APL APLIC AUT MAIS",C743)),0,IF(ISNUMBER(FIND("TEC DEPOSITO",C743)),0,IF(E743&gt;0,0,E743*(-1))))))))</f>
        <v>92.16</v>
      </c>
      <c r="G743" s="65" t="n">
        <f aca="false">IF(ISNUMBER(FIND("SALDO ANTERIOR",C743)),0,IF(ISNUMBER(FIND("SALDO DO DIA",C743)),0,IF(ISNUMBER(FIND("SDO CTA/APL AUTOMATICAS",C743)),0,IF(ISNUMBER(FIND("TEC DEPOSITO",C743)),0,IF(ISNUMBER(FIND("APL APLIC AUT MAIS",C743)),E743,IF(E743&gt;0,E743,0))))))</f>
        <v>0</v>
      </c>
      <c r="H743" s="66" t="n">
        <v>44013</v>
      </c>
    </row>
    <row r="744" customFormat="false" ht="13.8" hidden="false" customHeight="false" outlineLevel="0" collapsed="false">
      <c r="A744" s="59" t="s">
        <v>65</v>
      </c>
      <c r="B744" s="60" t="s">
        <v>570</v>
      </c>
      <c r="C744" s="61" t="s">
        <v>573</v>
      </c>
      <c r="D744" s="62" t="s">
        <v>64</v>
      </c>
      <c r="E744" s="67" t="n">
        <v>-93.17</v>
      </c>
      <c r="F744" s="64" t="n">
        <f aca="false">IF(ISNUMBER(FIND("SALDO ANTERIOR",C744)),0,IF(ISNUMBER(FIND("SALDO DO DIA",C744)),0,IF(ISNUMBER(FIND("SALDO PARCIAL",C744)),0,IF(ISNUMBER(FIND("SDO CTA/APL AUTOMATICAS",C744)),0,IF(ISNUMBER(FIND("APL APLIC AUT MAIS",C744)),0,IF(ISNUMBER(FIND("TEC DEPOSITO",C744)),0,IF(E744&gt;0,0,E744*(-1))))))))</f>
        <v>93.17</v>
      </c>
      <c r="G744" s="65" t="n">
        <f aca="false">IF(ISNUMBER(FIND("SALDO ANTERIOR",C744)),0,IF(ISNUMBER(FIND("SALDO DO DIA",C744)),0,IF(ISNUMBER(FIND("SDO CTA/APL AUTOMATICAS",C744)),0,IF(ISNUMBER(FIND("TEC DEPOSITO",C744)),0,IF(ISNUMBER(FIND("APL APLIC AUT MAIS",C744)),E744,IF(E744&gt;0,E744,0))))))</f>
        <v>0</v>
      </c>
      <c r="H744" s="66" t="n">
        <v>44013</v>
      </c>
    </row>
    <row r="745" customFormat="false" ht="13.8" hidden="false" customHeight="false" outlineLevel="0" collapsed="false">
      <c r="A745" s="59" t="s">
        <v>65</v>
      </c>
      <c r="B745" s="60" t="s">
        <v>570</v>
      </c>
      <c r="C745" s="61" t="s">
        <v>491</v>
      </c>
      <c r="D745" s="62" t="s">
        <v>64</v>
      </c>
      <c r="E745" s="67" t="n">
        <v>-27</v>
      </c>
      <c r="F745" s="64" t="n">
        <f aca="false">IF(ISNUMBER(FIND("SALDO ANTERIOR",C745)),0,IF(ISNUMBER(FIND("SALDO DO DIA",C745)),0,IF(ISNUMBER(FIND("SALDO PARCIAL",C745)),0,IF(ISNUMBER(FIND("SDO CTA/APL AUTOMATICAS",C745)),0,IF(ISNUMBER(FIND("APL APLIC AUT MAIS",C745)),0,IF(ISNUMBER(FIND("TEC DEPOSITO",C745)),0,IF(E745&gt;0,0,E745*(-1))))))))</f>
        <v>27</v>
      </c>
      <c r="G745" s="65" t="n">
        <f aca="false">IF(ISNUMBER(FIND("SALDO ANTERIOR",C745)),0,IF(ISNUMBER(FIND("SALDO DO DIA",C745)),0,IF(ISNUMBER(FIND("SDO CTA/APL AUTOMATICAS",C745)),0,IF(ISNUMBER(FIND("TEC DEPOSITO",C745)),0,IF(ISNUMBER(FIND("APL APLIC AUT MAIS",C745)),E745,IF(E745&gt;0,E745,0))))))</f>
        <v>0</v>
      </c>
      <c r="H745" s="66" t="n">
        <v>44013</v>
      </c>
    </row>
    <row r="746" customFormat="false" ht="13.8" hidden="false" customHeight="false" outlineLevel="0" collapsed="false">
      <c r="A746" s="59" t="s">
        <v>65</v>
      </c>
      <c r="B746" s="60" t="s">
        <v>570</v>
      </c>
      <c r="C746" s="61" t="s">
        <v>574</v>
      </c>
      <c r="D746" s="62" t="s">
        <v>64</v>
      </c>
      <c r="E746" s="67" t="n">
        <v>-22</v>
      </c>
      <c r="F746" s="64" t="n">
        <f aca="false">IF(ISNUMBER(FIND("SALDO ANTERIOR",C746)),0,IF(ISNUMBER(FIND("SALDO DO DIA",C746)),0,IF(ISNUMBER(FIND("SALDO PARCIAL",C746)),0,IF(ISNUMBER(FIND("SDO CTA/APL AUTOMATICAS",C746)),0,IF(ISNUMBER(FIND("APL APLIC AUT MAIS",C746)),0,IF(ISNUMBER(FIND("TEC DEPOSITO",C746)),0,IF(E746&gt;0,0,E746*(-1))))))))</f>
        <v>22</v>
      </c>
      <c r="G746" s="65" t="n">
        <f aca="false">IF(ISNUMBER(FIND("SALDO ANTERIOR",C746)),0,IF(ISNUMBER(FIND("SALDO DO DIA",C746)),0,IF(ISNUMBER(FIND("SDO CTA/APL AUTOMATICAS",C746)),0,IF(ISNUMBER(FIND("TEC DEPOSITO",C746)),0,IF(ISNUMBER(FIND("APL APLIC AUT MAIS",C746)),E746,IF(E746&gt;0,E746,0))))))</f>
        <v>0</v>
      </c>
      <c r="H746" s="66" t="n">
        <v>44013</v>
      </c>
    </row>
    <row r="747" customFormat="false" ht="13.8" hidden="false" customHeight="false" outlineLevel="0" collapsed="false">
      <c r="A747" s="59" t="s">
        <v>65</v>
      </c>
      <c r="B747" s="60" t="s">
        <v>570</v>
      </c>
      <c r="C747" s="61" t="s">
        <v>560</v>
      </c>
      <c r="D747" s="62" t="s">
        <v>64</v>
      </c>
      <c r="E747" s="67" t="n">
        <v>-20</v>
      </c>
      <c r="F747" s="64" t="n">
        <f aca="false">IF(ISNUMBER(FIND("SALDO ANTERIOR",C747)),0,IF(ISNUMBER(FIND("SALDO DO DIA",C747)),0,IF(ISNUMBER(FIND("SALDO PARCIAL",C747)),0,IF(ISNUMBER(FIND("SDO CTA/APL AUTOMATICAS",C747)),0,IF(ISNUMBER(FIND("APL APLIC AUT MAIS",C747)),0,IF(ISNUMBER(FIND("TEC DEPOSITO",C747)),0,IF(E747&gt;0,0,E747*(-1))))))))</f>
        <v>20</v>
      </c>
      <c r="G747" s="65" t="n">
        <f aca="false">IF(ISNUMBER(FIND("SALDO ANTERIOR",C747)),0,IF(ISNUMBER(FIND("SALDO DO DIA",C747)),0,IF(ISNUMBER(FIND("SDO CTA/APL AUTOMATICAS",C747)),0,IF(ISNUMBER(FIND("TEC DEPOSITO",C747)),0,IF(ISNUMBER(FIND("APL APLIC AUT MAIS",C747)),E747,IF(E747&gt;0,E747,0))))))</f>
        <v>0</v>
      </c>
      <c r="H747" s="66" t="n">
        <v>44013</v>
      </c>
    </row>
    <row r="748" customFormat="false" ht="13.8" hidden="false" customHeight="false" outlineLevel="0" collapsed="false">
      <c r="A748" s="59" t="s">
        <v>98</v>
      </c>
      <c r="B748" s="60" t="s">
        <v>570</v>
      </c>
      <c r="C748" s="61" t="s">
        <v>99</v>
      </c>
      <c r="D748" s="62" t="s">
        <v>64</v>
      </c>
      <c r="E748" s="67" t="n">
        <v>-189.39</v>
      </c>
      <c r="F748" s="64" t="n">
        <f aca="false">IF(ISNUMBER(FIND("SALDO ANTERIOR",C748)),0,IF(ISNUMBER(FIND("SALDO DO DIA",C748)),0,IF(ISNUMBER(FIND("SALDO PARCIAL",C748)),0,IF(ISNUMBER(FIND("SDO CTA/APL AUTOMATICAS",C748)),0,IF(ISNUMBER(FIND("APL APLIC AUT MAIS",C748)),0,IF(ISNUMBER(FIND("TEC DEPOSITO",C748)),0,IF(E748&gt;0,0,E748*(-1))))))))</f>
        <v>189.39</v>
      </c>
      <c r="G748" s="65" t="n">
        <f aca="false">IF(ISNUMBER(FIND("SALDO ANTERIOR",C748)),0,IF(ISNUMBER(FIND("SALDO DO DIA",C748)),0,IF(ISNUMBER(FIND("SDO CTA/APL AUTOMATICAS",C748)),0,IF(ISNUMBER(FIND("TEC DEPOSITO",C748)),0,IF(ISNUMBER(FIND("APL APLIC AUT MAIS",C748)),E748,IF(E748&gt;0,E748,0))))))</f>
        <v>0</v>
      </c>
      <c r="H748" s="66" t="n">
        <v>44013</v>
      </c>
    </row>
    <row r="749" customFormat="false" ht="13.8" hidden="false" customHeight="false" outlineLevel="0" collapsed="false">
      <c r="A749" s="59" t="s">
        <v>98</v>
      </c>
      <c r="B749" s="60" t="s">
        <v>570</v>
      </c>
      <c r="C749" s="61" t="s">
        <v>180</v>
      </c>
      <c r="D749" s="62" t="s">
        <v>64</v>
      </c>
      <c r="E749" s="67" t="n">
        <v>-54.26</v>
      </c>
      <c r="F749" s="64" t="n">
        <f aca="false">IF(ISNUMBER(FIND("SALDO ANTERIOR",C749)),0,IF(ISNUMBER(FIND("SALDO DO DIA",C749)),0,IF(ISNUMBER(FIND("SALDO PARCIAL",C749)),0,IF(ISNUMBER(FIND("SDO CTA/APL AUTOMATICAS",C749)),0,IF(ISNUMBER(FIND("APL APLIC AUT MAIS",C749)),0,IF(ISNUMBER(FIND("TEC DEPOSITO",C749)),0,IF(E749&gt;0,0,E749*(-1))))))))</f>
        <v>54.26</v>
      </c>
      <c r="G749" s="65" t="n">
        <f aca="false">IF(ISNUMBER(FIND("SALDO ANTERIOR",C749)),0,IF(ISNUMBER(FIND("SALDO DO DIA",C749)),0,IF(ISNUMBER(FIND("SDO CTA/APL AUTOMATICAS",C749)),0,IF(ISNUMBER(FIND("TEC DEPOSITO",C749)),0,IF(ISNUMBER(FIND("APL APLIC AUT MAIS",C749)),E749,IF(E749&gt;0,E749,0))))))</f>
        <v>0</v>
      </c>
      <c r="H749" s="66" t="n">
        <v>44013</v>
      </c>
    </row>
    <row r="750" customFormat="false" ht="13.8" hidden="false" customHeight="false" outlineLevel="0" collapsed="false">
      <c r="A750" s="59" t="s">
        <v>575</v>
      </c>
      <c r="B750" s="60" t="s">
        <v>570</v>
      </c>
      <c r="C750" s="61" t="s">
        <v>576</v>
      </c>
      <c r="D750" s="62" t="s">
        <v>61</v>
      </c>
      <c r="E750" s="67" t="n">
        <v>-25.25</v>
      </c>
      <c r="F750" s="64" t="n">
        <f aca="false">IF(ISNUMBER(FIND("SALDO ANTERIOR",C750)),0,IF(ISNUMBER(FIND("SALDO DO DIA",C750)),0,IF(ISNUMBER(FIND("SALDO PARCIAL",C750)),0,IF(ISNUMBER(FIND("SDO CTA/APL AUTOMATICAS",C750)),0,IF(ISNUMBER(FIND("APL APLIC AUT MAIS",C750)),0,IF(ISNUMBER(FIND("TEC DEPOSITO",C750)),0,IF(E750&gt;0,0,E750*(-1))))))))</f>
        <v>25.25</v>
      </c>
      <c r="G750" s="65" t="n">
        <f aca="false">IF(ISNUMBER(FIND("SALDO ANTERIOR",C750)),0,IF(ISNUMBER(FIND("SALDO DO DIA",C750)),0,IF(ISNUMBER(FIND("SDO CTA/APL AUTOMATICAS",C750)),0,IF(ISNUMBER(FIND("TEC DEPOSITO",C750)),0,IF(ISNUMBER(FIND("APL APLIC AUT MAIS",C750)),E750,IF(E750&gt;0,E750,0))))))</f>
        <v>0</v>
      </c>
      <c r="H750" s="66" t="n">
        <v>44013</v>
      </c>
    </row>
    <row r="751" customFormat="false" ht="15" hidden="false" customHeight="false" outlineLevel="0" collapsed="false">
      <c r="A751" s="59" t="s">
        <v>29</v>
      </c>
      <c r="B751" s="60" t="s">
        <v>570</v>
      </c>
      <c r="C751" s="71" t="s">
        <v>521</v>
      </c>
      <c r="D751" s="62"/>
      <c r="E751" s="94" t="n">
        <v>136.24</v>
      </c>
      <c r="F751" s="64" t="n">
        <f aca="false">IF(ISNUMBER(FIND("SALDO ANTERIOR",C751)),0,IF(ISNUMBER(FIND("SALDO DO DIA",C751)),0,IF(ISNUMBER(FIND("SALDO PARCIAL",C751)),0,IF(ISNUMBER(FIND("SDO CTA/APL AUTOMATICAS",C751)),0,IF(ISNUMBER(FIND("APL APLIC AUT MAIS",C751)),0,IF(ISNUMBER(FIND("TEC DEPOSITO",C751)),0,IF(E751&gt;0,0,E751*(-1))))))))</f>
        <v>0</v>
      </c>
      <c r="G751" s="65" t="n">
        <f aca="false">IF(ISNUMBER(FIND("SALDO ANTERIOR",C751)),0,IF(ISNUMBER(FIND("SALDO DO DIA",C751)),0,IF(ISNUMBER(FIND("SDO CTA/APL AUTOMATICAS",C751)),0,IF(ISNUMBER(FIND("TEC DEPOSITO",C751)),0,IF(ISNUMBER(FIND("APL APLIC AUT MAIS",C751)),E751,IF(E751&gt;0,E751,0))))))</f>
        <v>0</v>
      </c>
      <c r="H751" s="66" t="n">
        <v>44013</v>
      </c>
    </row>
    <row r="752" customFormat="false" ht="13.8" hidden="false" customHeight="false" outlineLevel="0" collapsed="false">
      <c r="A752" s="59" t="s">
        <v>577</v>
      </c>
      <c r="B752" s="60" t="s">
        <v>578</v>
      </c>
      <c r="C752" s="61" t="s">
        <v>579</v>
      </c>
      <c r="D752" s="62" t="s">
        <v>580</v>
      </c>
      <c r="E752" s="67" t="n">
        <v>-50</v>
      </c>
      <c r="F752" s="64" t="n">
        <f aca="false">IF(ISNUMBER(FIND("SALDO ANTERIOR",C752)),0,IF(ISNUMBER(FIND("SALDO DO DIA",C752)),0,IF(ISNUMBER(FIND("SALDO PARCIAL",C752)),0,IF(ISNUMBER(FIND("SDO CTA/APL AUTOMATICAS",C752)),0,IF(ISNUMBER(FIND("APL APLIC AUT MAIS",C752)),0,IF(ISNUMBER(FIND("TEC DEPOSITO",C752)),0,IF(E752&gt;0,0,E752*(-1))))))))</f>
        <v>50</v>
      </c>
      <c r="G752" s="65" t="n">
        <f aca="false">IF(ISNUMBER(FIND("SALDO ANTERIOR",C752)),0,IF(ISNUMBER(FIND("SALDO DO DIA",C752)),0,IF(ISNUMBER(FIND("SDO CTA/APL AUTOMATICAS",C752)),0,IF(ISNUMBER(FIND("TEC DEPOSITO",C752)),0,IF(ISNUMBER(FIND("APL APLIC AUT MAIS",C752)),E752,IF(E752&gt;0,E752,0))))))</f>
        <v>0</v>
      </c>
      <c r="H752" s="66" t="n">
        <v>44013</v>
      </c>
    </row>
    <row r="753" customFormat="false" ht="13.8" hidden="false" customHeight="false" outlineLevel="0" collapsed="false">
      <c r="A753" s="59" t="s">
        <v>98</v>
      </c>
      <c r="B753" s="60" t="s">
        <v>578</v>
      </c>
      <c r="C753" s="61" t="s">
        <v>99</v>
      </c>
      <c r="D753" s="62" t="s">
        <v>64</v>
      </c>
      <c r="E753" s="67" t="n">
        <v>-251.16</v>
      </c>
      <c r="F753" s="64" t="n">
        <f aca="false">IF(ISNUMBER(FIND("SALDO ANTERIOR",C753)),0,IF(ISNUMBER(FIND("SALDO DO DIA",C753)),0,IF(ISNUMBER(FIND("SALDO PARCIAL",C753)),0,IF(ISNUMBER(FIND("SDO CTA/APL AUTOMATICAS",C753)),0,IF(ISNUMBER(FIND("APL APLIC AUT MAIS",C753)),0,IF(ISNUMBER(FIND("TEC DEPOSITO",C753)),0,IF(E753&gt;0,0,E753*(-1))))))))</f>
        <v>251.16</v>
      </c>
      <c r="G753" s="65" t="n">
        <f aca="false">IF(ISNUMBER(FIND("SALDO ANTERIOR",C753)),0,IF(ISNUMBER(FIND("SALDO DO DIA",C753)),0,IF(ISNUMBER(FIND("SDO CTA/APL AUTOMATICAS",C753)),0,IF(ISNUMBER(FIND("TEC DEPOSITO",C753)),0,IF(ISNUMBER(FIND("APL APLIC AUT MAIS",C753)),E753,IF(E753&gt;0,E753,0))))))</f>
        <v>0</v>
      </c>
      <c r="H753" s="66" t="n">
        <v>44013</v>
      </c>
    </row>
    <row r="754" customFormat="false" ht="15" hidden="false" customHeight="false" outlineLevel="0" collapsed="false">
      <c r="A754" s="59" t="s">
        <v>29</v>
      </c>
      <c r="B754" s="60" t="s">
        <v>578</v>
      </c>
      <c r="C754" s="71" t="s">
        <v>494</v>
      </c>
      <c r="D754" s="62"/>
      <c r="E754" s="72" t="n">
        <v>-164.92</v>
      </c>
      <c r="F754" s="64" t="n">
        <f aca="false">IF(ISNUMBER(FIND("SALDO ANTERIOR",C754)),0,IF(ISNUMBER(FIND("SALDO DO DIA",C754)),0,IF(ISNUMBER(FIND("SALDO PARCIAL",C754)),0,IF(ISNUMBER(FIND("SDO CTA/APL AUTOMATICAS",C754)),0,IF(ISNUMBER(FIND("APL APLIC AUT MAIS",C754)),0,IF(ISNUMBER(FIND("TEC DEPOSITO",C754)),0,IF(E754&gt;0,0,E754*(-1))))))))</f>
        <v>0</v>
      </c>
      <c r="G754" s="65" t="n">
        <f aca="false">IF(ISNUMBER(FIND("SALDO ANTERIOR",C754)),0,IF(ISNUMBER(FIND("SALDO DO DIA",C754)),0,IF(ISNUMBER(FIND("SDO CTA/APL AUTOMATICAS",C754)),0,IF(ISNUMBER(FIND("TEC DEPOSITO",C754)),0,IF(ISNUMBER(FIND("APL APLIC AUT MAIS",C754)),E754,IF(E754&gt;0,E754,0))))))</f>
        <v>0</v>
      </c>
      <c r="H754" s="66" t="n">
        <v>44013</v>
      </c>
    </row>
    <row r="755" customFormat="false" ht="13.8" hidden="false" customHeight="false" outlineLevel="0" collapsed="false">
      <c r="A755" s="59" t="s">
        <v>532</v>
      </c>
      <c r="B755" s="60" t="s">
        <v>581</v>
      </c>
      <c r="C755" s="61" t="s">
        <v>533</v>
      </c>
      <c r="D755" s="62" t="s">
        <v>64</v>
      </c>
      <c r="E755" s="67" t="n">
        <v>-10</v>
      </c>
      <c r="F755" s="64" t="n">
        <f aca="false">IF(ISNUMBER(FIND("SALDO ANTERIOR",C755)),0,IF(ISNUMBER(FIND("SALDO DO DIA",C755)),0,IF(ISNUMBER(FIND("SALDO PARCIAL",C755)),0,IF(ISNUMBER(FIND("SDO CTA/APL AUTOMATICAS",C755)),0,IF(ISNUMBER(FIND("APL APLIC AUT MAIS",C755)),0,IF(ISNUMBER(FIND("TEC DEPOSITO",C755)),0,IF(E755&gt;0,0,E755*(-1))))))))</f>
        <v>10</v>
      </c>
      <c r="G755" s="65" t="n">
        <f aca="false">IF(ISNUMBER(FIND("SALDO ANTERIOR",C755)),0,IF(ISNUMBER(FIND("SALDO DO DIA",C755)),0,IF(ISNUMBER(FIND("SDO CTA/APL AUTOMATICAS",C755)),0,IF(ISNUMBER(FIND("TEC DEPOSITO",C755)),0,IF(ISNUMBER(FIND("APL APLIC AUT MAIS",C755)),E755,IF(E755&gt;0,E755,0))))))</f>
        <v>0</v>
      </c>
      <c r="H755" s="66" t="n">
        <v>44013</v>
      </c>
    </row>
    <row r="756" customFormat="false" ht="13.8" hidden="false" customHeight="false" outlineLevel="0" collapsed="false">
      <c r="A756" s="59" t="s">
        <v>122</v>
      </c>
      <c r="B756" s="60" t="s">
        <v>581</v>
      </c>
      <c r="C756" s="61" t="s">
        <v>123</v>
      </c>
      <c r="D756" s="62" t="s">
        <v>61</v>
      </c>
      <c r="E756" s="67" t="n">
        <v>-3009.75</v>
      </c>
      <c r="F756" s="64" t="n">
        <f aca="false">IF(ISNUMBER(FIND("SALDO ANTERIOR",C756)),0,IF(ISNUMBER(FIND("SALDO DO DIA",C756)),0,IF(ISNUMBER(FIND("SALDO PARCIAL",C756)),0,IF(ISNUMBER(FIND("SDO CTA/APL AUTOMATICAS",C756)),0,IF(ISNUMBER(FIND("APL APLIC AUT MAIS",C756)),0,IF(ISNUMBER(FIND("TEC DEPOSITO",C756)),0,IF(E756&gt;0,0,E756*(-1))))))))</f>
        <v>3009.75</v>
      </c>
      <c r="G756" s="65" t="n">
        <f aca="false">IF(ISNUMBER(FIND("SALDO ANTERIOR",C756)),0,IF(ISNUMBER(FIND("SALDO DO DIA",C756)),0,IF(ISNUMBER(FIND("SDO CTA/APL AUTOMATICAS",C756)),0,IF(ISNUMBER(FIND("TEC DEPOSITO",C756)),0,IF(ISNUMBER(FIND("APL APLIC AUT MAIS",C756)),E756,IF(E756&gt;0,E756,0))))))</f>
        <v>0</v>
      </c>
      <c r="H756" s="66" t="n">
        <v>44013</v>
      </c>
    </row>
    <row r="757" customFormat="false" ht="13.8" hidden="false" customHeight="false" outlineLevel="0" collapsed="false">
      <c r="A757" s="59" t="s">
        <v>577</v>
      </c>
      <c r="B757" s="60" t="s">
        <v>581</v>
      </c>
      <c r="C757" s="61" t="s">
        <v>579</v>
      </c>
      <c r="D757" s="62" t="s">
        <v>582</v>
      </c>
      <c r="E757" s="63" t="n">
        <v>50</v>
      </c>
      <c r="F757" s="64" t="n">
        <f aca="false">IF(ISNUMBER(FIND("SALDO ANTERIOR",C757)),0,IF(ISNUMBER(FIND("SALDO DO DIA",C757)),0,IF(ISNUMBER(FIND("SALDO PARCIAL",C757)),0,IF(ISNUMBER(FIND("SDO CTA/APL AUTOMATICAS",C757)),0,IF(ISNUMBER(FIND("APL APLIC AUT MAIS",C757)),0,IF(ISNUMBER(FIND("TEC DEPOSITO",C757)),0,IF(E757&gt;0,0,E757*(-1))))))))</f>
        <v>0</v>
      </c>
      <c r="G757" s="65" t="n">
        <f aca="false">IF(ISNUMBER(FIND("SALDO ANTERIOR",C757)),0,IF(ISNUMBER(FIND("SALDO DO DIA",C757)),0,IF(ISNUMBER(FIND("SDO CTA/APL AUTOMATICAS",C757)),0,IF(ISNUMBER(FIND("TEC DEPOSITO",C757)),0,IF(ISNUMBER(FIND("APL APLIC AUT MAIS",C757)),E757,IF(E757&gt;0,E757,0))))))</f>
        <v>50</v>
      </c>
      <c r="H757" s="66" t="n">
        <v>44013</v>
      </c>
    </row>
    <row r="758" customFormat="false" ht="13.8" hidden="false" customHeight="false" outlineLevel="0" collapsed="false">
      <c r="A758" s="59" t="s">
        <v>127</v>
      </c>
      <c r="B758" s="60" t="s">
        <v>581</v>
      </c>
      <c r="C758" s="61" t="s">
        <v>128</v>
      </c>
      <c r="D758" s="62"/>
      <c r="E758" s="63" t="n">
        <v>4390</v>
      </c>
      <c r="F758" s="64" t="n">
        <f aca="false">IF(ISNUMBER(FIND("SALDO ANTERIOR",C758)),0,IF(ISNUMBER(FIND("SALDO DO DIA",C758)),0,IF(ISNUMBER(FIND("SALDO PARCIAL",C758)),0,IF(ISNUMBER(FIND("SDO CTA/APL AUTOMATICAS",C758)),0,IF(ISNUMBER(FIND("APL APLIC AUT MAIS",C758)),0,IF(ISNUMBER(FIND("TEC DEPOSITO",C758)),0,IF(E758&gt;0,0,E758*(-1))))))))</f>
        <v>0</v>
      </c>
      <c r="G758" s="65" t="n">
        <f aca="false">IF(ISNUMBER(FIND("SALDO ANTERIOR",C758)),0,IF(ISNUMBER(FIND("SALDO DO DIA",C758)),0,IF(ISNUMBER(FIND("SDO CTA/APL AUTOMATICAS",C758)),0,IF(ISNUMBER(FIND("TEC DEPOSITO",C758)),0,IF(ISNUMBER(FIND("APL APLIC AUT MAIS",C758)),E758,IF(E758&gt;0,E758,0))))))</f>
        <v>4390</v>
      </c>
      <c r="H758" s="66" t="n">
        <v>44013</v>
      </c>
    </row>
    <row r="759" customFormat="false" ht="15" hidden="false" customHeight="false" outlineLevel="0" collapsed="false">
      <c r="A759" s="59" t="s">
        <v>29</v>
      </c>
      <c r="B759" s="60" t="s">
        <v>581</v>
      </c>
      <c r="C759" s="71" t="s">
        <v>521</v>
      </c>
      <c r="D759" s="62"/>
      <c r="E759" s="94" t="n">
        <v>1255.33</v>
      </c>
      <c r="F759" s="64" t="n">
        <f aca="false">IF(ISNUMBER(FIND("SALDO ANTERIOR",C759)),0,IF(ISNUMBER(FIND("SALDO DO DIA",C759)),0,IF(ISNUMBER(FIND("SALDO PARCIAL",C759)),0,IF(ISNUMBER(FIND("SDO CTA/APL AUTOMATICAS",C759)),0,IF(ISNUMBER(FIND("APL APLIC AUT MAIS",C759)),0,IF(ISNUMBER(FIND("TEC DEPOSITO",C759)),0,IF(E759&gt;0,0,E759*(-1))))))))</f>
        <v>0</v>
      </c>
      <c r="G759" s="65" t="n">
        <f aca="false">IF(ISNUMBER(FIND("SALDO ANTERIOR",C759)),0,IF(ISNUMBER(FIND("SALDO DO DIA",C759)),0,IF(ISNUMBER(FIND("SDO CTA/APL AUTOMATICAS",C759)),0,IF(ISNUMBER(FIND("TEC DEPOSITO",C759)),0,IF(ISNUMBER(FIND("APL APLIC AUT MAIS",C759)),E759,IF(E759&gt;0,E759,0))))))</f>
        <v>0</v>
      </c>
      <c r="H759" s="66" t="n">
        <v>44013</v>
      </c>
    </row>
    <row r="760" customFormat="false" ht="15" hidden="false" customHeight="false" outlineLevel="0" collapsed="false">
      <c r="A760" s="59" t="s">
        <v>29</v>
      </c>
      <c r="B760" s="60" t="s">
        <v>583</v>
      </c>
      <c r="C760" s="71" t="s">
        <v>521</v>
      </c>
      <c r="D760" s="62"/>
      <c r="E760" s="94" t="n">
        <v>1255.33</v>
      </c>
      <c r="F760" s="64" t="n">
        <f aca="false">IF(ISNUMBER(FIND("SALDO ANTERIOR",C760)),0,IF(ISNUMBER(FIND("SALDO DO DIA",C760)),0,IF(ISNUMBER(FIND("SALDO PARCIAL",C760)),0,IF(ISNUMBER(FIND("SDO CTA/APL AUTOMATICAS",C760)),0,IF(ISNUMBER(FIND("APL APLIC AUT MAIS",C760)),0,IF(ISNUMBER(FIND("TEC DEPOSITO",C760)),0,IF(E760&gt;0,0,E760*(-1))))))))</f>
        <v>0</v>
      </c>
      <c r="G760" s="65" t="n">
        <f aca="false">IF(ISNUMBER(FIND("SALDO ANTERIOR",C760)),0,IF(ISNUMBER(FIND("SALDO DO DIA",C760)),0,IF(ISNUMBER(FIND("SDO CTA/APL AUTOMATICAS",C760)),0,IF(ISNUMBER(FIND("TEC DEPOSITO",C760)),0,IF(ISNUMBER(FIND("APL APLIC AUT MAIS",C760)),E760,IF(E760&gt;0,E760,0))))))</f>
        <v>0</v>
      </c>
      <c r="H760" s="66" t="n">
        <v>44013</v>
      </c>
    </row>
    <row r="761" customFormat="false" ht="13.8" hidden="false" customHeight="false" outlineLevel="0" collapsed="false">
      <c r="A761" s="59" t="s">
        <v>71</v>
      </c>
      <c r="B761" s="60" t="s">
        <v>584</v>
      </c>
      <c r="C761" s="61" t="s">
        <v>85</v>
      </c>
      <c r="D761" s="62" t="s">
        <v>64</v>
      </c>
      <c r="E761" s="67" t="n">
        <v>-4.2</v>
      </c>
      <c r="F761" s="64" t="n">
        <f aca="false">IF(ISNUMBER(FIND("SALDO ANTERIOR",C761)),0,IF(ISNUMBER(FIND("SALDO DO DIA",C761)),0,IF(ISNUMBER(FIND("SALDO PARCIAL",C761)),0,IF(ISNUMBER(FIND("SDO CTA/APL AUTOMATICAS",C761)),0,IF(ISNUMBER(FIND("APL APLIC AUT MAIS",C761)),0,IF(ISNUMBER(FIND("TEC DEPOSITO",C761)),0,IF(E761&gt;0,0,E761*(-1))))))))</f>
        <v>4.2</v>
      </c>
      <c r="G761" s="65" t="n">
        <f aca="false">IF(ISNUMBER(FIND("SALDO ANTERIOR",C761)),0,IF(ISNUMBER(FIND("SALDO DO DIA",C761)),0,IF(ISNUMBER(FIND("SDO CTA/APL AUTOMATICAS",C761)),0,IF(ISNUMBER(FIND("TEC DEPOSITO",C761)),0,IF(ISNUMBER(FIND("APL APLIC AUT MAIS",C761)),E761,IF(E761&gt;0,E761,0))))))</f>
        <v>0</v>
      </c>
      <c r="H761" s="66" t="n">
        <v>44013</v>
      </c>
    </row>
    <row r="762" customFormat="false" ht="13.8" hidden="false" customHeight="false" outlineLevel="0" collapsed="false">
      <c r="A762" s="59" t="s">
        <v>74</v>
      </c>
      <c r="B762" s="60" t="s">
        <v>584</v>
      </c>
      <c r="C762" s="61" t="s">
        <v>585</v>
      </c>
      <c r="D762" s="62" t="s">
        <v>64</v>
      </c>
      <c r="E762" s="67" t="n">
        <v>-9.9</v>
      </c>
      <c r="F762" s="64" t="n">
        <f aca="false">IF(ISNUMBER(FIND("SALDO ANTERIOR",C762)),0,IF(ISNUMBER(FIND("SALDO DO DIA",C762)),0,IF(ISNUMBER(FIND("SALDO PARCIAL",C762)),0,IF(ISNUMBER(FIND("SDO CTA/APL AUTOMATICAS",C762)),0,IF(ISNUMBER(FIND("APL APLIC AUT MAIS",C762)),0,IF(ISNUMBER(FIND("TEC DEPOSITO",C762)),0,IF(E762&gt;0,0,E762*(-1))))))))</f>
        <v>9.9</v>
      </c>
      <c r="G762" s="65" t="n">
        <f aca="false">IF(ISNUMBER(FIND("SALDO ANTERIOR",C762)),0,IF(ISNUMBER(FIND("SALDO DO DIA",C762)),0,IF(ISNUMBER(FIND("SDO CTA/APL AUTOMATICAS",C762)),0,IF(ISNUMBER(FIND("TEC DEPOSITO",C762)),0,IF(ISNUMBER(FIND("APL APLIC AUT MAIS",C762)),E762,IF(E762&gt;0,E762,0))))))</f>
        <v>0</v>
      </c>
      <c r="H762" s="66" t="n">
        <v>44013</v>
      </c>
    </row>
    <row r="763" customFormat="false" ht="13.8" hidden="false" customHeight="false" outlineLevel="0" collapsed="false">
      <c r="A763" s="59" t="s">
        <v>65</v>
      </c>
      <c r="B763" s="60" t="s">
        <v>584</v>
      </c>
      <c r="C763" s="61" t="s">
        <v>586</v>
      </c>
      <c r="D763" s="62" t="s">
        <v>64</v>
      </c>
      <c r="E763" s="67" t="n">
        <v>-30</v>
      </c>
      <c r="F763" s="64" t="n">
        <f aca="false">IF(ISNUMBER(FIND("SALDO ANTERIOR",C763)),0,IF(ISNUMBER(FIND("SALDO DO DIA",C763)),0,IF(ISNUMBER(FIND("SALDO PARCIAL",C763)),0,IF(ISNUMBER(FIND("SDO CTA/APL AUTOMATICAS",C763)),0,IF(ISNUMBER(FIND("APL APLIC AUT MAIS",C763)),0,IF(ISNUMBER(FIND("TEC DEPOSITO",C763)),0,IF(E763&gt;0,0,E763*(-1))))))))</f>
        <v>30</v>
      </c>
      <c r="G763" s="65" t="n">
        <f aca="false">IF(ISNUMBER(FIND("SALDO ANTERIOR",C763)),0,IF(ISNUMBER(FIND("SALDO DO DIA",C763)),0,IF(ISNUMBER(FIND("SDO CTA/APL AUTOMATICAS",C763)),0,IF(ISNUMBER(FIND("TEC DEPOSITO",C763)),0,IF(ISNUMBER(FIND("APL APLIC AUT MAIS",C763)),E763,IF(E763&gt;0,E763,0))))))</f>
        <v>0</v>
      </c>
      <c r="H763" s="66" t="n">
        <v>44013</v>
      </c>
    </row>
    <row r="764" customFormat="false" ht="13.8" hidden="false" customHeight="false" outlineLevel="0" collapsed="false">
      <c r="A764" s="59" t="s">
        <v>65</v>
      </c>
      <c r="B764" s="60" t="s">
        <v>584</v>
      </c>
      <c r="C764" s="61" t="s">
        <v>586</v>
      </c>
      <c r="D764" s="62" t="s">
        <v>64</v>
      </c>
      <c r="E764" s="67" t="n">
        <v>-5</v>
      </c>
      <c r="F764" s="64" t="n">
        <f aca="false">IF(ISNUMBER(FIND("SALDO ANTERIOR",C764)),0,IF(ISNUMBER(FIND("SALDO DO DIA",C764)),0,IF(ISNUMBER(FIND("SALDO PARCIAL",C764)),0,IF(ISNUMBER(FIND("SDO CTA/APL AUTOMATICAS",C764)),0,IF(ISNUMBER(FIND("APL APLIC AUT MAIS",C764)),0,IF(ISNUMBER(FIND("TEC DEPOSITO",C764)),0,IF(E764&gt;0,0,E764*(-1))))))))</f>
        <v>5</v>
      </c>
      <c r="G764" s="65" t="n">
        <f aca="false">IF(ISNUMBER(FIND("SALDO ANTERIOR",C764)),0,IF(ISNUMBER(FIND("SALDO DO DIA",C764)),0,IF(ISNUMBER(FIND("SDO CTA/APL AUTOMATICAS",C764)),0,IF(ISNUMBER(FIND("TEC DEPOSITO",C764)),0,IF(ISNUMBER(FIND("APL APLIC AUT MAIS",C764)),E764,IF(E764&gt;0,E764,0))))))</f>
        <v>0</v>
      </c>
      <c r="H764" s="66" t="n">
        <v>44013</v>
      </c>
    </row>
    <row r="765" customFormat="false" ht="15" hidden="false" customHeight="false" outlineLevel="0" collapsed="false">
      <c r="A765" s="59" t="s">
        <v>29</v>
      </c>
      <c r="B765" s="60" t="s">
        <v>584</v>
      </c>
      <c r="C765" s="71" t="s">
        <v>521</v>
      </c>
      <c r="D765" s="62"/>
      <c r="E765" s="94" t="n">
        <v>1206.23</v>
      </c>
      <c r="F765" s="64" t="n">
        <f aca="false">IF(ISNUMBER(FIND("SALDO ANTERIOR",C765)),0,IF(ISNUMBER(FIND("SALDO DO DIA",C765)),0,IF(ISNUMBER(FIND("SALDO PARCIAL",C765)),0,IF(ISNUMBER(FIND("SDO CTA/APL AUTOMATICAS",C765)),0,IF(ISNUMBER(FIND("APL APLIC AUT MAIS",C765)),0,IF(ISNUMBER(FIND("TEC DEPOSITO",C765)),0,IF(E765&gt;0,0,E765*(-1))))))))</f>
        <v>0</v>
      </c>
      <c r="G765" s="65" t="n">
        <f aca="false">IF(ISNUMBER(FIND("SALDO ANTERIOR",C765)),0,IF(ISNUMBER(FIND("SALDO DO DIA",C765)),0,IF(ISNUMBER(FIND("SDO CTA/APL AUTOMATICAS",C765)),0,IF(ISNUMBER(FIND("TEC DEPOSITO",C765)),0,IF(ISNUMBER(FIND("APL APLIC AUT MAIS",C765)),E765,IF(E765&gt;0,E765,0))))))</f>
        <v>0</v>
      </c>
      <c r="H765" s="66" t="n">
        <v>44013</v>
      </c>
    </row>
    <row r="766" customFormat="false" ht="13.8" hidden="false" customHeight="false" outlineLevel="0" collapsed="false">
      <c r="A766" s="59" t="s">
        <v>71</v>
      </c>
      <c r="B766" s="60" t="s">
        <v>587</v>
      </c>
      <c r="C766" s="61" t="s">
        <v>85</v>
      </c>
      <c r="D766" s="62" t="s">
        <v>64</v>
      </c>
      <c r="E766" s="67" t="n">
        <v>-23.6</v>
      </c>
      <c r="F766" s="64" t="n">
        <f aca="false">IF(ISNUMBER(FIND("SALDO ANTERIOR",C766)),0,IF(ISNUMBER(FIND("SALDO DO DIA",C766)),0,IF(ISNUMBER(FIND("SALDO PARCIAL",C766)),0,IF(ISNUMBER(FIND("SDO CTA/APL AUTOMATICAS",C766)),0,IF(ISNUMBER(FIND("APL APLIC AUT MAIS",C766)),0,IF(ISNUMBER(FIND("TEC DEPOSITO",C766)),0,IF(E766&gt;0,0,E766*(-1))))))))</f>
        <v>23.6</v>
      </c>
      <c r="G766" s="65" t="n">
        <f aca="false">IF(ISNUMBER(FIND("SALDO ANTERIOR",C766)),0,IF(ISNUMBER(FIND("SALDO DO DIA",C766)),0,IF(ISNUMBER(FIND("SDO CTA/APL AUTOMATICAS",C766)),0,IF(ISNUMBER(FIND("TEC DEPOSITO",C766)),0,IF(ISNUMBER(FIND("APL APLIC AUT MAIS",C766)),E766,IF(E766&gt;0,E766,0))))))</f>
        <v>0</v>
      </c>
      <c r="H766" s="66" t="n">
        <v>44013</v>
      </c>
    </row>
    <row r="767" customFormat="false" ht="13.8" hidden="false" customHeight="false" outlineLevel="0" collapsed="false">
      <c r="A767" s="73" t="s">
        <v>316</v>
      </c>
      <c r="B767" s="85" t="s">
        <v>587</v>
      </c>
      <c r="C767" s="61" t="s">
        <v>479</v>
      </c>
      <c r="D767" s="62" t="s">
        <v>64</v>
      </c>
      <c r="E767" s="67" t="n">
        <v>-44</v>
      </c>
      <c r="F767" s="64" t="n">
        <f aca="false">IF(ISNUMBER(FIND("SALDO ANTERIOR",C767)),0,IF(ISNUMBER(FIND("SALDO DO DIA",C767)),0,IF(ISNUMBER(FIND("SALDO PARCIAL",C767)),0,IF(ISNUMBER(FIND("SDO CTA/APL AUTOMATICAS",C767)),0,IF(ISNUMBER(FIND("APL APLIC AUT MAIS",C767)),0,IF(ISNUMBER(FIND("TEC DEPOSITO",C767)),0,IF(E767&gt;0,0,E767*(-1))))))))</f>
        <v>44</v>
      </c>
      <c r="G767" s="65" t="n">
        <f aca="false">IF(ISNUMBER(FIND("SALDO ANTERIOR",C767)),0,IF(ISNUMBER(FIND("SALDO DO DIA",C767)),0,IF(ISNUMBER(FIND("SDO CTA/APL AUTOMATICAS",C767)),0,IF(ISNUMBER(FIND("TEC DEPOSITO",C767)),0,IF(ISNUMBER(FIND("APL APLIC AUT MAIS",C767)),E767,IF(E767&gt;0,E767,0))))))</f>
        <v>0</v>
      </c>
      <c r="H767" s="66" t="n">
        <v>44013</v>
      </c>
    </row>
    <row r="768" customFormat="false" ht="13.8" hidden="false" customHeight="false" outlineLevel="0" collapsed="false">
      <c r="A768" s="59" t="s">
        <v>65</v>
      </c>
      <c r="B768" s="60" t="s">
        <v>587</v>
      </c>
      <c r="C768" s="61" t="s">
        <v>588</v>
      </c>
      <c r="D768" s="62" t="s">
        <v>64</v>
      </c>
      <c r="E768" s="67" t="n">
        <v>-13</v>
      </c>
      <c r="F768" s="64" t="n">
        <f aca="false">IF(ISNUMBER(FIND("SALDO ANTERIOR",C768)),0,IF(ISNUMBER(FIND("SALDO DO DIA",C768)),0,IF(ISNUMBER(FIND("SALDO PARCIAL",C768)),0,IF(ISNUMBER(FIND("SDO CTA/APL AUTOMATICAS",C768)),0,IF(ISNUMBER(FIND("APL APLIC AUT MAIS",C768)),0,IF(ISNUMBER(FIND("TEC DEPOSITO",C768)),0,IF(E768&gt;0,0,E768*(-1))))))))</f>
        <v>13</v>
      </c>
      <c r="G768" s="65" t="n">
        <f aca="false">IF(ISNUMBER(FIND("SALDO ANTERIOR",C768)),0,IF(ISNUMBER(FIND("SALDO DO DIA",C768)),0,IF(ISNUMBER(FIND("SDO CTA/APL AUTOMATICAS",C768)),0,IF(ISNUMBER(FIND("TEC DEPOSITO",C768)),0,IF(ISNUMBER(FIND("APL APLIC AUT MAIS",C768)),E768,IF(E768&gt;0,E768,0))))))</f>
        <v>0</v>
      </c>
      <c r="H768" s="66" t="n">
        <v>44013</v>
      </c>
    </row>
    <row r="769" customFormat="false" ht="13.8" hidden="false" customHeight="false" outlineLevel="0" collapsed="false">
      <c r="A769" s="59" t="s">
        <v>65</v>
      </c>
      <c r="B769" s="60" t="s">
        <v>587</v>
      </c>
      <c r="C769" s="61" t="s">
        <v>589</v>
      </c>
      <c r="D769" s="62" t="s">
        <v>64</v>
      </c>
      <c r="E769" s="67" t="n">
        <v>-14</v>
      </c>
      <c r="F769" s="64" t="n">
        <f aca="false">IF(ISNUMBER(FIND("SALDO ANTERIOR",C769)),0,IF(ISNUMBER(FIND("SALDO DO DIA",C769)),0,IF(ISNUMBER(FIND("SALDO PARCIAL",C769)),0,IF(ISNUMBER(FIND("SDO CTA/APL AUTOMATICAS",C769)),0,IF(ISNUMBER(FIND("APL APLIC AUT MAIS",C769)),0,IF(ISNUMBER(FIND("TEC DEPOSITO",C769)),0,IF(E769&gt;0,0,E769*(-1))))))))</f>
        <v>14</v>
      </c>
      <c r="G769" s="65" t="n">
        <f aca="false">IF(ISNUMBER(FIND("SALDO ANTERIOR",C769)),0,IF(ISNUMBER(FIND("SALDO DO DIA",C769)),0,IF(ISNUMBER(FIND("SDO CTA/APL AUTOMATICAS",C769)),0,IF(ISNUMBER(FIND("TEC DEPOSITO",C769)),0,IF(ISNUMBER(FIND("APL APLIC AUT MAIS",C769)),E769,IF(E769&gt;0,E769,0))))))</f>
        <v>0</v>
      </c>
      <c r="H769" s="66" t="n">
        <v>44013</v>
      </c>
    </row>
    <row r="770" customFormat="false" ht="13.8" hidden="false" customHeight="false" outlineLevel="0" collapsed="false">
      <c r="A770" s="59" t="s">
        <v>98</v>
      </c>
      <c r="B770" s="60" t="s">
        <v>587</v>
      </c>
      <c r="C770" s="61" t="s">
        <v>103</v>
      </c>
      <c r="D770" s="62" t="s">
        <v>64</v>
      </c>
      <c r="E770" s="67" t="n">
        <v>-39.73</v>
      </c>
      <c r="F770" s="64" t="n">
        <f aca="false">IF(ISNUMBER(FIND("SALDO ANTERIOR",C770)),0,IF(ISNUMBER(FIND("SALDO DO DIA",C770)),0,IF(ISNUMBER(FIND("SALDO PARCIAL",C770)),0,IF(ISNUMBER(FIND("SDO CTA/APL AUTOMATICAS",C770)),0,IF(ISNUMBER(FIND("APL APLIC AUT MAIS",C770)),0,IF(ISNUMBER(FIND("TEC DEPOSITO",C770)),0,IF(E770&gt;0,0,E770*(-1))))))))</f>
        <v>39.73</v>
      </c>
      <c r="G770" s="65" t="n">
        <f aca="false">IF(ISNUMBER(FIND("SALDO ANTERIOR",C770)),0,IF(ISNUMBER(FIND("SALDO DO DIA",C770)),0,IF(ISNUMBER(FIND("SDO CTA/APL AUTOMATICAS",C770)),0,IF(ISNUMBER(FIND("TEC DEPOSITO",C770)),0,IF(ISNUMBER(FIND("APL APLIC AUT MAIS",C770)),E770,IF(E770&gt;0,E770,0))))))</f>
        <v>0</v>
      </c>
      <c r="H770" s="66" t="n">
        <v>44013</v>
      </c>
    </row>
    <row r="771" customFormat="false" ht="15" hidden="false" customHeight="false" outlineLevel="0" collapsed="false">
      <c r="A771" s="59" t="s">
        <v>29</v>
      </c>
      <c r="B771" s="60" t="s">
        <v>587</v>
      </c>
      <c r="C771" s="71" t="s">
        <v>521</v>
      </c>
      <c r="D771" s="62"/>
      <c r="E771" s="94" t="n">
        <v>1071.9</v>
      </c>
      <c r="F771" s="64" t="n">
        <f aca="false">IF(ISNUMBER(FIND("SALDO ANTERIOR",C771)),0,IF(ISNUMBER(FIND("SALDO DO DIA",C771)),0,IF(ISNUMBER(FIND("SALDO PARCIAL",C771)),0,IF(ISNUMBER(FIND("SDO CTA/APL AUTOMATICAS",C771)),0,IF(ISNUMBER(FIND("APL APLIC AUT MAIS",C771)),0,IF(ISNUMBER(FIND("TEC DEPOSITO",C771)),0,IF(E771&gt;0,0,E771*(-1))))))))</f>
        <v>0</v>
      </c>
      <c r="G771" s="65" t="n">
        <f aca="false">IF(ISNUMBER(FIND("SALDO ANTERIOR",C771)),0,IF(ISNUMBER(FIND("SALDO DO DIA",C771)),0,IF(ISNUMBER(FIND("SDO CTA/APL AUTOMATICAS",C771)),0,IF(ISNUMBER(FIND("TEC DEPOSITO",C771)),0,IF(ISNUMBER(FIND("APL APLIC AUT MAIS",C771)),E771,IF(E771&gt;0,E771,0))))))</f>
        <v>0</v>
      </c>
      <c r="H771" s="66" t="n">
        <v>44013</v>
      </c>
    </row>
    <row r="772" customFormat="false" ht="13.8" hidden="false" customHeight="false" outlineLevel="0" collapsed="false">
      <c r="A772" s="59" t="s">
        <v>181</v>
      </c>
      <c r="B772" s="60" t="s">
        <v>590</v>
      </c>
      <c r="C772" s="61" t="s">
        <v>591</v>
      </c>
      <c r="D772" s="62" t="s">
        <v>61</v>
      </c>
      <c r="E772" s="67" t="n">
        <v>-567</v>
      </c>
      <c r="F772" s="64" t="n">
        <f aca="false">IF(ISNUMBER(FIND("SALDO ANTERIOR",C772)),0,IF(ISNUMBER(FIND("SALDO DO DIA",C772)),0,IF(ISNUMBER(FIND("SALDO PARCIAL",C772)),0,IF(ISNUMBER(FIND("SDO CTA/APL AUTOMATICAS",C772)),0,IF(ISNUMBER(FIND("APL APLIC AUT MAIS",C772)),0,IF(ISNUMBER(FIND("TEC DEPOSITO",C772)),0,IF(E772&gt;0,0,E772*(-1))))))))</f>
        <v>567</v>
      </c>
      <c r="G772" s="65" t="n">
        <f aca="false">IF(ISNUMBER(FIND("SALDO ANTERIOR",C772)),0,IF(ISNUMBER(FIND("SALDO DO DIA",C772)),0,IF(ISNUMBER(FIND("SDO CTA/APL AUTOMATICAS",C772)),0,IF(ISNUMBER(FIND("TEC DEPOSITO",C772)),0,IF(ISNUMBER(FIND("APL APLIC AUT MAIS",C772)),E772,IF(E772&gt;0,E772,0))))))</f>
        <v>0</v>
      </c>
      <c r="H772" s="66" t="n">
        <v>44013</v>
      </c>
    </row>
    <row r="773" customFormat="false" ht="15" hidden="false" customHeight="false" outlineLevel="0" collapsed="false">
      <c r="A773" s="59" t="s">
        <v>29</v>
      </c>
      <c r="B773" s="60" t="s">
        <v>590</v>
      </c>
      <c r="C773" s="71" t="s">
        <v>521</v>
      </c>
      <c r="D773" s="62"/>
      <c r="E773" s="94" t="n">
        <v>504.9</v>
      </c>
      <c r="F773" s="64" t="n">
        <f aca="false">IF(ISNUMBER(FIND("SALDO ANTERIOR",C773)),0,IF(ISNUMBER(FIND("SALDO DO DIA",C773)),0,IF(ISNUMBER(FIND("SALDO PARCIAL",C773)),0,IF(ISNUMBER(FIND("SDO CTA/APL AUTOMATICAS",C773)),0,IF(ISNUMBER(FIND("APL APLIC AUT MAIS",C773)),0,IF(ISNUMBER(FIND("TEC DEPOSITO",C773)),0,IF(E773&gt;0,0,E773*(-1))))))))</f>
        <v>0</v>
      </c>
      <c r="G773" s="65" t="n">
        <f aca="false">IF(ISNUMBER(FIND("SALDO ANTERIOR",C773)),0,IF(ISNUMBER(FIND("SALDO DO DIA",C773)),0,IF(ISNUMBER(FIND("SDO CTA/APL AUTOMATICAS",C773)),0,IF(ISNUMBER(FIND("TEC DEPOSITO",C773)),0,IF(ISNUMBER(FIND("APL APLIC AUT MAIS",C773)),E773,IF(E773&gt;0,E773,0))))))</f>
        <v>0</v>
      </c>
      <c r="H773" s="66" t="n">
        <v>44013</v>
      </c>
    </row>
    <row r="774" customFormat="false" ht="13.8" hidden="false" customHeight="false" outlineLevel="0" collapsed="false">
      <c r="A774" s="59" t="s">
        <v>71</v>
      </c>
      <c r="B774" s="60" t="s">
        <v>592</v>
      </c>
      <c r="C774" s="61" t="s">
        <v>85</v>
      </c>
      <c r="D774" s="62" t="s">
        <v>64</v>
      </c>
      <c r="E774" s="67" t="n">
        <v>-4.55</v>
      </c>
      <c r="F774" s="64" t="n">
        <f aca="false">IF(ISNUMBER(FIND("SALDO ANTERIOR",C774)),0,IF(ISNUMBER(FIND("SALDO DO DIA",C774)),0,IF(ISNUMBER(FIND("SALDO PARCIAL",C774)),0,IF(ISNUMBER(FIND("SDO CTA/APL AUTOMATICAS",C774)),0,IF(ISNUMBER(FIND("APL APLIC AUT MAIS",C774)),0,IF(ISNUMBER(FIND("TEC DEPOSITO",C774)),0,IF(E774&gt;0,0,E774*(-1))))))))</f>
        <v>4.55</v>
      </c>
      <c r="G774" s="65" t="n">
        <f aca="false">IF(ISNUMBER(FIND("SALDO ANTERIOR",C774)),0,IF(ISNUMBER(FIND("SALDO DO DIA",C774)),0,IF(ISNUMBER(FIND("SDO CTA/APL AUTOMATICAS",C774)),0,IF(ISNUMBER(FIND("TEC DEPOSITO",C774)),0,IF(ISNUMBER(FIND("APL APLIC AUT MAIS",C774)),E774,IF(E774&gt;0,E774,0))))))</f>
        <v>0</v>
      </c>
      <c r="H774" s="66" t="n">
        <v>44013</v>
      </c>
    </row>
    <row r="775" customFormat="false" ht="13.8" hidden="false" customHeight="false" outlineLevel="0" collapsed="false">
      <c r="A775" s="59" t="s">
        <v>474</v>
      </c>
      <c r="B775" s="60" t="s">
        <v>592</v>
      </c>
      <c r="C775" s="61" t="s">
        <v>475</v>
      </c>
      <c r="D775" s="62" t="s">
        <v>61</v>
      </c>
      <c r="E775" s="67" t="n">
        <v>-198</v>
      </c>
      <c r="F775" s="64" t="n">
        <f aca="false">IF(ISNUMBER(FIND("SALDO ANTERIOR",C775)),0,IF(ISNUMBER(FIND("SALDO DO DIA",C775)),0,IF(ISNUMBER(FIND("SALDO PARCIAL",C775)),0,IF(ISNUMBER(FIND("SDO CTA/APL AUTOMATICAS",C775)),0,IF(ISNUMBER(FIND("APL APLIC AUT MAIS",C775)),0,IF(ISNUMBER(FIND("TEC DEPOSITO",C775)),0,IF(E775&gt;0,0,E775*(-1))))))))</f>
        <v>198</v>
      </c>
      <c r="G775" s="65" t="n">
        <f aca="false">IF(ISNUMBER(FIND("SALDO ANTERIOR",C775)),0,IF(ISNUMBER(FIND("SALDO DO DIA",C775)),0,IF(ISNUMBER(FIND("SDO CTA/APL AUTOMATICAS",C775)),0,IF(ISNUMBER(FIND("TEC DEPOSITO",C775)),0,IF(ISNUMBER(FIND("APL APLIC AUT MAIS",C775)),E775,IF(E775&gt;0,E775,0))))))</f>
        <v>0</v>
      </c>
      <c r="H775" s="66" t="n">
        <v>44013</v>
      </c>
    </row>
    <row r="776" customFormat="false" ht="15" hidden="false" customHeight="false" outlineLevel="0" collapsed="false">
      <c r="A776" s="59" t="s">
        <v>29</v>
      </c>
      <c r="B776" s="60" t="s">
        <v>592</v>
      </c>
      <c r="C776" s="71" t="s">
        <v>521</v>
      </c>
      <c r="D776" s="62"/>
      <c r="E776" s="94" t="n">
        <v>302.35</v>
      </c>
      <c r="F776" s="64" t="n">
        <f aca="false">IF(ISNUMBER(FIND("SALDO ANTERIOR",C776)),0,IF(ISNUMBER(FIND("SALDO DO DIA",C776)),0,IF(ISNUMBER(FIND("SALDO PARCIAL",C776)),0,IF(ISNUMBER(FIND("SDO CTA/APL AUTOMATICAS",C776)),0,IF(ISNUMBER(FIND("APL APLIC AUT MAIS",C776)),0,IF(ISNUMBER(FIND("TEC DEPOSITO",C776)),0,IF(E776&gt;0,0,E776*(-1))))))))</f>
        <v>0</v>
      </c>
      <c r="G776" s="65" t="n">
        <f aca="false">IF(ISNUMBER(FIND("SALDO ANTERIOR",C776)),0,IF(ISNUMBER(FIND("SALDO DO DIA",C776)),0,IF(ISNUMBER(FIND("SDO CTA/APL AUTOMATICAS",C776)),0,IF(ISNUMBER(FIND("TEC DEPOSITO",C776)),0,IF(ISNUMBER(FIND("APL APLIC AUT MAIS",C776)),E776,IF(E776&gt;0,E776,0))))))</f>
        <v>0</v>
      </c>
      <c r="H776" s="66" t="n">
        <v>44013</v>
      </c>
    </row>
    <row r="777" customFormat="false" ht="13.8" hidden="false" customHeight="false" outlineLevel="0" collapsed="false">
      <c r="A777" s="59" t="s">
        <v>225</v>
      </c>
      <c r="B777" s="60" t="s">
        <v>593</v>
      </c>
      <c r="C777" s="61" t="s">
        <v>240</v>
      </c>
      <c r="D777" s="62" t="s">
        <v>64</v>
      </c>
      <c r="E777" s="67" t="n">
        <v>-183.48</v>
      </c>
      <c r="F777" s="64" t="n">
        <f aca="false">IF(ISNUMBER(FIND("SALDO ANTERIOR",C777)),0,IF(ISNUMBER(FIND("SALDO DO DIA",C777)),0,IF(ISNUMBER(FIND("SALDO PARCIAL",C777)),0,IF(ISNUMBER(FIND("SDO CTA/APL AUTOMATICAS",C777)),0,IF(ISNUMBER(FIND("APL APLIC AUT MAIS",C777)),0,IF(ISNUMBER(FIND("TEC DEPOSITO",C777)),0,IF(E777&gt;0,0,E777*(-1))))))))</f>
        <v>183.48</v>
      </c>
      <c r="G777" s="65" t="n">
        <f aca="false">IF(ISNUMBER(FIND("SALDO ANTERIOR",C777)),0,IF(ISNUMBER(FIND("SALDO DO DIA",C777)),0,IF(ISNUMBER(FIND("SDO CTA/APL AUTOMATICAS",C777)),0,IF(ISNUMBER(FIND("TEC DEPOSITO",C777)),0,IF(ISNUMBER(FIND("APL APLIC AUT MAIS",C777)),E777,IF(E777&gt;0,E777,0))))))</f>
        <v>0</v>
      </c>
      <c r="H777" s="66" t="n">
        <v>44013</v>
      </c>
    </row>
    <row r="778" customFormat="false" ht="13.8" hidden="false" customHeight="false" outlineLevel="0" collapsed="false">
      <c r="A778" s="59" t="s">
        <v>98</v>
      </c>
      <c r="B778" s="60" t="s">
        <v>593</v>
      </c>
      <c r="C778" s="61" t="s">
        <v>180</v>
      </c>
      <c r="D778" s="62" t="s">
        <v>64</v>
      </c>
      <c r="E778" s="67" t="n">
        <v>-132.01</v>
      </c>
      <c r="F778" s="64" t="n">
        <f aca="false">IF(ISNUMBER(FIND("SALDO ANTERIOR",C778)),0,IF(ISNUMBER(FIND("SALDO DO DIA",C778)),0,IF(ISNUMBER(FIND("SALDO PARCIAL",C778)),0,IF(ISNUMBER(FIND("SDO CTA/APL AUTOMATICAS",C778)),0,IF(ISNUMBER(FIND("APL APLIC AUT MAIS",C778)),0,IF(ISNUMBER(FIND("TEC DEPOSITO",C778)),0,IF(E778&gt;0,0,E778*(-1))))))))</f>
        <v>132.01</v>
      </c>
      <c r="G778" s="65" t="n">
        <f aca="false">IF(ISNUMBER(FIND("SALDO ANTERIOR",C778)),0,IF(ISNUMBER(FIND("SALDO DO DIA",C778)),0,IF(ISNUMBER(FIND("SDO CTA/APL AUTOMATICAS",C778)),0,IF(ISNUMBER(FIND("TEC DEPOSITO",C778)),0,IF(ISNUMBER(FIND("APL APLIC AUT MAIS",C778)),E778,IF(E778&gt;0,E778,0))))))</f>
        <v>0</v>
      </c>
      <c r="H778" s="66" t="n">
        <v>44013</v>
      </c>
    </row>
    <row r="779" customFormat="false" ht="13.8" hidden="false" customHeight="false" outlineLevel="0" collapsed="false">
      <c r="A779" s="59" t="s">
        <v>98</v>
      </c>
      <c r="B779" s="60" t="s">
        <v>593</v>
      </c>
      <c r="C779" s="61" t="s">
        <v>180</v>
      </c>
      <c r="D779" s="62" t="s">
        <v>64</v>
      </c>
      <c r="E779" s="67" t="n">
        <v>-4.17</v>
      </c>
      <c r="F779" s="64" t="n">
        <f aca="false">IF(ISNUMBER(FIND("SALDO ANTERIOR",C779)),0,IF(ISNUMBER(FIND("SALDO DO DIA",C779)),0,IF(ISNUMBER(FIND("SALDO PARCIAL",C779)),0,IF(ISNUMBER(FIND("SDO CTA/APL AUTOMATICAS",C779)),0,IF(ISNUMBER(FIND("APL APLIC AUT MAIS",C779)),0,IF(ISNUMBER(FIND("TEC DEPOSITO",C779)),0,IF(E779&gt;0,0,E779*(-1))))))))</f>
        <v>4.17</v>
      </c>
      <c r="G779" s="65" t="n">
        <f aca="false">IF(ISNUMBER(FIND("SALDO ANTERIOR",C779)),0,IF(ISNUMBER(FIND("SALDO DO DIA",C779)),0,IF(ISNUMBER(FIND("SDO CTA/APL AUTOMATICAS",C779)),0,IF(ISNUMBER(FIND("TEC DEPOSITO",C779)),0,IF(ISNUMBER(FIND("APL APLIC AUT MAIS",C779)),E779,IF(E779&gt;0,E779,0))))))</f>
        <v>0</v>
      </c>
      <c r="H779" s="66" t="n">
        <v>44013</v>
      </c>
    </row>
    <row r="780" customFormat="false" ht="15" hidden="false" customHeight="false" outlineLevel="0" collapsed="false">
      <c r="A780" s="59" t="s">
        <v>29</v>
      </c>
      <c r="B780" s="60" t="s">
        <v>593</v>
      </c>
      <c r="C780" s="71" t="s">
        <v>494</v>
      </c>
      <c r="D780" s="62"/>
      <c r="E780" s="72" t="n">
        <v>-17.31</v>
      </c>
      <c r="F780" s="64" t="n">
        <f aca="false">IF(ISNUMBER(FIND("SALDO ANTERIOR",C780)),0,IF(ISNUMBER(FIND("SALDO DO DIA",C780)),0,IF(ISNUMBER(FIND("SALDO PARCIAL",C780)),0,IF(ISNUMBER(FIND("SDO CTA/APL AUTOMATICAS",C780)),0,IF(ISNUMBER(FIND("APL APLIC AUT MAIS",C780)),0,IF(ISNUMBER(FIND("TEC DEPOSITO",C780)),0,IF(E780&gt;0,0,E780*(-1))))))))</f>
        <v>0</v>
      </c>
      <c r="G780" s="65" t="n">
        <f aca="false">IF(ISNUMBER(FIND("SALDO ANTERIOR",C780)),0,IF(ISNUMBER(FIND("SALDO DO DIA",C780)),0,IF(ISNUMBER(FIND("SDO CTA/APL AUTOMATICAS",C780)),0,IF(ISNUMBER(FIND("TEC DEPOSITO",C780)),0,IF(ISNUMBER(FIND("APL APLIC AUT MAIS",C780)),E780,IF(E780&gt;0,E780,0))))))</f>
        <v>0</v>
      </c>
      <c r="H780" s="66" t="n">
        <v>44013</v>
      </c>
    </row>
    <row r="781" customFormat="false" ht="13.8" hidden="false" customHeight="false" outlineLevel="0" collapsed="false">
      <c r="A781" s="59" t="s">
        <v>76</v>
      </c>
      <c r="B781" s="60" t="s">
        <v>594</v>
      </c>
      <c r="C781" s="61" t="s">
        <v>92</v>
      </c>
      <c r="D781" s="62" t="s">
        <v>64</v>
      </c>
      <c r="E781" s="67" t="n">
        <v>-26.8</v>
      </c>
      <c r="F781" s="64" t="n">
        <f aca="false">IF(ISNUMBER(FIND("SALDO ANTERIOR",C781)),0,IF(ISNUMBER(FIND("SALDO DO DIA",C781)),0,IF(ISNUMBER(FIND("SALDO PARCIAL",C781)),0,IF(ISNUMBER(FIND("SDO CTA/APL AUTOMATICAS",C781)),0,IF(ISNUMBER(FIND("APL APLIC AUT MAIS",C781)),0,IF(ISNUMBER(FIND("TEC DEPOSITO",C781)),0,IF(E781&gt;0,0,E781*(-1))))))))</f>
        <v>26.8</v>
      </c>
      <c r="G781" s="65" t="n">
        <f aca="false">IF(ISNUMBER(FIND("SALDO ANTERIOR",C781)),0,IF(ISNUMBER(FIND("SALDO DO DIA",C781)),0,IF(ISNUMBER(FIND("SDO CTA/APL AUTOMATICAS",C781)),0,IF(ISNUMBER(FIND("TEC DEPOSITO",C781)),0,IF(ISNUMBER(FIND("APL APLIC AUT MAIS",C781)),E781,IF(E781&gt;0,E781,0))))))</f>
        <v>0</v>
      </c>
      <c r="H781" s="66" t="n">
        <v>44013</v>
      </c>
    </row>
    <row r="782" customFormat="false" ht="13.8" hidden="false" customHeight="false" outlineLevel="0" collapsed="false">
      <c r="A782" s="59" t="s">
        <v>65</v>
      </c>
      <c r="B782" s="60" t="s">
        <v>594</v>
      </c>
      <c r="C782" s="61" t="s">
        <v>115</v>
      </c>
      <c r="D782" s="62" t="s">
        <v>64</v>
      </c>
      <c r="E782" s="67" t="n">
        <v>-25</v>
      </c>
      <c r="F782" s="64" t="n">
        <f aca="false">IF(ISNUMBER(FIND("SALDO ANTERIOR",C782)),0,IF(ISNUMBER(FIND("SALDO DO DIA",C782)),0,IF(ISNUMBER(FIND("SALDO PARCIAL",C782)),0,IF(ISNUMBER(FIND("SDO CTA/APL AUTOMATICAS",C782)),0,IF(ISNUMBER(FIND("APL APLIC AUT MAIS",C782)),0,IF(ISNUMBER(FIND("TEC DEPOSITO",C782)),0,IF(E782&gt;0,0,E782*(-1))))))))</f>
        <v>25</v>
      </c>
      <c r="G782" s="65" t="n">
        <f aca="false">IF(ISNUMBER(FIND("SALDO ANTERIOR",C782)),0,IF(ISNUMBER(FIND("SALDO DO DIA",C782)),0,IF(ISNUMBER(FIND("SDO CTA/APL AUTOMATICAS",C782)),0,IF(ISNUMBER(FIND("TEC DEPOSITO",C782)),0,IF(ISNUMBER(FIND("APL APLIC AUT MAIS",C782)),E782,IF(E782&gt;0,E782,0))))))</f>
        <v>0</v>
      </c>
      <c r="H782" s="66" t="n">
        <v>44013</v>
      </c>
    </row>
    <row r="783" customFormat="false" ht="13.8" hidden="false" customHeight="false" outlineLevel="0" collapsed="false">
      <c r="A783" s="59" t="s">
        <v>65</v>
      </c>
      <c r="B783" s="60" t="s">
        <v>594</v>
      </c>
      <c r="C783" s="61" t="s">
        <v>595</v>
      </c>
      <c r="D783" s="62" t="s">
        <v>61</v>
      </c>
      <c r="E783" s="67" t="n">
        <v>-30</v>
      </c>
      <c r="F783" s="64" t="n">
        <f aca="false">IF(ISNUMBER(FIND("SALDO ANTERIOR",C783)),0,IF(ISNUMBER(FIND("SALDO DO DIA",C783)),0,IF(ISNUMBER(FIND("SALDO PARCIAL",C783)),0,IF(ISNUMBER(FIND("SDO CTA/APL AUTOMATICAS",C783)),0,IF(ISNUMBER(FIND("APL APLIC AUT MAIS",C783)),0,IF(ISNUMBER(FIND("TEC DEPOSITO",C783)),0,IF(E783&gt;0,0,E783*(-1))))))))</f>
        <v>30</v>
      </c>
      <c r="G783" s="65" t="n">
        <f aca="false">IF(ISNUMBER(FIND("SALDO ANTERIOR",C783)),0,IF(ISNUMBER(FIND("SALDO DO DIA",C783)),0,IF(ISNUMBER(FIND("SDO CTA/APL AUTOMATICAS",C783)),0,IF(ISNUMBER(FIND("TEC DEPOSITO",C783)),0,IF(ISNUMBER(FIND("APL APLIC AUT MAIS",C783)),E783,IF(E783&gt;0,E783,0))))))</f>
        <v>0</v>
      </c>
      <c r="H783" s="66" t="n">
        <v>44013</v>
      </c>
    </row>
    <row r="784" customFormat="false" ht="15" hidden="false" customHeight="false" outlineLevel="0" collapsed="false">
      <c r="A784" s="59" t="s">
        <v>29</v>
      </c>
      <c r="B784" s="60" t="s">
        <v>594</v>
      </c>
      <c r="C784" s="71" t="s">
        <v>494</v>
      </c>
      <c r="D784" s="62"/>
      <c r="E784" s="72" t="n">
        <v>-99.11</v>
      </c>
      <c r="F784" s="64" t="n">
        <f aca="false">IF(ISNUMBER(FIND("SALDO ANTERIOR",C784)),0,IF(ISNUMBER(FIND("SALDO DO DIA",C784)),0,IF(ISNUMBER(FIND("SALDO PARCIAL",C784)),0,IF(ISNUMBER(FIND("SDO CTA/APL AUTOMATICAS",C784)),0,IF(ISNUMBER(FIND("APL APLIC AUT MAIS",C784)),0,IF(ISNUMBER(FIND("TEC DEPOSITO",C784)),0,IF(E784&gt;0,0,E784*(-1))))))))</f>
        <v>0</v>
      </c>
      <c r="G784" s="65" t="n">
        <f aca="false">IF(ISNUMBER(FIND("SALDO ANTERIOR",C784)),0,IF(ISNUMBER(FIND("SALDO DO DIA",C784)),0,IF(ISNUMBER(FIND("SDO CTA/APL AUTOMATICAS",C784)),0,IF(ISNUMBER(FIND("TEC DEPOSITO",C784)),0,IF(ISNUMBER(FIND("APL APLIC AUT MAIS",C784)),E784,IF(E784&gt;0,E784,0))))))</f>
        <v>0</v>
      </c>
      <c r="H784" s="66" t="n">
        <v>44013</v>
      </c>
    </row>
    <row r="785" customFormat="false" ht="13.8" hidden="false" customHeight="false" outlineLevel="0" collapsed="false">
      <c r="A785" s="59" t="s">
        <v>203</v>
      </c>
      <c r="B785" s="60" t="s">
        <v>596</v>
      </c>
      <c r="C785" s="61" t="s">
        <v>597</v>
      </c>
      <c r="D785" s="62" t="s">
        <v>478</v>
      </c>
      <c r="E785" s="67" t="n">
        <v>-100</v>
      </c>
      <c r="F785" s="64" t="n">
        <f aca="false">IF(ISNUMBER(FIND("SALDO ANTERIOR",C785)),0,IF(ISNUMBER(FIND("SALDO DO DIA",C785)),0,IF(ISNUMBER(FIND("SALDO PARCIAL",C785)),0,IF(ISNUMBER(FIND("SDO CTA/APL AUTOMATICAS",C785)),0,IF(ISNUMBER(FIND("APL APLIC AUT MAIS",C785)),0,IF(ISNUMBER(FIND("TEC DEPOSITO",C785)),0,IF(E785&gt;0,0,E785*(-1))))))))</f>
        <v>100</v>
      </c>
      <c r="G785" s="65" t="n">
        <f aca="false">IF(ISNUMBER(FIND("SALDO ANTERIOR",C785)),0,IF(ISNUMBER(FIND("SALDO DO DIA",C785)),0,IF(ISNUMBER(FIND("SDO CTA/APL AUTOMATICAS",C785)),0,IF(ISNUMBER(FIND("TEC DEPOSITO",C785)),0,IF(ISNUMBER(FIND("APL APLIC AUT MAIS",C785)),E785,IF(E785&gt;0,E785,0))))))</f>
        <v>0</v>
      </c>
      <c r="H785" s="66" t="n">
        <v>44013</v>
      </c>
    </row>
    <row r="786" customFormat="false" ht="13.8" hidden="false" customHeight="false" outlineLevel="0" collapsed="false">
      <c r="A786" s="59" t="s">
        <v>33</v>
      </c>
      <c r="B786" s="60" t="s">
        <v>596</v>
      </c>
      <c r="C786" s="61" t="s">
        <v>598</v>
      </c>
      <c r="D786" s="62" t="s">
        <v>599</v>
      </c>
      <c r="E786" s="67" t="n">
        <v>-80</v>
      </c>
      <c r="F786" s="64" t="n">
        <f aca="false">IF(ISNUMBER(FIND("SALDO ANTERIOR",C786)),0,IF(ISNUMBER(FIND("SALDO DO DIA",C786)),0,IF(ISNUMBER(FIND("SALDO PARCIAL",C786)),0,IF(ISNUMBER(FIND("SDO CTA/APL AUTOMATICAS",C786)),0,IF(ISNUMBER(FIND("APL APLIC AUT MAIS",C786)),0,IF(ISNUMBER(FIND("TEC DEPOSITO",C786)),0,IF(E786&gt;0,0,E786*(-1))))))))</f>
        <v>80</v>
      </c>
      <c r="G786" s="65" t="n">
        <f aca="false">IF(ISNUMBER(FIND("SALDO ANTERIOR",C786)),0,IF(ISNUMBER(FIND("SALDO DO DIA",C786)),0,IF(ISNUMBER(FIND("SDO CTA/APL AUTOMATICAS",C786)),0,IF(ISNUMBER(FIND("TEC DEPOSITO",C786)),0,IF(ISNUMBER(FIND("APL APLIC AUT MAIS",C786)),E786,IF(E786&gt;0,E786,0))))))</f>
        <v>0</v>
      </c>
      <c r="H786" s="66" t="n">
        <v>44013</v>
      </c>
    </row>
    <row r="787" customFormat="false" ht="13.8" hidden="false" customHeight="false" outlineLevel="0" collapsed="false">
      <c r="A787" s="59" t="s">
        <v>65</v>
      </c>
      <c r="B787" s="60" t="s">
        <v>596</v>
      </c>
      <c r="C787" s="61" t="s">
        <v>600</v>
      </c>
      <c r="D787" s="62" t="s">
        <v>64</v>
      </c>
      <c r="E787" s="67" t="n">
        <v>-100</v>
      </c>
      <c r="F787" s="64" t="n">
        <f aca="false">IF(ISNUMBER(FIND("SALDO ANTERIOR",C787)),0,IF(ISNUMBER(FIND("SALDO DO DIA",C787)),0,IF(ISNUMBER(FIND("SALDO PARCIAL",C787)),0,IF(ISNUMBER(FIND("SDO CTA/APL AUTOMATICAS",C787)),0,IF(ISNUMBER(FIND("APL APLIC AUT MAIS",C787)),0,IF(ISNUMBER(FIND("TEC DEPOSITO",C787)),0,IF(E787&gt;0,0,E787*(-1))))))))</f>
        <v>100</v>
      </c>
      <c r="G787" s="65" t="n">
        <f aca="false">IF(ISNUMBER(FIND("SALDO ANTERIOR",C787)),0,IF(ISNUMBER(FIND("SALDO DO DIA",C787)),0,IF(ISNUMBER(FIND("SDO CTA/APL AUTOMATICAS",C787)),0,IF(ISNUMBER(FIND("TEC DEPOSITO",C787)),0,IF(ISNUMBER(FIND("APL APLIC AUT MAIS",C787)),E787,IF(E787&gt;0,E787,0))))))</f>
        <v>0</v>
      </c>
      <c r="H787" s="66" t="n">
        <v>44013</v>
      </c>
    </row>
    <row r="788" customFormat="false" ht="13.8" hidden="false" customHeight="false" outlineLevel="0" collapsed="false">
      <c r="A788" s="59" t="s">
        <v>65</v>
      </c>
      <c r="B788" s="60" t="s">
        <v>596</v>
      </c>
      <c r="C788" s="61" t="s">
        <v>601</v>
      </c>
      <c r="D788" s="62" t="s">
        <v>64</v>
      </c>
      <c r="E788" s="67" t="n">
        <v>-40</v>
      </c>
      <c r="F788" s="64" t="n">
        <f aca="false">IF(ISNUMBER(FIND("SALDO ANTERIOR",C788)),0,IF(ISNUMBER(FIND("SALDO DO DIA",C788)),0,IF(ISNUMBER(FIND("SALDO PARCIAL",C788)),0,IF(ISNUMBER(FIND("SDO CTA/APL AUTOMATICAS",C788)),0,IF(ISNUMBER(FIND("APL APLIC AUT MAIS",C788)),0,IF(ISNUMBER(FIND("TEC DEPOSITO",C788)),0,IF(E788&gt;0,0,E788*(-1))))))))</f>
        <v>40</v>
      </c>
      <c r="G788" s="65" t="n">
        <f aca="false">IF(ISNUMBER(FIND("SALDO ANTERIOR",C788)),0,IF(ISNUMBER(FIND("SALDO DO DIA",C788)),0,IF(ISNUMBER(FIND("SDO CTA/APL AUTOMATICAS",C788)),0,IF(ISNUMBER(FIND("TEC DEPOSITO",C788)),0,IF(ISNUMBER(FIND("APL APLIC AUT MAIS",C788)),E788,IF(E788&gt;0,E788,0))))))</f>
        <v>0</v>
      </c>
      <c r="H788" s="66" t="n">
        <v>44013</v>
      </c>
    </row>
    <row r="789" customFormat="false" ht="13.8" hidden="false" customHeight="false" outlineLevel="0" collapsed="false">
      <c r="A789" s="73" t="s">
        <v>316</v>
      </c>
      <c r="B789" s="85" t="s">
        <v>596</v>
      </c>
      <c r="C789" s="61" t="s">
        <v>479</v>
      </c>
      <c r="D789" s="62" t="s">
        <v>64</v>
      </c>
      <c r="E789" s="67" t="n">
        <v>-21.8</v>
      </c>
      <c r="F789" s="64" t="n">
        <f aca="false">IF(ISNUMBER(FIND("SALDO ANTERIOR",C789)),0,IF(ISNUMBER(FIND("SALDO DO DIA",C789)),0,IF(ISNUMBER(FIND("SALDO PARCIAL",C789)),0,IF(ISNUMBER(FIND("SDO CTA/APL AUTOMATICAS",C789)),0,IF(ISNUMBER(FIND("APL APLIC AUT MAIS",C789)),0,IF(ISNUMBER(FIND("TEC DEPOSITO",C789)),0,IF(E789&gt;0,0,E789*(-1))))))))</f>
        <v>21.8</v>
      </c>
      <c r="G789" s="65" t="n">
        <f aca="false">IF(ISNUMBER(FIND("SALDO ANTERIOR",C789)),0,IF(ISNUMBER(FIND("SALDO DO DIA",C789)),0,IF(ISNUMBER(FIND("SDO CTA/APL AUTOMATICAS",C789)),0,IF(ISNUMBER(FIND("TEC DEPOSITO",C789)),0,IF(ISNUMBER(FIND("APL APLIC AUT MAIS",C789)),E789,IF(E789&gt;0,E789,0))))))</f>
        <v>0</v>
      </c>
      <c r="H789" s="66" t="n">
        <v>44013</v>
      </c>
    </row>
    <row r="790" customFormat="false" ht="13.8" hidden="false" customHeight="false" outlineLevel="0" collapsed="false">
      <c r="A790" s="59" t="s">
        <v>65</v>
      </c>
      <c r="B790" s="60" t="s">
        <v>596</v>
      </c>
      <c r="C790" s="61" t="s">
        <v>602</v>
      </c>
      <c r="D790" s="62" t="s">
        <v>64</v>
      </c>
      <c r="E790" s="67" t="n">
        <v>-21.97</v>
      </c>
      <c r="F790" s="64" t="n">
        <f aca="false">IF(ISNUMBER(FIND("SALDO ANTERIOR",C790)),0,IF(ISNUMBER(FIND("SALDO DO DIA",C790)),0,IF(ISNUMBER(FIND("SALDO PARCIAL",C790)),0,IF(ISNUMBER(FIND("SDO CTA/APL AUTOMATICAS",C790)),0,IF(ISNUMBER(FIND("APL APLIC AUT MAIS",C790)),0,IF(ISNUMBER(FIND("TEC DEPOSITO",C790)),0,IF(E790&gt;0,0,E790*(-1))))))))</f>
        <v>21.97</v>
      </c>
      <c r="G790" s="65" t="n">
        <f aca="false">IF(ISNUMBER(FIND("SALDO ANTERIOR",C790)),0,IF(ISNUMBER(FIND("SALDO DO DIA",C790)),0,IF(ISNUMBER(FIND("SDO CTA/APL AUTOMATICAS",C790)),0,IF(ISNUMBER(FIND("TEC DEPOSITO",C790)),0,IF(ISNUMBER(FIND("APL APLIC AUT MAIS",C790)),E790,IF(E790&gt;0,E790,0))))))</f>
        <v>0</v>
      </c>
      <c r="H790" s="66" t="n">
        <v>44013</v>
      </c>
    </row>
    <row r="791" customFormat="false" ht="13.8" hidden="false" customHeight="false" outlineLevel="0" collapsed="false">
      <c r="A791" s="59" t="s">
        <v>74</v>
      </c>
      <c r="B791" s="60" t="s">
        <v>596</v>
      </c>
      <c r="C791" s="61" t="s">
        <v>603</v>
      </c>
      <c r="D791" s="62" t="s">
        <v>64</v>
      </c>
      <c r="E791" s="67" t="n">
        <v>-5.31</v>
      </c>
      <c r="F791" s="64" t="n">
        <f aca="false">IF(ISNUMBER(FIND("SALDO ANTERIOR",C791)),0,IF(ISNUMBER(FIND("SALDO DO DIA",C791)),0,IF(ISNUMBER(FIND("SALDO PARCIAL",C791)),0,IF(ISNUMBER(FIND("SDO CTA/APL AUTOMATICAS",C791)),0,IF(ISNUMBER(FIND("APL APLIC AUT MAIS",C791)),0,IF(ISNUMBER(FIND("TEC DEPOSITO",C791)),0,IF(E791&gt;0,0,E791*(-1))))))))</f>
        <v>5.31</v>
      </c>
      <c r="G791" s="65" t="n">
        <f aca="false">IF(ISNUMBER(FIND("SALDO ANTERIOR",C791)),0,IF(ISNUMBER(FIND("SALDO DO DIA",C791)),0,IF(ISNUMBER(FIND("SDO CTA/APL AUTOMATICAS",C791)),0,IF(ISNUMBER(FIND("TEC DEPOSITO",C791)),0,IF(ISNUMBER(FIND("APL APLIC AUT MAIS",C791)),E791,IF(E791&gt;0,E791,0))))))</f>
        <v>0</v>
      </c>
      <c r="H791" s="66" t="n">
        <v>44013</v>
      </c>
    </row>
    <row r="792" customFormat="false" ht="13.8" hidden="false" customHeight="false" outlineLevel="0" collapsed="false">
      <c r="A792" s="59" t="s">
        <v>74</v>
      </c>
      <c r="B792" s="60" t="s">
        <v>596</v>
      </c>
      <c r="C792" s="61" t="s">
        <v>603</v>
      </c>
      <c r="D792" s="62" t="s">
        <v>64</v>
      </c>
      <c r="E792" s="67" t="n">
        <v>-29.65</v>
      </c>
      <c r="F792" s="64" t="n">
        <f aca="false">IF(ISNUMBER(FIND("SALDO ANTERIOR",C792)),0,IF(ISNUMBER(FIND("SALDO DO DIA",C792)),0,IF(ISNUMBER(FIND("SALDO PARCIAL",C792)),0,IF(ISNUMBER(FIND("SDO CTA/APL AUTOMATICAS",C792)),0,IF(ISNUMBER(FIND("APL APLIC AUT MAIS",C792)),0,IF(ISNUMBER(FIND("TEC DEPOSITO",C792)),0,IF(E792&gt;0,0,E792*(-1))))))))</f>
        <v>29.65</v>
      </c>
      <c r="G792" s="65" t="n">
        <f aca="false">IF(ISNUMBER(FIND("SALDO ANTERIOR",C792)),0,IF(ISNUMBER(FIND("SALDO DO DIA",C792)),0,IF(ISNUMBER(FIND("SDO CTA/APL AUTOMATICAS",C792)),0,IF(ISNUMBER(FIND("TEC DEPOSITO",C792)),0,IF(ISNUMBER(FIND("APL APLIC AUT MAIS",C792)),E792,IF(E792&gt;0,E792,0))))))</f>
        <v>0</v>
      </c>
      <c r="H792" s="66" t="n">
        <v>44013</v>
      </c>
    </row>
    <row r="793" customFormat="false" ht="13.8" hidden="false" customHeight="false" outlineLevel="0" collapsed="false">
      <c r="A793" s="59" t="s">
        <v>98</v>
      </c>
      <c r="B793" s="60" t="s">
        <v>596</v>
      </c>
      <c r="C793" s="61" t="s">
        <v>99</v>
      </c>
      <c r="D793" s="62" t="s">
        <v>64</v>
      </c>
      <c r="E793" s="67" t="n">
        <v>-27.59</v>
      </c>
      <c r="F793" s="64" t="n">
        <f aca="false">IF(ISNUMBER(FIND("SALDO ANTERIOR",C793)),0,IF(ISNUMBER(FIND("SALDO DO DIA",C793)),0,IF(ISNUMBER(FIND("SALDO PARCIAL",C793)),0,IF(ISNUMBER(FIND("SDO CTA/APL AUTOMATICAS",C793)),0,IF(ISNUMBER(FIND("APL APLIC AUT MAIS",C793)),0,IF(ISNUMBER(FIND("TEC DEPOSITO",C793)),0,IF(E793&gt;0,0,E793*(-1))))))))</f>
        <v>27.59</v>
      </c>
      <c r="G793" s="65" t="n">
        <f aca="false">IF(ISNUMBER(FIND("SALDO ANTERIOR",C793)),0,IF(ISNUMBER(FIND("SALDO DO DIA",C793)),0,IF(ISNUMBER(FIND("SDO CTA/APL AUTOMATICAS",C793)),0,IF(ISNUMBER(FIND("TEC DEPOSITO",C793)),0,IF(ISNUMBER(FIND("APL APLIC AUT MAIS",C793)),E793,IF(E793&gt;0,E793,0))))))</f>
        <v>0</v>
      </c>
      <c r="H793" s="66" t="n">
        <v>44013</v>
      </c>
    </row>
    <row r="794" customFormat="false" ht="13.8" hidden="false" customHeight="false" outlineLevel="0" collapsed="false">
      <c r="A794" s="59" t="s">
        <v>98</v>
      </c>
      <c r="B794" s="60" t="s">
        <v>596</v>
      </c>
      <c r="C794" s="61" t="s">
        <v>99</v>
      </c>
      <c r="D794" s="62" t="s">
        <v>64</v>
      </c>
      <c r="E794" s="67" t="n">
        <v>-20.02</v>
      </c>
      <c r="F794" s="64" t="n">
        <f aca="false">IF(ISNUMBER(FIND("SALDO ANTERIOR",C794)),0,IF(ISNUMBER(FIND("SALDO DO DIA",C794)),0,IF(ISNUMBER(FIND("SALDO PARCIAL",C794)),0,IF(ISNUMBER(FIND("SDO CTA/APL AUTOMATICAS",C794)),0,IF(ISNUMBER(FIND("APL APLIC AUT MAIS",C794)),0,IF(ISNUMBER(FIND("TEC DEPOSITO",C794)),0,IF(E794&gt;0,0,E794*(-1))))))))</f>
        <v>20.02</v>
      </c>
      <c r="G794" s="65" t="n">
        <f aca="false">IF(ISNUMBER(FIND("SALDO ANTERIOR",C794)),0,IF(ISNUMBER(FIND("SALDO DO DIA",C794)),0,IF(ISNUMBER(FIND("SDO CTA/APL AUTOMATICAS",C794)),0,IF(ISNUMBER(FIND("TEC DEPOSITO",C794)),0,IF(ISNUMBER(FIND("APL APLIC AUT MAIS",C794)),E794,IF(E794&gt;0,E794,0))))))</f>
        <v>0</v>
      </c>
      <c r="H794" s="66" t="n">
        <v>44013</v>
      </c>
    </row>
    <row r="795" customFormat="false" ht="15" hidden="false" customHeight="false" outlineLevel="0" collapsed="false">
      <c r="A795" s="59" t="s">
        <v>29</v>
      </c>
      <c r="B795" s="60" t="s">
        <v>596</v>
      </c>
      <c r="C795" s="71" t="s">
        <v>494</v>
      </c>
      <c r="D795" s="62"/>
      <c r="E795" s="72" t="n">
        <v>-545.45</v>
      </c>
      <c r="F795" s="64" t="n">
        <f aca="false">IF(ISNUMBER(FIND("SALDO ANTERIOR",C795)),0,IF(ISNUMBER(FIND("SALDO DO DIA",C795)),0,IF(ISNUMBER(FIND("SALDO PARCIAL",C795)),0,IF(ISNUMBER(FIND("SDO CTA/APL AUTOMATICAS",C795)),0,IF(ISNUMBER(FIND("APL APLIC AUT MAIS",C795)),0,IF(ISNUMBER(FIND("TEC DEPOSITO",C795)),0,IF(E795&gt;0,0,E795*(-1))))))))</f>
        <v>0</v>
      </c>
      <c r="G795" s="65" t="n">
        <f aca="false">IF(ISNUMBER(FIND("SALDO ANTERIOR",C795)),0,IF(ISNUMBER(FIND("SALDO DO DIA",C795)),0,IF(ISNUMBER(FIND("SDO CTA/APL AUTOMATICAS",C795)),0,IF(ISNUMBER(FIND("TEC DEPOSITO",C795)),0,IF(ISNUMBER(FIND("APL APLIC AUT MAIS",C795)),E795,IF(E795&gt;0,E795,0))))))</f>
        <v>0</v>
      </c>
      <c r="H795" s="66" t="n">
        <v>44013</v>
      </c>
    </row>
    <row r="796" customFormat="false" ht="13.8" hidden="false" customHeight="false" outlineLevel="0" collapsed="false">
      <c r="A796" s="59" t="s">
        <v>98</v>
      </c>
      <c r="B796" s="60" t="s">
        <v>604</v>
      </c>
      <c r="C796" s="61" t="s">
        <v>146</v>
      </c>
      <c r="D796" s="62" t="s">
        <v>64</v>
      </c>
      <c r="E796" s="67" t="n">
        <v>-204.21</v>
      </c>
      <c r="F796" s="64" t="n">
        <f aca="false">IF(ISNUMBER(FIND("SALDO ANTERIOR",C796)),0,IF(ISNUMBER(FIND("SALDO DO DIA",C796)),0,IF(ISNUMBER(FIND("SALDO PARCIAL",C796)),0,IF(ISNUMBER(FIND("SDO CTA/APL AUTOMATICAS",C796)),0,IF(ISNUMBER(FIND("APL APLIC AUT MAIS",C796)),0,IF(ISNUMBER(FIND("TEC DEPOSITO",C796)),0,IF(E796&gt;0,0,E796*(-1))))))))</f>
        <v>204.21</v>
      </c>
      <c r="G796" s="65" t="n">
        <f aca="false">IF(ISNUMBER(FIND("SALDO ANTERIOR",C796)),0,IF(ISNUMBER(FIND("SALDO DO DIA",C796)),0,IF(ISNUMBER(FIND("SDO CTA/APL AUTOMATICAS",C796)),0,IF(ISNUMBER(FIND("TEC DEPOSITO",C796)),0,IF(ISNUMBER(FIND("APL APLIC AUT MAIS",C796)),E796,IF(E796&gt;0,E796,0))))))</f>
        <v>0</v>
      </c>
      <c r="H796" s="66" t="n">
        <v>44013</v>
      </c>
    </row>
    <row r="797" customFormat="false" ht="15" hidden="false" customHeight="false" outlineLevel="0" collapsed="false">
      <c r="A797" s="59" t="s">
        <v>29</v>
      </c>
      <c r="B797" s="60" t="s">
        <v>604</v>
      </c>
      <c r="C797" s="71" t="s">
        <v>494</v>
      </c>
      <c r="D797" s="62"/>
      <c r="E797" s="72" t="n">
        <v>-749.66</v>
      </c>
      <c r="F797" s="64" t="n">
        <f aca="false">IF(ISNUMBER(FIND("SALDO ANTERIOR",C797)),0,IF(ISNUMBER(FIND("SALDO DO DIA",C797)),0,IF(ISNUMBER(FIND("SALDO PARCIAL",C797)),0,IF(ISNUMBER(FIND("SDO CTA/APL AUTOMATICAS",C797)),0,IF(ISNUMBER(FIND("APL APLIC AUT MAIS",C797)),0,IF(ISNUMBER(FIND("TEC DEPOSITO",C797)),0,IF(E797&gt;0,0,E797*(-1))))))))</f>
        <v>0</v>
      </c>
      <c r="G797" s="65" t="n">
        <f aca="false">IF(ISNUMBER(FIND("SALDO ANTERIOR",C797)),0,IF(ISNUMBER(FIND("SALDO DO DIA",C797)),0,IF(ISNUMBER(FIND("SDO CTA/APL AUTOMATICAS",C797)),0,IF(ISNUMBER(FIND("TEC DEPOSITO",C797)),0,IF(ISNUMBER(FIND("APL APLIC AUT MAIS",C797)),E797,IF(E797&gt;0,E797,0))))))</f>
        <v>0</v>
      </c>
      <c r="H797" s="66" t="n">
        <v>44013</v>
      </c>
    </row>
    <row r="798" customFormat="false" ht="13.8" hidden="false" customHeight="false" outlineLevel="0" collapsed="false">
      <c r="A798" s="59" t="s">
        <v>71</v>
      </c>
      <c r="B798" s="60" t="s">
        <v>605</v>
      </c>
      <c r="C798" s="61" t="s">
        <v>85</v>
      </c>
      <c r="D798" s="62" t="s">
        <v>64</v>
      </c>
      <c r="E798" s="67" t="n">
        <v>-4.2</v>
      </c>
      <c r="F798" s="64" t="n">
        <f aca="false">IF(ISNUMBER(FIND("SALDO ANTERIOR",C798)),0,IF(ISNUMBER(FIND("SALDO DO DIA",C798)),0,IF(ISNUMBER(FIND("SALDO PARCIAL",C798)),0,IF(ISNUMBER(FIND("SDO CTA/APL AUTOMATICAS",C798)),0,IF(ISNUMBER(FIND("APL APLIC AUT MAIS",C798)),0,IF(ISNUMBER(FIND("TEC DEPOSITO",C798)),0,IF(E798&gt;0,0,E798*(-1))))))))</f>
        <v>4.2</v>
      </c>
      <c r="G798" s="65" t="n">
        <f aca="false">IF(ISNUMBER(FIND("SALDO ANTERIOR",C798)),0,IF(ISNUMBER(FIND("SALDO DO DIA",C798)),0,IF(ISNUMBER(FIND("SDO CTA/APL AUTOMATICAS",C798)),0,IF(ISNUMBER(FIND("TEC DEPOSITO",C798)),0,IF(ISNUMBER(FIND("APL APLIC AUT MAIS",C798)),E798,IF(E798&gt;0,E798,0))))))</f>
        <v>0</v>
      </c>
      <c r="H798" s="66" t="n">
        <v>44013</v>
      </c>
    </row>
    <row r="799" customFormat="false" ht="15" hidden="false" customHeight="false" outlineLevel="0" collapsed="false">
      <c r="A799" s="59" t="s">
        <v>29</v>
      </c>
      <c r="B799" s="60" t="s">
        <v>605</v>
      </c>
      <c r="C799" s="71" t="s">
        <v>494</v>
      </c>
      <c r="D799" s="62"/>
      <c r="E799" s="72" t="n">
        <v>-753.86</v>
      </c>
      <c r="F799" s="64" t="n">
        <f aca="false">IF(ISNUMBER(FIND("SALDO ANTERIOR",C799)),0,IF(ISNUMBER(FIND("SALDO DO DIA",C799)),0,IF(ISNUMBER(FIND("SALDO PARCIAL",C799)),0,IF(ISNUMBER(FIND("SDO CTA/APL AUTOMATICAS",C799)),0,IF(ISNUMBER(FIND("APL APLIC AUT MAIS",C799)),0,IF(ISNUMBER(FIND("TEC DEPOSITO",C799)),0,IF(E799&gt;0,0,E799*(-1))))))))</f>
        <v>0</v>
      </c>
      <c r="G799" s="65" t="n">
        <f aca="false">IF(ISNUMBER(FIND("SALDO ANTERIOR",C799)),0,IF(ISNUMBER(FIND("SALDO DO DIA",C799)),0,IF(ISNUMBER(FIND("SDO CTA/APL AUTOMATICAS",C799)),0,IF(ISNUMBER(FIND("TEC DEPOSITO",C799)),0,IF(ISNUMBER(FIND("APL APLIC AUT MAIS",C799)),E799,IF(E799&gt;0,E799,0))))))</f>
        <v>0</v>
      </c>
      <c r="H799" s="66" t="n">
        <v>44013</v>
      </c>
    </row>
    <row r="800" customFormat="false" ht="13.8" hidden="false" customHeight="false" outlineLevel="0" collapsed="false">
      <c r="A800" s="59" t="s">
        <v>74</v>
      </c>
      <c r="B800" s="60" t="s">
        <v>606</v>
      </c>
      <c r="C800" s="61" t="s">
        <v>607</v>
      </c>
      <c r="D800" s="62" t="s">
        <v>64</v>
      </c>
      <c r="E800" s="67" t="n">
        <v>-25.32</v>
      </c>
      <c r="F800" s="64" t="n">
        <f aca="false">IF(ISNUMBER(FIND("SALDO ANTERIOR",C800)),0,IF(ISNUMBER(FIND("SALDO DO DIA",C800)),0,IF(ISNUMBER(FIND("SALDO PARCIAL",C800)),0,IF(ISNUMBER(FIND("SDO CTA/APL AUTOMATICAS",C800)),0,IF(ISNUMBER(FIND("APL APLIC AUT MAIS",C800)),0,IF(ISNUMBER(FIND("TEC DEPOSITO",C800)),0,IF(E800&gt;0,0,E800*(-1))))))))</f>
        <v>25.32</v>
      </c>
      <c r="G800" s="65" t="n">
        <f aca="false">IF(ISNUMBER(FIND("SALDO ANTERIOR",C800)),0,IF(ISNUMBER(FIND("SALDO DO DIA",C800)),0,IF(ISNUMBER(FIND("SDO CTA/APL AUTOMATICAS",C800)),0,IF(ISNUMBER(FIND("TEC DEPOSITO",C800)),0,IF(ISNUMBER(FIND("APL APLIC AUT MAIS",C800)),E800,IF(E800&gt;0,E800,0))))))</f>
        <v>0</v>
      </c>
      <c r="H800" s="66" t="n">
        <v>44013</v>
      </c>
    </row>
    <row r="801" customFormat="false" ht="13.8" hidden="false" customHeight="false" outlineLevel="0" collapsed="false">
      <c r="A801" s="59" t="s">
        <v>608</v>
      </c>
      <c r="B801" s="60" t="s">
        <v>606</v>
      </c>
      <c r="C801" s="61" t="s">
        <v>609</v>
      </c>
      <c r="D801" s="62"/>
      <c r="E801" s="63" t="n">
        <v>2743.86</v>
      </c>
      <c r="F801" s="64" t="n">
        <f aca="false">IF(ISNUMBER(FIND("SALDO ANTERIOR",C801)),0,IF(ISNUMBER(FIND("SALDO DO DIA",C801)),0,IF(ISNUMBER(FIND("SALDO PARCIAL",C801)),0,IF(ISNUMBER(FIND("SDO CTA/APL AUTOMATICAS",C801)),0,IF(ISNUMBER(FIND("APL APLIC AUT MAIS",C801)),0,IF(ISNUMBER(FIND("TEC DEPOSITO",C801)),0,IF(E801&gt;0,0,E801*(-1))))))))</f>
        <v>0</v>
      </c>
      <c r="G801" s="65" t="n">
        <f aca="false">IF(ISNUMBER(FIND("SALDO ANTERIOR",C801)),0,IF(ISNUMBER(FIND("SALDO DO DIA",C801)),0,IF(ISNUMBER(FIND("SDO CTA/APL AUTOMATICAS",C801)),0,IF(ISNUMBER(FIND("TEC DEPOSITO",C801)),0,IF(ISNUMBER(FIND("APL APLIC AUT MAIS",C801)),E801,IF(E801&gt;0,E801,0))))))</f>
        <v>2743.86</v>
      </c>
      <c r="H801" s="66" t="n">
        <v>44013</v>
      </c>
    </row>
    <row r="802" customFormat="false" ht="15" hidden="false" customHeight="false" outlineLevel="0" collapsed="false">
      <c r="A802" s="59" t="s">
        <v>29</v>
      </c>
      <c r="B802" s="60" t="s">
        <v>606</v>
      </c>
      <c r="C802" s="71" t="s">
        <v>494</v>
      </c>
      <c r="D802" s="62"/>
      <c r="E802" s="94" t="n">
        <v>1964.68</v>
      </c>
      <c r="F802" s="64" t="n">
        <f aca="false">IF(ISNUMBER(FIND("SALDO ANTERIOR",C802)),0,IF(ISNUMBER(FIND("SALDO DO DIA",C802)),0,IF(ISNUMBER(FIND("SALDO PARCIAL",C802)),0,IF(ISNUMBER(FIND("SDO CTA/APL AUTOMATICAS",C802)),0,IF(ISNUMBER(FIND("APL APLIC AUT MAIS",C802)),0,IF(ISNUMBER(FIND("TEC DEPOSITO",C802)),0,IF(E802&gt;0,0,E802*(-1))))))))</f>
        <v>0</v>
      </c>
      <c r="G802" s="65" t="n">
        <f aca="false">IF(ISNUMBER(FIND("SALDO ANTERIOR",C802)),0,IF(ISNUMBER(FIND("SALDO DO DIA",C802)),0,IF(ISNUMBER(FIND("SDO CTA/APL AUTOMATICAS",C802)),0,IF(ISNUMBER(FIND("TEC DEPOSITO",C802)),0,IF(ISNUMBER(FIND("APL APLIC AUT MAIS",C802)),E802,IF(E802&gt;0,E802,0))))))</f>
        <v>0</v>
      </c>
      <c r="H802" s="66" t="n">
        <v>44013</v>
      </c>
    </row>
    <row r="803" customFormat="false" ht="15" hidden="false" customHeight="false" outlineLevel="0" collapsed="false">
      <c r="A803" s="59" t="s">
        <v>29</v>
      </c>
      <c r="B803" s="60" t="s">
        <v>606</v>
      </c>
      <c r="C803" s="71" t="s">
        <v>610</v>
      </c>
      <c r="D803" s="62"/>
      <c r="E803" s="94" t="n">
        <v>2743.86</v>
      </c>
      <c r="F803" s="64" t="n">
        <f aca="false">IF(ISNUMBER(FIND("SALDO ANTERIOR",C803)),0,IF(ISNUMBER(FIND("SALDO DO DIA",C803)),0,IF(ISNUMBER(FIND("SALDO PARCIAL",C803)),0,IF(ISNUMBER(FIND("SDO CTA/APL AUTOMATICAS",C803)),0,IF(ISNUMBER(FIND("APL APLIC AUT MAIS",C803)),0,IF(ISNUMBER(FIND("TEC DEPOSITO",C803)),0,IF(E803&gt;0,0,E803*(-1))))))))</f>
        <v>0</v>
      </c>
      <c r="G803" s="65" t="n">
        <v>0</v>
      </c>
      <c r="H803" s="66" t="n">
        <v>44013</v>
      </c>
    </row>
    <row r="804" customFormat="false" ht="15" hidden="false" customHeight="false" outlineLevel="0" collapsed="false">
      <c r="A804" s="59" t="s">
        <v>29</v>
      </c>
      <c r="B804" s="60" t="s">
        <v>606</v>
      </c>
      <c r="C804" s="71" t="s">
        <v>611</v>
      </c>
      <c r="D804" s="62"/>
      <c r="E804" s="72" t="n">
        <v>-779.18</v>
      </c>
      <c r="F804" s="64" t="n">
        <v>0</v>
      </c>
      <c r="G804" s="65" t="n">
        <f aca="false">IF(ISNUMBER(FIND("SALDO ANTERIOR",C804)),0,IF(ISNUMBER(FIND("SALDO DO DIA",C804)),0,IF(ISNUMBER(FIND("SDO CTA/APL AUTOMATICAS",C804)),0,IF(ISNUMBER(FIND("TEC DEPOSITO",C804)),0,IF(ISNUMBER(FIND("APL APLIC AUT MAIS",C804)),E804,IF(E804&gt;0,E804,0))))))</f>
        <v>0</v>
      </c>
      <c r="H804" s="66" t="n">
        <v>44013</v>
      </c>
    </row>
    <row r="805" customFormat="false" ht="13.8" hidden="false" customHeight="false" outlineLevel="0" collapsed="false">
      <c r="A805" s="59" t="s">
        <v>35</v>
      </c>
      <c r="B805" s="60" t="s">
        <v>612</v>
      </c>
      <c r="C805" s="61" t="s">
        <v>168</v>
      </c>
      <c r="D805" s="62" t="s">
        <v>61</v>
      </c>
      <c r="E805" s="67" t="n">
        <v>-3000</v>
      </c>
      <c r="F805" s="64" t="n">
        <f aca="false">IF(ISNUMBER(FIND("SALDO ANTERIOR",C805)),0,IF(ISNUMBER(FIND("SALDO DO DIA",C805)),0,IF(ISNUMBER(FIND("SALDO PARCIAL",C805)),0,IF(ISNUMBER(FIND("SDO CTA/APL AUTOMATICAS",C805)),0,IF(ISNUMBER(FIND("APL APLIC AUT MAIS",C805)),0,IF(ISNUMBER(FIND("TEC DEPOSITO",C805)),0,IF(E805&gt;0,0,E805*(-1))))))))</f>
        <v>3000</v>
      </c>
      <c r="G805" s="65" t="n">
        <f aca="false">IF(ISNUMBER(FIND("SALDO ANTERIOR",C805)),0,IF(ISNUMBER(FIND("SALDO DO DIA",C805)),0,IF(ISNUMBER(FIND("SDO CTA/APL AUTOMATICAS",C805)),0,IF(ISNUMBER(FIND("TEC DEPOSITO",C805)),0,IF(ISNUMBER(FIND("APL APLIC AUT MAIS",C805)),E805,IF(E805&gt;0,E805,0))))))</f>
        <v>0</v>
      </c>
      <c r="H805" s="66" t="n">
        <v>44013</v>
      </c>
    </row>
    <row r="806" customFormat="false" ht="13.8" hidden="false" customHeight="false" outlineLevel="0" collapsed="false">
      <c r="A806" s="59" t="s">
        <v>71</v>
      </c>
      <c r="B806" s="60" t="s">
        <v>612</v>
      </c>
      <c r="C806" s="61" t="s">
        <v>85</v>
      </c>
      <c r="D806" s="62" t="s">
        <v>64</v>
      </c>
      <c r="E806" s="67" t="n">
        <v>-3.68</v>
      </c>
      <c r="F806" s="64" t="n">
        <f aca="false">IF(ISNUMBER(FIND("SALDO ANTERIOR",C806)),0,IF(ISNUMBER(FIND("SALDO DO DIA",C806)),0,IF(ISNUMBER(FIND("SALDO PARCIAL",C806)),0,IF(ISNUMBER(FIND("SDO CTA/APL AUTOMATICAS",C806)),0,IF(ISNUMBER(FIND("APL APLIC AUT MAIS",C806)),0,IF(ISNUMBER(FIND("TEC DEPOSITO",C806)),0,IF(E806&gt;0,0,E806*(-1))))))))</f>
        <v>3.68</v>
      </c>
      <c r="G806" s="65" t="n">
        <f aca="false">IF(ISNUMBER(FIND("SALDO ANTERIOR",C806)),0,IF(ISNUMBER(FIND("SALDO DO DIA",C806)),0,IF(ISNUMBER(FIND("SDO CTA/APL AUTOMATICAS",C806)),0,IF(ISNUMBER(FIND("TEC DEPOSITO",C806)),0,IF(ISNUMBER(FIND("APL APLIC AUT MAIS",C806)),E806,IF(E806&gt;0,E806,0))))))</f>
        <v>0</v>
      </c>
      <c r="H806" s="66" t="n">
        <v>44013</v>
      </c>
    </row>
    <row r="807" customFormat="false" ht="13.8" hidden="false" customHeight="false" outlineLevel="0" collapsed="false">
      <c r="A807" s="59" t="s">
        <v>127</v>
      </c>
      <c r="B807" s="60" t="s">
        <v>612</v>
      </c>
      <c r="C807" s="61" t="s">
        <v>128</v>
      </c>
      <c r="D807" s="62"/>
      <c r="E807" s="63" t="n">
        <v>4280.95</v>
      </c>
      <c r="F807" s="64" t="n">
        <f aca="false">IF(ISNUMBER(FIND("SALDO ANTERIOR",C807)),0,IF(ISNUMBER(FIND("SALDO DO DIA",C807)),0,IF(ISNUMBER(FIND("SALDO PARCIAL",C807)),0,IF(ISNUMBER(FIND("SDO CTA/APL AUTOMATICAS",C807)),0,IF(ISNUMBER(FIND("APL APLIC AUT MAIS",C807)),0,IF(ISNUMBER(FIND("TEC DEPOSITO",C807)),0,IF(E807&gt;0,0,E807*(-1))))))))</f>
        <v>0</v>
      </c>
      <c r="G807" s="65" t="n">
        <f aca="false">IF(ISNUMBER(FIND("SALDO ANTERIOR",C807)),0,IF(ISNUMBER(FIND("SALDO DO DIA",C807)),0,IF(ISNUMBER(FIND("SDO CTA/APL AUTOMATICAS",C807)),0,IF(ISNUMBER(FIND("TEC DEPOSITO",C807)),0,IF(ISNUMBER(FIND("APL APLIC AUT MAIS",C807)),E807,IF(E807&gt;0,E807,0))))))</f>
        <v>4280.95</v>
      </c>
      <c r="H807" s="66" t="n">
        <v>44013</v>
      </c>
    </row>
    <row r="808" customFormat="false" ht="15" hidden="false" customHeight="false" outlineLevel="0" collapsed="false">
      <c r="A808" s="59" t="s">
        <v>29</v>
      </c>
      <c r="B808" s="60" t="s">
        <v>612</v>
      </c>
      <c r="C808" s="71" t="s">
        <v>521</v>
      </c>
      <c r="D808" s="62"/>
      <c r="E808" s="94" t="n">
        <v>3241.95</v>
      </c>
      <c r="F808" s="64" t="n">
        <f aca="false">IF(ISNUMBER(FIND("SALDO ANTERIOR",C808)),0,IF(ISNUMBER(FIND("SALDO DO DIA",C808)),0,IF(ISNUMBER(FIND("SALDO PARCIAL",C808)),0,IF(ISNUMBER(FIND("SDO CTA/APL AUTOMATICAS",C808)),0,IF(ISNUMBER(FIND("APL APLIC AUT MAIS",C808)),0,IF(ISNUMBER(FIND("TEC DEPOSITO",C808)),0,IF(E808&gt;0,0,E808*(-1))))))))</f>
        <v>0</v>
      </c>
      <c r="G808" s="65" t="n">
        <f aca="false">IF(ISNUMBER(FIND("SALDO ANTERIOR",C808)),0,IF(ISNUMBER(FIND("SALDO DO DIA",C808)),0,IF(ISNUMBER(FIND("SDO CTA/APL AUTOMATICAS",C808)),0,IF(ISNUMBER(FIND("TEC DEPOSITO",C808)),0,IF(ISNUMBER(FIND("APL APLIC AUT MAIS",C808)),E808,IF(E808&gt;0,E808,0))))))</f>
        <v>0</v>
      </c>
      <c r="H808" s="66" t="n">
        <v>44013</v>
      </c>
    </row>
    <row r="809" customFormat="false" ht="15" hidden="false" customHeight="false" outlineLevel="0" collapsed="false">
      <c r="A809" s="59" t="s">
        <v>29</v>
      </c>
      <c r="B809" s="60" t="s">
        <v>612</v>
      </c>
      <c r="C809" s="71" t="s">
        <v>494</v>
      </c>
      <c r="D809" s="62"/>
      <c r="E809" s="94" t="n">
        <v>10</v>
      </c>
      <c r="F809" s="64" t="n">
        <f aca="false">IF(ISNUMBER(FIND("SALDO ANTERIOR",C809)),0,IF(ISNUMBER(FIND("SALDO DO DIA",C809)),0,IF(ISNUMBER(FIND("SALDO PARCIAL",C809)),0,IF(ISNUMBER(FIND("SDO CTA/APL AUTOMATICAS",C809)),0,IF(ISNUMBER(FIND("APL APLIC AUT MAIS",C809)),0,IF(ISNUMBER(FIND("TEC DEPOSITO",C809)),0,IF(E809&gt;0,0,E809*(-1))))))))</f>
        <v>0</v>
      </c>
      <c r="G809" s="65" t="n">
        <f aca="false">IF(ISNUMBER(FIND("SALDO ANTERIOR",C809)),0,IF(ISNUMBER(FIND("SALDO DO DIA",C809)),0,IF(ISNUMBER(FIND("SDO CTA/APL AUTOMATICAS",C809)),0,IF(ISNUMBER(FIND("TEC DEPOSITO",C809)),0,IF(ISNUMBER(FIND("APL APLIC AUT MAIS",C809)),E809,IF(E809&gt;0,E809,0))))))</f>
        <v>0</v>
      </c>
      <c r="H809" s="66" t="n">
        <v>44013</v>
      </c>
    </row>
    <row r="810" customFormat="false" ht="15" hidden="false" customHeight="false" outlineLevel="0" collapsed="false">
      <c r="A810" s="59" t="s">
        <v>29</v>
      </c>
      <c r="B810" s="74" t="s">
        <v>612</v>
      </c>
      <c r="C810" s="83" t="s">
        <v>111</v>
      </c>
      <c r="D810" s="76"/>
      <c r="E810" s="93" t="n">
        <v>10</v>
      </c>
      <c r="F810" s="78" t="n">
        <f aca="false">IF(ISNUMBER(FIND("SALDO ANTERIOR",C810)),0,IF(ISNUMBER(FIND("SALDO DO DIA",C810)),0,IF(ISNUMBER(FIND("SALDO PARCIAL",C810)),0,IF(ISNUMBER(FIND("SDO CTA/APL AUTOMATICAS",C810)),0,IF(ISNUMBER(FIND("APL APLIC AUT MAIS",C810)),0,IF(ISNUMBER(FIND("TEC DEPOSITO",C810)),0,IF(E810&gt;0,0,E810*(-1))))))))</f>
        <v>0</v>
      </c>
      <c r="G810" s="79" t="n">
        <f aca="false">IF(ISNUMBER(FIND("SALDO ANTERIOR",C810)),0,IF(ISNUMBER(FIND("SALDO DO DIA",C810)),0,IF(ISNUMBER(FIND("SDO CTA/APL AUTOMATICAS",C810)),0,IF(ISNUMBER(FIND("TEC DEPOSITO",C810)),0,IF(ISNUMBER(FIND("APL APLIC AUT MAIS",C810)),E810,IF(E810&gt;0,E810,0))))))</f>
        <v>0</v>
      </c>
      <c r="H810" s="95" t="n">
        <v>44044</v>
      </c>
    </row>
    <row r="811" customFormat="false" ht="13.8" hidden="false" customHeight="false" outlineLevel="0" collapsed="false">
      <c r="A811" s="59" t="s">
        <v>65</v>
      </c>
      <c r="B811" s="74" t="s">
        <v>613</v>
      </c>
      <c r="C811" s="75" t="s">
        <v>614</v>
      </c>
      <c r="D811" s="76" t="s">
        <v>64</v>
      </c>
      <c r="E811" s="81" t="n">
        <v>-50</v>
      </c>
      <c r="F811" s="78" t="n">
        <f aca="false">IF(ISNUMBER(FIND("SALDO ANTERIOR",C811)),0,IF(ISNUMBER(FIND("SALDO DO DIA",C811)),0,IF(ISNUMBER(FIND("SALDO PARCIAL",C811)),0,IF(ISNUMBER(FIND("SDO CTA/APL AUTOMATICAS",C811)),0,IF(ISNUMBER(FIND("APL APLIC AUT MAIS",C811)),0,IF(ISNUMBER(FIND("TEC DEPOSITO",C811)),0,IF(E811&gt;0,0,E811*(-1))))))))</f>
        <v>50</v>
      </c>
      <c r="G811" s="79" t="n">
        <f aca="false">IF(ISNUMBER(FIND("SALDO ANTERIOR",C811)),0,IF(ISNUMBER(FIND("SALDO DO DIA",C811)),0,IF(ISNUMBER(FIND("SDO CTA/APL AUTOMATICAS",C811)),0,IF(ISNUMBER(FIND("TEC DEPOSITO",C811)),0,IF(ISNUMBER(FIND("APL APLIC AUT MAIS",C811)),E811,IF(E811&gt;0,E811,0))))))</f>
        <v>0</v>
      </c>
      <c r="H811" s="95" t="n">
        <v>44044</v>
      </c>
    </row>
    <row r="812" customFormat="false" ht="13.8" hidden="false" customHeight="false" outlineLevel="0" collapsed="false">
      <c r="A812" s="59" t="s">
        <v>71</v>
      </c>
      <c r="B812" s="74" t="s">
        <v>613</v>
      </c>
      <c r="C812" s="75" t="s">
        <v>85</v>
      </c>
      <c r="D812" s="76" t="s">
        <v>64</v>
      </c>
      <c r="E812" s="81" t="n">
        <v>-4.16</v>
      </c>
      <c r="F812" s="78" t="n">
        <f aca="false">IF(ISNUMBER(FIND("SALDO ANTERIOR",C812)),0,IF(ISNUMBER(FIND("SALDO DO DIA",C812)),0,IF(ISNUMBER(FIND("SALDO PARCIAL",C812)),0,IF(ISNUMBER(FIND("SDO CTA/APL AUTOMATICAS",C812)),0,IF(ISNUMBER(FIND("APL APLIC AUT MAIS",C812)),0,IF(ISNUMBER(FIND("TEC DEPOSITO",C812)),0,IF(E812&gt;0,0,E812*(-1))))))))</f>
        <v>4.16</v>
      </c>
      <c r="G812" s="79" t="n">
        <f aca="false">IF(ISNUMBER(FIND("SALDO ANTERIOR",C812)),0,IF(ISNUMBER(FIND("SALDO DO DIA",C812)),0,IF(ISNUMBER(FIND("SDO CTA/APL AUTOMATICAS",C812)),0,IF(ISNUMBER(FIND("TEC DEPOSITO",C812)),0,IF(ISNUMBER(FIND("APL APLIC AUT MAIS",C812)),E812,IF(E812&gt;0,E812,0))))))</f>
        <v>0</v>
      </c>
      <c r="H812" s="95" t="n">
        <v>44044</v>
      </c>
    </row>
    <row r="813" customFormat="false" ht="13.8" hidden="false" customHeight="false" outlineLevel="0" collapsed="false">
      <c r="A813" s="59" t="s">
        <v>225</v>
      </c>
      <c r="B813" s="74" t="s">
        <v>613</v>
      </c>
      <c r="C813" s="75" t="s">
        <v>240</v>
      </c>
      <c r="D813" s="76" t="s">
        <v>64</v>
      </c>
      <c r="E813" s="81" t="n">
        <v>-18.47</v>
      </c>
      <c r="F813" s="78" t="n">
        <f aca="false">IF(ISNUMBER(FIND("SALDO ANTERIOR",C813)),0,IF(ISNUMBER(FIND("SALDO DO DIA",C813)),0,IF(ISNUMBER(FIND("SALDO PARCIAL",C813)),0,IF(ISNUMBER(FIND("SDO CTA/APL AUTOMATICAS",C813)),0,IF(ISNUMBER(FIND("APL APLIC AUT MAIS",C813)),0,IF(ISNUMBER(FIND("TEC DEPOSITO",C813)),0,IF(E813&gt;0,0,E813*(-1))))))))</f>
        <v>18.47</v>
      </c>
      <c r="G813" s="79" t="n">
        <f aca="false">IF(ISNUMBER(FIND("SALDO ANTERIOR",C813)),0,IF(ISNUMBER(FIND("SALDO DO DIA",C813)),0,IF(ISNUMBER(FIND("SDO CTA/APL AUTOMATICAS",C813)),0,IF(ISNUMBER(FIND("TEC DEPOSITO",C813)),0,IF(ISNUMBER(FIND("APL APLIC AUT MAIS",C813)),E813,IF(E813&gt;0,E813,0))))))</f>
        <v>0</v>
      </c>
      <c r="H813" s="95" t="n">
        <v>44044</v>
      </c>
    </row>
    <row r="814" customFormat="false" ht="13.8" hidden="false" customHeight="false" outlineLevel="0" collapsed="false">
      <c r="A814" s="59" t="s">
        <v>74</v>
      </c>
      <c r="B814" s="74" t="s">
        <v>613</v>
      </c>
      <c r="C814" s="75" t="s">
        <v>615</v>
      </c>
      <c r="D814" s="76" t="s">
        <v>64</v>
      </c>
      <c r="E814" s="81" t="n">
        <v>-49.9</v>
      </c>
      <c r="F814" s="78" t="n">
        <f aca="false">IF(ISNUMBER(FIND("SALDO ANTERIOR",C814)),0,IF(ISNUMBER(FIND("SALDO DO DIA",C814)),0,IF(ISNUMBER(FIND("SALDO PARCIAL",C814)),0,IF(ISNUMBER(FIND("SDO CTA/APL AUTOMATICAS",C814)),0,IF(ISNUMBER(FIND("APL APLIC AUT MAIS",C814)),0,IF(ISNUMBER(FIND("TEC DEPOSITO",C814)),0,IF(E814&gt;0,0,E814*(-1))))))))</f>
        <v>49.9</v>
      </c>
      <c r="G814" s="79" t="n">
        <f aca="false">IF(ISNUMBER(FIND("SALDO ANTERIOR",C814)),0,IF(ISNUMBER(FIND("SALDO DO DIA",C814)),0,IF(ISNUMBER(FIND("SDO CTA/APL AUTOMATICAS",C814)),0,IF(ISNUMBER(FIND("TEC DEPOSITO",C814)),0,IF(ISNUMBER(FIND("APL APLIC AUT MAIS",C814)),E814,IF(E814&gt;0,E814,0))))))</f>
        <v>0</v>
      </c>
      <c r="H814" s="95" t="n">
        <v>44044</v>
      </c>
    </row>
    <row r="815" customFormat="false" ht="13.8" hidden="false" customHeight="false" outlineLevel="0" collapsed="false">
      <c r="A815" s="59" t="s">
        <v>76</v>
      </c>
      <c r="B815" s="74" t="s">
        <v>613</v>
      </c>
      <c r="C815" s="75" t="s">
        <v>616</v>
      </c>
      <c r="D815" s="76" t="s">
        <v>64</v>
      </c>
      <c r="E815" s="81" t="n">
        <v>-103.8</v>
      </c>
      <c r="F815" s="78" t="n">
        <f aca="false">IF(ISNUMBER(FIND("SALDO ANTERIOR",C815)),0,IF(ISNUMBER(FIND("SALDO DO DIA",C815)),0,IF(ISNUMBER(FIND("SALDO PARCIAL",C815)),0,IF(ISNUMBER(FIND("SDO CTA/APL AUTOMATICAS",C815)),0,IF(ISNUMBER(FIND("APL APLIC AUT MAIS",C815)),0,IF(ISNUMBER(FIND("TEC DEPOSITO",C815)),0,IF(E815&gt;0,0,E815*(-1))))))))</f>
        <v>103.8</v>
      </c>
      <c r="G815" s="79" t="n">
        <f aca="false">IF(ISNUMBER(FIND("SALDO ANTERIOR",C815)),0,IF(ISNUMBER(FIND("SALDO DO DIA",C815)),0,IF(ISNUMBER(FIND("SDO CTA/APL AUTOMATICAS",C815)),0,IF(ISNUMBER(FIND("TEC DEPOSITO",C815)),0,IF(ISNUMBER(FIND("APL APLIC AUT MAIS",C815)),E815,IF(E815&gt;0,E815,0))))))</f>
        <v>0</v>
      </c>
      <c r="H815" s="95" t="n">
        <v>44044</v>
      </c>
    </row>
    <row r="816" customFormat="false" ht="13.8" hidden="false" customHeight="false" outlineLevel="0" collapsed="false">
      <c r="A816" s="59" t="s">
        <v>98</v>
      </c>
      <c r="B816" s="74" t="s">
        <v>613</v>
      </c>
      <c r="C816" s="75" t="s">
        <v>180</v>
      </c>
      <c r="D816" s="76" t="s">
        <v>64</v>
      </c>
      <c r="E816" s="81" t="n">
        <v>-144.47</v>
      </c>
      <c r="F816" s="78" t="n">
        <f aca="false">IF(ISNUMBER(FIND("SALDO ANTERIOR",C816)),0,IF(ISNUMBER(FIND("SALDO DO DIA",C816)),0,IF(ISNUMBER(FIND("SALDO PARCIAL",C816)),0,IF(ISNUMBER(FIND("SDO CTA/APL AUTOMATICAS",C816)),0,IF(ISNUMBER(FIND("APL APLIC AUT MAIS",C816)),0,IF(ISNUMBER(FIND("TEC DEPOSITO",C816)),0,IF(E816&gt;0,0,E816*(-1))))))))</f>
        <v>144.47</v>
      </c>
      <c r="G816" s="79" t="n">
        <f aca="false">IF(ISNUMBER(FIND("SALDO ANTERIOR",C816)),0,IF(ISNUMBER(FIND("SALDO DO DIA",C816)),0,IF(ISNUMBER(FIND("SDO CTA/APL AUTOMATICAS",C816)),0,IF(ISNUMBER(FIND("TEC DEPOSITO",C816)),0,IF(ISNUMBER(FIND("APL APLIC AUT MAIS",C816)),E816,IF(E816&gt;0,E816,0))))))</f>
        <v>0</v>
      </c>
      <c r="H816" s="95" t="n">
        <v>44044</v>
      </c>
    </row>
    <row r="817" customFormat="false" ht="15" hidden="false" customHeight="false" outlineLevel="0" collapsed="false">
      <c r="A817" s="59" t="s">
        <v>29</v>
      </c>
      <c r="B817" s="74" t="s">
        <v>613</v>
      </c>
      <c r="C817" s="83" t="s">
        <v>521</v>
      </c>
      <c r="D817" s="76"/>
      <c r="E817" s="93" t="n">
        <v>2871.15</v>
      </c>
      <c r="F817" s="78" t="n">
        <f aca="false">IF(ISNUMBER(FIND("SALDO ANTERIOR",C817)),0,IF(ISNUMBER(FIND("SALDO DO DIA",C817)),0,IF(ISNUMBER(FIND("SALDO PARCIAL",C817)),0,IF(ISNUMBER(FIND("SDO CTA/APL AUTOMATICAS",C817)),0,IF(ISNUMBER(FIND("APL APLIC AUT MAIS",C817)),0,IF(ISNUMBER(FIND("TEC DEPOSITO",C817)),0,IF(E817&gt;0,0,E817*(-1))))))))</f>
        <v>0</v>
      </c>
      <c r="G817" s="79" t="n">
        <f aca="false">IF(ISNUMBER(FIND("SALDO ANTERIOR",C817)),0,IF(ISNUMBER(FIND("SALDO DO DIA",C817)),0,IF(ISNUMBER(FIND("SDO CTA/APL AUTOMATICAS",C817)),0,IF(ISNUMBER(FIND("TEC DEPOSITO",C817)),0,IF(ISNUMBER(FIND("APL APLIC AUT MAIS",C817)),E817,IF(E817&gt;0,E817,0))))))</f>
        <v>0</v>
      </c>
      <c r="H817" s="95" t="n">
        <v>44044</v>
      </c>
    </row>
    <row r="818" customFormat="false" ht="13.8" hidden="false" customHeight="false" outlineLevel="0" collapsed="false">
      <c r="A818" s="59" t="s">
        <v>119</v>
      </c>
      <c r="B818" s="74" t="s">
        <v>617</v>
      </c>
      <c r="C818" s="75" t="s">
        <v>217</v>
      </c>
      <c r="D818" s="76" t="s">
        <v>61</v>
      </c>
      <c r="E818" s="81" t="n">
        <v>-56.15</v>
      </c>
      <c r="F818" s="78" t="n">
        <f aca="false">IF(ISNUMBER(FIND("SALDO ANTERIOR",C818)),0,IF(ISNUMBER(FIND("SALDO DO DIA",C818)),0,IF(ISNUMBER(FIND("SALDO PARCIAL",C818)),0,IF(ISNUMBER(FIND("SDO CTA/APL AUTOMATICAS",C818)),0,IF(ISNUMBER(FIND("APL APLIC AUT MAIS",C818)),0,IF(ISNUMBER(FIND("TEC DEPOSITO",C818)),0,IF(E818&gt;0,0,E818*(-1))))))))</f>
        <v>56.15</v>
      </c>
      <c r="G818" s="79" t="n">
        <f aca="false">IF(ISNUMBER(FIND("SALDO ANTERIOR",C818)),0,IF(ISNUMBER(FIND("SALDO DO DIA",C818)),0,IF(ISNUMBER(FIND("SDO CTA/APL AUTOMATICAS",C818)),0,IF(ISNUMBER(FIND("TEC DEPOSITO",C818)),0,IF(ISNUMBER(FIND("APL APLIC AUT MAIS",C818)),E818,IF(E818&gt;0,E818,0))))))</f>
        <v>0</v>
      </c>
      <c r="H818" s="95" t="n">
        <v>44044</v>
      </c>
    </row>
    <row r="819" customFormat="false" ht="13.8" hidden="false" customHeight="false" outlineLevel="0" collapsed="false">
      <c r="A819" s="59" t="s">
        <v>71</v>
      </c>
      <c r="B819" s="74" t="s">
        <v>617</v>
      </c>
      <c r="C819" s="75" t="s">
        <v>85</v>
      </c>
      <c r="D819" s="76" t="s">
        <v>64</v>
      </c>
      <c r="E819" s="81" t="n">
        <v>-4.29</v>
      </c>
      <c r="F819" s="78" t="n">
        <f aca="false">IF(ISNUMBER(FIND("SALDO ANTERIOR",C819)),0,IF(ISNUMBER(FIND("SALDO DO DIA",C819)),0,IF(ISNUMBER(FIND("SALDO PARCIAL",C819)),0,IF(ISNUMBER(FIND("SDO CTA/APL AUTOMATICAS",C819)),0,IF(ISNUMBER(FIND("APL APLIC AUT MAIS",C819)),0,IF(ISNUMBER(FIND("TEC DEPOSITO",C819)),0,IF(E819&gt;0,0,E819*(-1))))))))</f>
        <v>4.29</v>
      </c>
      <c r="G819" s="79" t="n">
        <f aca="false">IF(ISNUMBER(FIND("SALDO ANTERIOR",C819)),0,IF(ISNUMBER(FIND("SALDO DO DIA",C819)),0,IF(ISNUMBER(FIND("SDO CTA/APL AUTOMATICAS",C819)),0,IF(ISNUMBER(FIND("TEC DEPOSITO",C819)),0,IF(ISNUMBER(FIND("APL APLIC AUT MAIS",C819)),E819,IF(E819&gt;0,E819,0))))))</f>
        <v>0</v>
      </c>
      <c r="H819" s="95" t="n">
        <v>44044</v>
      </c>
    </row>
    <row r="820" customFormat="false" ht="13.8" hidden="false" customHeight="false" outlineLevel="0" collapsed="false">
      <c r="A820" s="59" t="s">
        <v>65</v>
      </c>
      <c r="B820" s="74" t="s">
        <v>617</v>
      </c>
      <c r="C820" s="75" t="s">
        <v>487</v>
      </c>
      <c r="D820" s="76" t="s">
        <v>64</v>
      </c>
      <c r="E820" s="81" t="n">
        <v>-72</v>
      </c>
      <c r="F820" s="78" t="n">
        <f aca="false">IF(ISNUMBER(FIND("SALDO ANTERIOR",C820)),0,IF(ISNUMBER(FIND("SALDO DO DIA",C820)),0,IF(ISNUMBER(FIND("SALDO PARCIAL",C820)),0,IF(ISNUMBER(FIND("SDO CTA/APL AUTOMATICAS",C820)),0,IF(ISNUMBER(FIND("APL APLIC AUT MAIS",C820)),0,IF(ISNUMBER(FIND("TEC DEPOSITO",C820)),0,IF(E820&gt;0,0,E820*(-1))))))))</f>
        <v>72</v>
      </c>
      <c r="G820" s="79" t="n">
        <f aca="false">IF(ISNUMBER(FIND("SALDO ANTERIOR",C820)),0,IF(ISNUMBER(FIND("SALDO DO DIA",C820)),0,IF(ISNUMBER(FIND("SDO CTA/APL AUTOMATICAS",C820)),0,IF(ISNUMBER(FIND("TEC DEPOSITO",C820)),0,IF(ISNUMBER(FIND("APL APLIC AUT MAIS",C820)),E820,IF(E820&gt;0,E820,0))))))</f>
        <v>0</v>
      </c>
      <c r="H820" s="95" t="n">
        <v>44044</v>
      </c>
    </row>
    <row r="821" customFormat="false" ht="13.8" hidden="false" customHeight="false" outlineLevel="0" collapsed="false">
      <c r="A821" s="59" t="s">
        <v>67</v>
      </c>
      <c r="B821" s="74" t="s">
        <v>617</v>
      </c>
      <c r="C821" s="75" t="s">
        <v>618</v>
      </c>
      <c r="D821" s="76" t="s">
        <v>82</v>
      </c>
      <c r="E821" s="81" t="n">
        <v>-76.9</v>
      </c>
      <c r="F821" s="78" t="n">
        <f aca="false">IF(ISNUMBER(FIND("SALDO ANTERIOR",C821)),0,IF(ISNUMBER(FIND("SALDO DO DIA",C821)),0,IF(ISNUMBER(FIND("SALDO PARCIAL",C821)),0,IF(ISNUMBER(FIND("SDO CTA/APL AUTOMATICAS",C821)),0,IF(ISNUMBER(FIND("APL APLIC AUT MAIS",C821)),0,IF(ISNUMBER(FIND("TEC DEPOSITO",C821)),0,IF(E821&gt;0,0,E821*(-1))))))))</f>
        <v>76.9</v>
      </c>
      <c r="G821" s="79" t="n">
        <f aca="false">IF(ISNUMBER(FIND("SALDO ANTERIOR",C821)),0,IF(ISNUMBER(FIND("SALDO DO DIA",C821)),0,IF(ISNUMBER(FIND("SDO CTA/APL AUTOMATICAS",C821)),0,IF(ISNUMBER(FIND("TEC DEPOSITO",C821)),0,IF(ISNUMBER(FIND("APL APLIC AUT MAIS",C821)),E821,IF(E821&gt;0,E821,0))))))</f>
        <v>0</v>
      </c>
      <c r="H821" s="95" t="n">
        <v>44044</v>
      </c>
    </row>
    <row r="822" customFormat="false" ht="15" hidden="false" customHeight="false" outlineLevel="0" collapsed="false">
      <c r="A822" s="59" t="s">
        <v>29</v>
      </c>
      <c r="B822" s="74" t="s">
        <v>617</v>
      </c>
      <c r="C822" s="83" t="s">
        <v>521</v>
      </c>
      <c r="D822" s="76"/>
      <c r="E822" s="93" t="n">
        <v>2661.81</v>
      </c>
      <c r="F822" s="78" t="n">
        <f aca="false">IF(ISNUMBER(FIND("SALDO ANTERIOR",C822)),0,IF(ISNUMBER(FIND("SALDO DO DIA",C822)),0,IF(ISNUMBER(FIND("SALDO PARCIAL",C822)),0,IF(ISNUMBER(FIND("SDO CTA/APL AUTOMATICAS",C822)),0,IF(ISNUMBER(FIND("APL APLIC AUT MAIS",C822)),0,IF(ISNUMBER(FIND("TEC DEPOSITO",C822)),0,IF(E822&gt;0,0,E822*(-1))))))))</f>
        <v>0</v>
      </c>
      <c r="G822" s="79" t="n">
        <f aca="false">IF(ISNUMBER(FIND("SALDO ANTERIOR",C822)),0,IF(ISNUMBER(FIND("SALDO DO DIA",C822)),0,IF(ISNUMBER(FIND("SDO CTA/APL AUTOMATICAS",C822)),0,IF(ISNUMBER(FIND("TEC DEPOSITO",C822)),0,IF(ISNUMBER(FIND("APL APLIC AUT MAIS",C822)),E822,IF(E822&gt;0,E822,0))))))</f>
        <v>0</v>
      </c>
      <c r="H822" s="95" t="n">
        <v>44044</v>
      </c>
    </row>
    <row r="823" customFormat="false" ht="13.8" hidden="false" customHeight="false" outlineLevel="0" collapsed="false">
      <c r="A823" s="59" t="s">
        <v>176</v>
      </c>
      <c r="B823" s="74" t="s">
        <v>619</v>
      </c>
      <c r="C823" s="75" t="s">
        <v>620</v>
      </c>
      <c r="D823" s="76" t="s">
        <v>61</v>
      </c>
      <c r="E823" s="81" t="n">
        <v>-61.3</v>
      </c>
      <c r="F823" s="78" t="n">
        <f aca="false">IF(ISNUMBER(FIND("SALDO ANTERIOR",C823)),0,IF(ISNUMBER(FIND("SALDO DO DIA",C823)),0,IF(ISNUMBER(FIND("SALDO PARCIAL",C823)),0,IF(ISNUMBER(FIND("SDO CTA/APL AUTOMATICAS",C823)),0,IF(ISNUMBER(FIND("APL APLIC AUT MAIS",C823)),0,IF(ISNUMBER(FIND("TEC DEPOSITO",C823)),0,IF(E823&gt;0,0,E823*(-1))))))))</f>
        <v>61.3</v>
      </c>
      <c r="G823" s="79" t="n">
        <f aca="false">IF(ISNUMBER(FIND("SALDO ANTERIOR",C823)),0,IF(ISNUMBER(FIND("SALDO DO DIA",C823)),0,IF(ISNUMBER(FIND("SDO CTA/APL AUTOMATICAS",C823)),0,IF(ISNUMBER(FIND("TEC DEPOSITO",C823)),0,IF(ISNUMBER(FIND("APL APLIC AUT MAIS",C823)),E823,IF(E823&gt;0,E823,0))))))</f>
        <v>0</v>
      </c>
      <c r="H823" s="95" t="n">
        <v>44044</v>
      </c>
    </row>
    <row r="824" customFormat="false" ht="13.8" hidden="false" customHeight="false" outlineLevel="0" collapsed="false">
      <c r="A824" s="59" t="s">
        <v>176</v>
      </c>
      <c r="B824" s="74" t="s">
        <v>619</v>
      </c>
      <c r="C824" s="75" t="s">
        <v>621</v>
      </c>
      <c r="D824" s="76" t="s">
        <v>61</v>
      </c>
      <c r="E824" s="81" t="n">
        <v>-91.95</v>
      </c>
      <c r="F824" s="78" t="n">
        <f aca="false">IF(ISNUMBER(FIND("SALDO ANTERIOR",C824)),0,IF(ISNUMBER(FIND("SALDO DO DIA",C824)),0,IF(ISNUMBER(FIND("SALDO PARCIAL",C824)),0,IF(ISNUMBER(FIND("SDO CTA/APL AUTOMATICAS",C824)),0,IF(ISNUMBER(FIND("APL APLIC AUT MAIS",C824)),0,IF(ISNUMBER(FIND("TEC DEPOSITO",C824)),0,IF(E824&gt;0,0,E824*(-1))))))))</f>
        <v>91.95</v>
      </c>
      <c r="G824" s="79" t="n">
        <f aca="false">IF(ISNUMBER(FIND("SALDO ANTERIOR",C824)),0,IF(ISNUMBER(FIND("SALDO DO DIA",C824)),0,IF(ISNUMBER(FIND("SDO CTA/APL AUTOMATICAS",C824)),0,IF(ISNUMBER(FIND("TEC DEPOSITO",C824)),0,IF(ISNUMBER(FIND("APL APLIC AUT MAIS",C824)),E824,IF(E824&gt;0,E824,0))))))</f>
        <v>0</v>
      </c>
      <c r="H824" s="95" t="n">
        <v>44044</v>
      </c>
    </row>
    <row r="825" customFormat="false" ht="13.8" hidden="false" customHeight="false" outlineLevel="0" collapsed="false">
      <c r="A825" s="59" t="s">
        <v>71</v>
      </c>
      <c r="B825" s="74" t="s">
        <v>619</v>
      </c>
      <c r="C825" s="75" t="s">
        <v>85</v>
      </c>
      <c r="D825" s="76" t="s">
        <v>64</v>
      </c>
      <c r="E825" s="81" t="n">
        <v>-15.86</v>
      </c>
      <c r="F825" s="78" t="n">
        <f aca="false">IF(ISNUMBER(FIND("SALDO ANTERIOR",C825)),0,IF(ISNUMBER(FIND("SALDO DO DIA",C825)),0,IF(ISNUMBER(FIND("SALDO PARCIAL",C825)),0,IF(ISNUMBER(FIND("SDO CTA/APL AUTOMATICAS",C825)),0,IF(ISNUMBER(FIND("APL APLIC AUT MAIS",C825)),0,IF(ISNUMBER(FIND("TEC DEPOSITO",C825)),0,IF(E825&gt;0,0,E825*(-1))))))))</f>
        <v>15.86</v>
      </c>
      <c r="G825" s="79" t="n">
        <f aca="false">IF(ISNUMBER(FIND("SALDO ANTERIOR",C825)),0,IF(ISNUMBER(FIND("SALDO DO DIA",C825)),0,IF(ISNUMBER(FIND("SDO CTA/APL AUTOMATICAS",C825)),0,IF(ISNUMBER(FIND("TEC DEPOSITO",C825)),0,IF(ISNUMBER(FIND("APL APLIC AUT MAIS",C825)),E825,IF(E825&gt;0,E825,0))))))</f>
        <v>0</v>
      </c>
      <c r="H825" s="95" t="n">
        <v>44044</v>
      </c>
    </row>
    <row r="826" customFormat="false" ht="13.8" hidden="false" customHeight="false" outlineLevel="0" collapsed="false">
      <c r="A826" s="59" t="s">
        <v>181</v>
      </c>
      <c r="B826" s="74" t="s">
        <v>619</v>
      </c>
      <c r="C826" s="75" t="s">
        <v>622</v>
      </c>
      <c r="D826" s="76" t="s">
        <v>61</v>
      </c>
      <c r="E826" s="81" t="n">
        <v>-283</v>
      </c>
      <c r="F826" s="78" t="n">
        <f aca="false">IF(ISNUMBER(FIND("SALDO ANTERIOR",C826)),0,IF(ISNUMBER(FIND("SALDO DO DIA",C826)),0,IF(ISNUMBER(FIND("SALDO PARCIAL",C826)),0,IF(ISNUMBER(FIND("SDO CTA/APL AUTOMATICAS",C826)),0,IF(ISNUMBER(FIND("APL APLIC AUT MAIS",C826)),0,IF(ISNUMBER(FIND("TEC DEPOSITO",C826)),0,IF(E826&gt;0,0,E826*(-1))))))))</f>
        <v>283</v>
      </c>
      <c r="G826" s="79" t="n">
        <f aca="false">IF(ISNUMBER(FIND("SALDO ANTERIOR",C826)),0,IF(ISNUMBER(FIND("SALDO DO DIA",C826)),0,IF(ISNUMBER(FIND("SDO CTA/APL AUTOMATICAS",C826)),0,IF(ISNUMBER(FIND("TEC DEPOSITO",C826)),0,IF(ISNUMBER(FIND("APL APLIC AUT MAIS",C826)),E826,IF(E826&gt;0,E826,0))))))</f>
        <v>0</v>
      </c>
      <c r="H826" s="95" t="n">
        <v>44044</v>
      </c>
    </row>
    <row r="827" customFormat="false" ht="15" hidden="false" customHeight="false" outlineLevel="0" collapsed="false">
      <c r="A827" s="59" t="s">
        <v>29</v>
      </c>
      <c r="B827" s="74" t="s">
        <v>619</v>
      </c>
      <c r="C827" s="83" t="s">
        <v>521</v>
      </c>
      <c r="D827" s="76"/>
      <c r="E827" s="93" t="n">
        <v>2209.7</v>
      </c>
      <c r="F827" s="78" t="n">
        <f aca="false">IF(ISNUMBER(FIND("SALDO ANTERIOR",C827)),0,IF(ISNUMBER(FIND("SALDO DO DIA",C827)),0,IF(ISNUMBER(FIND("SALDO PARCIAL",C827)),0,IF(ISNUMBER(FIND("SDO CTA/APL AUTOMATICAS",C827)),0,IF(ISNUMBER(FIND("APL APLIC AUT MAIS",C827)),0,IF(ISNUMBER(FIND("TEC DEPOSITO",C827)),0,IF(E827&gt;0,0,E827*(-1))))))))</f>
        <v>0</v>
      </c>
      <c r="G827" s="79" t="n">
        <f aca="false">IF(ISNUMBER(FIND("SALDO ANTERIOR",C827)),0,IF(ISNUMBER(FIND("SALDO DO DIA",C827)),0,IF(ISNUMBER(FIND("SDO CTA/APL AUTOMATICAS",C827)),0,IF(ISNUMBER(FIND("TEC DEPOSITO",C827)),0,IF(ISNUMBER(FIND("APL APLIC AUT MAIS",C827)),E827,IF(E827&gt;0,E827,0))))))</f>
        <v>0</v>
      </c>
      <c r="H827" s="95" t="n">
        <v>44044</v>
      </c>
    </row>
    <row r="828" customFormat="false" ht="13.8" hidden="false" customHeight="false" outlineLevel="0" collapsed="false">
      <c r="A828" s="59" t="s">
        <v>98</v>
      </c>
      <c r="B828" s="74" t="s">
        <v>623</v>
      </c>
      <c r="C828" s="75" t="s">
        <v>180</v>
      </c>
      <c r="D828" s="76" t="s">
        <v>64</v>
      </c>
      <c r="E828" s="81" t="n">
        <v>-21.09</v>
      </c>
      <c r="F828" s="78" t="n">
        <f aca="false">IF(ISNUMBER(FIND("SALDO ANTERIOR",C828)),0,IF(ISNUMBER(FIND("SALDO DO DIA",C828)),0,IF(ISNUMBER(FIND("SALDO PARCIAL",C828)),0,IF(ISNUMBER(FIND("SDO CTA/APL AUTOMATICAS",C828)),0,IF(ISNUMBER(FIND("APL APLIC AUT MAIS",C828)),0,IF(ISNUMBER(FIND("TEC DEPOSITO",C828)),0,IF(E828&gt;0,0,E828*(-1))))))))</f>
        <v>21.09</v>
      </c>
      <c r="G828" s="79" t="n">
        <f aca="false">IF(ISNUMBER(FIND("SALDO ANTERIOR",C828)),0,IF(ISNUMBER(FIND("SALDO DO DIA",C828)),0,IF(ISNUMBER(FIND("SDO CTA/APL AUTOMATICAS",C828)),0,IF(ISNUMBER(FIND("TEC DEPOSITO",C828)),0,IF(ISNUMBER(FIND("APL APLIC AUT MAIS",C828)),E828,IF(E828&gt;0,E828,0))))))</f>
        <v>0</v>
      </c>
      <c r="H828" s="95" t="n">
        <v>44044</v>
      </c>
    </row>
    <row r="829" customFormat="false" ht="15" hidden="false" customHeight="false" outlineLevel="0" collapsed="false">
      <c r="A829" s="59" t="s">
        <v>29</v>
      </c>
      <c r="B829" s="74" t="s">
        <v>623</v>
      </c>
      <c r="C829" s="83" t="s">
        <v>521</v>
      </c>
      <c r="D829" s="76"/>
      <c r="E829" s="93" t="n">
        <v>2188.61</v>
      </c>
      <c r="F829" s="78" t="n">
        <f aca="false">IF(ISNUMBER(FIND("SALDO ANTERIOR",C829)),0,IF(ISNUMBER(FIND("SALDO DO DIA",C829)),0,IF(ISNUMBER(FIND("SALDO PARCIAL",C829)),0,IF(ISNUMBER(FIND("SDO CTA/APL AUTOMATICAS",C829)),0,IF(ISNUMBER(FIND("APL APLIC AUT MAIS",C829)),0,IF(ISNUMBER(FIND("TEC DEPOSITO",C829)),0,IF(E829&gt;0,0,E829*(-1))))))))</f>
        <v>0</v>
      </c>
      <c r="G829" s="79" t="n">
        <f aca="false">IF(ISNUMBER(FIND("SALDO ANTERIOR",C829)),0,IF(ISNUMBER(FIND("SALDO DO DIA",C829)),0,IF(ISNUMBER(FIND("SDO CTA/APL AUTOMATICAS",C829)),0,IF(ISNUMBER(FIND("TEC DEPOSITO",C829)),0,IF(ISNUMBER(FIND("APL APLIC AUT MAIS",C829)),E829,IF(E829&gt;0,E829,0))))))</f>
        <v>0</v>
      </c>
      <c r="H829" s="95" t="n">
        <v>44044</v>
      </c>
    </row>
    <row r="830" customFormat="false" ht="13.8" hidden="false" customHeight="false" outlineLevel="0" collapsed="false">
      <c r="A830" s="59" t="s">
        <v>65</v>
      </c>
      <c r="B830" s="74" t="s">
        <v>624</v>
      </c>
      <c r="C830" s="75" t="s">
        <v>625</v>
      </c>
      <c r="D830" s="76" t="s">
        <v>64</v>
      </c>
      <c r="E830" s="81" t="n">
        <v>-21</v>
      </c>
      <c r="F830" s="78" t="n">
        <f aca="false">IF(ISNUMBER(FIND("SALDO ANTERIOR",C830)),0,IF(ISNUMBER(FIND("SALDO DO DIA",C830)),0,IF(ISNUMBER(FIND("SALDO PARCIAL",C830)),0,IF(ISNUMBER(FIND("SDO CTA/APL AUTOMATICAS",C830)),0,IF(ISNUMBER(FIND("APL APLIC AUT MAIS",C830)),0,IF(ISNUMBER(FIND("TEC DEPOSITO",C830)),0,IF(E830&gt;0,0,E830*(-1))))))))</f>
        <v>21</v>
      </c>
      <c r="G830" s="79" t="n">
        <f aca="false">IF(ISNUMBER(FIND("SALDO ANTERIOR",C830)),0,IF(ISNUMBER(FIND("SALDO DO DIA",C830)),0,IF(ISNUMBER(FIND("SDO CTA/APL AUTOMATICAS",C830)),0,IF(ISNUMBER(FIND("TEC DEPOSITO",C830)),0,IF(ISNUMBER(FIND("APL APLIC AUT MAIS",C830)),E830,IF(E830&gt;0,E830,0))))))</f>
        <v>0</v>
      </c>
      <c r="H830" s="95" t="n">
        <v>44044</v>
      </c>
    </row>
    <row r="831" customFormat="false" ht="13.8" hidden="false" customHeight="false" outlineLevel="0" collapsed="false">
      <c r="A831" s="59" t="s">
        <v>65</v>
      </c>
      <c r="B831" s="74" t="s">
        <v>624</v>
      </c>
      <c r="C831" s="75" t="s">
        <v>626</v>
      </c>
      <c r="D831" s="76" t="s">
        <v>64</v>
      </c>
      <c r="E831" s="81" t="n">
        <v>-161.2</v>
      </c>
      <c r="F831" s="78" t="n">
        <f aca="false">IF(ISNUMBER(FIND("SALDO ANTERIOR",C831)),0,IF(ISNUMBER(FIND("SALDO DO DIA",C831)),0,IF(ISNUMBER(FIND("SALDO PARCIAL",C831)),0,IF(ISNUMBER(FIND("SDO CTA/APL AUTOMATICAS",C831)),0,IF(ISNUMBER(FIND("APL APLIC AUT MAIS",C831)),0,IF(ISNUMBER(FIND("TEC DEPOSITO",C831)),0,IF(E831&gt;0,0,E831*(-1))))))))</f>
        <v>161.2</v>
      </c>
      <c r="G831" s="79" t="n">
        <f aca="false">IF(ISNUMBER(FIND("SALDO ANTERIOR",C831)),0,IF(ISNUMBER(FIND("SALDO DO DIA",C831)),0,IF(ISNUMBER(FIND("SDO CTA/APL AUTOMATICAS",C831)),0,IF(ISNUMBER(FIND("TEC DEPOSITO",C831)),0,IF(ISNUMBER(FIND("APL APLIC AUT MAIS",C831)),E831,IF(E831&gt;0,E831,0))))))</f>
        <v>0</v>
      </c>
      <c r="H831" s="95" t="n">
        <v>44044</v>
      </c>
    </row>
    <row r="832" customFormat="false" ht="13.8" hidden="false" customHeight="false" outlineLevel="0" collapsed="false">
      <c r="A832" s="59" t="s">
        <v>98</v>
      </c>
      <c r="B832" s="74" t="s">
        <v>624</v>
      </c>
      <c r="C832" s="75" t="s">
        <v>247</v>
      </c>
      <c r="D832" s="76" t="s">
        <v>64</v>
      </c>
      <c r="E832" s="81" t="n">
        <v>-153.56</v>
      </c>
      <c r="F832" s="78" t="n">
        <f aca="false">IF(ISNUMBER(FIND("SALDO ANTERIOR",C832)),0,IF(ISNUMBER(FIND("SALDO DO DIA",C832)),0,IF(ISNUMBER(FIND("SALDO PARCIAL",C832)),0,IF(ISNUMBER(FIND("SDO CTA/APL AUTOMATICAS",C832)),0,IF(ISNUMBER(FIND("APL APLIC AUT MAIS",C832)),0,IF(ISNUMBER(FIND("TEC DEPOSITO",C832)),0,IF(E832&gt;0,0,E832*(-1))))))))</f>
        <v>153.56</v>
      </c>
      <c r="G832" s="79" t="n">
        <f aca="false">IF(ISNUMBER(FIND("SALDO ANTERIOR",C832)),0,IF(ISNUMBER(FIND("SALDO DO DIA",C832)),0,IF(ISNUMBER(FIND("SDO CTA/APL AUTOMATICAS",C832)),0,IF(ISNUMBER(FIND("TEC DEPOSITO",C832)),0,IF(ISNUMBER(FIND("APL APLIC AUT MAIS",C832)),E832,IF(E832&gt;0,E832,0))))))</f>
        <v>0</v>
      </c>
      <c r="H832" s="95" t="n">
        <v>44044</v>
      </c>
    </row>
    <row r="833" customFormat="false" ht="13.8" hidden="false" customHeight="false" outlineLevel="0" collapsed="false">
      <c r="A833" s="59" t="s">
        <v>98</v>
      </c>
      <c r="B833" s="74" t="s">
        <v>624</v>
      </c>
      <c r="C833" s="75" t="s">
        <v>247</v>
      </c>
      <c r="D833" s="76" t="s">
        <v>64</v>
      </c>
      <c r="E833" s="81" t="n">
        <v>-6</v>
      </c>
      <c r="F833" s="78" t="n">
        <f aca="false">IF(ISNUMBER(FIND("SALDO ANTERIOR",C833)),0,IF(ISNUMBER(FIND("SALDO DO DIA",C833)),0,IF(ISNUMBER(FIND("SALDO PARCIAL",C833)),0,IF(ISNUMBER(FIND("SDO CTA/APL AUTOMATICAS",C833)),0,IF(ISNUMBER(FIND("APL APLIC AUT MAIS",C833)),0,IF(ISNUMBER(FIND("TEC DEPOSITO",C833)),0,IF(E833&gt;0,0,E833*(-1))))))))</f>
        <v>6</v>
      </c>
      <c r="G833" s="79" t="n">
        <f aca="false">IF(ISNUMBER(FIND("SALDO ANTERIOR",C833)),0,IF(ISNUMBER(FIND("SALDO DO DIA",C833)),0,IF(ISNUMBER(FIND("SDO CTA/APL AUTOMATICAS",C833)),0,IF(ISNUMBER(FIND("TEC DEPOSITO",C833)),0,IF(ISNUMBER(FIND("APL APLIC AUT MAIS",C833)),E833,IF(E833&gt;0,E833,0))))))</f>
        <v>0</v>
      </c>
      <c r="H833" s="95" t="n">
        <v>44044</v>
      </c>
    </row>
    <row r="834" customFormat="false" ht="13.8" hidden="false" customHeight="false" outlineLevel="0" collapsed="false">
      <c r="A834" s="59" t="s">
        <v>65</v>
      </c>
      <c r="B834" s="74" t="s">
        <v>624</v>
      </c>
      <c r="C834" s="75" t="s">
        <v>507</v>
      </c>
      <c r="D834" s="76" t="s">
        <v>64</v>
      </c>
      <c r="E834" s="81" t="n">
        <v>-5.99</v>
      </c>
      <c r="F834" s="78" t="n">
        <f aca="false">IF(ISNUMBER(FIND("SALDO ANTERIOR",C834)),0,IF(ISNUMBER(FIND("SALDO DO DIA",C834)),0,IF(ISNUMBER(FIND("SALDO PARCIAL",C834)),0,IF(ISNUMBER(FIND("SDO CTA/APL AUTOMATICAS",C834)),0,IF(ISNUMBER(FIND("APL APLIC AUT MAIS",C834)),0,IF(ISNUMBER(FIND("TEC DEPOSITO",C834)),0,IF(E834&gt;0,0,E834*(-1))))))))</f>
        <v>5.99</v>
      </c>
      <c r="G834" s="79" t="n">
        <f aca="false">IF(ISNUMBER(FIND("SALDO ANTERIOR",C834)),0,IF(ISNUMBER(FIND("SALDO DO DIA",C834)),0,IF(ISNUMBER(FIND("SDO CTA/APL AUTOMATICAS",C834)),0,IF(ISNUMBER(FIND("TEC DEPOSITO",C834)),0,IF(ISNUMBER(FIND("APL APLIC AUT MAIS",C834)),E834,IF(E834&gt;0,E834,0))))))</f>
        <v>0</v>
      </c>
      <c r="H834" s="95" t="n">
        <v>44044</v>
      </c>
    </row>
    <row r="835" customFormat="false" ht="13.8" hidden="false" customHeight="false" outlineLevel="0" collapsed="false">
      <c r="A835" s="59" t="s">
        <v>65</v>
      </c>
      <c r="B835" s="74" t="s">
        <v>624</v>
      </c>
      <c r="C835" s="75" t="s">
        <v>627</v>
      </c>
      <c r="D835" s="76" t="s">
        <v>64</v>
      </c>
      <c r="E835" s="81" t="n">
        <v>-48.49</v>
      </c>
      <c r="F835" s="78" t="n">
        <f aca="false">IF(ISNUMBER(FIND("SALDO ANTERIOR",C835)),0,IF(ISNUMBER(FIND("SALDO DO DIA",C835)),0,IF(ISNUMBER(FIND("SALDO PARCIAL",C835)),0,IF(ISNUMBER(FIND("SDO CTA/APL AUTOMATICAS",C835)),0,IF(ISNUMBER(FIND("APL APLIC AUT MAIS",C835)),0,IF(ISNUMBER(FIND("TEC DEPOSITO",C835)),0,IF(E835&gt;0,0,E835*(-1))))))))</f>
        <v>48.49</v>
      </c>
      <c r="G835" s="79" t="n">
        <f aca="false">IF(ISNUMBER(FIND("SALDO ANTERIOR",C835)),0,IF(ISNUMBER(FIND("SALDO DO DIA",C835)),0,IF(ISNUMBER(FIND("SDO CTA/APL AUTOMATICAS",C835)),0,IF(ISNUMBER(FIND("TEC DEPOSITO",C835)),0,IF(ISNUMBER(FIND("APL APLIC AUT MAIS",C835)),E835,IF(E835&gt;0,E835,0))))))</f>
        <v>0</v>
      </c>
      <c r="H835" s="95" t="n">
        <v>44044</v>
      </c>
    </row>
    <row r="836" customFormat="false" ht="15" hidden="false" customHeight="false" outlineLevel="0" collapsed="false">
      <c r="A836" s="59" t="s">
        <v>29</v>
      </c>
      <c r="B836" s="74" t="s">
        <v>624</v>
      </c>
      <c r="C836" s="83" t="s">
        <v>521</v>
      </c>
      <c r="D836" s="76"/>
      <c r="E836" s="93" t="n">
        <v>1792.37</v>
      </c>
      <c r="F836" s="78" t="n">
        <f aca="false">IF(ISNUMBER(FIND("SALDO ANTERIOR",C836)),0,IF(ISNUMBER(FIND("SALDO DO DIA",C836)),0,IF(ISNUMBER(FIND("SALDO PARCIAL",C836)),0,IF(ISNUMBER(FIND("SDO CTA/APL AUTOMATICAS",C836)),0,IF(ISNUMBER(FIND("APL APLIC AUT MAIS",C836)),0,IF(ISNUMBER(FIND("TEC DEPOSITO",C836)),0,IF(E836&gt;0,0,E836*(-1))))))))</f>
        <v>0</v>
      </c>
      <c r="G836" s="79" t="n">
        <f aca="false">IF(ISNUMBER(FIND("SALDO ANTERIOR",C836)),0,IF(ISNUMBER(FIND("SALDO DO DIA",C836)),0,IF(ISNUMBER(FIND("SDO CTA/APL AUTOMATICAS",C836)),0,IF(ISNUMBER(FIND("TEC DEPOSITO",C836)),0,IF(ISNUMBER(FIND("APL APLIC AUT MAIS",C836)),E836,IF(E836&gt;0,E836,0))))))</f>
        <v>0</v>
      </c>
      <c r="H836" s="95" t="n">
        <v>44044</v>
      </c>
    </row>
    <row r="837" customFormat="false" ht="13.8" hidden="false" customHeight="false" outlineLevel="0" collapsed="false">
      <c r="A837" s="59" t="s">
        <v>119</v>
      </c>
      <c r="B837" s="74" t="s">
        <v>628</v>
      </c>
      <c r="C837" s="75" t="s">
        <v>629</v>
      </c>
      <c r="D837" s="76" t="s">
        <v>61</v>
      </c>
      <c r="E837" s="81" t="n">
        <v>-542.99</v>
      </c>
      <c r="F837" s="78" t="n">
        <f aca="false">IF(ISNUMBER(FIND("SALDO ANTERIOR",C837)),0,IF(ISNUMBER(FIND("SALDO DO DIA",C837)),0,IF(ISNUMBER(FIND("SALDO PARCIAL",C837)),0,IF(ISNUMBER(FIND("SDO CTA/APL AUTOMATICAS",C837)),0,IF(ISNUMBER(FIND("APL APLIC AUT MAIS",C837)),0,IF(ISNUMBER(FIND("TEC DEPOSITO",C837)),0,IF(E837&gt;0,0,E837*(-1))))))))</f>
        <v>542.99</v>
      </c>
      <c r="G837" s="79" t="n">
        <f aca="false">IF(ISNUMBER(FIND("SALDO ANTERIOR",C837)),0,IF(ISNUMBER(FIND("SALDO DO DIA",C837)),0,IF(ISNUMBER(FIND("SDO CTA/APL AUTOMATICAS",C837)),0,IF(ISNUMBER(FIND("TEC DEPOSITO",C837)),0,IF(ISNUMBER(FIND("APL APLIC AUT MAIS",C837)),E837,IF(E837&gt;0,E837,0))))))</f>
        <v>0</v>
      </c>
      <c r="H837" s="95" t="n">
        <v>44044</v>
      </c>
    </row>
    <row r="838" customFormat="false" ht="13.8" hidden="false" customHeight="false" outlineLevel="0" collapsed="false">
      <c r="A838" s="59" t="s">
        <v>71</v>
      </c>
      <c r="B838" s="74" t="s">
        <v>628</v>
      </c>
      <c r="C838" s="75" t="s">
        <v>85</v>
      </c>
      <c r="D838" s="76" t="s">
        <v>64</v>
      </c>
      <c r="E838" s="81" t="n">
        <v>-19.88</v>
      </c>
      <c r="F838" s="78" t="n">
        <f aca="false">IF(ISNUMBER(FIND("SALDO ANTERIOR",C838)),0,IF(ISNUMBER(FIND("SALDO DO DIA",C838)),0,IF(ISNUMBER(FIND("SALDO PARCIAL",C838)),0,IF(ISNUMBER(FIND("SDO CTA/APL AUTOMATICAS",C838)),0,IF(ISNUMBER(FIND("APL APLIC AUT MAIS",C838)),0,IF(ISNUMBER(FIND("TEC DEPOSITO",C838)),0,IF(E838&gt;0,0,E838*(-1))))))))</f>
        <v>19.88</v>
      </c>
      <c r="G838" s="79" t="n">
        <f aca="false">IF(ISNUMBER(FIND("SALDO ANTERIOR",C838)),0,IF(ISNUMBER(FIND("SALDO DO DIA",C838)),0,IF(ISNUMBER(FIND("SDO CTA/APL AUTOMATICAS",C838)),0,IF(ISNUMBER(FIND("TEC DEPOSITO",C838)),0,IF(ISNUMBER(FIND("APL APLIC AUT MAIS",C838)),E838,IF(E838&gt;0,E838,0))))))</f>
        <v>0</v>
      </c>
      <c r="H838" s="95" t="n">
        <v>44044</v>
      </c>
    </row>
    <row r="839" customFormat="false" ht="13.8" hidden="false" customHeight="false" outlineLevel="0" collapsed="false">
      <c r="A839" s="59" t="s">
        <v>74</v>
      </c>
      <c r="B839" s="74" t="s">
        <v>628</v>
      </c>
      <c r="C839" s="75" t="s">
        <v>457</v>
      </c>
      <c r="D839" s="76" t="s">
        <v>64</v>
      </c>
      <c r="E839" s="81" t="n">
        <v>-31.98</v>
      </c>
      <c r="F839" s="78" t="n">
        <f aca="false">IF(ISNUMBER(FIND("SALDO ANTERIOR",C839)),0,IF(ISNUMBER(FIND("SALDO DO DIA",C839)),0,IF(ISNUMBER(FIND("SALDO PARCIAL",C839)),0,IF(ISNUMBER(FIND("SDO CTA/APL AUTOMATICAS",C839)),0,IF(ISNUMBER(FIND("APL APLIC AUT MAIS",C839)),0,IF(ISNUMBER(FIND("TEC DEPOSITO",C839)),0,IF(E839&gt;0,0,E839*(-1))))))))</f>
        <v>31.98</v>
      </c>
      <c r="G839" s="79" t="n">
        <f aca="false">IF(ISNUMBER(FIND("SALDO ANTERIOR",C839)),0,IF(ISNUMBER(FIND("SALDO DO DIA",C839)),0,IF(ISNUMBER(FIND("SDO CTA/APL AUTOMATICAS",C839)),0,IF(ISNUMBER(FIND("TEC DEPOSITO",C839)),0,IF(ISNUMBER(FIND("APL APLIC AUT MAIS",C839)),E839,IF(E839&gt;0,E839,0))))))</f>
        <v>0</v>
      </c>
      <c r="H839" s="95" t="n">
        <v>44044</v>
      </c>
    </row>
    <row r="840" customFormat="false" ht="13.8" hidden="false" customHeight="false" outlineLevel="0" collapsed="false">
      <c r="A840" s="59" t="s">
        <v>74</v>
      </c>
      <c r="B840" s="74" t="s">
        <v>628</v>
      </c>
      <c r="C840" s="75" t="s">
        <v>457</v>
      </c>
      <c r="D840" s="76" t="s">
        <v>64</v>
      </c>
      <c r="E840" s="81" t="n">
        <v>-19.99</v>
      </c>
      <c r="F840" s="78" t="n">
        <f aca="false">IF(ISNUMBER(FIND("SALDO ANTERIOR",C840)),0,IF(ISNUMBER(FIND("SALDO DO DIA",C840)),0,IF(ISNUMBER(FIND("SALDO PARCIAL",C840)),0,IF(ISNUMBER(FIND("SDO CTA/APL AUTOMATICAS",C840)),0,IF(ISNUMBER(FIND("APL APLIC AUT MAIS",C840)),0,IF(ISNUMBER(FIND("TEC DEPOSITO",C840)),0,IF(E840&gt;0,0,E840*(-1))))))))</f>
        <v>19.99</v>
      </c>
      <c r="G840" s="79" t="n">
        <f aca="false">IF(ISNUMBER(FIND("SALDO ANTERIOR",C840)),0,IF(ISNUMBER(FIND("SALDO DO DIA",C840)),0,IF(ISNUMBER(FIND("SDO CTA/APL AUTOMATICAS",C840)),0,IF(ISNUMBER(FIND("TEC DEPOSITO",C840)),0,IF(ISNUMBER(FIND("APL APLIC AUT MAIS",C840)),E840,IF(E840&gt;0,E840,0))))))</f>
        <v>0</v>
      </c>
      <c r="H840" s="95" t="n">
        <v>44044</v>
      </c>
    </row>
    <row r="841" customFormat="false" ht="13.8" hidden="false" customHeight="false" outlineLevel="0" collapsed="false">
      <c r="A841" s="59" t="s">
        <v>65</v>
      </c>
      <c r="B841" s="74" t="s">
        <v>628</v>
      </c>
      <c r="C841" s="75" t="s">
        <v>630</v>
      </c>
      <c r="D841" s="76" t="s">
        <v>64</v>
      </c>
      <c r="E841" s="81" t="n">
        <v>-49.99</v>
      </c>
      <c r="F841" s="78" t="n">
        <f aca="false">IF(ISNUMBER(FIND("SALDO ANTERIOR",C841)),0,IF(ISNUMBER(FIND("SALDO DO DIA",C841)),0,IF(ISNUMBER(FIND("SALDO PARCIAL",C841)),0,IF(ISNUMBER(FIND("SDO CTA/APL AUTOMATICAS",C841)),0,IF(ISNUMBER(FIND("APL APLIC AUT MAIS",C841)),0,IF(ISNUMBER(FIND("TEC DEPOSITO",C841)),0,IF(E841&gt;0,0,E841*(-1))))))))</f>
        <v>49.99</v>
      </c>
      <c r="G841" s="79" t="n">
        <f aca="false">IF(ISNUMBER(FIND("SALDO ANTERIOR",C841)),0,IF(ISNUMBER(FIND("SALDO DO DIA",C841)),0,IF(ISNUMBER(FIND("SDO CTA/APL AUTOMATICAS",C841)),0,IF(ISNUMBER(FIND("TEC DEPOSITO",C841)),0,IF(ISNUMBER(FIND("APL APLIC AUT MAIS",C841)),E841,IF(E841&gt;0,E841,0))))))</f>
        <v>0</v>
      </c>
      <c r="H841" s="95" t="n">
        <v>44044</v>
      </c>
    </row>
    <row r="842" customFormat="false" ht="13.8" hidden="false" customHeight="false" outlineLevel="0" collapsed="false">
      <c r="A842" s="59" t="s">
        <v>631</v>
      </c>
      <c r="B842" s="74" t="s">
        <v>628</v>
      </c>
      <c r="C842" s="75" t="s">
        <v>632</v>
      </c>
      <c r="D842" s="76" t="s">
        <v>64</v>
      </c>
      <c r="E842" s="81" t="n">
        <v>-400</v>
      </c>
      <c r="F842" s="78" t="n">
        <f aca="false">IF(ISNUMBER(FIND("SALDO ANTERIOR",C842)),0,IF(ISNUMBER(FIND("SALDO DO DIA",C842)),0,IF(ISNUMBER(FIND("SALDO PARCIAL",C842)),0,IF(ISNUMBER(FIND("SDO CTA/APL AUTOMATICAS",C842)),0,IF(ISNUMBER(FIND("APL APLIC AUT MAIS",C842)),0,IF(ISNUMBER(FIND("TEC DEPOSITO",C842)),0,IF(E842&gt;0,0,E842*(-1))))))))</f>
        <v>400</v>
      </c>
      <c r="G842" s="79" t="n">
        <f aca="false">IF(ISNUMBER(FIND("SALDO ANTERIOR",C842)),0,IF(ISNUMBER(FIND("SALDO DO DIA",C842)),0,IF(ISNUMBER(FIND("SDO CTA/APL AUTOMATICAS",C842)),0,IF(ISNUMBER(FIND("TEC DEPOSITO",C842)),0,IF(ISNUMBER(FIND("APL APLIC AUT MAIS",C842)),E842,IF(E842&gt;0,E842,0))))))</f>
        <v>0</v>
      </c>
      <c r="H842" s="95" t="n">
        <v>44044</v>
      </c>
    </row>
    <row r="843" customFormat="false" ht="13.8" hidden="false" customHeight="false" outlineLevel="0" collapsed="false">
      <c r="A843" s="59" t="s">
        <v>67</v>
      </c>
      <c r="B843" s="74" t="s">
        <v>628</v>
      </c>
      <c r="C843" s="75" t="s">
        <v>109</v>
      </c>
      <c r="D843" s="76" t="s">
        <v>82</v>
      </c>
      <c r="E843" s="81" t="n">
        <v>-6.61</v>
      </c>
      <c r="F843" s="78" t="n">
        <f aca="false">IF(ISNUMBER(FIND("SALDO ANTERIOR",C843)),0,IF(ISNUMBER(FIND("SALDO DO DIA",C843)),0,IF(ISNUMBER(FIND("SALDO PARCIAL",C843)),0,IF(ISNUMBER(FIND("SDO CTA/APL AUTOMATICAS",C843)),0,IF(ISNUMBER(FIND("APL APLIC AUT MAIS",C843)),0,IF(ISNUMBER(FIND("TEC DEPOSITO",C843)),0,IF(E843&gt;0,0,E843*(-1))))))))</f>
        <v>6.61</v>
      </c>
      <c r="G843" s="79" t="n">
        <f aca="false">IF(ISNUMBER(FIND("SALDO ANTERIOR",C843)),0,IF(ISNUMBER(FIND("SALDO DO DIA",C843)),0,IF(ISNUMBER(FIND("SDO CTA/APL AUTOMATICAS",C843)),0,IF(ISNUMBER(FIND("TEC DEPOSITO",C843)),0,IF(ISNUMBER(FIND("APL APLIC AUT MAIS",C843)),E843,IF(E843&gt;0,E843,0))))))</f>
        <v>0</v>
      </c>
      <c r="H843" s="95" t="n">
        <v>44044</v>
      </c>
    </row>
    <row r="844" customFormat="false" ht="13.8" hidden="false" customHeight="false" outlineLevel="0" collapsed="false">
      <c r="A844" s="59" t="s">
        <v>130</v>
      </c>
      <c r="B844" s="74" t="s">
        <v>628</v>
      </c>
      <c r="C844" s="75" t="s">
        <v>131</v>
      </c>
      <c r="D844" s="76" t="s">
        <v>82</v>
      </c>
      <c r="E844" s="81" t="n">
        <v>-75</v>
      </c>
      <c r="F844" s="78" t="n">
        <f aca="false">IF(ISNUMBER(FIND("SALDO ANTERIOR",C844)),0,IF(ISNUMBER(FIND("SALDO DO DIA",C844)),0,IF(ISNUMBER(FIND("SALDO PARCIAL",C844)),0,IF(ISNUMBER(FIND("SDO CTA/APL AUTOMATICAS",C844)),0,IF(ISNUMBER(FIND("APL APLIC AUT MAIS",C844)),0,IF(ISNUMBER(FIND("TEC DEPOSITO",C844)),0,IF(E844&gt;0,0,E844*(-1))))))))</f>
        <v>75</v>
      </c>
      <c r="G844" s="79" t="n">
        <f aca="false">IF(ISNUMBER(FIND("SALDO ANTERIOR",C844)),0,IF(ISNUMBER(FIND("SALDO DO DIA",C844)),0,IF(ISNUMBER(FIND("SDO CTA/APL AUTOMATICAS",C844)),0,IF(ISNUMBER(FIND("TEC DEPOSITO",C844)),0,IF(ISNUMBER(FIND("APL APLIC AUT MAIS",C844)),E844,IF(E844&gt;0,E844,0))))))</f>
        <v>0</v>
      </c>
      <c r="H844" s="95" t="n">
        <v>44044</v>
      </c>
    </row>
    <row r="845" customFormat="false" ht="13.8" hidden="false" customHeight="false" outlineLevel="0" collapsed="false">
      <c r="A845" s="59" t="s">
        <v>29</v>
      </c>
      <c r="B845" s="74" t="s">
        <v>628</v>
      </c>
      <c r="C845" s="75" t="s">
        <v>277</v>
      </c>
      <c r="D845" s="76"/>
      <c r="E845" s="77" t="n">
        <v>0.01</v>
      </c>
      <c r="F845" s="78" t="n">
        <f aca="false">IF(ISNUMBER(FIND("SALDO ANTERIOR",C845)),0,IF(ISNUMBER(FIND("SALDO DO DIA",C845)),0,IF(ISNUMBER(FIND("SALDO PARCIAL",C845)),0,IF(ISNUMBER(FIND("SDO CTA/APL AUTOMATICAS",C845)),0,IF(ISNUMBER(FIND("APL APLIC AUT MAIS",C845)),0,IF(ISNUMBER(FIND("TEC DEPOSITO",C845)),0,IF(E845&gt;0,0,E845*(-1))))))))</f>
        <v>0</v>
      </c>
      <c r="G845" s="79" t="n">
        <f aca="false">IF(ISNUMBER(FIND("SALDO ANTERIOR",C845)),0,IF(ISNUMBER(FIND("SALDO DO DIA",C845)),0,IF(ISNUMBER(FIND("SDO CTA/APL AUTOMATICAS",C845)),0,IF(ISNUMBER(FIND("TEC DEPOSITO",C845)),0,IF(ISNUMBER(FIND("APL APLIC AUT MAIS",C845)),E845,IF(E845&gt;0,E845,0))))))</f>
        <v>0.01</v>
      </c>
      <c r="H845" s="95" t="n">
        <v>44044</v>
      </c>
    </row>
    <row r="846" customFormat="false" ht="15" hidden="false" customHeight="false" outlineLevel="0" collapsed="false">
      <c r="A846" s="59" t="s">
        <v>29</v>
      </c>
      <c r="B846" s="74" t="s">
        <v>628</v>
      </c>
      <c r="C846" s="83" t="s">
        <v>521</v>
      </c>
      <c r="D846" s="76"/>
      <c r="E846" s="93" t="n">
        <v>645.94</v>
      </c>
      <c r="F846" s="78" t="n">
        <f aca="false">IF(ISNUMBER(FIND("SALDO ANTERIOR",C846)),0,IF(ISNUMBER(FIND("SALDO DO DIA",C846)),0,IF(ISNUMBER(FIND("SALDO PARCIAL",C846)),0,IF(ISNUMBER(FIND("SDO CTA/APL AUTOMATICAS",C846)),0,IF(ISNUMBER(FIND("APL APLIC AUT MAIS",C846)),0,IF(ISNUMBER(FIND("TEC DEPOSITO",C846)),0,IF(E846&gt;0,0,E846*(-1))))))))</f>
        <v>0</v>
      </c>
      <c r="G846" s="79" t="n">
        <f aca="false">IF(ISNUMBER(FIND("SALDO ANTERIOR",C846)),0,IF(ISNUMBER(FIND("SALDO DO DIA",C846)),0,IF(ISNUMBER(FIND("SDO CTA/APL AUTOMATICAS",C846)),0,IF(ISNUMBER(FIND("TEC DEPOSITO",C846)),0,IF(ISNUMBER(FIND("APL APLIC AUT MAIS",C846)),E846,IF(E846&gt;0,E846,0))))))</f>
        <v>0</v>
      </c>
      <c r="H846" s="95" t="n">
        <v>44044</v>
      </c>
    </row>
    <row r="847" customFormat="false" ht="15" hidden="false" customHeight="false" outlineLevel="0" collapsed="false">
      <c r="A847" s="59" t="s">
        <v>29</v>
      </c>
      <c r="B847" s="74" t="s">
        <v>633</v>
      </c>
      <c r="C847" s="83" t="s">
        <v>521</v>
      </c>
      <c r="D847" s="76"/>
      <c r="E847" s="93" t="n">
        <v>645.94</v>
      </c>
      <c r="F847" s="78" t="n">
        <f aca="false">IF(ISNUMBER(FIND("SALDO ANTERIOR",C847)),0,IF(ISNUMBER(FIND("SALDO DO DIA",C847)),0,IF(ISNUMBER(FIND("SALDO PARCIAL",C847)),0,IF(ISNUMBER(FIND("SDO CTA/APL AUTOMATICAS",C847)),0,IF(ISNUMBER(FIND("APL APLIC AUT MAIS",C847)),0,IF(ISNUMBER(FIND("TEC DEPOSITO",C847)),0,IF(E847&gt;0,0,E847*(-1))))))))</f>
        <v>0</v>
      </c>
      <c r="G847" s="79" t="n">
        <f aca="false">IF(ISNUMBER(FIND("SALDO ANTERIOR",C847)),0,IF(ISNUMBER(FIND("SALDO DO DIA",C847)),0,IF(ISNUMBER(FIND("SDO CTA/APL AUTOMATICAS",C847)),0,IF(ISNUMBER(FIND("TEC DEPOSITO",C847)),0,IF(ISNUMBER(FIND("APL APLIC AUT MAIS",C847)),E847,IF(E847&gt;0,E847,0))))))</f>
        <v>0</v>
      </c>
      <c r="H847" s="95" t="n">
        <v>44044</v>
      </c>
    </row>
    <row r="848" customFormat="false" ht="13.8" hidden="false" customHeight="false" outlineLevel="0" collapsed="false">
      <c r="A848" s="59" t="s">
        <v>98</v>
      </c>
      <c r="B848" s="74" t="s">
        <v>634</v>
      </c>
      <c r="C848" s="75" t="s">
        <v>470</v>
      </c>
      <c r="D848" s="76" t="s">
        <v>64</v>
      </c>
      <c r="E848" s="81" t="n">
        <v>-435.49</v>
      </c>
      <c r="F848" s="78" t="n">
        <f aca="false">IF(ISNUMBER(FIND("SALDO ANTERIOR",C848)),0,IF(ISNUMBER(FIND("SALDO DO DIA",C848)),0,IF(ISNUMBER(FIND("SALDO PARCIAL",C848)),0,IF(ISNUMBER(FIND("SDO CTA/APL AUTOMATICAS",C848)),0,IF(ISNUMBER(FIND("APL APLIC AUT MAIS",C848)),0,IF(ISNUMBER(FIND("TEC DEPOSITO",C848)),0,IF(E848&gt;0,0,E848*(-1))))))))</f>
        <v>435.49</v>
      </c>
      <c r="G848" s="79" t="n">
        <f aca="false">IF(ISNUMBER(FIND("SALDO ANTERIOR",C848)),0,IF(ISNUMBER(FIND("SALDO DO DIA",C848)),0,IF(ISNUMBER(FIND("SDO CTA/APL AUTOMATICAS",C848)),0,IF(ISNUMBER(FIND("TEC DEPOSITO",C848)),0,IF(ISNUMBER(FIND("APL APLIC AUT MAIS",C848)),E848,IF(E848&gt;0,E848,0))))))</f>
        <v>0</v>
      </c>
      <c r="H848" s="95" t="n">
        <v>44044</v>
      </c>
    </row>
    <row r="849" customFormat="false" ht="13.8" hidden="false" customHeight="false" outlineLevel="0" collapsed="false">
      <c r="A849" s="59" t="s">
        <v>98</v>
      </c>
      <c r="B849" s="74" t="s">
        <v>634</v>
      </c>
      <c r="C849" s="75" t="s">
        <v>470</v>
      </c>
      <c r="D849" s="76" t="s">
        <v>64</v>
      </c>
      <c r="E849" s="81" t="n">
        <v>-19.7</v>
      </c>
      <c r="F849" s="78" t="n">
        <f aca="false">IF(ISNUMBER(FIND("SALDO ANTERIOR",C849)),0,IF(ISNUMBER(FIND("SALDO DO DIA",C849)),0,IF(ISNUMBER(FIND("SALDO PARCIAL",C849)),0,IF(ISNUMBER(FIND("SDO CTA/APL AUTOMATICAS",C849)),0,IF(ISNUMBER(FIND("APL APLIC AUT MAIS",C849)),0,IF(ISNUMBER(FIND("TEC DEPOSITO",C849)),0,IF(E849&gt;0,0,E849*(-1))))))))</f>
        <v>19.7</v>
      </c>
      <c r="G849" s="79" t="n">
        <f aca="false">IF(ISNUMBER(FIND("SALDO ANTERIOR",C849)),0,IF(ISNUMBER(FIND("SALDO DO DIA",C849)),0,IF(ISNUMBER(FIND("SDO CTA/APL AUTOMATICAS",C849)),0,IF(ISNUMBER(FIND("TEC DEPOSITO",C849)),0,IF(ISNUMBER(FIND("APL APLIC AUT MAIS",C849)),E849,IF(E849&gt;0,E849,0))))))</f>
        <v>0</v>
      </c>
      <c r="H849" s="95" t="n">
        <v>44044</v>
      </c>
    </row>
    <row r="850" customFormat="false" ht="13.8" hidden="false" customHeight="false" outlineLevel="0" collapsed="false">
      <c r="A850" s="59" t="s">
        <v>98</v>
      </c>
      <c r="B850" s="74" t="s">
        <v>634</v>
      </c>
      <c r="C850" s="75" t="s">
        <v>635</v>
      </c>
      <c r="D850" s="76" t="s">
        <v>64</v>
      </c>
      <c r="E850" s="81" t="n">
        <v>-18.25</v>
      </c>
      <c r="F850" s="78" t="n">
        <f aca="false">IF(ISNUMBER(FIND("SALDO ANTERIOR",C850)),0,IF(ISNUMBER(FIND("SALDO DO DIA",C850)),0,IF(ISNUMBER(FIND("SALDO PARCIAL",C850)),0,IF(ISNUMBER(FIND("SDO CTA/APL AUTOMATICAS",C850)),0,IF(ISNUMBER(FIND("APL APLIC AUT MAIS",C850)),0,IF(ISNUMBER(FIND("TEC DEPOSITO",C850)),0,IF(E850&gt;0,0,E850*(-1))))))))</f>
        <v>18.25</v>
      </c>
      <c r="G850" s="79" t="n">
        <f aca="false">IF(ISNUMBER(FIND("SALDO ANTERIOR",C850)),0,IF(ISNUMBER(FIND("SALDO DO DIA",C850)),0,IF(ISNUMBER(FIND("SDO CTA/APL AUTOMATICAS",C850)),0,IF(ISNUMBER(FIND("TEC DEPOSITO",C850)),0,IF(ISNUMBER(FIND("APL APLIC AUT MAIS",C850)),E850,IF(E850&gt;0,E850,0))))))</f>
        <v>0</v>
      </c>
      <c r="H850" s="95" t="n">
        <v>44044</v>
      </c>
    </row>
    <row r="851" customFormat="false" ht="15" hidden="false" customHeight="false" outlineLevel="0" collapsed="false">
      <c r="A851" s="59" t="s">
        <v>29</v>
      </c>
      <c r="B851" s="74" t="s">
        <v>634</v>
      </c>
      <c r="C851" s="83" t="s">
        <v>521</v>
      </c>
      <c r="D851" s="76"/>
      <c r="E851" s="93" t="n">
        <v>172.5</v>
      </c>
      <c r="F851" s="78" t="n">
        <f aca="false">IF(ISNUMBER(FIND("SALDO ANTERIOR",C851)),0,IF(ISNUMBER(FIND("SALDO DO DIA",C851)),0,IF(ISNUMBER(FIND("SALDO PARCIAL",C851)),0,IF(ISNUMBER(FIND("SDO CTA/APL AUTOMATICAS",C851)),0,IF(ISNUMBER(FIND("APL APLIC AUT MAIS",C851)),0,IF(ISNUMBER(FIND("TEC DEPOSITO",C851)),0,IF(E851&gt;0,0,E851*(-1))))))))</f>
        <v>0</v>
      </c>
      <c r="G851" s="79" t="n">
        <f aca="false">IF(ISNUMBER(FIND("SALDO ANTERIOR",C851)),0,IF(ISNUMBER(FIND("SALDO DO DIA",C851)),0,IF(ISNUMBER(FIND("SDO CTA/APL AUTOMATICAS",C851)),0,IF(ISNUMBER(FIND("TEC DEPOSITO",C851)),0,IF(ISNUMBER(FIND("APL APLIC AUT MAIS",C851)),E851,IF(E851&gt;0,E851,0))))))</f>
        <v>0</v>
      </c>
      <c r="H851" s="95" t="n">
        <v>44044</v>
      </c>
    </row>
    <row r="852" customFormat="false" ht="15" hidden="false" customHeight="false" outlineLevel="0" collapsed="false">
      <c r="A852" s="59" t="s">
        <v>29</v>
      </c>
      <c r="B852" s="74" t="s">
        <v>636</v>
      </c>
      <c r="C852" s="83" t="s">
        <v>521</v>
      </c>
      <c r="D852" s="76"/>
      <c r="E852" s="93" t="n">
        <v>172.5</v>
      </c>
      <c r="F852" s="78" t="n">
        <f aca="false">IF(ISNUMBER(FIND("SALDO ANTERIOR",C852)),0,IF(ISNUMBER(FIND("SALDO DO DIA",C852)),0,IF(ISNUMBER(FIND("SALDO PARCIAL",C852)),0,IF(ISNUMBER(FIND("SDO CTA/APL AUTOMATICAS",C852)),0,IF(ISNUMBER(FIND("APL APLIC AUT MAIS",C852)),0,IF(ISNUMBER(FIND("TEC DEPOSITO",C852)),0,IF(E852&gt;0,0,E852*(-1))))))))</f>
        <v>0</v>
      </c>
      <c r="G852" s="79" t="n">
        <f aca="false">IF(ISNUMBER(FIND("SALDO ANTERIOR",C852)),0,IF(ISNUMBER(FIND("SALDO DO DIA",C852)),0,IF(ISNUMBER(FIND("SDO CTA/APL AUTOMATICAS",C852)),0,IF(ISNUMBER(FIND("TEC DEPOSITO",C852)),0,IF(ISNUMBER(FIND("APL APLIC AUT MAIS",C852)),E852,IF(E852&gt;0,E852,0))))))</f>
        <v>0</v>
      </c>
      <c r="H852" s="95" t="n">
        <v>44044</v>
      </c>
    </row>
    <row r="853" customFormat="false" ht="13.8" hidden="false" customHeight="false" outlineLevel="0" collapsed="false">
      <c r="A853" s="59" t="s">
        <v>71</v>
      </c>
      <c r="B853" s="74" t="s">
        <v>637</v>
      </c>
      <c r="C853" s="75" t="s">
        <v>85</v>
      </c>
      <c r="D853" s="76" t="s">
        <v>64</v>
      </c>
      <c r="E853" s="81" t="n">
        <v>-6.39</v>
      </c>
      <c r="F853" s="78" t="n">
        <f aca="false">IF(ISNUMBER(FIND("SALDO ANTERIOR",C853)),0,IF(ISNUMBER(FIND("SALDO DO DIA",C853)),0,IF(ISNUMBER(FIND("SALDO PARCIAL",C853)),0,IF(ISNUMBER(FIND("SDO CTA/APL AUTOMATICAS",C853)),0,IF(ISNUMBER(FIND("APL APLIC AUT MAIS",C853)),0,IF(ISNUMBER(FIND("TEC DEPOSITO",C853)),0,IF(E853&gt;0,0,E853*(-1))))))))</f>
        <v>6.39</v>
      </c>
      <c r="G853" s="79" t="n">
        <f aca="false">IF(ISNUMBER(FIND("SALDO ANTERIOR",C853)),0,IF(ISNUMBER(FIND("SALDO DO DIA",C853)),0,IF(ISNUMBER(FIND("SDO CTA/APL AUTOMATICAS",C853)),0,IF(ISNUMBER(FIND("TEC DEPOSITO",C853)),0,IF(ISNUMBER(FIND("APL APLIC AUT MAIS",C853)),E853,IF(E853&gt;0,E853,0))))))</f>
        <v>0</v>
      </c>
      <c r="H853" s="95" t="n">
        <v>44044</v>
      </c>
    </row>
    <row r="854" customFormat="false" ht="13.8" hidden="false" customHeight="false" outlineLevel="0" collapsed="false">
      <c r="A854" s="59" t="s">
        <v>71</v>
      </c>
      <c r="B854" s="74" t="s">
        <v>637</v>
      </c>
      <c r="C854" s="75" t="s">
        <v>85</v>
      </c>
      <c r="D854" s="76" t="s">
        <v>64</v>
      </c>
      <c r="E854" s="81" t="n">
        <v>-13.9</v>
      </c>
      <c r="F854" s="78" t="n">
        <f aca="false">IF(ISNUMBER(FIND("SALDO ANTERIOR",C854)),0,IF(ISNUMBER(FIND("SALDO DO DIA",C854)),0,IF(ISNUMBER(FIND("SALDO PARCIAL",C854)),0,IF(ISNUMBER(FIND("SDO CTA/APL AUTOMATICAS",C854)),0,IF(ISNUMBER(FIND("APL APLIC AUT MAIS",C854)),0,IF(ISNUMBER(FIND("TEC DEPOSITO",C854)),0,IF(E854&gt;0,0,E854*(-1))))))))</f>
        <v>13.9</v>
      </c>
      <c r="G854" s="79" t="n">
        <f aca="false">IF(ISNUMBER(FIND("SALDO ANTERIOR",C854)),0,IF(ISNUMBER(FIND("SALDO DO DIA",C854)),0,IF(ISNUMBER(FIND("SDO CTA/APL AUTOMATICAS",C854)),0,IF(ISNUMBER(FIND("TEC DEPOSITO",C854)),0,IF(ISNUMBER(FIND("APL APLIC AUT MAIS",C854)),E854,IF(E854&gt;0,E854,0))))))</f>
        <v>0</v>
      </c>
      <c r="H854" s="95" t="n">
        <v>44044</v>
      </c>
    </row>
    <row r="855" customFormat="false" ht="13.8" hidden="false" customHeight="false" outlineLevel="0" collapsed="false">
      <c r="A855" s="59" t="s">
        <v>74</v>
      </c>
      <c r="B855" s="74" t="s">
        <v>637</v>
      </c>
      <c r="C855" s="75" t="s">
        <v>457</v>
      </c>
      <c r="D855" s="76" t="s">
        <v>64</v>
      </c>
      <c r="E855" s="81" t="n">
        <v>-43.98</v>
      </c>
      <c r="F855" s="78" t="n">
        <f aca="false">IF(ISNUMBER(FIND("SALDO ANTERIOR",C855)),0,IF(ISNUMBER(FIND("SALDO DO DIA",C855)),0,IF(ISNUMBER(FIND("SALDO PARCIAL",C855)),0,IF(ISNUMBER(FIND("SDO CTA/APL AUTOMATICAS",C855)),0,IF(ISNUMBER(FIND("APL APLIC AUT MAIS",C855)),0,IF(ISNUMBER(FIND("TEC DEPOSITO",C855)),0,IF(E855&gt;0,0,E855*(-1))))))))</f>
        <v>43.98</v>
      </c>
      <c r="G855" s="79" t="n">
        <f aca="false">IF(ISNUMBER(FIND("SALDO ANTERIOR",C855)),0,IF(ISNUMBER(FIND("SALDO DO DIA",C855)),0,IF(ISNUMBER(FIND("SDO CTA/APL AUTOMATICAS",C855)),0,IF(ISNUMBER(FIND("TEC DEPOSITO",C855)),0,IF(ISNUMBER(FIND("APL APLIC AUT MAIS",C855)),E855,IF(E855&gt;0,E855,0))))))</f>
        <v>0</v>
      </c>
      <c r="H855" s="95" t="n">
        <v>44044</v>
      </c>
    </row>
    <row r="856" customFormat="false" ht="13.8" hidden="false" customHeight="false" outlineLevel="0" collapsed="false">
      <c r="A856" s="59" t="s">
        <v>98</v>
      </c>
      <c r="B856" s="74" t="s">
        <v>637</v>
      </c>
      <c r="C856" s="75" t="s">
        <v>180</v>
      </c>
      <c r="D856" s="76" t="s">
        <v>64</v>
      </c>
      <c r="E856" s="81" t="n">
        <v>-42.19</v>
      </c>
      <c r="F856" s="78" t="n">
        <f aca="false">IF(ISNUMBER(FIND("SALDO ANTERIOR",C856)),0,IF(ISNUMBER(FIND("SALDO DO DIA",C856)),0,IF(ISNUMBER(FIND("SALDO PARCIAL",C856)),0,IF(ISNUMBER(FIND("SDO CTA/APL AUTOMATICAS",C856)),0,IF(ISNUMBER(FIND("APL APLIC AUT MAIS",C856)),0,IF(ISNUMBER(FIND("TEC DEPOSITO",C856)),0,IF(E856&gt;0,0,E856*(-1))))))))</f>
        <v>42.19</v>
      </c>
      <c r="G856" s="79" t="n">
        <f aca="false">IF(ISNUMBER(FIND("SALDO ANTERIOR",C856)),0,IF(ISNUMBER(FIND("SALDO DO DIA",C856)),0,IF(ISNUMBER(FIND("SDO CTA/APL AUTOMATICAS",C856)),0,IF(ISNUMBER(FIND("TEC DEPOSITO",C856)),0,IF(ISNUMBER(FIND("APL APLIC AUT MAIS",C856)),E856,IF(E856&gt;0,E856,0))))))</f>
        <v>0</v>
      </c>
      <c r="H856" s="95" t="n">
        <v>44044</v>
      </c>
    </row>
    <row r="857" customFormat="false" ht="15" hidden="false" customHeight="false" outlineLevel="0" collapsed="false">
      <c r="A857" s="59" t="s">
        <v>29</v>
      </c>
      <c r="B857" s="74" t="s">
        <v>637</v>
      </c>
      <c r="C857" s="83" t="s">
        <v>521</v>
      </c>
      <c r="D857" s="76"/>
      <c r="E857" s="93" t="n">
        <v>66.04</v>
      </c>
      <c r="F857" s="78" t="n">
        <f aca="false">IF(ISNUMBER(FIND("SALDO ANTERIOR",C857)),0,IF(ISNUMBER(FIND("SALDO DO DIA",C857)),0,IF(ISNUMBER(FIND("SALDO PARCIAL",C857)),0,IF(ISNUMBER(FIND("SDO CTA/APL AUTOMATICAS",C857)),0,IF(ISNUMBER(FIND("APL APLIC AUT MAIS",C857)),0,IF(ISNUMBER(FIND("TEC DEPOSITO",C857)),0,IF(E857&gt;0,0,E857*(-1))))))))</f>
        <v>0</v>
      </c>
      <c r="G857" s="79" t="n">
        <f aca="false">IF(ISNUMBER(FIND("SALDO ANTERIOR",C857)),0,IF(ISNUMBER(FIND("SALDO DO DIA",C857)),0,IF(ISNUMBER(FIND("SDO CTA/APL AUTOMATICAS",C857)),0,IF(ISNUMBER(FIND("TEC DEPOSITO",C857)),0,IF(ISNUMBER(FIND("APL APLIC AUT MAIS",C857)),E857,IF(E857&gt;0,E857,0))))))</f>
        <v>0</v>
      </c>
      <c r="H857" s="95" t="n">
        <v>44044</v>
      </c>
    </row>
    <row r="858" customFormat="false" ht="13.8" hidden="false" customHeight="false" outlineLevel="0" collapsed="false">
      <c r="A858" s="59" t="s">
        <v>203</v>
      </c>
      <c r="B858" s="74" t="s">
        <v>638</v>
      </c>
      <c r="C858" s="75" t="s">
        <v>639</v>
      </c>
      <c r="D858" s="76" t="s">
        <v>478</v>
      </c>
      <c r="E858" s="81" t="n">
        <v>-100</v>
      </c>
      <c r="F858" s="78" t="n">
        <f aca="false">IF(ISNUMBER(FIND("SALDO ANTERIOR",C858)),0,IF(ISNUMBER(FIND("SALDO DO DIA",C858)),0,IF(ISNUMBER(FIND("SALDO PARCIAL",C858)),0,IF(ISNUMBER(FIND("SDO CTA/APL AUTOMATICAS",C858)),0,IF(ISNUMBER(FIND("APL APLIC AUT MAIS",C858)),0,IF(ISNUMBER(FIND("TEC DEPOSITO",C858)),0,IF(E858&gt;0,0,E858*(-1))))))))</f>
        <v>100</v>
      </c>
      <c r="G858" s="79" t="n">
        <f aca="false">IF(ISNUMBER(FIND("SALDO ANTERIOR",C858)),0,IF(ISNUMBER(FIND("SALDO DO DIA",C858)),0,IF(ISNUMBER(FIND("SDO CTA/APL AUTOMATICAS",C858)),0,IF(ISNUMBER(FIND("TEC DEPOSITO",C858)),0,IF(ISNUMBER(FIND("APL APLIC AUT MAIS",C858)),E858,IF(E858&gt;0,E858,0))))))</f>
        <v>0</v>
      </c>
      <c r="H858" s="95" t="n">
        <v>44044</v>
      </c>
    </row>
    <row r="859" customFormat="false" ht="13.8" hidden="false" customHeight="false" outlineLevel="0" collapsed="false">
      <c r="A859" s="59" t="s">
        <v>532</v>
      </c>
      <c r="B859" s="74" t="s">
        <v>638</v>
      </c>
      <c r="C859" s="75" t="s">
        <v>533</v>
      </c>
      <c r="D859" s="76" t="s">
        <v>64</v>
      </c>
      <c r="E859" s="81" t="n">
        <v>-10</v>
      </c>
      <c r="F859" s="78" t="n">
        <f aca="false">IF(ISNUMBER(FIND("SALDO ANTERIOR",C859)),0,IF(ISNUMBER(FIND("SALDO DO DIA",C859)),0,IF(ISNUMBER(FIND("SALDO PARCIAL",C859)),0,IF(ISNUMBER(FIND("SDO CTA/APL AUTOMATICAS",C859)),0,IF(ISNUMBER(FIND("APL APLIC AUT MAIS",C859)),0,IF(ISNUMBER(FIND("TEC DEPOSITO",C859)),0,IF(E859&gt;0,0,E859*(-1))))))))</f>
        <v>10</v>
      </c>
      <c r="G859" s="79" t="n">
        <f aca="false">IF(ISNUMBER(FIND("SALDO ANTERIOR",C859)),0,IF(ISNUMBER(FIND("SALDO DO DIA",C859)),0,IF(ISNUMBER(FIND("SDO CTA/APL AUTOMATICAS",C859)),0,IF(ISNUMBER(FIND("TEC DEPOSITO",C859)),0,IF(ISNUMBER(FIND("APL APLIC AUT MAIS",C859)),E859,IF(E859&gt;0,E859,0))))))</f>
        <v>0</v>
      </c>
      <c r="H859" s="95" t="n">
        <v>44044</v>
      </c>
    </row>
    <row r="860" customFormat="false" ht="13.8" hidden="false" customHeight="false" outlineLevel="0" collapsed="false">
      <c r="A860" s="59" t="s">
        <v>640</v>
      </c>
      <c r="B860" s="74" t="s">
        <v>638</v>
      </c>
      <c r="C860" s="75" t="s">
        <v>503</v>
      </c>
      <c r="D860" s="76" t="s">
        <v>64</v>
      </c>
      <c r="E860" s="81" t="n">
        <v>-69.36</v>
      </c>
      <c r="F860" s="78" t="n">
        <f aca="false">IF(ISNUMBER(FIND("SALDO ANTERIOR",C860)),0,IF(ISNUMBER(FIND("SALDO DO DIA",C860)),0,IF(ISNUMBER(FIND("SALDO PARCIAL",C860)),0,IF(ISNUMBER(FIND("SDO CTA/APL AUTOMATICAS",C860)),0,IF(ISNUMBER(FIND("APL APLIC AUT MAIS",C860)),0,IF(ISNUMBER(FIND("TEC DEPOSITO",C860)),0,IF(E860&gt;0,0,E860*(-1))))))))</f>
        <v>69.36</v>
      </c>
      <c r="G860" s="79" t="n">
        <f aca="false">IF(ISNUMBER(FIND("SALDO ANTERIOR",C860)),0,IF(ISNUMBER(FIND("SALDO DO DIA",C860)),0,IF(ISNUMBER(FIND("SDO CTA/APL AUTOMATICAS",C860)),0,IF(ISNUMBER(FIND("TEC DEPOSITO",C860)),0,IF(ISNUMBER(FIND("APL APLIC AUT MAIS",C860)),E860,IF(E860&gt;0,E860,0))))))</f>
        <v>0</v>
      </c>
      <c r="H860" s="95" t="n">
        <v>44044</v>
      </c>
    </row>
    <row r="861" customFormat="false" ht="13.8" hidden="false" customHeight="false" outlineLevel="0" collapsed="false">
      <c r="A861" s="59" t="s">
        <v>640</v>
      </c>
      <c r="B861" s="74" t="s">
        <v>638</v>
      </c>
      <c r="C861" s="75" t="s">
        <v>503</v>
      </c>
      <c r="D861" s="76" t="s">
        <v>64</v>
      </c>
      <c r="E861" s="81" t="n">
        <v>-5.7</v>
      </c>
      <c r="F861" s="78" t="n">
        <f aca="false">IF(ISNUMBER(FIND("SALDO ANTERIOR",C861)),0,IF(ISNUMBER(FIND("SALDO DO DIA",C861)),0,IF(ISNUMBER(FIND("SALDO PARCIAL",C861)),0,IF(ISNUMBER(FIND("SDO CTA/APL AUTOMATICAS",C861)),0,IF(ISNUMBER(FIND("APL APLIC AUT MAIS",C861)),0,IF(ISNUMBER(FIND("TEC DEPOSITO",C861)),0,IF(E861&gt;0,0,E861*(-1))))))))</f>
        <v>5.7</v>
      </c>
      <c r="G861" s="79" t="n">
        <f aca="false">IF(ISNUMBER(FIND("SALDO ANTERIOR",C861)),0,IF(ISNUMBER(FIND("SALDO DO DIA",C861)),0,IF(ISNUMBER(FIND("SDO CTA/APL AUTOMATICAS",C861)),0,IF(ISNUMBER(FIND("TEC DEPOSITO",C861)),0,IF(ISNUMBER(FIND("APL APLIC AUT MAIS",C861)),E861,IF(E861&gt;0,E861,0))))))</f>
        <v>0</v>
      </c>
      <c r="H861" s="95" t="n">
        <v>44044</v>
      </c>
    </row>
    <row r="862" customFormat="false" ht="13.8" hidden="false" customHeight="false" outlineLevel="0" collapsed="false">
      <c r="A862" s="59" t="s">
        <v>76</v>
      </c>
      <c r="B862" s="74" t="s">
        <v>638</v>
      </c>
      <c r="C862" s="75" t="s">
        <v>616</v>
      </c>
      <c r="D862" s="76" t="s">
        <v>64</v>
      </c>
      <c r="E862" s="81" t="n">
        <v>-80.8</v>
      </c>
      <c r="F862" s="78" t="n">
        <f aca="false">IF(ISNUMBER(FIND("SALDO ANTERIOR",C862)),0,IF(ISNUMBER(FIND("SALDO DO DIA",C862)),0,IF(ISNUMBER(FIND("SALDO PARCIAL",C862)),0,IF(ISNUMBER(FIND("SDO CTA/APL AUTOMATICAS",C862)),0,IF(ISNUMBER(FIND("APL APLIC AUT MAIS",C862)),0,IF(ISNUMBER(FIND("TEC DEPOSITO",C862)),0,IF(E862&gt;0,0,E862*(-1))))))))</f>
        <v>80.8</v>
      </c>
      <c r="G862" s="79" t="n">
        <f aca="false">IF(ISNUMBER(FIND("SALDO ANTERIOR",C862)),0,IF(ISNUMBER(FIND("SALDO DO DIA",C862)),0,IF(ISNUMBER(FIND("SDO CTA/APL AUTOMATICAS",C862)),0,IF(ISNUMBER(FIND("TEC DEPOSITO",C862)),0,IF(ISNUMBER(FIND("APL APLIC AUT MAIS",C862)),E862,IF(E862&gt;0,E862,0))))))</f>
        <v>0</v>
      </c>
      <c r="H862" s="95" t="n">
        <v>44044</v>
      </c>
    </row>
    <row r="863" customFormat="false" ht="13.8" hidden="false" customHeight="false" outlineLevel="0" collapsed="false">
      <c r="A863" s="59" t="s">
        <v>316</v>
      </c>
      <c r="B863" s="74" t="s">
        <v>638</v>
      </c>
      <c r="C863" s="75" t="s">
        <v>479</v>
      </c>
      <c r="D863" s="76" t="s">
        <v>64</v>
      </c>
      <c r="E863" s="81" t="n">
        <v>-44</v>
      </c>
      <c r="F863" s="78" t="n">
        <f aca="false">IF(ISNUMBER(FIND("SALDO ANTERIOR",C863)),0,IF(ISNUMBER(FIND("SALDO DO DIA",C863)),0,IF(ISNUMBER(FIND("SALDO PARCIAL",C863)),0,IF(ISNUMBER(FIND("SDO CTA/APL AUTOMATICAS",C863)),0,IF(ISNUMBER(FIND("APL APLIC AUT MAIS",C863)),0,IF(ISNUMBER(FIND("TEC DEPOSITO",C863)),0,IF(E863&gt;0,0,E863*(-1))))))))</f>
        <v>44</v>
      </c>
      <c r="G863" s="79" t="n">
        <f aca="false">IF(ISNUMBER(FIND("SALDO ANTERIOR",C863)),0,IF(ISNUMBER(FIND("SALDO DO DIA",C863)),0,IF(ISNUMBER(FIND("SDO CTA/APL AUTOMATICAS",C863)),0,IF(ISNUMBER(FIND("TEC DEPOSITO",C863)),0,IF(ISNUMBER(FIND("APL APLIC AUT MAIS",C863)),E863,IF(E863&gt;0,E863,0))))))</f>
        <v>0</v>
      </c>
      <c r="H863" s="95" t="n">
        <v>44044</v>
      </c>
    </row>
    <row r="864" customFormat="false" ht="13.8" hidden="false" customHeight="false" outlineLevel="0" collapsed="false">
      <c r="A864" s="59" t="s">
        <v>98</v>
      </c>
      <c r="B864" s="74" t="s">
        <v>638</v>
      </c>
      <c r="C864" s="75" t="s">
        <v>99</v>
      </c>
      <c r="D864" s="76" t="s">
        <v>64</v>
      </c>
      <c r="E864" s="81" t="n">
        <v>-22.87</v>
      </c>
      <c r="F864" s="78" t="n">
        <f aca="false">IF(ISNUMBER(FIND("SALDO ANTERIOR",C864)),0,IF(ISNUMBER(FIND("SALDO DO DIA",C864)),0,IF(ISNUMBER(FIND("SALDO PARCIAL",C864)),0,IF(ISNUMBER(FIND("SDO CTA/APL AUTOMATICAS",C864)),0,IF(ISNUMBER(FIND("APL APLIC AUT MAIS",C864)),0,IF(ISNUMBER(FIND("TEC DEPOSITO",C864)),0,IF(E864&gt;0,0,E864*(-1))))))))</f>
        <v>22.87</v>
      </c>
      <c r="G864" s="79" t="n">
        <f aca="false">IF(ISNUMBER(FIND("SALDO ANTERIOR",C864)),0,IF(ISNUMBER(FIND("SALDO DO DIA",C864)),0,IF(ISNUMBER(FIND("SDO CTA/APL AUTOMATICAS",C864)),0,IF(ISNUMBER(FIND("TEC DEPOSITO",C864)),0,IF(ISNUMBER(FIND("APL APLIC AUT MAIS",C864)),E864,IF(E864&gt;0,E864,0))))))</f>
        <v>0</v>
      </c>
      <c r="H864" s="95" t="n">
        <v>44044</v>
      </c>
    </row>
    <row r="865" customFormat="false" ht="13.8" hidden="false" customHeight="false" outlineLevel="0" collapsed="false">
      <c r="A865" s="59" t="s">
        <v>122</v>
      </c>
      <c r="B865" s="74" t="s">
        <v>638</v>
      </c>
      <c r="C865" s="75" t="s">
        <v>123</v>
      </c>
      <c r="D865" s="76" t="s">
        <v>61</v>
      </c>
      <c r="E865" s="81" t="n">
        <v>-2239.32</v>
      </c>
      <c r="F865" s="78" t="n">
        <f aca="false">IF(ISNUMBER(FIND("SALDO ANTERIOR",C865)),0,IF(ISNUMBER(FIND("SALDO DO DIA",C865)),0,IF(ISNUMBER(FIND("SALDO PARCIAL",C865)),0,IF(ISNUMBER(FIND("SDO CTA/APL AUTOMATICAS",C865)),0,IF(ISNUMBER(FIND("APL APLIC AUT MAIS",C865)),0,IF(ISNUMBER(FIND("TEC DEPOSITO",C865)),0,IF(E865&gt;0,0,E865*(-1))))))))</f>
        <v>2239.32</v>
      </c>
      <c r="G865" s="79" t="n">
        <f aca="false">IF(ISNUMBER(FIND("SALDO ANTERIOR",C865)),0,IF(ISNUMBER(FIND("SALDO DO DIA",C865)),0,IF(ISNUMBER(FIND("SDO CTA/APL AUTOMATICAS",C865)),0,IF(ISNUMBER(FIND("TEC DEPOSITO",C865)),0,IF(ISNUMBER(FIND("APL APLIC AUT MAIS",C865)),E865,IF(E865&gt;0,E865,0))))))</f>
        <v>0</v>
      </c>
      <c r="H865" s="95" t="n">
        <v>44044</v>
      </c>
    </row>
    <row r="866" customFormat="false" ht="13.8" hidden="false" customHeight="false" outlineLevel="0" collapsed="false">
      <c r="A866" s="59" t="s">
        <v>127</v>
      </c>
      <c r="B866" s="74" t="s">
        <v>638</v>
      </c>
      <c r="C866" s="75" t="s">
        <v>128</v>
      </c>
      <c r="D866" s="76"/>
      <c r="E866" s="77" t="n">
        <v>4390</v>
      </c>
      <c r="F866" s="78" t="n">
        <f aca="false">IF(ISNUMBER(FIND("SALDO ANTERIOR",C866)),0,IF(ISNUMBER(FIND("SALDO DO DIA",C866)),0,IF(ISNUMBER(FIND("SALDO PARCIAL",C866)),0,IF(ISNUMBER(FIND("SDO CTA/APL AUTOMATICAS",C866)),0,IF(ISNUMBER(FIND("APL APLIC AUT MAIS",C866)),0,IF(ISNUMBER(FIND("TEC DEPOSITO",C866)),0,IF(E866&gt;0,0,E866*(-1))))))))</f>
        <v>0</v>
      </c>
      <c r="G866" s="79" t="n">
        <f aca="false">IF(ISNUMBER(FIND("SALDO ANTERIOR",C866)),0,IF(ISNUMBER(FIND("SALDO DO DIA",C866)),0,IF(ISNUMBER(FIND("SDO CTA/APL AUTOMATICAS",C866)),0,IF(ISNUMBER(FIND("TEC DEPOSITO",C866)),0,IF(ISNUMBER(FIND("APL APLIC AUT MAIS",C866)),E866,IF(E866&gt;0,E866,0))))))</f>
        <v>4390</v>
      </c>
      <c r="H866" s="95" t="n">
        <v>44044</v>
      </c>
    </row>
    <row r="867" customFormat="false" ht="15" hidden="false" customHeight="false" outlineLevel="0" collapsed="false">
      <c r="A867" s="59" t="s">
        <v>29</v>
      </c>
      <c r="B867" s="74" t="s">
        <v>638</v>
      </c>
      <c r="C867" s="83" t="s">
        <v>521</v>
      </c>
      <c r="D867" s="76"/>
      <c r="E867" s="93" t="n">
        <v>1883.99</v>
      </c>
      <c r="F867" s="78" t="n">
        <f aca="false">IF(ISNUMBER(FIND("SALDO ANTERIOR",C867)),0,IF(ISNUMBER(FIND("SALDO DO DIA",C867)),0,IF(ISNUMBER(FIND("SALDO PARCIAL",C867)),0,IF(ISNUMBER(FIND("SDO CTA/APL AUTOMATICAS",C867)),0,IF(ISNUMBER(FIND("APL APLIC AUT MAIS",C867)),0,IF(ISNUMBER(FIND("TEC DEPOSITO",C867)),0,IF(E867&gt;0,0,E867*(-1))))))))</f>
        <v>0</v>
      </c>
      <c r="G867" s="79" t="n">
        <f aca="false">IF(ISNUMBER(FIND("SALDO ANTERIOR",C867)),0,IF(ISNUMBER(FIND("SALDO DO DIA",C867)),0,IF(ISNUMBER(FIND("SDO CTA/APL AUTOMATICAS",C867)),0,IF(ISNUMBER(FIND("TEC DEPOSITO",C867)),0,IF(ISNUMBER(FIND("APL APLIC AUT MAIS",C867)),E867,IF(E867&gt;0,E867,0))))))</f>
        <v>0</v>
      </c>
      <c r="H867" s="95" t="n">
        <v>44044</v>
      </c>
    </row>
    <row r="868" customFormat="false" ht="15" hidden="false" customHeight="false" outlineLevel="0" collapsed="false">
      <c r="A868" s="59" t="s">
        <v>29</v>
      </c>
      <c r="B868" s="74" t="s">
        <v>641</v>
      </c>
      <c r="C868" s="83" t="s">
        <v>521</v>
      </c>
      <c r="D868" s="76"/>
      <c r="E868" s="93" t="n">
        <v>1883.99</v>
      </c>
      <c r="F868" s="78" t="n">
        <f aca="false">IF(ISNUMBER(FIND("SALDO ANTERIOR",C868)),0,IF(ISNUMBER(FIND("SALDO DO DIA",C868)),0,IF(ISNUMBER(FIND("SALDO PARCIAL",C868)),0,IF(ISNUMBER(FIND("SDO CTA/APL AUTOMATICAS",C868)),0,IF(ISNUMBER(FIND("APL APLIC AUT MAIS",C868)),0,IF(ISNUMBER(FIND("TEC DEPOSITO",C868)),0,IF(E868&gt;0,0,E868*(-1))))))))</f>
        <v>0</v>
      </c>
      <c r="G868" s="79" t="n">
        <f aca="false">IF(ISNUMBER(FIND("SALDO ANTERIOR",C868)),0,IF(ISNUMBER(FIND("SALDO DO DIA",C868)),0,IF(ISNUMBER(FIND("SDO CTA/APL AUTOMATICAS",C868)),0,IF(ISNUMBER(FIND("TEC DEPOSITO",C868)),0,IF(ISNUMBER(FIND("APL APLIC AUT MAIS",C868)),E868,IF(E868&gt;0,E868,0))))))</f>
        <v>0</v>
      </c>
      <c r="H868" s="95" t="n">
        <v>44044</v>
      </c>
    </row>
    <row r="869" customFormat="false" ht="13.8" hidden="false" customHeight="false" outlineLevel="0" collapsed="false">
      <c r="A869" s="59" t="s">
        <v>74</v>
      </c>
      <c r="B869" s="74" t="s">
        <v>642</v>
      </c>
      <c r="C869" s="75" t="s">
        <v>489</v>
      </c>
      <c r="D869" s="76" t="s">
        <v>64</v>
      </c>
      <c r="E869" s="81" t="n">
        <v>-43.68</v>
      </c>
      <c r="F869" s="78" t="n">
        <f aca="false">IF(ISNUMBER(FIND("SALDO ANTERIOR",C869)),0,IF(ISNUMBER(FIND("SALDO DO DIA",C869)),0,IF(ISNUMBER(FIND("SALDO PARCIAL",C869)),0,IF(ISNUMBER(FIND("SDO CTA/APL AUTOMATICAS",C869)),0,IF(ISNUMBER(FIND("APL APLIC AUT MAIS",C869)),0,IF(ISNUMBER(FIND("TEC DEPOSITO",C869)),0,IF(E869&gt;0,0,E869*(-1))))))))</f>
        <v>43.68</v>
      </c>
      <c r="G869" s="79" t="n">
        <f aca="false">IF(ISNUMBER(FIND("SALDO ANTERIOR",C869)),0,IF(ISNUMBER(FIND("SALDO DO DIA",C869)),0,IF(ISNUMBER(FIND("SDO CTA/APL AUTOMATICAS",C869)),0,IF(ISNUMBER(FIND("TEC DEPOSITO",C869)),0,IF(ISNUMBER(FIND("APL APLIC AUT MAIS",C869)),E869,IF(E869&gt;0,E869,0))))))</f>
        <v>0</v>
      </c>
      <c r="H869" s="95" t="n">
        <v>44044</v>
      </c>
    </row>
    <row r="870" customFormat="false" ht="13.8" hidden="false" customHeight="false" outlineLevel="0" collapsed="false">
      <c r="A870" s="59" t="s">
        <v>98</v>
      </c>
      <c r="B870" s="74" t="s">
        <v>642</v>
      </c>
      <c r="C870" s="75" t="s">
        <v>180</v>
      </c>
      <c r="D870" s="76" t="s">
        <v>64</v>
      </c>
      <c r="E870" s="81" t="n">
        <v>-293.98</v>
      </c>
      <c r="F870" s="78" t="n">
        <f aca="false">IF(ISNUMBER(FIND("SALDO ANTERIOR",C870)),0,IF(ISNUMBER(FIND("SALDO DO DIA",C870)),0,IF(ISNUMBER(FIND("SALDO PARCIAL",C870)),0,IF(ISNUMBER(FIND("SDO CTA/APL AUTOMATICAS",C870)),0,IF(ISNUMBER(FIND("APL APLIC AUT MAIS",C870)),0,IF(ISNUMBER(FIND("TEC DEPOSITO",C870)),0,IF(E870&gt;0,0,E870*(-1))))))))</f>
        <v>293.98</v>
      </c>
      <c r="G870" s="79" t="n">
        <f aca="false">IF(ISNUMBER(FIND("SALDO ANTERIOR",C870)),0,IF(ISNUMBER(FIND("SALDO DO DIA",C870)),0,IF(ISNUMBER(FIND("SDO CTA/APL AUTOMATICAS",C870)),0,IF(ISNUMBER(FIND("TEC DEPOSITO",C870)),0,IF(ISNUMBER(FIND("APL APLIC AUT MAIS",C870)),E870,IF(E870&gt;0,E870,0))))))</f>
        <v>0</v>
      </c>
      <c r="H870" s="95" t="n">
        <v>44044</v>
      </c>
    </row>
    <row r="871" customFormat="false" ht="15" hidden="false" customHeight="false" outlineLevel="0" collapsed="false">
      <c r="A871" s="59" t="s">
        <v>29</v>
      </c>
      <c r="B871" s="74" t="s">
        <v>642</v>
      </c>
      <c r="C871" s="83" t="s">
        <v>521</v>
      </c>
      <c r="D871" s="76"/>
      <c r="E871" s="93" t="n">
        <v>1546.33</v>
      </c>
      <c r="F871" s="78" t="n">
        <f aca="false">IF(ISNUMBER(FIND("SALDO ANTERIOR",C871)),0,IF(ISNUMBER(FIND("SALDO DO DIA",C871)),0,IF(ISNUMBER(FIND("SALDO PARCIAL",C871)),0,IF(ISNUMBER(FIND("SDO CTA/APL AUTOMATICAS",C871)),0,IF(ISNUMBER(FIND("APL APLIC AUT MAIS",C871)),0,IF(ISNUMBER(FIND("TEC DEPOSITO",C871)),0,IF(E871&gt;0,0,E871*(-1))))))))</f>
        <v>0</v>
      </c>
      <c r="G871" s="79" t="n">
        <f aca="false">IF(ISNUMBER(FIND("SALDO ANTERIOR",C871)),0,IF(ISNUMBER(FIND("SALDO DO DIA",C871)),0,IF(ISNUMBER(FIND("SDO CTA/APL AUTOMATICAS",C871)),0,IF(ISNUMBER(FIND("TEC DEPOSITO",C871)),0,IF(ISNUMBER(FIND("APL APLIC AUT MAIS",C871)),E871,IF(E871&gt;0,E871,0))))))</f>
        <v>0</v>
      </c>
      <c r="H871" s="95" t="n">
        <v>44044</v>
      </c>
    </row>
    <row r="872" customFormat="false" ht="13.8" hidden="false" customHeight="false" outlineLevel="0" collapsed="false">
      <c r="A872" s="59" t="s">
        <v>65</v>
      </c>
      <c r="B872" s="74" t="s">
        <v>643</v>
      </c>
      <c r="C872" s="75" t="s">
        <v>244</v>
      </c>
      <c r="D872" s="76" t="s">
        <v>64</v>
      </c>
      <c r="E872" s="81" t="n">
        <v>-10</v>
      </c>
      <c r="F872" s="78" t="n">
        <f aca="false">IF(ISNUMBER(FIND("SALDO ANTERIOR",C872)),0,IF(ISNUMBER(FIND("SALDO DO DIA",C872)),0,IF(ISNUMBER(FIND("SALDO PARCIAL",C872)),0,IF(ISNUMBER(FIND("SDO CTA/APL AUTOMATICAS",C872)),0,IF(ISNUMBER(FIND("APL APLIC AUT MAIS",C872)),0,IF(ISNUMBER(FIND("TEC DEPOSITO",C872)),0,IF(E872&gt;0,0,E872*(-1))))))))</f>
        <v>10</v>
      </c>
      <c r="G872" s="79" t="n">
        <f aca="false">IF(ISNUMBER(FIND("SALDO ANTERIOR",C872)),0,IF(ISNUMBER(FIND("SALDO DO DIA",C872)),0,IF(ISNUMBER(FIND("SDO CTA/APL AUTOMATICAS",C872)),0,IF(ISNUMBER(FIND("TEC DEPOSITO",C872)),0,IF(ISNUMBER(FIND("APL APLIC AUT MAIS",C872)),E872,IF(E872&gt;0,E872,0))))))</f>
        <v>0</v>
      </c>
      <c r="H872" s="95" t="n">
        <v>44044</v>
      </c>
    </row>
    <row r="873" customFormat="false" ht="15" hidden="false" customHeight="false" outlineLevel="0" collapsed="false">
      <c r="A873" s="59" t="s">
        <v>29</v>
      </c>
      <c r="B873" s="74" t="s">
        <v>643</v>
      </c>
      <c r="C873" s="83" t="s">
        <v>521</v>
      </c>
      <c r="D873" s="76"/>
      <c r="E873" s="93" t="n">
        <v>1536.33</v>
      </c>
      <c r="F873" s="78" t="n">
        <f aca="false">IF(ISNUMBER(FIND("SALDO ANTERIOR",C873)),0,IF(ISNUMBER(FIND("SALDO DO DIA",C873)),0,IF(ISNUMBER(FIND("SALDO PARCIAL",C873)),0,IF(ISNUMBER(FIND("SDO CTA/APL AUTOMATICAS",C873)),0,IF(ISNUMBER(FIND("APL APLIC AUT MAIS",C873)),0,IF(ISNUMBER(FIND("TEC DEPOSITO",C873)),0,IF(E873&gt;0,0,E873*(-1))))))))</f>
        <v>0</v>
      </c>
      <c r="G873" s="79" t="n">
        <f aca="false">IF(ISNUMBER(FIND("SALDO ANTERIOR",C873)),0,IF(ISNUMBER(FIND("SALDO DO DIA",C873)),0,IF(ISNUMBER(FIND("SDO CTA/APL AUTOMATICAS",C873)),0,IF(ISNUMBER(FIND("TEC DEPOSITO",C873)),0,IF(ISNUMBER(FIND("APL APLIC AUT MAIS",C873)),E873,IF(E873&gt;0,E873,0))))))</f>
        <v>0</v>
      </c>
      <c r="H873" s="95" t="n">
        <v>44044</v>
      </c>
    </row>
    <row r="874" customFormat="false" ht="13.8" hidden="false" customHeight="false" outlineLevel="0" collapsed="false">
      <c r="A874" s="59" t="s">
        <v>71</v>
      </c>
      <c r="B874" s="74" t="s">
        <v>644</v>
      </c>
      <c r="C874" s="75" t="s">
        <v>85</v>
      </c>
      <c r="D874" s="76" t="s">
        <v>64</v>
      </c>
      <c r="E874" s="81" t="n">
        <v>-22.28</v>
      </c>
      <c r="F874" s="78" t="n">
        <f aca="false">IF(ISNUMBER(FIND("SALDO ANTERIOR",C874)),0,IF(ISNUMBER(FIND("SALDO DO DIA",C874)),0,IF(ISNUMBER(FIND("SALDO PARCIAL",C874)),0,IF(ISNUMBER(FIND("SDO CTA/APL AUTOMATICAS",C874)),0,IF(ISNUMBER(FIND("APL APLIC AUT MAIS",C874)),0,IF(ISNUMBER(FIND("TEC DEPOSITO",C874)),0,IF(E874&gt;0,0,E874*(-1))))))))</f>
        <v>22.28</v>
      </c>
      <c r="G874" s="79" t="n">
        <f aca="false">IF(ISNUMBER(FIND("SALDO ANTERIOR",C874)),0,IF(ISNUMBER(FIND("SALDO DO DIA",C874)),0,IF(ISNUMBER(FIND("SDO CTA/APL AUTOMATICAS",C874)),0,IF(ISNUMBER(FIND("TEC DEPOSITO",C874)),0,IF(ISNUMBER(FIND("APL APLIC AUT MAIS",C874)),E874,IF(E874&gt;0,E874,0))))))</f>
        <v>0</v>
      </c>
      <c r="H874" s="95" t="n">
        <v>44044</v>
      </c>
    </row>
    <row r="875" customFormat="false" ht="13.8" hidden="false" customHeight="false" outlineLevel="0" collapsed="false">
      <c r="A875" s="59" t="s">
        <v>71</v>
      </c>
      <c r="B875" s="74" t="s">
        <v>644</v>
      </c>
      <c r="C875" s="75" t="s">
        <v>85</v>
      </c>
      <c r="D875" s="76" t="s">
        <v>64</v>
      </c>
      <c r="E875" s="81" t="n">
        <v>-13.6</v>
      </c>
      <c r="F875" s="78" t="n">
        <f aca="false">IF(ISNUMBER(FIND("SALDO ANTERIOR",C875)),0,IF(ISNUMBER(FIND("SALDO DO DIA",C875)),0,IF(ISNUMBER(FIND("SALDO PARCIAL",C875)),0,IF(ISNUMBER(FIND("SDO CTA/APL AUTOMATICAS",C875)),0,IF(ISNUMBER(FIND("APL APLIC AUT MAIS",C875)),0,IF(ISNUMBER(FIND("TEC DEPOSITO",C875)),0,IF(E875&gt;0,0,E875*(-1))))))))</f>
        <v>13.6</v>
      </c>
      <c r="G875" s="79" t="n">
        <f aca="false">IF(ISNUMBER(FIND("SALDO ANTERIOR",C875)),0,IF(ISNUMBER(FIND("SALDO DO DIA",C875)),0,IF(ISNUMBER(FIND("SDO CTA/APL AUTOMATICAS",C875)),0,IF(ISNUMBER(FIND("TEC DEPOSITO",C875)),0,IF(ISNUMBER(FIND("APL APLIC AUT MAIS",C875)),E875,IF(E875&gt;0,E875,0))))))</f>
        <v>0</v>
      </c>
      <c r="H875" s="95" t="n">
        <v>44044</v>
      </c>
    </row>
    <row r="876" customFormat="false" ht="13.8" hidden="false" customHeight="false" outlineLevel="0" collapsed="false">
      <c r="A876" s="59" t="s">
        <v>65</v>
      </c>
      <c r="B876" s="74" t="s">
        <v>644</v>
      </c>
      <c r="C876" s="75" t="s">
        <v>645</v>
      </c>
      <c r="D876" s="76" t="s">
        <v>64</v>
      </c>
      <c r="E876" s="81" t="n">
        <v>-40</v>
      </c>
      <c r="F876" s="78" t="n">
        <f aca="false">IF(ISNUMBER(FIND("SALDO ANTERIOR",C876)),0,IF(ISNUMBER(FIND("SALDO DO DIA",C876)),0,IF(ISNUMBER(FIND("SALDO PARCIAL",C876)),0,IF(ISNUMBER(FIND("SDO CTA/APL AUTOMATICAS",C876)),0,IF(ISNUMBER(FIND("APL APLIC AUT MAIS",C876)),0,IF(ISNUMBER(FIND("TEC DEPOSITO",C876)),0,IF(E876&gt;0,0,E876*(-1))))))))</f>
        <v>40</v>
      </c>
      <c r="G876" s="79" t="n">
        <f aca="false">IF(ISNUMBER(FIND("SALDO ANTERIOR",C876)),0,IF(ISNUMBER(FIND("SALDO DO DIA",C876)),0,IF(ISNUMBER(FIND("SDO CTA/APL AUTOMATICAS",C876)),0,IF(ISNUMBER(FIND("TEC DEPOSITO",C876)),0,IF(ISNUMBER(FIND("APL APLIC AUT MAIS",C876)),E876,IF(E876&gt;0,E876,0))))))</f>
        <v>0</v>
      </c>
      <c r="H876" s="95" t="n">
        <v>44044</v>
      </c>
    </row>
    <row r="877" customFormat="false" ht="13.8" hidden="false" customHeight="false" outlineLevel="0" collapsed="false">
      <c r="A877" s="59" t="s">
        <v>71</v>
      </c>
      <c r="B877" s="74" t="s">
        <v>644</v>
      </c>
      <c r="C877" s="75" t="s">
        <v>646</v>
      </c>
      <c r="D877" s="76" t="s">
        <v>64</v>
      </c>
      <c r="E877" s="81" t="n">
        <v>-11.7</v>
      </c>
      <c r="F877" s="78" t="n">
        <f aca="false">IF(ISNUMBER(FIND("SALDO ANTERIOR",C877)),0,IF(ISNUMBER(FIND("SALDO DO DIA",C877)),0,IF(ISNUMBER(FIND("SALDO PARCIAL",C877)),0,IF(ISNUMBER(FIND("SDO CTA/APL AUTOMATICAS",C877)),0,IF(ISNUMBER(FIND("APL APLIC AUT MAIS",C877)),0,IF(ISNUMBER(FIND("TEC DEPOSITO",C877)),0,IF(E877&gt;0,0,E877*(-1))))))))</f>
        <v>11.7</v>
      </c>
      <c r="G877" s="79" t="n">
        <f aca="false">IF(ISNUMBER(FIND("SALDO ANTERIOR",C877)),0,IF(ISNUMBER(FIND("SALDO DO DIA",C877)),0,IF(ISNUMBER(FIND("SDO CTA/APL AUTOMATICAS",C877)),0,IF(ISNUMBER(FIND("TEC DEPOSITO",C877)),0,IF(ISNUMBER(FIND("APL APLIC AUT MAIS",C877)),E877,IF(E877&gt;0,E877,0))))))</f>
        <v>0</v>
      </c>
      <c r="H877" s="95" t="n">
        <v>44044</v>
      </c>
    </row>
    <row r="878" customFormat="false" ht="15" hidden="false" customHeight="false" outlineLevel="0" collapsed="false">
      <c r="A878" s="59" t="s">
        <v>29</v>
      </c>
      <c r="B878" s="74" t="s">
        <v>644</v>
      </c>
      <c r="C878" s="83" t="s">
        <v>521</v>
      </c>
      <c r="D878" s="76"/>
      <c r="E878" s="93" t="n">
        <v>1448.75</v>
      </c>
      <c r="F878" s="78" t="n">
        <f aca="false">IF(ISNUMBER(FIND("SALDO ANTERIOR",C878)),0,IF(ISNUMBER(FIND("SALDO DO DIA",C878)),0,IF(ISNUMBER(FIND("SALDO PARCIAL",C878)),0,IF(ISNUMBER(FIND("SDO CTA/APL AUTOMATICAS",C878)),0,IF(ISNUMBER(FIND("APL APLIC AUT MAIS",C878)),0,IF(ISNUMBER(FIND("TEC DEPOSITO",C878)),0,IF(E878&gt;0,0,E878*(-1))))))))</f>
        <v>0</v>
      </c>
      <c r="G878" s="79" t="n">
        <f aca="false">IF(ISNUMBER(FIND("SALDO ANTERIOR",C878)),0,IF(ISNUMBER(FIND("SALDO DO DIA",C878)),0,IF(ISNUMBER(FIND("SDO CTA/APL AUTOMATICAS",C878)),0,IF(ISNUMBER(FIND("TEC DEPOSITO",C878)),0,IF(ISNUMBER(FIND("APL APLIC AUT MAIS",C878)),E878,IF(E878&gt;0,E878,0))))))</f>
        <v>0</v>
      </c>
      <c r="H878" s="95" t="n">
        <v>44044</v>
      </c>
    </row>
    <row r="879" customFormat="false" ht="13.8" hidden="false" customHeight="false" outlineLevel="0" collapsed="false">
      <c r="A879" s="59" t="s">
        <v>203</v>
      </c>
      <c r="B879" s="74" t="s">
        <v>647</v>
      </c>
      <c r="C879" s="75" t="s">
        <v>648</v>
      </c>
      <c r="D879" s="76" t="s">
        <v>478</v>
      </c>
      <c r="E879" s="81" t="n">
        <v>-100</v>
      </c>
      <c r="F879" s="78" t="n">
        <f aca="false">IF(ISNUMBER(FIND("SALDO ANTERIOR",C879)),0,IF(ISNUMBER(FIND("SALDO DO DIA",C879)),0,IF(ISNUMBER(FIND("SALDO PARCIAL",C879)),0,IF(ISNUMBER(FIND("SDO CTA/APL AUTOMATICAS",C879)),0,IF(ISNUMBER(FIND("APL APLIC AUT MAIS",C879)),0,IF(ISNUMBER(FIND("TEC DEPOSITO",C879)),0,IF(E879&gt;0,0,E879*(-1))))))))</f>
        <v>100</v>
      </c>
      <c r="G879" s="79" t="n">
        <f aca="false">IF(ISNUMBER(FIND("SALDO ANTERIOR",C879)),0,IF(ISNUMBER(FIND("SALDO DO DIA",C879)),0,IF(ISNUMBER(FIND("SDO CTA/APL AUTOMATICAS",C879)),0,IF(ISNUMBER(FIND("TEC DEPOSITO",C879)),0,IF(ISNUMBER(FIND("APL APLIC AUT MAIS",C879)),E879,IF(E879&gt;0,E879,0))))))</f>
        <v>0</v>
      </c>
      <c r="H879" s="95" t="n">
        <v>44044</v>
      </c>
    </row>
    <row r="880" customFormat="false" ht="13.8" hidden="false" customHeight="false" outlineLevel="0" collapsed="false">
      <c r="A880" s="59" t="s">
        <v>71</v>
      </c>
      <c r="B880" s="74" t="s">
        <v>647</v>
      </c>
      <c r="C880" s="75" t="s">
        <v>85</v>
      </c>
      <c r="D880" s="76" t="s">
        <v>64</v>
      </c>
      <c r="E880" s="81" t="n">
        <v>-4.34</v>
      </c>
      <c r="F880" s="78" t="n">
        <f aca="false">IF(ISNUMBER(FIND("SALDO ANTERIOR",C880)),0,IF(ISNUMBER(FIND("SALDO DO DIA",C880)),0,IF(ISNUMBER(FIND("SALDO PARCIAL",C880)),0,IF(ISNUMBER(FIND("SDO CTA/APL AUTOMATICAS",C880)),0,IF(ISNUMBER(FIND("APL APLIC AUT MAIS",C880)),0,IF(ISNUMBER(FIND("TEC DEPOSITO",C880)),0,IF(E880&gt;0,0,E880*(-1))))))))</f>
        <v>4.34</v>
      </c>
      <c r="G880" s="79" t="n">
        <f aca="false">IF(ISNUMBER(FIND("SALDO ANTERIOR",C880)),0,IF(ISNUMBER(FIND("SALDO DO DIA",C880)),0,IF(ISNUMBER(FIND("SDO CTA/APL AUTOMATICAS",C880)),0,IF(ISNUMBER(FIND("TEC DEPOSITO",C880)),0,IF(ISNUMBER(FIND("APL APLIC AUT MAIS",C880)),E880,IF(E880&gt;0,E880,0))))))</f>
        <v>0</v>
      </c>
      <c r="H880" s="95" t="n">
        <v>44044</v>
      </c>
    </row>
    <row r="881" customFormat="false" ht="13.8" hidden="false" customHeight="false" outlineLevel="0" collapsed="false">
      <c r="A881" s="59" t="s">
        <v>76</v>
      </c>
      <c r="B881" s="74" t="s">
        <v>647</v>
      </c>
      <c r="C881" s="75" t="s">
        <v>649</v>
      </c>
      <c r="D881" s="76" t="s">
        <v>64</v>
      </c>
      <c r="E881" s="81" t="n">
        <v>-6</v>
      </c>
      <c r="F881" s="78" t="n">
        <f aca="false">IF(ISNUMBER(FIND("SALDO ANTERIOR",C881)),0,IF(ISNUMBER(FIND("SALDO DO DIA",C881)),0,IF(ISNUMBER(FIND("SALDO PARCIAL",C881)),0,IF(ISNUMBER(FIND("SDO CTA/APL AUTOMATICAS",C881)),0,IF(ISNUMBER(FIND("APL APLIC AUT MAIS",C881)),0,IF(ISNUMBER(FIND("TEC DEPOSITO",C881)),0,IF(E881&gt;0,0,E881*(-1))))))))</f>
        <v>6</v>
      </c>
      <c r="G881" s="79" t="n">
        <f aca="false">IF(ISNUMBER(FIND("SALDO ANTERIOR",C881)),0,IF(ISNUMBER(FIND("SALDO DO DIA",C881)),0,IF(ISNUMBER(FIND("SDO CTA/APL AUTOMATICAS",C881)),0,IF(ISNUMBER(FIND("TEC DEPOSITO",C881)),0,IF(ISNUMBER(FIND("APL APLIC AUT MAIS",C881)),E881,IF(E881&gt;0,E881,0))))))</f>
        <v>0</v>
      </c>
      <c r="H881" s="95" t="n">
        <v>44044</v>
      </c>
    </row>
    <row r="882" customFormat="false" ht="13.8" hidden="false" customHeight="false" outlineLevel="0" collapsed="false">
      <c r="A882" s="59" t="s">
        <v>76</v>
      </c>
      <c r="B882" s="74" t="s">
        <v>647</v>
      </c>
      <c r="C882" s="75" t="s">
        <v>649</v>
      </c>
      <c r="D882" s="76" t="s">
        <v>64</v>
      </c>
      <c r="E882" s="81" t="n">
        <v>-25.9</v>
      </c>
      <c r="F882" s="78" t="n">
        <f aca="false">IF(ISNUMBER(FIND("SALDO ANTERIOR",C882)),0,IF(ISNUMBER(FIND("SALDO DO DIA",C882)),0,IF(ISNUMBER(FIND("SALDO PARCIAL",C882)),0,IF(ISNUMBER(FIND("SDO CTA/APL AUTOMATICAS",C882)),0,IF(ISNUMBER(FIND("APL APLIC AUT MAIS",C882)),0,IF(ISNUMBER(FIND("TEC DEPOSITO",C882)),0,IF(E882&gt;0,0,E882*(-1))))))))</f>
        <v>25.9</v>
      </c>
      <c r="G882" s="79" t="n">
        <f aca="false">IF(ISNUMBER(FIND("SALDO ANTERIOR",C882)),0,IF(ISNUMBER(FIND("SALDO DO DIA",C882)),0,IF(ISNUMBER(FIND("SDO CTA/APL AUTOMATICAS",C882)),0,IF(ISNUMBER(FIND("TEC DEPOSITO",C882)),0,IF(ISNUMBER(FIND("APL APLIC AUT MAIS",C882)),E882,IF(E882&gt;0,E882,0))))))</f>
        <v>0</v>
      </c>
      <c r="H882" s="95" t="n">
        <v>44044</v>
      </c>
    </row>
    <row r="883" customFormat="false" ht="13.8" hidden="false" customHeight="false" outlineLevel="0" collapsed="false">
      <c r="A883" s="59" t="s">
        <v>76</v>
      </c>
      <c r="B883" s="74" t="s">
        <v>647</v>
      </c>
      <c r="C883" s="75" t="s">
        <v>650</v>
      </c>
      <c r="D883" s="76" t="s">
        <v>64</v>
      </c>
      <c r="E883" s="81" t="n">
        <v>-3.5</v>
      </c>
      <c r="F883" s="78" t="n">
        <f aca="false">IF(ISNUMBER(FIND("SALDO ANTERIOR",C883)),0,IF(ISNUMBER(FIND("SALDO DO DIA",C883)),0,IF(ISNUMBER(FIND("SALDO PARCIAL",C883)),0,IF(ISNUMBER(FIND("SDO CTA/APL AUTOMATICAS",C883)),0,IF(ISNUMBER(FIND("APL APLIC AUT MAIS",C883)),0,IF(ISNUMBER(FIND("TEC DEPOSITO",C883)),0,IF(E883&gt;0,0,E883*(-1))))))))</f>
        <v>3.5</v>
      </c>
      <c r="G883" s="79" t="n">
        <f aca="false">IF(ISNUMBER(FIND("SALDO ANTERIOR",C883)),0,IF(ISNUMBER(FIND("SALDO DO DIA",C883)),0,IF(ISNUMBER(FIND("SDO CTA/APL AUTOMATICAS",C883)),0,IF(ISNUMBER(FIND("TEC DEPOSITO",C883)),0,IF(ISNUMBER(FIND("APL APLIC AUT MAIS",C883)),E883,IF(E883&gt;0,E883,0))))))</f>
        <v>0</v>
      </c>
      <c r="H883" s="95" t="n">
        <v>44044</v>
      </c>
    </row>
    <row r="884" customFormat="false" ht="13.8" hidden="false" customHeight="false" outlineLevel="0" collapsed="false">
      <c r="A884" s="59" t="s">
        <v>76</v>
      </c>
      <c r="B884" s="74" t="s">
        <v>647</v>
      </c>
      <c r="C884" s="75" t="s">
        <v>446</v>
      </c>
      <c r="D884" s="76" t="s">
        <v>64</v>
      </c>
      <c r="E884" s="81" t="n">
        <v>-173.6</v>
      </c>
      <c r="F884" s="78" t="n">
        <f aca="false">IF(ISNUMBER(FIND("SALDO ANTERIOR",C884)),0,IF(ISNUMBER(FIND("SALDO DO DIA",C884)),0,IF(ISNUMBER(FIND("SALDO PARCIAL",C884)),0,IF(ISNUMBER(FIND("SDO CTA/APL AUTOMATICAS",C884)),0,IF(ISNUMBER(FIND("APL APLIC AUT MAIS",C884)),0,IF(ISNUMBER(FIND("TEC DEPOSITO",C884)),0,IF(E884&gt;0,0,E884*(-1))))))))</f>
        <v>173.6</v>
      </c>
      <c r="G884" s="79" t="n">
        <f aca="false">IF(ISNUMBER(FIND("SALDO ANTERIOR",C884)),0,IF(ISNUMBER(FIND("SALDO DO DIA",C884)),0,IF(ISNUMBER(FIND("SDO CTA/APL AUTOMATICAS",C884)),0,IF(ISNUMBER(FIND("TEC DEPOSITO",C884)),0,IF(ISNUMBER(FIND("APL APLIC AUT MAIS",C884)),E884,IF(E884&gt;0,E884,0))))))</f>
        <v>0</v>
      </c>
      <c r="H884" s="95" t="n">
        <v>44044</v>
      </c>
    </row>
    <row r="885" customFormat="false" ht="13.8" hidden="false" customHeight="false" outlineLevel="0" collapsed="false">
      <c r="A885" s="59" t="s">
        <v>651</v>
      </c>
      <c r="B885" s="74" t="s">
        <v>647</v>
      </c>
      <c r="C885" s="75" t="s">
        <v>652</v>
      </c>
      <c r="D885" s="76" t="s">
        <v>64</v>
      </c>
      <c r="E885" s="81" t="n">
        <v>-12</v>
      </c>
      <c r="F885" s="78" t="n">
        <f aca="false">IF(ISNUMBER(FIND("SALDO ANTERIOR",C885)),0,IF(ISNUMBER(FIND("SALDO DO DIA",C885)),0,IF(ISNUMBER(FIND("SALDO PARCIAL",C885)),0,IF(ISNUMBER(FIND("SDO CTA/APL AUTOMATICAS",C885)),0,IF(ISNUMBER(FIND("APL APLIC AUT MAIS",C885)),0,IF(ISNUMBER(FIND("TEC DEPOSITO",C885)),0,IF(E885&gt;0,0,E885*(-1))))))))</f>
        <v>12</v>
      </c>
      <c r="G885" s="79" t="n">
        <f aca="false">IF(ISNUMBER(FIND("SALDO ANTERIOR",C885)),0,IF(ISNUMBER(FIND("SALDO DO DIA",C885)),0,IF(ISNUMBER(FIND("SDO CTA/APL AUTOMATICAS",C885)),0,IF(ISNUMBER(FIND("TEC DEPOSITO",C885)),0,IF(ISNUMBER(FIND("APL APLIC AUT MAIS",C885)),E885,IF(E885&gt;0,E885,0))))))</f>
        <v>0</v>
      </c>
      <c r="H885" s="95" t="n">
        <v>44044</v>
      </c>
    </row>
    <row r="886" customFormat="false" ht="13.8" hidden="false" customHeight="false" outlineLevel="0" collapsed="false">
      <c r="A886" s="59" t="s">
        <v>316</v>
      </c>
      <c r="B886" s="74" t="s">
        <v>647</v>
      </c>
      <c r="C886" s="75" t="s">
        <v>479</v>
      </c>
      <c r="D886" s="76" t="s">
        <v>64</v>
      </c>
      <c r="E886" s="81" t="n">
        <v>-56</v>
      </c>
      <c r="F886" s="78" t="n">
        <f aca="false">IF(ISNUMBER(FIND("SALDO ANTERIOR",C886)),0,IF(ISNUMBER(FIND("SALDO DO DIA",C886)),0,IF(ISNUMBER(FIND("SALDO PARCIAL",C886)),0,IF(ISNUMBER(FIND("SDO CTA/APL AUTOMATICAS",C886)),0,IF(ISNUMBER(FIND("APL APLIC AUT MAIS",C886)),0,IF(ISNUMBER(FIND("TEC DEPOSITO",C886)),0,IF(E886&gt;0,0,E886*(-1))))))))</f>
        <v>56</v>
      </c>
      <c r="G886" s="79" t="n">
        <f aca="false">IF(ISNUMBER(FIND("SALDO ANTERIOR",C886)),0,IF(ISNUMBER(FIND("SALDO DO DIA",C886)),0,IF(ISNUMBER(FIND("SDO CTA/APL AUTOMATICAS",C886)),0,IF(ISNUMBER(FIND("TEC DEPOSITO",C886)),0,IF(ISNUMBER(FIND("APL APLIC AUT MAIS",C886)),E886,IF(E886&gt;0,E886,0))))))</f>
        <v>0</v>
      </c>
      <c r="H886" s="95" t="n">
        <v>44044</v>
      </c>
    </row>
    <row r="887" customFormat="false" ht="13.8" hidden="false" customHeight="false" outlineLevel="0" collapsed="false">
      <c r="A887" s="59" t="s">
        <v>98</v>
      </c>
      <c r="B887" s="74" t="s">
        <v>647</v>
      </c>
      <c r="C887" s="75" t="s">
        <v>99</v>
      </c>
      <c r="D887" s="76" t="s">
        <v>64</v>
      </c>
      <c r="E887" s="81" t="n">
        <v>-13.02</v>
      </c>
      <c r="F887" s="78" t="n">
        <f aca="false">IF(ISNUMBER(FIND("SALDO ANTERIOR",C887)),0,IF(ISNUMBER(FIND("SALDO DO DIA",C887)),0,IF(ISNUMBER(FIND("SALDO PARCIAL",C887)),0,IF(ISNUMBER(FIND("SDO CTA/APL AUTOMATICAS",C887)),0,IF(ISNUMBER(FIND("APL APLIC AUT MAIS",C887)),0,IF(ISNUMBER(FIND("TEC DEPOSITO",C887)),0,IF(E887&gt;0,0,E887*(-1))))))))</f>
        <v>13.02</v>
      </c>
      <c r="G887" s="79" t="n">
        <f aca="false">IF(ISNUMBER(FIND("SALDO ANTERIOR",C887)),0,IF(ISNUMBER(FIND("SALDO DO DIA",C887)),0,IF(ISNUMBER(FIND("SDO CTA/APL AUTOMATICAS",C887)),0,IF(ISNUMBER(FIND("TEC DEPOSITO",C887)),0,IF(ISNUMBER(FIND("APL APLIC AUT MAIS",C887)),E887,IF(E887&gt;0,E887,0))))))</f>
        <v>0</v>
      </c>
      <c r="H887" s="95" t="n">
        <v>44044</v>
      </c>
    </row>
    <row r="888" customFormat="false" ht="13.8" hidden="false" customHeight="false" outlineLevel="0" collapsed="false">
      <c r="A888" s="59" t="s">
        <v>98</v>
      </c>
      <c r="B888" s="74" t="s">
        <v>647</v>
      </c>
      <c r="C888" s="75" t="s">
        <v>180</v>
      </c>
      <c r="D888" s="76" t="s">
        <v>64</v>
      </c>
      <c r="E888" s="81" t="n">
        <v>-97.37</v>
      </c>
      <c r="F888" s="78" t="n">
        <f aca="false">IF(ISNUMBER(FIND("SALDO ANTERIOR",C888)),0,IF(ISNUMBER(FIND("SALDO DO DIA",C888)),0,IF(ISNUMBER(FIND("SALDO PARCIAL",C888)),0,IF(ISNUMBER(FIND("SDO CTA/APL AUTOMATICAS",C888)),0,IF(ISNUMBER(FIND("APL APLIC AUT MAIS",C888)),0,IF(ISNUMBER(FIND("TEC DEPOSITO",C888)),0,IF(E888&gt;0,0,E888*(-1))))))))</f>
        <v>97.37</v>
      </c>
      <c r="G888" s="79" t="n">
        <f aca="false">IF(ISNUMBER(FIND("SALDO ANTERIOR",C888)),0,IF(ISNUMBER(FIND("SALDO DO DIA",C888)),0,IF(ISNUMBER(FIND("SDO CTA/APL AUTOMATICAS",C888)),0,IF(ISNUMBER(FIND("TEC DEPOSITO",C888)),0,IF(ISNUMBER(FIND("APL APLIC AUT MAIS",C888)),E888,IF(E888&gt;0,E888,0))))))</f>
        <v>0</v>
      </c>
      <c r="H888" s="95" t="n">
        <v>44044</v>
      </c>
    </row>
    <row r="889" customFormat="false" ht="13.8" hidden="false" customHeight="false" outlineLevel="0" collapsed="false">
      <c r="A889" s="59" t="s">
        <v>142</v>
      </c>
      <c r="B889" s="74" t="s">
        <v>647</v>
      </c>
      <c r="C889" s="75" t="s">
        <v>143</v>
      </c>
      <c r="D889" s="76" t="s">
        <v>64</v>
      </c>
      <c r="E889" s="81" t="n">
        <v>-172</v>
      </c>
      <c r="F889" s="78" t="n">
        <f aca="false">IF(ISNUMBER(FIND("SALDO ANTERIOR",C889)),0,IF(ISNUMBER(FIND("SALDO DO DIA",C889)),0,IF(ISNUMBER(FIND("SALDO PARCIAL",C889)),0,IF(ISNUMBER(FIND("SDO CTA/APL AUTOMATICAS",C889)),0,IF(ISNUMBER(FIND("APL APLIC AUT MAIS",C889)),0,IF(ISNUMBER(FIND("TEC DEPOSITO",C889)),0,IF(E889&gt;0,0,E889*(-1))))))))</f>
        <v>172</v>
      </c>
      <c r="G889" s="79" t="n">
        <f aca="false">IF(ISNUMBER(FIND("SALDO ANTERIOR",C889)),0,IF(ISNUMBER(FIND("SALDO DO DIA",C889)),0,IF(ISNUMBER(FIND("SDO CTA/APL AUTOMATICAS",C889)),0,IF(ISNUMBER(FIND("TEC DEPOSITO",C889)),0,IF(ISNUMBER(FIND("APL APLIC AUT MAIS",C889)),E889,IF(E889&gt;0,E889,0))))))</f>
        <v>0</v>
      </c>
      <c r="H889" s="95" t="n">
        <v>44044</v>
      </c>
    </row>
    <row r="890" customFormat="false" ht="15" hidden="false" customHeight="false" outlineLevel="0" collapsed="false">
      <c r="A890" s="59" t="s">
        <v>29</v>
      </c>
      <c r="B890" s="74" t="s">
        <v>647</v>
      </c>
      <c r="C890" s="83" t="s">
        <v>521</v>
      </c>
      <c r="D890" s="76"/>
      <c r="E890" s="93" t="n">
        <v>785.02</v>
      </c>
      <c r="F890" s="78" t="n">
        <f aca="false">IF(ISNUMBER(FIND("SALDO ANTERIOR",C890)),0,IF(ISNUMBER(FIND("SALDO DO DIA",C890)),0,IF(ISNUMBER(FIND("SALDO PARCIAL",C890)),0,IF(ISNUMBER(FIND("SDO CTA/APL AUTOMATICAS",C890)),0,IF(ISNUMBER(FIND("APL APLIC AUT MAIS",C890)),0,IF(ISNUMBER(FIND("TEC DEPOSITO",C890)),0,IF(E890&gt;0,0,E890*(-1))))))))</f>
        <v>0</v>
      </c>
      <c r="G890" s="79" t="n">
        <f aca="false">IF(ISNUMBER(FIND("SALDO ANTERIOR",C890)),0,IF(ISNUMBER(FIND("SALDO DO DIA",C890)),0,IF(ISNUMBER(FIND("SDO CTA/APL AUTOMATICAS",C890)),0,IF(ISNUMBER(FIND("TEC DEPOSITO",C890)),0,IF(ISNUMBER(FIND("APL APLIC AUT MAIS",C890)),E890,IF(E890&gt;0,E890,0))))))</f>
        <v>0</v>
      </c>
      <c r="H890" s="95" t="n">
        <v>44044</v>
      </c>
    </row>
    <row r="891" customFormat="false" ht="13.8" hidden="false" customHeight="false" outlineLevel="0" collapsed="false">
      <c r="A891" s="59" t="s">
        <v>532</v>
      </c>
      <c r="B891" s="74" t="s">
        <v>653</v>
      </c>
      <c r="C891" s="75" t="s">
        <v>533</v>
      </c>
      <c r="D891" s="76" t="s">
        <v>64</v>
      </c>
      <c r="E891" s="81" t="n">
        <v>-10</v>
      </c>
      <c r="F891" s="78" t="n">
        <f aca="false">IF(ISNUMBER(FIND("SALDO ANTERIOR",C891)),0,IF(ISNUMBER(FIND("SALDO DO DIA",C891)),0,IF(ISNUMBER(FIND("SALDO PARCIAL",C891)),0,IF(ISNUMBER(FIND("SDO CTA/APL AUTOMATICAS",C891)),0,IF(ISNUMBER(FIND("APL APLIC AUT MAIS",C891)),0,IF(ISNUMBER(FIND("TEC DEPOSITO",C891)),0,IF(E891&gt;0,0,E891*(-1))))))))</f>
        <v>10</v>
      </c>
      <c r="G891" s="79" t="n">
        <f aca="false">IF(ISNUMBER(FIND("SALDO ANTERIOR",C891)),0,IF(ISNUMBER(FIND("SALDO DO DIA",C891)),0,IF(ISNUMBER(FIND("SDO CTA/APL AUTOMATICAS",C891)),0,IF(ISNUMBER(FIND("TEC DEPOSITO",C891)),0,IF(ISNUMBER(FIND("APL APLIC AUT MAIS",C891)),E891,IF(E891&gt;0,E891,0))))))</f>
        <v>0</v>
      </c>
      <c r="H891" s="95" t="n">
        <v>44044</v>
      </c>
    </row>
    <row r="892" customFormat="false" ht="13.8" hidden="false" customHeight="false" outlineLevel="0" collapsed="false">
      <c r="A892" s="59" t="s">
        <v>98</v>
      </c>
      <c r="B892" s="74" t="s">
        <v>653</v>
      </c>
      <c r="C892" s="75" t="s">
        <v>180</v>
      </c>
      <c r="D892" s="76" t="s">
        <v>64</v>
      </c>
      <c r="E892" s="81" t="n">
        <v>-130.53</v>
      </c>
      <c r="F892" s="78" t="n">
        <f aca="false">IF(ISNUMBER(FIND("SALDO ANTERIOR",C892)),0,IF(ISNUMBER(FIND("SALDO DO DIA",C892)),0,IF(ISNUMBER(FIND("SALDO PARCIAL",C892)),0,IF(ISNUMBER(FIND("SDO CTA/APL AUTOMATICAS",C892)),0,IF(ISNUMBER(FIND("APL APLIC AUT MAIS",C892)),0,IF(ISNUMBER(FIND("TEC DEPOSITO",C892)),0,IF(E892&gt;0,0,E892*(-1))))))))</f>
        <v>130.53</v>
      </c>
      <c r="G892" s="79" t="n">
        <f aca="false">IF(ISNUMBER(FIND("SALDO ANTERIOR",C892)),0,IF(ISNUMBER(FIND("SALDO DO DIA",C892)),0,IF(ISNUMBER(FIND("SDO CTA/APL AUTOMATICAS",C892)),0,IF(ISNUMBER(FIND("TEC DEPOSITO",C892)),0,IF(ISNUMBER(FIND("APL APLIC AUT MAIS",C892)),E892,IF(E892&gt;0,E892,0))))))</f>
        <v>0</v>
      </c>
      <c r="H892" s="95" t="n">
        <v>44044</v>
      </c>
    </row>
    <row r="893" customFormat="false" ht="15" hidden="false" customHeight="false" outlineLevel="0" collapsed="false">
      <c r="A893" s="59" t="s">
        <v>29</v>
      </c>
      <c r="B893" s="74" t="s">
        <v>653</v>
      </c>
      <c r="C893" s="83" t="s">
        <v>521</v>
      </c>
      <c r="D893" s="76"/>
      <c r="E893" s="93" t="n">
        <v>644.49</v>
      </c>
      <c r="F893" s="78" t="n">
        <f aca="false">IF(ISNUMBER(FIND("SALDO ANTERIOR",C893)),0,IF(ISNUMBER(FIND("SALDO DO DIA",C893)),0,IF(ISNUMBER(FIND("SALDO PARCIAL",C893)),0,IF(ISNUMBER(FIND("SDO CTA/APL AUTOMATICAS",C893)),0,IF(ISNUMBER(FIND("APL APLIC AUT MAIS",C893)),0,IF(ISNUMBER(FIND("TEC DEPOSITO",C893)),0,IF(E893&gt;0,0,E893*(-1))))))))</f>
        <v>0</v>
      </c>
      <c r="G893" s="79" t="n">
        <f aca="false">IF(ISNUMBER(FIND("SALDO ANTERIOR",C893)),0,IF(ISNUMBER(FIND("SALDO DO DIA",C893)),0,IF(ISNUMBER(FIND("SDO CTA/APL AUTOMATICAS",C893)),0,IF(ISNUMBER(FIND("TEC DEPOSITO",C893)),0,IF(ISNUMBER(FIND("APL APLIC AUT MAIS",C893)),E893,IF(E893&gt;0,E893,0))))))</f>
        <v>0</v>
      </c>
      <c r="H893" s="95" t="n">
        <v>44044</v>
      </c>
    </row>
    <row r="894" customFormat="false" ht="15" hidden="false" customHeight="false" outlineLevel="0" collapsed="false">
      <c r="A894" s="59" t="s">
        <v>29</v>
      </c>
      <c r="B894" s="74" t="s">
        <v>654</v>
      </c>
      <c r="C894" s="83" t="s">
        <v>521</v>
      </c>
      <c r="D894" s="76"/>
      <c r="E894" s="93" t="n">
        <v>644.49</v>
      </c>
      <c r="F894" s="78" t="n">
        <f aca="false">IF(ISNUMBER(FIND("SALDO ANTERIOR",C894)),0,IF(ISNUMBER(FIND("SALDO DO DIA",C894)),0,IF(ISNUMBER(FIND("SALDO PARCIAL",C894)),0,IF(ISNUMBER(FIND("SDO CTA/APL AUTOMATICAS",C894)),0,IF(ISNUMBER(FIND("APL APLIC AUT MAIS",C894)),0,IF(ISNUMBER(FIND("TEC DEPOSITO",C894)),0,IF(E894&gt;0,0,E894*(-1))))))))</f>
        <v>0</v>
      </c>
      <c r="G894" s="79" t="n">
        <f aca="false">IF(ISNUMBER(FIND("SALDO ANTERIOR",C894)),0,IF(ISNUMBER(FIND("SALDO DO DIA",C894)),0,IF(ISNUMBER(FIND("SDO CTA/APL AUTOMATICAS",C894)),0,IF(ISNUMBER(FIND("TEC DEPOSITO",C894)),0,IF(ISNUMBER(FIND("APL APLIC AUT MAIS",C894)),E894,IF(E894&gt;0,E894,0))))))</f>
        <v>0</v>
      </c>
      <c r="H894" s="95" t="n">
        <v>44044</v>
      </c>
    </row>
    <row r="895" customFormat="false" ht="13.8" hidden="false" customHeight="false" outlineLevel="0" collapsed="false">
      <c r="A895" s="59" t="s">
        <v>98</v>
      </c>
      <c r="B895" s="74" t="s">
        <v>655</v>
      </c>
      <c r="C895" s="75" t="s">
        <v>180</v>
      </c>
      <c r="D895" s="76" t="s">
        <v>64</v>
      </c>
      <c r="E895" s="81" t="n">
        <v>-18.67</v>
      </c>
      <c r="F895" s="78" t="n">
        <f aca="false">IF(ISNUMBER(FIND("SALDO ANTERIOR",C895)),0,IF(ISNUMBER(FIND("SALDO DO DIA",C895)),0,IF(ISNUMBER(FIND("SALDO PARCIAL",C895)),0,IF(ISNUMBER(FIND("SDO CTA/APL AUTOMATICAS",C895)),0,IF(ISNUMBER(FIND("APL APLIC AUT MAIS",C895)),0,IF(ISNUMBER(FIND("TEC DEPOSITO",C895)),0,IF(E895&gt;0,0,E895*(-1))))))))</f>
        <v>18.67</v>
      </c>
      <c r="G895" s="79" t="n">
        <f aca="false">IF(ISNUMBER(FIND("SALDO ANTERIOR",C895)),0,IF(ISNUMBER(FIND("SALDO DO DIA",C895)),0,IF(ISNUMBER(FIND("SDO CTA/APL AUTOMATICAS",C895)),0,IF(ISNUMBER(FIND("TEC DEPOSITO",C895)),0,IF(ISNUMBER(FIND("APL APLIC AUT MAIS",C895)),E895,IF(E895&gt;0,E895,0))))))</f>
        <v>0</v>
      </c>
      <c r="H895" s="95" t="n">
        <v>44044</v>
      </c>
    </row>
    <row r="896" customFormat="false" ht="13.8" hidden="false" customHeight="false" outlineLevel="0" collapsed="false">
      <c r="A896" s="59" t="s">
        <v>98</v>
      </c>
      <c r="B896" s="74" t="s">
        <v>655</v>
      </c>
      <c r="C896" s="75" t="s">
        <v>180</v>
      </c>
      <c r="D896" s="76" t="s">
        <v>64</v>
      </c>
      <c r="E896" s="81" t="n">
        <v>-179.51</v>
      </c>
      <c r="F896" s="78" t="n">
        <f aca="false">IF(ISNUMBER(FIND("SALDO ANTERIOR",C896)),0,IF(ISNUMBER(FIND("SALDO DO DIA",C896)),0,IF(ISNUMBER(FIND("SALDO PARCIAL",C896)),0,IF(ISNUMBER(FIND("SDO CTA/APL AUTOMATICAS",C896)),0,IF(ISNUMBER(FIND("APL APLIC AUT MAIS",C896)),0,IF(ISNUMBER(FIND("TEC DEPOSITO",C896)),0,IF(E896&gt;0,0,E896*(-1))))))))</f>
        <v>179.51</v>
      </c>
      <c r="G896" s="79" t="n">
        <f aca="false">IF(ISNUMBER(FIND("SALDO ANTERIOR",C896)),0,IF(ISNUMBER(FIND("SALDO DO DIA",C896)),0,IF(ISNUMBER(FIND("SDO CTA/APL AUTOMATICAS",C896)),0,IF(ISNUMBER(FIND("TEC DEPOSITO",C896)),0,IF(ISNUMBER(FIND("APL APLIC AUT MAIS",C896)),E896,IF(E896&gt;0,E896,0))))))</f>
        <v>0</v>
      </c>
      <c r="H896" s="95" t="n">
        <v>44044</v>
      </c>
    </row>
    <row r="897" customFormat="false" ht="15" hidden="false" customHeight="false" outlineLevel="0" collapsed="false">
      <c r="A897" s="59" t="s">
        <v>29</v>
      </c>
      <c r="B897" s="74" t="s">
        <v>655</v>
      </c>
      <c r="C897" s="83" t="s">
        <v>521</v>
      </c>
      <c r="D897" s="76"/>
      <c r="E897" s="93" t="n">
        <v>446.31</v>
      </c>
      <c r="F897" s="78" t="n">
        <f aca="false">IF(ISNUMBER(FIND("SALDO ANTERIOR",C897)),0,IF(ISNUMBER(FIND("SALDO DO DIA",C897)),0,IF(ISNUMBER(FIND("SALDO PARCIAL",C897)),0,IF(ISNUMBER(FIND("SDO CTA/APL AUTOMATICAS",C897)),0,IF(ISNUMBER(FIND("APL APLIC AUT MAIS",C897)),0,IF(ISNUMBER(FIND("TEC DEPOSITO",C897)),0,IF(E897&gt;0,0,E897*(-1))))))))</f>
        <v>0</v>
      </c>
      <c r="G897" s="79" t="n">
        <f aca="false">IF(ISNUMBER(FIND("SALDO ANTERIOR",C897)),0,IF(ISNUMBER(FIND("SALDO DO DIA",C897)),0,IF(ISNUMBER(FIND("SDO CTA/APL AUTOMATICAS",C897)),0,IF(ISNUMBER(FIND("TEC DEPOSITO",C897)),0,IF(ISNUMBER(FIND("APL APLIC AUT MAIS",C897)),E897,IF(E897&gt;0,E897,0))))))</f>
        <v>0</v>
      </c>
      <c r="H897" s="95" t="n">
        <v>44044</v>
      </c>
    </row>
    <row r="898" customFormat="false" ht="13.8" hidden="false" customHeight="false" outlineLevel="0" collapsed="false">
      <c r="A898" s="59" t="s">
        <v>98</v>
      </c>
      <c r="B898" s="74" t="s">
        <v>656</v>
      </c>
      <c r="C898" s="75" t="s">
        <v>180</v>
      </c>
      <c r="D898" s="76" t="s">
        <v>64</v>
      </c>
      <c r="E898" s="81" t="n">
        <v>-31.6</v>
      </c>
      <c r="F898" s="78" t="n">
        <f aca="false">IF(ISNUMBER(FIND("SALDO ANTERIOR",C898)),0,IF(ISNUMBER(FIND("SALDO DO DIA",C898)),0,IF(ISNUMBER(FIND("SALDO PARCIAL",C898)),0,IF(ISNUMBER(FIND("SDO CTA/APL AUTOMATICAS",C898)),0,IF(ISNUMBER(FIND("APL APLIC AUT MAIS",C898)),0,IF(ISNUMBER(FIND("TEC DEPOSITO",C898)),0,IF(E898&gt;0,0,E898*(-1))))))))</f>
        <v>31.6</v>
      </c>
      <c r="G898" s="79" t="n">
        <f aca="false">IF(ISNUMBER(FIND("SALDO ANTERIOR",C898)),0,IF(ISNUMBER(FIND("SALDO DO DIA",C898)),0,IF(ISNUMBER(FIND("SDO CTA/APL AUTOMATICAS",C898)),0,IF(ISNUMBER(FIND("TEC DEPOSITO",C898)),0,IF(ISNUMBER(FIND("APL APLIC AUT MAIS",C898)),E898,IF(E898&gt;0,E898,0))))))</f>
        <v>0</v>
      </c>
      <c r="H898" s="95" t="n">
        <v>44044</v>
      </c>
    </row>
    <row r="899" customFormat="false" ht="15" hidden="false" customHeight="false" outlineLevel="0" collapsed="false">
      <c r="A899" s="59" t="s">
        <v>29</v>
      </c>
      <c r="B899" s="74" t="s">
        <v>656</v>
      </c>
      <c r="C899" s="83" t="s">
        <v>521</v>
      </c>
      <c r="D899" s="76"/>
      <c r="E899" s="93" t="n">
        <v>414.71</v>
      </c>
      <c r="F899" s="78" t="n">
        <f aca="false">IF(ISNUMBER(FIND("SALDO ANTERIOR",C899)),0,IF(ISNUMBER(FIND("SALDO DO DIA",C899)),0,IF(ISNUMBER(FIND("SALDO PARCIAL",C899)),0,IF(ISNUMBER(FIND("SDO CTA/APL AUTOMATICAS",C899)),0,IF(ISNUMBER(FIND("APL APLIC AUT MAIS",C899)),0,IF(ISNUMBER(FIND("TEC DEPOSITO",C899)),0,IF(E899&gt;0,0,E899*(-1))))))))</f>
        <v>0</v>
      </c>
      <c r="G899" s="79" t="n">
        <f aca="false">IF(ISNUMBER(FIND("SALDO ANTERIOR",C899)),0,IF(ISNUMBER(FIND("SALDO DO DIA",C899)),0,IF(ISNUMBER(FIND("SDO CTA/APL AUTOMATICAS",C899)),0,IF(ISNUMBER(FIND("TEC DEPOSITO",C899)),0,IF(ISNUMBER(FIND("APL APLIC AUT MAIS",C899)),E899,IF(E899&gt;0,E899,0))))))</f>
        <v>0</v>
      </c>
      <c r="H899" s="95" t="n">
        <v>44044</v>
      </c>
    </row>
    <row r="900" customFormat="false" ht="13.8" hidden="false" customHeight="false" outlineLevel="0" collapsed="false">
      <c r="A900" s="59" t="s">
        <v>203</v>
      </c>
      <c r="B900" s="74" t="s">
        <v>657</v>
      </c>
      <c r="C900" s="75" t="s">
        <v>658</v>
      </c>
      <c r="D900" s="76" t="s">
        <v>478</v>
      </c>
      <c r="E900" s="81" t="n">
        <v>-100</v>
      </c>
      <c r="F900" s="78" t="n">
        <f aca="false">IF(ISNUMBER(FIND("SALDO ANTERIOR",C900)),0,IF(ISNUMBER(FIND("SALDO DO DIA",C900)),0,IF(ISNUMBER(FIND("SALDO PARCIAL",C900)),0,IF(ISNUMBER(FIND("SDO CTA/APL AUTOMATICAS",C900)),0,IF(ISNUMBER(FIND("APL APLIC AUT MAIS",C900)),0,IF(ISNUMBER(FIND("TEC DEPOSITO",C900)),0,IF(E900&gt;0,0,E900*(-1))))))))</f>
        <v>100</v>
      </c>
      <c r="G900" s="79" t="n">
        <f aca="false">IF(ISNUMBER(FIND("SALDO ANTERIOR",C900)),0,IF(ISNUMBER(FIND("SALDO DO DIA",C900)),0,IF(ISNUMBER(FIND("SDO CTA/APL AUTOMATICAS",C900)),0,IF(ISNUMBER(FIND("TEC DEPOSITO",C900)),0,IF(ISNUMBER(FIND("APL APLIC AUT MAIS",C900)),E900,IF(E900&gt;0,E900,0))))))</f>
        <v>0</v>
      </c>
      <c r="H900" s="95" t="n">
        <v>44044</v>
      </c>
    </row>
    <row r="901" customFormat="false" ht="13.8" hidden="false" customHeight="false" outlineLevel="0" collapsed="false">
      <c r="A901" s="59" t="s">
        <v>35</v>
      </c>
      <c r="B901" s="74" t="s">
        <v>657</v>
      </c>
      <c r="C901" s="75" t="s">
        <v>168</v>
      </c>
      <c r="D901" s="76" t="s">
        <v>61</v>
      </c>
      <c r="E901" s="81" t="n">
        <v>-2700</v>
      </c>
      <c r="F901" s="78" t="n">
        <f aca="false">IF(ISNUMBER(FIND("SALDO ANTERIOR",C901)),0,IF(ISNUMBER(FIND("SALDO DO DIA",C901)),0,IF(ISNUMBER(FIND("SALDO PARCIAL",C901)),0,IF(ISNUMBER(FIND("SDO CTA/APL AUTOMATICAS",C901)),0,IF(ISNUMBER(FIND("APL APLIC AUT MAIS",C901)),0,IF(ISNUMBER(FIND("TEC DEPOSITO",C901)),0,IF(E901&gt;0,0,E901*(-1))))))))</f>
        <v>2700</v>
      </c>
      <c r="G901" s="79" t="n">
        <f aca="false">IF(ISNUMBER(FIND("SALDO ANTERIOR",C901)),0,IF(ISNUMBER(FIND("SALDO DO DIA",C901)),0,IF(ISNUMBER(FIND("SDO CTA/APL AUTOMATICAS",C901)),0,IF(ISNUMBER(FIND("TEC DEPOSITO",C901)),0,IF(ISNUMBER(FIND("APL APLIC AUT MAIS",C901)),E901,IF(E901&gt;0,E901,0))))))</f>
        <v>0</v>
      </c>
      <c r="H901" s="95" t="n">
        <v>44044</v>
      </c>
    </row>
    <row r="902" customFormat="false" ht="13.8" hidden="false" customHeight="false" outlineLevel="0" collapsed="false">
      <c r="A902" s="59" t="s">
        <v>65</v>
      </c>
      <c r="B902" s="74" t="s">
        <v>657</v>
      </c>
      <c r="C902" s="75" t="s">
        <v>244</v>
      </c>
      <c r="D902" s="76" t="s">
        <v>64</v>
      </c>
      <c r="E902" s="81" t="n">
        <v>-10</v>
      </c>
      <c r="F902" s="78" t="n">
        <f aca="false">IF(ISNUMBER(FIND("SALDO ANTERIOR",C902)),0,IF(ISNUMBER(FIND("SALDO DO DIA",C902)),0,IF(ISNUMBER(FIND("SALDO PARCIAL",C902)),0,IF(ISNUMBER(FIND("SDO CTA/APL AUTOMATICAS",C902)),0,IF(ISNUMBER(FIND("APL APLIC AUT MAIS",C902)),0,IF(ISNUMBER(FIND("TEC DEPOSITO",C902)),0,IF(E902&gt;0,0,E902*(-1))))))))</f>
        <v>10</v>
      </c>
      <c r="G902" s="79" t="n">
        <f aca="false">IF(ISNUMBER(FIND("SALDO ANTERIOR",C902)),0,IF(ISNUMBER(FIND("SALDO DO DIA",C902)),0,IF(ISNUMBER(FIND("SDO CTA/APL AUTOMATICAS",C902)),0,IF(ISNUMBER(FIND("TEC DEPOSITO",C902)),0,IF(ISNUMBER(FIND("APL APLIC AUT MAIS",C902)),E902,IF(E902&gt;0,E902,0))))))</f>
        <v>0</v>
      </c>
      <c r="H902" s="95" t="n">
        <v>44044</v>
      </c>
    </row>
    <row r="903" customFormat="false" ht="13.8" hidden="false" customHeight="false" outlineLevel="0" collapsed="false">
      <c r="A903" s="59" t="s">
        <v>76</v>
      </c>
      <c r="B903" s="74" t="s">
        <v>657</v>
      </c>
      <c r="C903" s="75" t="s">
        <v>92</v>
      </c>
      <c r="D903" s="76" t="s">
        <v>64</v>
      </c>
      <c r="E903" s="81" t="n">
        <v>-21</v>
      </c>
      <c r="F903" s="78" t="n">
        <f aca="false">IF(ISNUMBER(FIND("SALDO ANTERIOR",C903)),0,IF(ISNUMBER(FIND("SALDO DO DIA",C903)),0,IF(ISNUMBER(FIND("SALDO PARCIAL",C903)),0,IF(ISNUMBER(FIND("SDO CTA/APL AUTOMATICAS",C903)),0,IF(ISNUMBER(FIND("APL APLIC AUT MAIS",C903)),0,IF(ISNUMBER(FIND("TEC DEPOSITO",C903)),0,IF(E903&gt;0,0,E903*(-1))))))))</f>
        <v>21</v>
      </c>
      <c r="G903" s="79" t="n">
        <f aca="false">IF(ISNUMBER(FIND("SALDO ANTERIOR",C903)),0,IF(ISNUMBER(FIND("SALDO DO DIA",C903)),0,IF(ISNUMBER(FIND("SDO CTA/APL AUTOMATICAS",C903)),0,IF(ISNUMBER(FIND("TEC DEPOSITO",C903)),0,IF(ISNUMBER(FIND("APL APLIC AUT MAIS",C903)),E903,IF(E903&gt;0,E903,0))))))</f>
        <v>0</v>
      </c>
      <c r="H903" s="95" t="n">
        <v>44044</v>
      </c>
    </row>
    <row r="904" customFormat="false" ht="13.8" hidden="false" customHeight="false" outlineLevel="0" collapsed="false">
      <c r="A904" s="59" t="s">
        <v>316</v>
      </c>
      <c r="B904" s="74" t="s">
        <v>657</v>
      </c>
      <c r="C904" s="75" t="s">
        <v>479</v>
      </c>
      <c r="D904" s="76" t="s">
        <v>64</v>
      </c>
      <c r="E904" s="81" t="n">
        <v>-43</v>
      </c>
      <c r="F904" s="78" t="n">
        <f aca="false">IF(ISNUMBER(FIND("SALDO ANTERIOR",C904)),0,IF(ISNUMBER(FIND("SALDO DO DIA",C904)),0,IF(ISNUMBER(FIND("SALDO PARCIAL",C904)),0,IF(ISNUMBER(FIND("SDO CTA/APL AUTOMATICAS",C904)),0,IF(ISNUMBER(FIND("APL APLIC AUT MAIS",C904)),0,IF(ISNUMBER(FIND("TEC DEPOSITO",C904)),0,IF(E904&gt;0,0,E904*(-1))))))))</f>
        <v>43</v>
      </c>
      <c r="G904" s="79" t="n">
        <f aca="false">IF(ISNUMBER(FIND("SALDO ANTERIOR",C904)),0,IF(ISNUMBER(FIND("SALDO DO DIA",C904)),0,IF(ISNUMBER(FIND("SDO CTA/APL AUTOMATICAS",C904)),0,IF(ISNUMBER(FIND("TEC DEPOSITO",C904)),0,IF(ISNUMBER(FIND("APL APLIC AUT MAIS",C904)),E904,IF(E904&gt;0,E904,0))))))</f>
        <v>0</v>
      </c>
      <c r="H904" s="95" t="n">
        <v>44044</v>
      </c>
    </row>
    <row r="905" customFormat="false" ht="13.8" hidden="false" customHeight="false" outlineLevel="0" collapsed="false">
      <c r="A905" s="59" t="s">
        <v>316</v>
      </c>
      <c r="B905" s="74" t="s">
        <v>657</v>
      </c>
      <c r="C905" s="75" t="s">
        <v>479</v>
      </c>
      <c r="D905" s="76" t="s">
        <v>64</v>
      </c>
      <c r="E905" s="81" t="n">
        <v>-48</v>
      </c>
      <c r="F905" s="78" t="n">
        <f aca="false">IF(ISNUMBER(FIND("SALDO ANTERIOR",C905)),0,IF(ISNUMBER(FIND("SALDO DO DIA",C905)),0,IF(ISNUMBER(FIND("SALDO PARCIAL",C905)),0,IF(ISNUMBER(FIND("SDO CTA/APL AUTOMATICAS",C905)),0,IF(ISNUMBER(FIND("APL APLIC AUT MAIS",C905)),0,IF(ISNUMBER(FIND("TEC DEPOSITO",C905)),0,IF(E905&gt;0,0,E905*(-1))))))))</f>
        <v>48</v>
      </c>
      <c r="G905" s="79" t="n">
        <f aca="false">IF(ISNUMBER(FIND("SALDO ANTERIOR",C905)),0,IF(ISNUMBER(FIND("SALDO DO DIA",C905)),0,IF(ISNUMBER(FIND("SDO CTA/APL AUTOMATICAS",C905)),0,IF(ISNUMBER(FIND("TEC DEPOSITO",C905)),0,IF(ISNUMBER(FIND("APL APLIC AUT MAIS",C905)),E905,IF(E905&gt;0,E905,0))))))</f>
        <v>0</v>
      </c>
      <c r="H905" s="95" t="n">
        <v>44044</v>
      </c>
    </row>
    <row r="906" customFormat="false" ht="13.8" hidden="false" customHeight="false" outlineLevel="0" collapsed="false">
      <c r="A906" s="59" t="s">
        <v>74</v>
      </c>
      <c r="B906" s="74" t="s">
        <v>657</v>
      </c>
      <c r="C906" s="75" t="s">
        <v>155</v>
      </c>
      <c r="D906" s="76" t="s">
        <v>64</v>
      </c>
      <c r="E906" s="81" t="n">
        <v>-200</v>
      </c>
      <c r="F906" s="78" t="n">
        <f aca="false">IF(ISNUMBER(FIND("SALDO ANTERIOR",C906)),0,IF(ISNUMBER(FIND("SALDO DO DIA",C906)),0,IF(ISNUMBER(FIND("SALDO PARCIAL",C906)),0,IF(ISNUMBER(FIND("SDO CTA/APL AUTOMATICAS",C906)),0,IF(ISNUMBER(FIND("APL APLIC AUT MAIS",C906)),0,IF(ISNUMBER(FIND("TEC DEPOSITO",C906)),0,IF(E906&gt;0,0,E906*(-1))))))))</f>
        <v>200</v>
      </c>
      <c r="G906" s="79" t="n">
        <f aca="false">IF(ISNUMBER(FIND("SALDO ANTERIOR",C906)),0,IF(ISNUMBER(FIND("SALDO DO DIA",C906)),0,IF(ISNUMBER(FIND("SDO CTA/APL AUTOMATICAS",C906)),0,IF(ISNUMBER(FIND("TEC DEPOSITO",C906)),0,IF(ISNUMBER(FIND("APL APLIC AUT MAIS",C906)),E906,IF(E906&gt;0,E906,0))))))</f>
        <v>0</v>
      </c>
      <c r="H906" s="95" t="n">
        <v>44044</v>
      </c>
    </row>
    <row r="907" customFormat="false" ht="13.8" hidden="false" customHeight="false" outlineLevel="0" collapsed="false">
      <c r="A907" s="59" t="s">
        <v>127</v>
      </c>
      <c r="B907" s="74" t="s">
        <v>657</v>
      </c>
      <c r="C907" s="75" t="s">
        <v>128</v>
      </c>
      <c r="D907" s="76"/>
      <c r="E907" s="77" t="n">
        <v>3120.07</v>
      </c>
      <c r="F907" s="78" t="n">
        <f aca="false">IF(ISNUMBER(FIND("SALDO ANTERIOR",C907)),0,IF(ISNUMBER(FIND("SALDO DO DIA",C907)),0,IF(ISNUMBER(FIND("SALDO PARCIAL",C907)),0,IF(ISNUMBER(FIND("SDO CTA/APL AUTOMATICAS",C907)),0,IF(ISNUMBER(FIND("APL APLIC AUT MAIS",C907)),0,IF(ISNUMBER(FIND("TEC DEPOSITO",C907)),0,IF(E907&gt;0,0,E907*(-1))))))))</f>
        <v>0</v>
      </c>
      <c r="G907" s="79" t="n">
        <f aca="false">IF(ISNUMBER(FIND("SALDO ANTERIOR",C907)),0,IF(ISNUMBER(FIND("SALDO DO DIA",C907)),0,IF(ISNUMBER(FIND("SDO CTA/APL AUTOMATICAS",C907)),0,IF(ISNUMBER(FIND("TEC DEPOSITO",C907)),0,IF(ISNUMBER(FIND("APL APLIC AUT MAIS",C907)),E907,IF(E907&gt;0,E907,0))))))</f>
        <v>3120.07</v>
      </c>
      <c r="H907" s="95" t="n">
        <v>44044</v>
      </c>
    </row>
    <row r="908" customFormat="false" ht="15" hidden="false" customHeight="false" outlineLevel="0" collapsed="false">
      <c r="A908" s="59" t="s">
        <v>29</v>
      </c>
      <c r="B908" s="74" t="s">
        <v>657</v>
      </c>
      <c r="C908" s="83" t="s">
        <v>521</v>
      </c>
      <c r="D908" s="76"/>
      <c r="E908" s="93" t="n">
        <v>412.78</v>
      </c>
      <c r="F908" s="78" t="n">
        <f aca="false">IF(ISNUMBER(FIND("SALDO ANTERIOR",C908)),0,IF(ISNUMBER(FIND("SALDO DO DIA",C908)),0,IF(ISNUMBER(FIND("SALDO PARCIAL",C908)),0,IF(ISNUMBER(FIND("SDO CTA/APL AUTOMATICAS",C908)),0,IF(ISNUMBER(FIND("APL APLIC AUT MAIS",C908)),0,IF(ISNUMBER(FIND("TEC DEPOSITO",C908)),0,IF(E908&gt;0,0,E908*(-1))))))))</f>
        <v>0</v>
      </c>
      <c r="G908" s="79" t="n">
        <f aca="false">IF(ISNUMBER(FIND("SALDO ANTERIOR",C908)),0,IF(ISNUMBER(FIND("SALDO DO DIA",C908)),0,IF(ISNUMBER(FIND("SDO CTA/APL AUTOMATICAS",C908)),0,IF(ISNUMBER(FIND("TEC DEPOSITO",C908)),0,IF(ISNUMBER(FIND("APL APLIC AUT MAIS",C908)),E908,IF(E908&gt;0,E908,0))))))</f>
        <v>0</v>
      </c>
      <c r="H908" s="95" t="n">
        <v>44044</v>
      </c>
    </row>
    <row r="909" customFormat="false" ht="15" hidden="false" customHeight="false" outlineLevel="0" collapsed="false">
      <c r="A909" s="59" t="s">
        <v>29</v>
      </c>
      <c r="B909" s="74" t="s">
        <v>657</v>
      </c>
      <c r="C909" s="83" t="s">
        <v>494</v>
      </c>
      <c r="D909" s="76"/>
      <c r="E909" s="93" t="n">
        <v>8.07</v>
      </c>
      <c r="F909" s="78" t="n">
        <f aca="false">IF(ISNUMBER(FIND("SALDO ANTERIOR",C909)),0,IF(ISNUMBER(FIND("SALDO DO DIA",C909)),0,IF(ISNUMBER(FIND("SALDO PARCIAL",C909)),0,IF(ISNUMBER(FIND("SDO CTA/APL AUTOMATICAS",C909)),0,IF(ISNUMBER(FIND("APL APLIC AUT MAIS",C909)),0,IF(ISNUMBER(FIND("TEC DEPOSITO",C909)),0,IF(E909&gt;0,0,E909*(-1))))))))</f>
        <v>0</v>
      </c>
      <c r="G909" s="79" t="n">
        <f aca="false">IF(ISNUMBER(FIND("SALDO ANTERIOR",C909)),0,IF(ISNUMBER(FIND("SALDO DO DIA",C909)),0,IF(ISNUMBER(FIND("SDO CTA/APL AUTOMATICAS",C909)),0,IF(ISNUMBER(FIND("TEC DEPOSITO",C909)),0,IF(ISNUMBER(FIND("APL APLIC AUT MAIS",C909)),E909,IF(E909&gt;0,E909,0))))))</f>
        <v>0</v>
      </c>
      <c r="H909" s="95" t="n">
        <v>44044</v>
      </c>
    </row>
    <row r="910" customFormat="false" ht="15" hidden="false" customHeight="false" outlineLevel="0" collapsed="false">
      <c r="A910" s="59" t="s">
        <v>29</v>
      </c>
      <c r="B910" s="85" t="s">
        <v>657</v>
      </c>
      <c r="C910" s="90" t="s">
        <v>111</v>
      </c>
      <c r="D910" s="87"/>
      <c r="E910" s="91" t="n">
        <v>8.07</v>
      </c>
      <c r="F910" s="64" t="n">
        <f aca="false">IF(ISNUMBER(FIND("SALDO ANTERIOR",C910)),0,IF(ISNUMBER(FIND("SALDO DO DIA",C910)),0,IF(ISNUMBER(FIND("SALDO PARCIAL",C910)),0,IF(ISNUMBER(FIND("SDO CTA/APL AUTOMATICAS",C910)),0,IF(ISNUMBER(FIND("APL APLIC AUT MAIS",C910)),0,IF(ISNUMBER(FIND("TEC DEPOSITO",C910)),0,IF(E910&gt;0,0,E910*(-1))))))))</f>
        <v>0</v>
      </c>
      <c r="G910" s="65" t="n">
        <f aca="false">IF(ISNUMBER(FIND("SALDO ANTERIOR",C910)),0,IF(ISNUMBER(FIND("SALDO DO DIA",C910)),0,IF(ISNUMBER(FIND("SDO CTA/APL AUTOMATICAS",C910)),0,IF(ISNUMBER(FIND("TEC DEPOSITO",C910)),0,IF(ISNUMBER(FIND("APL APLIC AUT MAIS",C910)),E910,IF(E910&gt;0,E910,0))))))</f>
        <v>0</v>
      </c>
      <c r="H910" s="96" t="n">
        <v>44075</v>
      </c>
    </row>
    <row r="911" customFormat="false" ht="13.8" hidden="false" customHeight="false" outlineLevel="0" collapsed="false">
      <c r="A911" s="59" t="s">
        <v>74</v>
      </c>
      <c r="B911" s="85" t="s">
        <v>659</v>
      </c>
      <c r="C911" s="86" t="s">
        <v>457</v>
      </c>
      <c r="D911" s="87" t="s">
        <v>64</v>
      </c>
      <c r="E911" s="89" t="n">
        <v>-42.54</v>
      </c>
      <c r="F911" s="64" t="n">
        <f aca="false">IF(ISNUMBER(FIND("SALDO ANTERIOR",C911)),0,IF(ISNUMBER(FIND("SALDO DO DIA",C911)),0,IF(ISNUMBER(FIND("SALDO PARCIAL",C911)),0,IF(ISNUMBER(FIND("SDO CTA/APL AUTOMATICAS",C911)),0,IF(ISNUMBER(FIND("APL APLIC AUT MAIS",C911)),0,IF(ISNUMBER(FIND("TEC DEPOSITO",C911)),0,IF(E911&gt;0,0,E911*(-1))))))))</f>
        <v>42.54</v>
      </c>
      <c r="G911" s="65" t="n">
        <f aca="false">IF(ISNUMBER(FIND("SALDO ANTERIOR",C911)),0,IF(ISNUMBER(FIND("SALDO DO DIA",C911)),0,IF(ISNUMBER(FIND("SDO CTA/APL AUTOMATICAS",C911)),0,IF(ISNUMBER(FIND("TEC DEPOSITO",C911)),0,IF(ISNUMBER(FIND("APL APLIC AUT MAIS",C911)),E911,IF(E911&gt;0,E911,0))))))</f>
        <v>0</v>
      </c>
      <c r="H911" s="96" t="n">
        <v>44075</v>
      </c>
    </row>
    <row r="912" customFormat="false" ht="15" hidden="false" customHeight="false" outlineLevel="0" collapsed="false">
      <c r="A912" s="59" t="s">
        <v>29</v>
      </c>
      <c r="B912" s="85" t="s">
        <v>659</v>
      </c>
      <c r="C912" s="90" t="s">
        <v>521</v>
      </c>
      <c r="D912" s="87"/>
      <c r="E912" s="91" t="n">
        <v>370.24</v>
      </c>
      <c r="F912" s="64" t="n">
        <f aca="false">IF(ISNUMBER(FIND("SALDO ANTERIOR",C912)),0,IF(ISNUMBER(FIND("SALDO DO DIA",C912)),0,IF(ISNUMBER(FIND("SALDO PARCIAL",C912)),0,IF(ISNUMBER(FIND("SDO CTA/APL AUTOMATICAS",C912)),0,IF(ISNUMBER(FIND("APL APLIC AUT MAIS",C912)),0,IF(ISNUMBER(FIND("TEC DEPOSITO",C912)),0,IF(E912&gt;0,0,E912*(-1))))))))</f>
        <v>0</v>
      </c>
      <c r="G912" s="65" t="n">
        <f aca="false">IF(ISNUMBER(FIND("SALDO ANTERIOR",C912)),0,IF(ISNUMBER(FIND("SALDO DO DIA",C912)),0,IF(ISNUMBER(FIND("SDO CTA/APL AUTOMATICAS",C912)),0,IF(ISNUMBER(FIND("TEC DEPOSITO",C912)),0,IF(ISNUMBER(FIND("APL APLIC AUT MAIS",C912)),E912,IF(E912&gt;0,E912,0))))))</f>
        <v>0</v>
      </c>
      <c r="H912" s="96" t="n">
        <v>44075</v>
      </c>
    </row>
    <row r="913" customFormat="false" ht="13.8" hidden="false" customHeight="false" outlineLevel="0" collapsed="false">
      <c r="A913" s="59" t="s">
        <v>67</v>
      </c>
      <c r="B913" s="85" t="s">
        <v>660</v>
      </c>
      <c r="C913" s="86" t="s">
        <v>661</v>
      </c>
      <c r="D913" s="87" t="s">
        <v>82</v>
      </c>
      <c r="E913" s="89" t="n">
        <v>-76.9</v>
      </c>
      <c r="F913" s="64" t="n">
        <f aca="false">IF(ISNUMBER(FIND("SALDO ANTERIOR",C913)),0,IF(ISNUMBER(FIND("SALDO DO DIA",C913)),0,IF(ISNUMBER(FIND("SALDO PARCIAL",C913)),0,IF(ISNUMBER(FIND("SDO CTA/APL AUTOMATICAS",C913)),0,IF(ISNUMBER(FIND("APL APLIC AUT MAIS",C913)),0,IF(ISNUMBER(FIND("TEC DEPOSITO",C913)),0,IF(E913&gt;0,0,E913*(-1))))))))</f>
        <v>76.9</v>
      </c>
      <c r="G913" s="65" t="n">
        <f aca="false">IF(ISNUMBER(FIND("SALDO ANTERIOR",C913)),0,IF(ISNUMBER(FIND("SALDO DO DIA",C913)),0,IF(ISNUMBER(FIND("SDO CTA/APL AUTOMATICAS",C913)),0,IF(ISNUMBER(FIND("TEC DEPOSITO",C913)),0,IF(ISNUMBER(FIND("APL APLIC AUT MAIS",C913)),E913,IF(E913&gt;0,E913,0))))))</f>
        <v>0</v>
      </c>
      <c r="H913" s="96" t="n">
        <v>44075</v>
      </c>
    </row>
    <row r="914" customFormat="false" ht="15" hidden="false" customHeight="false" outlineLevel="0" collapsed="false">
      <c r="A914" s="59" t="s">
        <v>29</v>
      </c>
      <c r="B914" s="85" t="s">
        <v>660</v>
      </c>
      <c r="C914" s="90" t="s">
        <v>521</v>
      </c>
      <c r="D914" s="87"/>
      <c r="E914" s="91" t="n">
        <v>293.34</v>
      </c>
      <c r="F914" s="64" t="n">
        <f aca="false">IF(ISNUMBER(FIND("SALDO ANTERIOR",C914)),0,IF(ISNUMBER(FIND("SALDO DO DIA",C914)),0,IF(ISNUMBER(FIND("SALDO PARCIAL",C914)),0,IF(ISNUMBER(FIND("SDO CTA/APL AUTOMATICAS",C914)),0,IF(ISNUMBER(FIND("APL APLIC AUT MAIS",C914)),0,IF(ISNUMBER(FIND("TEC DEPOSITO",C914)),0,IF(E914&gt;0,0,E914*(-1))))))))</f>
        <v>0</v>
      </c>
      <c r="G914" s="65" t="n">
        <f aca="false">IF(ISNUMBER(FIND("SALDO ANTERIOR",C914)),0,IF(ISNUMBER(FIND("SALDO DO DIA",C914)),0,IF(ISNUMBER(FIND("SDO CTA/APL AUTOMATICAS",C914)),0,IF(ISNUMBER(FIND("TEC DEPOSITO",C914)),0,IF(ISNUMBER(FIND("APL APLIC AUT MAIS",C914)),E914,IF(E914&gt;0,E914,0))))))</f>
        <v>0</v>
      </c>
      <c r="H914" s="96" t="n">
        <v>44075</v>
      </c>
    </row>
    <row r="915" customFormat="false" ht="13.8" hidden="false" customHeight="false" outlineLevel="0" collapsed="false">
      <c r="A915" s="59" t="s">
        <v>98</v>
      </c>
      <c r="B915" s="85" t="s">
        <v>662</v>
      </c>
      <c r="C915" s="86" t="s">
        <v>180</v>
      </c>
      <c r="D915" s="87" t="s">
        <v>64</v>
      </c>
      <c r="E915" s="89" t="n">
        <v>-36.46</v>
      </c>
      <c r="F915" s="64" t="n">
        <f aca="false">IF(ISNUMBER(FIND("SALDO ANTERIOR",C915)),0,IF(ISNUMBER(FIND("SALDO DO DIA",C915)),0,IF(ISNUMBER(FIND("SALDO PARCIAL",C915)),0,IF(ISNUMBER(FIND("SDO CTA/APL AUTOMATICAS",C915)),0,IF(ISNUMBER(FIND("APL APLIC AUT MAIS",C915)),0,IF(ISNUMBER(FIND("TEC DEPOSITO",C915)),0,IF(E915&gt;0,0,E915*(-1))))))))</f>
        <v>36.46</v>
      </c>
      <c r="G915" s="65" t="n">
        <f aca="false">IF(ISNUMBER(FIND("SALDO ANTERIOR",C915)),0,IF(ISNUMBER(FIND("SALDO DO DIA",C915)),0,IF(ISNUMBER(FIND("SDO CTA/APL AUTOMATICAS",C915)),0,IF(ISNUMBER(FIND("TEC DEPOSITO",C915)),0,IF(ISNUMBER(FIND("APL APLIC AUT MAIS",C915)),E915,IF(E915&gt;0,E915,0))))))</f>
        <v>0</v>
      </c>
      <c r="H915" s="96" t="n">
        <v>44075</v>
      </c>
    </row>
    <row r="916" customFormat="false" ht="15" hidden="false" customHeight="false" outlineLevel="0" collapsed="false">
      <c r="A916" s="59" t="s">
        <v>29</v>
      </c>
      <c r="B916" s="85" t="s">
        <v>662</v>
      </c>
      <c r="C916" s="90" t="s">
        <v>521</v>
      </c>
      <c r="D916" s="87"/>
      <c r="E916" s="91" t="n">
        <v>256.88</v>
      </c>
      <c r="F916" s="64" t="n">
        <f aca="false">IF(ISNUMBER(FIND("SALDO ANTERIOR",C916)),0,IF(ISNUMBER(FIND("SALDO DO DIA",C916)),0,IF(ISNUMBER(FIND("SALDO PARCIAL",C916)),0,IF(ISNUMBER(FIND("SDO CTA/APL AUTOMATICAS",C916)),0,IF(ISNUMBER(FIND("APL APLIC AUT MAIS",C916)),0,IF(ISNUMBER(FIND("TEC DEPOSITO",C916)),0,IF(E916&gt;0,0,E916*(-1))))))))</f>
        <v>0</v>
      </c>
      <c r="G916" s="65" t="n">
        <f aca="false">IF(ISNUMBER(FIND("SALDO ANTERIOR",C916)),0,IF(ISNUMBER(FIND("SALDO DO DIA",C916)),0,IF(ISNUMBER(FIND("SDO CTA/APL AUTOMATICAS",C916)),0,IF(ISNUMBER(FIND("TEC DEPOSITO",C916)),0,IF(ISNUMBER(FIND("APL APLIC AUT MAIS",C916)),E916,IF(E916&gt;0,E916,0))))))</f>
        <v>0</v>
      </c>
      <c r="H916" s="96" t="n">
        <v>44075</v>
      </c>
    </row>
    <row r="917" customFormat="false" ht="13.8" hidden="false" customHeight="false" outlineLevel="0" collapsed="false">
      <c r="A917" s="59" t="s">
        <v>74</v>
      </c>
      <c r="B917" s="85" t="s">
        <v>663</v>
      </c>
      <c r="C917" s="86" t="s">
        <v>236</v>
      </c>
      <c r="D917" s="87" t="s">
        <v>64</v>
      </c>
      <c r="E917" s="89" t="n">
        <v>-42</v>
      </c>
      <c r="F917" s="64" t="n">
        <f aca="false">IF(ISNUMBER(FIND("SALDO ANTERIOR",C917)),0,IF(ISNUMBER(FIND("SALDO DO DIA",C917)),0,IF(ISNUMBER(FIND("SALDO PARCIAL",C917)),0,IF(ISNUMBER(FIND("SDO CTA/APL AUTOMATICAS",C917)),0,IF(ISNUMBER(FIND("APL APLIC AUT MAIS",C917)),0,IF(ISNUMBER(FIND("TEC DEPOSITO",C917)),0,IF(E917&gt;0,0,E917*(-1))))))))</f>
        <v>42</v>
      </c>
      <c r="G917" s="65" t="n">
        <f aca="false">IF(ISNUMBER(FIND("SALDO ANTERIOR",C917)),0,IF(ISNUMBER(FIND("SALDO DO DIA",C917)),0,IF(ISNUMBER(FIND("SDO CTA/APL AUTOMATICAS",C917)),0,IF(ISNUMBER(FIND("TEC DEPOSITO",C917)),0,IF(ISNUMBER(FIND("APL APLIC AUT MAIS",C917)),E917,IF(E917&gt;0,E917,0))))))</f>
        <v>0</v>
      </c>
      <c r="H917" s="96" t="n">
        <v>44075</v>
      </c>
    </row>
    <row r="918" customFormat="false" ht="15" hidden="false" customHeight="false" outlineLevel="0" collapsed="false">
      <c r="A918" s="59" t="s">
        <v>29</v>
      </c>
      <c r="B918" s="85" t="s">
        <v>663</v>
      </c>
      <c r="C918" s="90" t="s">
        <v>521</v>
      </c>
      <c r="D918" s="87"/>
      <c r="E918" s="91" t="n">
        <v>214.88</v>
      </c>
      <c r="F918" s="64" t="n">
        <f aca="false">IF(ISNUMBER(FIND("SALDO ANTERIOR",C918)),0,IF(ISNUMBER(FIND("SALDO DO DIA",C918)),0,IF(ISNUMBER(FIND("SALDO PARCIAL",C918)),0,IF(ISNUMBER(FIND("SDO CTA/APL AUTOMATICAS",C918)),0,IF(ISNUMBER(FIND("APL APLIC AUT MAIS",C918)),0,IF(ISNUMBER(FIND("TEC DEPOSITO",C918)),0,IF(E918&gt;0,0,E918*(-1))))))))</f>
        <v>0</v>
      </c>
      <c r="G918" s="65" t="n">
        <f aca="false">IF(ISNUMBER(FIND("SALDO ANTERIOR",C918)),0,IF(ISNUMBER(FIND("SALDO DO DIA",C918)),0,IF(ISNUMBER(FIND("SDO CTA/APL AUTOMATICAS",C918)),0,IF(ISNUMBER(FIND("TEC DEPOSITO",C918)),0,IF(ISNUMBER(FIND("APL APLIC AUT MAIS",C918)),E918,IF(E918&gt;0,E918,0))))))</f>
        <v>0</v>
      </c>
      <c r="H918" s="96" t="n">
        <v>44075</v>
      </c>
    </row>
    <row r="919" customFormat="false" ht="13.8" hidden="false" customHeight="false" outlineLevel="0" collapsed="false">
      <c r="A919" s="59" t="s">
        <v>203</v>
      </c>
      <c r="B919" s="85" t="s">
        <v>664</v>
      </c>
      <c r="C919" s="86" t="s">
        <v>665</v>
      </c>
      <c r="D919" s="87" t="s">
        <v>478</v>
      </c>
      <c r="E919" s="89" t="n">
        <v>-100</v>
      </c>
      <c r="F919" s="64" t="n">
        <f aca="false">IF(ISNUMBER(FIND("SALDO ANTERIOR",C919)),0,IF(ISNUMBER(FIND("SALDO DO DIA",C919)),0,IF(ISNUMBER(FIND("SALDO PARCIAL",C919)),0,IF(ISNUMBER(FIND("SDO CTA/APL AUTOMATICAS",C919)),0,IF(ISNUMBER(FIND("APL APLIC AUT MAIS",C919)),0,IF(ISNUMBER(FIND("TEC DEPOSITO",C919)),0,IF(E919&gt;0,0,E919*(-1))))))))</f>
        <v>100</v>
      </c>
      <c r="G919" s="65" t="n">
        <f aca="false">IF(ISNUMBER(FIND("SALDO ANTERIOR",C919)),0,IF(ISNUMBER(FIND("SALDO DO DIA",C919)),0,IF(ISNUMBER(FIND("SDO CTA/APL AUTOMATICAS",C919)),0,IF(ISNUMBER(FIND("TEC DEPOSITO",C919)),0,IF(ISNUMBER(FIND("APL APLIC AUT MAIS",C919)),E919,IF(E919&gt;0,E919,0))))))</f>
        <v>0</v>
      </c>
      <c r="H919" s="96" t="n">
        <v>44075</v>
      </c>
    </row>
    <row r="920" customFormat="false" ht="13.8" hidden="false" customHeight="false" outlineLevel="0" collapsed="false">
      <c r="A920" s="59" t="s">
        <v>71</v>
      </c>
      <c r="B920" s="85" t="s">
        <v>664</v>
      </c>
      <c r="C920" s="86" t="s">
        <v>85</v>
      </c>
      <c r="D920" s="87" t="s">
        <v>64</v>
      </c>
      <c r="E920" s="89" t="n">
        <v>-28.91</v>
      </c>
      <c r="F920" s="64" t="n">
        <f aca="false">IF(ISNUMBER(FIND("SALDO ANTERIOR",C920)),0,IF(ISNUMBER(FIND("SALDO DO DIA",C920)),0,IF(ISNUMBER(FIND("SALDO PARCIAL",C920)),0,IF(ISNUMBER(FIND("SDO CTA/APL AUTOMATICAS",C920)),0,IF(ISNUMBER(FIND("APL APLIC AUT MAIS",C920)),0,IF(ISNUMBER(FIND("TEC DEPOSITO",C920)),0,IF(E920&gt;0,0,E920*(-1))))))))</f>
        <v>28.91</v>
      </c>
      <c r="G920" s="65" t="n">
        <f aca="false">IF(ISNUMBER(FIND("SALDO ANTERIOR",C920)),0,IF(ISNUMBER(FIND("SALDO DO DIA",C920)),0,IF(ISNUMBER(FIND("SDO CTA/APL AUTOMATICAS",C920)),0,IF(ISNUMBER(FIND("TEC DEPOSITO",C920)),0,IF(ISNUMBER(FIND("APL APLIC AUT MAIS",C920)),E920,IF(E920&gt;0,E920,0))))))</f>
        <v>0</v>
      </c>
      <c r="H920" s="96" t="n">
        <v>44075</v>
      </c>
    </row>
    <row r="921" customFormat="false" ht="13.8" hidden="false" customHeight="false" outlineLevel="0" collapsed="false">
      <c r="A921" s="59" t="s">
        <v>71</v>
      </c>
      <c r="B921" s="85" t="s">
        <v>664</v>
      </c>
      <c r="C921" s="86" t="s">
        <v>85</v>
      </c>
      <c r="D921" s="87" t="s">
        <v>64</v>
      </c>
      <c r="E921" s="89" t="n">
        <v>-8.34</v>
      </c>
      <c r="F921" s="64" t="n">
        <f aca="false">IF(ISNUMBER(FIND("SALDO ANTERIOR",C921)),0,IF(ISNUMBER(FIND("SALDO DO DIA",C921)),0,IF(ISNUMBER(FIND("SALDO PARCIAL",C921)),0,IF(ISNUMBER(FIND("SDO CTA/APL AUTOMATICAS",C921)),0,IF(ISNUMBER(FIND("APL APLIC AUT MAIS",C921)),0,IF(ISNUMBER(FIND("TEC DEPOSITO",C921)),0,IF(E921&gt;0,0,E921*(-1))))))))</f>
        <v>8.34</v>
      </c>
      <c r="G921" s="65" t="n">
        <f aca="false">IF(ISNUMBER(FIND("SALDO ANTERIOR",C921)),0,IF(ISNUMBER(FIND("SALDO DO DIA",C921)),0,IF(ISNUMBER(FIND("SDO CTA/APL AUTOMATICAS",C921)),0,IF(ISNUMBER(FIND("TEC DEPOSITO",C921)),0,IF(ISNUMBER(FIND("APL APLIC AUT MAIS",C921)),E921,IF(E921&gt;0,E921,0))))))</f>
        <v>0</v>
      </c>
      <c r="H921" s="96" t="n">
        <v>44075</v>
      </c>
    </row>
    <row r="922" customFormat="false" ht="13.8" hidden="false" customHeight="false" outlineLevel="0" collapsed="false">
      <c r="A922" s="59" t="s">
        <v>65</v>
      </c>
      <c r="B922" s="85" t="s">
        <v>664</v>
      </c>
      <c r="C922" s="86" t="s">
        <v>601</v>
      </c>
      <c r="D922" s="87" t="s">
        <v>64</v>
      </c>
      <c r="E922" s="89" t="n">
        <v>-40</v>
      </c>
      <c r="F922" s="64" t="n">
        <f aca="false">IF(ISNUMBER(FIND("SALDO ANTERIOR",C922)),0,IF(ISNUMBER(FIND("SALDO DO DIA",C922)),0,IF(ISNUMBER(FIND("SALDO PARCIAL",C922)),0,IF(ISNUMBER(FIND("SDO CTA/APL AUTOMATICAS",C922)),0,IF(ISNUMBER(FIND("APL APLIC AUT MAIS",C922)),0,IF(ISNUMBER(FIND("TEC DEPOSITO",C922)),0,IF(E922&gt;0,0,E922*(-1))))))))</f>
        <v>40</v>
      </c>
      <c r="G922" s="65" t="n">
        <f aca="false">IF(ISNUMBER(FIND("SALDO ANTERIOR",C922)),0,IF(ISNUMBER(FIND("SALDO DO DIA",C922)),0,IF(ISNUMBER(FIND("SDO CTA/APL AUTOMATICAS",C922)),0,IF(ISNUMBER(FIND("TEC DEPOSITO",C922)),0,IF(ISNUMBER(FIND("APL APLIC AUT MAIS",C922)),E922,IF(E922&gt;0,E922,0))))))</f>
        <v>0</v>
      </c>
      <c r="H922" s="96" t="n">
        <v>44075</v>
      </c>
    </row>
    <row r="923" customFormat="false" ht="13.8" hidden="false" customHeight="false" outlineLevel="0" collapsed="false">
      <c r="A923" s="59" t="s">
        <v>71</v>
      </c>
      <c r="B923" s="85" t="s">
        <v>664</v>
      </c>
      <c r="C923" s="86" t="s">
        <v>189</v>
      </c>
      <c r="D923" s="87" t="s">
        <v>64</v>
      </c>
      <c r="E923" s="89" t="n">
        <v>-6</v>
      </c>
      <c r="F923" s="64" t="n">
        <f aca="false">IF(ISNUMBER(FIND("SALDO ANTERIOR",C923)),0,IF(ISNUMBER(FIND("SALDO DO DIA",C923)),0,IF(ISNUMBER(FIND("SALDO PARCIAL",C923)),0,IF(ISNUMBER(FIND("SDO CTA/APL AUTOMATICAS",C923)),0,IF(ISNUMBER(FIND("APL APLIC AUT MAIS",C923)),0,IF(ISNUMBER(FIND("TEC DEPOSITO",C923)),0,IF(E923&gt;0,0,E923*(-1))))))))</f>
        <v>6</v>
      </c>
      <c r="G923" s="65" t="n">
        <f aca="false">IF(ISNUMBER(FIND("SALDO ANTERIOR",C923)),0,IF(ISNUMBER(FIND("SALDO DO DIA",C923)),0,IF(ISNUMBER(FIND("SDO CTA/APL AUTOMATICAS",C923)),0,IF(ISNUMBER(FIND("TEC DEPOSITO",C923)),0,IF(ISNUMBER(FIND("APL APLIC AUT MAIS",C923)),E923,IF(E923&gt;0,E923,0))))))</f>
        <v>0</v>
      </c>
      <c r="H923" s="96" t="n">
        <v>44075</v>
      </c>
    </row>
    <row r="924" customFormat="false" ht="13.8" hidden="false" customHeight="false" outlineLevel="0" collapsed="false">
      <c r="A924" s="73" t="s">
        <v>316</v>
      </c>
      <c r="B924" s="85" t="s">
        <v>664</v>
      </c>
      <c r="C924" s="86" t="s">
        <v>479</v>
      </c>
      <c r="D924" s="87" t="s">
        <v>64</v>
      </c>
      <c r="E924" s="89" t="n">
        <v>-50</v>
      </c>
      <c r="F924" s="64" t="n">
        <f aca="false">IF(ISNUMBER(FIND("SALDO ANTERIOR",C924)),0,IF(ISNUMBER(FIND("SALDO DO DIA",C924)),0,IF(ISNUMBER(FIND("SALDO PARCIAL",C924)),0,IF(ISNUMBER(FIND("SDO CTA/APL AUTOMATICAS",C924)),0,IF(ISNUMBER(FIND("APL APLIC AUT MAIS",C924)),0,IF(ISNUMBER(FIND("TEC DEPOSITO",C924)),0,IF(E924&gt;0,0,E924*(-1))))))))</f>
        <v>50</v>
      </c>
      <c r="G924" s="65" t="n">
        <f aca="false">IF(ISNUMBER(FIND("SALDO ANTERIOR",C924)),0,IF(ISNUMBER(FIND("SALDO DO DIA",C924)),0,IF(ISNUMBER(FIND("SDO CTA/APL AUTOMATICAS",C924)),0,IF(ISNUMBER(FIND("TEC DEPOSITO",C924)),0,IF(ISNUMBER(FIND("APL APLIC AUT MAIS",C924)),E924,IF(E924&gt;0,E924,0))))))</f>
        <v>0</v>
      </c>
      <c r="H924" s="96" t="n">
        <v>44075</v>
      </c>
    </row>
    <row r="925" customFormat="false" ht="13.8" hidden="false" customHeight="false" outlineLevel="0" collapsed="false">
      <c r="A925" s="59" t="s">
        <v>148</v>
      </c>
      <c r="B925" s="85" t="s">
        <v>664</v>
      </c>
      <c r="C925" s="86" t="s">
        <v>666</v>
      </c>
      <c r="D925" s="87" t="s">
        <v>64</v>
      </c>
      <c r="E925" s="89" t="n">
        <v>-150</v>
      </c>
      <c r="F925" s="64" t="n">
        <f aca="false">IF(ISNUMBER(FIND("SALDO ANTERIOR",C925)),0,IF(ISNUMBER(FIND("SALDO DO DIA",C925)),0,IF(ISNUMBER(FIND("SALDO PARCIAL",C925)),0,IF(ISNUMBER(FIND("SDO CTA/APL AUTOMATICAS",C925)),0,IF(ISNUMBER(FIND("APL APLIC AUT MAIS",C925)),0,IF(ISNUMBER(FIND("TEC DEPOSITO",C925)),0,IF(E925&gt;0,0,E925*(-1))))))))</f>
        <v>150</v>
      </c>
      <c r="G925" s="65" t="n">
        <f aca="false">IF(ISNUMBER(FIND("SALDO ANTERIOR",C925)),0,IF(ISNUMBER(FIND("SALDO DO DIA",C925)),0,IF(ISNUMBER(FIND("SDO CTA/APL AUTOMATICAS",C925)),0,IF(ISNUMBER(FIND("TEC DEPOSITO",C925)),0,IF(ISNUMBER(FIND("APL APLIC AUT MAIS",C925)),E925,IF(E925&gt;0,E925,0))))))</f>
        <v>0</v>
      </c>
      <c r="H925" s="96" t="n">
        <v>44075</v>
      </c>
    </row>
    <row r="926" customFormat="false" ht="13.8" hidden="false" customHeight="false" outlineLevel="0" collapsed="false">
      <c r="A926" s="59" t="s">
        <v>98</v>
      </c>
      <c r="B926" s="85" t="s">
        <v>664</v>
      </c>
      <c r="C926" s="86" t="s">
        <v>99</v>
      </c>
      <c r="D926" s="87" t="s">
        <v>64</v>
      </c>
      <c r="E926" s="89" t="n">
        <v>-217.29</v>
      </c>
      <c r="F926" s="64" t="n">
        <f aca="false">IF(ISNUMBER(FIND("SALDO ANTERIOR",C926)),0,IF(ISNUMBER(FIND("SALDO DO DIA",C926)),0,IF(ISNUMBER(FIND("SALDO PARCIAL",C926)),0,IF(ISNUMBER(FIND("SDO CTA/APL AUTOMATICAS",C926)),0,IF(ISNUMBER(FIND("APL APLIC AUT MAIS",C926)),0,IF(ISNUMBER(FIND("TEC DEPOSITO",C926)),0,IF(E926&gt;0,0,E926*(-1))))))))</f>
        <v>217.29</v>
      </c>
      <c r="G926" s="65" t="n">
        <f aca="false">IF(ISNUMBER(FIND("SALDO ANTERIOR",C926)),0,IF(ISNUMBER(FIND("SALDO DO DIA",C926)),0,IF(ISNUMBER(FIND("SDO CTA/APL AUTOMATICAS",C926)),0,IF(ISNUMBER(FIND("TEC DEPOSITO",C926)),0,IF(ISNUMBER(FIND("APL APLIC AUT MAIS",C926)),E926,IF(E926&gt;0,E926,0))))))</f>
        <v>0</v>
      </c>
      <c r="H926" s="96" t="n">
        <v>44075</v>
      </c>
    </row>
    <row r="927" customFormat="false" ht="13.8" hidden="false" customHeight="false" outlineLevel="0" collapsed="false">
      <c r="A927" s="59" t="s">
        <v>98</v>
      </c>
      <c r="B927" s="85" t="s">
        <v>664</v>
      </c>
      <c r="C927" s="86" t="s">
        <v>180</v>
      </c>
      <c r="D927" s="87" t="s">
        <v>64</v>
      </c>
      <c r="E927" s="89" t="n">
        <v>-143.13</v>
      </c>
      <c r="F927" s="64" t="n">
        <f aca="false">IF(ISNUMBER(FIND("SALDO ANTERIOR",C927)),0,IF(ISNUMBER(FIND("SALDO DO DIA",C927)),0,IF(ISNUMBER(FIND("SALDO PARCIAL",C927)),0,IF(ISNUMBER(FIND("SDO CTA/APL AUTOMATICAS",C927)),0,IF(ISNUMBER(FIND("APL APLIC AUT MAIS",C927)),0,IF(ISNUMBER(FIND("TEC DEPOSITO",C927)),0,IF(E927&gt;0,0,E927*(-1))))))))</f>
        <v>143.13</v>
      </c>
      <c r="G927" s="65" t="n">
        <f aca="false">IF(ISNUMBER(FIND("SALDO ANTERIOR",C927)),0,IF(ISNUMBER(FIND("SALDO DO DIA",C927)),0,IF(ISNUMBER(FIND("SDO CTA/APL AUTOMATICAS",C927)),0,IF(ISNUMBER(FIND("TEC DEPOSITO",C927)),0,IF(ISNUMBER(FIND("APL APLIC AUT MAIS",C927)),E927,IF(E927&gt;0,E927,0))))))</f>
        <v>0</v>
      </c>
      <c r="H927" s="96" t="n">
        <v>44075</v>
      </c>
    </row>
    <row r="928" customFormat="false" ht="13.8" hidden="false" customHeight="false" outlineLevel="0" collapsed="false">
      <c r="A928" s="59" t="s">
        <v>98</v>
      </c>
      <c r="B928" s="85" t="s">
        <v>664</v>
      </c>
      <c r="C928" s="86" t="s">
        <v>180</v>
      </c>
      <c r="D928" s="87" t="s">
        <v>64</v>
      </c>
      <c r="E928" s="89" t="n">
        <v>-47.45</v>
      </c>
      <c r="F928" s="64" t="n">
        <f aca="false">IF(ISNUMBER(FIND("SALDO ANTERIOR",C928)),0,IF(ISNUMBER(FIND("SALDO DO DIA",C928)),0,IF(ISNUMBER(FIND("SALDO PARCIAL",C928)),0,IF(ISNUMBER(FIND("SDO CTA/APL AUTOMATICAS",C928)),0,IF(ISNUMBER(FIND("APL APLIC AUT MAIS",C928)),0,IF(ISNUMBER(FIND("TEC DEPOSITO",C928)),0,IF(E928&gt;0,0,E928*(-1))))))))</f>
        <v>47.45</v>
      </c>
      <c r="G928" s="65" t="n">
        <f aca="false">IF(ISNUMBER(FIND("SALDO ANTERIOR",C928)),0,IF(ISNUMBER(FIND("SALDO DO DIA",C928)),0,IF(ISNUMBER(FIND("SDO CTA/APL AUTOMATICAS",C928)),0,IF(ISNUMBER(FIND("TEC DEPOSITO",C928)),0,IF(ISNUMBER(FIND("APL APLIC AUT MAIS",C928)),E928,IF(E928&gt;0,E928,0))))))</f>
        <v>0</v>
      </c>
      <c r="H928" s="96" t="n">
        <v>44075</v>
      </c>
    </row>
    <row r="929" customFormat="false" ht="13.8" hidden="false" customHeight="false" outlineLevel="0" collapsed="false">
      <c r="A929" s="59" t="s">
        <v>65</v>
      </c>
      <c r="B929" s="85" t="s">
        <v>664</v>
      </c>
      <c r="C929" s="86" t="s">
        <v>115</v>
      </c>
      <c r="D929" s="87" t="s">
        <v>64</v>
      </c>
      <c r="E929" s="89" t="n">
        <v>-25</v>
      </c>
      <c r="F929" s="64" t="n">
        <f aca="false">IF(ISNUMBER(FIND("SALDO ANTERIOR",C929)),0,IF(ISNUMBER(FIND("SALDO DO DIA",C929)),0,IF(ISNUMBER(FIND("SALDO PARCIAL",C929)),0,IF(ISNUMBER(FIND("SDO CTA/APL AUTOMATICAS",C929)),0,IF(ISNUMBER(FIND("APL APLIC AUT MAIS",C929)),0,IF(ISNUMBER(FIND("TEC DEPOSITO",C929)),0,IF(E929&gt;0,0,E929*(-1))))))))</f>
        <v>25</v>
      </c>
      <c r="G929" s="65" t="n">
        <f aca="false">IF(ISNUMBER(FIND("SALDO ANTERIOR",C929)),0,IF(ISNUMBER(FIND("SALDO DO DIA",C929)),0,IF(ISNUMBER(FIND("SDO CTA/APL AUTOMATICAS",C929)),0,IF(ISNUMBER(FIND("TEC DEPOSITO",C929)),0,IF(ISNUMBER(FIND("APL APLIC AUT MAIS",C929)),E929,IF(E929&gt;0,E929,0))))))</f>
        <v>0</v>
      </c>
      <c r="H929" s="96" t="n">
        <v>44075</v>
      </c>
    </row>
    <row r="930" customFormat="false" ht="15" hidden="false" customHeight="false" outlineLevel="0" collapsed="false">
      <c r="A930" s="59" t="s">
        <v>29</v>
      </c>
      <c r="B930" s="85" t="s">
        <v>664</v>
      </c>
      <c r="C930" s="90" t="s">
        <v>494</v>
      </c>
      <c r="D930" s="87"/>
      <c r="E930" s="92" t="n">
        <v>-601.24</v>
      </c>
      <c r="F930" s="64" t="n">
        <f aca="false">IF(ISNUMBER(FIND("SALDO ANTERIOR",C930)),0,IF(ISNUMBER(FIND("SALDO DO DIA",C930)),0,IF(ISNUMBER(FIND("SALDO PARCIAL",C930)),0,IF(ISNUMBER(FIND("SDO CTA/APL AUTOMATICAS",C930)),0,IF(ISNUMBER(FIND("APL APLIC AUT MAIS",C930)),0,IF(ISNUMBER(FIND("TEC DEPOSITO",C930)),0,IF(E930&gt;0,0,E930*(-1))))))))</f>
        <v>0</v>
      </c>
      <c r="G930" s="65" t="n">
        <f aca="false">IF(ISNUMBER(FIND("SALDO ANTERIOR",C930)),0,IF(ISNUMBER(FIND("SALDO DO DIA",C930)),0,IF(ISNUMBER(FIND("SDO CTA/APL AUTOMATICAS",C930)),0,IF(ISNUMBER(FIND("TEC DEPOSITO",C930)),0,IF(ISNUMBER(FIND("APL APLIC AUT MAIS",C930)),E930,IF(E930&gt;0,E930,0))))))</f>
        <v>0</v>
      </c>
      <c r="H930" s="96" t="n">
        <v>44075</v>
      </c>
    </row>
    <row r="931" customFormat="false" ht="13.8" hidden="false" customHeight="false" outlineLevel="0" collapsed="false">
      <c r="A931" s="59" t="s">
        <v>176</v>
      </c>
      <c r="B931" s="85" t="s">
        <v>667</v>
      </c>
      <c r="C931" s="86" t="s">
        <v>668</v>
      </c>
      <c r="D931" s="87" t="s">
        <v>61</v>
      </c>
      <c r="E931" s="89" t="n">
        <v>-92.09</v>
      </c>
      <c r="F931" s="64" t="n">
        <f aca="false">IF(ISNUMBER(FIND("SALDO ANTERIOR",C931)),0,IF(ISNUMBER(FIND("SALDO DO DIA",C931)),0,IF(ISNUMBER(FIND("SALDO PARCIAL",C931)),0,IF(ISNUMBER(FIND("SDO CTA/APL AUTOMATICAS",C931)),0,IF(ISNUMBER(FIND("APL APLIC AUT MAIS",C931)),0,IF(ISNUMBER(FIND("TEC DEPOSITO",C931)),0,IF(E931&gt;0,0,E931*(-1))))))))</f>
        <v>92.09</v>
      </c>
      <c r="G931" s="65" t="n">
        <f aca="false">IF(ISNUMBER(FIND("SALDO ANTERIOR",C931)),0,IF(ISNUMBER(FIND("SALDO DO DIA",C931)),0,IF(ISNUMBER(FIND("SDO CTA/APL AUTOMATICAS",C931)),0,IF(ISNUMBER(FIND("TEC DEPOSITO",C931)),0,IF(ISNUMBER(FIND("APL APLIC AUT MAIS",C931)),E931,IF(E931&gt;0,E931,0))))))</f>
        <v>0</v>
      </c>
      <c r="H931" s="96" t="n">
        <v>44075</v>
      </c>
    </row>
    <row r="932" customFormat="false" ht="13.8" hidden="false" customHeight="false" outlineLevel="0" collapsed="false">
      <c r="A932" s="59" t="s">
        <v>98</v>
      </c>
      <c r="B932" s="85" t="s">
        <v>667</v>
      </c>
      <c r="C932" s="86" t="s">
        <v>180</v>
      </c>
      <c r="D932" s="87" t="s">
        <v>64</v>
      </c>
      <c r="E932" s="89" t="n">
        <v>-55.02</v>
      </c>
      <c r="F932" s="64" t="n">
        <f aca="false">IF(ISNUMBER(FIND("SALDO ANTERIOR",C932)),0,IF(ISNUMBER(FIND("SALDO DO DIA",C932)),0,IF(ISNUMBER(FIND("SALDO PARCIAL",C932)),0,IF(ISNUMBER(FIND("SDO CTA/APL AUTOMATICAS",C932)),0,IF(ISNUMBER(FIND("APL APLIC AUT MAIS",C932)),0,IF(ISNUMBER(FIND("TEC DEPOSITO",C932)),0,IF(E932&gt;0,0,E932*(-1))))))))</f>
        <v>55.02</v>
      </c>
      <c r="G932" s="65" t="n">
        <f aca="false">IF(ISNUMBER(FIND("SALDO ANTERIOR",C932)),0,IF(ISNUMBER(FIND("SALDO DO DIA",C932)),0,IF(ISNUMBER(FIND("SDO CTA/APL AUTOMATICAS",C932)),0,IF(ISNUMBER(FIND("TEC DEPOSITO",C932)),0,IF(ISNUMBER(FIND("APL APLIC AUT MAIS",C932)),E932,IF(E932&gt;0,E932,0))))))</f>
        <v>0</v>
      </c>
      <c r="H932" s="96" t="n">
        <v>44075</v>
      </c>
    </row>
    <row r="933" customFormat="false" ht="15" hidden="false" customHeight="false" outlineLevel="0" collapsed="false">
      <c r="A933" s="59" t="s">
        <v>29</v>
      </c>
      <c r="B933" s="85" t="s">
        <v>667</v>
      </c>
      <c r="C933" s="90" t="s">
        <v>494</v>
      </c>
      <c r="D933" s="87"/>
      <c r="E933" s="92" t="n">
        <v>-748.35</v>
      </c>
      <c r="F933" s="64" t="n">
        <f aca="false">IF(ISNUMBER(FIND("SALDO ANTERIOR",C933)),0,IF(ISNUMBER(FIND("SALDO DO DIA",C933)),0,IF(ISNUMBER(FIND("SALDO PARCIAL",C933)),0,IF(ISNUMBER(FIND("SDO CTA/APL AUTOMATICAS",C933)),0,IF(ISNUMBER(FIND("APL APLIC AUT MAIS",C933)),0,IF(ISNUMBER(FIND("TEC DEPOSITO",C933)),0,IF(E933&gt;0,0,E933*(-1))))))))</f>
        <v>0</v>
      </c>
      <c r="G933" s="65" t="n">
        <f aca="false">IF(ISNUMBER(FIND("SALDO ANTERIOR",C933)),0,IF(ISNUMBER(FIND("SALDO DO DIA",C933)),0,IF(ISNUMBER(FIND("SDO CTA/APL AUTOMATICAS",C933)),0,IF(ISNUMBER(FIND("TEC DEPOSITO",C933)),0,IF(ISNUMBER(FIND("APL APLIC AUT MAIS",C933)),E933,IF(E933&gt;0,E933,0))))))</f>
        <v>0</v>
      </c>
      <c r="H933" s="96" t="n">
        <v>44075</v>
      </c>
    </row>
    <row r="934" customFormat="false" ht="13.8" hidden="false" customHeight="false" outlineLevel="0" collapsed="false">
      <c r="A934" s="59" t="s">
        <v>119</v>
      </c>
      <c r="B934" s="85" t="s">
        <v>669</v>
      </c>
      <c r="C934" s="86" t="s">
        <v>670</v>
      </c>
      <c r="D934" s="87" t="s">
        <v>61</v>
      </c>
      <c r="E934" s="89" t="n">
        <v>-549.13</v>
      </c>
      <c r="F934" s="64" t="n">
        <f aca="false">IF(ISNUMBER(FIND("SALDO ANTERIOR",C934)),0,IF(ISNUMBER(FIND("SALDO DO DIA",C934)),0,IF(ISNUMBER(FIND("SALDO PARCIAL",C934)),0,IF(ISNUMBER(FIND("SDO CTA/APL AUTOMATICAS",C934)),0,IF(ISNUMBER(FIND("APL APLIC AUT MAIS",C934)),0,IF(ISNUMBER(FIND("TEC DEPOSITO",C934)),0,IF(E934&gt;0,0,E934*(-1))))))))</f>
        <v>549.13</v>
      </c>
      <c r="G934" s="65" t="n">
        <f aca="false">IF(ISNUMBER(FIND("SALDO ANTERIOR",C934)),0,IF(ISNUMBER(FIND("SALDO DO DIA",C934)),0,IF(ISNUMBER(FIND("SDO CTA/APL AUTOMATICAS",C934)),0,IF(ISNUMBER(FIND("TEC DEPOSITO",C934)),0,IF(ISNUMBER(FIND("APL APLIC AUT MAIS",C934)),E934,IF(E934&gt;0,E934,0))))))</f>
        <v>0</v>
      </c>
      <c r="H934" s="96" t="n">
        <v>44075</v>
      </c>
    </row>
    <row r="935" customFormat="false" ht="13.8" hidden="false" customHeight="false" outlineLevel="0" collapsed="false">
      <c r="A935" s="59" t="s">
        <v>65</v>
      </c>
      <c r="B935" s="85" t="s">
        <v>669</v>
      </c>
      <c r="C935" s="86" t="s">
        <v>244</v>
      </c>
      <c r="D935" s="87" t="s">
        <v>64</v>
      </c>
      <c r="E935" s="89" t="n">
        <v>-10</v>
      </c>
      <c r="F935" s="64" t="n">
        <f aca="false">IF(ISNUMBER(FIND("SALDO ANTERIOR",C935)),0,IF(ISNUMBER(FIND("SALDO DO DIA",C935)),0,IF(ISNUMBER(FIND("SALDO PARCIAL",C935)),0,IF(ISNUMBER(FIND("SDO CTA/APL AUTOMATICAS",C935)),0,IF(ISNUMBER(FIND("APL APLIC AUT MAIS",C935)),0,IF(ISNUMBER(FIND("TEC DEPOSITO",C935)),0,IF(E935&gt;0,0,E935*(-1))))))))</f>
        <v>10</v>
      </c>
      <c r="G935" s="65" t="n">
        <f aca="false">IF(ISNUMBER(FIND("SALDO ANTERIOR",C935)),0,IF(ISNUMBER(FIND("SALDO DO DIA",C935)),0,IF(ISNUMBER(FIND("SDO CTA/APL AUTOMATICAS",C935)),0,IF(ISNUMBER(FIND("TEC DEPOSITO",C935)),0,IF(ISNUMBER(FIND("APL APLIC AUT MAIS",C935)),E935,IF(E935&gt;0,E935,0))))))</f>
        <v>0</v>
      </c>
      <c r="H935" s="96" t="n">
        <v>44075</v>
      </c>
    </row>
    <row r="936" customFormat="false" ht="13.8" hidden="false" customHeight="false" outlineLevel="0" collapsed="false">
      <c r="A936" s="59" t="s">
        <v>65</v>
      </c>
      <c r="B936" s="85" t="s">
        <v>669</v>
      </c>
      <c r="C936" s="86" t="s">
        <v>671</v>
      </c>
      <c r="D936" s="87" t="s">
        <v>64</v>
      </c>
      <c r="E936" s="89" t="n">
        <v>-9</v>
      </c>
      <c r="F936" s="64" t="n">
        <f aca="false">IF(ISNUMBER(FIND("SALDO ANTERIOR",C936)),0,IF(ISNUMBER(FIND("SALDO DO DIA",C936)),0,IF(ISNUMBER(FIND("SALDO PARCIAL",C936)),0,IF(ISNUMBER(FIND("SDO CTA/APL AUTOMATICAS",C936)),0,IF(ISNUMBER(FIND("APL APLIC AUT MAIS",C936)),0,IF(ISNUMBER(FIND("TEC DEPOSITO",C936)),0,IF(E936&gt;0,0,E936*(-1))))))))</f>
        <v>9</v>
      </c>
      <c r="G936" s="65" t="n">
        <f aca="false">IF(ISNUMBER(FIND("SALDO ANTERIOR",C936)),0,IF(ISNUMBER(FIND("SALDO DO DIA",C936)),0,IF(ISNUMBER(FIND("SDO CTA/APL AUTOMATICAS",C936)),0,IF(ISNUMBER(FIND("TEC DEPOSITO",C936)),0,IF(ISNUMBER(FIND("APL APLIC AUT MAIS",C936)),E936,IF(E936&gt;0,E936,0))))))</f>
        <v>0</v>
      </c>
      <c r="H936" s="96" t="n">
        <v>44075</v>
      </c>
    </row>
    <row r="937" customFormat="false" ht="13.8" hidden="false" customHeight="false" outlineLevel="0" collapsed="false">
      <c r="A937" s="59" t="s">
        <v>74</v>
      </c>
      <c r="B937" s="85" t="s">
        <v>669</v>
      </c>
      <c r="C937" s="86" t="s">
        <v>236</v>
      </c>
      <c r="D937" s="87" t="s">
        <v>64</v>
      </c>
      <c r="E937" s="89" t="n">
        <v>-54.57</v>
      </c>
      <c r="F937" s="64" t="n">
        <f aca="false">IF(ISNUMBER(FIND("SALDO ANTERIOR",C937)),0,IF(ISNUMBER(FIND("SALDO DO DIA",C937)),0,IF(ISNUMBER(FIND("SALDO PARCIAL",C937)),0,IF(ISNUMBER(FIND("SDO CTA/APL AUTOMATICAS",C937)),0,IF(ISNUMBER(FIND("APL APLIC AUT MAIS",C937)),0,IF(ISNUMBER(FIND("TEC DEPOSITO",C937)),0,IF(E937&gt;0,0,E937*(-1))))))))</f>
        <v>54.57</v>
      </c>
      <c r="G937" s="65" t="n">
        <f aca="false">IF(ISNUMBER(FIND("SALDO ANTERIOR",C937)),0,IF(ISNUMBER(FIND("SALDO DO DIA",C937)),0,IF(ISNUMBER(FIND("SDO CTA/APL AUTOMATICAS",C937)),0,IF(ISNUMBER(FIND("TEC DEPOSITO",C937)),0,IF(ISNUMBER(FIND("APL APLIC AUT MAIS",C937)),E937,IF(E937&gt;0,E937,0))))))</f>
        <v>0</v>
      </c>
      <c r="H937" s="96" t="n">
        <v>44075</v>
      </c>
    </row>
    <row r="938" customFormat="false" ht="13.8" hidden="false" customHeight="false" outlineLevel="0" collapsed="false">
      <c r="A938" s="59" t="s">
        <v>65</v>
      </c>
      <c r="B938" s="85" t="s">
        <v>669</v>
      </c>
      <c r="C938" s="86" t="s">
        <v>115</v>
      </c>
      <c r="D938" s="87" t="s">
        <v>64</v>
      </c>
      <c r="E938" s="89" t="n">
        <v>-12</v>
      </c>
      <c r="F938" s="64" t="n">
        <f aca="false">IF(ISNUMBER(FIND("SALDO ANTERIOR",C938)),0,IF(ISNUMBER(FIND("SALDO DO DIA",C938)),0,IF(ISNUMBER(FIND("SALDO PARCIAL",C938)),0,IF(ISNUMBER(FIND("SDO CTA/APL AUTOMATICAS",C938)),0,IF(ISNUMBER(FIND("APL APLIC AUT MAIS",C938)),0,IF(ISNUMBER(FIND("TEC DEPOSITO",C938)),0,IF(E938&gt;0,0,E938*(-1))))))))</f>
        <v>12</v>
      </c>
      <c r="G938" s="65" t="n">
        <f aca="false">IF(ISNUMBER(FIND("SALDO ANTERIOR",C938)),0,IF(ISNUMBER(FIND("SALDO DO DIA",C938)),0,IF(ISNUMBER(FIND("SDO CTA/APL AUTOMATICAS",C938)),0,IF(ISNUMBER(FIND("TEC DEPOSITO",C938)),0,IF(ISNUMBER(FIND("APL APLIC AUT MAIS",C938)),E938,IF(E938&gt;0,E938,0))))))</f>
        <v>0</v>
      </c>
      <c r="H938" s="96" t="n">
        <v>44075</v>
      </c>
    </row>
    <row r="939" customFormat="false" ht="13.8" hidden="false" customHeight="false" outlineLevel="0" collapsed="false">
      <c r="A939" s="59" t="s">
        <v>67</v>
      </c>
      <c r="B939" s="85" t="s">
        <v>669</v>
      </c>
      <c r="C939" s="86" t="s">
        <v>109</v>
      </c>
      <c r="D939" s="87" t="s">
        <v>82</v>
      </c>
      <c r="E939" s="89" t="n">
        <v>-6.61</v>
      </c>
      <c r="F939" s="64" t="n">
        <f aca="false">IF(ISNUMBER(FIND("SALDO ANTERIOR",C939)),0,IF(ISNUMBER(FIND("SALDO DO DIA",C939)),0,IF(ISNUMBER(FIND("SALDO PARCIAL",C939)),0,IF(ISNUMBER(FIND("SDO CTA/APL AUTOMATICAS",C939)),0,IF(ISNUMBER(FIND("APL APLIC AUT MAIS",C939)),0,IF(ISNUMBER(FIND("TEC DEPOSITO",C939)),0,IF(E939&gt;0,0,E939*(-1))))))))</f>
        <v>6.61</v>
      </c>
      <c r="G939" s="65" t="n">
        <f aca="false">IF(ISNUMBER(FIND("SALDO ANTERIOR",C939)),0,IF(ISNUMBER(FIND("SALDO DO DIA",C939)),0,IF(ISNUMBER(FIND("SDO CTA/APL AUTOMATICAS",C939)),0,IF(ISNUMBER(FIND("TEC DEPOSITO",C939)),0,IF(ISNUMBER(FIND("APL APLIC AUT MAIS",C939)),E939,IF(E939&gt;0,E939,0))))))</f>
        <v>0</v>
      </c>
      <c r="H939" s="96" t="n">
        <v>44075</v>
      </c>
    </row>
    <row r="940" customFormat="false" ht="15" hidden="false" customHeight="false" outlineLevel="0" collapsed="false">
      <c r="A940" s="59" t="s">
        <v>29</v>
      </c>
      <c r="B940" s="85" t="s">
        <v>669</v>
      </c>
      <c r="C940" s="90" t="s">
        <v>494</v>
      </c>
      <c r="D940" s="87"/>
      <c r="E940" s="92" t="n">
        <v>-1389.66</v>
      </c>
      <c r="F940" s="64" t="n">
        <f aca="false">IF(ISNUMBER(FIND("SALDO ANTERIOR",C940)),0,IF(ISNUMBER(FIND("SALDO DO DIA",C940)),0,IF(ISNUMBER(FIND("SALDO PARCIAL",C940)),0,IF(ISNUMBER(FIND("SDO CTA/APL AUTOMATICAS",C940)),0,IF(ISNUMBER(FIND("APL APLIC AUT MAIS",C940)),0,IF(ISNUMBER(FIND("TEC DEPOSITO",C940)),0,IF(E940&gt;0,0,E940*(-1))))))))</f>
        <v>0</v>
      </c>
      <c r="G940" s="65" t="n">
        <f aca="false">IF(ISNUMBER(FIND("SALDO ANTERIOR",C940)),0,IF(ISNUMBER(FIND("SALDO DO DIA",C940)),0,IF(ISNUMBER(FIND("SDO CTA/APL AUTOMATICAS",C940)),0,IF(ISNUMBER(FIND("TEC DEPOSITO",C940)),0,IF(ISNUMBER(FIND("APL APLIC AUT MAIS",C940)),E940,IF(E940&gt;0,E940,0))))))</f>
        <v>0</v>
      </c>
      <c r="H940" s="96" t="n">
        <v>44075</v>
      </c>
    </row>
    <row r="941" customFormat="false" ht="13.8" hidden="false" customHeight="false" outlineLevel="0" collapsed="false">
      <c r="A941" s="59" t="s">
        <v>119</v>
      </c>
      <c r="B941" s="85" t="s">
        <v>672</v>
      </c>
      <c r="C941" s="86" t="s">
        <v>217</v>
      </c>
      <c r="D941" s="87" t="s">
        <v>61</v>
      </c>
      <c r="E941" s="89" t="n">
        <v>-197.54</v>
      </c>
      <c r="F941" s="70" t="n">
        <f aca="false">IF(ISNUMBER(FIND("SALDO ANTERIOR",C941)),0,IF(ISNUMBER(FIND("SALDO DO DIA",C941)),0,IF(ISNUMBER(FIND("SALDO PARCIAL",C941)),0,IF(ISNUMBER(FIND("SDO CTA/APL AUTOMATICAS",C941)),0,IF(ISNUMBER(FIND("APL APLIC AUT MAIS",C941)),0,IF(ISNUMBER(FIND("TEC DEPOSITO",C941)),0,IF(E941&gt;0,0,E941*(-1))))))))</f>
        <v>197.54</v>
      </c>
      <c r="G941" s="97" t="n">
        <f aca="false">IF(ISNUMBER(FIND("SALDO ANTERIOR",C941)),0,IF(ISNUMBER(FIND("SALDO DO DIA",C941)),0,IF(ISNUMBER(FIND("SDO CTA/APL AUTOMATICAS",C941)),0,IF(ISNUMBER(FIND("TEC DEPOSITO",C941)),0,IF(ISNUMBER(FIND("APL APLIC AUT MAIS",C941)),E941,IF(E941&gt;0,E941,0))))))</f>
        <v>0</v>
      </c>
      <c r="H941" s="96" t="n">
        <v>44075</v>
      </c>
      <c r="I941" s="98"/>
    </row>
    <row r="942" customFormat="false" ht="13.8" hidden="false" customHeight="false" outlineLevel="0" collapsed="false">
      <c r="A942" s="59" t="s">
        <v>130</v>
      </c>
      <c r="B942" s="85" t="s">
        <v>672</v>
      </c>
      <c r="C942" s="86" t="s">
        <v>131</v>
      </c>
      <c r="D942" s="87" t="s">
        <v>82</v>
      </c>
      <c r="E942" s="89" t="n">
        <v>-75</v>
      </c>
      <c r="F942" s="70" t="n">
        <f aca="false">IF(ISNUMBER(FIND("SALDO ANTERIOR",C942)),0,IF(ISNUMBER(FIND("SALDO DO DIA",C942)),0,IF(ISNUMBER(FIND("SALDO PARCIAL",C942)),0,IF(ISNUMBER(FIND("SDO CTA/APL AUTOMATICAS",C942)),0,IF(ISNUMBER(FIND("APL APLIC AUT MAIS",C942)),0,IF(ISNUMBER(FIND("TEC DEPOSITO",C942)),0,IF(E942&gt;0,0,E942*(-1))))))))</f>
        <v>75</v>
      </c>
      <c r="G942" s="97" t="n">
        <f aca="false">IF(ISNUMBER(FIND("SALDO ANTERIOR",C942)),0,IF(ISNUMBER(FIND("SALDO DO DIA",C942)),0,IF(ISNUMBER(FIND("SDO CTA/APL AUTOMATICAS",C942)),0,IF(ISNUMBER(FIND("TEC DEPOSITO",C942)),0,IF(ISNUMBER(FIND("APL APLIC AUT MAIS",C942)),E942,IF(E942&gt;0,E942,0))))))</f>
        <v>0</v>
      </c>
      <c r="H942" s="96" t="n">
        <v>44075</v>
      </c>
    </row>
    <row r="943" customFormat="false" ht="15" hidden="false" customHeight="false" outlineLevel="0" collapsed="false">
      <c r="A943" s="59" t="s">
        <v>29</v>
      </c>
      <c r="B943" s="85" t="s">
        <v>672</v>
      </c>
      <c r="C943" s="90" t="s">
        <v>494</v>
      </c>
      <c r="D943" s="87"/>
      <c r="E943" s="92" t="n">
        <v>-1662.2</v>
      </c>
      <c r="F943" s="70" t="n">
        <f aca="false">IF(ISNUMBER(FIND("SALDO ANTERIOR",C943)),0,IF(ISNUMBER(FIND("SALDO DO DIA",C943)),0,IF(ISNUMBER(FIND("SALDO PARCIAL",C943)),0,IF(ISNUMBER(FIND("SDO CTA/APL AUTOMATICAS",C943)),0,IF(ISNUMBER(FIND("APL APLIC AUT MAIS",C943)),0,IF(ISNUMBER(FIND("TEC DEPOSITO",C943)),0,IF(E943&gt;0,0,E943*(-1))))))))</f>
        <v>0</v>
      </c>
      <c r="G943" s="97" t="n">
        <f aca="false">IF(ISNUMBER(FIND("SALDO ANTERIOR",C943)),0,IF(ISNUMBER(FIND("SALDO DO DIA",C943)),0,IF(ISNUMBER(FIND("SDO CTA/APL AUTOMATICAS",C943)),0,IF(ISNUMBER(FIND("TEC DEPOSITO",C943)),0,IF(ISNUMBER(FIND("APL APLIC AUT MAIS",C943)),E943,IF(E943&gt;0,E943,0))))))</f>
        <v>0</v>
      </c>
      <c r="H943" s="96" t="n">
        <v>44075</v>
      </c>
    </row>
    <row r="944" customFormat="false" ht="13.8" hidden="false" customHeight="false" outlineLevel="0" collapsed="false">
      <c r="A944" s="59" t="s">
        <v>203</v>
      </c>
      <c r="B944" s="85" t="s">
        <v>673</v>
      </c>
      <c r="C944" s="86" t="s">
        <v>674</v>
      </c>
      <c r="D944" s="87" t="s">
        <v>239</v>
      </c>
      <c r="E944" s="89" t="n">
        <v>-100</v>
      </c>
      <c r="F944" s="70" t="n">
        <f aca="false">IF(ISNUMBER(FIND("SALDO ANTERIOR",C944)),0,IF(ISNUMBER(FIND("SALDO DO DIA",C944)),0,IF(ISNUMBER(FIND("SALDO PARCIAL",C944)),0,IF(ISNUMBER(FIND("SDO CTA/APL AUTOMATICAS",C944)),0,IF(ISNUMBER(FIND("APL APLIC AUT MAIS",C944)),0,IF(ISNUMBER(FIND("TEC DEPOSITO",C944)),0,IF(E944&gt;0,0,E944*(-1))))))))</f>
        <v>100</v>
      </c>
      <c r="G944" s="97" t="n">
        <f aca="false">IF(ISNUMBER(FIND("SALDO ANTERIOR",C944)),0,IF(ISNUMBER(FIND("SALDO DO DIA",C944)),0,IF(ISNUMBER(FIND("SDO CTA/APL AUTOMATICAS",C944)),0,IF(ISNUMBER(FIND("TEC DEPOSITO",C944)),0,IF(ISNUMBER(FIND("APL APLIC AUT MAIS",C944)),E944,IF(E944&gt;0,E944,0))))))</f>
        <v>0</v>
      </c>
      <c r="H944" s="96" t="n">
        <v>44075</v>
      </c>
    </row>
    <row r="945" customFormat="false" ht="13.8" hidden="false" customHeight="false" outlineLevel="0" collapsed="false">
      <c r="A945" s="59" t="s">
        <v>203</v>
      </c>
      <c r="B945" s="85" t="s">
        <v>673</v>
      </c>
      <c r="C945" s="86" t="s">
        <v>675</v>
      </c>
      <c r="D945" s="87" t="s">
        <v>478</v>
      </c>
      <c r="E945" s="89" t="n">
        <v>-100</v>
      </c>
      <c r="F945" s="70" t="n">
        <f aca="false">IF(ISNUMBER(FIND("SALDO ANTERIOR",C945)),0,IF(ISNUMBER(FIND("SALDO DO DIA",C945)),0,IF(ISNUMBER(FIND("SALDO PARCIAL",C945)),0,IF(ISNUMBER(FIND("SDO CTA/APL AUTOMATICAS",C945)),0,IF(ISNUMBER(FIND("APL APLIC AUT MAIS",C945)),0,IF(ISNUMBER(FIND("TEC DEPOSITO",C945)),0,IF(E945&gt;0,0,E945*(-1))))))))</f>
        <v>100</v>
      </c>
      <c r="G945" s="97" t="n">
        <f aca="false">IF(ISNUMBER(FIND("SALDO ANTERIOR",C945)),0,IF(ISNUMBER(FIND("SALDO DO DIA",C945)),0,IF(ISNUMBER(FIND("SDO CTA/APL AUTOMATICAS",C945)),0,IF(ISNUMBER(FIND("TEC DEPOSITO",C945)),0,IF(ISNUMBER(FIND("APL APLIC AUT MAIS",C945)),E945,IF(E945&gt;0,E945,0))))))</f>
        <v>0</v>
      </c>
      <c r="H945" s="96" t="n">
        <v>44075</v>
      </c>
    </row>
    <row r="946" customFormat="false" ht="13.8" hidden="false" customHeight="false" outlineLevel="0" collapsed="false">
      <c r="A946" s="59" t="s">
        <v>176</v>
      </c>
      <c r="B946" s="85" t="s">
        <v>673</v>
      </c>
      <c r="C946" s="86" t="s">
        <v>676</v>
      </c>
      <c r="D946" s="87" t="s">
        <v>61</v>
      </c>
      <c r="E946" s="89" t="n">
        <v>-61.29</v>
      </c>
      <c r="F946" s="70" t="n">
        <f aca="false">IF(ISNUMBER(FIND("SALDO ANTERIOR",C946)),0,IF(ISNUMBER(FIND("SALDO DO DIA",C946)),0,IF(ISNUMBER(FIND("SALDO PARCIAL",C946)),0,IF(ISNUMBER(FIND("SDO CTA/APL AUTOMATICAS",C946)),0,IF(ISNUMBER(FIND("APL APLIC AUT MAIS",C946)),0,IF(ISNUMBER(FIND("TEC DEPOSITO",C946)),0,IF(E946&gt;0,0,E946*(-1))))))))</f>
        <v>61.29</v>
      </c>
      <c r="G946" s="97" t="n">
        <f aca="false">IF(ISNUMBER(FIND("SALDO ANTERIOR",C946)),0,IF(ISNUMBER(FIND("SALDO DO DIA",C946)),0,IF(ISNUMBER(FIND("SDO CTA/APL AUTOMATICAS",C946)),0,IF(ISNUMBER(FIND("TEC DEPOSITO",C946)),0,IF(ISNUMBER(FIND("APL APLIC AUT MAIS",C946)),E946,IF(E946&gt;0,E946,0))))))</f>
        <v>0</v>
      </c>
      <c r="H946" s="96" t="n">
        <v>44075</v>
      </c>
    </row>
    <row r="947" customFormat="false" ht="13.8" hidden="false" customHeight="false" outlineLevel="0" collapsed="false">
      <c r="A947" s="59" t="s">
        <v>65</v>
      </c>
      <c r="B947" s="85" t="s">
        <v>673</v>
      </c>
      <c r="C947" s="86" t="s">
        <v>677</v>
      </c>
      <c r="D947" s="87" t="s">
        <v>64</v>
      </c>
      <c r="E947" s="89" t="n">
        <v>-7</v>
      </c>
      <c r="F947" s="70" t="n">
        <f aca="false">IF(ISNUMBER(FIND("SALDO ANTERIOR",C947)),0,IF(ISNUMBER(FIND("SALDO DO DIA",C947)),0,IF(ISNUMBER(FIND("SALDO PARCIAL",C947)),0,IF(ISNUMBER(FIND("SDO CTA/APL AUTOMATICAS",C947)),0,IF(ISNUMBER(FIND("APL APLIC AUT MAIS",C947)),0,IF(ISNUMBER(FIND("TEC DEPOSITO",C947)),0,IF(E947&gt;0,0,E947*(-1))))))))</f>
        <v>7</v>
      </c>
      <c r="G947" s="97" t="n">
        <f aca="false">IF(ISNUMBER(FIND("SALDO ANTERIOR",C947)),0,IF(ISNUMBER(FIND("SALDO DO DIA",C947)),0,IF(ISNUMBER(FIND("SDO CTA/APL AUTOMATICAS",C947)),0,IF(ISNUMBER(FIND("TEC DEPOSITO",C947)),0,IF(ISNUMBER(FIND("APL APLIC AUT MAIS",C947)),E947,IF(E947&gt;0,E947,0))))))</f>
        <v>0</v>
      </c>
      <c r="H947" s="96" t="n">
        <v>44075</v>
      </c>
    </row>
    <row r="948" customFormat="false" ht="13.8" hidden="false" customHeight="false" outlineLevel="0" collapsed="false">
      <c r="A948" s="59" t="s">
        <v>98</v>
      </c>
      <c r="B948" s="85" t="s">
        <v>673</v>
      </c>
      <c r="C948" s="86" t="s">
        <v>470</v>
      </c>
      <c r="D948" s="87" t="s">
        <v>64</v>
      </c>
      <c r="E948" s="89" t="n">
        <v>-117.29</v>
      </c>
      <c r="F948" s="70" t="n">
        <f aca="false">IF(ISNUMBER(FIND("SALDO ANTERIOR",C948)),0,IF(ISNUMBER(FIND("SALDO DO DIA",C948)),0,IF(ISNUMBER(FIND("SALDO PARCIAL",C948)),0,IF(ISNUMBER(FIND("SDO CTA/APL AUTOMATICAS",C948)),0,IF(ISNUMBER(FIND("APL APLIC AUT MAIS",C948)),0,IF(ISNUMBER(FIND("TEC DEPOSITO",C948)),0,IF(E948&gt;0,0,E948*(-1))))))))</f>
        <v>117.29</v>
      </c>
      <c r="G948" s="97" t="n">
        <f aca="false">IF(ISNUMBER(FIND("SALDO ANTERIOR",C948)),0,IF(ISNUMBER(FIND("SALDO DO DIA",C948)),0,IF(ISNUMBER(FIND("SDO CTA/APL AUTOMATICAS",C948)),0,IF(ISNUMBER(FIND("TEC DEPOSITO",C948)),0,IF(ISNUMBER(FIND("APL APLIC AUT MAIS",C948)),E948,IF(E948&gt;0,E948,0))))))</f>
        <v>0</v>
      </c>
      <c r="H948" s="96" t="n">
        <v>44075</v>
      </c>
    </row>
    <row r="949" customFormat="false" ht="13.8" hidden="false" customHeight="false" outlineLevel="0" collapsed="false">
      <c r="A949" s="59" t="s">
        <v>65</v>
      </c>
      <c r="B949" s="85" t="s">
        <v>673</v>
      </c>
      <c r="C949" s="86" t="s">
        <v>244</v>
      </c>
      <c r="D949" s="87" t="s">
        <v>64</v>
      </c>
      <c r="E949" s="89" t="n">
        <v>-10</v>
      </c>
      <c r="F949" s="70" t="n">
        <f aca="false">IF(ISNUMBER(FIND("SALDO ANTERIOR",C949)),0,IF(ISNUMBER(FIND("SALDO DO DIA",C949)),0,IF(ISNUMBER(FIND("SALDO PARCIAL",C949)),0,IF(ISNUMBER(FIND("SDO CTA/APL AUTOMATICAS",C949)),0,IF(ISNUMBER(FIND("APL APLIC AUT MAIS",C949)),0,IF(ISNUMBER(FIND("TEC DEPOSITO",C949)),0,IF(E949&gt;0,0,E949*(-1))))))))</f>
        <v>10</v>
      </c>
      <c r="G949" s="97" t="n">
        <f aca="false">IF(ISNUMBER(FIND("SALDO ANTERIOR",C949)),0,IF(ISNUMBER(FIND("SALDO DO DIA",C949)),0,IF(ISNUMBER(FIND("SDO CTA/APL AUTOMATICAS",C949)),0,IF(ISNUMBER(FIND("TEC DEPOSITO",C949)),0,IF(ISNUMBER(FIND("APL APLIC AUT MAIS",C949)),E949,IF(E949&gt;0,E949,0))))))</f>
        <v>0</v>
      </c>
      <c r="H949" s="96" t="n">
        <v>44075</v>
      </c>
    </row>
    <row r="950" customFormat="false" ht="13.8" hidden="false" customHeight="false" outlineLevel="0" collapsed="false">
      <c r="A950" s="59" t="s">
        <v>65</v>
      </c>
      <c r="B950" s="85" t="s">
        <v>673</v>
      </c>
      <c r="C950" s="86" t="s">
        <v>454</v>
      </c>
      <c r="D950" s="87" t="s">
        <v>64</v>
      </c>
      <c r="E950" s="89" t="n">
        <v>-14.99</v>
      </c>
      <c r="F950" s="70" t="n">
        <f aca="false">IF(ISNUMBER(FIND("SALDO ANTERIOR",C950)),0,IF(ISNUMBER(FIND("SALDO DO DIA",C950)),0,IF(ISNUMBER(FIND("SALDO PARCIAL",C950)),0,IF(ISNUMBER(FIND("SDO CTA/APL AUTOMATICAS",C950)),0,IF(ISNUMBER(FIND("APL APLIC AUT MAIS",C950)),0,IF(ISNUMBER(FIND("TEC DEPOSITO",C950)),0,IF(E950&gt;0,0,E950*(-1))))))))</f>
        <v>14.99</v>
      </c>
      <c r="G950" s="97" t="n">
        <f aca="false">IF(ISNUMBER(FIND("SALDO ANTERIOR",C950)),0,IF(ISNUMBER(FIND("SALDO DO DIA",C950)),0,IF(ISNUMBER(FIND("SDO CTA/APL AUTOMATICAS",C950)),0,IF(ISNUMBER(FIND("TEC DEPOSITO",C950)),0,IF(ISNUMBER(FIND("APL APLIC AUT MAIS",C950)),E950,IF(E950&gt;0,E950,0))))))</f>
        <v>0</v>
      </c>
      <c r="H950" s="96" t="n">
        <v>44075</v>
      </c>
    </row>
    <row r="951" customFormat="false" ht="13.8" hidden="false" customHeight="false" outlineLevel="0" collapsed="false">
      <c r="A951" s="73" t="s">
        <v>316</v>
      </c>
      <c r="B951" s="85" t="s">
        <v>673</v>
      </c>
      <c r="C951" s="86" t="s">
        <v>479</v>
      </c>
      <c r="D951" s="87" t="s">
        <v>64</v>
      </c>
      <c r="E951" s="89" t="n">
        <v>-50</v>
      </c>
      <c r="F951" s="70" t="n">
        <f aca="false">IF(ISNUMBER(FIND("SALDO ANTERIOR",C951)),0,IF(ISNUMBER(FIND("SALDO DO DIA",C951)),0,IF(ISNUMBER(FIND("SALDO PARCIAL",C951)),0,IF(ISNUMBER(FIND("SDO CTA/APL AUTOMATICAS",C951)),0,IF(ISNUMBER(FIND("APL APLIC AUT MAIS",C951)),0,IF(ISNUMBER(FIND("TEC DEPOSITO",C951)),0,IF(E951&gt;0,0,E951*(-1))))))))</f>
        <v>50</v>
      </c>
      <c r="G951" s="97" t="n">
        <f aca="false">IF(ISNUMBER(FIND("SALDO ANTERIOR",C951)),0,IF(ISNUMBER(FIND("SALDO DO DIA",C951)),0,IF(ISNUMBER(FIND("SDO CTA/APL AUTOMATICAS",C951)),0,IF(ISNUMBER(FIND("TEC DEPOSITO",C951)),0,IF(ISNUMBER(FIND("APL APLIC AUT MAIS",C951)),E951,IF(E951&gt;0,E951,0))))))</f>
        <v>0</v>
      </c>
      <c r="H951" s="96" t="n">
        <v>44075</v>
      </c>
    </row>
    <row r="952" customFormat="false" ht="13.8" hidden="false" customHeight="false" outlineLevel="0" collapsed="false">
      <c r="A952" s="59" t="s">
        <v>65</v>
      </c>
      <c r="B952" s="85" t="s">
        <v>673</v>
      </c>
      <c r="C952" s="86" t="s">
        <v>560</v>
      </c>
      <c r="D952" s="87" t="s">
        <v>64</v>
      </c>
      <c r="E952" s="89" t="n">
        <v>-4</v>
      </c>
      <c r="F952" s="70" t="n">
        <f aca="false">IF(ISNUMBER(FIND("SALDO ANTERIOR",C952)),0,IF(ISNUMBER(FIND("SALDO DO DIA",C952)),0,IF(ISNUMBER(FIND("SALDO PARCIAL",C952)),0,IF(ISNUMBER(FIND("SDO CTA/APL AUTOMATICAS",C952)),0,IF(ISNUMBER(FIND("APL APLIC AUT MAIS",C952)),0,IF(ISNUMBER(FIND("TEC DEPOSITO",C952)),0,IF(E952&gt;0,0,E952*(-1))))))))</f>
        <v>4</v>
      </c>
      <c r="G952" s="97" t="n">
        <f aca="false">IF(ISNUMBER(FIND("SALDO ANTERIOR",C952)),0,IF(ISNUMBER(FIND("SALDO DO DIA",C952)),0,IF(ISNUMBER(FIND("SDO CTA/APL AUTOMATICAS",C952)),0,IF(ISNUMBER(FIND("TEC DEPOSITO",C952)),0,IF(ISNUMBER(FIND("APL APLIC AUT MAIS",C952)),E952,IF(E952&gt;0,E952,0))))))</f>
        <v>0</v>
      </c>
      <c r="H952" s="96" t="n">
        <v>44075</v>
      </c>
    </row>
    <row r="953" customFormat="false" ht="13.8" hidden="false" customHeight="false" outlineLevel="0" collapsed="false">
      <c r="A953" s="59" t="s">
        <v>98</v>
      </c>
      <c r="B953" s="85" t="s">
        <v>673</v>
      </c>
      <c r="C953" s="86" t="s">
        <v>99</v>
      </c>
      <c r="D953" s="87" t="s">
        <v>64</v>
      </c>
      <c r="E953" s="89" t="n">
        <v>-3.29</v>
      </c>
      <c r="F953" s="70" t="n">
        <f aca="false">IF(ISNUMBER(FIND("SALDO ANTERIOR",C953)),0,IF(ISNUMBER(FIND("SALDO DO DIA",C953)),0,IF(ISNUMBER(FIND("SALDO PARCIAL",C953)),0,IF(ISNUMBER(FIND("SDO CTA/APL AUTOMATICAS",C953)),0,IF(ISNUMBER(FIND("APL APLIC AUT MAIS",C953)),0,IF(ISNUMBER(FIND("TEC DEPOSITO",C953)),0,IF(E953&gt;0,0,E953*(-1))))))))</f>
        <v>3.29</v>
      </c>
      <c r="G953" s="97" t="n">
        <f aca="false">IF(ISNUMBER(FIND("SALDO ANTERIOR",C953)),0,IF(ISNUMBER(FIND("SALDO DO DIA",C953)),0,IF(ISNUMBER(FIND("SDO CTA/APL AUTOMATICAS",C953)),0,IF(ISNUMBER(FIND("TEC DEPOSITO",C953)),0,IF(ISNUMBER(FIND("APL APLIC AUT MAIS",C953)),E953,IF(E953&gt;0,E953,0))))))</f>
        <v>0</v>
      </c>
      <c r="H953" s="96" t="n">
        <v>44075</v>
      </c>
    </row>
    <row r="954" customFormat="false" ht="15" hidden="false" customHeight="false" outlineLevel="0" collapsed="false">
      <c r="A954" s="59" t="s">
        <v>29</v>
      </c>
      <c r="B954" s="85" t="s">
        <v>673</v>
      </c>
      <c r="C954" s="90" t="s">
        <v>494</v>
      </c>
      <c r="D954" s="87"/>
      <c r="E954" s="92" t="n">
        <v>-2130.06</v>
      </c>
      <c r="F954" s="70" t="n">
        <f aca="false">IF(ISNUMBER(FIND("SALDO ANTERIOR",C954)),0,IF(ISNUMBER(FIND("SALDO DO DIA",C954)),0,IF(ISNUMBER(FIND("SALDO PARCIAL",C954)),0,IF(ISNUMBER(FIND("SDO CTA/APL AUTOMATICAS",C954)),0,IF(ISNUMBER(FIND("APL APLIC AUT MAIS",C954)),0,IF(ISNUMBER(FIND("TEC DEPOSITO",C954)),0,IF(E954&gt;0,0,E954*(-1))))))))</f>
        <v>0</v>
      </c>
      <c r="G954" s="97" t="n">
        <f aca="false">IF(ISNUMBER(FIND("SALDO ANTERIOR",C954)),0,IF(ISNUMBER(FIND("SALDO DO DIA",C954)),0,IF(ISNUMBER(FIND("SDO CTA/APL AUTOMATICAS",C954)),0,IF(ISNUMBER(FIND("TEC DEPOSITO",C954)),0,IF(ISNUMBER(FIND("APL APLIC AUT MAIS",C954)),E954,IF(E954&gt;0,E954,0))))))</f>
        <v>0</v>
      </c>
      <c r="H954" s="96" t="n">
        <v>44075</v>
      </c>
    </row>
    <row r="955" customFormat="false" ht="13.8" hidden="false" customHeight="false" outlineLevel="0" collapsed="false">
      <c r="A955" s="59" t="s">
        <v>98</v>
      </c>
      <c r="B955" s="85" t="s">
        <v>678</v>
      </c>
      <c r="C955" s="86" t="s">
        <v>470</v>
      </c>
      <c r="D955" s="87" t="s">
        <v>64</v>
      </c>
      <c r="E955" s="89" t="n">
        <v>-16.69</v>
      </c>
      <c r="F955" s="70" t="n">
        <f aca="false">IF(ISNUMBER(FIND("SALDO ANTERIOR",C955)),0,IF(ISNUMBER(FIND("SALDO DO DIA",C955)),0,IF(ISNUMBER(FIND("SALDO PARCIAL",C955)),0,IF(ISNUMBER(FIND("SDO CTA/APL AUTOMATICAS",C955)),0,IF(ISNUMBER(FIND("APL APLIC AUT MAIS",C955)),0,IF(ISNUMBER(FIND("TEC DEPOSITO",C955)),0,IF(E955&gt;0,0,E955*(-1))))))))</f>
        <v>16.69</v>
      </c>
      <c r="G955" s="97" t="n">
        <f aca="false">IF(ISNUMBER(FIND("SALDO ANTERIOR",C955)),0,IF(ISNUMBER(FIND("SALDO DO DIA",C955)),0,IF(ISNUMBER(FIND("SDO CTA/APL AUTOMATICAS",C955)),0,IF(ISNUMBER(FIND("TEC DEPOSITO",C955)),0,IF(ISNUMBER(FIND("APL APLIC AUT MAIS",C955)),E955,IF(E955&gt;0,E955,0))))))</f>
        <v>0</v>
      </c>
      <c r="H955" s="96" t="n">
        <v>44075</v>
      </c>
    </row>
    <row r="956" customFormat="false" ht="13.8" hidden="false" customHeight="false" outlineLevel="0" collapsed="false">
      <c r="A956" s="59" t="s">
        <v>98</v>
      </c>
      <c r="B956" s="85" t="s">
        <v>678</v>
      </c>
      <c r="C956" s="86" t="s">
        <v>650</v>
      </c>
      <c r="D956" s="87" t="s">
        <v>64</v>
      </c>
      <c r="E956" s="89" t="n">
        <v>-9</v>
      </c>
      <c r="F956" s="70" t="n">
        <f aca="false">IF(ISNUMBER(FIND("SALDO ANTERIOR",C956)),0,IF(ISNUMBER(FIND("SALDO DO DIA",C956)),0,IF(ISNUMBER(FIND("SALDO PARCIAL",C956)),0,IF(ISNUMBER(FIND("SDO CTA/APL AUTOMATICAS",C956)),0,IF(ISNUMBER(FIND("APL APLIC AUT MAIS",C956)),0,IF(ISNUMBER(FIND("TEC DEPOSITO",C956)),0,IF(E956&gt;0,0,E956*(-1))))))))</f>
        <v>9</v>
      </c>
      <c r="G956" s="97" t="n">
        <f aca="false">IF(ISNUMBER(FIND("SALDO ANTERIOR",C956)),0,IF(ISNUMBER(FIND("SALDO DO DIA",C956)),0,IF(ISNUMBER(FIND("SDO CTA/APL AUTOMATICAS",C956)),0,IF(ISNUMBER(FIND("TEC DEPOSITO",C956)),0,IF(ISNUMBER(FIND("APL APLIC AUT MAIS",C956)),E956,IF(E956&gt;0,E956,0))))))</f>
        <v>0</v>
      </c>
      <c r="H956" s="96" t="n">
        <v>44075</v>
      </c>
    </row>
    <row r="957" customFormat="false" ht="13.8" hidden="false" customHeight="false" outlineLevel="0" collapsed="false">
      <c r="A957" s="59" t="s">
        <v>98</v>
      </c>
      <c r="B957" s="85" t="s">
        <v>678</v>
      </c>
      <c r="C957" s="86" t="s">
        <v>679</v>
      </c>
      <c r="D957" s="87" t="s">
        <v>64</v>
      </c>
      <c r="E957" s="89" t="n">
        <v>-29.68</v>
      </c>
      <c r="F957" s="70" t="n">
        <f aca="false">IF(ISNUMBER(FIND("SALDO ANTERIOR",C957)),0,IF(ISNUMBER(FIND("SALDO DO DIA",C957)),0,IF(ISNUMBER(FIND("SALDO PARCIAL",C957)),0,IF(ISNUMBER(FIND("SDO CTA/APL AUTOMATICAS",C957)),0,IF(ISNUMBER(FIND("APL APLIC AUT MAIS",C957)),0,IF(ISNUMBER(FIND("TEC DEPOSITO",C957)),0,IF(E957&gt;0,0,E957*(-1))))))))</f>
        <v>29.68</v>
      </c>
      <c r="G957" s="97" t="n">
        <f aca="false">IF(ISNUMBER(FIND("SALDO ANTERIOR",C957)),0,IF(ISNUMBER(FIND("SALDO DO DIA",C957)),0,IF(ISNUMBER(FIND("SDO CTA/APL AUTOMATICAS",C957)),0,IF(ISNUMBER(FIND("TEC DEPOSITO",C957)),0,IF(ISNUMBER(FIND("APL APLIC AUT MAIS",C957)),E957,IF(E957&gt;0,E957,0))))))</f>
        <v>0</v>
      </c>
      <c r="H957" s="96" t="n">
        <v>44075</v>
      </c>
    </row>
    <row r="958" customFormat="false" ht="13.8" hidden="false" customHeight="false" outlineLevel="0" collapsed="false">
      <c r="A958" s="59" t="s">
        <v>74</v>
      </c>
      <c r="B958" s="85" t="s">
        <v>678</v>
      </c>
      <c r="C958" s="86" t="s">
        <v>236</v>
      </c>
      <c r="D958" s="87" t="s">
        <v>64</v>
      </c>
      <c r="E958" s="89" t="n">
        <v>-63.48</v>
      </c>
      <c r="F958" s="70" t="n">
        <f aca="false">IF(ISNUMBER(FIND("SALDO ANTERIOR",C958)),0,IF(ISNUMBER(FIND("SALDO DO DIA",C958)),0,IF(ISNUMBER(FIND("SALDO PARCIAL",C958)),0,IF(ISNUMBER(FIND("SDO CTA/APL AUTOMATICAS",C958)),0,IF(ISNUMBER(FIND("APL APLIC AUT MAIS",C958)),0,IF(ISNUMBER(FIND("TEC DEPOSITO",C958)),0,IF(E958&gt;0,0,E958*(-1))))))))</f>
        <v>63.48</v>
      </c>
      <c r="G958" s="97" t="n">
        <f aca="false">IF(ISNUMBER(FIND("SALDO ANTERIOR",C958)),0,IF(ISNUMBER(FIND("SALDO DO DIA",C958)),0,IF(ISNUMBER(FIND("SDO CTA/APL AUTOMATICAS",C958)),0,IF(ISNUMBER(FIND("TEC DEPOSITO",C958)),0,IF(ISNUMBER(FIND("APL APLIC AUT MAIS",C958)),E958,IF(E958&gt;0,E958,0))))))</f>
        <v>0</v>
      </c>
      <c r="H958" s="96" t="n">
        <v>44075</v>
      </c>
    </row>
    <row r="959" customFormat="false" ht="13.8" hidden="false" customHeight="false" outlineLevel="0" collapsed="false">
      <c r="A959" s="59" t="s">
        <v>122</v>
      </c>
      <c r="B959" s="85" t="s">
        <v>678</v>
      </c>
      <c r="C959" s="86" t="s">
        <v>123</v>
      </c>
      <c r="D959" s="87" t="s">
        <v>61</v>
      </c>
      <c r="E959" s="89" t="n">
        <v>-597.42</v>
      </c>
      <c r="F959" s="70" t="n">
        <f aca="false">IF(ISNUMBER(FIND("SALDO ANTERIOR",C959)),0,IF(ISNUMBER(FIND("SALDO DO DIA",C959)),0,IF(ISNUMBER(FIND("SALDO PARCIAL",C959)),0,IF(ISNUMBER(FIND("SDO CTA/APL AUTOMATICAS",C959)),0,IF(ISNUMBER(FIND("APL APLIC AUT MAIS",C959)),0,IF(ISNUMBER(FIND("TEC DEPOSITO",C959)),0,IF(E959&gt;0,0,E959*(-1))))))))</f>
        <v>597.42</v>
      </c>
      <c r="G959" s="97" t="n">
        <f aca="false">IF(ISNUMBER(FIND("SALDO ANTERIOR",C959)),0,IF(ISNUMBER(FIND("SALDO DO DIA",C959)),0,IF(ISNUMBER(FIND("SDO CTA/APL AUTOMATICAS",C959)),0,IF(ISNUMBER(FIND("TEC DEPOSITO",C959)),0,IF(ISNUMBER(FIND("APL APLIC AUT MAIS",C959)),E959,IF(E959&gt;0,E959,0))))))</f>
        <v>0</v>
      </c>
      <c r="H959" s="96" t="n">
        <v>44075</v>
      </c>
    </row>
    <row r="960" customFormat="false" ht="13.8" hidden="false" customHeight="false" outlineLevel="0" collapsed="false">
      <c r="A960" s="59" t="s">
        <v>127</v>
      </c>
      <c r="B960" s="85" t="s">
        <v>678</v>
      </c>
      <c r="C960" s="86" t="s">
        <v>128</v>
      </c>
      <c r="D960" s="87"/>
      <c r="E960" s="88" t="n">
        <v>4390</v>
      </c>
      <c r="F960" s="70" t="n">
        <f aca="false">IF(ISNUMBER(FIND("SALDO ANTERIOR",C960)),0,IF(ISNUMBER(FIND("SALDO DO DIA",C960)),0,IF(ISNUMBER(FIND("SALDO PARCIAL",C960)),0,IF(ISNUMBER(FIND("SDO CTA/APL AUTOMATICAS",C960)),0,IF(ISNUMBER(FIND("APL APLIC AUT MAIS",C960)),0,IF(ISNUMBER(FIND("TEC DEPOSITO",C960)),0,IF(E960&gt;0,0,E960*(-1))))))))</f>
        <v>0</v>
      </c>
      <c r="G960" s="97" t="n">
        <f aca="false">IF(ISNUMBER(FIND("SALDO ANTERIOR",C960)),0,IF(ISNUMBER(FIND("SALDO DO DIA",C960)),0,IF(ISNUMBER(FIND("SDO CTA/APL AUTOMATICAS",C960)),0,IF(ISNUMBER(FIND("TEC DEPOSITO",C960)),0,IF(ISNUMBER(FIND("APL APLIC AUT MAIS",C960)),E960,IF(E960&gt;0,E960,0))))))</f>
        <v>4390</v>
      </c>
      <c r="H960" s="96" t="n">
        <v>44075</v>
      </c>
    </row>
    <row r="961" customFormat="false" ht="15" hidden="false" customHeight="false" outlineLevel="0" collapsed="false">
      <c r="A961" s="59" t="s">
        <v>29</v>
      </c>
      <c r="B961" s="85" t="s">
        <v>678</v>
      </c>
      <c r="C961" s="90" t="s">
        <v>521</v>
      </c>
      <c r="D961" s="87"/>
      <c r="E961" s="91" t="n">
        <v>1543.67</v>
      </c>
      <c r="F961" s="70" t="n">
        <f aca="false">IF(ISNUMBER(FIND("SALDO ANTERIOR",C961)),0,IF(ISNUMBER(FIND("SALDO DO DIA",C961)),0,IF(ISNUMBER(FIND("SALDO PARCIAL",C961)),0,IF(ISNUMBER(FIND("SDO CTA/APL AUTOMATICAS",C961)),0,IF(ISNUMBER(FIND("APL APLIC AUT MAIS",C961)),0,IF(ISNUMBER(FIND("TEC DEPOSITO",C961)),0,IF(E961&gt;0,0,E961*(-1))))))))</f>
        <v>0</v>
      </c>
      <c r="G961" s="97" t="n">
        <f aca="false">IF(ISNUMBER(FIND("SALDO ANTERIOR",C961)),0,IF(ISNUMBER(FIND("SALDO DO DIA",C961)),0,IF(ISNUMBER(FIND("SDO CTA/APL AUTOMATICAS",C961)),0,IF(ISNUMBER(FIND("TEC DEPOSITO",C961)),0,IF(ISNUMBER(FIND("APL APLIC AUT MAIS",C961)),E961,IF(E961&gt;0,E961,0))))))</f>
        <v>0</v>
      </c>
      <c r="H961" s="96" t="n">
        <v>44075</v>
      </c>
    </row>
    <row r="962" customFormat="false" ht="13.8" hidden="false" customHeight="false" outlineLevel="0" collapsed="false">
      <c r="A962" s="59" t="s">
        <v>98</v>
      </c>
      <c r="B962" s="85" t="s">
        <v>680</v>
      </c>
      <c r="C962" s="86" t="s">
        <v>180</v>
      </c>
      <c r="D962" s="87" t="s">
        <v>64</v>
      </c>
      <c r="E962" s="89" t="n">
        <v>-47.14</v>
      </c>
      <c r="F962" s="70" t="n">
        <f aca="false">IF(ISNUMBER(FIND("SALDO ANTERIOR",C962)),0,IF(ISNUMBER(FIND("SALDO DO DIA",C962)),0,IF(ISNUMBER(FIND("SALDO PARCIAL",C962)),0,IF(ISNUMBER(FIND("SDO CTA/APL AUTOMATICAS",C962)),0,IF(ISNUMBER(FIND("APL APLIC AUT MAIS",C962)),0,IF(ISNUMBER(FIND("TEC DEPOSITO",C962)),0,IF(E962&gt;0,0,E962*(-1))))))))</f>
        <v>47.14</v>
      </c>
      <c r="G962" s="97" t="n">
        <f aca="false">IF(ISNUMBER(FIND("SALDO ANTERIOR",C962)),0,IF(ISNUMBER(FIND("SALDO DO DIA",C962)),0,IF(ISNUMBER(FIND("SDO CTA/APL AUTOMATICAS",C962)),0,IF(ISNUMBER(FIND("TEC DEPOSITO",C962)),0,IF(ISNUMBER(FIND("APL APLIC AUT MAIS",C962)),E962,IF(E962&gt;0,E962,0))))))</f>
        <v>0</v>
      </c>
      <c r="H962" s="96" t="n">
        <v>44075</v>
      </c>
    </row>
    <row r="963" customFormat="false" ht="15" hidden="false" customHeight="false" outlineLevel="0" collapsed="false">
      <c r="A963" s="59" t="s">
        <v>29</v>
      </c>
      <c r="B963" s="85" t="s">
        <v>680</v>
      </c>
      <c r="C963" s="90" t="s">
        <v>521</v>
      </c>
      <c r="D963" s="87"/>
      <c r="E963" s="91" t="n">
        <v>1496.53</v>
      </c>
      <c r="F963" s="70" t="n">
        <f aca="false">IF(ISNUMBER(FIND("SALDO ANTERIOR",C963)),0,IF(ISNUMBER(FIND("SALDO DO DIA",C963)),0,IF(ISNUMBER(FIND("SALDO PARCIAL",C963)),0,IF(ISNUMBER(FIND("SDO CTA/APL AUTOMATICAS",C963)),0,IF(ISNUMBER(FIND("APL APLIC AUT MAIS",C963)),0,IF(ISNUMBER(FIND("TEC DEPOSITO",C963)),0,IF(E963&gt;0,0,E963*(-1))))))))</f>
        <v>0</v>
      </c>
      <c r="G963" s="97" t="n">
        <f aca="false">IF(ISNUMBER(FIND("SALDO ANTERIOR",C963)),0,IF(ISNUMBER(FIND("SALDO DO DIA",C963)),0,IF(ISNUMBER(FIND("SDO CTA/APL AUTOMATICAS",C963)),0,IF(ISNUMBER(FIND("TEC DEPOSITO",C963)),0,IF(ISNUMBER(FIND("APL APLIC AUT MAIS",C963)),E963,IF(E963&gt;0,E963,0))))))</f>
        <v>0</v>
      </c>
      <c r="H963" s="96" t="n">
        <v>44075</v>
      </c>
    </row>
    <row r="964" customFormat="false" ht="13.8" hidden="false" customHeight="false" outlineLevel="0" collapsed="false">
      <c r="A964" s="59" t="s">
        <v>65</v>
      </c>
      <c r="B964" s="85" t="s">
        <v>681</v>
      </c>
      <c r="C964" s="86" t="s">
        <v>682</v>
      </c>
      <c r="D964" s="87" t="s">
        <v>64</v>
      </c>
      <c r="E964" s="89" t="n">
        <v>-17.85</v>
      </c>
      <c r="F964" s="70" t="n">
        <f aca="false">IF(ISNUMBER(FIND("SALDO ANTERIOR",C964)),0,IF(ISNUMBER(FIND("SALDO DO DIA",C964)),0,IF(ISNUMBER(FIND("SALDO PARCIAL",C964)),0,IF(ISNUMBER(FIND("SDO CTA/APL AUTOMATICAS",C964)),0,IF(ISNUMBER(FIND("APL APLIC AUT MAIS",C964)),0,IF(ISNUMBER(FIND("TEC DEPOSITO",C964)),0,IF(E964&gt;0,0,E964*(-1))))))))</f>
        <v>17.85</v>
      </c>
      <c r="G964" s="97" t="n">
        <f aca="false">IF(ISNUMBER(FIND("SALDO ANTERIOR",C964)),0,IF(ISNUMBER(FIND("SALDO DO DIA",C964)),0,IF(ISNUMBER(FIND("SDO CTA/APL AUTOMATICAS",C964)),0,IF(ISNUMBER(FIND("TEC DEPOSITO",C964)),0,IF(ISNUMBER(FIND("APL APLIC AUT MAIS",C964)),E964,IF(E964&gt;0,E964,0))))))</f>
        <v>0</v>
      </c>
      <c r="H964" s="96" t="n">
        <v>44075</v>
      </c>
    </row>
    <row r="965" customFormat="false" ht="13.8" hidden="false" customHeight="false" outlineLevel="0" collapsed="false">
      <c r="A965" s="59" t="s">
        <v>65</v>
      </c>
      <c r="B965" s="85" t="s">
        <v>681</v>
      </c>
      <c r="C965" s="86" t="s">
        <v>683</v>
      </c>
      <c r="D965" s="87" t="s">
        <v>64</v>
      </c>
      <c r="E965" s="89" t="n">
        <v>-37</v>
      </c>
      <c r="F965" s="70" t="n">
        <f aca="false">IF(ISNUMBER(FIND("SALDO ANTERIOR",C965)),0,IF(ISNUMBER(FIND("SALDO DO DIA",C965)),0,IF(ISNUMBER(FIND("SALDO PARCIAL",C965)),0,IF(ISNUMBER(FIND("SDO CTA/APL AUTOMATICAS",C965)),0,IF(ISNUMBER(FIND("APL APLIC AUT MAIS",C965)),0,IF(ISNUMBER(FIND("TEC DEPOSITO",C965)),0,IF(E965&gt;0,0,E965*(-1))))))))</f>
        <v>37</v>
      </c>
      <c r="G965" s="97" t="n">
        <f aca="false">IF(ISNUMBER(FIND("SALDO ANTERIOR",C965)),0,IF(ISNUMBER(FIND("SALDO DO DIA",C965)),0,IF(ISNUMBER(FIND("SDO CTA/APL AUTOMATICAS",C965)),0,IF(ISNUMBER(FIND("TEC DEPOSITO",C965)),0,IF(ISNUMBER(FIND("APL APLIC AUT MAIS",C965)),E965,IF(E965&gt;0,E965,0))))))</f>
        <v>0</v>
      </c>
      <c r="H965" s="96" t="n">
        <v>44075</v>
      </c>
    </row>
    <row r="966" customFormat="false" ht="13.8" hidden="false" customHeight="false" outlineLevel="0" collapsed="false">
      <c r="A966" s="59" t="s">
        <v>98</v>
      </c>
      <c r="B966" s="85" t="s">
        <v>681</v>
      </c>
      <c r="C966" s="86" t="s">
        <v>180</v>
      </c>
      <c r="D966" s="87" t="s">
        <v>64</v>
      </c>
      <c r="E966" s="89" t="n">
        <v>-8.5</v>
      </c>
      <c r="F966" s="70" t="n">
        <f aca="false">IF(ISNUMBER(FIND("SALDO ANTERIOR",C966)),0,IF(ISNUMBER(FIND("SALDO DO DIA",C966)),0,IF(ISNUMBER(FIND("SALDO PARCIAL",C966)),0,IF(ISNUMBER(FIND("SDO CTA/APL AUTOMATICAS",C966)),0,IF(ISNUMBER(FIND("APL APLIC AUT MAIS",C966)),0,IF(ISNUMBER(FIND("TEC DEPOSITO",C966)),0,IF(E966&gt;0,0,E966*(-1))))))))</f>
        <v>8.5</v>
      </c>
      <c r="G966" s="97" t="n">
        <f aca="false">IF(ISNUMBER(FIND("SALDO ANTERIOR",C966)),0,IF(ISNUMBER(FIND("SALDO DO DIA",C966)),0,IF(ISNUMBER(FIND("SDO CTA/APL AUTOMATICAS",C966)),0,IF(ISNUMBER(FIND("TEC DEPOSITO",C966)),0,IF(ISNUMBER(FIND("APL APLIC AUT MAIS",C966)),E966,IF(E966&gt;0,E966,0))))))</f>
        <v>0</v>
      </c>
      <c r="H966" s="96" t="n">
        <v>44075</v>
      </c>
    </row>
    <row r="967" customFormat="false" ht="15" hidden="false" customHeight="false" outlineLevel="0" collapsed="false">
      <c r="A967" s="59" t="s">
        <v>29</v>
      </c>
      <c r="B967" s="85" t="s">
        <v>681</v>
      </c>
      <c r="C967" s="90" t="s">
        <v>521</v>
      </c>
      <c r="D967" s="87"/>
      <c r="E967" s="91" t="n">
        <v>1433.18</v>
      </c>
      <c r="F967" s="70" t="n">
        <f aca="false">IF(ISNUMBER(FIND("SALDO ANTERIOR",C967)),0,IF(ISNUMBER(FIND("SALDO DO DIA",C967)),0,IF(ISNUMBER(FIND("SALDO PARCIAL",C967)),0,IF(ISNUMBER(FIND("SDO CTA/APL AUTOMATICAS",C967)),0,IF(ISNUMBER(FIND("APL APLIC AUT MAIS",C967)),0,IF(ISNUMBER(FIND("TEC DEPOSITO",C967)),0,IF(E967&gt;0,0,E967*(-1))))))))</f>
        <v>0</v>
      </c>
      <c r="G967" s="97" t="n">
        <f aca="false">IF(ISNUMBER(FIND("SALDO ANTERIOR",C967)),0,IF(ISNUMBER(FIND("SALDO DO DIA",C967)),0,IF(ISNUMBER(FIND("SDO CTA/APL AUTOMATICAS",C967)),0,IF(ISNUMBER(FIND("TEC DEPOSITO",C967)),0,IF(ISNUMBER(FIND("APL APLIC AUT MAIS",C967)),E967,IF(E967&gt;0,E967,0))))))</f>
        <v>0</v>
      </c>
      <c r="H967" s="96" t="n">
        <v>44075</v>
      </c>
    </row>
    <row r="968" customFormat="false" ht="13.8" hidden="false" customHeight="false" outlineLevel="0" collapsed="false">
      <c r="A968" s="59" t="s">
        <v>65</v>
      </c>
      <c r="B968" s="85" t="s">
        <v>684</v>
      </c>
      <c r="C968" s="86" t="s">
        <v>244</v>
      </c>
      <c r="D968" s="87" t="s">
        <v>64</v>
      </c>
      <c r="E968" s="89" t="n">
        <v>-10</v>
      </c>
      <c r="F968" s="70" t="n">
        <f aca="false">IF(ISNUMBER(FIND("SALDO ANTERIOR",C968)),0,IF(ISNUMBER(FIND("SALDO DO DIA",C968)),0,IF(ISNUMBER(FIND("SALDO PARCIAL",C968)),0,IF(ISNUMBER(FIND("SDO CTA/APL AUTOMATICAS",C968)),0,IF(ISNUMBER(FIND("APL APLIC AUT MAIS",C968)),0,IF(ISNUMBER(FIND("TEC DEPOSITO",C968)),0,IF(E968&gt;0,0,E968*(-1))))))))</f>
        <v>10</v>
      </c>
      <c r="G968" s="97" t="n">
        <f aca="false">IF(ISNUMBER(FIND("SALDO ANTERIOR",C968)),0,IF(ISNUMBER(FIND("SALDO DO DIA",C968)),0,IF(ISNUMBER(FIND("SDO CTA/APL AUTOMATICAS",C968)),0,IF(ISNUMBER(FIND("TEC DEPOSITO",C968)),0,IF(ISNUMBER(FIND("APL APLIC AUT MAIS",C968)),E968,IF(E968&gt;0,E968,0))))))</f>
        <v>0</v>
      </c>
      <c r="H968" s="96" t="n">
        <v>44075</v>
      </c>
    </row>
    <row r="969" customFormat="false" ht="13.8" hidden="false" customHeight="false" outlineLevel="0" collapsed="false">
      <c r="A969" s="59" t="s">
        <v>98</v>
      </c>
      <c r="B969" s="85" t="s">
        <v>684</v>
      </c>
      <c r="C969" s="86" t="s">
        <v>247</v>
      </c>
      <c r="D969" s="87" t="s">
        <v>64</v>
      </c>
      <c r="E969" s="89" t="n">
        <v>-55.38</v>
      </c>
      <c r="F969" s="70" t="n">
        <f aca="false">IF(ISNUMBER(FIND("SALDO ANTERIOR",C969)),0,IF(ISNUMBER(FIND("SALDO DO DIA",C969)),0,IF(ISNUMBER(FIND("SALDO PARCIAL",C969)),0,IF(ISNUMBER(FIND("SDO CTA/APL AUTOMATICAS",C969)),0,IF(ISNUMBER(FIND("APL APLIC AUT MAIS",C969)),0,IF(ISNUMBER(FIND("TEC DEPOSITO",C969)),0,IF(E969&gt;0,0,E969*(-1))))))))</f>
        <v>55.38</v>
      </c>
      <c r="G969" s="97" t="n">
        <f aca="false">IF(ISNUMBER(FIND("SALDO ANTERIOR",C969)),0,IF(ISNUMBER(FIND("SALDO DO DIA",C969)),0,IF(ISNUMBER(FIND("SDO CTA/APL AUTOMATICAS",C969)),0,IF(ISNUMBER(FIND("TEC DEPOSITO",C969)),0,IF(ISNUMBER(FIND("APL APLIC AUT MAIS",C969)),E969,IF(E969&gt;0,E969,0))))))</f>
        <v>0</v>
      </c>
      <c r="H969" s="96" t="n">
        <v>44075</v>
      </c>
    </row>
    <row r="970" customFormat="false" ht="15" hidden="false" customHeight="false" outlineLevel="0" collapsed="false">
      <c r="A970" s="59" t="s">
        <v>29</v>
      </c>
      <c r="B970" s="85" t="s">
        <v>684</v>
      </c>
      <c r="C970" s="90" t="s">
        <v>521</v>
      </c>
      <c r="D970" s="87"/>
      <c r="E970" s="91" t="n">
        <v>1367.8</v>
      </c>
      <c r="F970" s="70" t="n">
        <f aca="false">IF(ISNUMBER(FIND("SALDO ANTERIOR",C970)),0,IF(ISNUMBER(FIND("SALDO DO DIA",C970)),0,IF(ISNUMBER(FIND("SALDO PARCIAL",C970)),0,IF(ISNUMBER(FIND("SDO CTA/APL AUTOMATICAS",C970)),0,IF(ISNUMBER(FIND("APL APLIC AUT MAIS",C970)),0,IF(ISNUMBER(FIND("TEC DEPOSITO",C970)),0,IF(E970&gt;0,0,E970*(-1))))))))</f>
        <v>0</v>
      </c>
      <c r="G970" s="97" t="n">
        <f aca="false">IF(ISNUMBER(FIND("SALDO ANTERIOR",C970)),0,IF(ISNUMBER(FIND("SALDO DO DIA",C970)),0,IF(ISNUMBER(FIND("SDO CTA/APL AUTOMATICAS",C970)),0,IF(ISNUMBER(FIND("TEC DEPOSITO",C970)),0,IF(ISNUMBER(FIND("APL APLIC AUT MAIS",C970)),E970,IF(E970&gt;0,E970,0))))))</f>
        <v>0</v>
      </c>
      <c r="H970" s="96" t="n">
        <v>44075</v>
      </c>
    </row>
    <row r="971" customFormat="false" ht="13.8" hidden="false" customHeight="false" outlineLevel="0" collapsed="false">
      <c r="A971" s="59" t="s">
        <v>685</v>
      </c>
      <c r="B971" s="85" t="s">
        <v>686</v>
      </c>
      <c r="C971" s="86" t="s">
        <v>687</v>
      </c>
      <c r="D971" s="87" t="s">
        <v>478</v>
      </c>
      <c r="E971" s="89" t="n">
        <v>-700</v>
      </c>
      <c r="F971" s="70" t="n">
        <f aca="false">IF(ISNUMBER(FIND("SALDO ANTERIOR",C971)),0,IF(ISNUMBER(FIND("SALDO DO DIA",C971)),0,IF(ISNUMBER(FIND("SALDO PARCIAL",C971)),0,IF(ISNUMBER(FIND("SDO CTA/APL AUTOMATICAS",C971)),0,IF(ISNUMBER(FIND("APL APLIC AUT MAIS",C971)),0,IF(ISNUMBER(FIND("TEC DEPOSITO",C971)),0,IF(E971&gt;0,0,E971*(-1))))))))</f>
        <v>700</v>
      </c>
      <c r="G971" s="97" t="n">
        <f aca="false">IF(ISNUMBER(FIND("SALDO ANTERIOR",C971)),0,IF(ISNUMBER(FIND("SALDO DO DIA",C971)),0,IF(ISNUMBER(FIND("SDO CTA/APL AUTOMATICAS",C971)),0,IF(ISNUMBER(FIND("TEC DEPOSITO",C971)),0,IF(ISNUMBER(FIND("APL APLIC AUT MAIS",C971)),E971,IF(E971&gt;0,E971,0))))))</f>
        <v>0</v>
      </c>
      <c r="H971" s="96" t="n">
        <v>44075</v>
      </c>
    </row>
    <row r="972" customFormat="false" ht="13.8" hidden="false" customHeight="false" outlineLevel="0" collapsed="false">
      <c r="A972" s="59" t="s">
        <v>98</v>
      </c>
      <c r="B972" s="85" t="s">
        <v>686</v>
      </c>
      <c r="C972" s="86" t="s">
        <v>470</v>
      </c>
      <c r="D972" s="87" t="s">
        <v>64</v>
      </c>
      <c r="E972" s="89" t="n">
        <v>-140.08</v>
      </c>
      <c r="F972" s="70" t="n">
        <f aca="false">IF(ISNUMBER(FIND("SALDO ANTERIOR",C972)),0,IF(ISNUMBER(FIND("SALDO DO DIA",C972)),0,IF(ISNUMBER(FIND("SALDO PARCIAL",C972)),0,IF(ISNUMBER(FIND("SDO CTA/APL AUTOMATICAS",C972)),0,IF(ISNUMBER(FIND("APL APLIC AUT MAIS",C972)),0,IF(ISNUMBER(FIND("TEC DEPOSITO",C972)),0,IF(E972&gt;0,0,E972*(-1))))))))</f>
        <v>140.08</v>
      </c>
      <c r="G972" s="97" t="n">
        <f aca="false">IF(ISNUMBER(FIND("SALDO ANTERIOR",C972)),0,IF(ISNUMBER(FIND("SALDO DO DIA",C972)),0,IF(ISNUMBER(FIND("SDO CTA/APL AUTOMATICAS",C972)),0,IF(ISNUMBER(FIND("TEC DEPOSITO",C972)),0,IF(ISNUMBER(FIND("APL APLIC AUT MAIS",C972)),E972,IF(E972&gt;0,E972,0))))))</f>
        <v>0</v>
      </c>
      <c r="H972" s="96" t="n">
        <v>44075</v>
      </c>
    </row>
    <row r="973" customFormat="false" ht="13.8" hidden="false" customHeight="false" outlineLevel="0" collapsed="false">
      <c r="A973" s="59" t="s">
        <v>98</v>
      </c>
      <c r="B973" s="85" t="s">
        <v>686</v>
      </c>
      <c r="C973" s="86" t="s">
        <v>470</v>
      </c>
      <c r="D973" s="87" t="s">
        <v>64</v>
      </c>
      <c r="E973" s="89" t="n">
        <v>-145.27</v>
      </c>
      <c r="F973" s="70" t="n">
        <f aca="false">IF(ISNUMBER(FIND("SALDO ANTERIOR",C973)),0,IF(ISNUMBER(FIND("SALDO DO DIA",C973)),0,IF(ISNUMBER(FIND("SALDO PARCIAL",C973)),0,IF(ISNUMBER(FIND("SDO CTA/APL AUTOMATICAS",C973)),0,IF(ISNUMBER(FIND("APL APLIC AUT MAIS",C973)),0,IF(ISNUMBER(FIND("TEC DEPOSITO",C973)),0,IF(E973&gt;0,0,E973*(-1))))))))</f>
        <v>145.27</v>
      </c>
      <c r="G973" s="97" t="n">
        <f aca="false">IF(ISNUMBER(FIND("SALDO ANTERIOR",C973)),0,IF(ISNUMBER(FIND("SALDO DO DIA",C973)),0,IF(ISNUMBER(FIND("SDO CTA/APL AUTOMATICAS",C973)),0,IF(ISNUMBER(FIND("TEC DEPOSITO",C973)),0,IF(ISNUMBER(FIND("APL APLIC AUT MAIS",C973)),E973,IF(E973&gt;0,E973,0))))))</f>
        <v>0</v>
      </c>
      <c r="H973" s="96" t="n">
        <v>44075</v>
      </c>
    </row>
    <row r="974" customFormat="false" ht="13.8" hidden="false" customHeight="false" outlineLevel="0" collapsed="false">
      <c r="A974" s="59" t="s">
        <v>76</v>
      </c>
      <c r="B974" s="85" t="s">
        <v>686</v>
      </c>
      <c r="C974" s="86" t="s">
        <v>179</v>
      </c>
      <c r="D974" s="87" t="s">
        <v>64</v>
      </c>
      <c r="E974" s="89" t="n">
        <v>-6.5</v>
      </c>
      <c r="F974" s="70" t="n">
        <f aca="false">IF(ISNUMBER(FIND("SALDO ANTERIOR",C974)),0,IF(ISNUMBER(FIND("SALDO DO DIA",C974)),0,IF(ISNUMBER(FIND("SALDO PARCIAL",C974)),0,IF(ISNUMBER(FIND("SDO CTA/APL AUTOMATICAS",C974)),0,IF(ISNUMBER(FIND("APL APLIC AUT MAIS",C974)),0,IF(ISNUMBER(FIND("TEC DEPOSITO",C974)),0,IF(E974&gt;0,0,E974*(-1))))))))</f>
        <v>6.5</v>
      </c>
      <c r="G974" s="97" t="n">
        <f aca="false">IF(ISNUMBER(FIND("SALDO ANTERIOR",C974)),0,IF(ISNUMBER(FIND("SALDO DO DIA",C974)),0,IF(ISNUMBER(FIND("SDO CTA/APL AUTOMATICAS",C974)),0,IF(ISNUMBER(FIND("TEC DEPOSITO",C974)),0,IF(ISNUMBER(FIND("APL APLIC AUT MAIS",C974)),E974,IF(E974&gt;0,E974,0))))))</f>
        <v>0</v>
      </c>
      <c r="H974" s="96" t="n">
        <v>44075</v>
      </c>
    </row>
    <row r="975" customFormat="false" ht="13.8" hidden="false" customHeight="false" outlineLevel="0" collapsed="false">
      <c r="A975" s="59" t="s">
        <v>76</v>
      </c>
      <c r="B975" s="85" t="s">
        <v>686</v>
      </c>
      <c r="C975" s="86" t="s">
        <v>458</v>
      </c>
      <c r="D975" s="87" t="s">
        <v>64</v>
      </c>
      <c r="E975" s="89" t="n">
        <v>-109.7</v>
      </c>
      <c r="F975" s="70" t="n">
        <f aca="false">IF(ISNUMBER(FIND("SALDO ANTERIOR",C975)),0,IF(ISNUMBER(FIND("SALDO DO DIA",C975)),0,IF(ISNUMBER(FIND("SALDO PARCIAL",C975)),0,IF(ISNUMBER(FIND("SDO CTA/APL AUTOMATICAS",C975)),0,IF(ISNUMBER(FIND("APL APLIC AUT MAIS",C975)),0,IF(ISNUMBER(FIND("TEC DEPOSITO",C975)),0,IF(E975&gt;0,0,E975*(-1))))))))</f>
        <v>109.7</v>
      </c>
      <c r="G975" s="97" t="n">
        <f aca="false">IF(ISNUMBER(FIND("SALDO ANTERIOR",C975)),0,IF(ISNUMBER(FIND("SALDO DO DIA",C975)),0,IF(ISNUMBER(FIND("SDO CTA/APL AUTOMATICAS",C975)),0,IF(ISNUMBER(FIND("TEC DEPOSITO",C975)),0,IF(ISNUMBER(FIND("APL APLIC AUT MAIS",C975)),E975,IF(E975&gt;0,E975,0))))))</f>
        <v>0</v>
      </c>
      <c r="H975" s="96" t="n">
        <v>44075</v>
      </c>
    </row>
    <row r="976" customFormat="false" ht="13.8" hidden="false" customHeight="false" outlineLevel="0" collapsed="false">
      <c r="A976" s="59" t="s">
        <v>76</v>
      </c>
      <c r="B976" s="85" t="s">
        <v>686</v>
      </c>
      <c r="C976" s="86" t="s">
        <v>666</v>
      </c>
      <c r="D976" s="87" t="s">
        <v>64</v>
      </c>
      <c r="E976" s="89" t="n">
        <v>-57.35</v>
      </c>
      <c r="F976" s="70" t="n">
        <f aca="false">IF(ISNUMBER(FIND("SALDO ANTERIOR",C976)),0,IF(ISNUMBER(FIND("SALDO DO DIA",C976)),0,IF(ISNUMBER(FIND("SALDO PARCIAL",C976)),0,IF(ISNUMBER(FIND("SDO CTA/APL AUTOMATICAS",C976)),0,IF(ISNUMBER(FIND("APL APLIC AUT MAIS",C976)),0,IF(ISNUMBER(FIND("TEC DEPOSITO",C976)),0,IF(E976&gt;0,0,E976*(-1))))))))</f>
        <v>57.35</v>
      </c>
      <c r="G976" s="97" t="n">
        <f aca="false">IF(ISNUMBER(FIND("SALDO ANTERIOR",C976)),0,IF(ISNUMBER(FIND("SALDO DO DIA",C976)),0,IF(ISNUMBER(FIND("SDO CTA/APL AUTOMATICAS",C976)),0,IF(ISNUMBER(FIND("TEC DEPOSITO",C976)),0,IF(ISNUMBER(FIND("APL APLIC AUT MAIS",C976)),E976,IF(E976&gt;0,E976,0))))))</f>
        <v>0</v>
      </c>
      <c r="H976" s="96" t="n">
        <v>44075</v>
      </c>
    </row>
    <row r="977" customFormat="false" ht="13.8" hidden="false" customHeight="false" outlineLevel="0" collapsed="false">
      <c r="A977" s="59" t="s">
        <v>74</v>
      </c>
      <c r="B977" s="85" t="s">
        <v>686</v>
      </c>
      <c r="C977" s="86" t="s">
        <v>236</v>
      </c>
      <c r="D977" s="87" t="s">
        <v>64</v>
      </c>
      <c r="E977" s="89" t="n">
        <v>-48.47</v>
      </c>
      <c r="F977" s="70" t="n">
        <f aca="false">IF(ISNUMBER(FIND("SALDO ANTERIOR",C977)),0,IF(ISNUMBER(FIND("SALDO DO DIA",C977)),0,IF(ISNUMBER(FIND("SALDO PARCIAL",C977)),0,IF(ISNUMBER(FIND("SDO CTA/APL AUTOMATICAS",C977)),0,IF(ISNUMBER(FIND("APL APLIC AUT MAIS",C977)),0,IF(ISNUMBER(FIND("TEC DEPOSITO",C977)),0,IF(E977&gt;0,0,E977*(-1))))))))</f>
        <v>48.47</v>
      </c>
      <c r="G977" s="97" t="n">
        <f aca="false">IF(ISNUMBER(FIND("SALDO ANTERIOR",C977)),0,IF(ISNUMBER(FIND("SALDO DO DIA",C977)),0,IF(ISNUMBER(FIND("SDO CTA/APL AUTOMATICAS",C977)),0,IF(ISNUMBER(FIND("TEC DEPOSITO",C977)),0,IF(ISNUMBER(FIND("APL APLIC AUT MAIS",C977)),E977,IF(E977&gt;0,E977,0))))))</f>
        <v>0</v>
      </c>
      <c r="H977" s="96" t="n">
        <v>44075</v>
      </c>
    </row>
    <row r="978" customFormat="false" ht="13.8" hidden="false" customHeight="false" outlineLevel="0" collapsed="false">
      <c r="A978" s="59" t="s">
        <v>98</v>
      </c>
      <c r="B978" s="85" t="s">
        <v>686</v>
      </c>
      <c r="C978" s="86" t="s">
        <v>180</v>
      </c>
      <c r="D978" s="87" t="s">
        <v>64</v>
      </c>
      <c r="E978" s="89" t="n">
        <v>-15.28</v>
      </c>
      <c r="F978" s="70" t="n">
        <f aca="false">IF(ISNUMBER(FIND("SALDO ANTERIOR",C978)),0,IF(ISNUMBER(FIND("SALDO DO DIA",C978)),0,IF(ISNUMBER(FIND("SALDO PARCIAL",C978)),0,IF(ISNUMBER(FIND("SDO CTA/APL AUTOMATICAS",C978)),0,IF(ISNUMBER(FIND("APL APLIC AUT MAIS",C978)),0,IF(ISNUMBER(FIND("TEC DEPOSITO",C978)),0,IF(E978&gt;0,0,E978*(-1))))))))</f>
        <v>15.28</v>
      </c>
      <c r="G978" s="97" t="n">
        <f aca="false">IF(ISNUMBER(FIND("SALDO ANTERIOR",C978)),0,IF(ISNUMBER(FIND("SALDO DO DIA",C978)),0,IF(ISNUMBER(FIND("SDO CTA/APL AUTOMATICAS",C978)),0,IF(ISNUMBER(FIND("TEC DEPOSITO",C978)),0,IF(ISNUMBER(FIND("APL APLIC AUT MAIS",C978)),E978,IF(E978&gt;0,E978,0))))))</f>
        <v>0</v>
      </c>
      <c r="H978" s="96" t="n">
        <v>44075</v>
      </c>
    </row>
    <row r="979" customFormat="false" ht="13.8" hidden="false" customHeight="false" outlineLevel="0" collapsed="false">
      <c r="A979" s="59" t="s">
        <v>98</v>
      </c>
      <c r="B979" s="85" t="s">
        <v>686</v>
      </c>
      <c r="C979" s="86" t="s">
        <v>180</v>
      </c>
      <c r="D979" s="87" t="s">
        <v>64</v>
      </c>
      <c r="E979" s="89" t="n">
        <v>-184.71</v>
      </c>
      <c r="F979" s="70" t="n">
        <f aca="false">IF(ISNUMBER(FIND("SALDO ANTERIOR",C979)),0,IF(ISNUMBER(FIND("SALDO DO DIA",C979)),0,IF(ISNUMBER(FIND("SALDO PARCIAL",C979)),0,IF(ISNUMBER(FIND("SDO CTA/APL AUTOMATICAS",C979)),0,IF(ISNUMBER(FIND("APL APLIC AUT MAIS",C979)),0,IF(ISNUMBER(FIND("TEC DEPOSITO",C979)),0,IF(E979&gt;0,0,E979*(-1))))))))</f>
        <v>184.71</v>
      </c>
      <c r="G979" s="97" t="n">
        <f aca="false">IF(ISNUMBER(FIND("SALDO ANTERIOR",C979)),0,IF(ISNUMBER(FIND("SALDO DO DIA",C979)),0,IF(ISNUMBER(FIND("SDO CTA/APL AUTOMATICAS",C979)),0,IF(ISNUMBER(FIND("TEC DEPOSITO",C979)),0,IF(ISNUMBER(FIND("APL APLIC AUT MAIS",C979)),E979,IF(E979&gt;0,E979,0))))))</f>
        <v>0</v>
      </c>
      <c r="H979" s="96" t="n">
        <v>44075</v>
      </c>
    </row>
    <row r="980" customFormat="false" ht="13.8" hidden="false" customHeight="false" outlineLevel="0" collapsed="false">
      <c r="A980" s="59" t="s">
        <v>65</v>
      </c>
      <c r="B980" s="85" t="s">
        <v>686</v>
      </c>
      <c r="C980" s="86" t="s">
        <v>115</v>
      </c>
      <c r="D980" s="87" t="s">
        <v>64</v>
      </c>
      <c r="E980" s="89" t="n">
        <v>-25</v>
      </c>
      <c r="F980" s="70" t="n">
        <f aca="false">IF(ISNUMBER(FIND("SALDO ANTERIOR",C980)),0,IF(ISNUMBER(FIND("SALDO DO DIA",C980)),0,IF(ISNUMBER(FIND("SALDO PARCIAL",C980)),0,IF(ISNUMBER(FIND("SDO CTA/APL AUTOMATICAS",C980)),0,IF(ISNUMBER(FIND("APL APLIC AUT MAIS",C980)),0,IF(ISNUMBER(FIND("TEC DEPOSITO",C980)),0,IF(E980&gt;0,0,E980*(-1))))))))</f>
        <v>25</v>
      </c>
      <c r="G980" s="97" t="n">
        <f aca="false">IF(ISNUMBER(FIND("SALDO ANTERIOR",C980)),0,IF(ISNUMBER(FIND("SALDO DO DIA",C980)),0,IF(ISNUMBER(FIND("SDO CTA/APL AUTOMATICAS",C980)),0,IF(ISNUMBER(FIND("TEC DEPOSITO",C980)),0,IF(ISNUMBER(FIND("APL APLIC AUT MAIS",C980)),E980,IF(E980&gt;0,E980,0))))))</f>
        <v>0</v>
      </c>
      <c r="H980" s="96" t="n">
        <v>44075</v>
      </c>
    </row>
    <row r="981" customFormat="false" ht="15" hidden="false" customHeight="false" outlineLevel="0" collapsed="false">
      <c r="A981" s="59" t="s">
        <v>29</v>
      </c>
      <c r="B981" s="85" t="s">
        <v>686</v>
      </c>
      <c r="C981" s="90" t="s">
        <v>494</v>
      </c>
      <c r="D981" s="87"/>
      <c r="E981" s="92" t="n">
        <v>-64.56</v>
      </c>
      <c r="F981" s="70" t="n">
        <f aca="false">IF(ISNUMBER(FIND("SALDO ANTERIOR",C981)),0,IF(ISNUMBER(FIND("SALDO DO DIA",C981)),0,IF(ISNUMBER(FIND("SALDO PARCIAL",C981)),0,IF(ISNUMBER(FIND("SDO CTA/APL AUTOMATICAS",C981)),0,IF(ISNUMBER(FIND("APL APLIC AUT MAIS",C981)),0,IF(ISNUMBER(FIND("TEC DEPOSITO",C981)),0,IF(E981&gt;0,0,E981*(-1))))))))</f>
        <v>0</v>
      </c>
      <c r="G981" s="97" t="n">
        <f aca="false">IF(ISNUMBER(FIND("SALDO ANTERIOR",C981)),0,IF(ISNUMBER(FIND("SALDO DO DIA",C981)),0,IF(ISNUMBER(FIND("SDO CTA/APL AUTOMATICAS",C981)),0,IF(ISNUMBER(FIND("TEC DEPOSITO",C981)),0,IF(ISNUMBER(FIND("APL APLIC AUT MAIS",C981)),E981,IF(E981&gt;0,E981,0))))))</f>
        <v>0</v>
      </c>
      <c r="H981" s="96" t="n">
        <v>44075</v>
      </c>
    </row>
    <row r="982" customFormat="false" ht="13.8" hidden="false" customHeight="false" outlineLevel="0" collapsed="false">
      <c r="A982" s="59" t="s">
        <v>532</v>
      </c>
      <c r="B982" s="85" t="s">
        <v>688</v>
      </c>
      <c r="C982" s="86" t="s">
        <v>533</v>
      </c>
      <c r="D982" s="87" t="s">
        <v>64</v>
      </c>
      <c r="E982" s="89" t="n">
        <v>-10</v>
      </c>
      <c r="F982" s="70" t="n">
        <f aca="false">IF(ISNUMBER(FIND("SALDO ANTERIOR",C982)),0,IF(ISNUMBER(FIND("SALDO DO DIA",C982)),0,IF(ISNUMBER(FIND("SALDO PARCIAL",C982)),0,IF(ISNUMBER(FIND("SDO CTA/APL AUTOMATICAS",C982)),0,IF(ISNUMBER(FIND("APL APLIC AUT MAIS",C982)),0,IF(ISNUMBER(FIND("TEC DEPOSITO",C982)),0,IF(E982&gt;0,0,E982*(-1))))))))</f>
        <v>10</v>
      </c>
      <c r="G982" s="97" t="n">
        <f aca="false">IF(ISNUMBER(FIND("SALDO ANTERIOR",C982)),0,IF(ISNUMBER(FIND("SALDO DO DIA",C982)),0,IF(ISNUMBER(FIND("SDO CTA/APL AUTOMATICAS",C982)),0,IF(ISNUMBER(FIND("TEC DEPOSITO",C982)),0,IF(ISNUMBER(FIND("APL APLIC AUT MAIS",C982)),E982,IF(E982&gt;0,E982,0))))))</f>
        <v>0</v>
      </c>
      <c r="H982" s="96" t="n">
        <v>44075</v>
      </c>
    </row>
    <row r="983" customFormat="false" ht="13.8" hidden="false" customHeight="false" outlineLevel="0" collapsed="false">
      <c r="A983" s="59" t="s">
        <v>98</v>
      </c>
      <c r="B983" s="85" t="s">
        <v>688</v>
      </c>
      <c r="C983" s="86" t="s">
        <v>247</v>
      </c>
      <c r="D983" s="87" t="s">
        <v>64</v>
      </c>
      <c r="E983" s="89" t="n">
        <v>-108.06</v>
      </c>
      <c r="F983" s="70" t="n">
        <f aca="false">IF(ISNUMBER(FIND("SALDO ANTERIOR",C983)),0,IF(ISNUMBER(FIND("SALDO DO DIA",C983)),0,IF(ISNUMBER(FIND("SALDO PARCIAL",C983)),0,IF(ISNUMBER(FIND("SDO CTA/APL AUTOMATICAS",C983)),0,IF(ISNUMBER(FIND("APL APLIC AUT MAIS",C983)),0,IF(ISNUMBER(FIND("TEC DEPOSITO",C983)),0,IF(E983&gt;0,0,E983*(-1))))))))</f>
        <v>108.06</v>
      </c>
      <c r="G983" s="97" t="n">
        <f aca="false">IF(ISNUMBER(FIND("SALDO ANTERIOR",C983)),0,IF(ISNUMBER(FIND("SALDO DO DIA",C983)),0,IF(ISNUMBER(FIND("SDO CTA/APL AUTOMATICAS",C983)),0,IF(ISNUMBER(FIND("TEC DEPOSITO",C983)),0,IF(ISNUMBER(FIND("APL APLIC AUT MAIS",C983)),E983,IF(E983&gt;0,E983,0))))))</f>
        <v>0</v>
      </c>
      <c r="H983" s="96" t="n">
        <v>44075</v>
      </c>
    </row>
    <row r="984" customFormat="false" ht="15" hidden="false" customHeight="false" outlineLevel="0" collapsed="false">
      <c r="A984" s="59" t="s">
        <v>29</v>
      </c>
      <c r="B984" s="85" t="s">
        <v>688</v>
      </c>
      <c r="C984" s="90" t="s">
        <v>494</v>
      </c>
      <c r="D984" s="87"/>
      <c r="E984" s="92" t="n">
        <v>-182.62</v>
      </c>
      <c r="F984" s="70" t="n">
        <f aca="false">IF(ISNUMBER(FIND("SALDO ANTERIOR",C984)),0,IF(ISNUMBER(FIND("SALDO DO DIA",C984)),0,IF(ISNUMBER(FIND("SALDO PARCIAL",C984)),0,IF(ISNUMBER(FIND("SDO CTA/APL AUTOMATICAS",C984)),0,IF(ISNUMBER(FIND("APL APLIC AUT MAIS",C984)),0,IF(ISNUMBER(FIND("TEC DEPOSITO",C984)),0,IF(E984&gt;0,0,E984*(-1))))))))</f>
        <v>0</v>
      </c>
      <c r="G984" s="97" t="n">
        <f aca="false">IF(ISNUMBER(FIND("SALDO ANTERIOR",C984)),0,IF(ISNUMBER(FIND("SALDO DO DIA",C984)),0,IF(ISNUMBER(FIND("SDO CTA/APL AUTOMATICAS",C984)),0,IF(ISNUMBER(FIND("TEC DEPOSITO",C984)),0,IF(ISNUMBER(FIND("APL APLIC AUT MAIS",C984)),E984,IF(E984&gt;0,E984,0))))))</f>
        <v>0</v>
      </c>
      <c r="H984" s="96" t="n">
        <v>44075</v>
      </c>
    </row>
    <row r="985" customFormat="false" ht="13.8" hidden="false" customHeight="false" outlineLevel="0" collapsed="false">
      <c r="A985" s="59" t="s">
        <v>119</v>
      </c>
      <c r="B985" s="85" t="s">
        <v>689</v>
      </c>
      <c r="C985" s="86" t="s">
        <v>194</v>
      </c>
      <c r="D985" s="87" t="s">
        <v>61</v>
      </c>
      <c r="E985" s="89" t="n">
        <v>-100</v>
      </c>
      <c r="F985" s="70" t="n">
        <f aca="false">IF(ISNUMBER(FIND("SALDO ANTERIOR",C985)),0,IF(ISNUMBER(FIND("SALDO DO DIA",C985)),0,IF(ISNUMBER(FIND("SALDO PARCIAL",C985)),0,IF(ISNUMBER(FIND("SDO CTA/APL AUTOMATICAS",C985)),0,IF(ISNUMBER(FIND("APL APLIC AUT MAIS",C985)),0,IF(ISNUMBER(FIND("TEC DEPOSITO",C985)),0,IF(E985&gt;0,0,E985*(-1))))))))</f>
        <v>100</v>
      </c>
      <c r="G985" s="97" t="n">
        <f aca="false">IF(ISNUMBER(FIND("SALDO ANTERIOR",C985)),0,IF(ISNUMBER(FIND("SALDO DO DIA",C985)),0,IF(ISNUMBER(FIND("SDO CTA/APL AUTOMATICAS",C985)),0,IF(ISNUMBER(FIND("TEC DEPOSITO",C985)),0,IF(ISNUMBER(FIND("APL APLIC AUT MAIS",C985)),E985,IF(E985&gt;0,E985,0))))))</f>
        <v>0</v>
      </c>
      <c r="H985" s="96" t="n">
        <v>44075</v>
      </c>
    </row>
    <row r="986" customFormat="false" ht="13.8" hidden="false" customHeight="false" outlineLevel="0" collapsed="false">
      <c r="A986" s="59" t="s">
        <v>98</v>
      </c>
      <c r="B986" s="85" t="s">
        <v>689</v>
      </c>
      <c r="C986" s="86" t="s">
        <v>650</v>
      </c>
      <c r="D986" s="87" t="s">
        <v>64</v>
      </c>
      <c r="E986" s="89" t="n">
        <v>-7</v>
      </c>
      <c r="F986" s="70" t="n">
        <f aca="false">IF(ISNUMBER(FIND("SALDO ANTERIOR",C986)),0,IF(ISNUMBER(FIND("SALDO DO DIA",C986)),0,IF(ISNUMBER(FIND("SALDO PARCIAL",C986)),0,IF(ISNUMBER(FIND("SDO CTA/APL AUTOMATICAS",C986)),0,IF(ISNUMBER(FIND("APL APLIC AUT MAIS",C986)),0,IF(ISNUMBER(FIND("TEC DEPOSITO",C986)),0,IF(E986&gt;0,0,E986*(-1))))))))</f>
        <v>7</v>
      </c>
      <c r="G986" s="97" t="n">
        <f aca="false">IF(ISNUMBER(FIND("SALDO ANTERIOR",C986)),0,IF(ISNUMBER(FIND("SALDO DO DIA",C986)),0,IF(ISNUMBER(FIND("SDO CTA/APL AUTOMATICAS",C986)),0,IF(ISNUMBER(FIND("TEC DEPOSITO",C986)),0,IF(ISNUMBER(FIND("APL APLIC AUT MAIS",C986)),E986,IF(E986&gt;0,E986,0))))))</f>
        <v>0</v>
      </c>
      <c r="H986" s="96" t="n">
        <v>44075</v>
      </c>
    </row>
    <row r="987" customFormat="false" ht="13.8" hidden="false" customHeight="false" outlineLevel="0" collapsed="false">
      <c r="A987" s="59" t="s">
        <v>119</v>
      </c>
      <c r="B987" s="85" t="s">
        <v>689</v>
      </c>
      <c r="C987" s="86" t="s">
        <v>690</v>
      </c>
      <c r="D987" s="87" t="s">
        <v>64</v>
      </c>
      <c r="E987" s="89" t="n">
        <v>-5</v>
      </c>
      <c r="F987" s="70" t="n">
        <f aca="false">IF(ISNUMBER(FIND("SALDO ANTERIOR",C987)),0,IF(ISNUMBER(FIND("SALDO DO DIA",C987)),0,IF(ISNUMBER(FIND("SALDO PARCIAL",C987)),0,IF(ISNUMBER(FIND("SDO CTA/APL AUTOMATICAS",C987)),0,IF(ISNUMBER(FIND("APL APLIC AUT MAIS",C987)),0,IF(ISNUMBER(FIND("TEC DEPOSITO",C987)),0,IF(E987&gt;0,0,E987*(-1))))))))</f>
        <v>5</v>
      </c>
      <c r="G987" s="97" t="n">
        <f aca="false">IF(ISNUMBER(FIND("SALDO ANTERIOR",C987)),0,IF(ISNUMBER(FIND("SALDO DO DIA",C987)),0,IF(ISNUMBER(FIND("SDO CTA/APL AUTOMATICAS",C987)),0,IF(ISNUMBER(FIND("TEC DEPOSITO",C987)),0,IF(ISNUMBER(FIND("APL APLIC AUT MAIS",C987)),E987,IF(E987&gt;0,E987,0))))))</f>
        <v>0</v>
      </c>
      <c r="H987" s="96" t="n">
        <v>44075</v>
      </c>
    </row>
    <row r="988" customFormat="false" ht="13.8" hidden="false" customHeight="false" outlineLevel="0" collapsed="false">
      <c r="A988" s="59" t="s">
        <v>98</v>
      </c>
      <c r="B988" s="85" t="s">
        <v>689</v>
      </c>
      <c r="C988" s="86" t="s">
        <v>180</v>
      </c>
      <c r="D988" s="87" t="s">
        <v>64</v>
      </c>
      <c r="E988" s="89" t="n">
        <v>-42.58</v>
      </c>
      <c r="F988" s="70" t="n">
        <f aca="false">IF(ISNUMBER(FIND("SALDO ANTERIOR",C988)),0,IF(ISNUMBER(FIND("SALDO DO DIA",C988)),0,IF(ISNUMBER(FIND("SALDO PARCIAL",C988)),0,IF(ISNUMBER(FIND("SDO CTA/APL AUTOMATICAS",C988)),0,IF(ISNUMBER(FIND("APL APLIC AUT MAIS",C988)),0,IF(ISNUMBER(FIND("TEC DEPOSITO",C988)),0,IF(E988&gt;0,0,E988*(-1))))))))</f>
        <v>42.58</v>
      </c>
      <c r="G988" s="97" t="n">
        <f aca="false">IF(ISNUMBER(FIND("SALDO ANTERIOR",C988)),0,IF(ISNUMBER(FIND("SALDO DO DIA",C988)),0,IF(ISNUMBER(FIND("SDO CTA/APL AUTOMATICAS",C988)),0,IF(ISNUMBER(FIND("TEC DEPOSITO",C988)),0,IF(ISNUMBER(FIND("APL APLIC AUT MAIS",C988)),E988,IF(E988&gt;0,E988,0))))))</f>
        <v>0</v>
      </c>
      <c r="H988" s="96" t="n">
        <v>44075</v>
      </c>
    </row>
    <row r="989" customFormat="false" ht="13.8" hidden="false" customHeight="false" outlineLevel="0" collapsed="false">
      <c r="A989" s="59" t="s">
        <v>181</v>
      </c>
      <c r="B989" s="85" t="s">
        <v>689</v>
      </c>
      <c r="C989" s="86" t="s">
        <v>691</v>
      </c>
      <c r="D989" s="87" t="s">
        <v>61</v>
      </c>
      <c r="E989" s="89" t="n">
        <v>-170</v>
      </c>
      <c r="F989" s="70" t="n">
        <f aca="false">IF(ISNUMBER(FIND("SALDO ANTERIOR",C989)),0,IF(ISNUMBER(FIND("SALDO DO DIA",C989)),0,IF(ISNUMBER(FIND("SALDO PARCIAL",C989)),0,IF(ISNUMBER(FIND("SDO CTA/APL AUTOMATICAS",C989)),0,IF(ISNUMBER(FIND("APL APLIC AUT MAIS",C989)),0,IF(ISNUMBER(FIND("TEC DEPOSITO",C989)),0,IF(E989&gt;0,0,E989*(-1))))))))</f>
        <v>170</v>
      </c>
      <c r="G989" s="97" t="n">
        <f aca="false">IF(ISNUMBER(FIND("SALDO ANTERIOR",C989)),0,IF(ISNUMBER(FIND("SALDO DO DIA",C989)),0,IF(ISNUMBER(FIND("SDO CTA/APL AUTOMATICAS",C989)),0,IF(ISNUMBER(FIND("TEC DEPOSITO",C989)),0,IF(ISNUMBER(FIND("APL APLIC AUT MAIS",C989)),E989,IF(E989&gt;0,E989,0))))))</f>
        <v>0</v>
      </c>
      <c r="H989" s="96" t="n">
        <v>44075</v>
      </c>
    </row>
    <row r="990" customFormat="false" ht="13.8" hidden="false" customHeight="false" outlineLevel="0" collapsed="false">
      <c r="A990" s="59" t="s">
        <v>167</v>
      </c>
      <c r="B990" s="85" t="s">
        <v>689</v>
      </c>
      <c r="C990" s="86" t="s">
        <v>168</v>
      </c>
      <c r="D990" s="87" t="s">
        <v>61</v>
      </c>
      <c r="E990" s="88" t="n">
        <v>1000</v>
      </c>
      <c r="F990" s="70" t="n">
        <f aca="false">IF(ISNUMBER(FIND("SALDO ANTERIOR",C990)),0,IF(ISNUMBER(FIND("SALDO DO DIA",C990)),0,IF(ISNUMBER(FIND("SALDO PARCIAL",C990)),0,IF(ISNUMBER(FIND("SDO CTA/APL AUTOMATICAS",C990)),0,IF(ISNUMBER(FIND("APL APLIC AUT MAIS",C990)),0,IF(ISNUMBER(FIND("TEC DEPOSITO",C990)),0,IF(E990&gt;0,0,E990*(-1))))))))</f>
        <v>0</v>
      </c>
      <c r="G990" s="97" t="n">
        <f aca="false">IF(ISNUMBER(FIND("SALDO ANTERIOR",C990)),0,IF(ISNUMBER(FIND("SALDO DO DIA",C990)),0,IF(ISNUMBER(FIND("SDO CTA/APL AUTOMATICAS",C990)),0,IF(ISNUMBER(FIND("TEC DEPOSITO",C990)),0,IF(ISNUMBER(FIND("APL APLIC AUT MAIS",C990)),E990,IF(E990&gt;0,E990,0))))))</f>
        <v>1000</v>
      </c>
      <c r="H990" s="96" t="n">
        <v>44075</v>
      </c>
    </row>
    <row r="991" customFormat="false" ht="15" hidden="false" customHeight="false" outlineLevel="0" collapsed="false">
      <c r="A991" s="59" t="s">
        <v>29</v>
      </c>
      <c r="B991" s="85" t="s">
        <v>689</v>
      </c>
      <c r="C991" s="90" t="s">
        <v>521</v>
      </c>
      <c r="D991" s="87"/>
      <c r="E991" s="91" t="n">
        <v>492.8</v>
      </c>
      <c r="F991" s="70" t="n">
        <f aca="false">IF(ISNUMBER(FIND("SALDO ANTERIOR",C991)),0,IF(ISNUMBER(FIND("SALDO DO DIA",C991)),0,IF(ISNUMBER(FIND("SALDO PARCIAL",C991)),0,IF(ISNUMBER(FIND("SDO CTA/APL AUTOMATICAS",C991)),0,IF(ISNUMBER(FIND("APL APLIC AUT MAIS",C991)),0,IF(ISNUMBER(FIND("TEC DEPOSITO",C991)),0,IF(E991&gt;0,0,E991*(-1))))))))</f>
        <v>0</v>
      </c>
      <c r="G991" s="97" t="n">
        <f aca="false">IF(ISNUMBER(FIND("SALDO ANTERIOR",C991)),0,IF(ISNUMBER(FIND("SALDO DO DIA",C991)),0,IF(ISNUMBER(FIND("SDO CTA/APL AUTOMATICAS",C991)),0,IF(ISNUMBER(FIND("TEC DEPOSITO",C991)),0,IF(ISNUMBER(FIND("APL APLIC AUT MAIS",C991)),E991,IF(E991&gt;0,E991,0))))))</f>
        <v>0</v>
      </c>
      <c r="H991" s="96" t="n">
        <v>44075</v>
      </c>
    </row>
    <row r="992" customFormat="false" ht="13.8" hidden="false" customHeight="false" outlineLevel="0" collapsed="false">
      <c r="A992" s="59" t="s">
        <v>65</v>
      </c>
      <c r="B992" s="85" t="s">
        <v>692</v>
      </c>
      <c r="C992" s="86" t="s">
        <v>693</v>
      </c>
      <c r="D992" s="87" t="s">
        <v>64</v>
      </c>
      <c r="E992" s="89" t="n">
        <v>-5</v>
      </c>
      <c r="F992" s="70" t="n">
        <f aca="false">IF(ISNUMBER(FIND("SALDO ANTERIOR",C992)),0,IF(ISNUMBER(FIND("SALDO DO DIA",C992)),0,IF(ISNUMBER(FIND("SALDO PARCIAL",C992)),0,IF(ISNUMBER(FIND("SDO CTA/APL AUTOMATICAS",C992)),0,IF(ISNUMBER(FIND("APL APLIC AUT MAIS",C992)),0,IF(ISNUMBER(FIND("TEC DEPOSITO",C992)),0,IF(E992&gt;0,0,E992*(-1))))))))</f>
        <v>5</v>
      </c>
      <c r="G992" s="97" t="n">
        <f aca="false">IF(ISNUMBER(FIND("SALDO ANTERIOR",C992)),0,IF(ISNUMBER(FIND("SALDO DO DIA",C992)),0,IF(ISNUMBER(FIND("SDO CTA/APL AUTOMATICAS",C992)),0,IF(ISNUMBER(FIND("TEC DEPOSITO",C992)),0,IF(ISNUMBER(FIND("APL APLIC AUT MAIS",C992)),E992,IF(E992&gt;0,E992,0))))))</f>
        <v>0</v>
      </c>
      <c r="H992" s="96" t="n">
        <v>44075</v>
      </c>
    </row>
    <row r="993" customFormat="false" ht="13.8" hidden="false" customHeight="false" outlineLevel="0" collapsed="false">
      <c r="A993" s="59" t="s">
        <v>65</v>
      </c>
      <c r="B993" s="85" t="s">
        <v>692</v>
      </c>
      <c r="C993" s="86" t="s">
        <v>694</v>
      </c>
      <c r="D993" s="87" t="s">
        <v>64</v>
      </c>
      <c r="E993" s="89" t="n">
        <v>-5.39</v>
      </c>
      <c r="F993" s="70" t="n">
        <f aca="false">IF(ISNUMBER(FIND("SALDO ANTERIOR",C993)),0,IF(ISNUMBER(FIND("SALDO DO DIA",C993)),0,IF(ISNUMBER(FIND("SALDO PARCIAL",C993)),0,IF(ISNUMBER(FIND("SDO CTA/APL AUTOMATICAS",C993)),0,IF(ISNUMBER(FIND("APL APLIC AUT MAIS",C993)),0,IF(ISNUMBER(FIND("TEC DEPOSITO",C993)),0,IF(E993&gt;0,0,E993*(-1))))))))</f>
        <v>5.39</v>
      </c>
      <c r="G993" s="97" t="n">
        <f aca="false">IF(ISNUMBER(FIND("SALDO ANTERIOR",C993)),0,IF(ISNUMBER(FIND("SALDO DO DIA",C993)),0,IF(ISNUMBER(FIND("SDO CTA/APL AUTOMATICAS",C993)),0,IF(ISNUMBER(FIND("TEC DEPOSITO",C993)),0,IF(ISNUMBER(FIND("APL APLIC AUT MAIS",C993)),E993,IF(E993&gt;0,E993,0))))))</f>
        <v>0</v>
      </c>
      <c r="H993" s="96" t="n">
        <v>44075</v>
      </c>
    </row>
    <row r="994" customFormat="false" ht="13.8" hidden="false" customHeight="false" outlineLevel="0" collapsed="false">
      <c r="A994" s="59" t="s">
        <v>65</v>
      </c>
      <c r="B994" s="85" t="s">
        <v>692</v>
      </c>
      <c r="C994" s="86" t="s">
        <v>454</v>
      </c>
      <c r="D994" s="87" t="s">
        <v>64</v>
      </c>
      <c r="E994" s="89" t="n">
        <v>-10.99</v>
      </c>
      <c r="F994" s="70" t="n">
        <f aca="false">IF(ISNUMBER(FIND("SALDO ANTERIOR",C994)),0,IF(ISNUMBER(FIND("SALDO DO DIA",C994)),0,IF(ISNUMBER(FIND("SALDO PARCIAL",C994)),0,IF(ISNUMBER(FIND("SDO CTA/APL AUTOMATICAS",C994)),0,IF(ISNUMBER(FIND("APL APLIC AUT MAIS",C994)),0,IF(ISNUMBER(FIND("TEC DEPOSITO",C994)),0,IF(E994&gt;0,0,E994*(-1))))))))</f>
        <v>10.99</v>
      </c>
      <c r="G994" s="97" t="n">
        <f aca="false">IF(ISNUMBER(FIND("SALDO ANTERIOR",C994)),0,IF(ISNUMBER(FIND("SALDO DO DIA",C994)),0,IF(ISNUMBER(FIND("SDO CTA/APL AUTOMATICAS",C994)),0,IF(ISNUMBER(FIND("TEC DEPOSITO",C994)),0,IF(ISNUMBER(FIND("APL APLIC AUT MAIS",C994)),E994,IF(E994&gt;0,E994,0))))))</f>
        <v>0</v>
      </c>
      <c r="H994" s="96" t="n">
        <v>44075</v>
      </c>
    </row>
    <row r="995" customFormat="false" ht="13.8" hidden="false" customHeight="false" outlineLevel="0" collapsed="false">
      <c r="A995" s="59" t="s">
        <v>65</v>
      </c>
      <c r="B995" s="85" t="s">
        <v>692</v>
      </c>
      <c r="C995" s="86" t="s">
        <v>454</v>
      </c>
      <c r="D995" s="87" t="s">
        <v>64</v>
      </c>
      <c r="E995" s="89" t="n">
        <v>-10</v>
      </c>
      <c r="F995" s="70" t="n">
        <f aca="false">IF(ISNUMBER(FIND("SALDO ANTERIOR",C995)),0,IF(ISNUMBER(FIND("SALDO DO DIA",C995)),0,IF(ISNUMBER(FIND("SALDO PARCIAL",C995)),0,IF(ISNUMBER(FIND("SDO CTA/APL AUTOMATICAS",C995)),0,IF(ISNUMBER(FIND("APL APLIC AUT MAIS",C995)),0,IF(ISNUMBER(FIND("TEC DEPOSITO",C995)),0,IF(E995&gt;0,0,E995*(-1))))))))</f>
        <v>10</v>
      </c>
      <c r="G995" s="97" t="n">
        <f aca="false">IF(ISNUMBER(FIND("SALDO ANTERIOR",C995)),0,IF(ISNUMBER(FIND("SALDO DO DIA",C995)),0,IF(ISNUMBER(FIND("SDO CTA/APL AUTOMATICAS",C995)),0,IF(ISNUMBER(FIND("TEC DEPOSITO",C995)),0,IF(ISNUMBER(FIND("APL APLIC AUT MAIS",C995)),E995,IF(E995&gt;0,E995,0))))))</f>
        <v>0</v>
      </c>
      <c r="H995" s="96" t="n">
        <v>44075</v>
      </c>
    </row>
    <row r="996" customFormat="false" ht="13.8" hidden="false" customHeight="false" outlineLevel="0" collapsed="false">
      <c r="A996" s="59" t="s">
        <v>65</v>
      </c>
      <c r="B996" s="85" t="s">
        <v>692</v>
      </c>
      <c r="C996" s="86" t="s">
        <v>695</v>
      </c>
      <c r="D996" s="87" t="s">
        <v>64</v>
      </c>
      <c r="E996" s="89" t="n">
        <v>-12.99</v>
      </c>
      <c r="F996" s="70" t="n">
        <f aca="false">IF(ISNUMBER(FIND("SALDO ANTERIOR",C996)),0,IF(ISNUMBER(FIND("SALDO DO DIA",C996)),0,IF(ISNUMBER(FIND("SALDO PARCIAL",C996)),0,IF(ISNUMBER(FIND("SDO CTA/APL AUTOMATICAS",C996)),0,IF(ISNUMBER(FIND("APL APLIC AUT MAIS",C996)),0,IF(ISNUMBER(FIND("TEC DEPOSITO",C996)),0,IF(E996&gt;0,0,E996*(-1))))))))</f>
        <v>12.99</v>
      </c>
      <c r="G996" s="97" t="n">
        <f aca="false">IF(ISNUMBER(FIND("SALDO ANTERIOR",C996)),0,IF(ISNUMBER(FIND("SALDO DO DIA",C996)),0,IF(ISNUMBER(FIND("SDO CTA/APL AUTOMATICAS",C996)),0,IF(ISNUMBER(FIND("TEC DEPOSITO",C996)),0,IF(ISNUMBER(FIND("APL APLIC AUT MAIS",C996)),E996,IF(E996&gt;0,E996,0))))))</f>
        <v>0</v>
      </c>
      <c r="H996" s="96" t="n">
        <v>44075</v>
      </c>
    </row>
    <row r="997" customFormat="false" ht="13.8" hidden="false" customHeight="false" outlineLevel="0" collapsed="false">
      <c r="A997" s="59" t="s">
        <v>71</v>
      </c>
      <c r="B997" s="85" t="s">
        <v>692</v>
      </c>
      <c r="C997" s="86" t="s">
        <v>189</v>
      </c>
      <c r="D997" s="87" t="s">
        <v>64</v>
      </c>
      <c r="E997" s="89" t="n">
        <v>-10.5</v>
      </c>
      <c r="F997" s="70" t="n">
        <f aca="false">IF(ISNUMBER(FIND("SALDO ANTERIOR",C997)),0,IF(ISNUMBER(FIND("SALDO DO DIA",C997)),0,IF(ISNUMBER(FIND("SALDO PARCIAL",C997)),0,IF(ISNUMBER(FIND("SDO CTA/APL AUTOMATICAS",C997)),0,IF(ISNUMBER(FIND("APL APLIC AUT MAIS",C997)),0,IF(ISNUMBER(FIND("TEC DEPOSITO",C997)),0,IF(E997&gt;0,0,E997*(-1))))))))</f>
        <v>10.5</v>
      </c>
      <c r="G997" s="97" t="n">
        <f aca="false">IF(ISNUMBER(FIND("SALDO ANTERIOR",C997)),0,IF(ISNUMBER(FIND("SALDO DO DIA",C997)),0,IF(ISNUMBER(FIND("SDO CTA/APL AUTOMATICAS",C997)),0,IF(ISNUMBER(FIND("TEC DEPOSITO",C997)),0,IF(ISNUMBER(FIND("APL APLIC AUT MAIS",C997)),E997,IF(E997&gt;0,E997,0))))))</f>
        <v>0</v>
      </c>
      <c r="H997" s="96" t="n">
        <v>44075</v>
      </c>
    </row>
    <row r="998" customFormat="false" ht="13.8" hidden="false" customHeight="false" outlineLevel="0" collapsed="false">
      <c r="A998" s="59" t="s">
        <v>65</v>
      </c>
      <c r="B998" s="85" t="s">
        <v>692</v>
      </c>
      <c r="C998" s="86" t="s">
        <v>696</v>
      </c>
      <c r="D998" s="87" t="s">
        <v>64</v>
      </c>
      <c r="E998" s="89" t="n">
        <v>-8</v>
      </c>
      <c r="F998" s="70" t="n">
        <f aca="false">IF(ISNUMBER(FIND("SALDO ANTERIOR",C998)),0,IF(ISNUMBER(FIND("SALDO DO DIA",C998)),0,IF(ISNUMBER(FIND("SALDO PARCIAL",C998)),0,IF(ISNUMBER(FIND("SDO CTA/APL AUTOMATICAS",C998)),0,IF(ISNUMBER(FIND("APL APLIC AUT MAIS",C998)),0,IF(ISNUMBER(FIND("TEC DEPOSITO",C998)),0,IF(E998&gt;0,0,E998*(-1))))))))</f>
        <v>8</v>
      </c>
      <c r="G998" s="97" t="n">
        <f aca="false">IF(ISNUMBER(FIND("SALDO ANTERIOR",C998)),0,IF(ISNUMBER(FIND("SALDO DO DIA",C998)),0,IF(ISNUMBER(FIND("SDO CTA/APL AUTOMATICAS",C998)),0,IF(ISNUMBER(FIND("TEC DEPOSITO",C998)),0,IF(ISNUMBER(FIND("APL APLIC AUT MAIS",C998)),E998,IF(E998&gt;0,E998,0))))))</f>
        <v>0</v>
      </c>
      <c r="H998" s="96" t="n">
        <v>44075</v>
      </c>
    </row>
    <row r="999" customFormat="false" ht="13.8" hidden="false" customHeight="false" outlineLevel="0" collapsed="false">
      <c r="A999" s="59" t="s">
        <v>65</v>
      </c>
      <c r="B999" s="85" t="s">
        <v>692</v>
      </c>
      <c r="C999" s="86" t="s">
        <v>697</v>
      </c>
      <c r="D999" s="87" t="s">
        <v>64</v>
      </c>
      <c r="E999" s="89" t="n">
        <v>-5</v>
      </c>
      <c r="F999" s="70" t="n">
        <f aca="false">IF(ISNUMBER(FIND("SALDO ANTERIOR",C999)),0,IF(ISNUMBER(FIND("SALDO DO DIA",C999)),0,IF(ISNUMBER(FIND("SALDO PARCIAL",C999)),0,IF(ISNUMBER(FIND("SDO CTA/APL AUTOMATICAS",C999)),0,IF(ISNUMBER(FIND("APL APLIC AUT MAIS",C999)),0,IF(ISNUMBER(FIND("TEC DEPOSITO",C999)),0,IF(E999&gt;0,0,E999*(-1))))))))</f>
        <v>5</v>
      </c>
      <c r="G999" s="97" t="n">
        <f aca="false">IF(ISNUMBER(FIND("SALDO ANTERIOR",C999)),0,IF(ISNUMBER(FIND("SALDO DO DIA",C999)),0,IF(ISNUMBER(FIND("SDO CTA/APL AUTOMATICAS",C999)),0,IF(ISNUMBER(FIND("TEC DEPOSITO",C999)),0,IF(ISNUMBER(FIND("APL APLIC AUT MAIS",C999)),E999,IF(E999&gt;0,E999,0))))))</f>
        <v>0</v>
      </c>
      <c r="H999" s="96" t="n">
        <v>44075</v>
      </c>
    </row>
    <row r="1000" customFormat="false" ht="13.8" hidden="false" customHeight="false" outlineLevel="0" collapsed="false">
      <c r="A1000" s="59" t="s">
        <v>65</v>
      </c>
      <c r="B1000" s="85" t="s">
        <v>692</v>
      </c>
      <c r="C1000" s="86" t="s">
        <v>698</v>
      </c>
      <c r="D1000" s="87" t="s">
        <v>64</v>
      </c>
      <c r="E1000" s="89" t="n">
        <v>-3</v>
      </c>
      <c r="F1000" s="70" t="n">
        <f aca="false">IF(ISNUMBER(FIND("SALDO ANTERIOR",C1000)),0,IF(ISNUMBER(FIND("SALDO DO DIA",C1000)),0,IF(ISNUMBER(FIND("SALDO PARCIAL",C1000)),0,IF(ISNUMBER(FIND("SDO CTA/APL AUTOMATICAS",C1000)),0,IF(ISNUMBER(FIND("APL APLIC AUT MAIS",C1000)),0,IF(ISNUMBER(FIND("TEC DEPOSITO",C1000)),0,IF(E1000&gt;0,0,E1000*(-1))))))))</f>
        <v>3</v>
      </c>
      <c r="G1000" s="97" t="n">
        <f aca="false">IF(ISNUMBER(FIND("SALDO ANTERIOR",C1000)),0,IF(ISNUMBER(FIND("SALDO DO DIA",C1000)),0,IF(ISNUMBER(FIND("SDO CTA/APL AUTOMATICAS",C1000)),0,IF(ISNUMBER(FIND("TEC DEPOSITO",C1000)),0,IF(ISNUMBER(FIND("APL APLIC AUT MAIS",C1000)),E1000,IF(E1000&gt;0,E1000,0))))))</f>
        <v>0</v>
      </c>
      <c r="H1000" s="96" t="n">
        <v>44075</v>
      </c>
    </row>
    <row r="1001" customFormat="false" ht="13.8" hidden="false" customHeight="false" outlineLevel="0" collapsed="false">
      <c r="A1001" s="59" t="s">
        <v>65</v>
      </c>
      <c r="B1001" s="85" t="s">
        <v>692</v>
      </c>
      <c r="C1001" s="86" t="s">
        <v>699</v>
      </c>
      <c r="D1001" s="87" t="s">
        <v>64</v>
      </c>
      <c r="E1001" s="89" t="n">
        <v>-12</v>
      </c>
      <c r="F1001" s="70" t="n">
        <f aca="false">IF(ISNUMBER(FIND("SALDO ANTERIOR",C1001)),0,IF(ISNUMBER(FIND("SALDO DO DIA",C1001)),0,IF(ISNUMBER(FIND("SALDO PARCIAL",C1001)),0,IF(ISNUMBER(FIND("SDO CTA/APL AUTOMATICAS",C1001)),0,IF(ISNUMBER(FIND("APL APLIC AUT MAIS",C1001)),0,IF(ISNUMBER(FIND("TEC DEPOSITO",C1001)),0,IF(E1001&gt;0,0,E1001*(-1))))))))</f>
        <v>12</v>
      </c>
      <c r="G1001" s="97" t="n">
        <f aca="false">IF(ISNUMBER(FIND("SALDO ANTERIOR",C1001)),0,IF(ISNUMBER(FIND("SALDO DO DIA",C1001)),0,IF(ISNUMBER(FIND("SDO CTA/APL AUTOMATICAS",C1001)),0,IF(ISNUMBER(FIND("TEC DEPOSITO",C1001)),0,IF(ISNUMBER(FIND("APL APLIC AUT MAIS",C1001)),E1001,IF(E1001&gt;0,E1001,0))))))</f>
        <v>0</v>
      </c>
      <c r="H1001" s="96" t="n">
        <v>44075</v>
      </c>
    </row>
    <row r="1002" customFormat="false" ht="13.8" hidden="false" customHeight="false" outlineLevel="0" collapsed="false">
      <c r="A1002" s="59" t="s">
        <v>76</v>
      </c>
      <c r="B1002" s="85" t="s">
        <v>692</v>
      </c>
      <c r="C1002" s="86" t="s">
        <v>700</v>
      </c>
      <c r="D1002" s="87" t="s">
        <v>64</v>
      </c>
      <c r="E1002" s="89" t="n">
        <v>-14</v>
      </c>
      <c r="F1002" s="70" t="n">
        <f aca="false">IF(ISNUMBER(FIND("SALDO ANTERIOR",C1002)),0,IF(ISNUMBER(FIND("SALDO DO DIA",C1002)),0,IF(ISNUMBER(FIND("SALDO PARCIAL",C1002)),0,IF(ISNUMBER(FIND("SDO CTA/APL AUTOMATICAS",C1002)),0,IF(ISNUMBER(FIND("APL APLIC AUT MAIS",C1002)),0,IF(ISNUMBER(FIND("TEC DEPOSITO",C1002)),0,IF(E1002&gt;0,0,E1002*(-1))))))))</f>
        <v>14</v>
      </c>
      <c r="G1002" s="97" t="n">
        <f aca="false">IF(ISNUMBER(FIND("SALDO ANTERIOR",C1002)),0,IF(ISNUMBER(FIND("SALDO DO DIA",C1002)),0,IF(ISNUMBER(FIND("SDO CTA/APL AUTOMATICAS",C1002)),0,IF(ISNUMBER(FIND("TEC DEPOSITO",C1002)),0,IF(ISNUMBER(FIND("APL APLIC AUT MAIS",C1002)),E1002,IF(E1002&gt;0,E1002,0))))))</f>
        <v>0</v>
      </c>
      <c r="H1002" s="96" t="n">
        <v>44075</v>
      </c>
    </row>
    <row r="1003" customFormat="false" ht="13.8" hidden="false" customHeight="false" outlineLevel="0" collapsed="false">
      <c r="A1003" s="59" t="s">
        <v>65</v>
      </c>
      <c r="B1003" s="85" t="s">
        <v>692</v>
      </c>
      <c r="C1003" s="86" t="s">
        <v>701</v>
      </c>
      <c r="D1003" s="87" t="s">
        <v>64</v>
      </c>
      <c r="E1003" s="89" t="n">
        <v>-121.5</v>
      </c>
      <c r="F1003" s="70" t="n">
        <f aca="false">IF(ISNUMBER(FIND("SALDO ANTERIOR",C1003)),0,IF(ISNUMBER(FIND("SALDO DO DIA",C1003)),0,IF(ISNUMBER(FIND("SALDO PARCIAL",C1003)),0,IF(ISNUMBER(FIND("SDO CTA/APL AUTOMATICAS",C1003)),0,IF(ISNUMBER(FIND("APL APLIC AUT MAIS",C1003)),0,IF(ISNUMBER(FIND("TEC DEPOSITO",C1003)),0,IF(E1003&gt;0,0,E1003*(-1))))))))</f>
        <v>121.5</v>
      </c>
      <c r="G1003" s="97" t="n">
        <f aca="false">IF(ISNUMBER(FIND("SALDO ANTERIOR",C1003)),0,IF(ISNUMBER(FIND("SALDO DO DIA",C1003)),0,IF(ISNUMBER(FIND("SDO CTA/APL AUTOMATICAS",C1003)),0,IF(ISNUMBER(FIND("TEC DEPOSITO",C1003)),0,IF(ISNUMBER(FIND("APL APLIC AUT MAIS",C1003)),E1003,IF(E1003&gt;0,E1003,0))))))</f>
        <v>0</v>
      </c>
      <c r="H1003" s="96" t="n">
        <v>44075</v>
      </c>
    </row>
    <row r="1004" customFormat="false" ht="15" hidden="false" customHeight="false" outlineLevel="0" collapsed="false">
      <c r="A1004" s="59" t="s">
        <v>29</v>
      </c>
      <c r="B1004" s="85" t="s">
        <v>692</v>
      </c>
      <c r="C1004" s="90" t="s">
        <v>521</v>
      </c>
      <c r="D1004" s="87"/>
      <c r="E1004" s="91" t="n">
        <v>274.43</v>
      </c>
      <c r="F1004" s="70" t="n">
        <f aca="false">IF(ISNUMBER(FIND("SALDO ANTERIOR",C1004)),0,IF(ISNUMBER(FIND("SALDO DO DIA",C1004)),0,IF(ISNUMBER(FIND("SALDO PARCIAL",C1004)),0,IF(ISNUMBER(FIND("SDO CTA/APL AUTOMATICAS",C1004)),0,IF(ISNUMBER(FIND("APL APLIC AUT MAIS",C1004)),0,IF(ISNUMBER(FIND("TEC DEPOSITO",C1004)),0,IF(E1004&gt;0,0,E1004*(-1))))))))</f>
        <v>0</v>
      </c>
      <c r="G1004" s="97" t="n">
        <f aca="false">IF(ISNUMBER(FIND("SALDO ANTERIOR",C1004)),0,IF(ISNUMBER(FIND("SALDO DO DIA",C1004)),0,IF(ISNUMBER(FIND("SDO CTA/APL AUTOMATICAS",C1004)),0,IF(ISNUMBER(FIND("TEC DEPOSITO",C1004)),0,IF(ISNUMBER(FIND("APL APLIC AUT MAIS",C1004)),E1004,IF(E1004&gt;0,E1004,0))))))</f>
        <v>0</v>
      </c>
      <c r="H1004" s="96" t="n">
        <v>44075</v>
      </c>
    </row>
    <row r="1005" customFormat="false" ht="13.8" hidden="false" customHeight="false" outlineLevel="0" collapsed="false">
      <c r="A1005" s="59" t="s">
        <v>225</v>
      </c>
      <c r="B1005" s="85" t="s">
        <v>702</v>
      </c>
      <c r="C1005" s="86" t="s">
        <v>240</v>
      </c>
      <c r="D1005" s="87" t="s">
        <v>64</v>
      </c>
      <c r="E1005" s="89" t="n">
        <v>-32.99</v>
      </c>
      <c r="F1005" s="70" t="n">
        <f aca="false">IF(ISNUMBER(FIND("SALDO ANTERIOR",C1005)),0,IF(ISNUMBER(FIND("SALDO DO DIA",C1005)),0,IF(ISNUMBER(FIND("SALDO PARCIAL",C1005)),0,IF(ISNUMBER(FIND("SDO CTA/APL AUTOMATICAS",C1005)),0,IF(ISNUMBER(FIND("APL APLIC AUT MAIS",C1005)),0,IF(ISNUMBER(FIND("TEC DEPOSITO",C1005)),0,IF(E1005&gt;0,0,E1005*(-1))))))))</f>
        <v>32.99</v>
      </c>
      <c r="G1005" s="97" t="n">
        <f aca="false">IF(ISNUMBER(FIND("SALDO ANTERIOR",C1005)),0,IF(ISNUMBER(FIND("SALDO DO DIA",C1005)),0,IF(ISNUMBER(FIND("SDO CTA/APL AUTOMATICAS",C1005)),0,IF(ISNUMBER(FIND("TEC DEPOSITO",C1005)),0,IF(ISNUMBER(FIND("APL APLIC AUT MAIS",C1005)),E1005,IF(E1005&gt;0,E1005,0))))))</f>
        <v>0</v>
      </c>
      <c r="H1005" s="96" t="n">
        <v>44075</v>
      </c>
    </row>
    <row r="1006" customFormat="false" ht="13.8" hidden="false" customHeight="false" outlineLevel="0" collapsed="false">
      <c r="A1006" s="59" t="s">
        <v>65</v>
      </c>
      <c r="B1006" s="85" t="s">
        <v>702</v>
      </c>
      <c r="C1006" s="86" t="s">
        <v>703</v>
      </c>
      <c r="D1006" s="87" t="s">
        <v>64</v>
      </c>
      <c r="E1006" s="89" t="n">
        <v>-41.97</v>
      </c>
      <c r="F1006" s="70" t="n">
        <f aca="false">IF(ISNUMBER(FIND("SALDO ANTERIOR",C1006)),0,IF(ISNUMBER(FIND("SALDO DO DIA",C1006)),0,IF(ISNUMBER(FIND("SALDO PARCIAL",C1006)),0,IF(ISNUMBER(FIND("SDO CTA/APL AUTOMATICAS",C1006)),0,IF(ISNUMBER(FIND("APL APLIC AUT MAIS",C1006)),0,IF(ISNUMBER(FIND("TEC DEPOSITO",C1006)),0,IF(E1006&gt;0,0,E1006*(-1))))))))</f>
        <v>41.97</v>
      </c>
      <c r="G1006" s="97" t="n">
        <f aca="false">IF(ISNUMBER(FIND("SALDO ANTERIOR",C1006)),0,IF(ISNUMBER(FIND("SALDO DO DIA",C1006)),0,IF(ISNUMBER(FIND("SDO CTA/APL AUTOMATICAS",C1006)),0,IF(ISNUMBER(FIND("TEC DEPOSITO",C1006)),0,IF(ISNUMBER(FIND("APL APLIC AUT MAIS",C1006)),E1006,IF(E1006&gt;0,E1006,0))))))</f>
        <v>0</v>
      </c>
      <c r="H1006" s="96" t="n">
        <v>44075</v>
      </c>
    </row>
    <row r="1007" customFormat="false" ht="13.8" hidden="false" customHeight="false" outlineLevel="0" collapsed="false">
      <c r="A1007" s="59" t="s">
        <v>65</v>
      </c>
      <c r="B1007" s="85" t="s">
        <v>702</v>
      </c>
      <c r="C1007" s="86" t="s">
        <v>704</v>
      </c>
      <c r="D1007" s="87" t="s">
        <v>64</v>
      </c>
      <c r="E1007" s="89" t="n">
        <v>-114</v>
      </c>
      <c r="F1007" s="70" t="n">
        <f aca="false">IF(ISNUMBER(FIND("SALDO ANTERIOR",C1007)),0,IF(ISNUMBER(FIND("SALDO DO DIA",C1007)),0,IF(ISNUMBER(FIND("SALDO PARCIAL",C1007)),0,IF(ISNUMBER(FIND("SDO CTA/APL AUTOMATICAS",C1007)),0,IF(ISNUMBER(FIND("APL APLIC AUT MAIS",C1007)),0,IF(ISNUMBER(FIND("TEC DEPOSITO",C1007)),0,IF(E1007&gt;0,0,E1007*(-1))))))))</f>
        <v>114</v>
      </c>
      <c r="G1007" s="97" t="n">
        <f aca="false">IF(ISNUMBER(FIND("SALDO ANTERIOR",C1007)),0,IF(ISNUMBER(FIND("SALDO DO DIA",C1007)),0,IF(ISNUMBER(FIND("SDO CTA/APL AUTOMATICAS",C1007)),0,IF(ISNUMBER(FIND("TEC DEPOSITO",C1007)),0,IF(ISNUMBER(FIND("APL APLIC AUT MAIS",C1007)),E1007,IF(E1007&gt;0,E1007,0))))))</f>
        <v>0</v>
      </c>
      <c r="H1007" s="96" t="n">
        <v>44075</v>
      </c>
    </row>
    <row r="1008" customFormat="false" ht="13.8" hidden="false" customHeight="false" outlineLevel="0" collapsed="false">
      <c r="A1008" s="59" t="s">
        <v>65</v>
      </c>
      <c r="B1008" s="85" t="s">
        <v>702</v>
      </c>
      <c r="C1008" s="86" t="s">
        <v>705</v>
      </c>
      <c r="D1008" s="87" t="s">
        <v>64</v>
      </c>
      <c r="E1008" s="89" t="n">
        <v>-41</v>
      </c>
      <c r="F1008" s="70" t="n">
        <f aca="false">IF(ISNUMBER(FIND("SALDO ANTERIOR",C1008)),0,IF(ISNUMBER(FIND("SALDO DO DIA",C1008)),0,IF(ISNUMBER(FIND("SALDO PARCIAL",C1008)),0,IF(ISNUMBER(FIND("SDO CTA/APL AUTOMATICAS",C1008)),0,IF(ISNUMBER(FIND("APL APLIC AUT MAIS",C1008)),0,IF(ISNUMBER(FIND("TEC DEPOSITO",C1008)),0,IF(E1008&gt;0,0,E1008*(-1))))))))</f>
        <v>41</v>
      </c>
      <c r="G1008" s="97" t="n">
        <f aca="false">IF(ISNUMBER(FIND("SALDO ANTERIOR",C1008)),0,IF(ISNUMBER(FIND("SALDO DO DIA",C1008)),0,IF(ISNUMBER(FIND("SDO CTA/APL AUTOMATICAS",C1008)),0,IF(ISNUMBER(FIND("TEC DEPOSITO",C1008)),0,IF(ISNUMBER(FIND("APL APLIC AUT MAIS",C1008)),E1008,IF(E1008&gt;0,E1008,0))))))</f>
        <v>0</v>
      </c>
      <c r="H1008" s="96" t="n">
        <v>44075</v>
      </c>
    </row>
    <row r="1009" customFormat="false" ht="13.8" hidden="false" customHeight="false" outlineLevel="0" collapsed="false">
      <c r="A1009" s="59" t="s">
        <v>65</v>
      </c>
      <c r="B1009" s="85" t="s">
        <v>702</v>
      </c>
      <c r="C1009" s="86" t="s">
        <v>645</v>
      </c>
      <c r="D1009" s="87" t="s">
        <v>64</v>
      </c>
      <c r="E1009" s="89" t="n">
        <v>-37.5</v>
      </c>
      <c r="F1009" s="70" t="n">
        <f aca="false">IF(ISNUMBER(FIND("SALDO ANTERIOR",C1009)),0,IF(ISNUMBER(FIND("SALDO DO DIA",C1009)),0,IF(ISNUMBER(FIND("SALDO PARCIAL",C1009)),0,IF(ISNUMBER(FIND("SDO CTA/APL AUTOMATICAS",C1009)),0,IF(ISNUMBER(FIND("APL APLIC AUT MAIS",C1009)),0,IF(ISNUMBER(FIND("TEC DEPOSITO",C1009)),0,IF(E1009&gt;0,0,E1009*(-1))))))))</f>
        <v>37.5</v>
      </c>
      <c r="G1009" s="97" t="n">
        <f aca="false">IF(ISNUMBER(FIND("SALDO ANTERIOR",C1009)),0,IF(ISNUMBER(FIND("SALDO DO DIA",C1009)),0,IF(ISNUMBER(FIND("SDO CTA/APL AUTOMATICAS",C1009)),0,IF(ISNUMBER(FIND("TEC DEPOSITO",C1009)),0,IF(ISNUMBER(FIND("APL APLIC AUT MAIS",C1009)),E1009,IF(E1009&gt;0,E1009,0))))))</f>
        <v>0</v>
      </c>
      <c r="H1009" s="96" t="n">
        <v>44075</v>
      </c>
    </row>
    <row r="1010" customFormat="false" ht="13.8" hidden="false" customHeight="false" outlineLevel="0" collapsed="false">
      <c r="A1010" s="59" t="s">
        <v>98</v>
      </c>
      <c r="B1010" s="85" t="s">
        <v>702</v>
      </c>
      <c r="C1010" s="86" t="s">
        <v>180</v>
      </c>
      <c r="D1010" s="87" t="s">
        <v>64</v>
      </c>
      <c r="E1010" s="89" t="n">
        <v>-16.38</v>
      </c>
      <c r="F1010" s="70" t="n">
        <f aca="false">IF(ISNUMBER(FIND("SALDO ANTERIOR",C1010)),0,IF(ISNUMBER(FIND("SALDO DO DIA",C1010)),0,IF(ISNUMBER(FIND("SALDO PARCIAL",C1010)),0,IF(ISNUMBER(FIND("SDO CTA/APL AUTOMATICAS",C1010)),0,IF(ISNUMBER(FIND("APL APLIC AUT MAIS",C1010)),0,IF(ISNUMBER(FIND("TEC DEPOSITO",C1010)),0,IF(E1010&gt;0,0,E1010*(-1))))))))</f>
        <v>16.38</v>
      </c>
      <c r="G1010" s="97" t="n">
        <f aca="false">IF(ISNUMBER(FIND("SALDO ANTERIOR",C1010)),0,IF(ISNUMBER(FIND("SALDO DO DIA",C1010)),0,IF(ISNUMBER(FIND("SDO CTA/APL AUTOMATICAS",C1010)),0,IF(ISNUMBER(FIND("TEC DEPOSITO",C1010)),0,IF(ISNUMBER(FIND("APL APLIC AUT MAIS",C1010)),E1010,IF(E1010&gt;0,E1010,0))))))</f>
        <v>0</v>
      </c>
      <c r="H1010" s="96" t="n">
        <v>44075</v>
      </c>
    </row>
    <row r="1011" customFormat="false" ht="13.8" hidden="false" customHeight="false" outlineLevel="0" collapsed="false">
      <c r="A1011" s="59" t="s">
        <v>98</v>
      </c>
      <c r="B1011" s="85" t="s">
        <v>702</v>
      </c>
      <c r="C1011" s="86" t="s">
        <v>180</v>
      </c>
      <c r="D1011" s="87" t="s">
        <v>64</v>
      </c>
      <c r="E1011" s="89" t="n">
        <v>-17.91</v>
      </c>
      <c r="F1011" s="70" t="n">
        <f aca="false">IF(ISNUMBER(FIND("SALDO ANTERIOR",C1011)),0,IF(ISNUMBER(FIND("SALDO DO DIA",C1011)),0,IF(ISNUMBER(FIND("SALDO PARCIAL",C1011)),0,IF(ISNUMBER(FIND("SDO CTA/APL AUTOMATICAS",C1011)),0,IF(ISNUMBER(FIND("APL APLIC AUT MAIS",C1011)),0,IF(ISNUMBER(FIND("TEC DEPOSITO",C1011)),0,IF(E1011&gt;0,0,E1011*(-1))))))))</f>
        <v>17.91</v>
      </c>
      <c r="G1011" s="97" t="n">
        <f aca="false">IF(ISNUMBER(FIND("SALDO ANTERIOR",C1011)),0,IF(ISNUMBER(FIND("SALDO DO DIA",C1011)),0,IF(ISNUMBER(FIND("SDO CTA/APL AUTOMATICAS",C1011)),0,IF(ISNUMBER(FIND("TEC DEPOSITO",C1011)),0,IF(ISNUMBER(FIND("APL APLIC AUT MAIS",C1011)),E1011,IF(E1011&gt;0,E1011,0))))))</f>
        <v>0</v>
      </c>
      <c r="H1011" s="96" t="n">
        <v>44075</v>
      </c>
    </row>
    <row r="1012" customFormat="false" ht="15" hidden="false" customHeight="false" outlineLevel="0" collapsed="false">
      <c r="A1012" s="59" t="s">
        <v>29</v>
      </c>
      <c r="B1012" s="85" t="s">
        <v>702</v>
      </c>
      <c r="C1012" s="90" t="s">
        <v>494</v>
      </c>
      <c r="D1012" s="87"/>
      <c r="E1012" s="92" t="n">
        <v>-27.32</v>
      </c>
      <c r="F1012" s="70" t="n">
        <f aca="false">IF(ISNUMBER(FIND("SALDO ANTERIOR",C1012)),0,IF(ISNUMBER(FIND("SALDO DO DIA",C1012)),0,IF(ISNUMBER(FIND("SALDO PARCIAL",C1012)),0,IF(ISNUMBER(FIND("SDO CTA/APL AUTOMATICAS",C1012)),0,IF(ISNUMBER(FIND("APL APLIC AUT MAIS",C1012)),0,IF(ISNUMBER(FIND("TEC DEPOSITO",C1012)),0,IF(E1012&gt;0,0,E1012*(-1))))))))</f>
        <v>0</v>
      </c>
      <c r="G1012" s="97" t="n">
        <f aca="false">IF(ISNUMBER(FIND("SALDO ANTERIOR",C1012)),0,IF(ISNUMBER(FIND("SALDO DO DIA",C1012)),0,IF(ISNUMBER(FIND("SDO CTA/APL AUTOMATICAS",C1012)),0,IF(ISNUMBER(FIND("TEC DEPOSITO",C1012)),0,IF(ISNUMBER(FIND("APL APLIC AUT MAIS",C1012)),E1012,IF(E1012&gt;0,E1012,0))))))</f>
        <v>0</v>
      </c>
      <c r="H1012" s="96" t="n">
        <v>44075</v>
      </c>
    </row>
    <row r="1013" customFormat="false" ht="13.8" hidden="false" customHeight="false" outlineLevel="0" collapsed="false">
      <c r="A1013" s="59" t="s">
        <v>203</v>
      </c>
      <c r="B1013" s="85" t="s">
        <v>706</v>
      </c>
      <c r="C1013" s="86" t="s">
        <v>707</v>
      </c>
      <c r="D1013" s="87" t="s">
        <v>478</v>
      </c>
      <c r="E1013" s="89" t="n">
        <v>-100</v>
      </c>
      <c r="F1013" s="70" t="n">
        <f aca="false">IF(ISNUMBER(FIND("SALDO ANTERIOR",C1013)),0,IF(ISNUMBER(FIND("SALDO DO DIA",C1013)),0,IF(ISNUMBER(FIND("SALDO PARCIAL",C1013)),0,IF(ISNUMBER(FIND("SDO CTA/APL AUTOMATICAS",C1013)),0,IF(ISNUMBER(FIND("APL APLIC AUT MAIS",C1013)),0,IF(ISNUMBER(FIND("TEC DEPOSITO",C1013)),0,IF(E1013&gt;0,0,E1013*(-1))))))))</f>
        <v>100</v>
      </c>
      <c r="G1013" s="97" t="n">
        <f aca="false">IF(ISNUMBER(FIND("SALDO ANTERIOR",C1013)),0,IF(ISNUMBER(FIND("SALDO DO DIA",C1013)),0,IF(ISNUMBER(FIND("SDO CTA/APL AUTOMATICAS",C1013)),0,IF(ISNUMBER(FIND("TEC DEPOSITO",C1013)),0,IF(ISNUMBER(FIND("APL APLIC AUT MAIS",C1013)),E1013,IF(E1013&gt;0,E1013,0))))))</f>
        <v>0</v>
      </c>
      <c r="H1013" s="96" t="n">
        <v>44075</v>
      </c>
    </row>
    <row r="1014" customFormat="false" ht="13.8" hidden="false" customHeight="false" outlineLevel="0" collapsed="false">
      <c r="A1014" s="59" t="s">
        <v>65</v>
      </c>
      <c r="B1014" s="85" t="s">
        <v>706</v>
      </c>
      <c r="C1014" s="86" t="s">
        <v>454</v>
      </c>
      <c r="D1014" s="87" t="s">
        <v>64</v>
      </c>
      <c r="E1014" s="89" t="n">
        <v>-34.99</v>
      </c>
      <c r="F1014" s="70" t="n">
        <f aca="false">IF(ISNUMBER(FIND("SALDO ANTERIOR",C1014)),0,IF(ISNUMBER(FIND("SALDO DO DIA",C1014)),0,IF(ISNUMBER(FIND("SALDO PARCIAL",C1014)),0,IF(ISNUMBER(FIND("SDO CTA/APL AUTOMATICAS",C1014)),0,IF(ISNUMBER(FIND("APL APLIC AUT MAIS",C1014)),0,IF(ISNUMBER(FIND("TEC DEPOSITO",C1014)),0,IF(E1014&gt;0,0,E1014*(-1))))))))</f>
        <v>34.99</v>
      </c>
      <c r="G1014" s="97" t="n">
        <f aca="false">IF(ISNUMBER(FIND("SALDO ANTERIOR",C1014)),0,IF(ISNUMBER(FIND("SALDO DO DIA",C1014)),0,IF(ISNUMBER(FIND("SDO CTA/APL AUTOMATICAS",C1014)),0,IF(ISNUMBER(FIND("TEC DEPOSITO",C1014)),0,IF(ISNUMBER(FIND("APL APLIC AUT MAIS",C1014)),E1014,IF(E1014&gt;0,E1014,0))))))</f>
        <v>0</v>
      </c>
      <c r="H1014" s="96" t="n">
        <v>44075</v>
      </c>
    </row>
    <row r="1015" customFormat="false" ht="13.8" hidden="false" customHeight="false" outlineLevel="0" collapsed="false">
      <c r="A1015" s="59" t="s">
        <v>76</v>
      </c>
      <c r="B1015" s="85" t="s">
        <v>706</v>
      </c>
      <c r="C1015" s="86" t="s">
        <v>92</v>
      </c>
      <c r="D1015" s="87" t="s">
        <v>64</v>
      </c>
      <c r="E1015" s="89" t="n">
        <v>-23.8</v>
      </c>
      <c r="F1015" s="70" t="n">
        <f aca="false">IF(ISNUMBER(FIND("SALDO ANTERIOR",C1015)),0,IF(ISNUMBER(FIND("SALDO DO DIA",C1015)),0,IF(ISNUMBER(FIND("SALDO PARCIAL",C1015)),0,IF(ISNUMBER(FIND("SDO CTA/APL AUTOMATICAS",C1015)),0,IF(ISNUMBER(FIND("APL APLIC AUT MAIS",C1015)),0,IF(ISNUMBER(FIND("TEC DEPOSITO",C1015)),0,IF(E1015&gt;0,0,E1015*(-1))))))))</f>
        <v>23.8</v>
      </c>
      <c r="G1015" s="97" t="n">
        <f aca="false">IF(ISNUMBER(FIND("SALDO ANTERIOR",C1015)),0,IF(ISNUMBER(FIND("SALDO DO DIA",C1015)),0,IF(ISNUMBER(FIND("SDO CTA/APL AUTOMATICAS",C1015)),0,IF(ISNUMBER(FIND("TEC DEPOSITO",C1015)),0,IF(ISNUMBER(FIND("APL APLIC AUT MAIS",C1015)),E1015,IF(E1015&gt;0,E1015,0))))))</f>
        <v>0</v>
      </c>
      <c r="H1015" s="96" t="n">
        <v>44075</v>
      </c>
    </row>
    <row r="1016" customFormat="false" ht="13.8" hidden="false" customHeight="false" outlineLevel="0" collapsed="false">
      <c r="A1016" s="59" t="s">
        <v>316</v>
      </c>
      <c r="B1016" s="85" t="s">
        <v>706</v>
      </c>
      <c r="C1016" s="86" t="s">
        <v>479</v>
      </c>
      <c r="D1016" s="87" t="s">
        <v>64</v>
      </c>
      <c r="E1016" s="89" t="n">
        <v>-67</v>
      </c>
      <c r="F1016" s="70" t="n">
        <f aca="false">IF(ISNUMBER(FIND("SALDO ANTERIOR",C1016)),0,IF(ISNUMBER(FIND("SALDO DO DIA",C1016)),0,IF(ISNUMBER(FIND("SALDO PARCIAL",C1016)),0,IF(ISNUMBER(FIND("SDO CTA/APL AUTOMATICAS",C1016)),0,IF(ISNUMBER(FIND("APL APLIC AUT MAIS",C1016)),0,IF(ISNUMBER(FIND("TEC DEPOSITO",C1016)),0,IF(E1016&gt;0,0,E1016*(-1))))))))</f>
        <v>67</v>
      </c>
      <c r="G1016" s="97" t="n">
        <f aca="false">IF(ISNUMBER(FIND("SALDO ANTERIOR",C1016)),0,IF(ISNUMBER(FIND("SALDO DO DIA",C1016)),0,IF(ISNUMBER(FIND("SDO CTA/APL AUTOMATICAS",C1016)),0,IF(ISNUMBER(FIND("TEC DEPOSITO",C1016)),0,IF(ISNUMBER(FIND("APL APLIC AUT MAIS",C1016)),E1016,IF(E1016&gt;0,E1016,0))))))</f>
        <v>0</v>
      </c>
      <c r="H1016" s="96" t="n">
        <v>44075</v>
      </c>
    </row>
    <row r="1017" customFormat="false" ht="13.8" hidden="false" customHeight="false" outlineLevel="0" collapsed="false">
      <c r="A1017" s="59" t="s">
        <v>98</v>
      </c>
      <c r="B1017" s="85" t="s">
        <v>706</v>
      </c>
      <c r="C1017" s="86" t="s">
        <v>99</v>
      </c>
      <c r="D1017" s="87" t="s">
        <v>64</v>
      </c>
      <c r="E1017" s="89" t="n">
        <v>-80.2</v>
      </c>
      <c r="F1017" s="70" t="n">
        <f aca="false">IF(ISNUMBER(FIND("SALDO ANTERIOR",C1017)),0,IF(ISNUMBER(FIND("SALDO DO DIA",C1017)),0,IF(ISNUMBER(FIND("SALDO PARCIAL",C1017)),0,IF(ISNUMBER(FIND("SDO CTA/APL AUTOMATICAS",C1017)),0,IF(ISNUMBER(FIND("APL APLIC AUT MAIS",C1017)),0,IF(ISNUMBER(FIND("TEC DEPOSITO",C1017)),0,IF(E1017&gt;0,0,E1017*(-1))))))))</f>
        <v>80.2</v>
      </c>
      <c r="G1017" s="97" t="n">
        <f aca="false">IF(ISNUMBER(FIND("SALDO ANTERIOR",C1017)),0,IF(ISNUMBER(FIND("SALDO DO DIA",C1017)),0,IF(ISNUMBER(FIND("SDO CTA/APL AUTOMATICAS",C1017)),0,IF(ISNUMBER(FIND("TEC DEPOSITO",C1017)),0,IF(ISNUMBER(FIND("APL APLIC AUT MAIS",C1017)),E1017,IF(E1017&gt;0,E1017,0))))))</f>
        <v>0</v>
      </c>
      <c r="H1017" s="96" t="n">
        <v>44075</v>
      </c>
    </row>
    <row r="1018" customFormat="false" ht="13.8" hidden="false" customHeight="false" outlineLevel="0" collapsed="false">
      <c r="A1018" s="59" t="s">
        <v>98</v>
      </c>
      <c r="B1018" s="85" t="s">
        <v>706</v>
      </c>
      <c r="C1018" s="86" t="s">
        <v>180</v>
      </c>
      <c r="D1018" s="87" t="s">
        <v>64</v>
      </c>
      <c r="E1018" s="89" t="n">
        <v>-61.18</v>
      </c>
      <c r="F1018" s="70" t="n">
        <f aca="false">IF(ISNUMBER(FIND("SALDO ANTERIOR",C1018)),0,IF(ISNUMBER(FIND("SALDO DO DIA",C1018)),0,IF(ISNUMBER(FIND("SALDO PARCIAL",C1018)),0,IF(ISNUMBER(FIND("SDO CTA/APL AUTOMATICAS",C1018)),0,IF(ISNUMBER(FIND("APL APLIC AUT MAIS",C1018)),0,IF(ISNUMBER(FIND("TEC DEPOSITO",C1018)),0,IF(E1018&gt;0,0,E1018*(-1))))))))</f>
        <v>61.18</v>
      </c>
      <c r="G1018" s="97" t="n">
        <f aca="false">IF(ISNUMBER(FIND("SALDO ANTERIOR",C1018)),0,IF(ISNUMBER(FIND("SALDO DO DIA",C1018)),0,IF(ISNUMBER(FIND("SDO CTA/APL AUTOMATICAS",C1018)),0,IF(ISNUMBER(FIND("TEC DEPOSITO",C1018)),0,IF(ISNUMBER(FIND("APL APLIC AUT MAIS",C1018)),E1018,IF(E1018&gt;0,E1018,0))))))</f>
        <v>0</v>
      </c>
      <c r="H1018" s="96" t="n">
        <v>44075</v>
      </c>
    </row>
    <row r="1019" customFormat="false" ht="13.8" hidden="false" customHeight="false" outlineLevel="0" collapsed="false">
      <c r="A1019" s="59" t="s">
        <v>98</v>
      </c>
      <c r="B1019" s="85" t="s">
        <v>706</v>
      </c>
      <c r="C1019" s="86" t="s">
        <v>180</v>
      </c>
      <c r="D1019" s="87" t="s">
        <v>64</v>
      </c>
      <c r="E1019" s="89" t="n">
        <v>-25.38</v>
      </c>
      <c r="F1019" s="70" t="n">
        <f aca="false">IF(ISNUMBER(FIND("SALDO ANTERIOR",C1019)),0,IF(ISNUMBER(FIND("SALDO DO DIA",C1019)),0,IF(ISNUMBER(FIND("SALDO PARCIAL",C1019)),0,IF(ISNUMBER(FIND("SDO CTA/APL AUTOMATICAS",C1019)),0,IF(ISNUMBER(FIND("APL APLIC AUT MAIS",C1019)),0,IF(ISNUMBER(FIND("TEC DEPOSITO",C1019)),0,IF(E1019&gt;0,0,E1019*(-1))))))))</f>
        <v>25.38</v>
      </c>
      <c r="G1019" s="97" t="n">
        <f aca="false">IF(ISNUMBER(FIND("SALDO ANTERIOR",C1019)),0,IF(ISNUMBER(FIND("SALDO DO DIA",C1019)),0,IF(ISNUMBER(FIND("SDO CTA/APL AUTOMATICAS",C1019)),0,IF(ISNUMBER(FIND("TEC DEPOSITO",C1019)),0,IF(ISNUMBER(FIND("APL APLIC AUT MAIS",C1019)),E1019,IF(E1019&gt;0,E1019,0))))))</f>
        <v>0</v>
      </c>
      <c r="H1019" s="96" t="n">
        <v>44075</v>
      </c>
    </row>
    <row r="1020" customFormat="false" ht="15" hidden="false" customHeight="false" outlineLevel="0" collapsed="false">
      <c r="A1020" s="59" t="s">
        <v>29</v>
      </c>
      <c r="B1020" s="85" t="s">
        <v>706</v>
      </c>
      <c r="C1020" s="90" t="s">
        <v>494</v>
      </c>
      <c r="D1020" s="87"/>
      <c r="E1020" s="92" t="n">
        <v>-419.87</v>
      </c>
      <c r="F1020" s="70" t="n">
        <f aca="false">IF(ISNUMBER(FIND("SALDO ANTERIOR",C1020)),0,IF(ISNUMBER(FIND("SALDO DO DIA",C1020)),0,IF(ISNUMBER(FIND("SALDO PARCIAL",C1020)),0,IF(ISNUMBER(FIND("SDO CTA/APL AUTOMATICAS",C1020)),0,IF(ISNUMBER(FIND("APL APLIC AUT MAIS",C1020)),0,IF(ISNUMBER(FIND("TEC DEPOSITO",C1020)),0,IF(E1020&gt;0,0,E1020*(-1))))))))</f>
        <v>0</v>
      </c>
      <c r="G1020" s="97" t="n">
        <f aca="false">IF(ISNUMBER(FIND("SALDO ANTERIOR",C1020)),0,IF(ISNUMBER(FIND("SALDO DO DIA",C1020)),0,IF(ISNUMBER(FIND("SDO CTA/APL AUTOMATICAS",C1020)),0,IF(ISNUMBER(FIND("TEC DEPOSITO",C1020)),0,IF(ISNUMBER(FIND("APL APLIC AUT MAIS",C1020)),E1020,IF(E1020&gt;0,E1020,0))))))</f>
        <v>0</v>
      </c>
      <c r="H1020" s="96" t="n">
        <v>44075</v>
      </c>
    </row>
    <row r="1021" customFormat="false" ht="13.8" hidden="false" customHeight="false" outlineLevel="0" collapsed="false">
      <c r="A1021" s="59" t="s">
        <v>35</v>
      </c>
      <c r="B1021" s="85" t="s">
        <v>708</v>
      </c>
      <c r="C1021" s="86" t="s">
        <v>168</v>
      </c>
      <c r="D1021" s="87" t="s">
        <v>61</v>
      </c>
      <c r="E1021" s="89" t="n">
        <v>-2000</v>
      </c>
      <c r="F1021" s="70" t="n">
        <f aca="false">IF(ISNUMBER(FIND("SALDO ANTERIOR",C1021)),0,IF(ISNUMBER(FIND("SALDO DO DIA",C1021)),0,IF(ISNUMBER(FIND("SALDO PARCIAL",C1021)),0,IF(ISNUMBER(FIND("SDO CTA/APL AUTOMATICAS",C1021)),0,IF(ISNUMBER(FIND("APL APLIC AUT MAIS",C1021)),0,IF(ISNUMBER(FIND("TEC DEPOSITO",C1021)),0,IF(E1021&gt;0,0,E1021*(-1))))))))</f>
        <v>2000</v>
      </c>
      <c r="G1021" s="97" t="n">
        <f aca="false">IF(ISNUMBER(FIND("SALDO ANTERIOR",C1021)),0,IF(ISNUMBER(FIND("SALDO DO DIA",C1021)),0,IF(ISNUMBER(FIND("SDO CTA/APL AUTOMATICAS",C1021)),0,IF(ISNUMBER(FIND("TEC DEPOSITO",C1021)),0,IF(ISNUMBER(FIND("APL APLIC AUT MAIS",C1021)),E1021,IF(E1021&gt;0,E1021,0))))))</f>
        <v>0</v>
      </c>
      <c r="H1021" s="96" t="n">
        <v>44075</v>
      </c>
    </row>
    <row r="1022" customFormat="false" ht="13.8" hidden="false" customHeight="false" outlineLevel="0" collapsed="false">
      <c r="A1022" s="59" t="s">
        <v>76</v>
      </c>
      <c r="B1022" s="85" t="s">
        <v>708</v>
      </c>
      <c r="C1022" s="86" t="s">
        <v>709</v>
      </c>
      <c r="D1022" s="87" t="s">
        <v>64</v>
      </c>
      <c r="E1022" s="89" t="n">
        <v>-5</v>
      </c>
      <c r="F1022" s="70" t="n">
        <f aca="false">IF(ISNUMBER(FIND("SALDO ANTERIOR",C1022)),0,IF(ISNUMBER(FIND("SALDO DO DIA",C1022)),0,IF(ISNUMBER(FIND("SALDO PARCIAL",C1022)),0,IF(ISNUMBER(FIND("SDO CTA/APL AUTOMATICAS",C1022)),0,IF(ISNUMBER(FIND("APL APLIC AUT MAIS",C1022)),0,IF(ISNUMBER(FIND("TEC DEPOSITO",C1022)),0,IF(E1022&gt;0,0,E1022*(-1))))))))</f>
        <v>5</v>
      </c>
      <c r="G1022" s="97" t="n">
        <f aca="false">IF(ISNUMBER(FIND("SALDO ANTERIOR",C1022)),0,IF(ISNUMBER(FIND("SALDO DO DIA",C1022)),0,IF(ISNUMBER(FIND("SDO CTA/APL AUTOMATICAS",C1022)),0,IF(ISNUMBER(FIND("TEC DEPOSITO",C1022)),0,IF(ISNUMBER(FIND("APL APLIC AUT MAIS",C1022)),E1022,IF(E1022&gt;0,E1022,0))))))</f>
        <v>0</v>
      </c>
      <c r="H1022" s="96" t="n">
        <v>44075</v>
      </c>
    </row>
    <row r="1023" customFormat="false" ht="13.8" hidden="false" customHeight="false" outlineLevel="0" collapsed="false">
      <c r="A1023" s="59" t="s">
        <v>76</v>
      </c>
      <c r="B1023" s="85" t="s">
        <v>708</v>
      </c>
      <c r="C1023" s="86" t="s">
        <v>709</v>
      </c>
      <c r="D1023" s="87" t="s">
        <v>64</v>
      </c>
      <c r="E1023" s="89" t="n">
        <v>-7</v>
      </c>
      <c r="F1023" s="70" t="n">
        <f aca="false">IF(ISNUMBER(FIND("SALDO ANTERIOR",C1023)),0,IF(ISNUMBER(FIND("SALDO DO DIA",C1023)),0,IF(ISNUMBER(FIND("SALDO PARCIAL",C1023)),0,IF(ISNUMBER(FIND("SDO CTA/APL AUTOMATICAS",C1023)),0,IF(ISNUMBER(FIND("APL APLIC AUT MAIS",C1023)),0,IF(ISNUMBER(FIND("TEC DEPOSITO",C1023)),0,IF(E1023&gt;0,0,E1023*(-1))))))))</f>
        <v>7</v>
      </c>
      <c r="G1023" s="97" t="n">
        <f aca="false">IF(ISNUMBER(FIND("SALDO ANTERIOR",C1023)),0,IF(ISNUMBER(FIND("SALDO DO DIA",C1023)),0,IF(ISNUMBER(FIND("SDO CTA/APL AUTOMATICAS",C1023)),0,IF(ISNUMBER(FIND("TEC DEPOSITO",C1023)),0,IF(ISNUMBER(FIND("APL APLIC AUT MAIS",C1023)),E1023,IF(E1023&gt;0,E1023,0))))))</f>
        <v>0</v>
      </c>
      <c r="H1023" s="96" t="n">
        <v>44075</v>
      </c>
    </row>
    <row r="1024" customFormat="false" ht="13.8" hidden="false" customHeight="false" outlineLevel="0" collapsed="false">
      <c r="A1024" s="59" t="s">
        <v>74</v>
      </c>
      <c r="B1024" s="85" t="s">
        <v>708</v>
      </c>
      <c r="C1024" s="86" t="s">
        <v>156</v>
      </c>
      <c r="D1024" s="87" t="s">
        <v>64</v>
      </c>
      <c r="E1024" s="89" t="n">
        <v>-21.99</v>
      </c>
      <c r="F1024" s="70" t="n">
        <f aca="false">IF(ISNUMBER(FIND("SALDO ANTERIOR",C1024)),0,IF(ISNUMBER(FIND("SALDO DO DIA",C1024)),0,IF(ISNUMBER(FIND("SALDO PARCIAL",C1024)),0,IF(ISNUMBER(FIND("SDO CTA/APL AUTOMATICAS",C1024)),0,IF(ISNUMBER(FIND("APL APLIC AUT MAIS",C1024)),0,IF(ISNUMBER(FIND("TEC DEPOSITO",C1024)),0,IF(E1024&gt;0,0,E1024*(-1))))))))</f>
        <v>21.99</v>
      </c>
      <c r="G1024" s="97" t="n">
        <f aca="false">IF(ISNUMBER(FIND("SALDO ANTERIOR",C1024)),0,IF(ISNUMBER(FIND("SALDO DO DIA",C1024)),0,IF(ISNUMBER(FIND("SDO CTA/APL AUTOMATICAS",C1024)),0,IF(ISNUMBER(FIND("TEC DEPOSITO",C1024)),0,IF(ISNUMBER(FIND("APL APLIC AUT MAIS",C1024)),E1024,IF(E1024&gt;0,E1024,0))))))</f>
        <v>0</v>
      </c>
      <c r="H1024" s="96" t="n">
        <v>44075</v>
      </c>
    </row>
    <row r="1025" customFormat="false" ht="13.8" hidden="false" customHeight="false" outlineLevel="0" collapsed="false">
      <c r="A1025" s="59" t="s">
        <v>474</v>
      </c>
      <c r="B1025" s="85" t="s">
        <v>708</v>
      </c>
      <c r="C1025" s="86" t="s">
        <v>710</v>
      </c>
      <c r="D1025" s="87" t="s">
        <v>61</v>
      </c>
      <c r="E1025" s="89" t="n">
        <v>-198</v>
      </c>
      <c r="F1025" s="70" t="n">
        <f aca="false">IF(ISNUMBER(FIND("SALDO ANTERIOR",C1025)),0,IF(ISNUMBER(FIND("SALDO DO DIA",C1025)),0,IF(ISNUMBER(FIND("SALDO PARCIAL",C1025)),0,IF(ISNUMBER(FIND("SDO CTA/APL AUTOMATICAS",C1025)),0,IF(ISNUMBER(FIND("APL APLIC AUT MAIS",C1025)),0,IF(ISNUMBER(FIND("TEC DEPOSITO",C1025)),0,IF(E1025&gt;0,0,E1025*(-1))))))))</f>
        <v>198</v>
      </c>
      <c r="G1025" s="97" t="n">
        <f aca="false">IF(ISNUMBER(FIND("SALDO ANTERIOR",C1025)),0,IF(ISNUMBER(FIND("SALDO DO DIA",C1025)),0,IF(ISNUMBER(FIND("SDO CTA/APL AUTOMATICAS",C1025)),0,IF(ISNUMBER(FIND("TEC DEPOSITO",C1025)),0,IF(ISNUMBER(FIND("APL APLIC AUT MAIS",C1025)),E1025,IF(E1025&gt;0,E1025,0))))))</f>
        <v>0</v>
      </c>
      <c r="H1025" s="96" t="n">
        <v>44075</v>
      </c>
    </row>
    <row r="1026" customFormat="false" ht="13.8" hidden="false" customHeight="false" outlineLevel="0" collapsed="false">
      <c r="A1026" s="59" t="s">
        <v>127</v>
      </c>
      <c r="B1026" s="85" t="s">
        <v>708</v>
      </c>
      <c r="C1026" s="86" t="s">
        <v>128</v>
      </c>
      <c r="D1026" s="87"/>
      <c r="E1026" s="88" t="n">
        <v>3174.77</v>
      </c>
      <c r="F1026" s="70" t="n">
        <f aca="false">IF(ISNUMBER(FIND("SALDO ANTERIOR",C1026)),0,IF(ISNUMBER(FIND("SALDO DO DIA",C1026)),0,IF(ISNUMBER(FIND("SALDO PARCIAL",C1026)),0,IF(ISNUMBER(FIND("SDO CTA/APL AUTOMATICAS",C1026)),0,IF(ISNUMBER(FIND("APL APLIC AUT MAIS",C1026)),0,IF(ISNUMBER(FIND("TEC DEPOSITO",C1026)),0,IF(E1026&gt;0,0,E1026*(-1))))))))</f>
        <v>0</v>
      </c>
      <c r="G1026" s="97" t="n">
        <f aca="false">IF(ISNUMBER(FIND("SALDO ANTERIOR",C1026)),0,IF(ISNUMBER(FIND("SALDO DO DIA",C1026)),0,IF(ISNUMBER(FIND("SDO CTA/APL AUTOMATICAS",C1026)),0,IF(ISNUMBER(FIND("TEC DEPOSITO",C1026)),0,IF(ISNUMBER(FIND("APL APLIC AUT MAIS",C1026)),E1026,IF(E1026&gt;0,E1026,0))))))</f>
        <v>3174.77</v>
      </c>
      <c r="H1026" s="96" t="n">
        <v>44075</v>
      </c>
    </row>
    <row r="1027" customFormat="false" ht="15" hidden="false" customHeight="false" outlineLevel="0" collapsed="false">
      <c r="A1027" s="59" t="s">
        <v>29</v>
      </c>
      <c r="B1027" s="85" t="s">
        <v>708</v>
      </c>
      <c r="C1027" s="90" t="s">
        <v>521</v>
      </c>
      <c r="D1027" s="87"/>
      <c r="E1027" s="91" t="n">
        <v>512.91</v>
      </c>
      <c r="F1027" s="70" t="n">
        <f aca="false">IF(ISNUMBER(FIND("SALDO ANTERIOR",C1027)),0,IF(ISNUMBER(FIND("SALDO DO DIA",C1027)),0,IF(ISNUMBER(FIND("SALDO PARCIAL",C1027)),0,IF(ISNUMBER(FIND("SDO CTA/APL AUTOMATICAS",C1027)),0,IF(ISNUMBER(FIND("APL APLIC AUT MAIS",C1027)),0,IF(ISNUMBER(FIND("TEC DEPOSITO",C1027)),0,IF(E1027&gt;0,0,E1027*(-1))))))))</f>
        <v>0</v>
      </c>
      <c r="G1027" s="97" t="n">
        <f aca="false">IF(ISNUMBER(FIND("SALDO ANTERIOR",C1027)),0,IF(ISNUMBER(FIND("SALDO DO DIA",C1027)),0,IF(ISNUMBER(FIND("SDO CTA/APL AUTOMATICAS",C1027)),0,IF(ISNUMBER(FIND("TEC DEPOSITO",C1027)),0,IF(ISNUMBER(FIND("APL APLIC AUT MAIS",C1027)),E1027,IF(E1027&gt;0,E1027,0))))))</f>
        <v>0</v>
      </c>
      <c r="H1027" s="96" t="n">
        <v>44075</v>
      </c>
    </row>
    <row r="1028" customFormat="false" ht="15" hidden="false" customHeight="false" outlineLevel="0" collapsed="false">
      <c r="A1028" s="59" t="s">
        <v>29</v>
      </c>
      <c r="B1028" s="85" t="s">
        <v>708</v>
      </c>
      <c r="C1028" s="90" t="s">
        <v>494</v>
      </c>
      <c r="D1028" s="87"/>
      <c r="E1028" s="91" t="n">
        <v>10</v>
      </c>
      <c r="F1028" s="70" t="n">
        <f aca="false">IF(ISNUMBER(FIND("SALDO ANTERIOR",C1028)),0,IF(ISNUMBER(FIND("SALDO DO DIA",C1028)),0,IF(ISNUMBER(FIND("SALDO PARCIAL",C1028)),0,IF(ISNUMBER(FIND("SDO CTA/APL AUTOMATICAS",C1028)),0,IF(ISNUMBER(FIND("APL APLIC AUT MAIS",C1028)),0,IF(ISNUMBER(FIND("TEC DEPOSITO",C1028)),0,IF(E1028&gt;0,0,E1028*(-1))))))))</f>
        <v>0</v>
      </c>
      <c r="G1028" s="97" t="n">
        <f aca="false">IF(ISNUMBER(FIND("SALDO ANTERIOR",C1028)),0,IF(ISNUMBER(FIND("SALDO DO DIA",C1028)),0,IF(ISNUMBER(FIND("SDO CTA/APL AUTOMATICAS",C1028)),0,IF(ISNUMBER(FIND("TEC DEPOSITO",C1028)),0,IF(ISNUMBER(FIND("APL APLIC AUT MAIS",C1028)),E1028,IF(E1028&gt;0,E1028,0))))))</f>
        <v>0</v>
      </c>
      <c r="H1028" s="96" t="n">
        <v>44075</v>
      </c>
    </row>
    <row r="1029" customFormat="false" ht="15" hidden="false" customHeight="false" outlineLevel="0" collapsed="false">
      <c r="A1029" s="59" t="s">
        <v>29</v>
      </c>
      <c r="B1029" s="74" t="s">
        <v>708</v>
      </c>
      <c r="C1029" s="83" t="s">
        <v>111</v>
      </c>
      <c r="D1029" s="76"/>
      <c r="E1029" s="93" t="n">
        <v>522.91</v>
      </c>
      <c r="F1029" s="99" t="n">
        <f aca="false">IF(ISNUMBER(FIND("SALDO ANTERIOR",C1029)),0,IF(ISNUMBER(FIND("SALDO DO DIA",C1029)),0,IF(ISNUMBER(FIND("SALDO PARCIAL",C1029)),0,IF(ISNUMBER(FIND("SDO CTA/APL AUTOMATICAS",C1029)),0,IF(ISNUMBER(FIND("APL APLIC AUT MAIS",C1029)),0,IF(ISNUMBER(FIND("TEC DEPOSITO",C1029)),0,IF(E1029&gt;0,0,E1029*(-1))))))))</f>
        <v>0</v>
      </c>
      <c r="G1029" s="100" t="n">
        <f aca="false">IF(ISNUMBER(FIND("SALDO ANTERIOR",C1029)),0,IF(ISNUMBER(FIND("SALDO DO DIA",C1029)),0,IF(ISNUMBER(FIND("SDO CTA/APL AUTOMATICAS",C1029)),0,IF(ISNUMBER(FIND("TEC DEPOSITO",C1029)),0,IF(ISNUMBER(FIND("APL APLIC AUT MAIS",C1029)),E1029,IF(E1029&gt;0,E1029,0))))))</f>
        <v>0</v>
      </c>
      <c r="H1029" s="101" t="n">
        <v>44105</v>
      </c>
    </row>
    <row r="1030" customFormat="false" ht="15" hidden="false" customHeight="false" outlineLevel="0" collapsed="false">
      <c r="A1030" s="59" t="s">
        <v>29</v>
      </c>
      <c r="B1030" s="74" t="s">
        <v>711</v>
      </c>
      <c r="C1030" s="83" t="s">
        <v>521</v>
      </c>
      <c r="D1030" s="76"/>
      <c r="E1030" s="93" t="n">
        <v>522.91</v>
      </c>
      <c r="F1030" s="99" t="n">
        <f aca="false">IF(ISNUMBER(FIND("SALDO ANTERIOR",C1030)),0,IF(ISNUMBER(FIND("SALDO DO DIA",C1030)),0,IF(ISNUMBER(FIND("SALDO PARCIAL",C1030)),0,IF(ISNUMBER(FIND("SDO CTA/APL AUTOMATICAS",C1030)),0,IF(ISNUMBER(FIND("APL APLIC AUT MAIS",C1030)),0,IF(ISNUMBER(FIND("TEC DEPOSITO",C1030)),0,IF(E1030&gt;0,0,E1030*(-1))))))))</f>
        <v>0</v>
      </c>
      <c r="G1030" s="100" t="n">
        <f aca="false">IF(ISNUMBER(FIND("SALDO ANTERIOR",C1030)),0,IF(ISNUMBER(FIND("SALDO DO DIA",C1030)),0,IF(ISNUMBER(FIND("SDO CTA/APL AUTOMATICAS",C1030)),0,IF(ISNUMBER(FIND("TEC DEPOSITO",C1030)),0,IF(ISNUMBER(FIND("APL APLIC AUT MAIS",C1030)),E1030,IF(E1030&gt;0,E1030,0))))))</f>
        <v>0</v>
      </c>
      <c r="H1030" s="101" t="n">
        <v>44105</v>
      </c>
    </row>
    <row r="1031" customFormat="false" ht="13.8" hidden="false" customHeight="false" outlineLevel="0" collapsed="false">
      <c r="A1031" s="59" t="s">
        <v>67</v>
      </c>
      <c r="B1031" s="74" t="s">
        <v>712</v>
      </c>
      <c r="C1031" s="75" t="s">
        <v>713</v>
      </c>
      <c r="D1031" s="76" t="s">
        <v>82</v>
      </c>
      <c r="E1031" s="81" t="n">
        <v>-76.9</v>
      </c>
      <c r="F1031" s="99" t="n">
        <f aca="false">IF(ISNUMBER(FIND("SALDO ANTERIOR",C1031)),0,IF(ISNUMBER(FIND("SALDO DO DIA",C1031)),0,IF(ISNUMBER(FIND("SALDO PARCIAL",C1031)),0,IF(ISNUMBER(FIND("SDO CTA/APL AUTOMATICAS",C1031)),0,IF(ISNUMBER(FIND("APL APLIC AUT MAIS",C1031)),0,IF(ISNUMBER(FIND("TEC DEPOSITO",C1031)),0,IF(E1031&gt;0,0,E1031*(-1))))))))</f>
        <v>76.9</v>
      </c>
      <c r="G1031" s="100" t="n">
        <f aca="false">IF(ISNUMBER(FIND("SALDO ANTERIOR",C1031)),0,IF(ISNUMBER(FIND("SALDO DO DIA",C1031)),0,IF(ISNUMBER(FIND("SDO CTA/APL AUTOMATICAS",C1031)),0,IF(ISNUMBER(FIND("TEC DEPOSITO",C1031)),0,IF(ISNUMBER(FIND("APL APLIC AUT MAIS",C1031)),E1031,IF(E1031&gt;0,E1031,0))))))</f>
        <v>0</v>
      </c>
      <c r="H1031" s="101" t="n">
        <v>44105</v>
      </c>
    </row>
    <row r="1032" customFormat="false" ht="15" hidden="false" customHeight="false" outlineLevel="0" collapsed="false">
      <c r="A1032" s="59" t="s">
        <v>29</v>
      </c>
      <c r="B1032" s="74" t="s">
        <v>712</v>
      </c>
      <c r="C1032" s="83" t="s">
        <v>521</v>
      </c>
      <c r="D1032" s="76"/>
      <c r="E1032" s="93" t="n">
        <v>446.01</v>
      </c>
      <c r="F1032" s="99" t="n">
        <f aca="false">IF(ISNUMBER(FIND("SALDO ANTERIOR",C1032)),0,IF(ISNUMBER(FIND("SALDO DO DIA",C1032)),0,IF(ISNUMBER(FIND("SALDO PARCIAL",C1032)),0,IF(ISNUMBER(FIND("SDO CTA/APL AUTOMATICAS",C1032)),0,IF(ISNUMBER(FIND("APL APLIC AUT MAIS",C1032)),0,IF(ISNUMBER(FIND("TEC DEPOSITO",C1032)),0,IF(E1032&gt;0,0,E1032*(-1))))))))</f>
        <v>0</v>
      </c>
      <c r="G1032" s="100" t="n">
        <f aca="false">IF(ISNUMBER(FIND("SALDO ANTERIOR",C1032)),0,IF(ISNUMBER(FIND("SALDO DO DIA",C1032)),0,IF(ISNUMBER(FIND("SDO CTA/APL AUTOMATICAS",C1032)),0,IF(ISNUMBER(FIND("TEC DEPOSITO",C1032)),0,IF(ISNUMBER(FIND("APL APLIC AUT MAIS",C1032)),E1032,IF(E1032&gt;0,E1032,0))))))</f>
        <v>0</v>
      </c>
      <c r="H1032" s="101" t="n">
        <v>44105</v>
      </c>
    </row>
    <row r="1033" customFormat="false" ht="13.8" hidden="false" customHeight="false" outlineLevel="0" collapsed="false">
      <c r="A1033" s="59" t="s">
        <v>203</v>
      </c>
      <c r="B1033" s="74" t="s">
        <v>714</v>
      </c>
      <c r="C1033" s="75" t="s">
        <v>715</v>
      </c>
      <c r="D1033" s="76" t="s">
        <v>478</v>
      </c>
      <c r="E1033" s="81" t="n">
        <v>-100</v>
      </c>
      <c r="F1033" s="99" t="n">
        <f aca="false">IF(ISNUMBER(FIND("SALDO ANTERIOR",C1033)),0,IF(ISNUMBER(FIND("SALDO DO DIA",C1033)),0,IF(ISNUMBER(FIND("SALDO PARCIAL",C1033)),0,IF(ISNUMBER(FIND("SDO CTA/APL AUTOMATICAS",C1033)),0,IF(ISNUMBER(FIND("APL APLIC AUT MAIS",C1033)),0,IF(ISNUMBER(FIND("TEC DEPOSITO",C1033)),0,IF(E1033&gt;0,0,E1033*(-1))))))))</f>
        <v>100</v>
      </c>
      <c r="G1033" s="100" t="n">
        <f aca="false">IF(ISNUMBER(FIND("SALDO ANTERIOR",C1033)),0,IF(ISNUMBER(FIND("SALDO DO DIA",C1033)),0,IF(ISNUMBER(FIND("SDO CTA/APL AUTOMATICAS",C1033)),0,IF(ISNUMBER(FIND("TEC DEPOSITO",C1033)),0,IF(ISNUMBER(FIND("APL APLIC AUT MAIS",C1033)),E1033,IF(E1033&gt;0,E1033,0))))))</f>
        <v>0</v>
      </c>
      <c r="H1033" s="101" t="n">
        <v>44105</v>
      </c>
    </row>
    <row r="1034" customFormat="false" ht="13.8" hidden="false" customHeight="false" outlineLevel="0" collapsed="false">
      <c r="A1034" s="59" t="s">
        <v>76</v>
      </c>
      <c r="B1034" s="74" t="s">
        <v>714</v>
      </c>
      <c r="C1034" s="75" t="s">
        <v>716</v>
      </c>
      <c r="D1034" s="76" t="s">
        <v>64</v>
      </c>
      <c r="E1034" s="81" t="n">
        <v>-3.49</v>
      </c>
      <c r="F1034" s="99" t="n">
        <f aca="false">IF(ISNUMBER(FIND("SALDO ANTERIOR",C1034)),0,IF(ISNUMBER(FIND("SALDO DO DIA",C1034)),0,IF(ISNUMBER(FIND("SALDO PARCIAL",C1034)),0,IF(ISNUMBER(FIND("SDO CTA/APL AUTOMATICAS",C1034)),0,IF(ISNUMBER(FIND("APL APLIC AUT MAIS",C1034)),0,IF(ISNUMBER(FIND("TEC DEPOSITO",C1034)),0,IF(E1034&gt;0,0,E1034*(-1))))))))</f>
        <v>3.49</v>
      </c>
      <c r="G1034" s="100" t="n">
        <f aca="false">IF(ISNUMBER(FIND("SALDO ANTERIOR",C1034)),0,IF(ISNUMBER(FIND("SALDO DO DIA",C1034)),0,IF(ISNUMBER(FIND("SDO CTA/APL AUTOMATICAS",C1034)),0,IF(ISNUMBER(FIND("TEC DEPOSITO",C1034)),0,IF(ISNUMBER(FIND("APL APLIC AUT MAIS",C1034)),E1034,IF(E1034&gt;0,E1034,0))))))</f>
        <v>0</v>
      </c>
      <c r="H1034" s="101" t="n">
        <v>44105</v>
      </c>
    </row>
    <row r="1035" customFormat="false" ht="13.8" hidden="false" customHeight="false" outlineLevel="0" collapsed="false">
      <c r="A1035" s="59" t="s">
        <v>316</v>
      </c>
      <c r="B1035" s="74" t="s">
        <v>714</v>
      </c>
      <c r="C1035" s="75" t="s">
        <v>479</v>
      </c>
      <c r="D1035" s="76" t="s">
        <v>64</v>
      </c>
      <c r="E1035" s="81" t="n">
        <v>-51</v>
      </c>
      <c r="F1035" s="99" t="n">
        <f aca="false">IF(ISNUMBER(FIND("SALDO ANTERIOR",C1035)),0,IF(ISNUMBER(FIND("SALDO DO DIA",C1035)),0,IF(ISNUMBER(FIND("SALDO PARCIAL",C1035)),0,IF(ISNUMBER(FIND("SDO CTA/APL AUTOMATICAS",C1035)),0,IF(ISNUMBER(FIND("APL APLIC AUT MAIS",C1035)),0,IF(ISNUMBER(FIND("TEC DEPOSITO",C1035)),0,IF(E1035&gt;0,0,E1035*(-1))))))))</f>
        <v>51</v>
      </c>
      <c r="G1035" s="100" t="n">
        <f aca="false">IF(ISNUMBER(FIND("SALDO ANTERIOR",C1035)),0,IF(ISNUMBER(FIND("SALDO DO DIA",C1035)),0,IF(ISNUMBER(FIND("SDO CTA/APL AUTOMATICAS",C1035)),0,IF(ISNUMBER(FIND("TEC DEPOSITO",C1035)),0,IF(ISNUMBER(FIND("APL APLIC AUT MAIS",C1035)),E1035,IF(E1035&gt;0,E1035,0))))))</f>
        <v>0</v>
      </c>
      <c r="H1035" s="101" t="n">
        <v>44105</v>
      </c>
    </row>
    <row r="1036" customFormat="false" ht="13.8" hidden="false" customHeight="false" outlineLevel="0" collapsed="false">
      <c r="A1036" s="59" t="s">
        <v>265</v>
      </c>
      <c r="B1036" s="74" t="s">
        <v>714</v>
      </c>
      <c r="C1036" s="75" t="s">
        <v>561</v>
      </c>
      <c r="D1036" s="76"/>
      <c r="E1036" s="81" t="n">
        <v>-31.14</v>
      </c>
      <c r="F1036" s="99" t="n">
        <f aca="false">IF(ISNUMBER(FIND("SALDO ANTERIOR",C1036)),0,IF(ISNUMBER(FIND("SALDO DO DIA",C1036)),0,IF(ISNUMBER(FIND("SALDO PARCIAL",C1036)),0,IF(ISNUMBER(FIND("SDO CTA/APL AUTOMATICAS",C1036)),0,IF(ISNUMBER(FIND("APL APLIC AUT MAIS",C1036)),0,IF(ISNUMBER(FIND("TEC DEPOSITO",C1036)),0,IF(E1036&gt;0,0,E1036*(-1))))))))</f>
        <v>31.14</v>
      </c>
      <c r="G1036" s="100" t="n">
        <f aca="false">IF(ISNUMBER(FIND("SALDO ANTERIOR",C1036)),0,IF(ISNUMBER(FIND("SALDO DO DIA",C1036)),0,IF(ISNUMBER(FIND("SDO CTA/APL AUTOMATICAS",C1036)),0,IF(ISNUMBER(FIND("TEC DEPOSITO",C1036)),0,IF(ISNUMBER(FIND("APL APLIC AUT MAIS",C1036)),E1036,IF(E1036&gt;0,E1036,0))))))</f>
        <v>0</v>
      </c>
      <c r="H1036" s="101" t="n">
        <v>44105</v>
      </c>
    </row>
    <row r="1037" customFormat="false" ht="15" hidden="false" customHeight="false" outlineLevel="0" collapsed="false">
      <c r="A1037" s="59" t="s">
        <v>29</v>
      </c>
      <c r="B1037" s="74" t="s">
        <v>714</v>
      </c>
      <c r="C1037" s="83" t="s">
        <v>521</v>
      </c>
      <c r="D1037" s="76"/>
      <c r="E1037" s="93" t="n">
        <v>260.38</v>
      </c>
      <c r="F1037" s="99" t="n">
        <f aca="false">IF(ISNUMBER(FIND("SALDO ANTERIOR",C1037)),0,IF(ISNUMBER(FIND("SALDO DO DIA",C1037)),0,IF(ISNUMBER(FIND("SALDO PARCIAL",C1037)),0,IF(ISNUMBER(FIND("SDO CTA/APL AUTOMATICAS",C1037)),0,IF(ISNUMBER(FIND("APL APLIC AUT MAIS",C1037)),0,IF(ISNUMBER(FIND("TEC DEPOSITO",C1037)),0,IF(E1037&gt;0,0,E1037*(-1))))))))</f>
        <v>0</v>
      </c>
      <c r="G1037" s="100" t="n">
        <f aca="false">IF(ISNUMBER(FIND("SALDO ANTERIOR",C1037)),0,IF(ISNUMBER(FIND("SALDO DO DIA",C1037)),0,IF(ISNUMBER(FIND("SDO CTA/APL AUTOMATICAS",C1037)),0,IF(ISNUMBER(FIND("TEC DEPOSITO",C1037)),0,IF(ISNUMBER(FIND("APL APLIC AUT MAIS",C1037)),E1037,IF(E1037&gt;0,E1037,0))))))</f>
        <v>0</v>
      </c>
      <c r="H1037" s="101" t="n">
        <v>44105</v>
      </c>
    </row>
    <row r="1038" customFormat="false" ht="13.8" hidden="false" customHeight="false" outlineLevel="0" collapsed="false">
      <c r="A1038" s="59" t="s">
        <v>176</v>
      </c>
      <c r="B1038" s="74" t="s">
        <v>717</v>
      </c>
      <c r="C1038" s="75" t="s">
        <v>718</v>
      </c>
      <c r="D1038" s="76" t="s">
        <v>61</v>
      </c>
      <c r="E1038" s="81" t="n">
        <v>-90</v>
      </c>
      <c r="F1038" s="99" t="n">
        <f aca="false">IF(ISNUMBER(FIND("SALDO ANTERIOR",C1038)),0,IF(ISNUMBER(FIND("SALDO DO DIA",C1038)),0,IF(ISNUMBER(FIND("SALDO PARCIAL",C1038)),0,IF(ISNUMBER(FIND("SDO CTA/APL AUTOMATICAS",C1038)),0,IF(ISNUMBER(FIND("APL APLIC AUT MAIS",C1038)),0,IF(ISNUMBER(FIND("TEC DEPOSITO",C1038)),0,IF(E1038&gt;0,0,E1038*(-1))))))))</f>
        <v>90</v>
      </c>
      <c r="G1038" s="100" t="n">
        <f aca="false">IF(ISNUMBER(FIND("SALDO ANTERIOR",C1038)),0,IF(ISNUMBER(FIND("SALDO DO DIA",C1038)),0,IF(ISNUMBER(FIND("SDO CTA/APL AUTOMATICAS",C1038)),0,IF(ISNUMBER(FIND("TEC DEPOSITO",C1038)),0,IF(ISNUMBER(FIND("APL APLIC AUT MAIS",C1038)),E1038,IF(E1038&gt;0,E1038,0))))))</f>
        <v>0</v>
      </c>
      <c r="H1038" s="101" t="n">
        <v>44105</v>
      </c>
    </row>
    <row r="1039" customFormat="false" ht="15" hidden="false" customHeight="false" outlineLevel="0" collapsed="false">
      <c r="A1039" s="59" t="s">
        <v>29</v>
      </c>
      <c r="B1039" s="74" t="s">
        <v>717</v>
      </c>
      <c r="C1039" s="83" t="s">
        <v>521</v>
      </c>
      <c r="D1039" s="76"/>
      <c r="E1039" s="93" t="n">
        <v>170.38</v>
      </c>
      <c r="F1039" s="99" t="n">
        <f aca="false">IF(ISNUMBER(FIND("SALDO ANTERIOR",C1039)),0,IF(ISNUMBER(FIND("SALDO DO DIA",C1039)),0,IF(ISNUMBER(FIND("SALDO PARCIAL",C1039)),0,IF(ISNUMBER(FIND("SDO CTA/APL AUTOMATICAS",C1039)),0,IF(ISNUMBER(FIND("APL APLIC AUT MAIS",C1039)),0,IF(ISNUMBER(FIND("TEC DEPOSITO",C1039)),0,IF(E1039&gt;0,0,E1039*(-1))))))))</f>
        <v>0</v>
      </c>
      <c r="G1039" s="100" t="n">
        <f aca="false">IF(ISNUMBER(FIND("SALDO ANTERIOR",C1039)),0,IF(ISNUMBER(FIND("SALDO DO DIA",C1039)),0,IF(ISNUMBER(FIND("SDO CTA/APL AUTOMATICAS",C1039)),0,IF(ISNUMBER(FIND("TEC DEPOSITO",C1039)),0,IF(ISNUMBER(FIND("APL APLIC AUT MAIS",C1039)),E1039,IF(E1039&gt;0,E1039,0))))))</f>
        <v>0</v>
      </c>
      <c r="H1039" s="101" t="n">
        <v>44105</v>
      </c>
    </row>
    <row r="1040" customFormat="false" ht="13.8" hidden="false" customHeight="false" outlineLevel="0" collapsed="false">
      <c r="A1040" s="59" t="s">
        <v>176</v>
      </c>
      <c r="B1040" s="74" t="s">
        <v>719</v>
      </c>
      <c r="C1040" s="75" t="s">
        <v>720</v>
      </c>
      <c r="D1040" s="76" t="s">
        <v>61</v>
      </c>
      <c r="E1040" s="81" t="n">
        <v>-60</v>
      </c>
      <c r="F1040" s="99" t="n">
        <f aca="false">IF(ISNUMBER(FIND("SALDO ANTERIOR",C1040)),0,IF(ISNUMBER(FIND("SALDO DO DIA",C1040)),0,IF(ISNUMBER(FIND("SALDO PARCIAL",C1040)),0,IF(ISNUMBER(FIND("SDO CTA/APL AUTOMATICAS",C1040)),0,IF(ISNUMBER(FIND("APL APLIC AUT MAIS",C1040)),0,IF(ISNUMBER(FIND("TEC DEPOSITO",C1040)),0,IF(E1040&gt;0,0,E1040*(-1))))))))</f>
        <v>60</v>
      </c>
      <c r="G1040" s="100" t="n">
        <f aca="false">IF(ISNUMBER(FIND("SALDO ANTERIOR",C1040)),0,IF(ISNUMBER(FIND("SALDO DO DIA",C1040)),0,IF(ISNUMBER(FIND("SDO CTA/APL AUTOMATICAS",C1040)),0,IF(ISNUMBER(FIND("TEC DEPOSITO",C1040)),0,IF(ISNUMBER(FIND("APL APLIC AUT MAIS",C1040)),E1040,IF(E1040&gt;0,E1040,0))))))</f>
        <v>0</v>
      </c>
      <c r="H1040" s="101" t="n">
        <v>44105</v>
      </c>
    </row>
    <row r="1041" customFormat="false" ht="15" hidden="false" customHeight="false" outlineLevel="0" collapsed="false">
      <c r="A1041" s="59" t="s">
        <v>29</v>
      </c>
      <c r="B1041" s="74" t="s">
        <v>719</v>
      </c>
      <c r="C1041" s="83" t="s">
        <v>521</v>
      </c>
      <c r="D1041" s="76"/>
      <c r="E1041" s="93" t="n">
        <v>110.38</v>
      </c>
      <c r="F1041" s="99" t="n">
        <f aca="false">IF(ISNUMBER(FIND("SALDO ANTERIOR",C1041)),0,IF(ISNUMBER(FIND("SALDO DO DIA",C1041)),0,IF(ISNUMBER(FIND("SALDO PARCIAL",C1041)),0,IF(ISNUMBER(FIND("SDO CTA/APL AUTOMATICAS",C1041)),0,IF(ISNUMBER(FIND("APL APLIC AUT MAIS",C1041)),0,IF(ISNUMBER(FIND("TEC DEPOSITO",C1041)),0,IF(E1041&gt;0,0,E1041*(-1))))))))</f>
        <v>0</v>
      </c>
      <c r="G1041" s="100" t="n">
        <f aca="false">IF(ISNUMBER(FIND("SALDO ANTERIOR",C1041)),0,IF(ISNUMBER(FIND("SALDO DO DIA",C1041)),0,IF(ISNUMBER(FIND("SDO CTA/APL AUTOMATICAS",C1041)),0,IF(ISNUMBER(FIND("TEC DEPOSITO",C1041)),0,IF(ISNUMBER(FIND("APL APLIC AUT MAIS",C1041)),E1041,IF(E1041&gt;0,E1041,0))))))</f>
        <v>0</v>
      </c>
      <c r="H1041" s="101" t="n">
        <v>44105</v>
      </c>
    </row>
    <row r="1042" customFormat="false" ht="13.8" hidden="false" customHeight="false" outlineLevel="0" collapsed="false">
      <c r="A1042" s="59" t="s">
        <v>225</v>
      </c>
      <c r="B1042" s="74" t="s">
        <v>721</v>
      </c>
      <c r="C1042" s="75" t="s">
        <v>240</v>
      </c>
      <c r="D1042" s="76" t="s">
        <v>64</v>
      </c>
      <c r="E1042" s="81" t="n">
        <v>-7.5</v>
      </c>
      <c r="F1042" s="99" t="n">
        <f aca="false">IF(ISNUMBER(FIND("SALDO ANTERIOR",C1042)),0,IF(ISNUMBER(FIND("SALDO DO DIA",C1042)),0,IF(ISNUMBER(FIND("SALDO PARCIAL",C1042)),0,IF(ISNUMBER(FIND("SDO CTA/APL AUTOMATICAS",C1042)),0,IF(ISNUMBER(FIND("APL APLIC AUT MAIS",C1042)),0,IF(ISNUMBER(FIND("TEC DEPOSITO",C1042)),0,IF(E1042&gt;0,0,E1042*(-1))))))))</f>
        <v>7.5</v>
      </c>
      <c r="G1042" s="100" t="n">
        <f aca="false">IF(ISNUMBER(FIND("SALDO ANTERIOR",C1042)),0,IF(ISNUMBER(FIND("SALDO DO DIA",C1042)),0,IF(ISNUMBER(FIND("SDO CTA/APL AUTOMATICAS",C1042)),0,IF(ISNUMBER(FIND("TEC DEPOSITO",C1042)),0,IF(ISNUMBER(FIND("APL APLIC AUT MAIS",C1042)),E1042,IF(E1042&gt;0,E1042,0))))))</f>
        <v>0</v>
      </c>
      <c r="H1042" s="101" t="n">
        <v>44105</v>
      </c>
    </row>
    <row r="1043" customFormat="false" ht="13.8" hidden="false" customHeight="false" outlineLevel="0" collapsed="false">
      <c r="A1043" s="59" t="s">
        <v>74</v>
      </c>
      <c r="B1043" s="74" t="s">
        <v>721</v>
      </c>
      <c r="C1043" s="75" t="s">
        <v>457</v>
      </c>
      <c r="D1043" s="76" t="s">
        <v>64</v>
      </c>
      <c r="E1043" s="81" t="n">
        <v>-11.15</v>
      </c>
      <c r="F1043" s="99" t="n">
        <f aca="false">IF(ISNUMBER(FIND("SALDO ANTERIOR",C1043)),0,IF(ISNUMBER(FIND("SALDO DO DIA",C1043)),0,IF(ISNUMBER(FIND("SALDO PARCIAL",C1043)),0,IF(ISNUMBER(FIND("SDO CTA/APL AUTOMATICAS",C1043)),0,IF(ISNUMBER(FIND("APL APLIC AUT MAIS",C1043)),0,IF(ISNUMBER(FIND("TEC DEPOSITO",C1043)),0,IF(E1043&gt;0,0,E1043*(-1))))))))</f>
        <v>11.15</v>
      </c>
      <c r="G1043" s="100" t="n">
        <f aca="false">IF(ISNUMBER(FIND("SALDO ANTERIOR",C1043)),0,IF(ISNUMBER(FIND("SALDO DO DIA",C1043)),0,IF(ISNUMBER(FIND("SDO CTA/APL AUTOMATICAS",C1043)),0,IF(ISNUMBER(FIND("TEC DEPOSITO",C1043)),0,IF(ISNUMBER(FIND("APL APLIC AUT MAIS",C1043)),E1043,IF(E1043&gt;0,E1043,0))))))</f>
        <v>0</v>
      </c>
      <c r="H1043" s="101" t="n">
        <v>44105</v>
      </c>
    </row>
    <row r="1044" customFormat="false" ht="15" hidden="false" customHeight="false" outlineLevel="0" collapsed="false">
      <c r="A1044" s="59" t="s">
        <v>29</v>
      </c>
      <c r="B1044" s="74" t="s">
        <v>721</v>
      </c>
      <c r="C1044" s="83" t="s">
        <v>521</v>
      </c>
      <c r="D1044" s="76"/>
      <c r="E1044" s="93" t="n">
        <v>91.73</v>
      </c>
      <c r="F1044" s="99" t="n">
        <f aca="false">IF(ISNUMBER(FIND("SALDO ANTERIOR",C1044)),0,IF(ISNUMBER(FIND("SALDO DO DIA",C1044)),0,IF(ISNUMBER(FIND("SALDO PARCIAL",C1044)),0,IF(ISNUMBER(FIND("SDO CTA/APL AUTOMATICAS",C1044)),0,IF(ISNUMBER(FIND("APL APLIC AUT MAIS",C1044)),0,IF(ISNUMBER(FIND("TEC DEPOSITO",C1044)),0,IF(E1044&gt;0,0,E1044*(-1))))))))</f>
        <v>0</v>
      </c>
      <c r="G1044" s="100" t="n">
        <f aca="false">IF(ISNUMBER(FIND("SALDO ANTERIOR",C1044)),0,IF(ISNUMBER(FIND("SALDO DO DIA",C1044)),0,IF(ISNUMBER(FIND("SDO CTA/APL AUTOMATICAS",C1044)),0,IF(ISNUMBER(FIND("TEC DEPOSITO",C1044)),0,IF(ISNUMBER(FIND("APL APLIC AUT MAIS",C1044)),E1044,IF(E1044&gt;0,E1044,0))))))</f>
        <v>0</v>
      </c>
      <c r="H1044" s="101" t="n">
        <v>44105</v>
      </c>
    </row>
    <row r="1045" customFormat="false" ht="13.8" hidden="false" customHeight="false" outlineLevel="0" collapsed="false">
      <c r="A1045" s="59" t="s">
        <v>65</v>
      </c>
      <c r="B1045" s="74" t="s">
        <v>722</v>
      </c>
      <c r="C1045" s="75" t="s">
        <v>723</v>
      </c>
      <c r="D1045" s="76" t="s">
        <v>64</v>
      </c>
      <c r="E1045" s="81" t="n">
        <v>-3.5</v>
      </c>
      <c r="F1045" s="99" t="n">
        <f aca="false">IF(ISNUMBER(FIND("SALDO ANTERIOR",C1045)),0,IF(ISNUMBER(FIND("SALDO DO DIA",C1045)),0,IF(ISNUMBER(FIND("SALDO PARCIAL",C1045)),0,IF(ISNUMBER(FIND("SDO CTA/APL AUTOMATICAS",C1045)),0,IF(ISNUMBER(FIND("APL APLIC AUT MAIS",C1045)),0,IF(ISNUMBER(FIND("TEC DEPOSITO",C1045)),0,IF(E1045&gt;0,0,E1045*(-1))))))))</f>
        <v>3.5</v>
      </c>
      <c r="G1045" s="100" t="n">
        <f aca="false">IF(ISNUMBER(FIND("SALDO ANTERIOR",C1045)),0,IF(ISNUMBER(FIND("SALDO DO DIA",C1045)),0,IF(ISNUMBER(FIND("SDO CTA/APL AUTOMATICAS",C1045)),0,IF(ISNUMBER(FIND("TEC DEPOSITO",C1045)),0,IF(ISNUMBER(FIND("APL APLIC AUT MAIS",C1045)),E1045,IF(E1045&gt;0,E1045,0))))))</f>
        <v>0</v>
      </c>
      <c r="H1045" s="101" t="n">
        <v>44105</v>
      </c>
    </row>
    <row r="1046" customFormat="false" ht="13.8" hidden="false" customHeight="false" outlineLevel="0" collapsed="false">
      <c r="A1046" s="59" t="s">
        <v>98</v>
      </c>
      <c r="B1046" s="74" t="s">
        <v>722</v>
      </c>
      <c r="C1046" s="75" t="s">
        <v>180</v>
      </c>
      <c r="D1046" s="76" t="s">
        <v>64</v>
      </c>
      <c r="E1046" s="81" t="n">
        <v>-13.57</v>
      </c>
      <c r="F1046" s="99" t="n">
        <f aca="false">IF(ISNUMBER(FIND("SALDO ANTERIOR",C1046)),0,IF(ISNUMBER(FIND("SALDO DO DIA",C1046)),0,IF(ISNUMBER(FIND("SALDO PARCIAL",C1046)),0,IF(ISNUMBER(FIND("SDO CTA/APL AUTOMATICAS",C1046)),0,IF(ISNUMBER(FIND("APL APLIC AUT MAIS",C1046)),0,IF(ISNUMBER(FIND("TEC DEPOSITO",C1046)),0,IF(E1046&gt;0,0,E1046*(-1))))))))</f>
        <v>13.57</v>
      </c>
      <c r="G1046" s="100" t="n">
        <f aca="false">IF(ISNUMBER(FIND("SALDO ANTERIOR",C1046)),0,IF(ISNUMBER(FIND("SALDO DO DIA",C1046)),0,IF(ISNUMBER(FIND("SDO CTA/APL AUTOMATICAS",C1046)),0,IF(ISNUMBER(FIND("TEC DEPOSITO",C1046)),0,IF(ISNUMBER(FIND("APL APLIC AUT MAIS",C1046)),E1046,IF(E1046&gt;0,E1046,0))))))</f>
        <v>0</v>
      </c>
      <c r="H1046" s="101" t="n">
        <v>44105</v>
      </c>
    </row>
    <row r="1047" customFormat="false" ht="13.8" hidden="false" customHeight="false" outlineLevel="0" collapsed="false">
      <c r="A1047" s="59" t="s">
        <v>98</v>
      </c>
      <c r="B1047" s="74" t="s">
        <v>722</v>
      </c>
      <c r="C1047" s="75" t="s">
        <v>180</v>
      </c>
      <c r="D1047" s="76" t="s">
        <v>64</v>
      </c>
      <c r="E1047" s="81" t="n">
        <v>-34.91</v>
      </c>
      <c r="F1047" s="99" t="n">
        <f aca="false">IF(ISNUMBER(FIND("SALDO ANTERIOR",C1047)),0,IF(ISNUMBER(FIND("SALDO DO DIA",C1047)),0,IF(ISNUMBER(FIND("SALDO PARCIAL",C1047)),0,IF(ISNUMBER(FIND("SDO CTA/APL AUTOMATICAS",C1047)),0,IF(ISNUMBER(FIND("APL APLIC AUT MAIS",C1047)),0,IF(ISNUMBER(FIND("TEC DEPOSITO",C1047)),0,IF(E1047&gt;0,0,E1047*(-1))))))))</f>
        <v>34.91</v>
      </c>
      <c r="G1047" s="100" t="n">
        <f aca="false">IF(ISNUMBER(FIND("SALDO ANTERIOR",C1047)),0,IF(ISNUMBER(FIND("SALDO DO DIA",C1047)),0,IF(ISNUMBER(FIND("SDO CTA/APL AUTOMATICAS",C1047)),0,IF(ISNUMBER(FIND("TEC DEPOSITO",C1047)),0,IF(ISNUMBER(FIND("APL APLIC AUT MAIS",C1047)),E1047,IF(E1047&gt;0,E1047,0))))))</f>
        <v>0</v>
      </c>
      <c r="H1047" s="101" t="n">
        <v>44105</v>
      </c>
    </row>
    <row r="1048" customFormat="false" ht="13.8" hidden="false" customHeight="false" outlineLevel="0" collapsed="false">
      <c r="A1048" s="59" t="s">
        <v>724</v>
      </c>
      <c r="B1048" s="74" t="s">
        <v>722</v>
      </c>
      <c r="C1048" s="75" t="s">
        <v>725</v>
      </c>
      <c r="D1048" s="76"/>
      <c r="E1048" s="77" t="n">
        <v>125</v>
      </c>
      <c r="F1048" s="99" t="n">
        <f aca="false">IF(ISNUMBER(FIND("SALDO ANTERIOR",C1048)),0,IF(ISNUMBER(FIND("SALDO DO DIA",C1048)),0,IF(ISNUMBER(FIND("SALDO PARCIAL",C1048)),0,IF(ISNUMBER(FIND("SDO CTA/APL AUTOMATICAS",C1048)),0,IF(ISNUMBER(FIND("APL APLIC AUT MAIS",C1048)),0,IF(ISNUMBER(FIND("TEC DEPOSITO",C1048)),0,IF(E1048&gt;0,0,E1048*(-1))))))))</f>
        <v>0</v>
      </c>
      <c r="G1048" s="100" t="n">
        <f aca="false">IF(ISNUMBER(FIND("SALDO ANTERIOR",C1048)),0,IF(ISNUMBER(FIND("SALDO DO DIA",C1048)),0,IF(ISNUMBER(FIND("SDO CTA/APL AUTOMATICAS",C1048)),0,IF(ISNUMBER(FIND("TEC DEPOSITO",C1048)),0,IF(ISNUMBER(FIND("APL APLIC AUT MAIS",C1048)),E1048,IF(E1048&gt;0,E1048,0))))))</f>
        <v>125</v>
      </c>
      <c r="H1048" s="101" t="n">
        <v>44105</v>
      </c>
    </row>
    <row r="1049" customFormat="false" ht="15" hidden="false" customHeight="false" outlineLevel="0" collapsed="false">
      <c r="A1049" s="59" t="s">
        <v>29</v>
      </c>
      <c r="B1049" s="74" t="s">
        <v>722</v>
      </c>
      <c r="C1049" s="83" t="s">
        <v>521</v>
      </c>
      <c r="D1049" s="76"/>
      <c r="E1049" s="93" t="n">
        <v>164.75</v>
      </c>
      <c r="F1049" s="99" t="n">
        <f aca="false">IF(ISNUMBER(FIND("SALDO ANTERIOR",C1049)),0,IF(ISNUMBER(FIND("SALDO DO DIA",C1049)),0,IF(ISNUMBER(FIND("SALDO PARCIAL",C1049)),0,IF(ISNUMBER(FIND("SDO CTA/APL AUTOMATICAS",C1049)),0,IF(ISNUMBER(FIND("APL APLIC AUT MAIS",C1049)),0,IF(ISNUMBER(FIND("TEC DEPOSITO",C1049)),0,IF(E1049&gt;0,0,E1049*(-1))))))))</f>
        <v>0</v>
      </c>
      <c r="G1049" s="100" t="n">
        <f aca="false">IF(ISNUMBER(FIND("SALDO ANTERIOR",C1049)),0,IF(ISNUMBER(FIND("SALDO DO DIA",C1049)),0,IF(ISNUMBER(FIND("SDO CTA/APL AUTOMATICAS",C1049)),0,IF(ISNUMBER(FIND("TEC DEPOSITO",C1049)),0,IF(ISNUMBER(FIND("APL APLIC AUT MAIS",C1049)),E1049,IF(E1049&gt;0,E1049,0))))))</f>
        <v>0</v>
      </c>
      <c r="H1049" s="101" t="n">
        <v>44105</v>
      </c>
    </row>
    <row r="1050" customFormat="false" ht="13.8" hidden="false" customHeight="false" outlineLevel="0" collapsed="false">
      <c r="A1050" s="59" t="s">
        <v>119</v>
      </c>
      <c r="B1050" s="74" t="s">
        <v>726</v>
      </c>
      <c r="C1050" s="75" t="s">
        <v>727</v>
      </c>
      <c r="D1050" s="76" t="s">
        <v>61</v>
      </c>
      <c r="E1050" s="81" t="n">
        <v>-546.36</v>
      </c>
      <c r="F1050" s="99" t="n">
        <f aca="false">IF(ISNUMBER(FIND("SALDO ANTERIOR",C1050)),0,IF(ISNUMBER(FIND("SALDO DO DIA",C1050)),0,IF(ISNUMBER(FIND("SALDO PARCIAL",C1050)),0,IF(ISNUMBER(FIND("SDO CTA/APL AUTOMATICAS",C1050)),0,IF(ISNUMBER(FIND("APL APLIC AUT MAIS",C1050)),0,IF(ISNUMBER(FIND("TEC DEPOSITO",C1050)),0,IF(E1050&gt;0,0,E1050*(-1))))))))</f>
        <v>546.36</v>
      </c>
      <c r="G1050" s="100" t="n">
        <f aca="false">IF(ISNUMBER(FIND("SALDO ANTERIOR",C1050)),0,IF(ISNUMBER(FIND("SALDO DO DIA",C1050)),0,IF(ISNUMBER(FIND("SDO CTA/APL AUTOMATICAS",C1050)),0,IF(ISNUMBER(FIND("TEC DEPOSITO",C1050)),0,IF(ISNUMBER(FIND("APL APLIC AUT MAIS",C1050)),E1050,IF(E1050&gt;0,E1050,0))))))</f>
        <v>0</v>
      </c>
      <c r="H1050" s="101" t="n">
        <v>44105</v>
      </c>
    </row>
    <row r="1051" customFormat="false" ht="13.8" hidden="false" customHeight="false" outlineLevel="0" collapsed="false">
      <c r="A1051" s="59" t="s">
        <v>203</v>
      </c>
      <c r="B1051" s="74" t="s">
        <v>726</v>
      </c>
      <c r="C1051" s="75" t="s">
        <v>728</v>
      </c>
      <c r="D1051" s="76" t="s">
        <v>478</v>
      </c>
      <c r="E1051" s="81" t="n">
        <v>-100</v>
      </c>
      <c r="F1051" s="99" t="n">
        <f aca="false">IF(ISNUMBER(FIND("SALDO ANTERIOR",C1051)),0,IF(ISNUMBER(FIND("SALDO DO DIA",C1051)),0,IF(ISNUMBER(FIND("SALDO PARCIAL",C1051)),0,IF(ISNUMBER(FIND("SDO CTA/APL AUTOMATICAS",C1051)),0,IF(ISNUMBER(FIND("APL APLIC AUT MAIS",C1051)),0,IF(ISNUMBER(FIND("TEC DEPOSITO",C1051)),0,IF(E1051&gt;0,0,E1051*(-1))))))))</f>
        <v>100</v>
      </c>
      <c r="G1051" s="100" t="n">
        <f aca="false">IF(ISNUMBER(FIND("SALDO ANTERIOR",C1051)),0,IF(ISNUMBER(FIND("SALDO DO DIA",C1051)),0,IF(ISNUMBER(FIND("SDO CTA/APL AUTOMATICAS",C1051)),0,IF(ISNUMBER(FIND("TEC DEPOSITO",C1051)),0,IF(ISNUMBER(FIND("APL APLIC AUT MAIS",C1051)),E1051,IF(E1051&gt;0,E1051,0))))))</f>
        <v>0</v>
      </c>
      <c r="H1051" s="101" t="n">
        <v>44105</v>
      </c>
    </row>
    <row r="1052" customFormat="false" ht="13.8" hidden="false" customHeight="false" outlineLevel="0" collapsed="false">
      <c r="A1052" s="59" t="s">
        <v>577</v>
      </c>
      <c r="B1052" s="74" t="s">
        <v>726</v>
      </c>
      <c r="C1052" s="75" t="s">
        <v>579</v>
      </c>
      <c r="D1052" s="76" t="s">
        <v>729</v>
      </c>
      <c r="E1052" s="81" t="n">
        <v>-130</v>
      </c>
      <c r="F1052" s="99" t="n">
        <f aca="false">IF(ISNUMBER(FIND("SALDO ANTERIOR",C1052)),0,IF(ISNUMBER(FIND("SALDO DO DIA",C1052)),0,IF(ISNUMBER(FIND("SALDO PARCIAL",C1052)),0,IF(ISNUMBER(FIND("SDO CTA/APL AUTOMATICAS",C1052)),0,IF(ISNUMBER(FIND("APL APLIC AUT MAIS",C1052)),0,IF(ISNUMBER(FIND("TEC DEPOSITO",C1052)),0,IF(E1052&gt;0,0,E1052*(-1))))))))</f>
        <v>130</v>
      </c>
      <c r="G1052" s="100" t="n">
        <f aca="false">IF(ISNUMBER(FIND("SALDO ANTERIOR",C1052)),0,IF(ISNUMBER(FIND("SALDO DO DIA",C1052)),0,IF(ISNUMBER(FIND("SDO CTA/APL AUTOMATICAS",C1052)),0,IF(ISNUMBER(FIND("TEC DEPOSITO",C1052)),0,IF(ISNUMBER(FIND("APL APLIC AUT MAIS",C1052)),E1052,IF(E1052&gt;0,E1052,0))))))</f>
        <v>0</v>
      </c>
      <c r="H1052" s="101" t="n">
        <v>44105</v>
      </c>
    </row>
    <row r="1053" customFormat="false" ht="13.8" hidden="false" customHeight="false" outlineLevel="0" collapsed="false">
      <c r="A1053" s="59" t="s">
        <v>71</v>
      </c>
      <c r="B1053" s="74" t="s">
        <v>726</v>
      </c>
      <c r="C1053" s="75" t="s">
        <v>85</v>
      </c>
      <c r="D1053" s="76" t="s">
        <v>64</v>
      </c>
      <c r="E1053" s="81" t="n">
        <v>-3.92</v>
      </c>
      <c r="F1053" s="99" t="n">
        <f aca="false">IF(ISNUMBER(FIND("SALDO ANTERIOR",C1053)),0,IF(ISNUMBER(FIND("SALDO DO DIA",C1053)),0,IF(ISNUMBER(FIND("SALDO PARCIAL",C1053)),0,IF(ISNUMBER(FIND("SDO CTA/APL AUTOMATICAS",C1053)),0,IF(ISNUMBER(FIND("APL APLIC AUT MAIS",C1053)),0,IF(ISNUMBER(FIND("TEC DEPOSITO",C1053)),0,IF(E1053&gt;0,0,E1053*(-1))))))))</f>
        <v>3.92</v>
      </c>
      <c r="G1053" s="100" t="n">
        <f aca="false">IF(ISNUMBER(FIND("SALDO ANTERIOR",C1053)),0,IF(ISNUMBER(FIND("SALDO DO DIA",C1053)),0,IF(ISNUMBER(FIND("SDO CTA/APL AUTOMATICAS",C1053)),0,IF(ISNUMBER(FIND("TEC DEPOSITO",C1053)),0,IF(ISNUMBER(FIND("APL APLIC AUT MAIS",C1053)),E1053,IF(E1053&gt;0,E1053,0))))))</f>
        <v>0</v>
      </c>
      <c r="H1053" s="101" t="n">
        <v>44105</v>
      </c>
    </row>
    <row r="1054" customFormat="false" ht="13.8" hidden="false" customHeight="false" outlineLevel="0" collapsed="false">
      <c r="A1054" s="59" t="s">
        <v>532</v>
      </c>
      <c r="B1054" s="74" t="s">
        <v>726</v>
      </c>
      <c r="C1054" s="75" t="s">
        <v>533</v>
      </c>
      <c r="D1054" s="76" t="s">
        <v>64</v>
      </c>
      <c r="E1054" s="81" t="n">
        <v>-10</v>
      </c>
      <c r="F1054" s="99" t="n">
        <f aca="false">IF(ISNUMBER(FIND("SALDO ANTERIOR",C1054)),0,IF(ISNUMBER(FIND("SALDO DO DIA",C1054)),0,IF(ISNUMBER(FIND("SALDO PARCIAL",C1054)),0,IF(ISNUMBER(FIND("SDO CTA/APL AUTOMATICAS",C1054)),0,IF(ISNUMBER(FIND("APL APLIC AUT MAIS",C1054)),0,IF(ISNUMBER(FIND("TEC DEPOSITO",C1054)),0,IF(E1054&gt;0,0,E1054*(-1))))))))</f>
        <v>10</v>
      </c>
      <c r="G1054" s="100" t="n">
        <f aca="false">IF(ISNUMBER(FIND("SALDO ANTERIOR",C1054)),0,IF(ISNUMBER(FIND("SALDO DO DIA",C1054)),0,IF(ISNUMBER(FIND("SDO CTA/APL AUTOMATICAS",C1054)),0,IF(ISNUMBER(FIND("TEC DEPOSITO",C1054)),0,IF(ISNUMBER(FIND("APL APLIC AUT MAIS",C1054)),E1054,IF(E1054&gt;0,E1054,0))))))</f>
        <v>0</v>
      </c>
      <c r="H1054" s="101" t="n">
        <v>44105</v>
      </c>
    </row>
    <row r="1055" customFormat="false" ht="13.8" hidden="false" customHeight="false" outlineLevel="0" collapsed="false">
      <c r="A1055" s="59" t="s">
        <v>119</v>
      </c>
      <c r="B1055" s="74" t="s">
        <v>726</v>
      </c>
      <c r="C1055" s="75" t="s">
        <v>690</v>
      </c>
      <c r="D1055" s="76" t="s">
        <v>64</v>
      </c>
      <c r="E1055" s="81" t="n">
        <v>-5</v>
      </c>
      <c r="F1055" s="99" t="n">
        <f aca="false">IF(ISNUMBER(FIND("SALDO ANTERIOR",C1055)),0,IF(ISNUMBER(FIND("SALDO DO DIA",C1055)),0,IF(ISNUMBER(FIND("SALDO PARCIAL",C1055)),0,IF(ISNUMBER(FIND("SDO CTA/APL AUTOMATICAS",C1055)),0,IF(ISNUMBER(FIND("APL APLIC AUT MAIS",C1055)),0,IF(ISNUMBER(FIND("TEC DEPOSITO",C1055)),0,IF(E1055&gt;0,0,E1055*(-1))))))))</f>
        <v>5</v>
      </c>
      <c r="G1055" s="100" t="n">
        <f aca="false">IF(ISNUMBER(FIND("SALDO ANTERIOR",C1055)),0,IF(ISNUMBER(FIND("SALDO DO DIA",C1055)),0,IF(ISNUMBER(FIND("SDO CTA/APL AUTOMATICAS",C1055)),0,IF(ISNUMBER(FIND("TEC DEPOSITO",C1055)),0,IF(ISNUMBER(FIND("APL APLIC AUT MAIS",C1055)),E1055,IF(E1055&gt;0,E1055,0))))))</f>
        <v>0</v>
      </c>
      <c r="H1055" s="101" t="n">
        <v>44105</v>
      </c>
    </row>
    <row r="1056" customFormat="false" ht="13.8" hidden="false" customHeight="false" outlineLevel="0" collapsed="false">
      <c r="A1056" s="59" t="s">
        <v>74</v>
      </c>
      <c r="B1056" s="74" t="s">
        <v>726</v>
      </c>
      <c r="C1056" s="75" t="s">
        <v>156</v>
      </c>
      <c r="D1056" s="76" t="s">
        <v>64</v>
      </c>
      <c r="E1056" s="81" t="n">
        <v>-21.99</v>
      </c>
      <c r="F1056" s="99" t="n">
        <f aca="false">IF(ISNUMBER(FIND("SALDO ANTERIOR",C1056)),0,IF(ISNUMBER(FIND("SALDO DO DIA",C1056)),0,IF(ISNUMBER(FIND("SALDO PARCIAL",C1056)),0,IF(ISNUMBER(FIND("SDO CTA/APL AUTOMATICAS",C1056)),0,IF(ISNUMBER(FIND("APL APLIC AUT MAIS",C1056)),0,IF(ISNUMBER(FIND("TEC DEPOSITO",C1056)),0,IF(E1056&gt;0,0,E1056*(-1))))))))</f>
        <v>21.99</v>
      </c>
      <c r="G1056" s="100" t="n">
        <f aca="false">IF(ISNUMBER(FIND("SALDO ANTERIOR",C1056)),0,IF(ISNUMBER(FIND("SALDO DO DIA",C1056)),0,IF(ISNUMBER(FIND("SDO CTA/APL AUTOMATICAS",C1056)),0,IF(ISNUMBER(FIND("TEC DEPOSITO",C1056)),0,IF(ISNUMBER(FIND("APL APLIC AUT MAIS",C1056)),E1056,IF(E1056&gt;0,E1056,0))))))</f>
        <v>0</v>
      </c>
      <c r="H1056" s="101" t="n">
        <v>44105</v>
      </c>
    </row>
    <row r="1057" customFormat="false" ht="13.8" hidden="false" customHeight="false" outlineLevel="0" collapsed="false">
      <c r="A1057" s="59" t="s">
        <v>98</v>
      </c>
      <c r="B1057" s="74" t="s">
        <v>726</v>
      </c>
      <c r="C1057" s="75" t="s">
        <v>99</v>
      </c>
      <c r="D1057" s="76" t="s">
        <v>64</v>
      </c>
      <c r="E1057" s="81" t="n">
        <v>-17.24</v>
      </c>
      <c r="F1057" s="99" t="n">
        <f aca="false">IF(ISNUMBER(FIND("SALDO ANTERIOR",C1057)),0,IF(ISNUMBER(FIND("SALDO DO DIA",C1057)),0,IF(ISNUMBER(FIND("SALDO PARCIAL",C1057)),0,IF(ISNUMBER(FIND("SDO CTA/APL AUTOMATICAS",C1057)),0,IF(ISNUMBER(FIND("APL APLIC AUT MAIS",C1057)),0,IF(ISNUMBER(FIND("TEC DEPOSITO",C1057)),0,IF(E1057&gt;0,0,E1057*(-1))))))))</f>
        <v>17.24</v>
      </c>
      <c r="G1057" s="100" t="n">
        <f aca="false">IF(ISNUMBER(FIND("SALDO ANTERIOR",C1057)),0,IF(ISNUMBER(FIND("SALDO DO DIA",C1057)),0,IF(ISNUMBER(FIND("SDO CTA/APL AUTOMATICAS",C1057)),0,IF(ISNUMBER(FIND("TEC DEPOSITO",C1057)),0,IF(ISNUMBER(FIND("APL APLIC AUT MAIS",C1057)),E1057,IF(E1057&gt;0,E1057,0))))))</f>
        <v>0</v>
      </c>
      <c r="H1057" s="101" t="n">
        <v>44105</v>
      </c>
    </row>
    <row r="1058" customFormat="false" ht="13.8" hidden="false" customHeight="false" outlineLevel="0" collapsed="false">
      <c r="A1058" s="59" t="s">
        <v>98</v>
      </c>
      <c r="B1058" s="74" t="s">
        <v>726</v>
      </c>
      <c r="C1058" s="75" t="s">
        <v>180</v>
      </c>
      <c r="D1058" s="76" t="s">
        <v>64</v>
      </c>
      <c r="E1058" s="81" t="n">
        <v>-125.74</v>
      </c>
      <c r="F1058" s="99" t="n">
        <f aca="false">IF(ISNUMBER(FIND("SALDO ANTERIOR",C1058)),0,IF(ISNUMBER(FIND("SALDO DO DIA",C1058)),0,IF(ISNUMBER(FIND("SALDO PARCIAL",C1058)),0,IF(ISNUMBER(FIND("SDO CTA/APL AUTOMATICAS",C1058)),0,IF(ISNUMBER(FIND("APL APLIC AUT MAIS",C1058)),0,IF(ISNUMBER(FIND("TEC DEPOSITO",C1058)),0,IF(E1058&gt;0,0,E1058*(-1))))))))</f>
        <v>125.74</v>
      </c>
      <c r="G1058" s="100" t="n">
        <f aca="false">IF(ISNUMBER(FIND("SALDO ANTERIOR",C1058)),0,IF(ISNUMBER(FIND("SALDO DO DIA",C1058)),0,IF(ISNUMBER(FIND("SDO CTA/APL AUTOMATICAS",C1058)),0,IF(ISNUMBER(FIND("TEC DEPOSITO",C1058)),0,IF(ISNUMBER(FIND("APL APLIC AUT MAIS",C1058)),E1058,IF(E1058&gt;0,E1058,0))))))</f>
        <v>0</v>
      </c>
      <c r="H1058" s="101" t="n">
        <v>44105</v>
      </c>
    </row>
    <row r="1059" customFormat="false" ht="13.8" hidden="false" customHeight="false" outlineLevel="0" collapsed="false">
      <c r="A1059" s="59" t="s">
        <v>67</v>
      </c>
      <c r="B1059" s="74" t="s">
        <v>726</v>
      </c>
      <c r="C1059" s="75" t="s">
        <v>109</v>
      </c>
      <c r="D1059" s="76" t="s">
        <v>82</v>
      </c>
      <c r="E1059" s="81" t="n">
        <v>-6.61</v>
      </c>
      <c r="F1059" s="99" t="n">
        <f aca="false">IF(ISNUMBER(FIND("SALDO ANTERIOR",C1059)),0,IF(ISNUMBER(FIND("SALDO DO DIA",C1059)),0,IF(ISNUMBER(FIND("SALDO PARCIAL",C1059)),0,IF(ISNUMBER(FIND("SDO CTA/APL AUTOMATICAS",C1059)),0,IF(ISNUMBER(FIND("APL APLIC AUT MAIS",C1059)),0,IF(ISNUMBER(FIND("TEC DEPOSITO",C1059)),0,IF(E1059&gt;0,0,E1059*(-1))))))))</f>
        <v>6.61</v>
      </c>
      <c r="G1059" s="100" t="n">
        <f aca="false">IF(ISNUMBER(FIND("SALDO ANTERIOR",C1059)),0,IF(ISNUMBER(FIND("SALDO DO DIA",C1059)),0,IF(ISNUMBER(FIND("SDO CTA/APL AUTOMATICAS",C1059)),0,IF(ISNUMBER(FIND("TEC DEPOSITO",C1059)),0,IF(ISNUMBER(FIND("APL APLIC AUT MAIS",C1059)),E1059,IF(E1059&gt;0,E1059,0))))))</f>
        <v>0</v>
      </c>
      <c r="H1059" s="101" t="n">
        <v>44105</v>
      </c>
    </row>
    <row r="1060" customFormat="false" ht="13.8" hidden="false" customHeight="false" outlineLevel="0" collapsed="false">
      <c r="A1060" s="59" t="s">
        <v>130</v>
      </c>
      <c r="B1060" s="74" t="s">
        <v>726</v>
      </c>
      <c r="C1060" s="75" t="s">
        <v>131</v>
      </c>
      <c r="D1060" s="76" t="s">
        <v>82</v>
      </c>
      <c r="E1060" s="81" t="n">
        <v>-75</v>
      </c>
      <c r="F1060" s="99" t="n">
        <f aca="false">IF(ISNUMBER(FIND("SALDO ANTERIOR",C1060)),0,IF(ISNUMBER(FIND("SALDO DO DIA",C1060)),0,IF(ISNUMBER(FIND("SALDO PARCIAL",C1060)),0,IF(ISNUMBER(FIND("SDO CTA/APL AUTOMATICAS",C1060)),0,IF(ISNUMBER(FIND("APL APLIC AUT MAIS",C1060)),0,IF(ISNUMBER(FIND("TEC DEPOSITO",C1060)),0,IF(E1060&gt;0,0,E1060*(-1))))))))</f>
        <v>75</v>
      </c>
      <c r="G1060" s="100" t="n">
        <f aca="false">IF(ISNUMBER(FIND("SALDO ANTERIOR",C1060)),0,IF(ISNUMBER(FIND("SALDO DO DIA",C1060)),0,IF(ISNUMBER(FIND("SDO CTA/APL AUTOMATICAS",C1060)),0,IF(ISNUMBER(FIND("TEC DEPOSITO",C1060)),0,IF(ISNUMBER(FIND("APL APLIC AUT MAIS",C1060)),E1060,IF(E1060&gt;0,E1060,0))))))</f>
        <v>0</v>
      </c>
      <c r="H1060" s="101" t="n">
        <v>44105</v>
      </c>
    </row>
    <row r="1061" customFormat="false" ht="15" hidden="false" customHeight="false" outlineLevel="0" collapsed="false">
      <c r="A1061" s="59" t="s">
        <v>29</v>
      </c>
      <c r="B1061" s="74" t="s">
        <v>726</v>
      </c>
      <c r="C1061" s="83" t="s">
        <v>494</v>
      </c>
      <c r="D1061" s="76"/>
      <c r="E1061" s="84" t="n">
        <v>-877.11</v>
      </c>
      <c r="F1061" s="99" t="n">
        <f aca="false">IF(ISNUMBER(FIND("SALDO ANTERIOR",C1061)),0,IF(ISNUMBER(FIND("SALDO DO DIA",C1061)),0,IF(ISNUMBER(FIND("SALDO PARCIAL",C1061)),0,IF(ISNUMBER(FIND("SDO CTA/APL AUTOMATICAS",C1061)),0,IF(ISNUMBER(FIND("APL APLIC AUT MAIS",C1061)),0,IF(ISNUMBER(FIND("TEC DEPOSITO",C1061)),0,IF(E1061&gt;0,0,E1061*(-1))))))))</f>
        <v>0</v>
      </c>
      <c r="G1061" s="100" t="n">
        <f aca="false">IF(ISNUMBER(FIND("SALDO ANTERIOR",C1061)),0,IF(ISNUMBER(FIND("SALDO DO DIA",C1061)),0,IF(ISNUMBER(FIND("SDO CTA/APL AUTOMATICAS",C1061)),0,IF(ISNUMBER(FIND("TEC DEPOSITO",C1061)),0,IF(ISNUMBER(FIND("APL APLIC AUT MAIS",C1061)),E1061,IF(E1061&gt;0,E1061,0))))))</f>
        <v>0</v>
      </c>
      <c r="H1061" s="101" t="n">
        <v>44105</v>
      </c>
    </row>
    <row r="1062" customFormat="false" ht="13.8" hidden="false" customHeight="false" outlineLevel="0" collapsed="false">
      <c r="A1062" s="59" t="s">
        <v>76</v>
      </c>
      <c r="B1062" s="74" t="s">
        <v>730</v>
      </c>
      <c r="C1062" s="75" t="s">
        <v>458</v>
      </c>
      <c r="D1062" s="76" t="s">
        <v>64</v>
      </c>
      <c r="E1062" s="81" t="n">
        <v>-129</v>
      </c>
      <c r="F1062" s="99" t="n">
        <f aca="false">IF(ISNUMBER(FIND("SALDO ANTERIOR",C1062)),0,IF(ISNUMBER(FIND("SALDO DO DIA",C1062)),0,IF(ISNUMBER(FIND("SALDO PARCIAL",C1062)),0,IF(ISNUMBER(FIND("SDO CTA/APL AUTOMATICAS",C1062)),0,IF(ISNUMBER(FIND("APL APLIC AUT MAIS",C1062)),0,IF(ISNUMBER(FIND("TEC DEPOSITO",C1062)),0,IF(E1062&gt;0,0,E1062*(-1))))))))</f>
        <v>129</v>
      </c>
      <c r="G1062" s="100" t="n">
        <f aca="false">IF(ISNUMBER(FIND("SALDO ANTERIOR",C1062)),0,IF(ISNUMBER(FIND("SALDO DO DIA",C1062)),0,IF(ISNUMBER(FIND("SDO CTA/APL AUTOMATICAS",C1062)),0,IF(ISNUMBER(FIND("TEC DEPOSITO",C1062)),0,IF(ISNUMBER(FIND("APL APLIC AUT MAIS",C1062)),E1062,IF(E1062&gt;0,E1062,0))))))</f>
        <v>0</v>
      </c>
      <c r="H1062" s="101" t="n">
        <v>44105</v>
      </c>
    </row>
    <row r="1063" customFormat="false" ht="13.8" hidden="false" customHeight="false" outlineLevel="0" collapsed="false">
      <c r="A1063" s="59" t="s">
        <v>76</v>
      </c>
      <c r="B1063" s="74" t="s">
        <v>730</v>
      </c>
      <c r="C1063" s="75" t="s">
        <v>731</v>
      </c>
      <c r="D1063" s="76" t="s">
        <v>64</v>
      </c>
      <c r="E1063" s="81" t="n">
        <v>-39.61</v>
      </c>
      <c r="F1063" s="99" t="n">
        <f aca="false">IF(ISNUMBER(FIND("SALDO ANTERIOR",C1063)),0,IF(ISNUMBER(FIND("SALDO DO DIA",C1063)),0,IF(ISNUMBER(FIND("SALDO PARCIAL",C1063)),0,IF(ISNUMBER(FIND("SDO CTA/APL AUTOMATICAS",C1063)),0,IF(ISNUMBER(FIND("APL APLIC AUT MAIS",C1063)),0,IF(ISNUMBER(FIND("TEC DEPOSITO",C1063)),0,IF(E1063&gt;0,0,E1063*(-1))))))))</f>
        <v>39.61</v>
      </c>
      <c r="G1063" s="100" t="n">
        <f aca="false">IF(ISNUMBER(FIND("SALDO ANTERIOR",C1063)),0,IF(ISNUMBER(FIND("SALDO DO DIA",C1063)),0,IF(ISNUMBER(FIND("SDO CTA/APL AUTOMATICAS",C1063)),0,IF(ISNUMBER(FIND("TEC DEPOSITO",C1063)),0,IF(ISNUMBER(FIND("APL APLIC AUT MAIS",C1063)),E1063,IF(E1063&gt;0,E1063,0))))))</f>
        <v>0</v>
      </c>
      <c r="H1063" s="101" t="n">
        <v>44105</v>
      </c>
    </row>
    <row r="1064" customFormat="false" ht="13.8" hidden="false" customHeight="false" outlineLevel="0" collapsed="false">
      <c r="A1064" s="59" t="s">
        <v>76</v>
      </c>
      <c r="B1064" s="74" t="s">
        <v>730</v>
      </c>
      <c r="C1064" s="75" t="s">
        <v>731</v>
      </c>
      <c r="D1064" s="76" t="s">
        <v>64</v>
      </c>
      <c r="E1064" s="81" t="n">
        <v>-39.6</v>
      </c>
      <c r="F1064" s="99" t="n">
        <f aca="false">IF(ISNUMBER(FIND("SALDO ANTERIOR",C1064)),0,IF(ISNUMBER(FIND("SALDO DO DIA",C1064)),0,IF(ISNUMBER(FIND("SALDO PARCIAL",C1064)),0,IF(ISNUMBER(FIND("SDO CTA/APL AUTOMATICAS",C1064)),0,IF(ISNUMBER(FIND("APL APLIC AUT MAIS",C1064)),0,IF(ISNUMBER(FIND("TEC DEPOSITO",C1064)),0,IF(E1064&gt;0,0,E1064*(-1))))))))</f>
        <v>39.6</v>
      </c>
      <c r="G1064" s="100" t="n">
        <f aca="false">IF(ISNUMBER(FIND("SALDO ANTERIOR",C1064)),0,IF(ISNUMBER(FIND("SALDO DO DIA",C1064)),0,IF(ISNUMBER(FIND("SDO CTA/APL AUTOMATICAS",C1064)),0,IF(ISNUMBER(FIND("TEC DEPOSITO",C1064)),0,IF(ISNUMBER(FIND("APL APLIC AUT MAIS",C1064)),E1064,IF(E1064&gt;0,E1064,0))))))</f>
        <v>0</v>
      </c>
      <c r="H1064" s="101" t="n">
        <v>44105</v>
      </c>
    </row>
    <row r="1065" customFormat="false" ht="13.8" hidden="false" customHeight="false" outlineLevel="0" collapsed="false">
      <c r="A1065" s="59" t="s">
        <v>42</v>
      </c>
      <c r="B1065" s="74" t="s">
        <v>730</v>
      </c>
      <c r="C1065" s="75" t="s">
        <v>579</v>
      </c>
      <c r="D1065" s="76" t="s">
        <v>732</v>
      </c>
      <c r="E1065" s="77" t="n">
        <v>30</v>
      </c>
      <c r="F1065" s="99" t="n">
        <f aca="false">IF(ISNUMBER(FIND("SALDO ANTERIOR",C1065)),0,IF(ISNUMBER(FIND("SALDO DO DIA",C1065)),0,IF(ISNUMBER(FIND("SALDO PARCIAL",C1065)),0,IF(ISNUMBER(FIND("SDO CTA/APL AUTOMATICAS",C1065)),0,IF(ISNUMBER(FIND("APL APLIC AUT MAIS",C1065)),0,IF(ISNUMBER(FIND("TEC DEPOSITO",C1065)),0,IF(E1065&gt;0,0,E1065*(-1))))))))</f>
        <v>0</v>
      </c>
      <c r="G1065" s="100" t="n">
        <f aca="false">IF(ISNUMBER(FIND("SALDO ANTERIOR",C1065)),0,IF(ISNUMBER(FIND("SALDO DO DIA",C1065)),0,IF(ISNUMBER(FIND("SDO CTA/APL AUTOMATICAS",C1065)),0,IF(ISNUMBER(FIND("TEC DEPOSITO",C1065)),0,IF(ISNUMBER(FIND("APL APLIC AUT MAIS",C1065)),E1065,IF(E1065&gt;0,E1065,0))))))</f>
        <v>30</v>
      </c>
      <c r="H1065" s="101" t="n">
        <v>44105</v>
      </c>
    </row>
    <row r="1066" customFormat="false" ht="15" hidden="false" customHeight="false" outlineLevel="0" collapsed="false">
      <c r="A1066" s="59" t="s">
        <v>29</v>
      </c>
      <c r="B1066" s="74" t="s">
        <v>730</v>
      </c>
      <c r="C1066" s="83" t="s">
        <v>494</v>
      </c>
      <c r="D1066" s="76"/>
      <c r="E1066" s="84" t="n">
        <v>-1055.32</v>
      </c>
      <c r="F1066" s="99" t="n">
        <f aca="false">IF(ISNUMBER(FIND("SALDO ANTERIOR",C1066)),0,IF(ISNUMBER(FIND("SALDO DO DIA",C1066)),0,IF(ISNUMBER(FIND("SALDO PARCIAL",C1066)),0,IF(ISNUMBER(FIND("SDO CTA/APL AUTOMATICAS",C1066)),0,IF(ISNUMBER(FIND("APL APLIC AUT MAIS",C1066)),0,IF(ISNUMBER(FIND("TEC DEPOSITO",C1066)),0,IF(E1066&gt;0,0,E1066*(-1))))))))</f>
        <v>0</v>
      </c>
      <c r="G1066" s="100" t="n">
        <f aca="false">IF(ISNUMBER(FIND("SALDO ANTERIOR",C1066)),0,IF(ISNUMBER(FIND("SALDO DO DIA",C1066)),0,IF(ISNUMBER(FIND("SDO CTA/APL AUTOMATICAS",C1066)),0,IF(ISNUMBER(FIND("TEC DEPOSITO",C1066)),0,IF(ISNUMBER(FIND("APL APLIC AUT MAIS",C1066)),E1066,IF(E1066&gt;0,E1066,0))))))</f>
        <v>0</v>
      </c>
      <c r="H1066" s="101" t="n">
        <v>44105</v>
      </c>
    </row>
    <row r="1067" customFormat="false" ht="13.8" hidden="false" customHeight="false" outlineLevel="0" collapsed="false">
      <c r="A1067" s="59" t="s">
        <v>42</v>
      </c>
      <c r="B1067" s="74" t="s">
        <v>733</v>
      </c>
      <c r="C1067" s="75" t="s">
        <v>734</v>
      </c>
      <c r="D1067" s="76" t="s">
        <v>239</v>
      </c>
      <c r="E1067" s="77" t="n">
        <v>100</v>
      </c>
      <c r="F1067" s="99" t="n">
        <f aca="false">IF(ISNUMBER(FIND("SALDO ANTERIOR",C1067)),0,IF(ISNUMBER(FIND("SALDO DO DIA",C1067)),0,IF(ISNUMBER(FIND("SALDO PARCIAL",C1067)),0,IF(ISNUMBER(FIND("SDO CTA/APL AUTOMATICAS",C1067)),0,IF(ISNUMBER(FIND("APL APLIC AUT MAIS",C1067)),0,IF(ISNUMBER(FIND("TEC DEPOSITO",C1067)),0,IF(E1067&gt;0,0,E1067*(-1))))))))</f>
        <v>0</v>
      </c>
      <c r="G1067" s="100" t="n">
        <f aca="false">IF(ISNUMBER(FIND("SALDO ANTERIOR",C1067)),0,IF(ISNUMBER(FIND("SALDO DO DIA",C1067)),0,IF(ISNUMBER(FIND("SDO CTA/APL AUTOMATICAS",C1067)),0,IF(ISNUMBER(FIND("TEC DEPOSITO",C1067)),0,IF(ISNUMBER(FIND("APL APLIC AUT MAIS",C1067)),E1067,IF(E1067&gt;0,E1067,0))))))</f>
        <v>100</v>
      </c>
      <c r="H1067" s="101" t="n">
        <v>44105</v>
      </c>
    </row>
    <row r="1068" customFormat="false" ht="13.8" hidden="false" customHeight="false" outlineLevel="0" collapsed="false">
      <c r="A1068" s="59" t="s">
        <v>127</v>
      </c>
      <c r="B1068" s="74" t="s">
        <v>733</v>
      </c>
      <c r="C1068" s="75" t="s">
        <v>128</v>
      </c>
      <c r="D1068" s="76"/>
      <c r="E1068" s="77" t="n">
        <v>4390</v>
      </c>
      <c r="F1068" s="99" t="n">
        <f aca="false">IF(ISNUMBER(FIND("SALDO ANTERIOR",C1068)),0,IF(ISNUMBER(FIND("SALDO DO DIA",C1068)),0,IF(ISNUMBER(FIND("SALDO PARCIAL",C1068)),0,IF(ISNUMBER(FIND("SDO CTA/APL AUTOMATICAS",C1068)),0,IF(ISNUMBER(FIND("APL APLIC AUT MAIS",C1068)),0,IF(ISNUMBER(FIND("TEC DEPOSITO",C1068)),0,IF(E1068&gt;0,0,E1068*(-1))))))))</f>
        <v>0</v>
      </c>
      <c r="G1068" s="100" t="n">
        <f aca="false">IF(ISNUMBER(FIND("SALDO ANTERIOR",C1068)),0,IF(ISNUMBER(FIND("SALDO DO DIA",C1068)),0,IF(ISNUMBER(FIND("SDO CTA/APL AUTOMATICAS",C1068)),0,IF(ISNUMBER(FIND("TEC DEPOSITO",C1068)),0,IF(ISNUMBER(FIND("APL APLIC AUT MAIS",C1068)),E1068,IF(E1068&gt;0,E1068,0))))))</f>
        <v>4390</v>
      </c>
      <c r="H1068" s="101" t="n">
        <v>44105</v>
      </c>
    </row>
    <row r="1069" customFormat="false" ht="15" hidden="false" customHeight="false" outlineLevel="0" collapsed="false">
      <c r="A1069" s="59" t="s">
        <v>29</v>
      </c>
      <c r="B1069" s="74" t="s">
        <v>733</v>
      </c>
      <c r="C1069" s="83" t="s">
        <v>521</v>
      </c>
      <c r="D1069" s="76"/>
      <c r="E1069" s="93" t="n">
        <v>3434.68</v>
      </c>
      <c r="F1069" s="99" t="n">
        <f aca="false">IF(ISNUMBER(FIND("SALDO ANTERIOR",C1069)),0,IF(ISNUMBER(FIND("SALDO DO DIA",C1069)),0,IF(ISNUMBER(FIND("SALDO PARCIAL",C1069)),0,IF(ISNUMBER(FIND("SDO CTA/APL AUTOMATICAS",C1069)),0,IF(ISNUMBER(FIND("APL APLIC AUT MAIS",C1069)),0,IF(ISNUMBER(FIND("TEC DEPOSITO",C1069)),0,IF(E1069&gt;0,0,E1069*(-1))))))))</f>
        <v>0</v>
      </c>
      <c r="G1069" s="100" t="n">
        <f aca="false">IF(ISNUMBER(FIND("SALDO ANTERIOR",C1069)),0,IF(ISNUMBER(FIND("SALDO DO DIA",C1069)),0,IF(ISNUMBER(FIND("SDO CTA/APL AUTOMATICAS",C1069)),0,IF(ISNUMBER(FIND("TEC DEPOSITO",C1069)),0,IF(ISNUMBER(FIND("APL APLIC AUT MAIS",C1069)),E1069,IF(E1069&gt;0,E1069,0))))))</f>
        <v>0</v>
      </c>
      <c r="H1069" s="101" t="n">
        <v>44105</v>
      </c>
    </row>
    <row r="1070" customFormat="false" ht="13.8" hidden="false" customHeight="false" outlineLevel="0" collapsed="false">
      <c r="A1070" s="59" t="s">
        <v>225</v>
      </c>
      <c r="B1070" s="74" t="s">
        <v>735</v>
      </c>
      <c r="C1070" s="75" t="s">
        <v>240</v>
      </c>
      <c r="D1070" s="76" t="s">
        <v>64</v>
      </c>
      <c r="E1070" s="81" t="n">
        <v>-178</v>
      </c>
      <c r="F1070" s="99" t="n">
        <f aca="false">IF(ISNUMBER(FIND("SALDO ANTERIOR",C1070)),0,IF(ISNUMBER(FIND("SALDO DO DIA",C1070)),0,IF(ISNUMBER(FIND("SALDO PARCIAL",C1070)),0,IF(ISNUMBER(FIND("SDO CTA/APL AUTOMATICAS",C1070)),0,IF(ISNUMBER(FIND("APL APLIC AUT MAIS",C1070)),0,IF(ISNUMBER(FIND("TEC DEPOSITO",C1070)),0,IF(E1070&gt;0,0,E1070*(-1))))))))</f>
        <v>178</v>
      </c>
      <c r="G1070" s="100" t="n">
        <f aca="false">IF(ISNUMBER(FIND("SALDO ANTERIOR",C1070)),0,IF(ISNUMBER(FIND("SALDO DO DIA",C1070)),0,IF(ISNUMBER(FIND("SDO CTA/APL AUTOMATICAS",C1070)),0,IF(ISNUMBER(FIND("TEC DEPOSITO",C1070)),0,IF(ISNUMBER(FIND("APL APLIC AUT MAIS",C1070)),E1070,IF(E1070&gt;0,E1070,0))))))</f>
        <v>0</v>
      </c>
      <c r="H1070" s="101" t="n">
        <v>44105</v>
      </c>
    </row>
    <row r="1071" customFormat="false" ht="13.8" hidden="false" customHeight="false" outlineLevel="0" collapsed="false">
      <c r="A1071" s="59" t="s">
        <v>122</v>
      </c>
      <c r="B1071" s="74" t="s">
        <v>735</v>
      </c>
      <c r="C1071" s="75" t="s">
        <v>123</v>
      </c>
      <c r="D1071" s="76" t="s">
        <v>61</v>
      </c>
      <c r="E1071" s="81" t="n">
        <v>-3946.04</v>
      </c>
      <c r="F1071" s="99" t="n">
        <f aca="false">IF(ISNUMBER(FIND("SALDO ANTERIOR",C1071)),0,IF(ISNUMBER(FIND("SALDO DO DIA",C1071)),0,IF(ISNUMBER(FIND("SALDO PARCIAL",C1071)),0,IF(ISNUMBER(FIND("SDO CTA/APL AUTOMATICAS",C1071)),0,IF(ISNUMBER(FIND("APL APLIC AUT MAIS",C1071)),0,IF(ISNUMBER(FIND("TEC DEPOSITO",C1071)),0,IF(E1071&gt;0,0,E1071*(-1))))))))</f>
        <v>3946.04</v>
      </c>
      <c r="G1071" s="100" t="n">
        <f aca="false">IF(ISNUMBER(FIND("SALDO ANTERIOR",C1071)),0,IF(ISNUMBER(FIND("SALDO DO DIA",C1071)),0,IF(ISNUMBER(FIND("SDO CTA/APL AUTOMATICAS",C1071)),0,IF(ISNUMBER(FIND("TEC DEPOSITO",C1071)),0,IF(ISNUMBER(FIND("APL APLIC AUT MAIS",C1071)),E1071,IF(E1071&gt;0,E1071,0))))))</f>
        <v>0</v>
      </c>
      <c r="H1071" s="101" t="n">
        <v>44105</v>
      </c>
    </row>
    <row r="1072" customFormat="false" ht="13.8" hidden="false" customHeight="false" outlineLevel="0" collapsed="false">
      <c r="A1072" s="59" t="s">
        <v>167</v>
      </c>
      <c r="B1072" s="74" t="s">
        <v>735</v>
      </c>
      <c r="C1072" s="75" t="s">
        <v>168</v>
      </c>
      <c r="D1072" s="76" t="s">
        <v>61</v>
      </c>
      <c r="E1072" s="77" t="n">
        <v>1000</v>
      </c>
      <c r="F1072" s="99" t="n">
        <f aca="false">IF(ISNUMBER(FIND("SALDO ANTERIOR",C1072)),0,IF(ISNUMBER(FIND("SALDO DO DIA",C1072)),0,IF(ISNUMBER(FIND("SALDO PARCIAL",C1072)),0,IF(ISNUMBER(FIND("SDO CTA/APL AUTOMATICAS",C1072)),0,IF(ISNUMBER(FIND("APL APLIC AUT MAIS",C1072)),0,IF(ISNUMBER(FIND("TEC DEPOSITO",C1072)),0,IF(E1072&gt;0,0,E1072*(-1))))))))</f>
        <v>0</v>
      </c>
      <c r="G1072" s="100" t="n">
        <f aca="false">IF(ISNUMBER(FIND("SALDO ANTERIOR",C1072)),0,IF(ISNUMBER(FIND("SALDO DO DIA",C1072)),0,IF(ISNUMBER(FIND("SDO CTA/APL AUTOMATICAS",C1072)),0,IF(ISNUMBER(FIND("TEC DEPOSITO",C1072)),0,IF(ISNUMBER(FIND("APL APLIC AUT MAIS",C1072)),E1072,IF(E1072&gt;0,E1072,0))))))</f>
        <v>1000</v>
      </c>
      <c r="H1072" s="101" t="n">
        <v>44105</v>
      </c>
    </row>
    <row r="1073" customFormat="false" ht="15" hidden="false" customHeight="false" outlineLevel="0" collapsed="false">
      <c r="A1073" s="59" t="s">
        <v>29</v>
      </c>
      <c r="B1073" s="74" t="s">
        <v>735</v>
      </c>
      <c r="C1073" s="83" t="s">
        <v>521</v>
      </c>
      <c r="D1073" s="76"/>
      <c r="E1073" s="93" t="n">
        <v>310.64</v>
      </c>
      <c r="F1073" s="99" t="n">
        <f aca="false">IF(ISNUMBER(FIND("SALDO ANTERIOR",C1073)),0,IF(ISNUMBER(FIND("SALDO DO DIA",C1073)),0,IF(ISNUMBER(FIND("SALDO PARCIAL",C1073)),0,IF(ISNUMBER(FIND("SDO CTA/APL AUTOMATICAS",C1073)),0,IF(ISNUMBER(FIND("APL APLIC AUT MAIS",C1073)),0,IF(ISNUMBER(FIND("TEC DEPOSITO",C1073)),0,IF(E1073&gt;0,0,E1073*(-1))))))))</f>
        <v>0</v>
      </c>
      <c r="G1073" s="100" t="n">
        <f aca="false">IF(ISNUMBER(FIND("SALDO ANTERIOR",C1073)),0,IF(ISNUMBER(FIND("SALDO DO DIA",C1073)),0,IF(ISNUMBER(FIND("SDO CTA/APL AUTOMATICAS",C1073)),0,IF(ISNUMBER(FIND("TEC DEPOSITO",C1073)),0,IF(ISNUMBER(FIND("APL APLIC AUT MAIS",C1073)),E1073,IF(E1073&gt;0,E1073,0))))))</f>
        <v>0</v>
      </c>
      <c r="H1073" s="101" t="n">
        <v>44105</v>
      </c>
    </row>
    <row r="1074" customFormat="false" ht="13.8" hidden="false" customHeight="false" outlineLevel="0" collapsed="false">
      <c r="A1074" s="59" t="s">
        <v>74</v>
      </c>
      <c r="B1074" s="74" t="s">
        <v>736</v>
      </c>
      <c r="C1074" s="75" t="s">
        <v>457</v>
      </c>
      <c r="D1074" s="76" t="s">
        <v>64</v>
      </c>
      <c r="E1074" s="81" t="n">
        <v>-95.16</v>
      </c>
      <c r="F1074" s="99" t="n">
        <f aca="false">IF(ISNUMBER(FIND("SALDO ANTERIOR",C1074)),0,IF(ISNUMBER(FIND("SALDO DO DIA",C1074)),0,IF(ISNUMBER(FIND("SALDO PARCIAL",C1074)),0,IF(ISNUMBER(FIND("SDO CTA/APL AUTOMATICAS",C1074)),0,IF(ISNUMBER(FIND("APL APLIC AUT MAIS",C1074)),0,IF(ISNUMBER(FIND("TEC DEPOSITO",C1074)),0,IF(E1074&gt;0,0,E1074*(-1))))))))</f>
        <v>95.16</v>
      </c>
      <c r="G1074" s="100" t="n">
        <f aca="false">IF(ISNUMBER(FIND("SALDO ANTERIOR",C1074)),0,IF(ISNUMBER(FIND("SALDO DO DIA",C1074)),0,IF(ISNUMBER(FIND("SDO CTA/APL AUTOMATICAS",C1074)),0,IF(ISNUMBER(FIND("TEC DEPOSITO",C1074)),0,IF(ISNUMBER(FIND("APL APLIC AUT MAIS",C1074)),E1074,IF(E1074&gt;0,E1074,0))))))</f>
        <v>0</v>
      </c>
      <c r="H1074" s="101" t="n">
        <v>44105</v>
      </c>
    </row>
    <row r="1075" customFormat="false" ht="13.8" hidden="false" customHeight="false" outlineLevel="0" collapsed="false">
      <c r="A1075" s="59" t="s">
        <v>65</v>
      </c>
      <c r="B1075" s="74" t="s">
        <v>736</v>
      </c>
      <c r="C1075" s="75" t="s">
        <v>485</v>
      </c>
      <c r="D1075" s="76" t="s">
        <v>64</v>
      </c>
      <c r="E1075" s="81" t="n">
        <v>-114</v>
      </c>
      <c r="F1075" s="99" t="n">
        <f aca="false">IF(ISNUMBER(FIND("SALDO ANTERIOR",C1075)),0,IF(ISNUMBER(FIND("SALDO DO DIA",C1075)),0,IF(ISNUMBER(FIND("SALDO PARCIAL",C1075)),0,IF(ISNUMBER(FIND("SDO CTA/APL AUTOMATICAS",C1075)),0,IF(ISNUMBER(FIND("APL APLIC AUT MAIS",C1075)),0,IF(ISNUMBER(FIND("TEC DEPOSITO",C1075)),0,IF(E1075&gt;0,0,E1075*(-1))))))))</f>
        <v>114</v>
      </c>
      <c r="G1075" s="100" t="n">
        <f aca="false">IF(ISNUMBER(FIND("SALDO ANTERIOR",C1075)),0,IF(ISNUMBER(FIND("SALDO DO DIA",C1075)),0,IF(ISNUMBER(FIND("SDO CTA/APL AUTOMATICAS",C1075)),0,IF(ISNUMBER(FIND("TEC DEPOSITO",C1075)),0,IF(ISNUMBER(FIND("APL APLIC AUT MAIS",C1075)),E1075,IF(E1075&gt;0,E1075,0))))))</f>
        <v>0</v>
      </c>
      <c r="H1075" s="101" t="n">
        <v>44105</v>
      </c>
    </row>
    <row r="1076" customFormat="false" ht="13.8" hidden="false" customHeight="false" outlineLevel="0" collapsed="false">
      <c r="A1076" s="59" t="s">
        <v>65</v>
      </c>
      <c r="B1076" s="74" t="s">
        <v>736</v>
      </c>
      <c r="C1076" s="75" t="s">
        <v>454</v>
      </c>
      <c r="D1076" s="76" t="s">
        <v>64</v>
      </c>
      <c r="E1076" s="81" t="n">
        <v>-10.99</v>
      </c>
      <c r="F1076" s="99" t="n">
        <f aca="false">IF(ISNUMBER(FIND("SALDO ANTERIOR",C1076)),0,IF(ISNUMBER(FIND("SALDO DO DIA",C1076)),0,IF(ISNUMBER(FIND("SALDO PARCIAL",C1076)),0,IF(ISNUMBER(FIND("SDO CTA/APL AUTOMATICAS",C1076)),0,IF(ISNUMBER(FIND("APL APLIC AUT MAIS",C1076)),0,IF(ISNUMBER(FIND("TEC DEPOSITO",C1076)),0,IF(E1076&gt;0,0,E1076*(-1))))))))</f>
        <v>10.99</v>
      </c>
      <c r="G1076" s="100" t="n">
        <f aca="false">IF(ISNUMBER(FIND("SALDO ANTERIOR",C1076)),0,IF(ISNUMBER(FIND("SALDO DO DIA",C1076)),0,IF(ISNUMBER(FIND("SDO CTA/APL AUTOMATICAS",C1076)),0,IF(ISNUMBER(FIND("TEC DEPOSITO",C1076)),0,IF(ISNUMBER(FIND("APL APLIC AUT MAIS",C1076)),E1076,IF(E1076&gt;0,E1076,0))))))</f>
        <v>0</v>
      </c>
      <c r="H1076" s="101" t="n">
        <v>44105</v>
      </c>
    </row>
    <row r="1077" customFormat="false" ht="13.8" hidden="false" customHeight="false" outlineLevel="0" collapsed="false">
      <c r="A1077" s="59" t="s">
        <v>76</v>
      </c>
      <c r="B1077" s="74" t="s">
        <v>736</v>
      </c>
      <c r="C1077" s="75" t="s">
        <v>92</v>
      </c>
      <c r="D1077" s="76" t="s">
        <v>64</v>
      </c>
      <c r="E1077" s="81" t="n">
        <v>-25.8</v>
      </c>
      <c r="F1077" s="99" t="n">
        <f aca="false">IF(ISNUMBER(FIND("SALDO ANTERIOR",C1077)),0,IF(ISNUMBER(FIND("SALDO DO DIA",C1077)),0,IF(ISNUMBER(FIND("SALDO PARCIAL",C1077)),0,IF(ISNUMBER(FIND("SDO CTA/APL AUTOMATICAS",C1077)),0,IF(ISNUMBER(FIND("APL APLIC AUT MAIS",C1077)),0,IF(ISNUMBER(FIND("TEC DEPOSITO",C1077)),0,IF(E1077&gt;0,0,E1077*(-1))))))))</f>
        <v>25.8</v>
      </c>
      <c r="G1077" s="100" t="n">
        <f aca="false">IF(ISNUMBER(FIND("SALDO ANTERIOR",C1077)),0,IF(ISNUMBER(FIND("SALDO DO DIA",C1077)),0,IF(ISNUMBER(FIND("SDO CTA/APL AUTOMATICAS",C1077)),0,IF(ISNUMBER(FIND("TEC DEPOSITO",C1077)),0,IF(ISNUMBER(FIND("APL APLIC AUT MAIS",C1077)),E1077,IF(E1077&gt;0,E1077,0))))))</f>
        <v>0</v>
      </c>
      <c r="H1077" s="101" t="n">
        <v>44105</v>
      </c>
    </row>
    <row r="1078" customFormat="false" ht="13.8" hidden="false" customHeight="false" outlineLevel="0" collapsed="false">
      <c r="A1078" s="59" t="s">
        <v>76</v>
      </c>
      <c r="B1078" s="74" t="s">
        <v>736</v>
      </c>
      <c r="C1078" s="75" t="s">
        <v>737</v>
      </c>
      <c r="D1078" s="76" t="s">
        <v>64</v>
      </c>
      <c r="E1078" s="81" t="n">
        <v>-10</v>
      </c>
      <c r="F1078" s="99" t="n">
        <f aca="false">IF(ISNUMBER(FIND("SALDO ANTERIOR",C1078)),0,IF(ISNUMBER(FIND("SALDO DO DIA",C1078)),0,IF(ISNUMBER(FIND("SALDO PARCIAL",C1078)),0,IF(ISNUMBER(FIND("SDO CTA/APL AUTOMATICAS",C1078)),0,IF(ISNUMBER(FIND("APL APLIC AUT MAIS",C1078)),0,IF(ISNUMBER(FIND("TEC DEPOSITO",C1078)),0,IF(E1078&gt;0,0,E1078*(-1))))))))</f>
        <v>10</v>
      </c>
      <c r="G1078" s="100" t="n">
        <f aca="false">IF(ISNUMBER(FIND("SALDO ANTERIOR",C1078)),0,IF(ISNUMBER(FIND("SALDO DO DIA",C1078)),0,IF(ISNUMBER(FIND("SDO CTA/APL AUTOMATICAS",C1078)),0,IF(ISNUMBER(FIND("TEC DEPOSITO",C1078)),0,IF(ISNUMBER(FIND("APL APLIC AUT MAIS",C1078)),E1078,IF(E1078&gt;0,E1078,0))))))</f>
        <v>0</v>
      </c>
      <c r="H1078" s="101" t="n">
        <v>44105</v>
      </c>
    </row>
    <row r="1079" customFormat="false" ht="13.8" hidden="false" customHeight="false" outlineLevel="0" collapsed="false">
      <c r="A1079" s="59" t="s">
        <v>316</v>
      </c>
      <c r="B1079" s="74" t="s">
        <v>736</v>
      </c>
      <c r="C1079" s="75" t="s">
        <v>479</v>
      </c>
      <c r="D1079" s="76" t="s">
        <v>64</v>
      </c>
      <c r="E1079" s="81" t="n">
        <v>-64.8</v>
      </c>
      <c r="F1079" s="99" t="n">
        <f aca="false">IF(ISNUMBER(FIND("SALDO ANTERIOR",C1079)),0,IF(ISNUMBER(FIND("SALDO DO DIA",C1079)),0,IF(ISNUMBER(FIND("SALDO PARCIAL",C1079)),0,IF(ISNUMBER(FIND("SDO CTA/APL AUTOMATICAS",C1079)),0,IF(ISNUMBER(FIND("APL APLIC AUT MAIS",C1079)),0,IF(ISNUMBER(FIND("TEC DEPOSITO",C1079)),0,IF(E1079&gt;0,0,E1079*(-1))))))))</f>
        <v>64.8</v>
      </c>
      <c r="G1079" s="100" t="n">
        <f aca="false">IF(ISNUMBER(FIND("SALDO ANTERIOR",C1079)),0,IF(ISNUMBER(FIND("SALDO DO DIA",C1079)),0,IF(ISNUMBER(FIND("SDO CTA/APL AUTOMATICAS",C1079)),0,IF(ISNUMBER(FIND("TEC DEPOSITO",C1079)),0,IF(ISNUMBER(FIND("APL APLIC AUT MAIS",C1079)),E1079,IF(E1079&gt;0,E1079,0))))))</f>
        <v>0</v>
      </c>
      <c r="H1079" s="101" t="n">
        <v>44105</v>
      </c>
    </row>
    <row r="1080" customFormat="false" ht="13.8" hidden="false" customHeight="false" outlineLevel="0" collapsed="false">
      <c r="A1080" s="59" t="s">
        <v>98</v>
      </c>
      <c r="B1080" s="74" t="s">
        <v>736</v>
      </c>
      <c r="C1080" s="75" t="s">
        <v>99</v>
      </c>
      <c r="D1080" s="76" t="s">
        <v>64</v>
      </c>
      <c r="E1080" s="81" t="n">
        <v>-208.44</v>
      </c>
      <c r="F1080" s="99" t="n">
        <f aca="false">IF(ISNUMBER(FIND("SALDO ANTERIOR",C1080)),0,IF(ISNUMBER(FIND("SALDO DO DIA",C1080)),0,IF(ISNUMBER(FIND("SALDO PARCIAL",C1080)),0,IF(ISNUMBER(FIND("SDO CTA/APL AUTOMATICAS",C1080)),0,IF(ISNUMBER(FIND("APL APLIC AUT MAIS",C1080)),0,IF(ISNUMBER(FIND("TEC DEPOSITO",C1080)),0,IF(E1080&gt;0,0,E1080*(-1))))))))</f>
        <v>208.44</v>
      </c>
      <c r="G1080" s="100" t="n">
        <f aca="false">IF(ISNUMBER(FIND("SALDO ANTERIOR",C1080)),0,IF(ISNUMBER(FIND("SALDO DO DIA",C1080)),0,IF(ISNUMBER(FIND("SDO CTA/APL AUTOMATICAS",C1080)),0,IF(ISNUMBER(FIND("TEC DEPOSITO",C1080)),0,IF(ISNUMBER(FIND("APL APLIC AUT MAIS",C1080)),E1080,IF(E1080&gt;0,E1080,0))))))</f>
        <v>0</v>
      </c>
      <c r="H1080" s="101" t="n">
        <v>44105</v>
      </c>
    </row>
    <row r="1081" customFormat="false" ht="13.8" hidden="false" customHeight="false" outlineLevel="0" collapsed="false">
      <c r="A1081" s="59" t="s">
        <v>98</v>
      </c>
      <c r="B1081" s="74" t="s">
        <v>736</v>
      </c>
      <c r="C1081" s="75" t="s">
        <v>180</v>
      </c>
      <c r="D1081" s="76" t="s">
        <v>64</v>
      </c>
      <c r="E1081" s="81" t="n">
        <v>-33.32</v>
      </c>
      <c r="F1081" s="99" t="n">
        <f aca="false">IF(ISNUMBER(FIND("SALDO ANTERIOR",C1081)),0,IF(ISNUMBER(FIND("SALDO DO DIA",C1081)),0,IF(ISNUMBER(FIND("SALDO PARCIAL",C1081)),0,IF(ISNUMBER(FIND("SDO CTA/APL AUTOMATICAS",C1081)),0,IF(ISNUMBER(FIND("APL APLIC AUT MAIS",C1081)),0,IF(ISNUMBER(FIND("TEC DEPOSITO",C1081)),0,IF(E1081&gt;0,0,E1081*(-1))))))))</f>
        <v>33.32</v>
      </c>
      <c r="G1081" s="100" t="n">
        <f aca="false">IF(ISNUMBER(FIND("SALDO ANTERIOR",C1081)),0,IF(ISNUMBER(FIND("SALDO DO DIA",C1081)),0,IF(ISNUMBER(FIND("SDO CTA/APL AUTOMATICAS",C1081)),0,IF(ISNUMBER(FIND("TEC DEPOSITO",C1081)),0,IF(ISNUMBER(FIND("APL APLIC AUT MAIS",C1081)),E1081,IF(E1081&gt;0,E1081,0))))))</f>
        <v>0</v>
      </c>
      <c r="H1081" s="101" t="n">
        <v>44105</v>
      </c>
    </row>
    <row r="1082" customFormat="false" ht="13.8" hidden="false" customHeight="false" outlineLevel="0" collapsed="false">
      <c r="A1082" s="59" t="s">
        <v>203</v>
      </c>
      <c r="B1082" s="74" t="s">
        <v>736</v>
      </c>
      <c r="C1082" s="75" t="s">
        <v>738</v>
      </c>
      <c r="D1082" s="76" t="s">
        <v>478</v>
      </c>
      <c r="E1082" s="81" t="n">
        <v>-100</v>
      </c>
      <c r="F1082" s="99" t="n">
        <f aca="false">IF(ISNUMBER(FIND("SALDO ANTERIOR",C1082)),0,IF(ISNUMBER(FIND("SALDO DO DIA",C1082)),0,IF(ISNUMBER(FIND("SALDO PARCIAL",C1082)),0,IF(ISNUMBER(FIND("SDO CTA/APL AUTOMATICAS",C1082)),0,IF(ISNUMBER(FIND("APL APLIC AUT MAIS",C1082)),0,IF(ISNUMBER(FIND("TEC DEPOSITO",C1082)),0,IF(E1082&gt;0,0,E1082*(-1))))))))</f>
        <v>100</v>
      </c>
      <c r="G1082" s="100" t="n">
        <f aca="false">IF(ISNUMBER(FIND("SALDO ANTERIOR",C1082)),0,IF(ISNUMBER(FIND("SALDO DO DIA",C1082)),0,IF(ISNUMBER(FIND("SDO CTA/APL AUTOMATICAS",C1082)),0,IF(ISNUMBER(FIND("TEC DEPOSITO",C1082)),0,IF(ISNUMBER(FIND("APL APLIC AUT MAIS",C1082)),E1082,IF(E1082&gt;0,E1082,0))))))</f>
        <v>0</v>
      </c>
      <c r="H1082" s="101" t="n">
        <v>44105</v>
      </c>
    </row>
    <row r="1083" customFormat="false" ht="15" hidden="false" customHeight="false" outlineLevel="0" collapsed="false">
      <c r="A1083" s="59" t="s">
        <v>29</v>
      </c>
      <c r="B1083" s="74" t="s">
        <v>736</v>
      </c>
      <c r="C1083" s="83" t="s">
        <v>494</v>
      </c>
      <c r="D1083" s="76"/>
      <c r="E1083" s="84" t="n">
        <v>-351.87</v>
      </c>
      <c r="F1083" s="99" t="n">
        <f aca="false">IF(ISNUMBER(FIND("SALDO ANTERIOR",C1083)),0,IF(ISNUMBER(FIND("SALDO DO DIA",C1083)),0,IF(ISNUMBER(FIND("SALDO PARCIAL",C1083)),0,IF(ISNUMBER(FIND("SDO CTA/APL AUTOMATICAS",C1083)),0,IF(ISNUMBER(FIND("APL APLIC AUT MAIS",C1083)),0,IF(ISNUMBER(FIND("TEC DEPOSITO",C1083)),0,IF(E1083&gt;0,0,E1083*(-1))))))))</f>
        <v>0</v>
      </c>
      <c r="G1083" s="100" t="n">
        <f aca="false">IF(ISNUMBER(FIND("SALDO ANTERIOR",C1083)),0,IF(ISNUMBER(FIND("SALDO DO DIA",C1083)),0,IF(ISNUMBER(FIND("SDO CTA/APL AUTOMATICAS",C1083)),0,IF(ISNUMBER(FIND("TEC DEPOSITO",C1083)),0,IF(ISNUMBER(FIND("APL APLIC AUT MAIS",C1083)),E1083,IF(E1083&gt;0,E1083,0))))))</f>
        <v>0</v>
      </c>
      <c r="H1083" s="101" t="n">
        <v>44105</v>
      </c>
    </row>
    <row r="1084" customFormat="false" ht="13.8" hidden="false" customHeight="false" outlineLevel="0" collapsed="false">
      <c r="A1084" s="59" t="s">
        <v>76</v>
      </c>
      <c r="B1084" s="74" t="s">
        <v>739</v>
      </c>
      <c r="C1084" s="75" t="s">
        <v>723</v>
      </c>
      <c r="D1084" s="76" t="s">
        <v>64</v>
      </c>
      <c r="E1084" s="81" t="n">
        <v>-5.99</v>
      </c>
      <c r="F1084" s="99" t="n">
        <f aca="false">IF(ISNUMBER(FIND("SALDO ANTERIOR",C1084)),0,IF(ISNUMBER(FIND("SALDO DO DIA",C1084)),0,IF(ISNUMBER(FIND("SALDO PARCIAL",C1084)),0,IF(ISNUMBER(FIND("SDO CTA/APL AUTOMATICAS",C1084)),0,IF(ISNUMBER(FIND("APL APLIC AUT MAIS",C1084)),0,IF(ISNUMBER(FIND("TEC DEPOSITO",C1084)),0,IF(E1084&gt;0,0,E1084*(-1))))))))</f>
        <v>5.99</v>
      </c>
      <c r="G1084" s="100" t="n">
        <f aca="false">IF(ISNUMBER(FIND("SALDO ANTERIOR",C1084)),0,IF(ISNUMBER(FIND("SALDO DO DIA",C1084)),0,IF(ISNUMBER(FIND("SDO CTA/APL AUTOMATICAS",C1084)),0,IF(ISNUMBER(FIND("TEC DEPOSITO",C1084)),0,IF(ISNUMBER(FIND("APL APLIC AUT MAIS",C1084)),E1084,IF(E1084&gt;0,E1084,0))))))</f>
        <v>0</v>
      </c>
      <c r="H1084" s="101" t="n">
        <v>44105</v>
      </c>
    </row>
    <row r="1085" customFormat="false" ht="13.8" hidden="false" customHeight="false" outlineLevel="0" collapsed="false">
      <c r="A1085" s="59" t="s">
        <v>98</v>
      </c>
      <c r="B1085" s="74" t="s">
        <v>739</v>
      </c>
      <c r="C1085" s="75" t="s">
        <v>180</v>
      </c>
      <c r="D1085" s="76" t="s">
        <v>64</v>
      </c>
      <c r="E1085" s="81" t="n">
        <v>-63.97</v>
      </c>
      <c r="F1085" s="99" t="n">
        <f aca="false">IF(ISNUMBER(FIND("SALDO ANTERIOR",C1085)),0,IF(ISNUMBER(FIND("SALDO DO DIA",C1085)),0,IF(ISNUMBER(FIND("SALDO PARCIAL",C1085)),0,IF(ISNUMBER(FIND("SDO CTA/APL AUTOMATICAS",C1085)),0,IF(ISNUMBER(FIND("APL APLIC AUT MAIS",C1085)),0,IF(ISNUMBER(FIND("TEC DEPOSITO",C1085)),0,IF(E1085&gt;0,0,E1085*(-1))))))))</f>
        <v>63.97</v>
      </c>
      <c r="G1085" s="100" t="n">
        <f aca="false">IF(ISNUMBER(FIND("SALDO ANTERIOR",C1085)),0,IF(ISNUMBER(FIND("SALDO DO DIA",C1085)),0,IF(ISNUMBER(FIND("SDO CTA/APL AUTOMATICAS",C1085)),0,IF(ISNUMBER(FIND("TEC DEPOSITO",C1085)),0,IF(ISNUMBER(FIND("APL APLIC AUT MAIS",C1085)),E1085,IF(E1085&gt;0,E1085,0))))))</f>
        <v>0</v>
      </c>
      <c r="H1085" s="101" t="n">
        <v>44105</v>
      </c>
    </row>
    <row r="1086" customFormat="false" ht="15" hidden="false" customHeight="false" outlineLevel="0" collapsed="false">
      <c r="A1086" s="59" t="s">
        <v>29</v>
      </c>
      <c r="B1086" s="74" t="s">
        <v>739</v>
      </c>
      <c r="C1086" s="83" t="s">
        <v>494</v>
      </c>
      <c r="D1086" s="76"/>
      <c r="E1086" s="84" t="n">
        <v>-421.83</v>
      </c>
      <c r="F1086" s="99" t="n">
        <f aca="false">IF(ISNUMBER(FIND("SALDO ANTERIOR",C1086)),0,IF(ISNUMBER(FIND("SALDO DO DIA",C1086)),0,IF(ISNUMBER(FIND("SALDO PARCIAL",C1086)),0,IF(ISNUMBER(FIND("SDO CTA/APL AUTOMATICAS",C1086)),0,IF(ISNUMBER(FIND("APL APLIC AUT MAIS",C1086)),0,IF(ISNUMBER(FIND("TEC DEPOSITO",C1086)),0,IF(E1086&gt;0,0,E1086*(-1))))))))</f>
        <v>0</v>
      </c>
      <c r="G1086" s="100" t="n">
        <f aca="false">IF(ISNUMBER(FIND("SALDO ANTERIOR",C1086)),0,IF(ISNUMBER(FIND("SALDO DO DIA",C1086)),0,IF(ISNUMBER(FIND("SDO CTA/APL AUTOMATICAS",C1086)),0,IF(ISNUMBER(FIND("TEC DEPOSITO",C1086)),0,IF(ISNUMBER(FIND("APL APLIC AUT MAIS",C1086)),E1086,IF(E1086&gt;0,E1086,0))))))</f>
        <v>0</v>
      </c>
      <c r="H1086" s="101" t="n">
        <v>44105</v>
      </c>
    </row>
    <row r="1087" customFormat="false" ht="13.8" hidden="false" customHeight="false" outlineLevel="0" collapsed="false">
      <c r="A1087" s="59" t="s">
        <v>119</v>
      </c>
      <c r="B1087" s="74" t="s">
        <v>740</v>
      </c>
      <c r="C1087" s="75" t="s">
        <v>512</v>
      </c>
      <c r="D1087" s="76" t="s">
        <v>61</v>
      </c>
      <c r="E1087" s="81" t="n">
        <v>-81</v>
      </c>
      <c r="F1087" s="99" t="n">
        <f aca="false">IF(ISNUMBER(FIND("SALDO ANTERIOR",C1087)),0,IF(ISNUMBER(FIND("SALDO DO DIA",C1087)),0,IF(ISNUMBER(FIND("SALDO PARCIAL",C1087)),0,IF(ISNUMBER(FIND("SDO CTA/APL AUTOMATICAS",C1087)),0,IF(ISNUMBER(FIND("APL APLIC AUT MAIS",C1087)),0,IF(ISNUMBER(FIND("TEC DEPOSITO",C1087)),0,IF(E1087&gt;0,0,E1087*(-1))))))))</f>
        <v>81</v>
      </c>
      <c r="G1087" s="100" t="n">
        <f aca="false">IF(ISNUMBER(FIND("SALDO ANTERIOR",C1087)),0,IF(ISNUMBER(FIND("SALDO DO DIA",C1087)),0,IF(ISNUMBER(FIND("SDO CTA/APL AUTOMATICAS",C1087)),0,IF(ISNUMBER(FIND("TEC DEPOSITO",C1087)),0,IF(ISNUMBER(FIND("APL APLIC AUT MAIS",C1087)),E1087,IF(E1087&gt;0,E1087,0))))))</f>
        <v>0</v>
      </c>
      <c r="H1087" s="101" t="n">
        <v>44105</v>
      </c>
    </row>
    <row r="1088" customFormat="false" ht="13.8" hidden="false" customHeight="false" outlineLevel="0" collapsed="false">
      <c r="A1088" s="59" t="s">
        <v>474</v>
      </c>
      <c r="B1088" s="74" t="s">
        <v>740</v>
      </c>
      <c r="C1088" s="75" t="s">
        <v>217</v>
      </c>
      <c r="D1088" s="76" t="s">
        <v>61</v>
      </c>
      <c r="E1088" s="81" t="n">
        <v>-197.54</v>
      </c>
      <c r="F1088" s="99" t="n">
        <f aca="false">IF(ISNUMBER(FIND("SALDO ANTERIOR",C1088)),0,IF(ISNUMBER(FIND("SALDO DO DIA",C1088)),0,IF(ISNUMBER(FIND("SALDO PARCIAL",C1088)),0,IF(ISNUMBER(FIND("SDO CTA/APL AUTOMATICAS",C1088)),0,IF(ISNUMBER(FIND("APL APLIC AUT MAIS",C1088)),0,IF(ISNUMBER(FIND("TEC DEPOSITO",C1088)),0,IF(E1088&gt;0,0,E1088*(-1))))))))</f>
        <v>197.54</v>
      </c>
      <c r="G1088" s="100" t="n">
        <f aca="false">IF(ISNUMBER(FIND("SALDO ANTERIOR",C1088)),0,IF(ISNUMBER(FIND("SALDO DO DIA",C1088)),0,IF(ISNUMBER(FIND("SDO CTA/APL AUTOMATICAS",C1088)),0,IF(ISNUMBER(FIND("TEC DEPOSITO",C1088)),0,IF(ISNUMBER(FIND("APL APLIC AUT MAIS",C1088)),E1088,IF(E1088&gt;0,E1088,0))))))</f>
        <v>0</v>
      </c>
      <c r="H1088" s="101" t="n">
        <v>44105</v>
      </c>
    </row>
    <row r="1089" customFormat="false" ht="13.8" hidden="false" customHeight="false" outlineLevel="0" collapsed="false">
      <c r="A1089" s="59" t="s">
        <v>65</v>
      </c>
      <c r="B1089" s="74" t="s">
        <v>740</v>
      </c>
      <c r="C1089" s="75" t="s">
        <v>741</v>
      </c>
      <c r="D1089" s="76" t="s">
        <v>64</v>
      </c>
      <c r="E1089" s="81" t="n">
        <v>-46.47</v>
      </c>
      <c r="F1089" s="99" t="n">
        <f aca="false">IF(ISNUMBER(FIND("SALDO ANTERIOR",C1089)),0,IF(ISNUMBER(FIND("SALDO DO DIA",C1089)),0,IF(ISNUMBER(FIND("SALDO PARCIAL",C1089)),0,IF(ISNUMBER(FIND("SDO CTA/APL AUTOMATICAS",C1089)),0,IF(ISNUMBER(FIND("APL APLIC AUT MAIS",C1089)),0,IF(ISNUMBER(FIND("TEC DEPOSITO",C1089)),0,IF(E1089&gt;0,0,E1089*(-1))))))))</f>
        <v>46.47</v>
      </c>
      <c r="G1089" s="100" t="n">
        <f aca="false">IF(ISNUMBER(FIND("SALDO ANTERIOR",C1089)),0,IF(ISNUMBER(FIND("SALDO DO DIA",C1089)),0,IF(ISNUMBER(FIND("SDO CTA/APL AUTOMATICAS",C1089)),0,IF(ISNUMBER(FIND("TEC DEPOSITO",C1089)),0,IF(ISNUMBER(FIND("APL APLIC AUT MAIS",C1089)),E1089,IF(E1089&gt;0,E1089,0))))))</f>
        <v>0</v>
      </c>
      <c r="H1089" s="101" t="n">
        <v>44105</v>
      </c>
    </row>
    <row r="1090" customFormat="false" ht="15" hidden="false" customHeight="false" outlineLevel="0" collapsed="false">
      <c r="A1090" s="59" t="s">
        <v>29</v>
      </c>
      <c r="B1090" s="74" t="s">
        <v>740</v>
      </c>
      <c r="C1090" s="83" t="s">
        <v>494</v>
      </c>
      <c r="D1090" s="76"/>
      <c r="E1090" s="84" t="n">
        <v>-746.84</v>
      </c>
      <c r="F1090" s="99" t="n">
        <f aca="false">IF(ISNUMBER(FIND("SALDO ANTERIOR",C1090)),0,IF(ISNUMBER(FIND("SALDO DO DIA",C1090)),0,IF(ISNUMBER(FIND("SALDO PARCIAL",C1090)),0,IF(ISNUMBER(FIND("SDO CTA/APL AUTOMATICAS",C1090)),0,IF(ISNUMBER(FIND("APL APLIC AUT MAIS",C1090)),0,IF(ISNUMBER(FIND("TEC DEPOSITO",C1090)),0,IF(E1090&gt;0,0,E1090*(-1))))))))</f>
        <v>0</v>
      </c>
      <c r="G1090" s="100" t="n">
        <f aca="false">IF(ISNUMBER(FIND("SALDO ANTERIOR",C1090)),0,IF(ISNUMBER(FIND("SALDO DO DIA",C1090)),0,IF(ISNUMBER(FIND("SDO CTA/APL AUTOMATICAS",C1090)),0,IF(ISNUMBER(FIND("TEC DEPOSITO",C1090)),0,IF(ISNUMBER(FIND("APL APLIC AUT MAIS",C1090)),E1090,IF(E1090&gt;0,E1090,0))))))</f>
        <v>0</v>
      </c>
      <c r="H1090" s="101" t="n">
        <v>44105</v>
      </c>
    </row>
    <row r="1091" customFormat="false" ht="13.8" hidden="false" customHeight="false" outlineLevel="0" collapsed="false">
      <c r="A1091" s="59" t="s">
        <v>98</v>
      </c>
      <c r="B1091" s="74" t="s">
        <v>742</v>
      </c>
      <c r="C1091" s="75" t="s">
        <v>743</v>
      </c>
      <c r="D1091" s="76" t="s">
        <v>64</v>
      </c>
      <c r="E1091" s="81" t="n">
        <v>-62.34</v>
      </c>
      <c r="F1091" s="99" t="n">
        <f aca="false">IF(ISNUMBER(FIND("SALDO ANTERIOR",C1091)),0,IF(ISNUMBER(FIND("SALDO DO DIA",C1091)),0,IF(ISNUMBER(FIND("SALDO PARCIAL",C1091)),0,IF(ISNUMBER(FIND("SDO CTA/APL AUTOMATICAS",C1091)),0,IF(ISNUMBER(FIND("APL APLIC AUT MAIS",C1091)),0,IF(ISNUMBER(FIND("TEC DEPOSITO",C1091)),0,IF(E1091&gt;0,0,E1091*(-1))))))))</f>
        <v>62.34</v>
      </c>
      <c r="G1091" s="100" t="n">
        <f aca="false">IF(ISNUMBER(FIND("SALDO ANTERIOR",C1091)),0,IF(ISNUMBER(FIND("SALDO DO DIA",C1091)),0,IF(ISNUMBER(FIND("SDO CTA/APL AUTOMATICAS",C1091)),0,IF(ISNUMBER(FIND("TEC DEPOSITO",C1091)),0,IF(ISNUMBER(FIND("APL APLIC AUT MAIS",C1091)),E1091,IF(E1091&gt;0,E1091,0))))))</f>
        <v>0</v>
      </c>
      <c r="H1091" s="101" t="n">
        <v>44105</v>
      </c>
    </row>
    <row r="1092" customFormat="false" ht="15" hidden="false" customHeight="false" outlineLevel="0" collapsed="false">
      <c r="A1092" s="59" t="s">
        <v>29</v>
      </c>
      <c r="B1092" s="74" t="s">
        <v>742</v>
      </c>
      <c r="C1092" s="83" t="s">
        <v>494</v>
      </c>
      <c r="D1092" s="76"/>
      <c r="E1092" s="84" t="n">
        <v>-809.18</v>
      </c>
      <c r="F1092" s="99" t="n">
        <f aca="false">IF(ISNUMBER(FIND("SALDO ANTERIOR",C1092)),0,IF(ISNUMBER(FIND("SALDO DO DIA",C1092)),0,IF(ISNUMBER(FIND("SALDO PARCIAL",C1092)),0,IF(ISNUMBER(FIND("SDO CTA/APL AUTOMATICAS",C1092)),0,IF(ISNUMBER(FIND("APL APLIC AUT MAIS",C1092)),0,IF(ISNUMBER(FIND("TEC DEPOSITO",C1092)),0,IF(E1092&gt;0,0,E1092*(-1))))))))</f>
        <v>0</v>
      </c>
      <c r="G1092" s="100" t="n">
        <f aca="false">IF(ISNUMBER(FIND("SALDO ANTERIOR",C1092)),0,IF(ISNUMBER(FIND("SALDO DO DIA",C1092)),0,IF(ISNUMBER(FIND("SDO CTA/APL AUTOMATICAS",C1092)),0,IF(ISNUMBER(FIND("TEC DEPOSITO",C1092)),0,IF(ISNUMBER(FIND("APL APLIC AUT MAIS",C1092)),E1092,IF(E1092&gt;0,E1092,0))))))</f>
        <v>0</v>
      </c>
      <c r="H1092" s="101" t="n">
        <v>44105</v>
      </c>
    </row>
    <row r="1093" customFormat="false" ht="13.8" hidden="false" customHeight="false" outlineLevel="0" collapsed="false">
      <c r="A1093" s="59" t="s">
        <v>744</v>
      </c>
      <c r="B1093" s="74" t="s">
        <v>745</v>
      </c>
      <c r="C1093" s="75" t="s">
        <v>746</v>
      </c>
      <c r="D1093" s="76" t="s">
        <v>61</v>
      </c>
      <c r="E1093" s="81" t="n">
        <v>-5</v>
      </c>
      <c r="F1093" s="99" t="n">
        <f aca="false">IF(ISNUMBER(FIND("SALDO ANTERIOR",C1093)),0,IF(ISNUMBER(FIND("SALDO DO DIA",C1093)),0,IF(ISNUMBER(FIND("SALDO PARCIAL",C1093)),0,IF(ISNUMBER(FIND("SDO CTA/APL AUTOMATICAS",C1093)),0,IF(ISNUMBER(FIND("APL APLIC AUT MAIS",C1093)),0,IF(ISNUMBER(FIND("TEC DEPOSITO",C1093)),0,IF(E1093&gt;0,0,E1093*(-1))))))))</f>
        <v>5</v>
      </c>
      <c r="G1093" s="100" t="n">
        <f aca="false">IF(ISNUMBER(FIND("SALDO ANTERIOR",C1093)),0,IF(ISNUMBER(FIND("SALDO DO DIA",C1093)),0,IF(ISNUMBER(FIND("SDO CTA/APL AUTOMATICAS",C1093)),0,IF(ISNUMBER(FIND("TEC DEPOSITO",C1093)),0,IF(ISNUMBER(FIND("APL APLIC AUT MAIS",C1093)),E1093,IF(E1093&gt;0,E1093,0))))))</f>
        <v>0</v>
      </c>
      <c r="H1093" s="101" t="n">
        <v>44105</v>
      </c>
    </row>
    <row r="1094" customFormat="false" ht="15" hidden="false" customHeight="false" outlineLevel="0" collapsed="false">
      <c r="A1094" s="59" t="s">
        <v>29</v>
      </c>
      <c r="B1094" s="74" t="s">
        <v>745</v>
      </c>
      <c r="C1094" s="83" t="s">
        <v>494</v>
      </c>
      <c r="D1094" s="76"/>
      <c r="E1094" s="84" t="n">
        <v>-814.18</v>
      </c>
      <c r="F1094" s="99" t="n">
        <f aca="false">IF(ISNUMBER(FIND("SALDO ANTERIOR",C1094)),0,IF(ISNUMBER(FIND("SALDO DO DIA",C1094)),0,IF(ISNUMBER(FIND("SALDO PARCIAL",C1094)),0,IF(ISNUMBER(FIND("SDO CTA/APL AUTOMATICAS",C1094)),0,IF(ISNUMBER(FIND("APL APLIC AUT MAIS",C1094)),0,IF(ISNUMBER(FIND("TEC DEPOSITO",C1094)),0,IF(E1094&gt;0,0,E1094*(-1))))))))</f>
        <v>0</v>
      </c>
      <c r="G1094" s="100" t="n">
        <f aca="false">IF(ISNUMBER(FIND("SALDO ANTERIOR",C1094)),0,IF(ISNUMBER(FIND("SALDO DO DIA",C1094)),0,IF(ISNUMBER(FIND("SDO CTA/APL AUTOMATICAS",C1094)),0,IF(ISNUMBER(FIND("TEC DEPOSITO",C1094)),0,IF(ISNUMBER(FIND("APL APLIC AUT MAIS",C1094)),E1094,IF(E1094&gt;0,E1094,0))))))</f>
        <v>0</v>
      </c>
      <c r="H1094" s="101" t="n">
        <v>44105</v>
      </c>
    </row>
    <row r="1095" customFormat="false" ht="13.8" hidden="false" customHeight="false" outlineLevel="0" collapsed="false">
      <c r="A1095" s="59" t="s">
        <v>203</v>
      </c>
      <c r="B1095" s="74" t="s">
        <v>747</v>
      </c>
      <c r="C1095" s="75" t="s">
        <v>748</v>
      </c>
      <c r="D1095" s="76" t="s">
        <v>478</v>
      </c>
      <c r="E1095" s="81" t="n">
        <v>-60</v>
      </c>
      <c r="F1095" s="99" t="n">
        <f aca="false">IF(ISNUMBER(FIND("SALDO ANTERIOR",C1095)),0,IF(ISNUMBER(FIND("SALDO DO DIA",C1095)),0,IF(ISNUMBER(FIND("SALDO PARCIAL",C1095)),0,IF(ISNUMBER(FIND("SDO CTA/APL AUTOMATICAS",C1095)),0,IF(ISNUMBER(FIND("APL APLIC AUT MAIS",C1095)),0,IF(ISNUMBER(FIND("TEC DEPOSITO",C1095)),0,IF(E1095&gt;0,0,E1095*(-1))))))))</f>
        <v>60</v>
      </c>
      <c r="G1095" s="100" t="n">
        <f aca="false">IF(ISNUMBER(FIND("SALDO ANTERIOR",C1095)),0,IF(ISNUMBER(FIND("SALDO DO DIA",C1095)),0,IF(ISNUMBER(FIND("SDO CTA/APL AUTOMATICAS",C1095)),0,IF(ISNUMBER(FIND("TEC DEPOSITO",C1095)),0,IF(ISNUMBER(FIND("APL APLIC AUT MAIS",C1095)),E1095,IF(E1095&gt;0,E1095,0))))))</f>
        <v>0</v>
      </c>
      <c r="H1095" s="101" t="n">
        <v>44105</v>
      </c>
    </row>
    <row r="1096" customFormat="false" ht="13.8" hidden="false" customHeight="false" outlineLevel="0" collapsed="false">
      <c r="A1096" s="59" t="s">
        <v>532</v>
      </c>
      <c r="B1096" s="74" t="s">
        <v>747</v>
      </c>
      <c r="C1096" s="75" t="s">
        <v>533</v>
      </c>
      <c r="D1096" s="76" t="s">
        <v>64</v>
      </c>
      <c r="E1096" s="81" t="n">
        <v>-10</v>
      </c>
      <c r="F1096" s="99" t="n">
        <f aca="false">IF(ISNUMBER(FIND("SALDO ANTERIOR",C1096)),0,IF(ISNUMBER(FIND("SALDO DO DIA",C1096)),0,IF(ISNUMBER(FIND("SALDO PARCIAL",C1096)),0,IF(ISNUMBER(FIND("SDO CTA/APL AUTOMATICAS",C1096)),0,IF(ISNUMBER(FIND("APL APLIC AUT MAIS",C1096)),0,IF(ISNUMBER(FIND("TEC DEPOSITO",C1096)),0,IF(E1096&gt;0,0,E1096*(-1))))))))</f>
        <v>10</v>
      </c>
      <c r="G1096" s="100" t="n">
        <f aca="false">IF(ISNUMBER(FIND("SALDO ANTERIOR",C1096)),0,IF(ISNUMBER(FIND("SALDO DO DIA",C1096)),0,IF(ISNUMBER(FIND("SDO CTA/APL AUTOMATICAS",C1096)),0,IF(ISNUMBER(FIND("TEC DEPOSITO",C1096)),0,IF(ISNUMBER(FIND("APL APLIC AUT MAIS",C1096)),E1096,IF(E1096&gt;0,E1096,0))))))</f>
        <v>0</v>
      </c>
      <c r="H1096" s="101" t="n">
        <v>44105</v>
      </c>
    </row>
    <row r="1097" customFormat="false" ht="13.8" hidden="false" customHeight="false" outlineLevel="0" collapsed="false">
      <c r="A1097" s="59" t="s">
        <v>65</v>
      </c>
      <c r="B1097" s="74" t="s">
        <v>747</v>
      </c>
      <c r="C1097" s="75" t="s">
        <v>454</v>
      </c>
      <c r="D1097" s="76" t="s">
        <v>64</v>
      </c>
      <c r="E1097" s="81" t="n">
        <v>-2.99</v>
      </c>
      <c r="F1097" s="99" t="n">
        <f aca="false">IF(ISNUMBER(FIND("SALDO ANTERIOR",C1097)),0,IF(ISNUMBER(FIND("SALDO DO DIA",C1097)),0,IF(ISNUMBER(FIND("SALDO PARCIAL",C1097)),0,IF(ISNUMBER(FIND("SDO CTA/APL AUTOMATICAS",C1097)),0,IF(ISNUMBER(FIND("APL APLIC AUT MAIS",C1097)),0,IF(ISNUMBER(FIND("TEC DEPOSITO",C1097)),0,IF(E1097&gt;0,0,E1097*(-1))))))))</f>
        <v>2.99</v>
      </c>
      <c r="G1097" s="100" t="n">
        <f aca="false">IF(ISNUMBER(FIND("SALDO ANTERIOR",C1097)),0,IF(ISNUMBER(FIND("SALDO DO DIA",C1097)),0,IF(ISNUMBER(FIND("SDO CTA/APL AUTOMATICAS",C1097)),0,IF(ISNUMBER(FIND("TEC DEPOSITO",C1097)),0,IF(ISNUMBER(FIND("APL APLIC AUT MAIS",C1097)),E1097,IF(E1097&gt;0,E1097,0))))))</f>
        <v>0</v>
      </c>
      <c r="H1097" s="101" t="n">
        <v>44105</v>
      </c>
    </row>
    <row r="1098" customFormat="false" ht="13.8" hidden="false" customHeight="false" outlineLevel="0" collapsed="false">
      <c r="A1098" s="59" t="s">
        <v>76</v>
      </c>
      <c r="B1098" s="74" t="s">
        <v>747</v>
      </c>
      <c r="C1098" s="75" t="s">
        <v>446</v>
      </c>
      <c r="D1098" s="76" t="s">
        <v>64</v>
      </c>
      <c r="E1098" s="81" t="n">
        <v>-157.9</v>
      </c>
      <c r="F1098" s="99" t="n">
        <f aca="false">IF(ISNUMBER(FIND("SALDO ANTERIOR",C1098)),0,IF(ISNUMBER(FIND("SALDO DO DIA",C1098)),0,IF(ISNUMBER(FIND("SALDO PARCIAL",C1098)),0,IF(ISNUMBER(FIND("SDO CTA/APL AUTOMATICAS",C1098)),0,IF(ISNUMBER(FIND("APL APLIC AUT MAIS",C1098)),0,IF(ISNUMBER(FIND("TEC DEPOSITO",C1098)),0,IF(E1098&gt;0,0,E1098*(-1))))))))</f>
        <v>157.9</v>
      </c>
      <c r="G1098" s="100" t="n">
        <f aca="false">IF(ISNUMBER(FIND("SALDO ANTERIOR",C1098)),0,IF(ISNUMBER(FIND("SALDO DO DIA",C1098)),0,IF(ISNUMBER(FIND("SDO CTA/APL AUTOMATICAS",C1098)),0,IF(ISNUMBER(FIND("TEC DEPOSITO",C1098)),0,IF(ISNUMBER(FIND("APL APLIC AUT MAIS",C1098)),E1098,IF(E1098&gt;0,E1098,0))))))</f>
        <v>0</v>
      </c>
      <c r="H1098" s="101" t="n">
        <v>44105</v>
      </c>
    </row>
    <row r="1099" customFormat="false" ht="15" hidden="false" customHeight="false" outlineLevel="0" collapsed="false">
      <c r="A1099" s="59" t="s">
        <v>29</v>
      </c>
      <c r="B1099" s="74" t="s">
        <v>747</v>
      </c>
      <c r="C1099" s="83" t="s">
        <v>494</v>
      </c>
      <c r="D1099" s="76"/>
      <c r="E1099" s="84" t="n">
        <v>-1045.07</v>
      </c>
      <c r="F1099" s="99" t="n">
        <f aca="false">IF(ISNUMBER(FIND("SALDO ANTERIOR",C1099)),0,IF(ISNUMBER(FIND("SALDO DO DIA",C1099)),0,IF(ISNUMBER(FIND("SALDO PARCIAL",C1099)),0,IF(ISNUMBER(FIND("SDO CTA/APL AUTOMATICAS",C1099)),0,IF(ISNUMBER(FIND("APL APLIC AUT MAIS",C1099)),0,IF(ISNUMBER(FIND("TEC DEPOSITO",C1099)),0,IF(E1099&gt;0,0,E1099*(-1))))))))</f>
        <v>0</v>
      </c>
      <c r="G1099" s="100" t="n">
        <f aca="false">IF(ISNUMBER(FIND("SALDO ANTERIOR",C1099)),0,IF(ISNUMBER(FIND("SALDO DO DIA",C1099)),0,IF(ISNUMBER(FIND("SDO CTA/APL AUTOMATICAS",C1099)),0,IF(ISNUMBER(FIND("TEC DEPOSITO",C1099)),0,IF(ISNUMBER(FIND("APL APLIC AUT MAIS",C1099)),E1099,IF(E1099&gt;0,E1099,0))))))</f>
        <v>0</v>
      </c>
      <c r="H1099" s="101" t="n">
        <v>44105</v>
      </c>
    </row>
    <row r="1100" customFormat="false" ht="13.8" hidden="false" customHeight="false" outlineLevel="0" collapsed="false">
      <c r="A1100" s="59" t="s">
        <v>749</v>
      </c>
      <c r="B1100" s="74" t="s">
        <v>750</v>
      </c>
      <c r="C1100" s="75" t="s">
        <v>751</v>
      </c>
      <c r="D1100" s="76" t="s">
        <v>61</v>
      </c>
      <c r="E1100" s="81" t="n">
        <v>-125</v>
      </c>
      <c r="F1100" s="99" t="n">
        <f aca="false">IF(ISNUMBER(FIND("SALDO ANTERIOR",C1100)),0,IF(ISNUMBER(FIND("SALDO DO DIA",C1100)),0,IF(ISNUMBER(FIND("SALDO PARCIAL",C1100)),0,IF(ISNUMBER(FIND("SDO CTA/APL AUTOMATICAS",C1100)),0,IF(ISNUMBER(FIND("APL APLIC AUT MAIS",C1100)),0,IF(ISNUMBER(FIND("TEC DEPOSITO",C1100)),0,IF(E1100&gt;0,0,E1100*(-1))))))))</f>
        <v>125</v>
      </c>
      <c r="G1100" s="100" t="n">
        <f aca="false">IF(ISNUMBER(FIND("SALDO ANTERIOR",C1100)),0,IF(ISNUMBER(FIND("SALDO DO DIA",C1100)),0,IF(ISNUMBER(FIND("SDO CTA/APL AUTOMATICAS",C1100)),0,IF(ISNUMBER(FIND("TEC DEPOSITO",C1100)),0,IF(ISNUMBER(FIND("APL APLIC AUT MAIS",C1100)),E1100,IF(E1100&gt;0,E1100,0))))))</f>
        <v>0</v>
      </c>
      <c r="H1100" s="101" t="n">
        <v>44105</v>
      </c>
    </row>
    <row r="1101" customFormat="false" ht="13.8" hidden="false" customHeight="false" outlineLevel="0" collapsed="false">
      <c r="A1101" s="49" t="s">
        <v>29</v>
      </c>
      <c r="B1101" s="74" t="s">
        <v>750</v>
      </c>
      <c r="C1101" s="75" t="s">
        <v>752</v>
      </c>
      <c r="D1101" s="76" t="s">
        <v>61</v>
      </c>
      <c r="E1101" s="81" t="n">
        <v>-170</v>
      </c>
      <c r="F1101" s="99" t="n">
        <f aca="false">IF(ISNUMBER(FIND("SALDO ANTERIOR",C1101)),0,IF(ISNUMBER(FIND("SALDO DO DIA",C1101)),0,IF(ISNUMBER(FIND("SALDO PARCIAL",C1101)),0,IF(ISNUMBER(FIND("SDO CTA/APL AUTOMATICAS",C1101)),0,IF(ISNUMBER(FIND("APL APLIC AUT MAIS",C1101)),0,IF(ISNUMBER(FIND("TEC DEPOSITO",C1101)),0,IF(E1101&gt;0,0,E1101*(-1))))))))</f>
        <v>170</v>
      </c>
      <c r="G1101" s="100" t="n">
        <f aca="false">IF(ISNUMBER(FIND("SALDO ANTERIOR",C1101)),0,IF(ISNUMBER(FIND("SALDO DO DIA",C1101)),0,IF(ISNUMBER(FIND("SDO CTA/APL AUTOMATICAS",C1101)),0,IF(ISNUMBER(FIND("TEC DEPOSITO",C1101)),0,IF(ISNUMBER(FIND("APL APLIC AUT MAIS",C1101)),E1101,IF(E1101&gt;0,E1101,0))))))</f>
        <v>0</v>
      </c>
      <c r="H1101" s="101" t="n">
        <v>44105</v>
      </c>
    </row>
    <row r="1102" customFormat="false" ht="13.8" hidden="false" customHeight="false" outlineLevel="0" collapsed="false">
      <c r="A1102" s="59" t="s">
        <v>167</v>
      </c>
      <c r="B1102" s="74" t="s">
        <v>750</v>
      </c>
      <c r="C1102" s="75" t="s">
        <v>168</v>
      </c>
      <c r="D1102" s="76" t="s">
        <v>61</v>
      </c>
      <c r="E1102" s="77" t="n">
        <v>170</v>
      </c>
      <c r="F1102" s="99" t="n">
        <f aca="false">IF(ISNUMBER(FIND("SALDO ANTERIOR",C1102)),0,IF(ISNUMBER(FIND("SALDO DO DIA",C1102)),0,IF(ISNUMBER(FIND("SALDO PARCIAL",C1102)),0,IF(ISNUMBER(FIND("SDO CTA/APL AUTOMATICAS",C1102)),0,IF(ISNUMBER(FIND("APL APLIC AUT MAIS",C1102)),0,IF(ISNUMBER(FIND("TEC DEPOSITO",C1102)),0,IF(E1102&gt;0,0,E1102*(-1))))))))</f>
        <v>0</v>
      </c>
      <c r="G1102" s="100" t="n">
        <f aca="false">IF(ISNUMBER(FIND("SALDO ANTERIOR",C1102)),0,IF(ISNUMBER(FIND("SALDO DO DIA",C1102)),0,IF(ISNUMBER(FIND("SDO CTA/APL AUTOMATICAS",C1102)),0,IF(ISNUMBER(FIND("TEC DEPOSITO",C1102)),0,IF(ISNUMBER(FIND("APL APLIC AUT MAIS",C1102)),E1102,IF(E1102&gt;0,E1102,0))))))</f>
        <v>170</v>
      </c>
      <c r="H1102" s="101" t="n">
        <v>44105</v>
      </c>
    </row>
    <row r="1103" customFormat="false" ht="13.8" hidden="false" customHeight="false" outlineLevel="0" collapsed="false">
      <c r="A1103" s="59" t="s">
        <v>167</v>
      </c>
      <c r="B1103" s="74" t="s">
        <v>750</v>
      </c>
      <c r="C1103" s="75" t="s">
        <v>168</v>
      </c>
      <c r="D1103" s="76" t="s">
        <v>61</v>
      </c>
      <c r="E1103" s="77" t="n">
        <v>1110.2</v>
      </c>
      <c r="F1103" s="99" t="n">
        <f aca="false">IF(ISNUMBER(FIND("SALDO ANTERIOR",C1103)),0,IF(ISNUMBER(FIND("SALDO DO DIA",C1103)),0,IF(ISNUMBER(FIND("SALDO PARCIAL",C1103)),0,IF(ISNUMBER(FIND("SDO CTA/APL AUTOMATICAS",C1103)),0,IF(ISNUMBER(FIND("APL APLIC AUT MAIS",C1103)),0,IF(ISNUMBER(FIND("TEC DEPOSITO",C1103)),0,IF(E1103&gt;0,0,E1103*(-1))))))))</f>
        <v>0</v>
      </c>
      <c r="G1103" s="100" t="n">
        <f aca="false">IF(ISNUMBER(FIND("SALDO ANTERIOR",C1103)),0,IF(ISNUMBER(FIND("SALDO DO DIA",C1103)),0,IF(ISNUMBER(FIND("SDO CTA/APL AUTOMATICAS",C1103)),0,IF(ISNUMBER(FIND("TEC DEPOSITO",C1103)),0,IF(ISNUMBER(FIND("APL APLIC AUT MAIS",C1103)),E1103,IF(E1103&gt;0,E1103,0))))))</f>
        <v>1110.2</v>
      </c>
      <c r="H1103" s="101" t="n">
        <v>44105</v>
      </c>
    </row>
    <row r="1104" customFormat="false" ht="15" hidden="false" customHeight="false" outlineLevel="0" collapsed="false">
      <c r="A1104" s="59" t="s">
        <v>29</v>
      </c>
      <c r="B1104" s="74" t="s">
        <v>750</v>
      </c>
      <c r="C1104" s="83" t="s">
        <v>494</v>
      </c>
      <c r="D1104" s="76"/>
      <c r="E1104" s="84" t="n">
        <v>-59.87</v>
      </c>
      <c r="F1104" s="99" t="n">
        <f aca="false">IF(ISNUMBER(FIND("SALDO ANTERIOR",C1104)),0,IF(ISNUMBER(FIND("SALDO DO DIA",C1104)),0,IF(ISNUMBER(FIND("SALDO PARCIAL",C1104)),0,IF(ISNUMBER(FIND("SDO CTA/APL AUTOMATICAS",C1104)),0,IF(ISNUMBER(FIND("APL APLIC AUT MAIS",C1104)),0,IF(ISNUMBER(FIND("TEC DEPOSITO",C1104)),0,IF(E1104&gt;0,0,E1104*(-1))))))))</f>
        <v>0</v>
      </c>
      <c r="G1104" s="100" t="n">
        <f aca="false">IF(ISNUMBER(FIND("SALDO ANTERIOR",C1104)),0,IF(ISNUMBER(FIND("SALDO DO DIA",C1104)),0,IF(ISNUMBER(FIND("SDO CTA/APL AUTOMATICAS",C1104)),0,IF(ISNUMBER(FIND("TEC DEPOSITO",C1104)),0,IF(ISNUMBER(FIND("APL APLIC AUT MAIS",C1104)),E1104,IF(E1104&gt;0,E1104,0))))))</f>
        <v>0</v>
      </c>
      <c r="H1104" s="101" t="n">
        <v>44105</v>
      </c>
    </row>
    <row r="1105" customFormat="false" ht="13.8" hidden="false" customHeight="false" outlineLevel="0" collapsed="false">
      <c r="A1105" s="59" t="s">
        <v>29</v>
      </c>
      <c r="B1105" s="74" t="s">
        <v>753</v>
      </c>
      <c r="C1105" s="75" t="s">
        <v>754</v>
      </c>
      <c r="D1105" s="76" t="s">
        <v>61</v>
      </c>
      <c r="E1105" s="81" t="n">
        <v>-800</v>
      </c>
      <c r="F1105" s="99" t="n">
        <f aca="false">IF(ISNUMBER(FIND("SALDO ANTERIOR",C1105)),0,IF(ISNUMBER(FIND("SALDO DO DIA",C1105)),0,IF(ISNUMBER(FIND("SALDO PARCIAL",C1105)),0,IF(ISNUMBER(FIND("SDO CTA/APL AUTOMATICAS",C1105)),0,IF(ISNUMBER(FIND("APL APLIC AUT MAIS",C1105)),0,IF(ISNUMBER(FIND("TEC DEPOSITO",C1105)),0,IF(E1105&gt;0,0,E1105*(-1))))))))</f>
        <v>800</v>
      </c>
      <c r="G1105" s="100" t="n">
        <f aca="false">IF(ISNUMBER(FIND("SALDO ANTERIOR",C1105)),0,IF(ISNUMBER(FIND("SALDO DO DIA",C1105)),0,IF(ISNUMBER(FIND("SDO CTA/APL AUTOMATICAS",C1105)),0,IF(ISNUMBER(FIND("TEC DEPOSITO",C1105)),0,IF(ISNUMBER(FIND("APL APLIC AUT MAIS",C1105)),E1105,IF(E1105&gt;0,E1105,0))))))</f>
        <v>0</v>
      </c>
      <c r="H1105" s="101" t="n">
        <v>44105</v>
      </c>
    </row>
    <row r="1106" customFormat="false" ht="13.8" hidden="false" customHeight="false" outlineLevel="0" collapsed="false">
      <c r="A1106" s="59" t="s">
        <v>65</v>
      </c>
      <c r="B1106" s="74" t="s">
        <v>753</v>
      </c>
      <c r="C1106" s="75" t="s">
        <v>723</v>
      </c>
      <c r="D1106" s="76" t="s">
        <v>64</v>
      </c>
      <c r="E1106" s="81" t="n">
        <v>-5.99</v>
      </c>
      <c r="F1106" s="99" t="n">
        <f aca="false">IF(ISNUMBER(FIND("SALDO ANTERIOR",C1106)),0,IF(ISNUMBER(FIND("SALDO DO DIA",C1106)),0,IF(ISNUMBER(FIND("SALDO PARCIAL",C1106)),0,IF(ISNUMBER(FIND("SDO CTA/APL AUTOMATICAS",C1106)),0,IF(ISNUMBER(FIND("APL APLIC AUT MAIS",C1106)),0,IF(ISNUMBER(FIND("TEC DEPOSITO",C1106)),0,IF(E1106&gt;0,0,E1106*(-1))))))))</f>
        <v>5.99</v>
      </c>
      <c r="G1106" s="100" t="n">
        <f aca="false">IF(ISNUMBER(FIND("SALDO ANTERIOR",C1106)),0,IF(ISNUMBER(FIND("SALDO DO DIA",C1106)),0,IF(ISNUMBER(FIND("SDO CTA/APL AUTOMATICAS",C1106)),0,IF(ISNUMBER(FIND("TEC DEPOSITO",C1106)),0,IF(ISNUMBER(FIND("APL APLIC AUT MAIS",C1106)),E1106,IF(E1106&gt;0,E1106,0))))))</f>
        <v>0</v>
      </c>
      <c r="H1106" s="101" t="n">
        <v>44105</v>
      </c>
    </row>
    <row r="1107" customFormat="false" ht="15" hidden="false" customHeight="false" outlineLevel="0" collapsed="false">
      <c r="A1107" s="59" t="s">
        <v>29</v>
      </c>
      <c r="B1107" s="74" t="s">
        <v>753</v>
      </c>
      <c r="C1107" s="83" t="s">
        <v>494</v>
      </c>
      <c r="D1107" s="76"/>
      <c r="E1107" s="84" t="n">
        <v>-865.86</v>
      </c>
      <c r="F1107" s="99" t="n">
        <f aca="false">IF(ISNUMBER(FIND("SALDO ANTERIOR",C1107)),0,IF(ISNUMBER(FIND("SALDO DO DIA",C1107)),0,IF(ISNUMBER(FIND("SALDO PARCIAL",C1107)),0,IF(ISNUMBER(FIND("SDO CTA/APL AUTOMATICAS",C1107)),0,IF(ISNUMBER(FIND("APL APLIC AUT MAIS",C1107)),0,IF(ISNUMBER(FIND("TEC DEPOSITO",C1107)),0,IF(E1107&gt;0,0,E1107*(-1))))))))</f>
        <v>0</v>
      </c>
      <c r="G1107" s="100" t="n">
        <f aca="false">IF(ISNUMBER(FIND("SALDO ANTERIOR",C1107)),0,IF(ISNUMBER(FIND("SALDO DO DIA",C1107)),0,IF(ISNUMBER(FIND("SDO CTA/APL AUTOMATICAS",C1107)),0,IF(ISNUMBER(FIND("TEC DEPOSITO",C1107)),0,IF(ISNUMBER(FIND("APL APLIC AUT MAIS",C1107)),E1107,IF(E1107&gt;0,E1107,0))))))</f>
        <v>0</v>
      </c>
      <c r="H1107" s="101" t="n">
        <v>44105</v>
      </c>
    </row>
    <row r="1108" customFormat="false" ht="15" hidden="false" customHeight="false" outlineLevel="0" collapsed="false">
      <c r="A1108" s="59" t="s">
        <v>29</v>
      </c>
      <c r="B1108" s="41" t="s">
        <v>753</v>
      </c>
      <c r="C1108" s="102" t="s">
        <v>111</v>
      </c>
      <c r="D1108" s="103"/>
      <c r="E1108" s="104" t="n">
        <v>-865.86</v>
      </c>
      <c r="F1108" s="70" t="n">
        <f aca="false">IF(ISNUMBER(FIND("SALDO ANTERIOR",C1108)),0,IF(ISNUMBER(FIND("SALDO DO DIA",C1108)),0,IF(ISNUMBER(FIND("SALDO PARCIAL",C1108)),0,IF(ISNUMBER(FIND("SDO CTA/APL AUTOMATICAS",C1108)),0,IF(ISNUMBER(FIND("APL APLIC AUT MAIS",C1108)),0,IF(ISNUMBER(FIND("TEC DEPOSITO",C1108)),0,IF(E1108&gt;0,0,E1108*(-1))))))))</f>
        <v>0</v>
      </c>
      <c r="G1108" s="97" t="n">
        <f aca="false">IF(ISNUMBER(FIND("SALDO ANTERIOR",C1108)),0,IF(ISNUMBER(FIND("SALDO DO DIA",C1108)),0,IF(ISNUMBER(FIND("SDO CTA/APL AUTOMATICAS",C1108)),0,IF(ISNUMBER(FIND("TEC DEPOSITO",C1108)),0,IF(ISNUMBER(FIND("APL APLIC AUT MAIS",C1108)),E1108,IF(E1108&gt;0,E1108,0))))))</f>
        <v>0</v>
      </c>
      <c r="H1108" s="96" t="n">
        <v>44136</v>
      </c>
    </row>
    <row r="1109" customFormat="false" ht="13.8" hidden="false" customHeight="false" outlineLevel="0" collapsed="false">
      <c r="A1109" s="59" t="s">
        <v>203</v>
      </c>
      <c r="B1109" s="41" t="s">
        <v>755</v>
      </c>
      <c r="C1109" s="105" t="s">
        <v>756</v>
      </c>
      <c r="D1109" s="103" t="s">
        <v>478</v>
      </c>
      <c r="E1109" s="106" t="n">
        <v>-100</v>
      </c>
      <c r="F1109" s="70" t="n">
        <f aca="false">IF(ISNUMBER(FIND("SALDO ANTERIOR",C1109)),0,IF(ISNUMBER(FIND("SALDO DO DIA",C1109)),0,IF(ISNUMBER(FIND("SALDO PARCIAL",C1109)),0,IF(ISNUMBER(FIND("SDO CTA/APL AUTOMATICAS",C1109)),0,IF(ISNUMBER(FIND("APL APLIC AUT MAIS",C1109)),0,IF(ISNUMBER(FIND("TEC DEPOSITO",C1109)),0,IF(E1109&gt;0,0,E1109*(-1))))))))</f>
        <v>100</v>
      </c>
      <c r="G1109" s="97" t="n">
        <f aca="false">IF(ISNUMBER(FIND("SALDO ANTERIOR",C1109)),0,IF(ISNUMBER(FIND("SALDO DO DIA",C1109)),0,IF(ISNUMBER(FIND("SDO CTA/APL AUTOMATICAS",C1109)),0,IF(ISNUMBER(FIND("TEC DEPOSITO",C1109)),0,IF(ISNUMBER(FIND("APL APLIC AUT MAIS",C1109)),E1109,IF(E1109&gt;0,E1109,0))))))</f>
        <v>0</v>
      </c>
      <c r="H1109" s="96" t="n">
        <v>44136</v>
      </c>
    </row>
    <row r="1110" customFormat="false" ht="13.8" hidden="false" customHeight="false" outlineLevel="0" collapsed="false">
      <c r="A1110" s="59" t="s">
        <v>87</v>
      </c>
      <c r="B1110" s="41" t="s">
        <v>755</v>
      </c>
      <c r="C1110" s="105" t="s">
        <v>88</v>
      </c>
      <c r="D1110" s="103" t="s">
        <v>64</v>
      </c>
      <c r="E1110" s="106" t="n">
        <v>-25</v>
      </c>
      <c r="F1110" s="70" t="n">
        <f aca="false">IF(ISNUMBER(FIND("SALDO ANTERIOR",C1110)),0,IF(ISNUMBER(FIND("SALDO DO DIA",C1110)),0,IF(ISNUMBER(FIND("SALDO PARCIAL",C1110)),0,IF(ISNUMBER(FIND("SDO CTA/APL AUTOMATICAS",C1110)),0,IF(ISNUMBER(FIND("APL APLIC AUT MAIS",C1110)),0,IF(ISNUMBER(FIND("TEC DEPOSITO",C1110)),0,IF(E1110&gt;0,0,E1110*(-1))))))))</f>
        <v>25</v>
      </c>
      <c r="G1110" s="97" t="n">
        <f aca="false">IF(ISNUMBER(FIND("SALDO ANTERIOR",C1110)),0,IF(ISNUMBER(FIND("SALDO DO DIA",C1110)),0,IF(ISNUMBER(FIND("SDO CTA/APL AUTOMATICAS",C1110)),0,IF(ISNUMBER(FIND("TEC DEPOSITO",C1110)),0,IF(ISNUMBER(FIND("APL APLIC AUT MAIS",C1110)),E1110,IF(E1110&gt;0,E1110,0))))))</f>
        <v>0</v>
      </c>
      <c r="H1110" s="96" t="n">
        <v>44136</v>
      </c>
    </row>
    <row r="1111" customFormat="false" ht="13.8" hidden="false" customHeight="false" outlineLevel="0" collapsed="false">
      <c r="A1111" s="59" t="s">
        <v>98</v>
      </c>
      <c r="B1111" s="41" t="s">
        <v>755</v>
      </c>
      <c r="C1111" s="105" t="s">
        <v>247</v>
      </c>
      <c r="D1111" s="103" t="s">
        <v>64</v>
      </c>
      <c r="E1111" s="106" t="n">
        <v>-4.79</v>
      </c>
      <c r="F1111" s="70" t="n">
        <f aca="false">IF(ISNUMBER(FIND("SALDO ANTERIOR",C1111)),0,IF(ISNUMBER(FIND("SALDO DO DIA",C1111)),0,IF(ISNUMBER(FIND("SALDO PARCIAL",C1111)),0,IF(ISNUMBER(FIND("SDO CTA/APL AUTOMATICAS",C1111)),0,IF(ISNUMBER(FIND("APL APLIC AUT MAIS",C1111)),0,IF(ISNUMBER(FIND("TEC DEPOSITO",C1111)),0,IF(E1111&gt;0,0,E1111*(-1))))))))</f>
        <v>4.79</v>
      </c>
      <c r="G1111" s="97" t="n">
        <f aca="false">IF(ISNUMBER(FIND("SALDO ANTERIOR",C1111)),0,IF(ISNUMBER(FIND("SALDO DO DIA",C1111)),0,IF(ISNUMBER(FIND("SDO CTA/APL AUTOMATICAS",C1111)),0,IF(ISNUMBER(FIND("TEC DEPOSITO",C1111)),0,IF(ISNUMBER(FIND("APL APLIC AUT MAIS",C1111)),E1111,IF(E1111&gt;0,E1111,0))))))</f>
        <v>0</v>
      </c>
      <c r="H1111" s="96" t="n">
        <v>44136</v>
      </c>
    </row>
    <row r="1112" customFormat="false" ht="13.8" hidden="false" customHeight="false" outlineLevel="0" collapsed="false">
      <c r="A1112" s="59" t="s">
        <v>98</v>
      </c>
      <c r="B1112" s="41" t="s">
        <v>755</v>
      </c>
      <c r="C1112" s="105" t="s">
        <v>247</v>
      </c>
      <c r="D1112" s="103" t="s">
        <v>64</v>
      </c>
      <c r="E1112" s="106" t="n">
        <v>-105.89</v>
      </c>
      <c r="F1112" s="70" t="n">
        <f aca="false">IF(ISNUMBER(FIND("SALDO ANTERIOR",C1112)),0,IF(ISNUMBER(FIND("SALDO DO DIA",C1112)),0,IF(ISNUMBER(FIND("SALDO PARCIAL",C1112)),0,IF(ISNUMBER(FIND("SDO CTA/APL AUTOMATICAS",C1112)),0,IF(ISNUMBER(FIND("APL APLIC AUT MAIS",C1112)),0,IF(ISNUMBER(FIND("TEC DEPOSITO",C1112)),0,IF(E1112&gt;0,0,E1112*(-1))))))))</f>
        <v>105.89</v>
      </c>
      <c r="G1112" s="97" t="n">
        <f aca="false">IF(ISNUMBER(FIND("SALDO ANTERIOR",C1112)),0,IF(ISNUMBER(FIND("SALDO DO DIA",C1112)),0,IF(ISNUMBER(FIND("SDO CTA/APL AUTOMATICAS",C1112)),0,IF(ISNUMBER(FIND("TEC DEPOSITO",C1112)),0,IF(ISNUMBER(FIND("APL APLIC AUT MAIS",C1112)),E1112,IF(E1112&gt;0,E1112,0))))))</f>
        <v>0</v>
      </c>
      <c r="H1112" s="96" t="n">
        <v>44136</v>
      </c>
    </row>
    <row r="1113" customFormat="false" ht="13.8" hidden="false" customHeight="false" outlineLevel="0" collapsed="false">
      <c r="A1113" s="59" t="s">
        <v>65</v>
      </c>
      <c r="B1113" s="41" t="s">
        <v>755</v>
      </c>
      <c r="C1113" s="105" t="s">
        <v>574</v>
      </c>
      <c r="D1113" s="103" t="s">
        <v>64</v>
      </c>
      <c r="E1113" s="106" t="n">
        <v>-24</v>
      </c>
      <c r="F1113" s="70" t="n">
        <f aca="false">IF(ISNUMBER(FIND("SALDO ANTERIOR",C1113)),0,IF(ISNUMBER(FIND("SALDO DO DIA",C1113)),0,IF(ISNUMBER(FIND("SALDO PARCIAL",C1113)),0,IF(ISNUMBER(FIND("SDO CTA/APL AUTOMATICAS",C1113)),0,IF(ISNUMBER(FIND("APL APLIC AUT MAIS",C1113)),0,IF(ISNUMBER(FIND("TEC DEPOSITO",C1113)),0,IF(E1113&gt;0,0,E1113*(-1))))))))</f>
        <v>24</v>
      </c>
      <c r="G1113" s="97" t="n">
        <f aca="false">IF(ISNUMBER(FIND("SALDO ANTERIOR",C1113)),0,IF(ISNUMBER(FIND("SALDO DO DIA",C1113)),0,IF(ISNUMBER(FIND("SDO CTA/APL AUTOMATICAS",C1113)),0,IF(ISNUMBER(FIND("TEC DEPOSITO",C1113)),0,IF(ISNUMBER(FIND("APL APLIC AUT MAIS",C1113)),E1113,IF(E1113&gt;0,E1113,0))))))</f>
        <v>0</v>
      </c>
      <c r="H1113" s="96" t="n">
        <v>44136</v>
      </c>
    </row>
    <row r="1114" customFormat="false" ht="13.8" hidden="false" customHeight="false" outlineLevel="0" collapsed="false">
      <c r="A1114" s="59" t="s">
        <v>316</v>
      </c>
      <c r="B1114" s="41" t="s">
        <v>755</v>
      </c>
      <c r="C1114" s="105" t="s">
        <v>479</v>
      </c>
      <c r="D1114" s="103" t="s">
        <v>64</v>
      </c>
      <c r="E1114" s="106" t="n">
        <v>-50</v>
      </c>
      <c r="F1114" s="70" t="n">
        <f aca="false">IF(ISNUMBER(FIND("SALDO ANTERIOR",C1114)),0,IF(ISNUMBER(FIND("SALDO DO DIA",C1114)),0,IF(ISNUMBER(FIND("SALDO PARCIAL",C1114)),0,IF(ISNUMBER(FIND("SDO CTA/APL AUTOMATICAS",C1114)),0,IF(ISNUMBER(FIND("APL APLIC AUT MAIS",C1114)),0,IF(ISNUMBER(FIND("TEC DEPOSITO",C1114)),0,IF(E1114&gt;0,0,E1114*(-1))))))))</f>
        <v>50</v>
      </c>
      <c r="G1114" s="97" t="n">
        <f aca="false">IF(ISNUMBER(FIND("SALDO ANTERIOR",C1114)),0,IF(ISNUMBER(FIND("SALDO DO DIA",C1114)),0,IF(ISNUMBER(FIND("SDO CTA/APL AUTOMATICAS",C1114)),0,IF(ISNUMBER(FIND("TEC DEPOSITO",C1114)),0,IF(ISNUMBER(FIND("APL APLIC AUT MAIS",C1114)),E1114,IF(E1114&gt;0,E1114,0))))))</f>
        <v>0</v>
      </c>
      <c r="H1114" s="96" t="n">
        <v>44136</v>
      </c>
    </row>
    <row r="1115" customFormat="false" ht="13.8" hidden="false" customHeight="false" outlineLevel="0" collapsed="false">
      <c r="A1115" s="59" t="s">
        <v>757</v>
      </c>
      <c r="B1115" s="41" t="s">
        <v>755</v>
      </c>
      <c r="C1115" s="105" t="s">
        <v>758</v>
      </c>
      <c r="D1115" s="103" t="s">
        <v>64</v>
      </c>
      <c r="E1115" s="106" t="n">
        <v>-21</v>
      </c>
      <c r="F1115" s="70" t="n">
        <f aca="false">IF(ISNUMBER(FIND("SALDO ANTERIOR",C1115)),0,IF(ISNUMBER(FIND("SALDO DO DIA",C1115)),0,IF(ISNUMBER(FIND("SALDO PARCIAL",C1115)),0,IF(ISNUMBER(FIND("SDO CTA/APL AUTOMATICAS",C1115)),0,IF(ISNUMBER(FIND("APL APLIC AUT MAIS",C1115)),0,IF(ISNUMBER(FIND("TEC DEPOSITO",C1115)),0,IF(E1115&gt;0,0,E1115*(-1))))))))</f>
        <v>21</v>
      </c>
      <c r="G1115" s="97" t="n">
        <f aca="false">IF(ISNUMBER(FIND("SALDO ANTERIOR",C1115)),0,IF(ISNUMBER(FIND("SALDO DO DIA",C1115)),0,IF(ISNUMBER(FIND("SDO CTA/APL AUTOMATICAS",C1115)),0,IF(ISNUMBER(FIND("TEC DEPOSITO",C1115)),0,IF(ISNUMBER(FIND("APL APLIC AUT MAIS",C1115)),E1115,IF(E1115&gt;0,E1115,0))))))</f>
        <v>0</v>
      </c>
      <c r="H1115" s="96" t="n">
        <v>44136</v>
      </c>
    </row>
    <row r="1116" customFormat="false" ht="13.8" hidden="false" customHeight="false" outlineLevel="0" collapsed="false">
      <c r="A1116" s="59" t="s">
        <v>757</v>
      </c>
      <c r="B1116" s="41" t="s">
        <v>755</v>
      </c>
      <c r="C1116" s="105" t="s">
        <v>758</v>
      </c>
      <c r="D1116" s="103" t="s">
        <v>64</v>
      </c>
      <c r="E1116" s="106" t="n">
        <v>-20</v>
      </c>
      <c r="F1116" s="70" t="n">
        <f aca="false">IF(ISNUMBER(FIND("SALDO ANTERIOR",C1116)),0,IF(ISNUMBER(FIND("SALDO DO DIA",C1116)),0,IF(ISNUMBER(FIND("SALDO PARCIAL",C1116)),0,IF(ISNUMBER(FIND("SDO CTA/APL AUTOMATICAS",C1116)),0,IF(ISNUMBER(FIND("APL APLIC AUT MAIS",C1116)),0,IF(ISNUMBER(FIND("TEC DEPOSITO",C1116)),0,IF(E1116&gt;0,0,E1116*(-1))))))))</f>
        <v>20</v>
      </c>
      <c r="G1116" s="97" t="n">
        <f aca="false">IF(ISNUMBER(FIND("SALDO ANTERIOR",C1116)),0,IF(ISNUMBER(FIND("SALDO DO DIA",C1116)),0,IF(ISNUMBER(FIND("SDO CTA/APL AUTOMATICAS",C1116)),0,IF(ISNUMBER(FIND("TEC DEPOSITO",C1116)),0,IF(ISNUMBER(FIND("APL APLIC AUT MAIS",C1116)),E1116,IF(E1116&gt;0,E1116,0))))))</f>
        <v>0</v>
      </c>
      <c r="H1116" s="96" t="n">
        <v>44136</v>
      </c>
    </row>
    <row r="1117" customFormat="false" ht="13.8" hidden="false" customHeight="false" outlineLevel="0" collapsed="false">
      <c r="A1117" s="59" t="s">
        <v>98</v>
      </c>
      <c r="B1117" s="41" t="s">
        <v>755</v>
      </c>
      <c r="C1117" s="105" t="s">
        <v>99</v>
      </c>
      <c r="D1117" s="103" t="s">
        <v>64</v>
      </c>
      <c r="E1117" s="106" t="n">
        <v>-41.62</v>
      </c>
      <c r="F1117" s="70" t="n">
        <f aca="false">IF(ISNUMBER(FIND("SALDO ANTERIOR",C1117)),0,IF(ISNUMBER(FIND("SALDO DO DIA",C1117)),0,IF(ISNUMBER(FIND("SALDO PARCIAL",C1117)),0,IF(ISNUMBER(FIND("SDO CTA/APL AUTOMATICAS",C1117)),0,IF(ISNUMBER(FIND("APL APLIC AUT MAIS",C1117)),0,IF(ISNUMBER(FIND("TEC DEPOSITO",C1117)),0,IF(E1117&gt;0,0,E1117*(-1))))))))</f>
        <v>41.62</v>
      </c>
      <c r="G1117" s="97" t="n">
        <f aca="false">IF(ISNUMBER(FIND("SALDO ANTERIOR",C1117)),0,IF(ISNUMBER(FIND("SALDO DO DIA",C1117)),0,IF(ISNUMBER(FIND("SDO CTA/APL AUTOMATICAS",C1117)),0,IF(ISNUMBER(FIND("TEC DEPOSITO",C1117)),0,IF(ISNUMBER(FIND("APL APLIC AUT MAIS",C1117)),E1117,IF(E1117&gt;0,E1117,0))))))</f>
        <v>0</v>
      </c>
      <c r="H1117" s="96" t="n">
        <v>44136</v>
      </c>
    </row>
    <row r="1118" customFormat="false" ht="13.8" hidden="false" customHeight="false" outlineLevel="0" collapsed="false">
      <c r="A1118" s="59" t="s">
        <v>98</v>
      </c>
      <c r="B1118" s="41" t="s">
        <v>755</v>
      </c>
      <c r="C1118" s="105" t="s">
        <v>180</v>
      </c>
      <c r="D1118" s="103" t="s">
        <v>64</v>
      </c>
      <c r="E1118" s="106" t="n">
        <v>-2.57</v>
      </c>
      <c r="F1118" s="70" t="n">
        <f aca="false">IF(ISNUMBER(FIND("SALDO ANTERIOR",C1118)),0,IF(ISNUMBER(FIND("SALDO DO DIA",C1118)),0,IF(ISNUMBER(FIND("SALDO PARCIAL",C1118)),0,IF(ISNUMBER(FIND("SDO CTA/APL AUTOMATICAS",C1118)),0,IF(ISNUMBER(FIND("APL APLIC AUT MAIS",C1118)),0,IF(ISNUMBER(FIND("TEC DEPOSITO",C1118)),0,IF(E1118&gt;0,0,E1118*(-1))))))))</f>
        <v>2.57</v>
      </c>
      <c r="G1118" s="97" t="n">
        <f aca="false">IF(ISNUMBER(FIND("SALDO ANTERIOR",C1118)),0,IF(ISNUMBER(FIND("SALDO DO DIA",C1118)),0,IF(ISNUMBER(FIND("SDO CTA/APL AUTOMATICAS",C1118)),0,IF(ISNUMBER(FIND("TEC DEPOSITO",C1118)),0,IF(ISNUMBER(FIND("APL APLIC AUT MAIS",C1118)),E1118,IF(E1118&gt;0,E1118,0))))))</f>
        <v>0</v>
      </c>
      <c r="H1118" s="96" t="n">
        <v>44136</v>
      </c>
    </row>
    <row r="1119" customFormat="false" ht="13.8" hidden="false" customHeight="false" outlineLevel="0" collapsed="false">
      <c r="A1119" s="59" t="s">
        <v>98</v>
      </c>
      <c r="B1119" s="41" t="s">
        <v>755</v>
      </c>
      <c r="C1119" s="105" t="s">
        <v>743</v>
      </c>
      <c r="D1119" s="103" t="s">
        <v>64</v>
      </c>
      <c r="E1119" s="106" t="n">
        <v>-8.48</v>
      </c>
      <c r="F1119" s="70" t="n">
        <f aca="false">IF(ISNUMBER(FIND("SALDO ANTERIOR",C1119)),0,IF(ISNUMBER(FIND("SALDO DO DIA",C1119)),0,IF(ISNUMBER(FIND("SALDO PARCIAL",C1119)),0,IF(ISNUMBER(FIND("SDO CTA/APL AUTOMATICAS",C1119)),0,IF(ISNUMBER(FIND("APL APLIC AUT MAIS",C1119)),0,IF(ISNUMBER(FIND("TEC DEPOSITO",C1119)),0,IF(E1119&gt;0,0,E1119*(-1))))))))</f>
        <v>8.48</v>
      </c>
      <c r="G1119" s="97" t="n">
        <f aca="false">IF(ISNUMBER(FIND("SALDO ANTERIOR",C1119)),0,IF(ISNUMBER(FIND("SALDO DO DIA",C1119)),0,IF(ISNUMBER(FIND("SDO CTA/APL AUTOMATICAS",C1119)),0,IF(ISNUMBER(FIND("TEC DEPOSITO",C1119)),0,IF(ISNUMBER(FIND("APL APLIC AUT MAIS",C1119)),E1119,IF(E1119&gt;0,E1119,0))))))</f>
        <v>0</v>
      </c>
      <c r="H1119" s="96" t="n">
        <v>44136</v>
      </c>
    </row>
    <row r="1120" customFormat="false" ht="13.8" hidden="false" customHeight="false" outlineLevel="0" collapsed="false">
      <c r="A1120" s="59" t="s">
        <v>127</v>
      </c>
      <c r="B1120" s="41" t="s">
        <v>755</v>
      </c>
      <c r="C1120" s="105" t="s">
        <v>128</v>
      </c>
      <c r="D1120" s="103"/>
      <c r="E1120" s="47" t="n">
        <v>2945.18</v>
      </c>
      <c r="F1120" s="70" t="n">
        <f aca="false">IF(ISNUMBER(FIND("SALDO ANTERIOR",C1120)),0,IF(ISNUMBER(FIND("SALDO DO DIA",C1120)),0,IF(ISNUMBER(FIND("SALDO PARCIAL",C1120)),0,IF(ISNUMBER(FIND("SDO CTA/APL AUTOMATICAS",C1120)),0,IF(ISNUMBER(FIND("APL APLIC AUT MAIS",C1120)),0,IF(ISNUMBER(FIND("TEC DEPOSITO",C1120)),0,IF(E1120&gt;0,0,E1120*(-1))))))))</f>
        <v>0</v>
      </c>
      <c r="G1120" s="97" t="n">
        <f aca="false">IF(ISNUMBER(FIND("SALDO ANTERIOR",C1120)),0,IF(ISNUMBER(FIND("SALDO DO DIA",C1120)),0,IF(ISNUMBER(FIND("SDO CTA/APL AUTOMATICAS",C1120)),0,IF(ISNUMBER(FIND("TEC DEPOSITO",C1120)),0,IF(ISNUMBER(FIND("APL APLIC AUT MAIS",C1120)),E1120,IF(E1120&gt;0,E1120,0))))))</f>
        <v>2945.18</v>
      </c>
      <c r="H1120" s="96" t="n">
        <v>44136</v>
      </c>
    </row>
    <row r="1121" customFormat="false" ht="15" hidden="false" customHeight="false" outlineLevel="0" collapsed="false">
      <c r="A1121" s="59" t="s">
        <v>29</v>
      </c>
      <c r="B1121" s="41" t="s">
        <v>755</v>
      </c>
      <c r="C1121" s="102" t="s">
        <v>521</v>
      </c>
      <c r="D1121" s="103"/>
      <c r="E1121" s="107" t="n">
        <v>1675.97</v>
      </c>
      <c r="F1121" s="70" t="n">
        <f aca="false">IF(ISNUMBER(FIND("SALDO ANTERIOR",C1121)),0,IF(ISNUMBER(FIND("SALDO DO DIA",C1121)),0,IF(ISNUMBER(FIND("SALDO PARCIAL",C1121)),0,IF(ISNUMBER(FIND("SDO CTA/APL AUTOMATICAS",C1121)),0,IF(ISNUMBER(FIND("APL APLIC AUT MAIS",C1121)),0,IF(ISNUMBER(FIND("TEC DEPOSITO",C1121)),0,IF(E1121&gt;0,0,E1121*(-1))))))))</f>
        <v>0</v>
      </c>
      <c r="G1121" s="97" t="n">
        <f aca="false">IF(ISNUMBER(FIND("SALDO ANTERIOR",C1121)),0,IF(ISNUMBER(FIND("SALDO DO DIA",C1121)),0,IF(ISNUMBER(FIND("SDO CTA/APL AUTOMATICAS",C1121)),0,IF(ISNUMBER(FIND("TEC DEPOSITO",C1121)),0,IF(ISNUMBER(FIND("APL APLIC AUT MAIS",C1121)),E1121,IF(E1121&gt;0,E1121,0))))))</f>
        <v>0</v>
      </c>
      <c r="H1121" s="96" t="n">
        <v>44136</v>
      </c>
    </row>
    <row r="1122" customFormat="false" ht="13.8" hidden="false" customHeight="false" outlineLevel="0" collapsed="false">
      <c r="A1122" s="59" t="s">
        <v>74</v>
      </c>
      <c r="B1122" s="41" t="s">
        <v>759</v>
      </c>
      <c r="C1122" s="105" t="s">
        <v>457</v>
      </c>
      <c r="D1122" s="103" t="s">
        <v>64</v>
      </c>
      <c r="E1122" s="106" t="n">
        <v>-14.99</v>
      </c>
      <c r="F1122" s="70" t="n">
        <f aca="false">IF(ISNUMBER(FIND("SALDO ANTERIOR",C1122)),0,IF(ISNUMBER(FIND("SALDO DO DIA",C1122)),0,IF(ISNUMBER(FIND("SALDO PARCIAL",C1122)),0,IF(ISNUMBER(FIND("SDO CTA/APL AUTOMATICAS",C1122)),0,IF(ISNUMBER(FIND("APL APLIC AUT MAIS",C1122)),0,IF(ISNUMBER(FIND("TEC DEPOSITO",C1122)),0,IF(E1122&gt;0,0,E1122*(-1))))))))</f>
        <v>14.99</v>
      </c>
      <c r="G1122" s="97" t="n">
        <f aca="false">IF(ISNUMBER(FIND("SALDO ANTERIOR",C1122)),0,IF(ISNUMBER(FIND("SALDO DO DIA",C1122)),0,IF(ISNUMBER(FIND("SDO CTA/APL AUTOMATICAS",C1122)),0,IF(ISNUMBER(FIND("TEC DEPOSITO",C1122)),0,IF(ISNUMBER(FIND("APL APLIC AUT MAIS",C1122)),E1122,IF(E1122&gt;0,E1122,0))))))</f>
        <v>0</v>
      </c>
      <c r="H1122" s="96" t="n">
        <v>44136</v>
      </c>
    </row>
    <row r="1123" customFormat="false" ht="13.8" hidden="false" customHeight="false" outlineLevel="0" collapsed="false">
      <c r="A1123" s="59" t="s">
        <v>67</v>
      </c>
      <c r="B1123" s="41" t="s">
        <v>759</v>
      </c>
      <c r="C1123" s="105" t="s">
        <v>760</v>
      </c>
      <c r="D1123" s="103" t="s">
        <v>82</v>
      </c>
      <c r="E1123" s="106" t="n">
        <v>-79.5</v>
      </c>
      <c r="F1123" s="70" t="n">
        <f aca="false">IF(ISNUMBER(FIND("SALDO ANTERIOR",C1123)),0,IF(ISNUMBER(FIND("SALDO DO DIA",C1123)),0,IF(ISNUMBER(FIND("SALDO PARCIAL",C1123)),0,IF(ISNUMBER(FIND("SDO CTA/APL AUTOMATICAS",C1123)),0,IF(ISNUMBER(FIND("APL APLIC AUT MAIS",C1123)),0,IF(ISNUMBER(FIND("TEC DEPOSITO",C1123)),0,IF(E1123&gt;0,0,E1123*(-1))))))))</f>
        <v>79.5</v>
      </c>
      <c r="G1123" s="97" t="n">
        <f aca="false">IF(ISNUMBER(FIND("SALDO ANTERIOR",C1123)),0,IF(ISNUMBER(FIND("SALDO DO DIA",C1123)),0,IF(ISNUMBER(FIND("SDO CTA/APL AUTOMATICAS",C1123)),0,IF(ISNUMBER(FIND("TEC DEPOSITO",C1123)),0,IF(ISNUMBER(FIND("APL APLIC AUT MAIS",C1123)),E1123,IF(E1123&gt;0,E1123,0))))))</f>
        <v>0</v>
      </c>
      <c r="H1123" s="96" t="n">
        <v>44136</v>
      </c>
    </row>
    <row r="1124" customFormat="false" ht="15" hidden="false" customHeight="false" outlineLevel="0" collapsed="false">
      <c r="A1124" s="59" t="s">
        <v>29</v>
      </c>
      <c r="B1124" s="41" t="s">
        <v>759</v>
      </c>
      <c r="C1124" s="102" t="s">
        <v>521</v>
      </c>
      <c r="D1124" s="103"/>
      <c r="E1124" s="107" t="n">
        <v>1581.48</v>
      </c>
      <c r="F1124" s="70" t="n">
        <f aca="false">IF(ISNUMBER(FIND("SALDO ANTERIOR",C1124)),0,IF(ISNUMBER(FIND("SALDO DO DIA",C1124)),0,IF(ISNUMBER(FIND("SALDO PARCIAL",C1124)),0,IF(ISNUMBER(FIND("SDO CTA/APL AUTOMATICAS",C1124)),0,IF(ISNUMBER(FIND("APL APLIC AUT MAIS",C1124)),0,IF(ISNUMBER(FIND("TEC DEPOSITO",C1124)),0,IF(E1124&gt;0,0,E1124*(-1))))))))</f>
        <v>0</v>
      </c>
      <c r="G1124" s="97" t="n">
        <f aca="false">IF(ISNUMBER(FIND("SALDO ANTERIOR",C1124)),0,IF(ISNUMBER(FIND("SALDO DO DIA",C1124)),0,IF(ISNUMBER(FIND("SDO CTA/APL AUTOMATICAS",C1124)),0,IF(ISNUMBER(FIND("TEC DEPOSITO",C1124)),0,IF(ISNUMBER(FIND("APL APLIC AUT MAIS",C1124)),E1124,IF(E1124&gt;0,E1124,0))))))</f>
        <v>0</v>
      </c>
      <c r="H1124" s="96" t="n">
        <v>44136</v>
      </c>
    </row>
    <row r="1125" customFormat="false" ht="13.8" hidden="false" customHeight="false" outlineLevel="0" collapsed="false">
      <c r="A1125" s="59" t="s">
        <v>203</v>
      </c>
      <c r="B1125" s="41" t="s">
        <v>761</v>
      </c>
      <c r="C1125" s="105" t="s">
        <v>762</v>
      </c>
      <c r="D1125" s="103" t="s">
        <v>61</v>
      </c>
      <c r="E1125" s="106" t="n">
        <v>-100</v>
      </c>
      <c r="F1125" s="70" t="n">
        <f aca="false">IF(ISNUMBER(FIND("SALDO ANTERIOR",C1125)),0,IF(ISNUMBER(FIND("SALDO DO DIA",C1125)),0,IF(ISNUMBER(FIND("SALDO PARCIAL",C1125)),0,IF(ISNUMBER(FIND("SDO CTA/APL AUTOMATICAS",C1125)),0,IF(ISNUMBER(FIND("APL APLIC AUT MAIS",C1125)),0,IF(ISNUMBER(FIND("TEC DEPOSITO",C1125)),0,IF(E1125&gt;0,0,E1125*(-1))))))))</f>
        <v>100</v>
      </c>
      <c r="G1125" s="97" t="n">
        <f aca="false">IF(ISNUMBER(FIND("SALDO ANTERIOR",C1125)),0,IF(ISNUMBER(FIND("SALDO DO DIA",C1125)),0,IF(ISNUMBER(FIND("SDO CTA/APL AUTOMATICAS",C1125)),0,IF(ISNUMBER(FIND("TEC DEPOSITO",C1125)),0,IF(ISNUMBER(FIND("APL APLIC AUT MAIS",C1125)),E1125,IF(E1125&gt;0,E1125,0))))))</f>
        <v>0</v>
      </c>
      <c r="H1125" s="96" t="n">
        <v>44136</v>
      </c>
    </row>
    <row r="1126" customFormat="false" ht="13.8" hidden="false" customHeight="false" outlineLevel="0" collapsed="false">
      <c r="A1126" s="59" t="s">
        <v>65</v>
      </c>
      <c r="B1126" s="41" t="s">
        <v>761</v>
      </c>
      <c r="C1126" s="105" t="s">
        <v>163</v>
      </c>
      <c r="D1126" s="103" t="s">
        <v>64</v>
      </c>
      <c r="E1126" s="106" t="n">
        <v>-19</v>
      </c>
      <c r="F1126" s="70" t="n">
        <f aca="false">IF(ISNUMBER(FIND("SALDO ANTERIOR",C1126)),0,IF(ISNUMBER(FIND("SALDO DO DIA",C1126)),0,IF(ISNUMBER(FIND("SALDO PARCIAL",C1126)),0,IF(ISNUMBER(FIND("SDO CTA/APL AUTOMATICAS",C1126)),0,IF(ISNUMBER(FIND("APL APLIC AUT MAIS",C1126)),0,IF(ISNUMBER(FIND("TEC DEPOSITO",C1126)),0,IF(E1126&gt;0,0,E1126*(-1))))))))</f>
        <v>19</v>
      </c>
      <c r="G1126" s="97" t="n">
        <f aca="false">IF(ISNUMBER(FIND("SALDO ANTERIOR",C1126)),0,IF(ISNUMBER(FIND("SALDO DO DIA",C1126)),0,IF(ISNUMBER(FIND("SDO CTA/APL AUTOMATICAS",C1126)),0,IF(ISNUMBER(FIND("TEC DEPOSITO",C1126)),0,IF(ISNUMBER(FIND("APL APLIC AUT MAIS",C1126)),E1126,IF(E1126&gt;0,E1126,0))))))</f>
        <v>0</v>
      </c>
      <c r="H1126" s="96" t="n">
        <v>44136</v>
      </c>
    </row>
    <row r="1127" customFormat="false" ht="13.8" hidden="false" customHeight="false" outlineLevel="0" collapsed="false">
      <c r="A1127" s="59" t="s">
        <v>74</v>
      </c>
      <c r="B1127" s="41" t="s">
        <v>761</v>
      </c>
      <c r="C1127" s="105" t="s">
        <v>156</v>
      </c>
      <c r="D1127" s="103" t="s">
        <v>64</v>
      </c>
      <c r="E1127" s="106" t="n">
        <v>-40.19</v>
      </c>
      <c r="F1127" s="70" t="n">
        <f aca="false">IF(ISNUMBER(FIND("SALDO ANTERIOR",C1127)),0,IF(ISNUMBER(FIND("SALDO DO DIA",C1127)),0,IF(ISNUMBER(FIND("SALDO PARCIAL",C1127)),0,IF(ISNUMBER(FIND("SDO CTA/APL AUTOMATICAS",C1127)),0,IF(ISNUMBER(FIND("APL APLIC AUT MAIS",C1127)),0,IF(ISNUMBER(FIND("TEC DEPOSITO",C1127)),0,IF(E1127&gt;0,0,E1127*(-1))))))))</f>
        <v>40.19</v>
      </c>
      <c r="G1127" s="97" t="n">
        <f aca="false">IF(ISNUMBER(FIND("SALDO ANTERIOR",C1127)),0,IF(ISNUMBER(FIND("SALDO DO DIA",C1127)),0,IF(ISNUMBER(FIND("SDO CTA/APL AUTOMATICAS",C1127)),0,IF(ISNUMBER(FIND("TEC DEPOSITO",C1127)),0,IF(ISNUMBER(FIND("APL APLIC AUT MAIS",C1127)),E1127,IF(E1127&gt;0,E1127,0))))))</f>
        <v>0</v>
      </c>
      <c r="H1127" s="96" t="n">
        <v>44136</v>
      </c>
    </row>
    <row r="1128" customFormat="false" ht="13.8" hidden="false" customHeight="false" outlineLevel="0" collapsed="false">
      <c r="A1128" s="59" t="s">
        <v>98</v>
      </c>
      <c r="B1128" s="41" t="s">
        <v>761</v>
      </c>
      <c r="C1128" s="105" t="s">
        <v>743</v>
      </c>
      <c r="D1128" s="103" t="s">
        <v>64</v>
      </c>
      <c r="E1128" s="106" t="n">
        <v>-88.72</v>
      </c>
      <c r="F1128" s="70" t="n">
        <f aca="false">IF(ISNUMBER(FIND("SALDO ANTERIOR",C1128)),0,IF(ISNUMBER(FIND("SALDO DO DIA",C1128)),0,IF(ISNUMBER(FIND("SALDO PARCIAL",C1128)),0,IF(ISNUMBER(FIND("SDO CTA/APL AUTOMATICAS",C1128)),0,IF(ISNUMBER(FIND("APL APLIC AUT MAIS",C1128)),0,IF(ISNUMBER(FIND("TEC DEPOSITO",C1128)),0,IF(E1128&gt;0,0,E1128*(-1))))))))</f>
        <v>88.72</v>
      </c>
      <c r="G1128" s="97" t="n">
        <f aca="false">IF(ISNUMBER(FIND("SALDO ANTERIOR",C1128)),0,IF(ISNUMBER(FIND("SALDO DO DIA",C1128)),0,IF(ISNUMBER(FIND("SDO CTA/APL AUTOMATICAS",C1128)),0,IF(ISNUMBER(FIND("TEC DEPOSITO",C1128)),0,IF(ISNUMBER(FIND("APL APLIC AUT MAIS",C1128)),E1128,IF(E1128&gt;0,E1128,0))))))</f>
        <v>0</v>
      </c>
      <c r="H1128" s="96" t="n">
        <v>44136</v>
      </c>
    </row>
    <row r="1129" customFormat="false" ht="13.8" hidden="false" customHeight="false" outlineLevel="0" collapsed="false">
      <c r="A1129" s="59" t="s">
        <v>98</v>
      </c>
      <c r="B1129" s="41" t="s">
        <v>761</v>
      </c>
      <c r="C1129" s="105" t="s">
        <v>743</v>
      </c>
      <c r="D1129" s="103" t="s">
        <v>64</v>
      </c>
      <c r="E1129" s="106" t="n">
        <v>-95.99</v>
      </c>
      <c r="F1129" s="70" t="n">
        <f aca="false">IF(ISNUMBER(FIND("SALDO ANTERIOR",C1129)),0,IF(ISNUMBER(FIND("SALDO DO DIA",C1129)),0,IF(ISNUMBER(FIND("SALDO PARCIAL",C1129)),0,IF(ISNUMBER(FIND("SDO CTA/APL AUTOMATICAS",C1129)),0,IF(ISNUMBER(FIND("APL APLIC AUT MAIS",C1129)),0,IF(ISNUMBER(FIND("TEC DEPOSITO",C1129)),0,IF(E1129&gt;0,0,E1129*(-1))))))))</f>
        <v>95.99</v>
      </c>
      <c r="G1129" s="97" t="n">
        <f aca="false">IF(ISNUMBER(FIND("SALDO ANTERIOR",C1129)),0,IF(ISNUMBER(FIND("SALDO DO DIA",C1129)),0,IF(ISNUMBER(FIND("SDO CTA/APL AUTOMATICAS",C1129)),0,IF(ISNUMBER(FIND("TEC DEPOSITO",C1129)),0,IF(ISNUMBER(FIND("APL APLIC AUT MAIS",C1129)),E1129,IF(E1129&gt;0,E1129,0))))))</f>
        <v>0</v>
      </c>
      <c r="H1129" s="96" t="n">
        <v>44136</v>
      </c>
    </row>
    <row r="1130" customFormat="false" ht="13.8" hidden="false" customHeight="false" outlineLevel="0" collapsed="false">
      <c r="A1130" s="59" t="s">
        <v>265</v>
      </c>
      <c r="B1130" s="41" t="s">
        <v>761</v>
      </c>
      <c r="C1130" s="105" t="s">
        <v>763</v>
      </c>
      <c r="D1130" s="103"/>
      <c r="E1130" s="106" t="n">
        <v>-27.29</v>
      </c>
      <c r="F1130" s="70" t="n">
        <f aca="false">IF(ISNUMBER(FIND("SALDO ANTERIOR",C1130)),0,IF(ISNUMBER(FIND("SALDO DO DIA",C1130)),0,IF(ISNUMBER(FIND("SALDO PARCIAL",C1130)),0,IF(ISNUMBER(FIND("SDO CTA/APL AUTOMATICAS",C1130)),0,IF(ISNUMBER(FIND("APL APLIC AUT MAIS",C1130)),0,IF(ISNUMBER(FIND("TEC DEPOSITO",C1130)),0,IF(E1130&gt;0,0,E1130*(-1))))))))</f>
        <v>27.29</v>
      </c>
      <c r="G1130" s="97" t="n">
        <f aca="false">IF(ISNUMBER(FIND("SALDO ANTERIOR",C1130)),0,IF(ISNUMBER(FIND("SALDO DO DIA",C1130)),0,IF(ISNUMBER(FIND("SDO CTA/APL AUTOMATICAS",C1130)),0,IF(ISNUMBER(FIND("TEC DEPOSITO",C1130)),0,IF(ISNUMBER(FIND("APL APLIC AUT MAIS",C1130)),E1130,IF(E1130&gt;0,E1130,0))))))</f>
        <v>0</v>
      </c>
      <c r="H1130" s="96" t="n">
        <v>44136</v>
      </c>
    </row>
    <row r="1131" customFormat="false" ht="15" hidden="false" customHeight="false" outlineLevel="0" collapsed="false">
      <c r="A1131" s="59" t="s">
        <v>29</v>
      </c>
      <c r="B1131" s="41" t="s">
        <v>761</v>
      </c>
      <c r="C1131" s="102" t="s">
        <v>521</v>
      </c>
      <c r="D1131" s="103"/>
      <c r="E1131" s="107" t="n">
        <v>1210.29</v>
      </c>
      <c r="F1131" s="70" t="n">
        <f aca="false">IF(ISNUMBER(FIND("SALDO ANTERIOR",C1131)),0,IF(ISNUMBER(FIND("SALDO DO DIA",C1131)),0,IF(ISNUMBER(FIND("SALDO PARCIAL",C1131)),0,IF(ISNUMBER(FIND("SDO CTA/APL AUTOMATICAS",C1131)),0,IF(ISNUMBER(FIND("APL APLIC AUT MAIS",C1131)),0,IF(ISNUMBER(FIND("TEC DEPOSITO",C1131)),0,IF(E1131&gt;0,0,E1131*(-1))))))))</f>
        <v>0</v>
      </c>
      <c r="G1131" s="97" t="n">
        <f aca="false">IF(ISNUMBER(FIND("SALDO ANTERIOR",C1131)),0,IF(ISNUMBER(FIND("SALDO DO DIA",C1131)),0,IF(ISNUMBER(FIND("SDO CTA/APL AUTOMATICAS",C1131)),0,IF(ISNUMBER(FIND("TEC DEPOSITO",C1131)),0,IF(ISNUMBER(FIND("APL APLIC AUT MAIS",C1131)),E1131,IF(E1131&gt;0,E1131,0))))))</f>
        <v>0</v>
      </c>
      <c r="H1131" s="96" t="n">
        <v>44136</v>
      </c>
    </row>
    <row r="1132" customFormat="false" ht="13.8" hidden="false" customHeight="false" outlineLevel="0" collapsed="false">
      <c r="A1132" s="59" t="s">
        <v>65</v>
      </c>
      <c r="B1132" s="41" t="s">
        <v>764</v>
      </c>
      <c r="C1132" s="105" t="s">
        <v>765</v>
      </c>
      <c r="D1132" s="103" t="s">
        <v>64</v>
      </c>
      <c r="E1132" s="106" t="n">
        <v>-43.26</v>
      </c>
      <c r="F1132" s="70" t="n">
        <f aca="false">IF(ISNUMBER(FIND("SALDO ANTERIOR",C1132)),0,IF(ISNUMBER(FIND("SALDO DO DIA",C1132)),0,IF(ISNUMBER(FIND("SALDO PARCIAL",C1132)),0,IF(ISNUMBER(FIND("SDO CTA/APL AUTOMATICAS",C1132)),0,IF(ISNUMBER(FIND("APL APLIC AUT MAIS",C1132)),0,IF(ISNUMBER(FIND("TEC DEPOSITO",C1132)),0,IF(E1132&gt;0,0,E1132*(-1))))))))</f>
        <v>43.26</v>
      </c>
      <c r="G1132" s="97" t="n">
        <f aca="false">IF(ISNUMBER(FIND("SALDO ANTERIOR",C1132)),0,IF(ISNUMBER(FIND("SALDO DO DIA",C1132)),0,IF(ISNUMBER(FIND("SDO CTA/APL AUTOMATICAS",C1132)),0,IF(ISNUMBER(FIND("TEC DEPOSITO",C1132)),0,IF(ISNUMBER(FIND("APL APLIC AUT MAIS",C1132)),E1132,IF(E1132&gt;0,E1132,0))))))</f>
        <v>0</v>
      </c>
      <c r="H1132" s="96" t="n">
        <v>44136</v>
      </c>
    </row>
    <row r="1133" customFormat="false" ht="15" hidden="false" customHeight="false" outlineLevel="0" collapsed="false">
      <c r="A1133" s="59" t="s">
        <v>29</v>
      </c>
      <c r="B1133" s="41" t="s">
        <v>764</v>
      </c>
      <c r="C1133" s="102" t="s">
        <v>521</v>
      </c>
      <c r="D1133" s="103"/>
      <c r="E1133" s="107" t="n">
        <v>1167.03</v>
      </c>
      <c r="F1133" s="70" t="n">
        <f aca="false">IF(ISNUMBER(FIND("SALDO ANTERIOR",C1133)),0,IF(ISNUMBER(FIND("SALDO DO DIA",C1133)),0,IF(ISNUMBER(FIND("SALDO PARCIAL",C1133)),0,IF(ISNUMBER(FIND("SDO CTA/APL AUTOMATICAS",C1133)),0,IF(ISNUMBER(FIND("APL APLIC AUT MAIS",C1133)),0,IF(ISNUMBER(FIND("TEC DEPOSITO",C1133)),0,IF(E1133&gt;0,0,E1133*(-1))))))))</f>
        <v>0</v>
      </c>
      <c r="G1133" s="97" t="n">
        <f aca="false">IF(ISNUMBER(FIND("SALDO ANTERIOR",C1133)),0,IF(ISNUMBER(FIND("SALDO DO DIA",C1133)),0,IF(ISNUMBER(FIND("SDO CTA/APL AUTOMATICAS",C1133)),0,IF(ISNUMBER(FIND("TEC DEPOSITO",C1133)),0,IF(ISNUMBER(FIND("APL APLIC AUT MAIS",C1133)),E1133,IF(E1133&gt;0,E1133,0))))))</f>
        <v>0</v>
      </c>
      <c r="H1133" s="96" t="n">
        <v>44136</v>
      </c>
    </row>
    <row r="1134" customFormat="false" ht="13.8" hidden="false" customHeight="false" outlineLevel="0" collapsed="false">
      <c r="A1134" s="59" t="s">
        <v>119</v>
      </c>
      <c r="B1134" s="41" t="s">
        <v>766</v>
      </c>
      <c r="C1134" s="105" t="s">
        <v>767</v>
      </c>
      <c r="D1134" s="103" t="s">
        <v>61</v>
      </c>
      <c r="E1134" s="106" t="n">
        <v>-566.82</v>
      </c>
      <c r="F1134" s="70" t="n">
        <f aca="false">IF(ISNUMBER(FIND("SALDO ANTERIOR",C1134)),0,IF(ISNUMBER(FIND("SALDO DO DIA",C1134)),0,IF(ISNUMBER(FIND("SALDO PARCIAL",C1134)),0,IF(ISNUMBER(FIND("SDO CTA/APL AUTOMATICAS",C1134)),0,IF(ISNUMBER(FIND("APL APLIC AUT MAIS",C1134)),0,IF(ISNUMBER(FIND("TEC DEPOSITO",C1134)),0,IF(E1134&gt;0,0,E1134*(-1))))))))</f>
        <v>566.82</v>
      </c>
      <c r="G1134" s="97" t="n">
        <f aca="false">IF(ISNUMBER(FIND("SALDO ANTERIOR",C1134)),0,IF(ISNUMBER(FIND("SALDO DO DIA",C1134)),0,IF(ISNUMBER(FIND("SDO CTA/APL AUTOMATICAS",C1134)),0,IF(ISNUMBER(FIND("TEC DEPOSITO",C1134)),0,IF(ISNUMBER(FIND("APL APLIC AUT MAIS",C1134)),E1134,IF(E1134&gt;0,E1134,0))))))</f>
        <v>0</v>
      </c>
      <c r="H1134" s="96" t="n">
        <v>44136</v>
      </c>
    </row>
    <row r="1135" customFormat="false" ht="13.8" hidden="false" customHeight="false" outlineLevel="0" collapsed="false">
      <c r="A1135" s="59" t="s">
        <v>203</v>
      </c>
      <c r="B1135" s="41" t="s">
        <v>766</v>
      </c>
      <c r="C1135" s="105" t="s">
        <v>768</v>
      </c>
      <c r="D1135" s="103" t="s">
        <v>478</v>
      </c>
      <c r="E1135" s="106" t="n">
        <v>-100</v>
      </c>
      <c r="F1135" s="70" t="n">
        <f aca="false">IF(ISNUMBER(FIND("SALDO ANTERIOR",C1135)),0,IF(ISNUMBER(FIND("SALDO DO DIA",C1135)),0,IF(ISNUMBER(FIND("SALDO PARCIAL",C1135)),0,IF(ISNUMBER(FIND("SDO CTA/APL AUTOMATICAS",C1135)),0,IF(ISNUMBER(FIND("APL APLIC AUT MAIS",C1135)),0,IF(ISNUMBER(FIND("TEC DEPOSITO",C1135)),0,IF(E1135&gt;0,0,E1135*(-1))))))))</f>
        <v>100</v>
      </c>
      <c r="G1135" s="97" t="n">
        <f aca="false">IF(ISNUMBER(FIND("SALDO ANTERIOR",C1135)),0,IF(ISNUMBER(FIND("SALDO DO DIA",C1135)),0,IF(ISNUMBER(FIND("SDO CTA/APL AUTOMATICAS",C1135)),0,IF(ISNUMBER(FIND("TEC DEPOSITO",C1135)),0,IF(ISNUMBER(FIND("APL APLIC AUT MAIS",C1135)),E1135,IF(E1135&gt;0,E1135,0))))))</f>
        <v>0</v>
      </c>
      <c r="H1135" s="96" t="n">
        <v>44136</v>
      </c>
    </row>
    <row r="1136" customFormat="false" ht="13.8" hidden="false" customHeight="false" outlineLevel="0" collapsed="false">
      <c r="A1136" s="59" t="s">
        <v>71</v>
      </c>
      <c r="B1136" s="41" t="s">
        <v>766</v>
      </c>
      <c r="C1136" s="105" t="s">
        <v>85</v>
      </c>
      <c r="D1136" s="103" t="s">
        <v>64</v>
      </c>
      <c r="E1136" s="106" t="n">
        <v>-6.98</v>
      </c>
      <c r="F1136" s="70" t="n">
        <f aca="false">IF(ISNUMBER(FIND("SALDO ANTERIOR",C1136)),0,IF(ISNUMBER(FIND("SALDO DO DIA",C1136)),0,IF(ISNUMBER(FIND("SALDO PARCIAL",C1136)),0,IF(ISNUMBER(FIND("SDO CTA/APL AUTOMATICAS",C1136)),0,IF(ISNUMBER(FIND("APL APLIC AUT MAIS",C1136)),0,IF(ISNUMBER(FIND("TEC DEPOSITO",C1136)),0,IF(E1136&gt;0,0,E1136*(-1))))))))</f>
        <v>6.98</v>
      </c>
      <c r="G1136" s="97" t="n">
        <f aca="false">IF(ISNUMBER(FIND("SALDO ANTERIOR",C1136)),0,IF(ISNUMBER(FIND("SALDO DO DIA",C1136)),0,IF(ISNUMBER(FIND("SDO CTA/APL AUTOMATICAS",C1136)),0,IF(ISNUMBER(FIND("TEC DEPOSITO",C1136)),0,IF(ISNUMBER(FIND("APL APLIC AUT MAIS",C1136)),E1136,IF(E1136&gt;0,E1136,0))))))</f>
        <v>0</v>
      </c>
      <c r="H1136" s="96" t="n">
        <v>44136</v>
      </c>
    </row>
    <row r="1137" customFormat="false" ht="13.8" hidden="false" customHeight="false" outlineLevel="0" collapsed="false">
      <c r="A1137" s="59" t="s">
        <v>532</v>
      </c>
      <c r="B1137" s="41" t="s">
        <v>766</v>
      </c>
      <c r="C1137" s="105" t="s">
        <v>533</v>
      </c>
      <c r="D1137" s="103" t="s">
        <v>64</v>
      </c>
      <c r="E1137" s="106" t="n">
        <v>-10</v>
      </c>
      <c r="F1137" s="70" t="n">
        <f aca="false">IF(ISNUMBER(FIND("SALDO ANTERIOR",C1137)),0,IF(ISNUMBER(FIND("SALDO DO DIA",C1137)),0,IF(ISNUMBER(FIND("SALDO PARCIAL",C1137)),0,IF(ISNUMBER(FIND("SDO CTA/APL AUTOMATICAS",C1137)),0,IF(ISNUMBER(FIND("APL APLIC AUT MAIS",C1137)),0,IF(ISNUMBER(FIND("TEC DEPOSITO",C1137)),0,IF(E1137&gt;0,0,E1137*(-1))))))))</f>
        <v>10</v>
      </c>
      <c r="G1137" s="97" t="n">
        <f aca="false">IF(ISNUMBER(FIND("SALDO ANTERIOR",C1137)),0,IF(ISNUMBER(FIND("SALDO DO DIA",C1137)),0,IF(ISNUMBER(FIND("SDO CTA/APL AUTOMATICAS",C1137)),0,IF(ISNUMBER(FIND("TEC DEPOSITO",C1137)),0,IF(ISNUMBER(FIND("APL APLIC AUT MAIS",C1137)),E1137,IF(E1137&gt;0,E1137,0))))))</f>
        <v>0</v>
      </c>
      <c r="H1137" s="96" t="n">
        <v>44136</v>
      </c>
    </row>
    <row r="1138" customFormat="false" ht="13.8" hidden="false" customHeight="false" outlineLevel="0" collapsed="false">
      <c r="A1138" s="59" t="s">
        <v>316</v>
      </c>
      <c r="B1138" s="41" t="s">
        <v>766</v>
      </c>
      <c r="C1138" s="105" t="s">
        <v>769</v>
      </c>
      <c r="D1138" s="103" t="s">
        <v>64</v>
      </c>
      <c r="E1138" s="106" t="n">
        <v>-49.5</v>
      </c>
      <c r="F1138" s="70" t="n">
        <f aca="false">IF(ISNUMBER(FIND("SALDO ANTERIOR",C1138)),0,IF(ISNUMBER(FIND("SALDO DO DIA",C1138)),0,IF(ISNUMBER(FIND("SALDO PARCIAL",C1138)),0,IF(ISNUMBER(FIND("SDO CTA/APL AUTOMATICAS",C1138)),0,IF(ISNUMBER(FIND("APL APLIC AUT MAIS",C1138)),0,IF(ISNUMBER(FIND("TEC DEPOSITO",C1138)),0,IF(E1138&gt;0,0,E1138*(-1))))))))</f>
        <v>49.5</v>
      </c>
      <c r="G1138" s="97" t="n">
        <f aca="false">IF(ISNUMBER(FIND("SALDO ANTERIOR",C1138)),0,IF(ISNUMBER(FIND("SALDO DO DIA",C1138)),0,IF(ISNUMBER(FIND("SDO CTA/APL AUTOMATICAS",C1138)),0,IF(ISNUMBER(FIND("TEC DEPOSITO",C1138)),0,IF(ISNUMBER(FIND("APL APLIC AUT MAIS",C1138)),E1138,IF(E1138&gt;0,E1138,0))))))</f>
        <v>0</v>
      </c>
      <c r="H1138" s="96" t="n">
        <v>44136</v>
      </c>
    </row>
    <row r="1139" customFormat="false" ht="13.8" hidden="false" customHeight="false" outlineLevel="0" collapsed="false">
      <c r="A1139" s="59" t="s">
        <v>65</v>
      </c>
      <c r="B1139" s="41" t="s">
        <v>766</v>
      </c>
      <c r="C1139" s="105" t="s">
        <v>770</v>
      </c>
      <c r="D1139" s="103" t="s">
        <v>64</v>
      </c>
      <c r="E1139" s="106" t="n">
        <v>-7</v>
      </c>
      <c r="F1139" s="70" t="n">
        <f aca="false">IF(ISNUMBER(FIND("SALDO ANTERIOR",C1139)),0,IF(ISNUMBER(FIND("SALDO DO DIA",C1139)),0,IF(ISNUMBER(FIND("SALDO PARCIAL",C1139)),0,IF(ISNUMBER(FIND("SDO CTA/APL AUTOMATICAS",C1139)),0,IF(ISNUMBER(FIND("APL APLIC AUT MAIS",C1139)),0,IF(ISNUMBER(FIND("TEC DEPOSITO",C1139)),0,IF(E1139&gt;0,0,E1139*(-1))))))))</f>
        <v>7</v>
      </c>
      <c r="G1139" s="97" t="n">
        <f aca="false">IF(ISNUMBER(FIND("SALDO ANTERIOR",C1139)),0,IF(ISNUMBER(FIND("SALDO DO DIA",C1139)),0,IF(ISNUMBER(FIND("SDO CTA/APL AUTOMATICAS",C1139)),0,IF(ISNUMBER(FIND("TEC DEPOSITO",C1139)),0,IF(ISNUMBER(FIND("APL APLIC AUT MAIS",C1139)),E1139,IF(E1139&gt;0,E1139,0))))))</f>
        <v>0</v>
      </c>
      <c r="H1139" s="96" t="n">
        <v>44136</v>
      </c>
    </row>
    <row r="1140" customFormat="false" ht="13.8" hidden="false" customHeight="false" outlineLevel="0" collapsed="false">
      <c r="A1140" s="59" t="s">
        <v>74</v>
      </c>
      <c r="B1140" s="41" t="s">
        <v>766</v>
      </c>
      <c r="C1140" s="105" t="s">
        <v>457</v>
      </c>
      <c r="D1140" s="103" t="s">
        <v>64</v>
      </c>
      <c r="E1140" s="106" t="n">
        <v>-33.68</v>
      </c>
      <c r="F1140" s="70" t="n">
        <f aca="false">IF(ISNUMBER(FIND("SALDO ANTERIOR",C1140)),0,IF(ISNUMBER(FIND("SALDO DO DIA",C1140)),0,IF(ISNUMBER(FIND("SALDO PARCIAL",C1140)),0,IF(ISNUMBER(FIND("SDO CTA/APL AUTOMATICAS",C1140)),0,IF(ISNUMBER(FIND("APL APLIC AUT MAIS",C1140)),0,IF(ISNUMBER(FIND("TEC DEPOSITO",C1140)),0,IF(E1140&gt;0,0,E1140*(-1))))))))</f>
        <v>33.68</v>
      </c>
      <c r="G1140" s="97" t="n">
        <f aca="false">IF(ISNUMBER(FIND("SALDO ANTERIOR",C1140)),0,IF(ISNUMBER(FIND("SALDO DO DIA",C1140)),0,IF(ISNUMBER(FIND("SDO CTA/APL AUTOMATICAS",C1140)),0,IF(ISNUMBER(FIND("TEC DEPOSITO",C1140)),0,IF(ISNUMBER(FIND("APL APLIC AUT MAIS",C1140)),E1140,IF(E1140&gt;0,E1140,0))))))</f>
        <v>0</v>
      </c>
      <c r="H1140" s="96" t="n">
        <v>44136</v>
      </c>
    </row>
    <row r="1141" customFormat="false" ht="13.8" hidden="false" customHeight="false" outlineLevel="0" collapsed="false">
      <c r="A1141" s="59" t="s">
        <v>76</v>
      </c>
      <c r="B1141" s="41" t="s">
        <v>766</v>
      </c>
      <c r="C1141" s="105" t="s">
        <v>458</v>
      </c>
      <c r="D1141" s="103" t="s">
        <v>64</v>
      </c>
      <c r="E1141" s="106" t="n">
        <v>-40.7</v>
      </c>
      <c r="F1141" s="70" t="n">
        <f aca="false">IF(ISNUMBER(FIND("SALDO ANTERIOR",C1141)),0,IF(ISNUMBER(FIND("SALDO DO DIA",C1141)),0,IF(ISNUMBER(FIND("SALDO PARCIAL",C1141)),0,IF(ISNUMBER(FIND("SDO CTA/APL AUTOMATICAS",C1141)),0,IF(ISNUMBER(FIND("APL APLIC AUT MAIS",C1141)),0,IF(ISNUMBER(FIND("TEC DEPOSITO",C1141)),0,IF(E1141&gt;0,0,E1141*(-1))))))))</f>
        <v>40.7</v>
      </c>
      <c r="G1141" s="97" t="n">
        <f aca="false">IF(ISNUMBER(FIND("SALDO ANTERIOR",C1141)),0,IF(ISNUMBER(FIND("SALDO DO DIA",C1141)),0,IF(ISNUMBER(FIND("SDO CTA/APL AUTOMATICAS",C1141)),0,IF(ISNUMBER(FIND("TEC DEPOSITO",C1141)),0,IF(ISNUMBER(FIND("APL APLIC AUT MAIS",C1141)),E1141,IF(E1141&gt;0,E1141,0))))))</f>
        <v>0</v>
      </c>
      <c r="H1141" s="96" t="n">
        <v>44136</v>
      </c>
    </row>
    <row r="1142" customFormat="false" ht="13.8" hidden="false" customHeight="false" outlineLevel="0" collapsed="false">
      <c r="A1142" s="59" t="s">
        <v>76</v>
      </c>
      <c r="B1142" s="41" t="s">
        <v>766</v>
      </c>
      <c r="C1142" s="105" t="s">
        <v>616</v>
      </c>
      <c r="D1142" s="103" t="s">
        <v>64</v>
      </c>
      <c r="E1142" s="106" t="n">
        <v>-51.8</v>
      </c>
      <c r="F1142" s="70" t="n">
        <f aca="false">IF(ISNUMBER(FIND("SALDO ANTERIOR",C1142)),0,IF(ISNUMBER(FIND("SALDO DO DIA",C1142)),0,IF(ISNUMBER(FIND("SALDO PARCIAL",C1142)),0,IF(ISNUMBER(FIND("SDO CTA/APL AUTOMATICAS",C1142)),0,IF(ISNUMBER(FIND("APL APLIC AUT MAIS",C1142)),0,IF(ISNUMBER(FIND("TEC DEPOSITO",C1142)),0,IF(E1142&gt;0,0,E1142*(-1))))))))</f>
        <v>51.8</v>
      </c>
      <c r="G1142" s="97" t="n">
        <f aca="false">IF(ISNUMBER(FIND("SALDO ANTERIOR",C1142)),0,IF(ISNUMBER(FIND("SALDO DO DIA",C1142)),0,IF(ISNUMBER(FIND("SDO CTA/APL AUTOMATICAS",C1142)),0,IF(ISNUMBER(FIND("TEC DEPOSITO",C1142)),0,IF(ISNUMBER(FIND("APL APLIC AUT MAIS",C1142)),E1142,IF(E1142&gt;0,E1142,0))))))</f>
        <v>0</v>
      </c>
      <c r="H1142" s="96" t="n">
        <v>44136</v>
      </c>
    </row>
    <row r="1143" customFormat="false" ht="13.8" hidden="false" customHeight="false" outlineLevel="0" collapsed="false">
      <c r="A1143" s="59" t="s">
        <v>98</v>
      </c>
      <c r="B1143" s="41" t="s">
        <v>766</v>
      </c>
      <c r="C1143" s="105" t="s">
        <v>743</v>
      </c>
      <c r="D1143" s="103" t="s">
        <v>64</v>
      </c>
      <c r="E1143" s="106" t="n">
        <v>-59.61</v>
      </c>
      <c r="F1143" s="70" t="n">
        <f aca="false">IF(ISNUMBER(FIND("SALDO ANTERIOR",C1143)),0,IF(ISNUMBER(FIND("SALDO DO DIA",C1143)),0,IF(ISNUMBER(FIND("SALDO PARCIAL",C1143)),0,IF(ISNUMBER(FIND("SDO CTA/APL AUTOMATICAS",C1143)),0,IF(ISNUMBER(FIND("APL APLIC AUT MAIS",C1143)),0,IF(ISNUMBER(FIND("TEC DEPOSITO",C1143)),0,IF(E1143&gt;0,0,E1143*(-1))))))))</f>
        <v>59.61</v>
      </c>
      <c r="G1143" s="97" t="n">
        <f aca="false">IF(ISNUMBER(FIND("SALDO ANTERIOR",C1143)),0,IF(ISNUMBER(FIND("SALDO DO DIA",C1143)),0,IF(ISNUMBER(FIND("SDO CTA/APL AUTOMATICAS",C1143)),0,IF(ISNUMBER(FIND("TEC DEPOSITO",C1143)),0,IF(ISNUMBER(FIND("APL APLIC AUT MAIS",C1143)),E1143,IF(E1143&gt;0,E1143,0))))))</f>
        <v>0</v>
      </c>
      <c r="H1143" s="96" t="n">
        <v>44136</v>
      </c>
    </row>
    <row r="1144" customFormat="false" ht="13.8" hidden="false" customHeight="false" outlineLevel="0" collapsed="false">
      <c r="A1144" s="59" t="s">
        <v>65</v>
      </c>
      <c r="B1144" s="41" t="s">
        <v>766</v>
      </c>
      <c r="C1144" s="105" t="s">
        <v>771</v>
      </c>
      <c r="D1144" s="103" t="s">
        <v>64</v>
      </c>
      <c r="E1144" s="106" t="n">
        <v>-40</v>
      </c>
      <c r="F1144" s="70" t="n">
        <f aca="false">IF(ISNUMBER(FIND("SALDO ANTERIOR",C1144)),0,IF(ISNUMBER(FIND("SALDO DO DIA",C1144)),0,IF(ISNUMBER(FIND("SALDO PARCIAL",C1144)),0,IF(ISNUMBER(FIND("SDO CTA/APL AUTOMATICAS",C1144)),0,IF(ISNUMBER(FIND("APL APLIC AUT MAIS",C1144)),0,IF(ISNUMBER(FIND("TEC DEPOSITO",C1144)),0,IF(E1144&gt;0,0,E1144*(-1))))))))</f>
        <v>40</v>
      </c>
      <c r="G1144" s="97" t="n">
        <f aca="false">IF(ISNUMBER(FIND("SALDO ANTERIOR",C1144)),0,IF(ISNUMBER(FIND("SALDO DO DIA",C1144)),0,IF(ISNUMBER(FIND("SDO CTA/APL AUTOMATICAS",C1144)),0,IF(ISNUMBER(FIND("TEC DEPOSITO",C1144)),0,IF(ISNUMBER(FIND("APL APLIC AUT MAIS",C1144)),E1144,IF(E1144&gt;0,E1144,0))))))</f>
        <v>0</v>
      </c>
      <c r="H1144" s="96" t="n">
        <v>44136</v>
      </c>
    </row>
    <row r="1145" customFormat="false" ht="15" hidden="false" customHeight="false" outlineLevel="0" collapsed="false">
      <c r="A1145" s="59" t="s">
        <v>29</v>
      </c>
      <c r="B1145" s="41" t="s">
        <v>766</v>
      </c>
      <c r="C1145" s="102" t="s">
        <v>521</v>
      </c>
      <c r="D1145" s="103"/>
      <c r="E1145" s="107" t="n">
        <v>200.94</v>
      </c>
      <c r="F1145" s="70" t="n">
        <f aca="false">IF(ISNUMBER(FIND("SALDO ANTERIOR",C1145)),0,IF(ISNUMBER(FIND("SALDO DO DIA",C1145)),0,IF(ISNUMBER(FIND("SALDO PARCIAL",C1145)),0,IF(ISNUMBER(FIND("SDO CTA/APL AUTOMATICAS",C1145)),0,IF(ISNUMBER(FIND("APL APLIC AUT MAIS",C1145)),0,IF(ISNUMBER(FIND("TEC DEPOSITO",C1145)),0,IF(E1145&gt;0,0,E1145*(-1))))))))</f>
        <v>0</v>
      </c>
      <c r="G1145" s="97" t="n">
        <f aca="false">IF(ISNUMBER(FIND("SALDO ANTERIOR",C1145)),0,IF(ISNUMBER(FIND("SALDO DO DIA",C1145)),0,IF(ISNUMBER(FIND("SDO CTA/APL AUTOMATICAS",C1145)),0,IF(ISNUMBER(FIND("TEC DEPOSITO",C1145)),0,IF(ISNUMBER(FIND("APL APLIC AUT MAIS",C1145)),E1145,IF(E1145&gt;0,E1145,0))))))</f>
        <v>0</v>
      </c>
      <c r="H1145" s="96" t="n">
        <v>44136</v>
      </c>
    </row>
    <row r="1146" customFormat="false" ht="13.8" hidden="false" customHeight="false" outlineLevel="0" collapsed="false">
      <c r="A1146" s="59" t="s">
        <v>67</v>
      </c>
      <c r="B1146" s="41" t="s">
        <v>772</v>
      </c>
      <c r="C1146" s="105" t="s">
        <v>109</v>
      </c>
      <c r="D1146" s="103" t="s">
        <v>82</v>
      </c>
      <c r="E1146" s="106" t="n">
        <v>-6.61</v>
      </c>
      <c r="F1146" s="70" t="n">
        <f aca="false">IF(ISNUMBER(FIND("SALDO ANTERIOR",C1146)),0,IF(ISNUMBER(FIND("SALDO DO DIA",C1146)),0,IF(ISNUMBER(FIND("SALDO PARCIAL",C1146)),0,IF(ISNUMBER(FIND("SDO CTA/APL AUTOMATICAS",C1146)),0,IF(ISNUMBER(FIND("APL APLIC AUT MAIS",C1146)),0,IF(ISNUMBER(FIND("TEC DEPOSITO",C1146)),0,IF(E1146&gt;0,0,E1146*(-1))))))))</f>
        <v>6.61</v>
      </c>
      <c r="G1146" s="97" t="n">
        <f aca="false">IF(ISNUMBER(FIND("SALDO ANTERIOR",C1146)),0,IF(ISNUMBER(FIND("SALDO DO DIA",C1146)),0,IF(ISNUMBER(FIND("SDO CTA/APL AUTOMATICAS",C1146)),0,IF(ISNUMBER(FIND("TEC DEPOSITO",C1146)),0,IF(ISNUMBER(FIND("APL APLIC AUT MAIS",C1146)),E1146,IF(E1146&gt;0,E1146,0))))))</f>
        <v>0</v>
      </c>
      <c r="H1146" s="96" t="n">
        <v>44136</v>
      </c>
    </row>
    <row r="1147" customFormat="false" ht="15" hidden="false" customHeight="false" outlineLevel="0" collapsed="false">
      <c r="A1147" s="59" t="s">
        <v>29</v>
      </c>
      <c r="B1147" s="41" t="s">
        <v>772</v>
      </c>
      <c r="C1147" s="102" t="s">
        <v>521</v>
      </c>
      <c r="D1147" s="103"/>
      <c r="E1147" s="107" t="n">
        <v>194.33</v>
      </c>
      <c r="F1147" s="70" t="n">
        <f aca="false">IF(ISNUMBER(FIND("SALDO ANTERIOR",C1147)),0,IF(ISNUMBER(FIND("SALDO DO DIA",C1147)),0,IF(ISNUMBER(FIND("SALDO PARCIAL",C1147)),0,IF(ISNUMBER(FIND("SDO CTA/APL AUTOMATICAS",C1147)),0,IF(ISNUMBER(FIND("APL APLIC AUT MAIS",C1147)),0,IF(ISNUMBER(FIND("TEC DEPOSITO",C1147)),0,IF(E1147&gt;0,0,E1147*(-1))))))))</f>
        <v>0</v>
      </c>
      <c r="G1147" s="97" t="n">
        <f aca="false">IF(ISNUMBER(FIND("SALDO ANTERIOR",C1147)),0,IF(ISNUMBER(FIND("SALDO DO DIA",C1147)),0,IF(ISNUMBER(FIND("SDO CTA/APL AUTOMATICAS",C1147)),0,IF(ISNUMBER(FIND("TEC DEPOSITO",C1147)),0,IF(ISNUMBER(FIND("APL APLIC AUT MAIS",C1147)),E1147,IF(E1147&gt;0,E1147,0))))))</f>
        <v>0</v>
      </c>
      <c r="H1147" s="96" t="n">
        <v>44136</v>
      </c>
    </row>
    <row r="1148" customFormat="false" ht="13.8" hidden="false" customHeight="false" outlineLevel="0" collapsed="false">
      <c r="A1148" s="59" t="s">
        <v>176</v>
      </c>
      <c r="B1148" s="41" t="s">
        <v>773</v>
      </c>
      <c r="C1148" s="105" t="s">
        <v>774</v>
      </c>
      <c r="D1148" s="103" t="s">
        <v>61</v>
      </c>
      <c r="E1148" s="106" t="n">
        <v>-209.78</v>
      </c>
      <c r="F1148" s="70" t="n">
        <f aca="false">IF(ISNUMBER(FIND("SALDO ANTERIOR",C1148)),0,IF(ISNUMBER(FIND("SALDO DO DIA",C1148)),0,IF(ISNUMBER(FIND("SALDO PARCIAL",C1148)),0,IF(ISNUMBER(FIND("SDO CTA/APL AUTOMATICAS",C1148)),0,IF(ISNUMBER(FIND("APL APLIC AUT MAIS",C1148)),0,IF(ISNUMBER(FIND("TEC DEPOSITO",C1148)),0,IF(E1148&gt;0,0,E1148*(-1))))))))</f>
        <v>209.78</v>
      </c>
      <c r="G1148" s="97" t="n">
        <f aca="false">IF(ISNUMBER(FIND("SALDO ANTERIOR",C1148)),0,IF(ISNUMBER(FIND("SALDO DO DIA",C1148)),0,IF(ISNUMBER(FIND("SDO CTA/APL AUTOMATICAS",C1148)),0,IF(ISNUMBER(FIND("TEC DEPOSITO",C1148)),0,IF(ISNUMBER(FIND("APL APLIC AUT MAIS",C1148)),E1148,IF(E1148&gt;0,E1148,0))))))</f>
        <v>0</v>
      </c>
      <c r="H1148" s="96" t="n">
        <v>44136</v>
      </c>
    </row>
    <row r="1149" customFormat="false" ht="13.8" hidden="false" customHeight="false" outlineLevel="0" collapsed="false">
      <c r="A1149" s="59" t="s">
        <v>71</v>
      </c>
      <c r="B1149" s="41" t="s">
        <v>773</v>
      </c>
      <c r="C1149" s="105" t="s">
        <v>775</v>
      </c>
      <c r="D1149" s="103" t="s">
        <v>64</v>
      </c>
      <c r="E1149" s="106" t="n">
        <v>-21.7</v>
      </c>
      <c r="F1149" s="70" t="n">
        <f aca="false">IF(ISNUMBER(FIND("SALDO ANTERIOR",C1149)),0,IF(ISNUMBER(FIND("SALDO DO DIA",C1149)),0,IF(ISNUMBER(FIND("SALDO PARCIAL",C1149)),0,IF(ISNUMBER(FIND("SDO CTA/APL AUTOMATICAS",C1149)),0,IF(ISNUMBER(FIND("APL APLIC AUT MAIS",C1149)),0,IF(ISNUMBER(FIND("TEC DEPOSITO",C1149)),0,IF(E1149&gt;0,0,E1149*(-1))))))))</f>
        <v>21.7</v>
      </c>
      <c r="G1149" s="97" t="n">
        <f aca="false">IF(ISNUMBER(FIND("SALDO ANTERIOR",C1149)),0,IF(ISNUMBER(FIND("SALDO DO DIA",C1149)),0,IF(ISNUMBER(FIND("SDO CTA/APL AUTOMATICAS",C1149)),0,IF(ISNUMBER(FIND("TEC DEPOSITO",C1149)),0,IF(ISNUMBER(FIND("APL APLIC AUT MAIS",C1149)),E1149,IF(E1149&gt;0,E1149,0))))))</f>
        <v>0</v>
      </c>
      <c r="H1149" s="96" t="n">
        <v>44136</v>
      </c>
    </row>
    <row r="1150" customFormat="false" ht="13.8" hidden="false" customHeight="false" outlineLevel="0" collapsed="false">
      <c r="A1150" s="59" t="s">
        <v>74</v>
      </c>
      <c r="B1150" s="41" t="s">
        <v>773</v>
      </c>
      <c r="C1150" s="105" t="s">
        <v>457</v>
      </c>
      <c r="D1150" s="103" t="s">
        <v>64</v>
      </c>
      <c r="E1150" s="106" t="n">
        <v>-79.98</v>
      </c>
      <c r="F1150" s="70" t="n">
        <f aca="false">IF(ISNUMBER(FIND("SALDO ANTERIOR",C1150)),0,IF(ISNUMBER(FIND("SALDO DO DIA",C1150)),0,IF(ISNUMBER(FIND("SALDO PARCIAL",C1150)),0,IF(ISNUMBER(FIND("SDO CTA/APL AUTOMATICAS",C1150)),0,IF(ISNUMBER(FIND("APL APLIC AUT MAIS",C1150)),0,IF(ISNUMBER(FIND("TEC DEPOSITO",C1150)),0,IF(E1150&gt;0,0,E1150*(-1))))))))</f>
        <v>79.98</v>
      </c>
      <c r="G1150" s="97" t="n">
        <f aca="false">IF(ISNUMBER(FIND("SALDO ANTERIOR",C1150)),0,IF(ISNUMBER(FIND("SALDO DO DIA",C1150)),0,IF(ISNUMBER(FIND("SDO CTA/APL AUTOMATICAS",C1150)),0,IF(ISNUMBER(FIND("TEC DEPOSITO",C1150)),0,IF(ISNUMBER(FIND("APL APLIC AUT MAIS",C1150)),E1150,IF(E1150&gt;0,E1150,0))))))</f>
        <v>0</v>
      </c>
      <c r="H1150" s="96" t="n">
        <v>44136</v>
      </c>
    </row>
    <row r="1151" customFormat="false" ht="13.8" hidden="false" customHeight="false" outlineLevel="0" collapsed="false">
      <c r="A1151" s="59" t="s">
        <v>76</v>
      </c>
      <c r="B1151" s="41" t="s">
        <v>773</v>
      </c>
      <c r="C1151" s="105" t="s">
        <v>616</v>
      </c>
      <c r="D1151" s="103" t="s">
        <v>64</v>
      </c>
      <c r="E1151" s="106" t="n">
        <v>-25.9</v>
      </c>
      <c r="F1151" s="70" t="n">
        <f aca="false">IF(ISNUMBER(FIND("SALDO ANTERIOR",C1151)),0,IF(ISNUMBER(FIND("SALDO DO DIA",C1151)),0,IF(ISNUMBER(FIND("SALDO PARCIAL",C1151)),0,IF(ISNUMBER(FIND("SDO CTA/APL AUTOMATICAS",C1151)),0,IF(ISNUMBER(FIND("APL APLIC AUT MAIS",C1151)),0,IF(ISNUMBER(FIND("TEC DEPOSITO",C1151)),0,IF(E1151&gt;0,0,E1151*(-1))))))))</f>
        <v>25.9</v>
      </c>
      <c r="G1151" s="97" t="n">
        <f aca="false">IF(ISNUMBER(FIND("SALDO ANTERIOR",C1151)),0,IF(ISNUMBER(FIND("SALDO DO DIA",C1151)),0,IF(ISNUMBER(FIND("SDO CTA/APL AUTOMATICAS",C1151)),0,IF(ISNUMBER(FIND("TEC DEPOSITO",C1151)),0,IF(ISNUMBER(FIND("APL APLIC AUT MAIS",C1151)),E1151,IF(E1151&gt;0,E1151,0))))))</f>
        <v>0</v>
      </c>
      <c r="H1151" s="96" t="n">
        <v>44136</v>
      </c>
    </row>
    <row r="1152" customFormat="false" ht="13.8" hidden="false" customHeight="false" outlineLevel="0" collapsed="false">
      <c r="A1152" s="59" t="s">
        <v>65</v>
      </c>
      <c r="B1152" s="41" t="s">
        <v>773</v>
      </c>
      <c r="C1152" s="105" t="s">
        <v>776</v>
      </c>
      <c r="D1152" s="103" t="s">
        <v>64</v>
      </c>
      <c r="E1152" s="106" t="n">
        <v>-39.14</v>
      </c>
      <c r="F1152" s="70" t="n">
        <f aca="false">IF(ISNUMBER(FIND("SALDO ANTERIOR",C1152)),0,IF(ISNUMBER(FIND("SALDO DO DIA",C1152)),0,IF(ISNUMBER(FIND("SALDO PARCIAL",C1152)),0,IF(ISNUMBER(FIND("SDO CTA/APL AUTOMATICAS",C1152)),0,IF(ISNUMBER(FIND("APL APLIC AUT MAIS",C1152)),0,IF(ISNUMBER(FIND("TEC DEPOSITO",C1152)),0,IF(E1152&gt;0,0,E1152*(-1))))))))</f>
        <v>39.14</v>
      </c>
      <c r="G1152" s="97" t="n">
        <f aca="false">IF(ISNUMBER(FIND("SALDO ANTERIOR",C1152)),0,IF(ISNUMBER(FIND("SALDO DO DIA",C1152)),0,IF(ISNUMBER(FIND("SDO CTA/APL AUTOMATICAS",C1152)),0,IF(ISNUMBER(FIND("TEC DEPOSITO",C1152)),0,IF(ISNUMBER(FIND("APL APLIC AUT MAIS",C1152)),E1152,IF(E1152&gt;0,E1152,0))))))</f>
        <v>0</v>
      </c>
      <c r="H1152" s="96" t="n">
        <v>44136</v>
      </c>
    </row>
    <row r="1153" customFormat="false" ht="15" hidden="false" customHeight="false" outlineLevel="0" collapsed="false">
      <c r="A1153" s="59" t="s">
        <v>29</v>
      </c>
      <c r="B1153" s="41" t="s">
        <v>773</v>
      </c>
      <c r="C1153" s="102" t="s">
        <v>494</v>
      </c>
      <c r="D1153" s="103"/>
      <c r="E1153" s="104" t="n">
        <v>-182.17</v>
      </c>
      <c r="F1153" s="70" t="n">
        <f aca="false">IF(ISNUMBER(FIND("SALDO ANTERIOR",C1153)),0,IF(ISNUMBER(FIND("SALDO DO DIA",C1153)),0,IF(ISNUMBER(FIND("SALDO PARCIAL",C1153)),0,IF(ISNUMBER(FIND("SDO CTA/APL AUTOMATICAS",C1153)),0,IF(ISNUMBER(FIND("APL APLIC AUT MAIS",C1153)),0,IF(ISNUMBER(FIND("TEC DEPOSITO",C1153)),0,IF(E1153&gt;0,0,E1153*(-1))))))))</f>
        <v>0</v>
      </c>
      <c r="G1153" s="97" t="n">
        <f aca="false">IF(ISNUMBER(FIND("SALDO ANTERIOR",C1153)),0,IF(ISNUMBER(FIND("SALDO DO DIA",C1153)),0,IF(ISNUMBER(FIND("SDO CTA/APL AUTOMATICAS",C1153)),0,IF(ISNUMBER(FIND("TEC DEPOSITO",C1153)),0,IF(ISNUMBER(FIND("APL APLIC AUT MAIS",C1153)),E1153,IF(E1153&gt;0,E1153,0))))))</f>
        <v>0</v>
      </c>
      <c r="H1153" s="96" t="n">
        <v>44136</v>
      </c>
    </row>
    <row r="1154" customFormat="false" ht="13.8" hidden="false" customHeight="false" outlineLevel="0" collapsed="false">
      <c r="A1154" s="59" t="s">
        <v>119</v>
      </c>
      <c r="B1154" s="41" t="s">
        <v>777</v>
      </c>
      <c r="C1154" s="105" t="s">
        <v>690</v>
      </c>
      <c r="D1154" s="103" t="s">
        <v>64</v>
      </c>
      <c r="E1154" s="106" t="n">
        <v>-5</v>
      </c>
      <c r="F1154" s="70" t="n">
        <f aca="false">IF(ISNUMBER(FIND("SALDO ANTERIOR",C1154)),0,IF(ISNUMBER(FIND("SALDO DO DIA",C1154)),0,IF(ISNUMBER(FIND("SALDO PARCIAL",C1154)),0,IF(ISNUMBER(FIND("SDO CTA/APL AUTOMATICAS",C1154)),0,IF(ISNUMBER(FIND("APL APLIC AUT MAIS",C1154)),0,IF(ISNUMBER(FIND("TEC DEPOSITO",C1154)),0,IF(E1154&gt;0,0,E1154*(-1))))))))</f>
        <v>5</v>
      </c>
      <c r="G1154" s="97" t="n">
        <f aca="false">IF(ISNUMBER(FIND("SALDO ANTERIOR",C1154)),0,IF(ISNUMBER(FIND("SALDO DO DIA",C1154)),0,IF(ISNUMBER(FIND("SDO CTA/APL AUTOMATICAS",C1154)),0,IF(ISNUMBER(FIND("TEC DEPOSITO",C1154)),0,IF(ISNUMBER(FIND("APL APLIC AUT MAIS",C1154)),E1154,IF(E1154&gt;0,E1154,0))))))</f>
        <v>0</v>
      </c>
      <c r="H1154" s="96" t="n">
        <v>44136</v>
      </c>
    </row>
    <row r="1155" customFormat="false" ht="13.8" hidden="false" customHeight="false" outlineLevel="0" collapsed="false">
      <c r="A1155" s="59" t="s">
        <v>98</v>
      </c>
      <c r="B1155" s="41" t="s">
        <v>777</v>
      </c>
      <c r="C1155" s="105" t="s">
        <v>743</v>
      </c>
      <c r="D1155" s="103" t="s">
        <v>64</v>
      </c>
      <c r="E1155" s="106" t="n">
        <v>-130.97</v>
      </c>
      <c r="F1155" s="70" t="n">
        <f aca="false">IF(ISNUMBER(FIND("SALDO ANTERIOR",C1155)),0,IF(ISNUMBER(FIND("SALDO DO DIA",C1155)),0,IF(ISNUMBER(FIND("SALDO PARCIAL",C1155)),0,IF(ISNUMBER(FIND("SDO CTA/APL AUTOMATICAS",C1155)),0,IF(ISNUMBER(FIND("APL APLIC AUT MAIS",C1155)),0,IF(ISNUMBER(FIND("TEC DEPOSITO",C1155)),0,IF(E1155&gt;0,0,E1155*(-1))))))))</f>
        <v>130.97</v>
      </c>
      <c r="G1155" s="97" t="n">
        <f aca="false">IF(ISNUMBER(FIND("SALDO ANTERIOR",C1155)),0,IF(ISNUMBER(FIND("SALDO DO DIA",C1155)),0,IF(ISNUMBER(FIND("SDO CTA/APL AUTOMATICAS",C1155)),0,IF(ISNUMBER(FIND("TEC DEPOSITO",C1155)),0,IF(ISNUMBER(FIND("APL APLIC AUT MAIS",C1155)),E1155,IF(E1155&gt;0,E1155,0))))))</f>
        <v>0</v>
      </c>
      <c r="H1155" s="96" t="n">
        <v>44136</v>
      </c>
    </row>
    <row r="1156" customFormat="false" ht="13.8" hidden="false" customHeight="false" outlineLevel="0" collapsed="false">
      <c r="A1156" s="59" t="s">
        <v>130</v>
      </c>
      <c r="B1156" s="41" t="s">
        <v>777</v>
      </c>
      <c r="C1156" s="105" t="s">
        <v>131</v>
      </c>
      <c r="D1156" s="103" t="s">
        <v>82</v>
      </c>
      <c r="E1156" s="106" t="n">
        <v>-75</v>
      </c>
      <c r="F1156" s="70" t="n">
        <f aca="false">IF(ISNUMBER(FIND("SALDO ANTERIOR",C1156)),0,IF(ISNUMBER(FIND("SALDO DO DIA",C1156)),0,IF(ISNUMBER(FIND("SALDO PARCIAL",C1156)),0,IF(ISNUMBER(FIND("SDO CTA/APL AUTOMATICAS",C1156)),0,IF(ISNUMBER(FIND("APL APLIC AUT MAIS",C1156)),0,IF(ISNUMBER(FIND("TEC DEPOSITO",C1156)),0,IF(E1156&gt;0,0,E1156*(-1))))))))</f>
        <v>75</v>
      </c>
      <c r="G1156" s="97" t="n">
        <f aca="false">IF(ISNUMBER(FIND("SALDO ANTERIOR",C1156)),0,IF(ISNUMBER(FIND("SALDO DO DIA",C1156)),0,IF(ISNUMBER(FIND("SDO CTA/APL AUTOMATICAS",C1156)),0,IF(ISNUMBER(FIND("TEC DEPOSITO",C1156)),0,IF(ISNUMBER(FIND("APL APLIC AUT MAIS",C1156)),E1156,IF(E1156&gt;0,E1156,0))))))</f>
        <v>0</v>
      </c>
      <c r="H1156" s="96" t="n">
        <v>44136</v>
      </c>
    </row>
    <row r="1157" customFormat="false" ht="15" hidden="false" customHeight="false" outlineLevel="0" collapsed="false">
      <c r="A1157" s="59" t="s">
        <v>29</v>
      </c>
      <c r="B1157" s="41" t="s">
        <v>777</v>
      </c>
      <c r="C1157" s="102" t="s">
        <v>494</v>
      </c>
      <c r="D1157" s="103"/>
      <c r="E1157" s="104" t="n">
        <v>-393.14</v>
      </c>
      <c r="F1157" s="70" t="n">
        <f aca="false">IF(ISNUMBER(FIND("SALDO ANTERIOR",C1157)),0,IF(ISNUMBER(FIND("SALDO DO DIA",C1157)),0,IF(ISNUMBER(FIND("SALDO PARCIAL",C1157)),0,IF(ISNUMBER(FIND("SDO CTA/APL AUTOMATICAS",C1157)),0,IF(ISNUMBER(FIND("APL APLIC AUT MAIS",C1157)),0,IF(ISNUMBER(FIND("TEC DEPOSITO",C1157)),0,IF(E1157&gt;0,0,E1157*(-1))))))))</f>
        <v>0</v>
      </c>
      <c r="G1157" s="97" t="n">
        <f aca="false">IF(ISNUMBER(FIND("SALDO ANTERIOR",C1157)),0,IF(ISNUMBER(FIND("SALDO DO DIA",C1157)),0,IF(ISNUMBER(FIND("SDO CTA/APL AUTOMATICAS",C1157)),0,IF(ISNUMBER(FIND("TEC DEPOSITO",C1157)),0,IF(ISNUMBER(FIND("APL APLIC AUT MAIS",C1157)),E1157,IF(E1157&gt;0,E1157,0))))))</f>
        <v>0</v>
      </c>
      <c r="H1157" s="96" t="n">
        <v>44136</v>
      </c>
    </row>
    <row r="1158" customFormat="false" ht="13.8" hidden="false" customHeight="false" outlineLevel="0" collapsed="false">
      <c r="A1158" s="59" t="s">
        <v>74</v>
      </c>
      <c r="B1158" s="41" t="s">
        <v>778</v>
      </c>
      <c r="C1158" s="105" t="s">
        <v>457</v>
      </c>
      <c r="D1158" s="103" t="s">
        <v>64</v>
      </c>
      <c r="E1158" s="106" t="n">
        <v>-12.99</v>
      </c>
      <c r="F1158" s="70" t="n">
        <f aca="false">IF(ISNUMBER(FIND("SALDO ANTERIOR",C1158)),0,IF(ISNUMBER(FIND("SALDO DO DIA",C1158)),0,IF(ISNUMBER(FIND("SALDO PARCIAL",C1158)),0,IF(ISNUMBER(FIND("SDO CTA/APL AUTOMATICAS",C1158)),0,IF(ISNUMBER(FIND("APL APLIC AUT MAIS",C1158)),0,IF(ISNUMBER(FIND("TEC DEPOSITO",C1158)),0,IF(E1158&gt;0,0,E1158*(-1))))))))</f>
        <v>12.99</v>
      </c>
      <c r="G1158" s="97" t="n">
        <f aca="false">IF(ISNUMBER(FIND("SALDO ANTERIOR",C1158)),0,IF(ISNUMBER(FIND("SALDO DO DIA",C1158)),0,IF(ISNUMBER(FIND("SDO CTA/APL AUTOMATICAS",C1158)),0,IF(ISNUMBER(FIND("TEC DEPOSITO",C1158)),0,IF(ISNUMBER(FIND("APL APLIC AUT MAIS",C1158)),E1158,IF(E1158&gt;0,E1158,0))))))</f>
        <v>0</v>
      </c>
      <c r="H1158" s="96" t="n">
        <v>44136</v>
      </c>
    </row>
    <row r="1159" customFormat="false" ht="13.8" hidden="false" customHeight="false" outlineLevel="0" collapsed="false">
      <c r="A1159" s="59" t="s">
        <v>74</v>
      </c>
      <c r="B1159" s="41" t="s">
        <v>778</v>
      </c>
      <c r="C1159" s="105" t="s">
        <v>457</v>
      </c>
      <c r="D1159" s="103" t="s">
        <v>64</v>
      </c>
      <c r="E1159" s="106" t="n">
        <v>-12.99</v>
      </c>
      <c r="F1159" s="70" t="n">
        <f aca="false">IF(ISNUMBER(FIND("SALDO ANTERIOR",C1159)),0,IF(ISNUMBER(FIND("SALDO DO DIA",C1159)),0,IF(ISNUMBER(FIND("SALDO PARCIAL",C1159)),0,IF(ISNUMBER(FIND("SDO CTA/APL AUTOMATICAS",C1159)),0,IF(ISNUMBER(FIND("APL APLIC AUT MAIS",C1159)),0,IF(ISNUMBER(FIND("TEC DEPOSITO",C1159)),0,IF(E1159&gt;0,0,E1159*(-1))))))))</f>
        <v>12.99</v>
      </c>
      <c r="G1159" s="97" t="n">
        <f aca="false">IF(ISNUMBER(FIND("SALDO ANTERIOR",C1159)),0,IF(ISNUMBER(FIND("SALDO DO DIA",C1159)),0,IF(ISNUMBER(FIND("SDO CTA/APL AUTOMATICAS",C1159)),0,IF(ISNUMBER(FIND("TEC DEPOSITO",C1159)),0,IF(ISNUMBER(FIND("APL APLIC AUT MAIS",C1159)),E1159,IF(E1159&gt;0,E1159,0))))))</f>
        <v>0</v>
      </c>
      <c r="H1159" s="96" t="n">
        <v>44136</v>
      </c>
    </row>
    <row r="1160" customFormat="false" ht="13.8" hidden="false" customHeight="false" outlineLevel="0" collapsed="false">
      <c r="A1160" s="59" t="s">
        <v>98</v>
      </c>
      <c r="B1160" s="41" t="s">
        <v>778</v>
      </c>
      <c r="C1160" s="105" t="s">
        <v>743</v>
      </c>
      <c r="D1160" s="103" t="s">
        <v>64</v>
      </c>
      <c r="E1160" s="106" t="n">
        <v>-54.33</v>
      </c>
      <c r="F1160" s="70" t="n">
        <f aca="false">IF(ISNUMBER(FIND("SALDO ANTERIOR",C1160)),0,IF(ISNUMBER(FIND("SALDO DO DIA",C1160)),0,IF(ISNUMBER(FIND("SALDO PARCIAL",C1160)),0,IF(ISNUMBER(FIND("SDO CTA/APL AUTOMATICAS",C1160)),0,IF(ISNUMBER(FIND("APL APLIC AUT MAIS",C1160)),0,IF(ISNUMBER(FIND("TEC DEPOSITO",C1160)),0,IF(E1160&gt;0,0,E1160*(-1))))))))</f>
        <v>54.33</v>
      </c>
      <c r="G1160" s="97" t="n">
        <f aca="false">IF(ISNUMBER(FIND("SALDO ANTERIOR",C1160)),0,IF(ISNUMBER(FIND("SALDO DO DIA",C1160)),0,IF(ISNUMBER(FIND("SDO CTA/APL AUTOMATICAS",C1160)),0,IF(ISNUMBER(FIND("TEC DEPOSITO",C1160)),0,IF(ISNUMBER(FIND("APL APLIC AUT MAIS",C1160)),E1160,IF(E1160&gt;0,E1160,0))))))</f>
        <v>0</v>
      </c>
      <c r="H1160" s="96" t="n">
        <v>44136</v>
      </c>
    </row>
    <row r="1161" customFormat="false" ht="15" hidden="false" customHeight="false" outlineLevel="0" collapsed="false">
      <c r="A1161" s="59" t="s">
        <v>29</v>
      </c>
      <c r="B1161" s="41" t="s">
        <v>778</v>
      </c>
      <c r="C1161" s="102" t="s">
        <v>494</v>
      </c>
      <c r="D1161" s="103"/>
      <c r="E1161" s="104" t="n">
        <v>-473.45</v>
      </c>
      <c r="F1161" s="70" t="n">
        <f aca="false">IF(ISNUMBER(FIND("SALDO ANTERIOR",C1161)),0,IF(ISNUMBER(FIND("SALDO DO DIA",C1161)),0,IF(ISNUMBER(FIND("SALDO PARCIAL",C1161)),0,IF(ISNUMBER(FIND("SDO CTA/APL AUTOMATICAS",C1161)),0,IF(ISNUMBER(FIND("APL APLIC AUT MAIS",C1161)),0,IF(ISNUMBER(FIND("TEC DEPOSITO",C1161)),0,IF(E1161&gt;0,0,E1161*(-1))))))))</f>
        <v>0</v>
      </c>
      <c r="G1161" s="97" t="n">
        <f aca="false">IF(ISNUMBER(FIND("SALDO ANTERIOR",C1161)),0,IF(ISNUMBER(FIND("SALDO DO DIA",C1161)),0,IF(ISNUMBER(FIND("SDO CTA/APL AUTOMATICAS",C1161)),0,IF(ISNUMBER(FIND("TEC DEPOSITO",C1161)),0,IF(ISNUMBER(FIND("APL APLIC AUT MAIS",C1161)),E1161,IF(E1161&gt;0,E1161,0))))))</f>
        <v>0</v>
      </c>
      <c r="H1161" s="96" t="n">
        <v>44136</v>
      </c>
    </row>
    <row r="1162" customFormat="false" ht="13.8" hidden="false" customHeight="false" outlineLevel="0" collapsed="false">
      <c r="A1162" s="59" t="s">
        <v>203</v>
      </c>
      <c r="B1162" s="41" t="s">
        <v>779</v>
      </c>
      <c r="C1162" s="105" t="s">
        <v>780</v>
      </c>
      <c r="D1162" s="103" t="s">
        <v>478</v>
      </c>
      <c r="E1162" s="106" t="n">
        <v>-100</v>
      </c>
      <c r="F1162" s="70" t="n">
        <f aca="false">IF(ISNUMBER(FIND("SALDO ANTERIOR",C1162)),0,IF(ISNUMBER(FIND("SALDO DO DIA",C1162)),0,IF(ISNUMBER(FIND("SALDO PARCIAL",C1162)),0,IF(ISNUMBER(FIND("SDO CTA/APL AUTOMATICAS",C1162)),0,IF(ISNUMBER(FIND("APL APLIC AUT MAIS",C1162)),0,IF(ISNUMBER(FIND("TEC DEPOSITO",C1162)),0,IF(E1162&gt;0,0,E1162*(-1))))))))</f>
        <v>100</v>
      </c>
      <c r="G1162" s="97" t="n">
        <f aca="false">IF(ISNUMBER(FIND("SALDO ANTERIOR",C1162)),0,IF(ISNUMBER(FIND("SALDO DO DIA",C1162)),0,IF(ISNUMBER(FIND("SDO CTA/APL AUTOMATICAS",C1162)),0,IF(ISNUMBER(FIND("TEC DEPOSITO",C1162)),0,IF(ISNUMBER(FIND("APL APLIC AUT MAIS",C1162)),E1162,IF(E1162&gt;0,E1162,0))))))</f>
        <v>0</v>
      </c>
      <c r="H1162" s="96" t="n">
        <v>44136</v>
      </c>
    </row>
    <row r="1163" customFormat="false" ht="13.8" hidden="false" customHeight="false" outlineLevel="0" collapsed="false">
      <c r="A1163" s="49" t="s">
        <v>504</v>
      </c>
      <c r="B1163" s="41" t="s">
        <v>779</v>
      </c>
      <c r="C1163" s="105" t="s">
        <v>505</v>
      </c>
      <c r="D1163" s="103" t="s">
        <v>64</v>
      </c>
      <c r="E1163" s="106" t="n">
        <v>-40</v>
      </c>
      <c r="F1163" s="70" t="n">
        <f aca="false">IF(ISNUMBER(FIND("SALDO ANTERIOR",C1163)),0,IF(ISNUMBER(FIND("SALDO DO DIA",C1163)),0,IF(ISNUMBER(FIND("SALDO PARCIAL",C1163)),0,IF(ISNUMBER(FIND("SDO CTA/APL AUTOMATICAS",C1163)),0,IF(ISNUMBER(FIND("APL APLIC AUT MAIS",C1163)),0,IF(ISNUMBER(FIND("TEC DEPOSITO",C1163)),0,IF(E1163&gt;0,0,E1163*(-1))))))))</f>
        <v>40</v>
      </c>
      <c r="G1163" s="97" t="n">
        <f aca="false">IF(ISNUMBER(FIND("SALDO ANTERIOR",C1163)),0,IF(ISNUMBER(FIND("SALDO DO DIA",C1163)),0,IF(ISNUMBER(FIND("SDO CTA/APL AUTOMATICAS",C1163)),0,IF(ISNUMBER(FIND("TEC DEPOSITO",C1163)),0,IF(ISNUMBER(FIND("APL APLIC AUT MAIS",C1163)),E1163,IF(E1163&gt;0,E1163,0))))))</f>
        <v>0</v>
      </c>
      <c r="H1163" s="96" t="n">
        <v>44136</v>
      </c>
    </row>
    <row r="1164" customFormat="false" ht="13.8" hidden="false" customHeight="false" outlineLevel="0" collapsed="false">
      <c r="A1164" s="59" t="s">
        <v>76</v>
      </c>
      <c r="B1164" s="41" t="s">
        <v>779</v>
      </c>
      <c r="C1164" s="105" t="s">
        <v>458</v>
      </c>
      <c r="D1164" s="103" t="s">
        <v>64</v>
      </c>
      <c r="E1164" s="106" t="n">
        <v>-17.7</v>
      </c>
      <c r="F1164" s="70" t="n">
        <f aca="false">IF(ISNUMBER(FIND("SALDO ANTERIOR",C1164)),0,IF(ISNUMBER(FIND("SALDO DO DIA",C1164)),0,IF(ISNUMBER(FIND("SALDO PARCIAL",C1164)),0,IF(ISNUMBER(FIND("SDO CTA/APL AUTOMATICAS",C1164)),0,IF(ISNUMBER(FIND("APL APLIC AUT MAIS",C1164)),0,IF(ISNUMBER(FIND("TEC DEPOSITO",C1164)),0,IF(E1164&gt;0,0,E1164*(-1))))))))</f>
        <v>17.7</v>
      </c>
      <c r="G1164" s="97" t="n">
        <f aca="false">IF(ISNUMBER(FIND("SALDO ANTERIOR",C1164)),0,IF(ISNUMBER(FIND("SALDO DO DIA",C1164)),0,IF(ISNUMBER(FIND("SDO CTA/APL AUTOMATICAS",C1164)),0,IF(ISNUMBER(FIND("TEC DEPOSITO",C1164)),0,IF(ISNUMBER(FIND("APL APLIC AUT MAIS",C1164)),E1164,IF(E1164&gt;0,E1164,0))))))</f>
        <v>0</v>
      </c>
      <c r="H1164" s="96" t="n">
        <v>44136</v>
      </c>
    </row>
    <row r="1165" customFormat="false" ht="13.8" hidden="false" customHeight="false" outlineLevel="0" collapsed="false">
      <c r="A1165" s="59" t="s">
        <v>65</v>
      </c>
      <c r="B1165" s="41" t="s">
        <v>779</v>
      </c>
      <c r="C1165" s="105" t="s">
        <v>781</v>
      </c>
      <c r="D1165" s="103" t="s">
        <v>64</v>
      </c>
      <c r="E1165" s="106" t="n">
        <v>-7.5</v>
      </c>
      <c r="F1165" s="70" t="n">
        <f aca="false">IF(ISNUMBER(FIND("SALDO ANTERIOR",C1165)),0,IF(ISNUMBER(FIND("SALDO DO DIA",C1165)),0,IF(ISNUMBER(FIND("SALDO PARCIAL",C1165)),0,IF(ISNUMBER(FIND("SDO CTA/APL AUTOMATICAS",C1165)),0,IF(ISNUMBER(FIND("APL APLIC AUT MAIS",C1165)),0,IF(ISNUMBER(FIND("TEC DEPOSITO",C1165)),0,IF(E1165&gt;0,0,E1165*(-1))))))))</f>
        <v>7.5</v>
      </c>
      <c r="G1165" s="97" t="n">
        <f aca="false">IF(ISNUMBER(FIND("SALDO ANTERIOR",C1165)),0,IF(ISNUMBER(FIND("SALDO DO DIA",C1165)),0,IF(ISNUMBER(FIND("SDO CTA/APL AUTOMATICAS",C1165)),0,IF(ISNUMBER(FIND("TEC DEPOSITO",C1165)),0,IF(ISNUMBER(FIND("APL APLIC AUT MAIS",C1165)),E1165,IF(E1165&gt;0,E1165,0))))))</f>
        <v>0</v>
      </c>
      <c r="H1165" s="96" t="n">
        <v>44136</v>
      </c>
    </row>
    <row r="1166" customFormat="false" ht="13.8" hidden="false" customHeight="false" outlineLevel="0" collapsed="false">
      <c r="A1166" s="59" t="s">
        <v>65</v>
      </c>
      <c r="B1166" s="41" t="s">
        <v>779</v>
      </c>
      <c r="C1166" s="105" t="s">
        <v>454</v>
      </c>
      <c r="D1166" s="103" t="s">
        <v>64</v>
      </c>
      <c r="E1166" s="106" t="n">
        <v>-38.96</v>
      </c>
      <c r="F1166" s="70" t="n">
        <f aca="false">IF(ISNUMBER(FIND("SALDO ANTERIOR",C1166)),0,IF(ISNUMBER(FIND("SALDO DO DIA",C1166)),0,IF(ISNUMBER(FIND("SALDO PARCIAL",C1166)),0,IF(ISNUMBER(FIND("SDO CTA/APL AUTOMATICAS",C1166)),0,IF(ISNUMBER(FIND("APL APLIC AUT MAIS",C1166)),0,IF(ISNUMBER(FIND("TEC DEPOSITO",C1166)),0,IF(E1166&gt;0,0,E1166*(-1))))))))</f>
        <v>38.96</v>
      </c>
      <c r="G1166" s="97" t="n">
        <f aca="false">IF(ISNUMBER(FIND("SALDO ANTERIOR",C1166)),0,IF(ISNUMBER(FIND("SALDO DO DIA",C1166)),0,IF(ISNUMBER(FIND("SDO CTA/APL AUTOMATICAS",C1166)),0,IF(ISNUMBER(FIND("TEC DEPOSITO",C1166)),0,IF(ISNUMBER(FIND("APL APLIC AUT MAIS",C1166)),E1166,IF(E1166&gt;0,E1166,0))))))</f>
        <v>0</v>
      </c>
      <c r="H1166" s="96" t="n">
        <v>44136</v>
      </c>
    </row>
    <row r="1167" customFormat="false" ht="13.8" hidden="false" customHeight="false" outlineLevel="0" collapsed="false">
      <c r="A1167" s="59" t="s">
        <v>316</v>
      </c>
      <c r="B1167" s="41" t="s">
        <v>779</v>
      </c>
      <c r="C1167" s="105" t="s">
        <v>479</v>
      </c>
      <c r="D1167" s="103" t="s">
        <v>64</v>
      </c>
      <c r="E1167" s="106" t="n">
        <v>-50</v>
      </c>
      <c r="F1167" s="70" t="n">
        <f aca="false">IF(ISNUMBER(FIND("SALDO ANTERIOR",C1167)),0,IF(ISNUMBER(FIND("SALDO DO DIA",C1167)),0,IF(ISNUMBER(FIND("SALDO PARCIAL",C1167)),0,IF(ISNUMBER(FIND("SDO CTA/APL AUTOMATICAS",C1167)),0,IF(ISNUMBER(FIND("APL APLIC AUT MAIS",C1167)),0,IF(ISNUMBER(FIND("TEC DEPOSITO",C1167)),0,IF(E1167&gt;0,0,E1167*(-1))))))))</f>
        <v>50</v>
      </c>
      <c r="G1167" s="97" t="n">
        <f aca="false">IF(ISNUMBER(FIND("SALDO ANTERIOR",C1167)),0,IF(ISNUMBER(FIND("SALDO DO DIA",C1167)),0,IF(ISNUMBER(FIND("SDO CTA/APL AUTOMATICAS",C1167)),0,IF(ISNUMBER(FIND("TEC DEPOSITO",C1167)),0,IF(ISNUMBER(FIND("APL APLIC AUT MAIS",C1167)),E1167,IF(E1167&gt;0,E1167,0))))))</f>
        <v>0</v>
      </c>
      <c r="H1167" s="96" t="n">
        <v>44136</v>
      </c>
    </row>
    <row r="1168" customFormat="false" ht="13.8" hidden="false" customHeight="false" outlineLevel="0" collapsed="false">
      <c r="A1168" s="59" t="s">
        <v>74</v>
      </c>
      <c r="B1168" s="41" t="s">
        <v>779</v>
      </c>
      <c r="C1168" s="105" t="s">
        <v>782</v>
      </c>
      <c r="D1168" s="103" t="s">
        <v>64</v>
      </c>
      <c r="E1168" s="106" t="n">
        <v>-8</v>
      </c>
      <c r="F1168" s="70" t="n">
        <f aca="false">IF(ISNUMBER(FIND("SALDO ANTERIOR",C1168)),0,IF(ISNUMBER(FIND("SALDO DO DIA",C1168)),0,IF(ISNUMBER(FIND("SALDO PARCIAL",C1168)),0,IF(ISNUMBER(FIND("SDO CTA/APL AUTOMATICAS",C1168)),0,IF(ISNUMBER(FIND("APL APLIC AUT MAIS",C1168)),0,IF(ISNUMBER(FIND("TEC DEPOSITO",C1168)),0,IF(E1168&gt;0,0,E1168*(-1))))))))</f>
        <v>8</v>
      </c>
      <c r="G1168" s="97" t="n">
        <f aca="false">IF(ISNUMBER(FIND("SALDO ANTERIOR",C1168)),0,IF(ISNUMBER(FIND("SALDO DO DIA",C1168)),0,IF(ISNUMBER(FIND("SDO CTA/APL AUTOMATICAS",C1168)),0,IF(ISNUMBER(FIND("TEC DEPOSITO",C1168)),0,IF(ISNUMBER(FIND("APL APLIC AUT MAIS",C1168)),E1168,IF(E1168&gt;0,E1168,0))))))</f>
        <v>0</v>
      </c>
      <c r="H1168" s="96" t="n">
        <v>44136</v>
      </c>
    </row>
    <row r="1169" customFormat="false" ht="13.8" hidden="false" customHeight="false" outlineLevel="0" collapsed="false">
      <c r="A1169" s="59" t="s">
        <v>76</v>
      </c>
      <c r="B1169" s="41" t="s">
        <v>779</v>
      </c>
      <c r="C1169" s="105" t="s">
        <v>783</v>
      </c>
      <c r="D1169" s="103" t="s">
        <v>64</v>
      </c>
      <c r="E1169" s="106" t="n">
        <v>-7</v>
      </c>
      <c r="F1169" s="70" t="n">
        <f aca="false">IF(ISNUMBER(FIND("SALDO ANTERIOR",C1169)),0,IF(ISNUMBER(FIND("SALDO DO DIA",C1169)),0,IF(ISNUMBER(FIND("SALDO PARCIAL",C1169)),0,IF(ISNUMBER(FIND("SDO CTA/APL AUTOMATICAS",C1169)),0,IF(ISNUMBER(FIND("APL APLIC AUT MAIS",C1169)),0,IF(ISNUMBER(FIND("TEC DEPOSITO",C1169)),0,IF(E1169&gt;0,0,E1169*(-1))))))))</f>
        <v>7</v>
      </c>
      <c r="G1169" s="97" t="n">
        <f aca="false">IF(ISNUMBER(FIND("SALDO ANTERIOR",C1169)),0,IF(ISNUMBER(FIND("SALDO DO DIA",C1169)),0,IF(ISNUMBER(FIND("SDO CTA/APL AUTOMATICAS",C1169)),0,IF(ISNUMBER(FIND("TEC DEPOSITO",C1169)),0,IF(ISNUMBER(FIND("APL APLIC AUT MAIS",C1169)),E1169,IF(E1169&gt;0,E1169,0))))))</f>
        <v>0</v>
      </c>
      <c r="H1169" s="96" t="n">
        <v>44136</v>
      </c>
    </row>
    <row r="1170" customFormat="false" ht="13.8" hidden="false" customHeight="false" outlineLevel="0" collapsed="false">
      <c r="A1170" s="59" t="s">
        <v>74</v>
      </c>
      <c r="B1170" s="41" t="s">
        <v>779</v>
      </c>
      <c r="C1170" s="105" t="s">
        <v>156</v>
      </c>
      <c r="D1170" s="103" t="s">
        <v>64</v>
      </c>
      <c r="E1170" s="106" t="n">
        <v>-27.49</v>
      </c>
      <c r="F1170" s="70" t="n">
        <f aca="false">IF(ISNUMBER(FIND("SALDO ANTERIOR",C1170)),0,IF(ISNUMBER(FIND("SALDO DO DIA",C1170)),0,IF(ISNUMBER(FIND("SALDO PARCIAL",C1170)),0,IF(ISNUMBER(FIND("SDO CTA/APL AUTOMATICAS",C1170)),0,IF(ISNUMBER(FIND("APL APLIC AUT MAIS",C1170)),0,IF(ISNUMBER(FIND("TEC DEPOSITO",C1170)),0,IF(E1170&gt;0,0,E1170*(-1))))))))</f>
        <v>27.49</v>
      </c>
      <c r="G1170" s="97" t="n">
        <f aca="false">IF(ISNUMBER(FIND("SALDO ANTERIOR",C1170)),0,IF(ISNUMBER(FIND("SALDO DO DIA",C1170)),0,IF(ISNUMBER(FIND("SDO CTA/APL AUTOMATICAS",C1170)),0,IF(ISNUMBER(FIND("TEC DEPOSITO",C1170)),0,IF(ISNUMBER(FIND("APL APLIC AUT MAIS",C1170)),E1170,IF(E1170&gt;0,E1170,0))))))</f>
        <v>0</v>
      </c>
      <c r="H1170" s="96" t="n">
        <v>44136</v>
      </c>
    </row>
    <row r="1171" customFormat="false" ht="13.8" hidden="false" customHeight="false" outlineLevel="0" collapsed="false">
      <c r="A1171" s="59" t="s">
        <v>98</v>
      </c>
      <c r="B1171" s="41" t="s">
        <v>779</v>
      </c>
      <c r="C1171" s="105" t="s">
        <v>743</v>
      </c>
      <c r="D1171" s="103" t="s">
        <v>64</v>
      </c>
      <c r="E1171" s="106" t="n">
        <v>-84.26</v>
      </c>
      <c r="F1171" s="70" t="n">
        <f aca="false">IF(ISNUMBER(FIND("SALDO ANTERIOR",C1171)),0,IF(ISNUMBER(FIND("SALDO DO DIA",C1171)),0,IF(ISNUMBER(FIND("SALDO PARCIAL",C1171)),0,IF(ISNUMBER(FIND("SDO CTA/APL AUTOMATICAS",C1171)),0,IF(ISNUMBER(FIND("APL APLIC AUT MAIS",C1171)),0,IF(ISNUMBER(FIND("TEC DEPOSITO",C1171)),0,IF(E1171&gt;0,0,E1171*(-1))))))))</f>
        <v>84.26</v>
      </c>
      <c r="G1171" s="97" t="n">
        <f aca="false">IF(ISNUMBER(FIND("SALDO ANTERIOR",C1171)),0,IF(ISNUMBER(FIND("SALDO DO DIA",C1171)),0,IF(ISNUMBER(FIND("SDO CTA/APL AUTOMATICAS",C1171)),0,IF(ISNUMBER(FIND("TEC DEPOSITO",C1171)),0,IF(ISNUMBER(FIND("APL APLIC AUT MAIS",C1171)),E1171,IF(E1171&gt;0,E1171,0))))))</f>
        <v>0</v>
      </c>
      <c r="H1171" s="96" t="n">
        <v>44136</v>
      </c>
    </row>
    <row r="1172" customFormat="false" ht="13.8" hidden="false" customHeight="false" outlineLevel="0" collapsed="false">
      <c r="A1172" s="59" t="s">
        <v>122</v>
      </c>
      <c r="B1172" s="41" t="s">
        <v>779</v>
      </c>
      <c r="C1172" s="105" t="s">
        <v>123</v>
      </c>
      <c r="D1172" s="103" t="s">
        <v>61</v>
      </c>
      <c r="E1172" s="106" t="n">
        <v>-2923.72</v>
      </c>
      <c r="F1172" s="70" t="n">
        <f aca="false">IF(ISNUMBER(FIND("SALDO ANTERIOR",C1172)),0,IF(ISNUMBER(FIND("SALDO DO DIA",C1172)),0,IF(ISNUMBER(FIND("SALDO PARCIAL",C1172)),0,IF(ISNUMBER(FIND("SDO CTA/APL AUTOMATICAS",C1172)),0,IF(ISNUMBER(FIND("APL APLIC AUT MAIS",C1172)),0,IF(ISNUMBER(FIND("TEC DEPOSITO",C1172)),0,IF(E1172&gt;0,0,E1172*(-1))))))))</f>
        <v>2923.72</v>
      </c>
      <c r="G1172" s="97" t="n">
        <f aca="false">IF(ISNUMBER(FIND("SALDO ANTERIOR",C1172)),0,IF(ISNUMBER(FIND("SALDO DO DIA",C1172)),0,IF(ISNUMBER(FIND("SDO CTA/APL AUTOMATICAS",C1172)),0,IF(ISNUMBER(FIND("TEC DEPOSITO",C1172)),0,IF(ISNUMBER(FIND("APL APLIC AUT MAIS",C1172)),E1172,IF(E1172&gt;0,E1172,0))))))</f>
        <v>0</v>
      </c>
      <c r="H1172" s="96" t="n">
        <v>44136</v>
      </c>
    </row>
    <row r="1173" customFormat="false" ht="13.8" hidden="false" customHeight="false" outlineLevel="0" collapsed="false">
      <c r="A1173" s="59" t="s">
        <v>127</v>
      </c>
      <c r="B1173" s="41" t="s">
        <v>779</v>
      </c>
      <c r="C1173" s="105" t="s">
        <v>128</v>
      </c>
      <c r="D1173" s="103"/>
      <c r="E1173" s="47" t="n">
        <v>4390</v>
      </c>
      <c r="F1173" s="70" t="n">
        <f aca="false">IF(ISNUMBER(FIND("SALDO ANTERIOR",C1173)),0,IF(ISNUMBER(FIND("SALDO DO DIA",C1173)),0,IF(ISNUMBER(FIND("SALDO PARCIAL",C1173)),0,IF(ISNUMBER(FIND("SDO CTA/APL AUTOMATICAS",C1173)),0,IF(ISNUMBER(FIND("APL APLIC AUT MAIS",C1173)),0,IF(ISNUMBER(FIND("TEC DEPOSITO",C1173)),0,IF(E1173&gt;0,0,E1173*(-1))))))))</f>
        <v>0</v>
      </c>
      <c r="G1173" s="97" t="n">
        <f aca="false">IF(ISNUMBER(FIND("SALDO ANTERIOR",C1173)),0,IF(ISNUMBER(FIND("SALDO DO DIA",C1173)),0,IF(ISNUMBER(FIND("SDO CTA/APL AUTOMATICAS",C1173)),0,IF(ISNUMBER(FIND("TEC DEPOSITO",C1173)),0,IF(ISNUMBER(FIND("APL APLIC AUT MAIS",C1173)),E1173,IF(E1173&gt;0,E1173,0))))))</f>
        <v>4390</v>
      </c>
      <c r="H1173" s="96" t="n">
        <v>44136</v>
      </c>
    </row>
    <row r="1174" customFormat="false" ht="15" hidden="false" customHeight="false" outlineLevel="0" collapsed="false">
      <c r="A1174" s="59" t="s">
        <v>29</v>
      </c>
      <c r="B1174" s="41" t="s">
        <v>779</v>
      </c>
      <c r="C1174" s="102" t="s">
        <v>521</v>
      </c>
      <c r="D1174" s="103"/>
      <c r="E1174" s="107" t="n">
        <v>611.92</v>
      </c>
      <c r="F1174" s="70" t="n">
        <f aca="false">IF(ISNUMBER(FIND("SALDO ANTERIOR",C1174)),0,IF(ISNUMBER(FIND("SALDO DO DIA",C1174)),0,IF(ISNUMBER(FIND("SALDO PARCIAL",C1174)),0,IF(ISNUMBER(FIND("SDO CTA/APL AUTOMATICAS",C1174)),0,IF(ISNUMBER(FIND("APL APLIC AUT MAIS",C1174)),0,IF(ISNUMBER(FIND("TEC DEPOSITO",C1174)),0,IF(E1174&gt;0,0,E1174*(-1))))))))</f>
        <v>0</v>
      </c>
      <c r="G1174" s="97" t="n">
        <f aca="false">IF(ISNUMBER(FIND("SALDO ANTERIOR",C1174)),0,IF(ISNUMBER(FIND("SALDO DO DIA",C1174)),0,IF(ISNUMBER(FIND("SDO CTA/APL AUTOMATICAS",C1174)),0,IF(ISNUMBER(FIND("TEC DEPOSITO",C1174)),0,IF(ISNUMBER(FIND("APL APLIC AUT MAIS",C1174)),E1174,IF(E1174&gt;0,E1174,0))))))</f>
        <v>0</v>
      </c>
      <c r="H1174" s="96" t="n">
        <v>44136</v>
      </c>
    </row>
    <row r="1175" customFormat="false" ht="13.8" hidden="false" customHeight="false" outlineLevel="0" collapsed="false">
      <c r="A1175" s="59" t="s">
        <v>98</v>
      </c>
      <c r="B1175" s="41" t="s">
        <v>784</v>
      </c>
      <c r="C1175" s="105" t="s">
        <v>743</v>
      </c>
      <c r="D1175" s="103" t="s">
        <v>64</v>
      </c>
      <c r="E1175" s="106" t="n">
        <v>-102.29</v>
      </c>
      <c r="F1175" s="70" t="n">
        <f aca="false">IF(ISNUMBER(FIND("SALDO ANTERIOR",C1175)),0,IF(ISNUMBER(FIND("SALDO DO DIA",C1175)),0,IF(ISNUMBER(FIND("SALDO PARCIAL",C1175)),0,IF(ISNUMBER(FIND("SDO CTA/APL AUTOMATICAS",C1175)),0,IF(ISNUMBER(FIND("APL APLIC AUT MAIS",C1175)),0,IF(ISNUMBER(FIND("TEC DEPOSITO",C1175)),0,IF(E1175&gt;0,0,E1175*(-1))))))))</f>
        <v>102.29</v>
      </c>
      <c r="G1175" s="97" t="n">
        <f aca="false">IF(ISNUMBER(FIND("SALDO ANTERIOR",C1175)),0,IF(ISNUMBER(FIND("SALDO DO DIA",C1175)),0,IF(ISNUMBER(FIND("SDO CTA/APL AUTOMATICAS",C1175)),0,IF(ISNUMBER(FIND("TEC DEPOSITO",C1175)),0,IF(ISNUMBER(FIND("APL APLIC AUT MAIS",C1175)),E1175,IF(E1175&gt;0,E1175,0))))))</f>
        <v>0</v>
      </c>
      <c r="H1175" s="96" t="n">
        <v>44136</v>
      </c>
    </row>
    <row r="1176" customFormat="false" ht="15" hidden="false" customHeight="false" outlineLevel="0" collapsed="false">
      <c r="A1176" s="59" t="s">
        <v>29</v>
      </c>
      <c r="B1176" s="41" t="s">
        <v>784</v>
      </c>
      <c r="C1176" s="102" t="s">
        <v>521</v>
      </c>
      <c r="D1176" s="103"/>
      <c r="E1176" s="107" t="n">
        <v>509.63</v>
      </c>
      <c r="F1176" s="70" t="n">
        <f aca="false">IF(ISNUMBER(FIND("SALDO ANTERIOR",C1176)),0,IF(ISNUMBER(FIND("SALDO DO DIA",C1176)),0,IF(ISNUMBER(FIND("SALDO PARCIAL",C1176)),0,IF(ISNUMBER(FIND("SDO CTA/APL AUTOMATICAS",C1176)),0,IF(ISNUMBER(FIND("APL APLIC AUT MAIS",C1176)),0,IF(ISNUMBER(FIND("TEC DEPOSITO",C1176)),0,IF(E1176&gt;0,0,E1176*(-1))))))))</f>
        <v>0</v>
      </c>
      <c r="G1176" s="97" t="n">
        <f aca="false">IF(ISNUMBER(FIND("SALDO ANTERIOR",C1176)),0,IF(ISNUMBER(FIND("SALDO DO DIA",C1176)),0,IF(ISNUMBER(FIND("SDO CTA/APL AUTOMATICAS",C1176)),0,IF(ISNUMBER(FIND("TEC DEPOSITO",C1176)),0,IF(ISNUMBER(FIND("APL APLIC AUT MAIS",C1176)),E1176,IF(E1176&gt;0,E1176,0))))))</f>
        <v>0</v>
      </c>
      <c r="H1176" s="96" t="n">
        <v>44136</v>
      </c>
    </row>
    <row r="1177" customFormat="false" ht="13.8" hidden="false" customHeight="false" outlineLevel="0" collapsed="false">
      <c r="A1177" s="59" t="s">
        <v>65</v>
      </c>
      <c r="B1177" s="41" t="s">
        <v>785</v>
      </c>
      <c r="C1177" s="105" t="s">
        <v>601</v>
      </c>
      <c r="D1177" s="103" t="s">
        <v>64</v>
      </c>
      <c r="E1177" s="106" t="n">
        <v>-40</v>
      </c>
      <c r="F1177" s="70" t="n">
        <f aca="false">IF(ISNUMBER(FIND("SALDO ANTERIOR",C1177)),0,IF(ISNUMBER(FIND("SALDO DO DIA",C1177)),0,IF(ISNUMBER(FIND("SALDO PARCIAL",C1177)),0,IF(ISNUMBER(FIND("SDO CTA/APL AUTOMATICAS",C1177)),0,IF(ISNUMBER(FIND("APL APLIC AUT MAIS",C1177)),0,IF(ISNUMBER(FIND("TEC DEPOSITO",C1177)),0,IF(E1177&gt;0,0,E1177*(-1))))))))</f>
        <v>40</v>
      </c>
      <c r="G1177" s="97" t="n">
        <f aca="false">IF(ISNUMBER(FIND("SALDO ANTERIOR",C1177)),0,IF(ISNUMBER(FIND("SALDO DO DIA",C1177)),0,IF(ISNUMBER(FIND("SDO CTA/APL AUTOMATICAS",C1177)),0,IF(ISNUMBER(FIND("TEC DEPOSITO",C1177)),0,IF(ISNUMBER(FIND("APL APLIC AUT MAIS",C1177)),E1177,IF(E1177&gt;0,E1177,0))))))</f>
        <v>0</v>
      </c>
      <c r="H1177" s="96" t="n">
        <v>44136</v>
      </c>
    </row>
    <row r="1178" customFormat="false" ht="13.8" hidden="false" customHeight="false" outlineLevel="0" collapsed="false">
      <c r="A1178" s="59" t="s">
        <v>119</v>
      </c>
      <c r="B1178" s="41" t="s">
        <v>785</v>
      </c>
      <c r="C1178" s="105" t="s">
        <v>690</v>
      </c>
      <c r="D1178" s="103" t="s">
        <v>64</v>
      </c>
      <c r="E1178" s="106" t="n">
        <v>-5</v>
      </c>
      <c r="F1178" s="70" t="n">
        <f aca="false">IF(ISNUMBER(FIND("SALDO ANTERIOR",C1178)),0,IF(ISNUMBER(FIND("SALDO DO DIA",C1178)),0,IF(ISNUMBER(FIND("SALDO PARCIAL",C1178)),0,IF(ISNUMBER(FIND("SDO CTA/APL AUTOMATICAS",C1178)),0,IF(ISNUMBER(FIND("APL APLIC AUT MAIS",C1178)),0,IF(ISNUMBER(FIND("TEC DEPOSITO",C1178)),0,IF(E1178&gt;0,0,E1178*(-1))))))))</f>
        <v>5</v>
      </c>
      <c r="G1178" s="97" t="n">
        <f aca="false">IF(ISNUMBER(FIND("SALDO ANTERIOR",C1178)),0,IF(ISNUMBER(FIND("SALDO DO DIA",C1178)),0,IF(ISNUMBER(FIND("SDO CTA/APL AUTOMATICAS",C1178)),0,IF(ISNUMBER(FIND("TEC DEPOSITO",C1178)),0,IF(ISNUMBER(FIND("APL APLIC AUT MAIS",C1178)),E1178,IF(E1178&gt;0,E1178,0))))))</f>
        <v>0</v>
      </c>
      <c r="H1178" s="96" t="n">
        <v>44136</v>
      </c>
    </row>
    <row r="1179" customFormat="false" ht="13.8" hidden="false" customHeight="false" outlineLevel="0" collapsed="false">
      <c r="A1179" s="59" t="s">
        <v>119</v>
      </c>
      <c r="B1179" s="41" t="s">
        <v>785</v>
      </c>
      <c r="C1179" s="105" t="s">
        <v>786</v>
      </c>
      <c r="D1179" s="103" t="s">
        <v>64</v>
      </c>
      <c r="E1179" s="106" t="n">
        <v>-3.5</v>
      </c>
      <c r="F1179" s="70" t="n">
        <f aca="false">IF(ISNUMBER(FIND("SALDO ANTERIOR",C1179)),0,IF(ISNUMBER(FIND("SALDO DO DIA",C1179)),0,IF(ISNUMBER(FIND("SALDO PARCIAL",C1179)),0,IF(ISNUMBER(FIND("SDO CTA/APL AUTOMATICAS",C1179)),0,IF(ISNUMBER(FIND("APL APLIC AUT MAIS",C1179)),0,IF(ISNUMBER(FIND("TEC DEPOSITO",C1179)),0,IF(E1179&gt;0,0,E1179*(-1))))))))</f>
        <v>3.5</v>
      </c>
      <c r="G1179" s="97" t="n">
        <f aca="false">IF(ISNUMBER(FIND("SALDO ANTERIOR",C1179)),0,IF(ISNUMBER(FIND("SALDO DO DIA",C1179)),0,IF(ISNUMBER(FIND("SDO CTA/APL AUTOMATICAS",C1179)),0,IF(ISNUMBER(FIND("TEC DEPOSITO",C1179)),0,IF(ISNUMBER(FIND("APL APLIC AUT MAIS",C1179)),E1179,IF(E1179&gt;0,E1179,0))))))</f>
        <v>0</v>
      </c>
      <c r="H1179" s="96" t="n">
        <v>44136</v>
      </c>
    </row>
    <row r="1180" customFormat="false" ht="13.8" hidden="false" customHeight="false" outlineLevel="0" collapsed="false">
      <c r="A1180" s="59" t="s">
        <v>98</v>
      </c>
      <c r="B1180" s="41" t="s">
        <v>785</v>
      </c>
      <c r="C1180" s="105" t="s">
        <v>743</v>
      </c>
      <c r="D1180" s="103" t="s">
        <v>64</v>
      </c>
      <c r="E1180" s="106" t="n">
        <v>-10.98</v>
      </c>
      <c r="F1180" s="70" t="n">
        <f aca="false">IF(ISNUMBER(FIND("SALDO ANTERIOR",C1180)),0,IF(ISNUMBER(FIND("SALDO DO DIA",C1180)),0,IF(ISNUMBER(FIND("SALDO PARCIAL",C1180)),0,IF(ISNUMBER(FIND("SDO CTA/APL AUTOMATICAS",C1180)),0,IF(ISNUMBER(FIND("APL APLIC AUT MAIS",C1180)),0,IF(ISNUMBER(FIND("TEC DEPOSITO",C1180)),0,IF(E1180&gt;0,0,E1180*(-1))))))))</f>
        <v>10.98</v>
      </c>
      <c r="G1180" s="97" t="n">
        <f aca="false">IF(ISNUMBER(FIND("SALDO ANTERIOR",C1180)),0,IF(ISNUMBER(FIND("SALDO DO DIA",C1180)),0,IF(ISNUMBER(FIND("SDO CTA/APL AUTOMATICAS",C1180)),0,IF(ISNUMBER(FIND("TEC DEPOSITO",C1180)),0,IF(ISNUMBER(FIND("APL APLIC AUT MAIS",C1180)),E1180,IF(E1180&gt;0,E1180,0))))))</f>
        <v>0</v>
      </c>
      <c r="H1180" s="96" t="n">
        <v>44136</v>
      </c>
    </row>
    <row r="1181" customFormat="false" ht="13.8" hidden="false" customHeight="false" outlineLevel="0" collapsed="false">
      <c r="A1181" s="59" t="s">
        <v>98</v>
      </c>
      <c r="B1181" s="41" t="s">
        <v>785</v>
      </c>
      <c r="C1181" s="105" t="s">
        <v>743</v>
      </c>
      <c r="D1181" s="103" t="s">
        <v>64</v>
      </c>
      <c r="E1181" s="106" t="n">
        <v>-31.16</v>
      </c>
      <c r="F1181" s="70" t="n">
        <f aca="false">IF(ISNUMBER(FIND("SALDO ANTERIOR",C1181)),0,IF(ISNUMBER(FIND("SALDO DO DIA",C1181)),0,IF(ISNUMBER(FIND("SALDO PARCIAL",C1181)),0,IF(ISNUMBER(FIND("SDO CTA/APL AUTOMATICAS",C1181)),0,IF(ISNUMBER(FIND("APL APLIC AUT MAIS",C1181)),0,IF(ISNUMBER(FIND("TEC DEPOSITO",C1181)),0,IF(E1181&gt;0,0,E1181*(-1))))))))</f>
        <v>31.16</v>
      </c>
      <c r="G1181" s="97" t="n">
        <f aca="false">IF(ISNUMBER(FIND("SALDO ANTERIOR",C1181)),0,IF(ISNUMBER(FIND("SALDO DO DIA",C1181)),0,IF(ISNUMBER(FIND("SDO CTA/APL AUTOMATICAS",C1181)),0,IF(ISNUMBER(FIND("TEC DEPOSITO",C1181)),0,IF(ISNUMBER(FIND("APL APLIC AUT MAIS",C1181)),E1181,IF(E1181&gt;0,E1181,0))))))</f>
        <v>0</v>
      </c>
      <c r="H1181" s="96" t="n">
        <v>44136</v>
      </c>
    </row>
    <row r="1182" customFormat="false" ht="15" hidden="false" customHeight="false" outlineLevel="0" collapsed="false">
      <c r="A1182" s="59" t="s">
        <v>29</v>
      </c>
      <c r="B1182" s="41" t="s">
        <v>785</v>
      </c>
      <c r="C1182" s="102" t="s">
        <v>521</v>
      </c>
      <c r="D1182" s="103"/>
      <c r="E1182" s="107" t="n">
        <v>418.99</v>
      </c>
      <c r="F1182" s="70" t="n">
        <f aca="false">IF(ISNUMBER(FIND("SALDO ANTERIOR",C1182)),0,IF(ISNUMBER(FIND("SALDO DO DIA",C1182)),0,IF(ISNUMBER(FIND("SALDO PARCIAL",C1182)),0,IF(ISNUMBER(FIND("SDO CTA/APL AUTOMATICAS",C1182)),0,IF(ISNUMBER(FIND("APL APLIC AUT MAIS",C1182)),0,IF(ISNUMBER(FIND("TEC DEPOSITO",C1182)),0,IF(E1182&gt;0,0,E1182*(-1))))))))</f>
        <v>0</v>
      </c>
      <c r="G1182" s="97" t="n">
        <f aca="false">IF(ISNUMBER(FIND("SALDO ANTERIOR",C1182)),0,IF(ISNUMBER(FIND("SALDO DO DIA",C1182)),0,IF(ISNUMBER(FIND("SDO CTA/APL AUTOMATICAS",C1182)),0,IF(ISNUMBER(FIND("TEC DEPOSITO",C1182)),0,IF(ISNUMBER(FIND("APL APLIC AUT MAIS",C1182)),E1182,IF(E1182&gt;0,E1182,0))))))</f>
        <v>0</v>
      </c>
      <c r="H1182" s="96" t="n">
        <v>44136</v>
      </c>
    </row>
    <row r="1183" customFormat="false" ht="13.8" hidden="false" customHeight="false" outlineLevel="0" collapsed="false">
      <c r="A1183" s="59" t="s">
        <v>98</v>
      </c>
      <c r="B1183" s="41" t="s">
        <v>787</v>
      </c>
      <c r="C1183" s="105" t="s">
        <v>743</v>
      </c>
      <c r="D1183" s="103" t="s">
        <v>64</v>
      </c>
      <c r="E1183" s="106" t="n">
        <v>-14.31</v>
      </c>
      <c r="F1183" s="70" t="n">
        <f aca="false">IF(ISNUMBER(FIND("SALDO ANTERIOR",C1183)),0,IF(ISNUMBER(FIND("SALDO DO DIA",C1183)),0,IF(ISNUMBER(FIND("SALDO PARCIAL",C1183)),0,IF(ISNUMBER(FIND("SDO CTA/APL AUTOMATICAS",C1183)),0,IF(ISNUMBER(FIND("APL APLIC AUT MAIS",C1183)),0,IF(ISNUMBER(FIND("TEC DEPOSITO",C1183)),0,IF(E1183&gt;0,0,E1183*(-1))))))))</f>
        <v>14.31</v>
      </c>
      <c r="G1183" s="97" t="n">
        <f aca="false">IF(ISNUMBER(FIND("SALDO ANTERIOR",C1183)),0,IF(ISNUMBER(FIND("SALDO DO DIA",C1183)),0,IF(ISNUMBER(FIND("SDO CTA/APL AUTOMATICAS",C1183)),0,IF(ISNUMBER(FIND("TEC DEPOSITO",C1183)),0,IF(ISNUMBER(FIND("APL APLIC AUT MAIS",C1183)),E1183,IF(E1183&gt;0,E1183,0))))))</f>
        <v>0</v>
      </c>
      <c r="H1183" s="96" t="n">
        <v>44136</v>
      </c>
    </row>
    <row r="1184" customFormat="false" ht="13.8" hidden="false" customHeight="false" outlineLevel="0" collapsed="false">
      <c r="A1184" s="59" t="s">
        <v>5</v>
      </c>
      <c r="B1184" s="41" t="s">
        <v>787</v>
      </c>
      <c r="C1184" s="105" t="s">
        <v>788</v>
      </c>
      <c r="D1184" s="103"/>
      <c r="E1184" s="47" t="n">
        <v>200</v>
      </c>
      <c r="F1184" s="70" t="n">
        <f aca="false">IF(ISNUMBER(FIND("SALDO ANTERIOR",C1184)),0,IF(ISNUMBER(FIND("SALDO DO DIA",C1184)),0,IF(ISNUMBER(FIND("SALDO PARCIAL",C1184)),0,IF(ISNUMBER(FIND("SDO CTA/APL AUTOMATICAS",C1184)),0,IF(ISNUMBER(FIND("APL APLIC AUT MAIS",C1184)),0,IF(ISNUMBER(FIND("TEC DEPOSITO",C1184)),0,IF(E1184&gt;0,0,E1184*(-1))))))))</f>
        <v>0</v>
      </c>
      <c r="G1184" s="97" t="n">
        <f aca="false">IF(ISNUMBER(FIND("SALDO ANTERIOR",C1184)),0,IF(ISNUMBER(FIND("SALDO DO DIA",C1184)),0,IF(ISNUMBER(FIND("SDO CTA/APL AUTOMATICAS",C1184)),0,IF(ISNUMBER(FIND("TEC DEPOSITO",C1184)),0,IF(ISNUMBER(FIND("APL APLIC AUT MAIS",C1184)),E1184,IF(E1184&gt;0,E1184,0))))))</f>
        <v>200</v>
      </c>
      <c r="H1184" s="96" t="n">
        <v>44136</v>
      </c>
    </row>
    <row r="1185" customFormat="false" ht="15" hidden="false" customHeight="false" outlineLevel="0" collapsed="false">
      <c r="A1185" s="59" t="s">
        <v>29</v>
      </c>
      <c r="B1185" s="41" t="s">
        <v>787</v>
      </c>
      <c r="C1185" s="102" t="s">
        <v>521</v>
      </c>
      <c r="D1185" s="103"/>
      <c r="E1185" s="107" t="n">
        <v>604.68</v>
      </c>
      <c r="F1185" s="70" t="n">
        <f aca="false">IF(ISNUMBER(FIND("SALDO ANTERIOR",C1185)),0,IF(ISNUMBER(FIND("SALDO DO DIA",C1185)),0,IF(ISNUMBER(FIND("SALDO PARCIAL",C1185)),0,IF(ISNUMBER(FIND("SDO CTA/APL AUTOMATICAS",C1185)),0,IF(ISNUMBER(FIND("APL APLIC AUT MAIS",C1185)),0,IF(ISNUMBER(FIND("TEC DEPOSITO",C1185)),0,IF(E1185&gt;0,0,E1185*(-1))))))))</f>
        <v>0</v>
      </c>
      <c r="G1185" s="97" t="n">
        <f aca="false">IF(ISNUMBER(FIND("SALDO ANTERIOR",C1185)),0,IF(ISNUMBER(FIND("SALDO DO DIA",C1185)),0,IF(ISNUMBER(FIND("SDO CTA/APL AUTOMATICAS",C1185)),0,IF(ISNUMBER(FIND("TEC DEPOSITO",C1185)),0,IF(ISNUMBER(FIND("APL APLIC AUT MAIS",C1185)),E1185,IF(E1185&gt;0,E1185,0))))))</f>
        <v>0</v>
      </c>
      <c r="H1185" s="96" t="n">
        <v>44136</v>
      </c>
    </row>
    <row r="1186" customFormat="false" ht="13.8" hidden="false" customHeight="false" outlineLevel="0" collapsed="false">
      <c r="A1186" s="59" t="s">
        <v>124</v>
      </c>
      <c r="B1186" s="41" t="s">
        <v>789</v>
      </c>
      <c r="C1186" s="105" t="s">
        <v>171</v>
      </c>
      <c r="D1186" s="103" t="s">
        <v>61</v>
      </c>
      <c r="E1186" s="106" t="n">
        <v>-30</v>
      </c>
      <c r="F1186" s="70" t="n">
        <f aca="false">IF(ISNUMBER(FIND("SALDO ANTERIOR",C1186)),0,IF(ISNUMBER(FIND("SALDO DO DIA",C1186)),0,IF(ISNUMBER(FIND("SALDO PARCIAL",C1186)),0,IF(ISNUMBER(FIND("SDO CTA/APL AUTOMATICAS",C1186)),0,IF(ISNUMBER(FIND("APL APLIC AUT MAIS",C1186)),0,IF(ISNUMBER(FIND("TEC DEPOSITO",C1186)),0,IF(E1186&gt;0,0,E1186*(-1))))))))</f>
        <v>30</v>
      </c>
      <c r="G1186" s="97" t="n">
        <f aca="false">IF(ISNUMBER(FIND("SALDO ANTERIOR",C1186)),0,IF(ISNUMBER(FIND("SALDO DO DIA",C1186)),0,IF(ISNUMBER(FIND("SDO CTA/APL AUTOMATICAS",C1186)),0,IF(ISNUMBER(FIND("TEC DEPOSITO",C1186)),0,IF(ISNUMBER(FIND("APL APLIC AUT MAIS",C1186)),E1186,IF(E1186&gt;0,E1186,0))))))</f>
        <v>0</v>
      </c>
      <c r="H1186" s="96" t="n">
        <v>44136</v>
      </c>
    </row>
    <row r="1187" customFormat="false" ht="15" hidden="false" customHeight="false" outlineLevel="0" collapsed="false">
      <c r="A1187" s="59" t="s">
        <v>29</v>
      </c>
      <c r="B1187" s="41" t="s">
        <v>789</v>
      </c>
      <c r="C1187" s="102" t="s">
        <v>521</v>
      </c>
      <c r="D1187" s="103"/>
      <c r="E1187" s="107" t="n">
        <v>574.68</v>
      </c>
      <c r="F1187" s="70" t="n">
        <f aca="false">IF(ISNUMBER(FIND("SALDO ANTERIOR",C1187)),0,IF(ISNUMBER(FIND("SALDO DO DIA",C1187)),0,IF(ISNUMBER(FIND("SALDO PARCIAL",C1187)),0,IF(ISNUMBER(FIND("SDO CTA/APL AUTOMATICAS",C1187)),0,IF(ISNUMBER(FIND("APL APLIC AUT MAIS",C1187)),0,IF(ISNUMBER(FIND("TEC DEPOSITO",C1187)),0,IF(E1187&gt;0,0,E1187*(-1))))))))</f>
        <v>0</v>
      </c>
      <c r="G1187" s="97" t="n">
        <f aca="false">IF(ISNUMBER(FIND("SALDO ANTERIOR",C1187)),0,IF(ISNUMBER(FIND("SALDO DO DIA",C1187)),0,IF(ISNUMBER(FIND("SDO CTA/APL AUTOMATICAS",C1187)),0,IF(ISNUMBER(FIND("TEC DEPOSITO",C1187)),0,IF(ISNUMBER(FIND("APL APLIC AUT MAIS",C1187)),E1187,IF(E1187&gt;0,E1187,0))))))</f>
        <v>0</v>
      </c>
      <c r="H1187" s="96" t="n">
        <v>44136</v>
      </c>
    </row>
    <row r="1188" customFormat="false" ht="13.8" hidden="false" customHeight="false" outlineLevel="0" collapsed="false">
      <c r="A1188" s="59" t="s">
        <v>532</v>
      </c>
      <c r="B1188" s="41" t="s">
        <v>790</v>
      </c>
      <c r="C1188" s="105" t="s">
        <v>533</v>
      </c>
      <c r="D1188" s="103" t="s">
        <v>64</v>
      </c>
      <c r="E1188" s="106" t="n">
        <v>-10</v>
      </c>
      <c r="F1188" s="70" t="n">
        <f aca="false">IF(ISNUMBER(FIND("SALDO ANTERIOR",C1188)),0,IF(ISNUMBER(FIND("SALDO DO DIA",C1188)),0,IF(ISNUMBER(FIND("SALDO PARCIAL",C1188)),0,IF(ISNUMBER(FIND("SDO CTA/APL AUTOMATICAS",C1188)),0,IF(ISNUMBER(FIND("APL APLIC AUT MAIS",C1188)),0,IF(ISNUMBER(FIND("TEC DEPOSITO",C1188)),0,IF(E1188&gt;0,0,E1188*(-1))))))))</f>
        <v>10</v>
      </c>
      <c r="G1188" s="97" t="n">
        <f aca="false">IF(ISNUMBER(FIND("SALDO ANTERIOR",C1188)),0,IF(ISNUMBER(FIND("SALDO DO DIA",C1188)),0,IF(ISNUMBER(FIND("SDO CTA/APL AUTOMATICAS",C1188)),0,IF(ISNUMBER(FIND("TEC DEPOSITO",C1188)),0,IF(ISNUMBER(FIND("APL APLIC AUT MAIS",C1188)),E1188,IF(E1188&gt;0,E1188,0))))))</f>
        <v>0</v>
      </c>
      <c r="H1188" s="96" t="n">
        <v>44136</v>
      </c>
    </row>
    <row r="1189" customFormat="false" ht="15" hidden="false" customHeight="false" outlineLevel="0" collapsed="false">
      <c r="A1189" s="59" t="s">
        <v>29</v>
      </c>
      <c r="B1189" s="41" t="s">
        <v>790</v>
      </c>
      <c r="C1189" s="102" t="s">
        <v>521</v>
      </c>
      <c r="D1189" s="103"/>
      <c r="E1189" s="107" t="n">
        <v>564.68</v>
      </c>
      <c r="F1189" s="70" t="n">
        <f aca="false">IF(ISNUMBER(FIND("SALDO ANTERIOR",C1189)),0,IF(ISNUMBER(FIND("SALDO DO DIA",C1189)),0,IF(ISNUMBER(FIND("SALDO PARCIAL",C1189)),0,IF(ISNUMBER(FIND("SDO CTA/APL AUTOMATICAS",C1189)),0,IF(ISNUMBER(FIND("APL APLIC AUT MAIS",C1189)),0,IF(ISNUMBER(FIND("TEC DEPOSITO",C1189)),0,IF(E1189&gt;0,0,E1189*(-1))))))))</f>
        <v>0</v>
      </c>
      <c r="G1189" s="97" t="n">
        <f aca="false">IF(ISNUMBER(FIND("SALDO ANTERIOR",C1189)),0,IF(ISNUMBER(FIND("SALDO DO DIA",C1189)),0,IF(ISNUMBER(FIND("SDO CTA/APL AUTOMATICAS",C1189)),0,IF(ISNUMBER(FIND("TEC DEPOSITO",C1189)),0,IF(ISNUMBER(FIND("APL APLIC AUT MAIS",C1189)),E1189,IF(E1189&gt;0,E1189,0))))))</f>
        <v>0</v>
      </c>
      <c r="H1189" s="96" t="n">
        <v>44136</v>
      </c>
    </row>
    <row r="1190" customFormat="false" ht="13.8" hidden="false" customHeight="false" outlineLevel="0" collapsed="false">
      <c r="A1190" s="59" t="s">
        <v>98</v>
      </c>
      <c r="B1190" s="41" t="s">
        <v>791</v>
      </c>
      <c r="C1190" s="105" t="s">
        <v>743</v>
      </c>
      <c r="D1190" s="103" t="s">
        <v>64</v>
      </c>
      <c r="E1190" s="106" t="n">
        <v>-38.21</v>
      </c>
      <c r="F1190" s="70" t="n">
        <f aca="false">IF(ISNUMBER(FIND("SALDO ANTERIOR",C1190)),0,IF(ISNUMBER(FIND("SALDO DO DIA",C1190)),0,IF(ISNUMBER(FIND("SALDO PARCIAL",C1190)),0,IF(ISNUMBER(FIND("SDO CTA/APL AUTOMATICAS",C1190)),0,IF(ISNUMBER(FIND("APL APLIC AUT MAIS",C1190)),0,IF(ISNUMBER(FIND("TEC DEPOSITO",C1190)),0,IF(E1190&gt;0,0,E1190*(-1))))))))</f>
        <v>38.21</v>
      </c>
      <c r="G1190" s="97" t="n">
        <f aca="false">IF(ISNUMBER(FIND("SALDO ANTERIOR",C1190)),0,IF(ISNUMBER(FIND("SALDO DO DIA",C1190)),0,IF(ISNUMBER(FIND("SDO CTA/APL AUTOMATICAS",C1190)),0,IF(ISNUMBER(FIND("TEC DEPOSITO",C1190)),0,IF(ISNUMBER(FIND("APL APLIC AUT MAIS",C1190)),E1190,IF(E1190&gt;0,E1190,0))))))</f>
        <v>0</v>
      </c>
      <c r="H1190" s="96" t="n">
        <v>44136</v>
      </c>
    </row>
    <row r="1191" customFormat="false" ht="13.8" hidden="false" customHeight="false" outlineLevel="0" collapsed="false">
      <c r="A1191" s="59" t="s">
        <v>124</v>
      </c>
      <c r="B1191" s="41" t="s">
        <v>791</v>
      </c>
      <c r="C1191" s="105" t="s">
        <v>171</v>
      </c>
      <c r="D1191" s="103" t="s">
        <v>61</v>
      </c>
      <c r="E1191" s="47" t="n">
        <v>30</v>
      </c>
      <c r="F1191" s="70" t="n">
        <f aca="false">IF(ISNUMBER(FIND("SALDO ANTERIOR",C1191)),0,IF(ISNUMBER(FIND("SALDO DO DIA",C1191)),0,IF(ISNUMBER(FIND("SALDO PARCIAL",C1191)),0,IF(ISNUMBER(FIND("SDO CTA/APL AUTOMATICAS",C1191)),0,IF(ISNUMBER(FIND("APL APLIC AUT MAIS",C1191)),0,IF(ISNUMBER(FIND("TEC DEPOSITO",C1191)),0,IF(E1191&gt;0,0,E1191*(-1))))))))</f>
        <v>0</v>
      </c>
      <c r="G1191" s="97" t="n">
        <f aca="false">IF(ISNUMBER(FIND("SALDO ANTERIOR",C1191)),0,IF(ISNUMBER(FIND("SALDO DO DIA",C1191)),0,IF(ISNUMBER(FIND("SDO CTA/APL AUTOMATICAS",C1191)),0,IF(ISNUMBER(FIND("TEC DEPOSITO",C1191)),0,IF(ISNUMBER(FIND("APL APLIC AUT MAIS",C1191)),E1191,IF(E1191&gt;0,E1191,0))))))</f>
        <v>30</v>
      </c>
      <c r="H1191" s="96" t="n">
        <v>44136</v>
      </c>
    </row>
    <row r="1192" customFormat="false" ht="15" hidden="false" customHeight="false" outlineLevel="0" collapsed="false">
      <c r="A1192" s="59" t="s">
        <v>29</v>
      </c>
      <c r="B1192" s="41" t="s">
        <v>791</v>
      </c>
      <c r="C1192" s="102" t="s">
        <v>521</v>
      </c>
      <c r="D1192" s="103"/>
      <c r="E1192" s="107" t="n">
        <v>556.47</v>
      </c>
      <c r="F1192" s="70" t="n">
        <f aca="false">IF(ISNUMBER(FIND("SALDO ANTERIOR",C1192)),0,IF(ISNUMBER(FIND("SALDO DO DIA",C1192)),0,IF(ISNUMBER(FIND("SALDO PARCIAL",C1192)),0,IF(ISNUMBER(FIND("SDO CTA/APL AUTOMATICAS",C1192)),0,IF(ISNUMBER(FIND("APL APLIC AUT MAIS",C1192)),0,IF(ISNUMBER(FIND("TEC DEPOSITO",C1192)),0,IF(E1192&gt;0,0,E1192*(-1))))))))</f>
        <v>0</v>
      </c>
      <c r="G1192" s="97" t="n">
        <f aca="false">IF(ISNUMBER(FIND("SALDO ANTERIOR",C1192)),0,IF(ISNUMBER(FIND("SALDO DO DIA",C1192)),0,IF(ISNUMBER(FIND("SDO CTA/APL AUTOMATICAS",C1192)),0,IF(ISNUMBER(FIND("TEC DEPOSITO",C1192)),0,IF(ISNUMBER(FIND("APL APLIC AUT MAIS",C1192)),E1192,IF(E1192&gt;0,E1192,0))))))</f>
        <v>0</v>
      </c>
      <c r="H1192" s="96" t="n">
        <v>44136</v>
      </c>
    </row>
    <row r="1193" customFormat="false" ht="13.8" hidden="false" customHeight="false" outlineLevel="0" collapsed="false">
      <c r="A1193" s="59" t="s">
        <v>119</v>
      </c>
      <c r="B1193" s="41" t="s">
        <v>792</v>
      </c>
      <c r="C1193" s="105" t="s">
        <v>217</v>
      </c>
      <c r="D1193" s="103" t="s">
        <v>61</v>
      </c>
      <c r="E1193" s="106" t="n">
        <v>-198.13</v>
      </c>
      <c r="F1193" s="70" t="n">
        <f aca="false">IF(ISNUMBER(FIND("SALDO ANTERIOR",C1193)),0,IF(ISNUMBER(FIND("SALDO DO DIA",C1193)),0,IF(ISNUMBER(FIND("SALDO PARCIAL",C1193)),0,IF(ISNUMBER(FIND("SDO CTA/APL AUTOMATICAS",C1193)),0,IF(ISNUMBER(FIND("APL APLIC AUT MAIS",C1193)),0,IF(ISNUMBER(FIND("TEC DEPOSITO",C1193)),0,IF(E1193&gt;0,0,E1193*(-1))))))))</f>
        <v>198.13</v>
      </c>
      <c r="G1193" s="97" t="n">
        <f aca="false">IF(ISNUMBER(FIND("SALDO ANTERIOR",C1193)),0,IF(ISNUMBER(FIND("SALDO DO DIA",C1193)),0,IF(ISNUMBER(FIND("SDO CTA/APL AUTOMATICAS",C1193)),0,IF(ISNUMBER(FIND("TEC DEPOSITO",C1193)),0,IF(ISNUMBER(FIND("APL APLIC AUT MAIS",C1193)),E1193,IF(E1193&gt;0,E1193,0))))))</f>
        <v>0</v>
      </c>
      <c r="H1193" s="96" t="n">
        <v>44136</v>
      </c>
    </row>
    <row r="1194" customFormat="false" ht="13.8" hidden="false" customHeight="false" outlineLevel="0" collapsed="false">
      <c r="A1194" s="59" t="s">
        <v>119</v>
      </c>
      <c r="B1194" s="41" t="s">
        <v>792</v>
      </c>
      <c r="C1194" s="105" t="s">
        <v>793</v>
      </c>
      <c r="D1194" s="103" t="s">
        <v>61</v>
      </c>
      <c r="E1194" s="106" t="n">
        <v>-60.23</v>
      </c>
      <c r="F1194" s="70" t="n">
        <f aca="false">IF(ISNUMBER(FIND("SALDO ANTERIOR",C1194)),0,IF(ISNUMBER(FIND("SALDO DO DIA",C1194)),0,IF(ISNUMBER(FIND("SALDO PARCIAL",C1194)),0,IF(ISNUMBER(FIND("SDO CTA/APL AUTOMATICAS",C1194)),0,IF(ISNUMBER(FIND("APL APLIC AUT MAIS",C1194)),0,IF(ISNUMBER(FIND("TEC DEPOSITO",C1194)),0,IF(E1194&gt;0,0,E1194*(-1))))))))</f>
        <v>60.23</v>
      </c>
      <c r="G1194" s="97" t="n">
        <f aca="false">IF(ISNUMBER(FIND("SALDO ANTERIOR",C1194)),0,IF(ISNUMBER(FIND("SALDO DO DIA",C1194)),0,IF(ISNUMBER(FIND("SDO CTA/APL AUTOMATICAS",C1194)),0,IF(ISNUMBER(FIND("TEC DEPOSITO",C1194)),0,IF(ISNUMBER(FIND("APL APLIC AUT MAIS",C1194)),E1194,IF(E1194&gt;0,E1194,0))))))</f>
        <v>0</v>
      </c>
      <c r="H1194" s="96" t="n">
        <v>44136</v>
      </c>
    </row>
    <row r="1195" customFormat="false" ht="13.8" hidden="false" customHeight="false" outlineLevel="0" collapsed="false">
      <c r="A1195" s="59" t="s">
        <v>65</v>
      </c>
      <c r="B1195" s="41" t="s">
        <v>792</v>
      </c>
      <c r="C1195" s="105" t="s">
        <v>794</v>
      </c>
      <c r="D1195" s="103" t="s">
        <v>64</v>
      </c>
      <c r="E1195" s="106" t="n">
        <v>-10</v>
      </c>
      <c r="F1195" s="70" t="n">
        <f aca="false">IF(ISNUMBER(FIND("SALDO ANTERIOR",C1195)),0,IF(ISNUMBER(FIND("SALDO DO DIA",C1195)),0,IF(ISNUMBER(FIND("SALDO PARCIAL",C1195)),0,IF(ISNUMBER(FIND("SDO CTA/APL AUTOMATICAS",C1195)),0,IF(ISNUMBER(FIND("APL APLIC AUT MAIS",C1195)),0,IF(ISNUMBER(FIND("TEC DEPOSITO",C1195)),0,IF(E1195&gt;0,0,E1195*(-1))))))))</f>
        <v>10</v>
      </c>
      <c r="G1195" s="97" t="n">
        <f aca="false">IF(ISNUMBER(FIND("SALDO ANTERIOR",C1195)),0,IF(ISNUMBER(FIND("SALDO DO DIA",C1195)),0,IF(ISNUMBER(FIND("SDO CTA/APL AUTOMATICAS",C1195)),0,IF(ISNUMBER(FIND("TEC DEPOSITO",C1195)),0,IF(ISNUMBER(FIND("APL APLIC AUT MAIS",C1195)),E1195,IF(E1195&gt;0,E1195,0))))))</f>
        <v>0</v>
      </c>
      <c r="H1195" s="96" t="n">
        <v>44136</v>
      </c>
    </row>
    <row r="1196" customFormat="false" ht="13.8" hidden="false" customHeight="false" outlineLevel="0" collapsed="false">
      <c r="A1196" s="59" t="s">
        <v>65</v>
      </c>
      <c r="B1196" s="41" t="s">
        <v>792</v>
      </c>
      <c r="C1196" s="105" t="s">
        <v>795</v>
      </c>
      <c r="D1196" s="103" t="s">
        <v>64</v>
      </c>
      <c r="E1196" s="106" t="n">
        <v>-10</v>
      </c>
      <c r="F1196" s="70" t="n">
        <f aca="false">IF(ISNUMBER(FIND("SALDO ANTERIOR",C1196)),0,IF(ISNUMBER(FIND("SALDO DO DIA",C1196)),0,IF(ISNUMBER(FIND("SALDO PARCIAL",C1196)),0,IF(ISNUMBER(FIND("SDO CTA/APL AUTOMATICAS",C1196)),0,IF(ISNUMBER(FIND("APL APLIC AUT MAIS",C1196)),0,IF(ISNUMBER(FIND("TEC DEPOSITO",C1196)),0,IF(E1196&gt;0,0,E1196*(-1))))))))</f>
        <v>10</v>
      </c>
      <c r="G1196" s="97" t="n">
        <f aca="false">IF(ISNUMBER(FIND("SALDO ANTERIOR",C1196)),0,IF(ISNUMBER(FIND("SALDO DO DIA",C1196)),0,IF(ISNUMBER(FIND("SDO CTA/APL AUTOMATICAS",C1196)),0,IF(ISNUMBER(FIND("TEC DEPOSITO",C1196)),0,IF(ISNUMBER(FIND("APL APLIC AUT MAIS",C1196)),E1196,IF(E1196&gt;0,E1196,0))))))</f>
        <v>0</v>
      </c>
      <c r="H1196" s="96" t="n">
        <v>44136</v>
      </c>
    </row>
    <row r="1197" customFormat="false" ht="13.8" hidden="false" customHeight="false" outlineLevel="0" collapsed="false">
      <c r="A1197" s="59" t="s">
        <v>76</v>
      </c>
      <c r="B1197" s="41" t="s">
        <v>792</v>
      </c>
      <c r="C1197" s="105" t="s">
        <v>92</v>
      </c>
      <c r="D1197" s="103" t="s">
        <v>64</v>
      </c>
      <c r="E1197" s="106" t="n">
        <v>-8.9</v>
      </c>
      <c r="F1197" s="70" t="n">
        <f aca="false">IF(ISNUMBER(FIND("SALDO ANTERIOR",C1197)),0,IF(ISNUMBER(FIND("SALDO DO DIA",C1197)),0,IF(ISNUMBER(FIND("SALDO PARCIAL",C1197)),0,IF(ISNUMBER(FIND("SDO CTA/APL AUTOMATICAS",C1197)),0,IF(ISNUMBER(FIND("APL APLIC AUT MAIS",C1197)),0,IF(ISNUMBER(FIND("TEC DEPOSITO",C1197)),0,IF(E1197&gt;0,0,E1197*(-1))))))))</f>
        <v>8.9</v>
      </c>
      <c r="G1197" s="97" t="n">
        <f aca="false">IF(ISNUMBER(FIND("SALDO ANTERIOR",C1197)),0,IF(ISNUMBER(FIND("SALDO DO DIA",C1197)),0,IF(ISNUMBER(FIND("SDO CTA/APL AUTOMATICAS",C1197)),0,IF(ISNUMBER(FIND("TEC DEPOSITO",C1197)),0,IF(ISNUMBER(FIND("APL APLIC AUT MAIS",C1197)),E1197,IF(E1197&gt;0,E1197,0))))))</f>
        <v>0</v>
      </c>
      <c r="H1197" s="96" t="n">
        <v>44136</v>
      </c>
    </row>
    <row r="1198" customFormat="false" ht="13.8" hidden="false" customHeight="false" outlineLevel="0" collapsed="false">
      <c r="A1198" s="59" t="s">
        <v>76</v>
      </c>
      <c r="B1198" s="41" t="s">
        <v>792</v>
      </c>
      <c r="C1198" s="105" t="s">
        <v>737</v>
      </c>
      <c r="D1198" s="103" t="s">
        <v>64</v>
      </c>
      <c r="E1198" s="106" t="n">
        <v>-11</v>
      </c>
      <c r="F1198" s="70" t="n">
        <f aca="false">IF(ISNUMBER(FIND("SALDO ANTERIOR",C1198)),0,IF(ISNUMBER(FIND("SALDO DO DIA",C1198)),0,IF(ISNUMBER(FIND("SALDO PARCIAL",C1198)),0,IF(ISNUMBER(FIND("SDO CTA/APL AUTOMATICAS",C1198)),0,IF(ISNUMBER(FIND("APL APLIC AUT MAIS",C1198)),0,IF(ISNUMBER(FIND("TEC DEPOSITO",C1198)),0,IF(E1198&gt;0,0,E1198*(-1))))))))</f>
        <v>11</v>
      </c>
      <c r="G1198" s="97" t="n">
        <f aca="false">IF(ISNUMBER(FIND("SALDO ANTERIOR",C1198)),0,IF(ISNUMBER(FIND("SALDO DO DIA",C1198)),0,IF(ISNUMBER(FIND("SDO CTA/APL AUTOMATICAS",C1198)),0,IF(ISNUMBER(FIND("TEC DEPOSITO",C1198)),0,IF(ISNUMBER(FIND("APL APLIC AUT MAIS",C1198)),E1198,IF(E1198&gt;0,E1198,0))))))</f>
        <v>0</v>
      </c>
      <c r="H1198" s="96" t="n">
        <v>44136</v>
      </c>
    </row>
    <row r="1199" customFormat="false" ht="13.8" hidden="false" customHeight="false" outlineLevel="0" collapsed="false">
      <c r="A1199" s="59" t="s">
        <v>76</v>
      </c>
      <c r="B1199" s="41" t="s">
        <v>792</v>
      </c>
      <c r="C1199" s="105" t="s">
        <v>737</v>
      </c>
      <c r="D1199" s="103" t="s">
        <v>64</v>
      </c>
      <c r="E1199" s="106" t="n">
        <v>-33</v>
      </c>
      <c r="F1199" s="70" t="n">
        <f aca="false">IF(ISNUMBER(FIND("SALDO ANTERIOR",C1199)),0,IF(ISNUMBER(FIND("SALDO DO DIA",C1199)),0,IF(ISNUMBER(FIND("SALDO PARCIAL",C1199)),0,IF(ISNUMBER(FIND("SDO CTA/APL AUTOMATICAS",C1199)),0,IF(ISNUMBER(FIND("APL APLIC AUT MAIS",C1199)),0,IF(ISNUMBER(FIND("TEC DEPOSITO",C1199)),0,IF(E1199&gt;0,0,E1199*(-1))))))))</f>
        <v>33</v>
      </c>
      <c r="G1199" s="97" t="n">
        <f aca="false">IF(ISNUMBER(FIND("SALDO ANTERIOR",C1199)),0,IF(ISNUMBER(FIND("SALDO DO DIA",C1199)),0,IF(ISNUMBER(FIND("SDO CTA/APL AUTOMATICAS",C1199)),0,IF(ISNUMBER(FIND("TEC DEPOSITO",C1199)),0,IF(ISNUMBER(FIND("APL APLIC AUT MAIS",C1199)),E1199,IF(E1199&gt;0,E1199,0))))))</f>
        <v>0</v>
      </c>
      <c r="H1199" s="96" t="n">
        <v>44136</v>
      </c>
    </row>
    <row r="1200" customFormat="false" ht="13.8" hidden="false" customHeight="false" outlineLevel="0" collapsed="false">
      <c r="A1200" s="59" t="s">
        <v>65</v>
      </c>
      <c r="B1200" s="41" t="s">
        <v>792</v>
      </c>
      <c r="C1200" s="105" t="s">
        <v>796</v>
      </c>
      <c r="D1200" s="103" t="s">
        <v>64</v>
      </c>
      <c r="E1200" s="106" t="n">
        <v>-20</v>
      </c>
      <c r="F1200" s="70" t="n">
        <f aca="false">IF(ISNUMBER(FIND("SALDO ANTERIOR",C1200)),0,IF(ISNUMBER(FIND("SALDO DO DIA",C1200)),0,IF(ISNUMBER(FIND("SALDO PARCIAL",C1200)),0,IF(ISNUMBER(FIND("SDO CTA/APL AUTOMATICAS",C1200)),0,IF(ISNUMBER(FIND("APL APLIC AUT MAIS",C1200)),0,IF(ISNUMBER(FIND("TEC DEPOSITO",C1200)),0,IF(E1200&gt;0,0,E1200*(-1))))))))</f>
        <v>20</v>
      </c>
      <c r="G1200" s="97" t="n">
        <f aca="false">IF(ISNUMBER(FIND("SALDO ANTERIOR",C1200)),0,IF(ISNUMBER(FIND("SALDO DO DIA",C1200)),0,IF(ISNUMBER(FIND("SDO CTA/APL AUTOMATICAS",C1200)),0,IF(ISNUMBER(FIND("TEC DEPOSITO",C1200)),0,IF(ISNUMBER(FIND("APL APLIC AUT MAIS",C1200)),E1200,IF(E1200&gt;0,E1200,0))))))</f>
        <v>0</v>
      </c>
      <c r="H1200" s="96" t="n">
        <v>44136</v>
      </c>
    </row>
    <row r="1201" customFormat="false" ht="13.8" hidden="false" customHeight="false" outlineLevel="0" collapsed="false">
      <c r="A1201" s="59" t="s">
        <v>65</v>
      </c>
      <c r="B1201" s="41" t="s">
        <v>792</v>
      </c>
      <c r="C1201" s="105" t="s">
        <v>797</v>
      </c>
      <c r="D1201" s="103" t="s">
        <v>64</v>
      </c>
      <c r="E1201" s="106" t="n">
        <v>-23</v>
      </c>
      <c r="F1201" s="70" t="n">
        <f aca="false">IF(ISNUMBER(FIND("SALDO ANTERIOR",C1201)),0,IF(ISNUMBER(FIND("SALDO DO DIA",C1201)),0,IF(ISNUMBER(FIND("SALDO PARCIAL",C1201)),0,IF(ISNUMBER(FIND("SDO CTA/APL AUTOMATICAS",C1201)),0,IF(ISNUMBER(FIND("APL APLIC AUT MAIS",C1201)),0,IF(ISNUMBER(FIND("TEC DEPOSITO",C1201)),0,IF(E1201&gt;0,0,E1201*(-1))))))))</f>
        <v>23</v>
      </c>
      <c r="G1201" s="97" t="n">
        <f aca="false">IF(ISNUMBER(FIND("SALDO ANTERIOR",C1201)),0,IF(ISNUMBER(FIND("SALDO DO DIA",C1201)),0,IF(ISNUMBER(FIND("SDO CTA/APL AUTOMATICAS",C1201)),0,IF(ISNUMBER(FIND("TEC DEPOSITO",C1201)),0,IF(ISNUMBER(FIND("APL APLIC AUT MAIS",C1201)),E1201,IF(E1201&gt;0,E1201,0))))))</f>
        <v>0</v>
      </c>
      <c r="H1201" s="96" t="n">
        <v>44136</v>
      </c>
    </row>
    <row r="1202" customFormat="false" ht="13.8" hidden="false" customHeight="false" outlineLevel="0" collapsed="false">
      <c r="A1202" s="59" t="s">
        <v>65</v>
      </c>
      <c r="B1202" s="41" t="s">
        <v>792</v>
      </c>
      <c r="C1202" s="105" t="s">
        <v>798</v>
      </c>
      <c r="D1202" s="103" t="s">
        <v>64</v>
      </c>
      <c r="E1202" s="106" t="n">
        <v>-30</v>
      </c>
      <c r="F1202" s="70" t="n">
        <f aca="false">IF(ISNUMBER(FIND("SALDO ANTERIOR",C1202)),0,IF(ISNUMBER(FIND("SALDO DO DIA",C1202)),0,IF(ISNUMBER(FIND("SALDO PARCIAL",C1202)),0,IF(ISNUMBER(FIND("SDO CTA/APL AUTOMATICAS",C1202)),0,IF(ISNUMBER(FIND("APL APLIC AUT MAIS",C1202)),0,IF(ISNUMBER(FIND("TEC DEPOSITO",C1202)),0,IF(E1202&gt;0,0,E1202*(-1))))))))</f>
        <v>30</v>
      </c>
      <c r="G1202" s="97" t="n">
        <f aca="false">IF(ISNUMBER(FIND("SALDO ANTERIOR",C1202)),0,IF(ISNUMBER(FIND("SALDO DO DIA",C1202)),0,IF(ISNUMBER(FIND("SDO CTA/APL AUTOMATICAS",C1202)),0,IF(ISNUMBER(FIND("TEC DEPOSITO",C1202)),0,IF(ISNUMBER(FIND("APL APLIC AUT MAIS",C1202)),E1202,IF(E1202&gt;0,E1202,0))))))</f>
        <v>0</v>
      </c>
      <c r="H1202" s="96" t="n">
        <v>44136</v>
      </c>
    </row>
    <row r="1203" customFormat="false" ht="15" hidden="false" customHeight="false" outlineLevel="0" collapsed="false">
      <c r="A1203" s="59" t="s">
        <v>29</v>
      </c>
      <c r="B1203" s="41" t="s">
        <v>792</v>
      </c>
      <c r="C1203" s="102" t="s">
        <v>521</v>
      </c>
      <c r="D1203" s="103"/>
      <c r="E1203" s="107" t="n">
        <v>152.21</v>
      </c>
      <c r="F1203" s="70" t="n">
        <f aca="false">IF(ISNUMBER(FIND("SALDO ANTERIOR",C1203)),0,IF(ISNUMBER(FIND("SALDO DO DIA",C1203)),0,IF(ISNUMBER(FIND("SALDO PARCIAL",C1203)),0,IF(ISNUMBER(FIND("SDO CTA/APL AUTOMATICAS",C1203)),0,IF(ISNUMBER(FIND("APL APLIC AUT MAIS",C1203)),0,IF(ISNUMBER(FIND("TEC DEPOSITO",C1203)),0,IF(E1203&gt;0,0,E1203*(-1))))))))</f>
        <v>0</v>
      </c>
      <c r="G1203" s="97" t="n">
        <f aca="false">IF(ISNUMBER(FIND("SALDO ANTERIOR",C1203)),0,IF(ISNUMBER(FIND("SALDO DO DIA",C1203)),0,IF(ISNUMBER(FIND("SDO CTA/APL AUTOMATICAS",C1203)),0,IF(ISNUMBER(FIND("TEC DEPOSITO",C1203)),0,IF(ISNUMBER(FIND("APL APLIC AUT MAIS",C1203)),E1203,IF(E1203&gt;0,E1203,0))))))</f>
        <v>0</v>
      </c>
      <c r="H1203" s="96" t="n">
        <v>44136</v>
      </c>
    </row>
    <row r="1204" customFormat="false" ht="13.8" hidden="false" customHeight="false" outlineLevel="0" collapsed="false">
      <c r="A1204" s="59" t="s">
        <v>65</v>
      </c>
      <c r="B1204" s="41" t="s">
        <v>799</v>
      </c>
      <c r="C1204" s="105" t="s">
        <v>800</v>
      </c>
      <c r="D1204" s="103" t="s">
        <v>64</v>
      </c>
      <c r="E1204" s="106" t="n">
        <v>-3.5</v>
      </c>
      <c r="F1204" s="70" t="n">
        <f aca="false">IF(ISNUMBER(FIND("SALDO ANTERIOR",C1204)),0,IF(ISNUMBER(FIND("SALDO DO DIA",C1204)),0,IF(ISNUMBER(FIND("SALDO PARCIAL",C1204)),0,IF(ISNUMBER(FIND("SDO CTA/APL AUTOMATICAS",C1204)),0,IF(ISNUMBER(FIND("APL APLIC AUT MAIS",C1204)),0,IF(ISNUMBER(FIND("TEC DEPOSITO",C1204)),0,IF(E1204&gt;0,0,E1204*(-1))))))))</f>
        <v>3.5</v>
      </c>
      <c r="G1204" s="97" t="n">
        <f aca="false">IF(ISNUMBER(FIND("SALDO ANTERIOR",C1204)),0,IF(ISNUMBER(FIND("SALDO DO DIA",C1204)),0,IF(ISNUMBER(FIND("SDO CTA/APL AUTOMATICAS",C1204)),0,IF(ISNUMBER(FIND("TEC DEPOSITO",C1204)),0,IF(ISNUMBER(FIND("APL APLIC AUT MAIS",C1204)),E1204,IF(E1204&gt;0,E1204,0))))))</f>
        <v>0</v>
      </c>
      <c r="H1204" s="96" t="n">
        <v>44136</v>
      </c>
    </row>
    <row r="1205" customFormat="false" ht="13.8" hidden="false" customHeight="false" outlineLevel="0" collapsed="false">
      <c r="A1205" s="59" t="s">
        <v>59</v>
      </c>
      <c r="B1205" s="41" t="s">
        <v>799</v>
      </c>
      <c r="C1205" s="105" t="s">
        <v>801</v>
      </c>
      <c r="D1205" s="103" t="s">
        <v>580</v>
      </c>
      <c r="E1205" s="106" t="n">
        <v>-20</v>
      </c>
      <c r="F1205" s="70" t="n">
        <f aca="false">IF(ISNUMBER(FIND("SALDO ANTERIOR",C1205)),0,IF(ISNUMBER(FIND("SALDO DO DIA",C1205)),0,IF(ISNUMBER(FIND("SALDO PARCIAL",C1205)),0,IF(ISNUMBER(FIND("SDO CTA/APL AUTOMATICAS",C1205)),0,IF(ISNUMBER(FIND("APL APLIC AUT MAIS",C1205)),0,IF(ISNUMBER(FIND("TEC DEPOSITO",C1205)),0,IF(E1205&gt;0,0,E1205*(-1))))))))</f>
        <v>20</v>
      </c>
      <c r="G1205" s="97" t="n">
        <f aca="false">IF(ISNUMBER(FIND("SALDO ANTERIOR",C1205)),0,IF(ISNUMBER(FIND("SALDO DO DIA",C1205)),0,IF(ISNUMBER(FIND("SDO CTA/APL AUTOMATICAS",C1205)),0,IF(ISNUMBER(FIND("TEC DEPOSITO",C1205)),0,IF(ISNUMBER(FIND("APL APLIC AUT MAIS",C1205)),E1205,IF(E1205&gt;0,E1205,0))))))</f>
        <v>0</v>
      </c>
      <c r="H1205" s="96" t="n">
        <v>44136</v>
      </c>
    </row>
    <row r="1206" customFormat="false" ht="13.8" hidden="false" customHeight="false" outlineLevel="0" collapsed="false">
      <c r="A1206" s="59" t="s">
        <v>59</v>
      </c>
      <c r="B1206" s="41" t="s">
        <v>799</v>
      </c>
      <c r="C1206" s="105" t="s">
        <v>801</v>
      </c>
      <c r="D1206" s="103" t="s">
        <v>802</v>
      </c>
      <c r="E1206" s="106" t="n">
        <v>-20</v>
      </c>
      <c r="F1206" s="70" t="n">
        <f aca="false">IF(ISNUMBER(FIND("SALDO ANTERIOR",C1206)),0,IF(ISNUMBER(FIND("SALDO DO DIA",C1206)),0,IF(ISNUMBER(FIND("SALDO PARCIAL",C1206)),0,IF(ISNUMBER(FIND("SDO CTA/APL AUTOMATICAS",C1206)),0,IF(ISNUMBER(FIND("APL APLIC AUT MAIS",C1206)),0,IF(ISNUMBER(FIND("TEC DEPOSITO",C1206)),0,IF(E1206&gt;0,0,E1206*(-1))))))))</f>
        <v>20</v>
      </c>
      <c r="G1206" s="97" t="n">
        <f aca="false">IF(ISNUMBER(FIND("SALDO ANTERIOR",C1206)),0,IF(ISNUMBER(FIND("SALDO DO DIA",C1206)),0,IF(ISNUMBER(FIND("SDO CTA/APL AUTOMATICAS",C1206)),0,IF(ISNUMBER(FIND("TEC DEPOSITO",C1206)),0,IF(ISNUMBER(FIND("APL APLIC AUT MAIS",C1206)),E1206,IF(E1206&gt;0,E1206,0))))))</f>
        <v>0</v>
      </c>
      <c r="H1206" s="96" t="n">
        <v>44136</v>
      </c>
    </row>
    <row r="1207" customFormat="false" ht="13.8" hidden="false" customHeight="false" outlineLevel="0" collapsed="false">
      <c r="A1207" s="59" t="s">
        <v>45</v>
      </c>
      <c r="B1207" s="41" t="s">
        <v>799</v>
      </c>
      <c r="C1207" s="105" t="s">
        <v>803</v>
      </c>
      <c r="D1207" s="103" t="s">
        <v>804</v>
      </c>
      <c r="E1207" s="47" t="n">
        <v>20</v>
      </c>
      <c r="F1207" s="70" t="n">
        <f aca="false">IF(ISNUMBER(FIND("SALDO ANTERIOR",C1207)),0,IF(ISNUMBER(FIND("SALDO DO DIA",C1207)),0,IF(ISNUMBER(FIND("SALDO PARCIAL",C1207)),0,IF(ISNUMBER(FIND("SDO CTA/APL AUTOMATICAS",C1207)),0,IF(ISNUMBER(FIND("APL APLIC AUT MAIS",C1207)),0,IF(ISNUMBER(FIND("TEC DEPOSITO",C1207)),0,IF(E1207&gt;0,0,E1207*(-1))))))))</f>
        <v>0</v>
      </c>
      <c r="G1207" s="97" t="n">
        <f aca="false">IF(ISNUMBER(FIND("SALDO ANTERIOR",C1207)),0,IF(ISNUMBER(FIND("SALDO DO DIA",C1207)),0,IF(ISNUMBER(FIND("SDO CTA/APL AUTOMATICAS",C1207)),0,IF(ISNUMBER(FIND("TEC DEPOSITO",C1207)),0,IF(ISNUMBER(FIND("APL APLIC AUT MAIS",C1207)),E1207,IF(E1207&gt;0,E1207,0))))))</f>
        <v>20</v>
      </c>
      <c r="H1207" s="96" t="n">
        <v>44136</v>
      </c>
    </row>
    <row r="1208" customFormat="false" ht="13.8" hidden="false" customHeight="false" outlineLevel="0" collapsed="false">
      <c r="A1208" s="59" t="s">
        <v>45</v>
      </c>
      <c r="B1208" s="41" t="s">
        <v>799</v>
      </c>
      <c r="C1208" s="105" t="s">
        <v>803</v>
      </c>
      <c r="D1208" s="103" t="s">
        <v>729</v>
      </c>
      <c r="E1208" s="47" t="n">
        <v>20</v>
      </c>
      <c r="F1208" s="70" t="n">
        <f aca="false">IF(ISNUMBER(FIND("SALDO ANTERIOR",C1208)),0,IF(ISNUMBER(FIND("SALDO DO DIA",C1208)),0,IF(ISNUMBER(FIND("SALDO PARCIAL",C1208)),0,IF(ISNUMBER(FIND("SDO CTA/APL AUTOMATICAS",C1208)),0,IF(ISNUMBER(FIND("APL APLIC AUT MAIS",C1208)),0,IF(ISNUMBER(FIND("TEC DEPOSITO",C1208)),0,IF(E1208&gt;0,0,E1208*(-1))))))))</f>
        <v>0</v>
      </c>
      <c r="G1208" s="97" t="n">
        <f aca="false">IF(ISNUMBER(FIND("SALDO ANTERIOR",C1208)),0,IF(ISNUMBER(FIND("SALDO DO DIA",C1208)),0,IF(ISNUMBER(FIND("SDO CTA/APL AUTOMATICAS",C1208)),0,IF(ISNUMBER(FIND("TEC DEPOSITO",C1208)),0,IF(ISNUMBER(FIND("APL APLIC AUT MAIS",C1208)),E1208,IF(E1208&gt;0,E1208,0))))))</f>
        <v>20</v>
      </c>
      <c r="H1208" s="96" t="n">
        <v>44136</v>
      </c>
    </row>
    <row r="1209" customFormat="false" ht="15" hidden="false" customHeight="false" outlineLevel="0" collapsed="false">
      <c r="A1209" s="59" t="s">
        <v>29</v>
      </c>
      <c r="B1209" s="41" t="s">
        <v>799</v>
      </c>
      <c r="C1209" s="102" t="s">
        <v>521</v>
      </c>
      <c r="D1209" s="103"/>
      <c r="E1209" s="107" t="n">
        <v>148.71</v>
      </c>
      <c r="F1209" s="70" t="n">
        <f aca="false">IF(ISNUMBER(FIND("SALDO ANTERIOR",C1209)),0,IF(ISNUMBER(FIND("SALDO DO DIA",C1209)),0,IF(ISNUMBER(FIND("SALDO PARCIAL",C1209)),0,IF(ISNUMBER(FIND("SDO CTA/APL AUTOMATICAS",C1209)),0,IF(ISNUMBER(FIND("APL APLIC AUT MAIS",C1209)),0,IF(ISNUMBER(FIND("TEC DEPOSITO",C1209)),0,IF(E1209&gt;0,0,E1209*(-1))))))))</f>
        <v>0</v>
      </c>
      <c r="G1209" s="97" t="n">
        <f aca="false">IF(ISNUMBER(FIND("SALDO ANTERIOR",C1209)),0,IF(ISNUMBER(FIND("SALDO DO DIA",C1209)),0,IF(ISNUMBER(FIND("SDO CTA/APL AUTOMATICAS",C1209)),0,IF(ISNUMBER(FIND("TEC DEPOSITO",C1209)),0,IF(ISNUMBER(FIND("APL APLIC AUT MAIS",C1209)),E1209,IF(E1209&gt;0,E1209,0))))))</f>
        <v>0</v>
      </c>
      <c r="H1209" s="96" t="n">
        <v>44136</v>
      </c>
    </row>
    <row r="1210" customFormat="false" ht="13.8" hidden="false" customHeight="false" outlineLevel="0" collapsed="false">
      <c r="A1210" s="59" t="s">
        <v>59</v>
      </c>
      <c r="B1210" s="41" t="s">
        <v>805</v>
      </c>
      <c r="C1210" s="105" t="s">
        <v>806</v>
      </c>
      <c r="D1210" s="103" t="s">
        <v>61</v>
      </c>
      <c r="E1210" s="106" t="n">
        <v>-20</v>
      </c>
      <c r="F1210" s="70" t="n">
        <f aca="false">IF(ISNUMBER(FIND("SALDO ANTERIOR",C1210)),0,IF(ISNUMBER(FIND("SALDO DO DIA",C1210)),0,IF(ISNUMBER(FIND("SALDO PARCIAL",C1210)),0,IF(ISNUMBER(FIND("SDO CTA/APL AUTOMATICAS",C1210)),0,IF(ISNUMBER(FIND("APL APLIC AUT MAIS",C1210)),0,IF(ISNUMBER(FIND("TEC DEPOSITO",C1210)),0,IF(E1210&gt;0,0,E1210*(-1))))))))</f>
        <v>20</v>
      </c>
      <c r="G1210" s="97" t="n">
        <f aca="false">IF(ISNUMBER(FIND("SALDO ANTERIOR",C1210)),0,IF(ISNUMBER(FIND("SALDO DO DIA",C1210)),0,IF(ISNUMBER(FIND("SDO CTA/APL AUTOMATICAS",C1210)),0,IF(ISNUMBER(FIND("TEC DEPOSITO",C1210)),0,IF(ISNUMBER(FIND("APL APLIC AUT MAIS",C1210)),E1210,IF(E1210&gt;0,E1210,0))))))</f>
        <v>0</v>
      </c>
      <c r="H1210" s="96" t="n">
        <v>44136</v>
      </c>
    </row>
    <row r="1211" customFormat="false" ht="13.8" hidden="false" customHeight="false" outlineLevel="0" collapsed="false">
      <c r="A1211" s="59" t="s">
        <v>532</v>
      </c>
      <c r="B1211" s="41" t="s">
        <v>805</v>
      </c>
      <c r="C1211" s="105" t="s">
        <v>533</v>
      </c>
      <c r="D1211" s="103" t="s">
        <v>64</v>
      </c>
      <c r="E1211" s="106" t="n">
        <v>-12</v>
      </c>
      <c r="F1211" s="70" t="n">
        <f aca="false">IF(ISNUMBER(FIND("SALDO ANTERIOR",C1211)),0,IF(ISNUMBER(FIND("SALDO DO DIA",C1211)),0,IF(ISNUMBER(FIND("SALDO PARCIAL",C1211)),0,IF(ISNUMBER(FIND("SDO CTA/APL AUTOMATICAS",C1211)),0,IF(ISNUMBER(FIND("APL APLIC AUT MAIS",C1211)),0,IF(ISNUMBER(FIND("TEC DEPOSITO",C1211)),0,IF(E1211&gt;0,0,E1211*(-1))))))))</f>
        <v>12</v>
      </c>
      <c r="G1211" s="97" t="n">
        <f aca="false">IF(ISNUMBER(FIND("SALDO ANTERIOR",C1211)),0,IF(ISNUMBER(FIND("SALDO DO DIA",C1211)),0,IF(ISNUMBER(FIND("SDO CTA/APL AUTOMATICAS",C1211)),0,IF(ISNUMBER(FIND("TEC DEPOSITO",C1211)),0,IF(ISNUMBER(FIND("APL APLIC AUT MAIS",C1211)),E1211,IF(E1211&gt;0,E1211,0))))))</f>
        <v>0</v>
      </c>
      <c r="H1211" s="96" t="n">
        <v>44136</v>
      </c>
    </row>
    <row r="1212" customFormat="false" ht="13.8" hidden="false" customHeight="false" outlineLevel="0" collapsed="false">
      <c r="A1212" s="59" t="s">
        <v>98</v>
      </c>
      <c r="B1212" s="41" t="s">
        <v>805</v>
      </c>
      <c r="C1212" s="105" t="s">
        <v>743</v>
      </c>
      <c r="D1212" s="103" t="s">
        <v>64</v>
      </c>
      <c r="E1212" s="106" t="n">
        <v>-71.42</v>
      </c>
      <c r="F1212" s="70" t="n">
        <f aca="false">IF(ISNUMBER(FIND("SALDO ANTERIOR",C1212)),0,IF(ISNUMBER(FIND("SALDO DO DIA",C1212)),0,IF(ISNUMBER(FIND("SALDO PARCIAL",C1212)),0,IF(ISNUMBER(FIND("SDO CTA/APL AUTOMATICAS",C1212)),0,IF(ISNUMBER(FIND("APL APLIC AUT MAIS",C1212)),0,IF(ISNUMBER(FIND("TEC DEPOSITO",C1212)),0,IF(E1212&gt;0,0,E1212*(-1))))))))</f>
        <v>71.42</v>
      </c>
      <c r="G1212" s="97" t="n">
        <f aca="false">IF(ISNUMBER(FIND("SALDO ANTERIOR",C1212)),0,IF(ISNUMBER(FIND("SALDO DO DIA",C1212)),0,IF(ISNUMBER(FIND("SDO CTA/APL AUTOMATICAS",C1212)),0,IF(ISNUMBER(FIND("TEC DEPOSITO",C1212)),0,IF(ISNUMBER(FIND("APL APLIC AUT MAIS",C1212)),E1212,IF(E1212&gt;0,E1212,0))))))</f>
        <v>0</v>
      </c>
      <c r="H1212" s="96" t="n">
        <v>44136</v>
      </c>
    </row>
    <row r="1213" customFormat="false" ht="13.8" hidden="false" customHeight="false" outlineLevel="0" collapsed="false">
      <c r="A1213" s="59" t="s">
        <v>5</v>
      </c>
      <c r="B1213" s="41" t="s">
        <v>805</v>
      </c>
      <c r="C1213" s="105" t="s">
        <v>46</v>
      </c>
      <c r="D1213" s="103"/>
      <c r="E1213" s="47" t="n">
        <v>5</v>
      </c>
      <c r="F1213" s="70" t="n">
        <f aca="false">IF(ISNUMBER(FIND("SALDO ANTERIOR",C1213)),0,IF(ISNUMBER(FIND("SALDO DO DIA",C1213)),0,IF(ISNUMBER(FIND("SALDO PARCIAL",C1213)),0,IF(ISNUMBER(FIND("SDO CTA/APL AUTOMATICAS",C1213)),0,IF(ISNUMBER(FIND("APL APLIC AUT MAIS",C1213)),0,IF(ISNUMBER(FIND("TEC DEPOSITO",C1213)),0,IF(E1213&gt;0,0,E1213*(-1))))))))</f>
        <v>0</v>
      </c>
      <c r="G1213" s="97" t="n">
        <f aca="false">IF(ISNUMBER(FIND("SALDO ANTERIOR",C1213)),0,IF(ISNUMBER(FIND("SALDO DO DIA",C1213)),0,IF(ISNUMBER(FIND("SDO CTA/APL AUTOMATICAS",C1213)),0,IF(ISNUMBER(FIND("TEC DEPOSITO",C1213)),0,IF(ISNUMBER(FIND("APL APLIC AUT MAIS",C1213)),E1213,IF(E1213&gt;0,E1213,0))))))</f>
        <v>5</v>
      </c>
      <c r="H1213" s="96" t="n">
        <v>44136</v>
      </c>
    </row>
    <row r="1214" customFormat="false" ht="15" hidden="false" customHeight="false" outlineLevel="0" collapsed="false">
      <c r="A1214" s="59" t="s">
        <v>29</v>
      </c>
      <c r="B1214" s="41" t="s">
        <v>805</v>
      </c>
      <c r="C1214" s="102" t="s">
        <v>521</v>
      </c>
      <c r="D1214" s="103"/>
      <c r="E1214" s="107" t="n">
        <v>50.29</v>
      </c>
      <c r="F1214" s="70" t="n">
        <f aca="false">IF(ISNUMBER(FIND("SALDO ANTERIOR",C1214)),0,IF(ISNUMBER(FIND("SALDO DO DIA",C1214)),0,IF(ISNUMBER(FIND("SALDO PARCIAL",C1214)),0,IF(ISNUMBER(FIND("SDO CTA/APL AUTOMATICAS",C1214)),0,IF(ISNUMBER(FIND("APL APLIC AUT MAIS",C1214)),0,IF(ISNUMBER(FIND("TEC DEPOSITO",C1214)),0,IF(E1214&gt;0,0,E1214*(-1))))))))</f>
        <v>0</v>
      </c>
      <c r="G1214" s="97" t="n">
        <f aca="false">IF(ISNUMBER(FIND("SALDO ANTERIOR",C1214)),0,IF(ISNUMBER(FIND("SALDO DO DIA",C1214)),0,IF(ISNUMBER(FIND("SDO CTA/APL AUTOMATICAS",C1214)),0,IF(ISNUMBER(FIND("TEC DEPOSITO",C1214)),0,IF(ISNUMBER(FIND("APL APLIC AUT MAIS",C1214)),E1214,IF(E1214&gt;0,E1214,0))))))</f>
        <v>0</v>
      </c>
      <c r="H1214" s="96" t="n">
        <v>44136</v>
      </c>
    </row>
    <row r="1215" customFormat="false" ht="13.8" hidden="false" customHeight="false" outlineLevel="0" collapsed="false">
      <c r="A1215" s="59" t="s">
        <v>203</v>
      </c>
      <c r="B1215" s="41" t="s">
        <v>807</v>
      </c>
      <c r="C1215" s="105" t="s">
        <v>808</v>
      </c>
      <c r="D1215" s="103" t="s">
        <v>478</v>
      </c>
      <c r="E1215" s="106" t="n">
        <v>-100</v>
      </c>
      <c r="F1215" s="70" t="n">
        <f aca="false">IF(ISNUMBER(FIND("SALDO ANTERIOR",C1215)),0,IF(ISNUMBER(FIND("SALDO DO DIA",C1215)),0,IF(ISNUMBER(FIND("SALDO PARCIAL",C1215)),0,IF(ISNUMBER(FIND("SDO CTA/APL AUTOMATICAS",C1215)),0,IF(ISNUMBER(FIND("APL APLIC AUT MAIS",C1215)),0,IF(ISNUMBER(FIND("TEC DEPOSITO",C1215)),0,IF(E1215&gt;0,0,E1215*(-1))))))))</f>
        <v>100</v>
      </c>
      <c r="G1215" s="97" t="n">
        <f aca="false">IF(ISNUMBER(FIND("SALDO ANTERIOR",C1215)),0,IF(ISNUMBER(FIND("SALDO DO DIA",C1215)),0,IF(ISNUMBER(FIND("SDO CTA/APL AUTOMATICAS",C1215)),0,IF(ISNUMBER(FIND("TEC DEPOSITO",C1215)),0,IF(ISNUMBER(FIND("APL APLIC AUT MAIS",C1215)),E1215,IF(E1215&gt;0,E1215,0))))))</f>
        <v>0</v>
      </c>
      <c r="H1215" s="96" t="n">
        <v>44136</v>
      </c>
    </row>
    <row r="1216" customFormat="false" ht="13.8" hidden="false" customHeight="false" outlineLevel="0" collapsed="false">
      <c r="A1216" s="59" t="s">
        <v>35</v>
      </c>
      <c r="B1216" s="41" t="s">
        <v>807</v>
      </c>
      <c r="C1216" s="105" t="s">
        <v>168</v>
      </c>
      <c r="D1216" s="103" t="s">
        <v>61</v>
      </c>
      <c r="E1216" s="106" t="n">
        <v>-1000</v>
      </c>
      <c r="F1216" s="70" t="n">
        <f aca="false">IF(ISNUMBER(FIND("SALDO ANTERIOR",C1216)),0,IF(ISNUMBER(FIND("SALDO DO DIA",C1216)),0,IF(ISNUMBER(FIND("SALDO PARCIAL",C1216)),0,IF(ISNUMBER(FIND("SDO CTA/APL AUTOMATICAS",C1216)),0,IF(ISNUMBER(FIND("APL APLIC AUT MAIS",C1216)),0,IF(ISNUMBER(FIND("TEC DEPOSITO",C1216)),0,IF(E1216&gt;0,0,E1216*(-1))))))))</f>
        <v>1000</v>
      </c>
      <c r="G1216" s="97" t="n">
        <f aca="false">IF(ISNUMBER(FIND("SALDO ANTERIOR",C1216)),0,IF(ISNUMBER(FIND("SALDO DO DIA",C1216)),0,IF(ISNUMBER(FIND("SDO CTA/APL AUTOMATICAS",C1216)),0,IF(ISNUMBER(FIND("TEC DEPOSITO",C1216)),0,IF(ISNUMBER(FIND("APL APLIC AUT MAIS",C1216)),E1216,IF(E1216&gt;0,E1216,0))))))</f>
        <v>0</v>
      </c>
      <c r="H1216" s="96" t="n">
        <v>44136</v>
      </c>
    </row>
    <row r="1217" customFormat="false" ht="13.8" hidden="false" customHeight="false" outlineLevel="0" collapsed="false">
      <c r="A1217" s="59" t="s">
        <v>76</v>
      </c>
      <c r="B1217" s="41" t="s">
        <v>807</v>
      </c>
      <c r="C1217" s="105" t="s">
        <v>240</v>
      </c>
      <c r="D1217" s="103" t="s">
        <v>64</v>
      </c>
      <c r="E1217" s="106" t="n">
        <v>-11.9</v>
      </c>
      <c r="F1217" s="70" t="n">
        <f aca="false">IF(ISNUMBER(FIND("SALDO ANTERIOR",C1217)),0,IF(ISNUMBER(FIND("SALDO DO DIA",C1217)),0,IF(ISNUMBER(FIND("SALDO PARCIAL",C1217)),0,IF(ISNUMBER(FIND("SDO CTA/APL AUTOMATICAS",C1217)),0,IF(ISNUMBER(FIND("APL APLIC AUT MAIS",C1217)),0,IF(ISNUMBER(FIND("TEC DEPOSITO",C1217)),0,IF(E1217&gt;0,0,E1217*(-1))))))))</f>
        <v>11.9</v>
      </c>
      <c r="G1217" s="97" t="n">
        <f aca="false">IF(ISNUMBER(FIND("SALDO ANTERIOR",C1217)),0,IF(ISNUMBER(FIND("SALDO DO DIA",C1217)),0,IF(ISNUMBER(FIND("SDO CTA/APL AUTOMATICAS",C1217)),0,IF(ISNUMBER(FIND("TEC DEPOSITO",C1217)),0,IF(ISNUMBER(FIND("APL APLIC AUT MAIS",C1217)),E1217,IF(E1217&gt;0,E1217,0))))))</f>
        <v>0</v>
      </c>
      <c r="H1217" s="96" t="n">
        <v>44136</v>
      </c>
    </row>
    <row r="1218" customFormat="false" ht="13.8" hidden="false" customHeight="false" outlineLevel="0" collapsed="false">
      <c r="A1218" s="59" t="s">
        <v>76</v>
      </c>
      <c r="B1218" s="41" t="s">
        <v>807</v>
      </c>
      <c r="C1218" s="105" t="s">
        <v>809</v>
      </c>
      <c r="D1218" s="103" t="s">
        <v>64</v>
      </c>
      <c r="E1218" s="106" t="n">
        <v>-46.4</v>
      </c>
      <c r="F1218" s="70" t="n">
        <f aca="false">IF(ISNUMBER(FIND("SALDO ANTERIOR",C1218)),0,IF(ISNUMBER(FIND("SALDO DO DIA",C1218)),0,IF(ISNUMBER(FIND("SALDO PARCIAL",C1218)),0,IF(ISNUMBER(FIND("SDO CTA/APL AUTOMATICAS",C1218)),0,IF(ISNUMBER(FIND("APL APLIC AUT MAIS",C1218)),0,IF(ISNUMBER(FIND("TEC DEPOSITO",C1218)),0,IF(E1218&gt;0,0,E1218*(-1))))))))</f>
        <v>46.4</v>
      </c>
      <c r="G1218" s="97" t="n">
        <f aca="false">IF(ISNUMBER(FIND("SALDO ANTERIOR",C1218)),0,IF(ISNUMBER(FIND("SALDO DO DIA",C1218)),0,IF(ISNUMBER(FIND("SDO CTA/APL AUTOMATICAS",C1218)),0,IF(ISNUMBER(FIND("TEC DEPOSITO",C1218)),0,IF(ISNUMBER(FIND("APL APLIC AUT MAIS",C1218)),E1218,IF(E1218&gt;0,E1218,0))))))</f>
        <v>0</v>
      </c>
      <c r="H1218" s="96" t="n">
        <v>44136</v>
      </c>
    </row>
    <row r="1219" customFormat="false" ht="13.8" hidden="false" customHeight="false" outlineLevel="0" collapsed="false">
      <c r="A1219" s="59" t="s">
        <v>65</v>
      </c>
      <c r="B1219" s="41" t="s">
        <v>807</v>
      </c>
      <c r="C1219" s="105" t="s">
        <v>454</v>
      </c>
      <c r="D1219" s="103" t="s">
        <v>64</v>
      </c>
      <c r="E1219" s="106" t="n">
        <v>-21.94</v>
      </c>
      <c r="F1219" s="70" t="n">
        <f aca="false">IF(ISNUMBER(FIND("SALDO ANTERIOR",C1219)),0,IF(ISNUMBER(FIND("SALDO DO DIA",C1219)),0,IF(ISNUMBER(FIND("SALDO PARCIAL",C1219)),0,IF(ISNUMBER(FIND("SDO CTA/APL AUTOMATICAS",C1219)),0,IF(ISNUMBER(FIND("APL APLIC AUT MAIS",C1219)),0,IF(ISNUMBER(FIND("TEC DEPOSITO",C1219)),0,IF(E1219&gt;0,0,E1219*(-1))))))))</f>
        <v>21.94</v>
      </c>
      <c r="G1219" s="97" t="n">
        <f aca="false">IF(ISNUMBER(FIND("SALDO ANTERIOR",C1219)),0,IF(ISNUMBER(FIND("SALDO DO DIA",C1219)),0,IF(ISNUMBER(FIND("SDO CTA/APL AUTOMATICAS",C1219)),0,IF(ISNUMBER(FIND("TEC DEPOSITO",C1219)),0,IF(ISNUMBER(FIND("APL APLIC AUT MAIS",C1219)),E1219,IF(E1219&gt;0,E1219,0))))))</f>
        <v>0</v>
      </c>
      <c r="H1219" s="96" t="n">
        <v>44136</v>
      </c>
    </row>
    <row r="1220" customFormat="false" ht="13.8" hidden="false" customHeight="false" outlineLevel="0" collapsed="false">
      <c r="A1220" s="59" t="s">
        <v>316</v>
      </c>
      <c r="B1220" s="41" t="s">
        <v>807</v>
      </c>
      <c r="C1220" s="105" t="s">
        <v>479</v>
      </c>
      <c r="D1220" s="103" t="s">
        <v>64</v>
      </c>
      <c r="E1220" s="106" t="n">
        <v>-50</v>
      </c>
      <c r="F1220" s="70" t="n">
        <f aca="false">IF(ISNUMBER(FIND("SALDO ANTERIOR",C1220)),0,IF(ISNUMBER(FIND("SALDO DO DIA",C1220)),0,IF(ISNUMBER(FIND("SALDO PARCIAL",C1220)),0,IF(ISNUMBER(FIND("SDO CTA/APL AUTOMATICAS",C1220)),0,IF(ISNUMBER(FIND("APL APLIC AUT MAIS",C1220)),0,IF(ISNUMBER(FIND("TEC DEPOSITO",C1220)),0,IF(E1220&gt;0,0,E1220*(-1))))))))</f>
        <v>50</v>
      </c>
      <c r="G1220" s="97" t="n">
        <f aca="false">IF(ISNUMBER(FIND("SALDO ANTERIOR",C1220)),0,IF(ISNUMBER(FIND("SALDO DO DIA",C1220)),0,IF(ISNUMBER(FIND("SDO CTA/APL AUTOMATICAS",C1220)),0,IF(ISNUMBER(FIND("TEC DEPOSITO",C1220)),0,IF(ISNUMBER(FIND("APL APLIC AUT MAIS",C1220)),E1220,IF(E1220&gt;0,E1220,0))))))</f>
        <v>0</v>
      </c>
      <c r="H1220" s="96" t="n">
        <v>44136</v>
      </c>
    </row>
    <row r="1221" customFormat="false" ht="13.8" hidden="false" customHeight="false" outlineLevel="0" collapsed="false">
      <c r="A1221" s="59" t="s">
        <v>810</v>
      </c>
      <c r="B1221" s="41" t="s">
        <v>807</v>
      </c>
      <c r="C1221" s="105" t="s">
        <v>811</v>
      </c>
      <c r="D1221" s="103" t="s">
        <v>64</v>
      </c>
      <c r="E1221" s="106" t="n">
        <v>-9</v>
      </c>
      <c r="F1221" s="70" t="n">
        <f aca="false">IF(ISNUMBER(FIND("SALDO ANTERIOR",C1221)),0,IF(ISNUMBER(FIND("SALDO DO DIA",C1221)),0,IF(ISNUMBER(FIND("SALDO PARCIAL",C1221)),0,IF(ISNUMBER(FIND("SDO CTA/APL AUTOMATICAS",C1221)),0,IF(ISNUMBER(FIND("APL APLIC AUT MAIS",C1221)),0,IF(ISNUMBER(FIND("TEC DEPOSITO",C1221)),0,IF(E1221&gt;0,0,E1221*(-1))))))))</f>
        <v>9</v>
      </c>
      <c r="G1221" s="97" t="n">
        <f aca="false">IF(ISNUMBER(FIND("SALDO ANTERIOR",C1221)),0,IF(ISNUMBER(FIND("SALDO DO DIA",C1221)),0,IF(ISNUMBER(FIND("SDO CTA/APL AUTOMATICAS",C1221)),0,IF(ISNUMBER(FIND("TEC DEPOSITO",C1221)),0,IF(ISNUMBER(FIND("APL APLIC AUT MAIS",C1221)),E1221,IF(E1221&gt;0,E1221,0))))))</f>
        <v>0</v>
      </c>
      <c r="H1221" s="96" t="n">
        <v>44136</v>
      </c>
    </row>
    <row r="1222" customFormat="false" ht="13.8" hidden="false" customHeight="false" outlineLevel="0" collapsed="false">
      <c r="A1222" s="59" t="s">
        <v>181</v>
      </c>
      <c r="B1222" s="41" t="s">
        <v>807</v>
      </c>
      <c r="C1222" s="105" t="s">
        <v>812</v>
      </c>
      <c r="D1222" s="103" t="s">
        <v>61</v>
      </c>
      <c r="E1222" s="106" t="n">
        <v>-170</v>
      </c>
      <c r="F1222" s="70" t="n">
        <f aca="false">IF(ISNUMBER(FIND("SALDO ANTERIOR",C1222)),0,IF(ISNUMBER(FIND("SALDO DO DIA",C1222)),0,IF(ISNUMBER(FIND("SALDO PARCIAL",C1222)),0,IF(ISNUMBER(FIND("SDO CTA/APL AUTOMATICAS",C1222)),0,IF(ISNUMBER(FIND("APL APLIC AUT MAIS",C1222)),0,IF(ISNUMBER(FIND("TEC DEPOSITO",C1222)),0,IF(E1222&gt;0,0,E1222*(-1))))))))</f>
        <v>170</v>
      </c>
      <c r="G1222" s="97" t="n">
        <f aca="false">IF(ISNUMBER(FIND("SALDO ANTERIOR",C1222)),0,IF(ISNUMBER(FIND("SALDO DO DIA",C1222)),0,IF(ISNUMBER(FIND("SDO CTA/APL AUTOMATICAS",C1222)),0,IF(ISNUMBER(FIND("TEC DEPOSITO",C1222)),0,IF(ISNUMBER(FIND("APL APLIC AUT MAIS",C1222)),E1222,IF(E1222&gt;0,E1222,0))))))</f>
        <v>0</v>
      </c>
      <c r="H1222" s="96" t="n">
        <v>44136</v>
      </c>
    </row>
    <row r="1223" customFormat="false" ht="13.8" hidden="false" customHeight="false" outlineLevel="0" collapsed="false">
      <c r="A1223" s="59" t="s">
        <v>813</v>
      </c>
      <c r="B1223" s="41" t="s">
        <v>807</v>
      </c>
      <c r="C1223" s="105" t="s">
        <v>814</v>
      </c>
      <c r="D1223" s="103" t="s">
        <v>61</v>
      </c>
      <c r="E1223" s="106" t="n">
        <v>-500</v>
      </c>
      <c r="F1223" s="70" t="n">
        <f aca="false">IF(ISNUMBER(FIND("SALDO ANTERIOR",C1223)),0,IF(ISNUMBER(FIND("SALDO DO DIA",C1223)),0,IF(ISNUMBER(FIND("SALDO PARCIAL",C1223)),0,IF(ISNUMBER(FIND("SDO CTA/APL AUTOMATICAS",C1223)),0,IF(ISNUMBER(FIND("APL APLIC AUT MAIS",C1223)),0,IF(ISNUMBER(FIND("TEC DEPOSITO",C1223)),0,IF(E1223&gt;0,0,E1223*(-1))))))))</f>
        <v>500</v>
      </c>
      <c r="G1223" s="97" t="n">
        <f aca="false">IF(ISNUMBER(FIND("SALDO ANTERIOR",C1223)),0,IF(ISNUMBER(FIND("SALDO DO DIA",C1223)),0,IF(ISNUMBER(FIND("SDO CTA/APL AUTOMATICAS",C1223)),0,IF(ISNUMBER(FIND("TEC DEPOSITO",C1223)),0,IF(ISNUMBER(FIND("APL APLIC AUT MAIS",C1223)),E1223,IF(E1223&gt;0,E1223,0))))))</f>
        <v>0</v>
      </c>
      <c r="H1223" s="96" t="n">
        <v>44136</v>
      </c>
    </row>
    <row r="1224" customFormat="false" ht="13.8" hidden="false" customHeight="false" outlineLevel="0" collapsed="false">
      <c r="A1224" s="59" t="s">
        <v>127</v>
      </c>
      <c r="B1224" s="41" t="s">
        <v>807</v>
      </c>
      <c r="C1224" s="105" t="s">
        <v>128</v>
      </c>
      <c r="D1224" s="103"/>
      <c r="E1224" s="47" t="n">
        <v>3075.09</v>
      </c>
      <c r="F1224" s="70" t="n">
        <f aca="false">IF(ISNUMBER(FIND("SALDO ANTERIOR",C1224)),0,IF(ISNUMBER(FIND("SALDO DO DIA",C1224)),0,IF(ISNUMBER(FIND("SALDO PARCIAL",C1224)),0,IF(ISNUMBER(FIND("SDO CTA/APL AUTOMATICAS",C1224)),0,IF(ISNUMBER(FIND("APL APLIC AUT MAIS",C1224)),0,IF(ISNUMBER(FIND("TEC DEPOSITO",C1224)),0,IF(E1224&gt;0,0,E1224*(-1))))))))</f>
        <v>0</v>
      </c>
      <c r="G1224" s="97" t="n">
        <f aca="false">IF(ISNUMBER(FIND("SALDO ANTERIOR",C1224)),0,IF(ISNUMBER(FIND("SALDO DO DIA",C1224)),0,IF(ISNUMBER(FIND("SDO CTA/APL AUTOMATICAS",C1224)),0,IF(ISNUMBER(FIND("TEC DEPOSITO",C1224)),0,IF(ISNUMBER(FIND("APL APLIC AUT MAIS",C1224)),E1224,IF(E1224&gt;0,E1224,0))))))</f>
        <v>3075.09</v>
      </c>
      <c r="H1224" s="96" t="n">
        <v>44136</v>
      </c>
    </row>
    <row r="1225" customFormat="false" ht="15" hidden="false" customHeight="false" outlineLevel="0" collapsed="false">
      <c r="A1225" s="59" t="s">
        <v>29</v>
      </c>
      <c r="B1225" s="41" t="s">
        <v>807</v>
      </c>
      <c r="C1225" s="102" t="s">
        <v>521</v>
      </c>
      <c r="D1225" s="103"/>
      <c r="E1225" s="107" t="n">
        <v>1216.14</v>
      </c>
      <c r="F1225" s="70" t="n">
        <f aca="false">IF(ISNUMBER(FIND("SALDO ANTERIOR",C1225)),0,IF(ISNUMBER(FIND("SALDO DO DIA",C1225)),0,IF(ISNUMBER(FIND("SALDO PARCIAL",C1225)),0,IF(ISNUMBER(FIND("SDO CTA/APL AUTOMATICAS",C1225)),0,IF(ISNUMBER(FIND("APL APLIC AUT MAIS",C1225)),0,IF(ISNUMBER(FIND("TEC DEPOSITO",C1225)),0,IF(E1225&gt;0,0,E1225*(-1))))))))</f>
        <v>0</v>
      </c>
      <c r="G1225" s="97" t="n">
        <f aca="false">IF(ISNUMBER(FIND("SALDO ANTERIOR",C1225)),0,IF(ISNUMBER(FIND("SALDO DO DIA",C1225)),0,IF(ISNUMBER(FIND("SDO CTA/APL AUTOMATICAS",C1225)),0,IF(ISNUMBER(FIND("TEC DEPOSITO",C1225)),0,IF(ISNUMBER(FIND("APL APLIC AUT MAIS",C1225)),E1225,IF(E1225&gt;0,E1225,0))))))</f>
        <v>0</v>
      </c>
      <c r="H1225" s="96" t="n">
        <v>44136</v>
      </c>
    </row>
    <row r="1226" customFormat="false" ht="15" hidden="false" customHeight="false" outlineLevel="0" collapsed="false">
      <c r="A1226" s="59" t="s">
        <v>29</v>
      </c>
      <c r="B1226" s="41" t="s">
        <v>807</v>
      </c>
      <c r="C1226" s="102" t="s">
        <v>494</v>
      </c>
      <c r="D1226" s="103"/>
      <c r="E1226" s="107" t="n">
        <v>10</v>
      </c>
      <c r="F1226" s="70" t="n">
        <f aca="false">IF(ISNUMBER(FIND("SALDO ANTERIOR",C1226)),0,IF(ISNUMBER(FIND("SALDO DO DIA",C1226)),0,IF(ISNUMBER(FIND("SALDO PARCIAL",C1226)),0,IF(ISNUMBER(FIND("SDO CTA/APL AUTOMATICAS",C1226)),0,IF(ISNUMBER(FIND("APL APLIC AUT MAIS",C1226)),0,IF(ISNUMBER(FIND("TEC DEPOSITO",C1226)),0,IF(E1226&gt;0,0,E1226*(-1))))))))</f>
        <v>0</v>
      </c>
      <c r="G1226" s="97" t="n">
        <f aca="false">IF(ISNUMBER(FIND("SALDO ANTERIOR",C1226)),0,IF(ISNUMBER(FIND("SALDO DO DIA",C1226)),0,IF(ISNUMBER(FIND("SDO CTA/APL AUTOMATICAS",C1226)),0,IF(ISNUMBER(FIND("TEC DEPOSITO",C1226)),0,IF(ISNUMBER(FIND("APL APLIC AUT MAIS",C1226)),E1226,IF(E1226&gt;0,E1226,0))))))</f>
        <v>0</v>
      </c>
      <c r="H1226" s="96" t="n">
        <v>44136</v>
      </c>
    </row>
    <row r="1227" customFormat="false" ht="15" hidden="false" customHeight="false" outlineLevel="0" collapsed="false">
      <c r="A1227" s="59" t="s">
        <v>29</v>
      </c>
      <c r="B1227" s="74" t="s">
        <v>807</v>
      </c>
      <c r="C1227" s="108" t="s">
        <v>111</v>
      </c>
      <c r="D1227" s="76"/>
      <c r="E1227" s="93" t="n">
        <v>1216.14</v>
      </c>
      <c r="F1227" s="70" t="n">
        <f aca="false">IF(ISNUMBER(FIND("SALDO ANTERIOR",C1227)),0,IF(ISNUMBER(FIND("SALDO DO DIA",C1227)),0,IF(ISNUMBER(FIND("SALDO PARCIAL",C1227)),0,IF(ISNUMBER(FIND("SDO CTA/APL AUTOMATICAS",C1227)),0,IF(ISNUMBER(FIND("APL APLIC AUT MAIS",C1227)),0,IF(ISNUMBER(FIND("TEC DEPOSITO",C1227)),0,IF(E1227&gt;0,0,E1227*(-1))))))))</f>
        <v>0</v>
      </c>
      <c r="G1227" s="97" t="n">
        <f aca="false">IF(ISNUMBER(FIND("SALDO ANTERIOR",C1227)),0,IF(ISNUMBER(FIND("SALDO DO DIA",C1227)),0,IF(ISNUMBER(FIND("SDO CTA/APL AUTOMATICAS",C1227)),0,IF(ISNUMBER(FIND("TEC DEPOSITO",C1227)),0,IF(ISNUMBER(FIND("APL APLIC AUT MAIS",C1227)),E1227,IF(E1227&gt;0,E1227,0))))))</f>
        <v>0</v>
      </c>
      <c r="H1227" s="96" t="n">
        <v>44166</v>
      </c>
    </row>
    <row r="1228" customFormat="false" ht="17" hidden="false" customHeight="false" outlineLevel="0" collapsed="false">
      <c r="A1228" s="59" t="s">
        <v>29</v>
      </c>
      <c r="B1228" s="109" t="s">
        <v>815</v>
      </c>
      <c r="C1228" s="110" t="s">
        <v>521</v>
      </c>
      <c r="D1228" s="111"/>
      <c r="E1228" s="112" t="n">
        <v>1216.14</v>
      </c>
      <c r="F1228" s="70" t="n">
        <f aca="false">IF(ISNUMBER(FIND("SALDO ANTERIOR",C1228)),0,IF(ISNUMBER(FIND("SALDO DO DIA",C1228)),0,IF(ISNUMBER(FIND("SALDO PARCIAL",C1228)),0,IF(ISNUMBER(FIND("SDO CTA/APL AUTOMATICAS",C1228)),0,IF(ISNUMBER(FIND("APL APLIC AUT MAIS",C1228)),0,IF(ISNUMBER(FIND("TEC DEPOSITO",C1228)),0,IF(E1228&gt;0,0,E1228*(-1))))))))</f>
        <v>0</v>
      </c>
      <c r="G1228" s="97" t="n">
        <f aca="false">IF(ISNUMBER(FIND("SALDO ANTERIOR",C1228)),0,IF(ISNUMBER(FIND("SALDO DO DIA",C1228)),0,IF(ISNUMBER(FIND("SDO CTA/APL AUTOMATICAS",C1228)),0,IF(ISNUMBER(FIND("TEC DEPOSITO",C1228)),0,IF(ISNUMBER(FIND("APL APLIC AUT MAIS",C1228)),E1228,IF(E1228&gt;0,E1228,0))))))</f>
        <v>0</v>
      </c>
      <c r="H1228" s="96" t="n">
        <v>44166</v>
      </c>
    </row>
    <row r="1229" customFormat="false" ht="15.8" hidden="false" customHeight="false" outlineLevel="0" collapsed="false">
      <c r="A1229" s="59" t="s">
        <v>67</v>
      </c>
      <c r="B1229" s="109" t="s">
        <v>816</v>
      </c>
      <c r="C1229" s="109" t="s">
        <v>817</v>
      </c>
      <c r="D1229" s="111" t="s">
        <v>82</v>
      </c>
      <c r="E1229" s="113" t="n">
        <v>-79.5</v>
      </c>
      <c r="F1229" s="70" t="n">
        <f aca="false">IF(ISNUMBER(FIND("SALDO ANTERIOR",C1229)),0,IF(ISNUMBER(FIND("SALDO DO DIA",C1229)),0,IF(ISNUMBER(FIND("SALDO PARCIAL",C1229)),0,IF(ISNUMBER(FIND("SDO CTA/APL AUTOMATICAS",C1229)),0,IF(ISNUMBER(FIND("APL APLIC AUT MAIS",C1229)),0,IF(ISNUMBER(FIND("TEC DEPOSITO",C1229)),0,IF(E1229&gt;0,0,E1229*(-1))))))))</f>
        <v>79.5</v>
      </c>
      <c r="G1229" s="97" t="n">
        <f aca="false">IF(ISNUMBER(FIND("SALDO ANTERIOR",C1229)),0,IF(ISNUMBER(FIND("SALDO DO DIA",C1229)),0,IF(ISNUMBER(FIND("SDO CTA/APL AUTOMATICAS",C1229)),0,IF(ISNUMBER(FIND("TEC DEPOSITO",C1229)),0,IF(ISNUMBER(FIND("APL APLIC AUT MAIS",C1229)),E1229,IF(E1229&gt;0,E1229,0))))))</f>
        <v>0</v>
      </c>
      <c r="H1229" s="96" t="n">
        <v>44166</v>
      </c>
    </row>
    <row r="1230" customFormat="false" ht="17" hidden="false" customHeight="false" outlineLevel="0" collapsed="false">
      <c r="A1230" s="59" t="s">
        <v>29</v>
      </c>
      <c r="B1230" s="109" t="s">
        <v>816</v>
      </c>
      <c r="C1230" s="110" t="s">
        <v>521</v>
      </c>
      <c r="D1230" s="111"/>
      <c r="E1230" s="112" t="n">
        <v>1136.64</v>
      </c>
      <c r="F1230" s="70" t="n">
        <f aca="false">IF(ISNUMBER(FIND("SALDO ANTERIOR",C1230)),0,IF(ISNUMBER(FIND("SALDO DO DIA",C1230)),0,IF(ISNUMBER(FIND("SALDO PARCIAL",C1230)),0,IF(ISNUMBER(FIND("SDO CTA/APL AUTOMATICAS",C1230)),0,IF(ISNUMBER(FIND("APL APLIC AUT MAIS",C1230)),0,IF(ISNUMBER(FIND("TEC DEPOSITO",C1230)),0,IF(E1230&gt;0,0,E1230*(-1))))))))</f>
        <v>0</v>
      </c>
      <c r="G1230" s="97" t="n">
        <f aca="false">IF(ISNUMBER(FIND("SALDO ANTERIOR",C1230)),0,IF(ISNUMBER(FIND("SALDO DO DIA",C1230)),0,IF(ISNUMBER(FIND("SDO CTA/APL AUTOMATICAS",C1230)),0,IF(ISNUMBER(FIND("TEC DEPOSITO",C1230)),0,IF(ISNUMBER(FIND("APL APLIC AUT MAIS",C1230)),E1230,IF(E1230&gt;0,E1230,0))))))</f>
        <v>0</v>
      </c>
      <c r="H1230" s="96" t="n">
        <v>44166</v>
      </c>
    </row>
    <row r="1231" customFormat="false" ht="15.8" hidden="false" customHeight="false" outlineLevel="0" collapsed="false">
      <c r="A1231" s="59" t="s">
        <v>203</v>
      </c>
      <c r="B1231" s="109" t="s">
        <v>818</v>
      </c>
      <c r="C1231" s="109" t="s">
        <v>819</v>
      </c>
      <c r="D1231" s="111" t="s">
        <v>274</v>
      </c>
      <c r="E1231" s="113" t="n">
        <v>-20</v>
      </c>
      <c r="F1231" s="70" t="n">
        <f aca="false">IF(ISNUMBER(FIND("SALDO ANTERIOR",C1231)),0,IF(ISNUMBER(FIND("SALDO DO DIA",C1231)),0,IF(ISNUMBER(FIND("SALDO PARCIAL",C1231)),0,IF(ISNUMBER(FIND("SDO CTA/APL AUTOMATICAS",C1231)),0,IF(ISNUMBER(FIND("APL APLIC AUT MAIS",C1231)),0,IF(ISNUMBER(FIND("TEC DEPOSITO",C1231)),0,IF(E1231&gt;0,0,E1231*(-1))))))))</f>
        <v>20</v>
      </c>
      <c r="G1231" s="97" t="n">
        <f aca="false">IF(ISNUMBER(FIND("SALDO ANTERIOR",C1231)),0,IF(ISNUMBER(FIND("SALDO DO DIA",C1231)),0,IF(ISNUMBER(FIND("SDO CTA/APL AUTOMATICAS",C1231)),0,IF(ISNUMBER(FIND("TEC DEPOSITO",C1231)),0,IF(ISNUMBER(FIND("APL APLIC AUT MAIS",C1231)),E1231,IF(E1231&gt;0,E1231,0))))))</f>
        <v>0</v>
      </c>
      <c r="H1231" s="96" t="n">
        <v>44166</v>
      </c>
    </row>
    <row r="1232" customFormat="false" ht="15.8" hidden="false" customHeight="false" outlineLevel="0" collapsed="false">
      <c r="A1232" s="59" t="s">
        <v>76</v>
      </c>
      <c r="B1232" s="109" t="s">
        <v>818</v>
      </c>
      <c r="C1232" s="109" t="s">
        <v>723</v>
      </c>
      <c r="D1232" s="111" t="s">
        <v>64</v>
      </c>
      <c r="E1232" s="113" t="n">
        <v>-5.99</v>
      </c>
      <c r="F1232" s="70" t="n">
        <f aca="false">IF(ISNUMBER(FIND("SALDO ANTERIOR",C1232)),0,IF(ISNUMBER(FIND("SALDO DO DIA",C1232)),0,IF(ISNUMBER(FIND("SALDO PARCIAL",C1232)),0,IF(ISNUMBER(FIND("SDO CTA/APL AUTOMATICAS",C1232)),0,IF(ISNUMBER(FIND("APL APLIC AUT MAIS",C1232)),0,IF(ISNUMBER(FIND("TEC DEPOSITO",C1232)),0,IF(E1232&gt;0,0,E1232*(-1))))))))</f>
        <v>5.99</v>
      </c>
      <c r="G1232" s="97" t="n">
        <f aca="false">IF(ISNUMBER(FIND("SALDO ANTERIOR",C1232)),0,IF(ISNUMBER(FIND("SALDO DO DIA",C1232)),0,IF(ISNUMBER(FIND("SDO CTA/APL AUTOMATICAS",C1232)),0,IF(ISNUMBER(FIND("TEC DEPOSITO",C1232)),0,IF(ISNUMBER(FIND("APL APLIC AUT MAIS",C1232)),E1232,IF(E1232&gt;0,E1232,0))))))</f>
        <v>0</v>
      </c>
      <c r="H1232" s="96" t="n">
        <v>44166</v>
      </c>
    </row>
    <row r="1233" customFormat="false" ht="15.8" hidden="false" customHeight="false" outlineLevel="0" collapsed="false">
      <c r="A1233" s="59" t="s">
        <v>749</v>
      </c>
      <c r="B1233" s="109" t="s">
        <v>818</v>
      </c>
      <c r="C1233" s="109" t="s">
        <v>725</v>
      </c>
      <c r="D1233" s="111"/>
      <c r="E1233" s="114" t="n">
        <v>261</v>
      </c>
      <c r="F1233" s="70" t="n">
        <f aca="false">IF(ISNUMBER(FIND("SALDO ANTERIOR",C1233)),0,IF(ISNUMBER(FIND("SALDO DO DIA",C1233)),0,IF(ISNUMBER(FIND("SALDO PARCIAL",C1233)),0,IF(ISNUMBER(FIND("SDO CTA/APL AUTOMATICAS",C1233)),0,IF(ISNUMBER(FIND("APL APLIC AUT MAIS",C1233)),0,IF(ISNUMBER(FIND("TEC DEPOSITO",C1233)),0,IF(E1233&gt;0,0,E1233*(-1))))))))</f>
        <v>0</v>
      </c>
      <c r="G1233" s="97" t="n">
        <f aca="false">IF(ISNUMBER(FIND("SALDO ANTERIOR",C1233)),0,IF(ISNUMBER(FIND("SALDO DO DIA",C1233)),0,IF(ISNUMBER(FIND("SDO CTA/APL AUTOMATICAS",C1233)),0,IF(ISNUMBER(FIND("TEC DEPOSITO",C1233)),0,IF(ISNUMBER(FIND("APL APLIC AUT MAIS",C1233)),E1233,IF(E1233&gt;0,E1233,0))))))</f>
        <v>261</v>
      </c>
      <c r="H1233" s="96" t="n">
        <v>44166</v>
      </c>
    </row>
    <row r="1234" customFormat="false" ht="17" hidden="false" customHeight="false" outlineLevel="0" collapsed="false">
      <c r="A1234" s="59" t="s">
        <v>29</v>
      </c>
      <c r="B1234" s="109" t="s">
        <v>818</v>
      </c>
      <c r="C1234" s="110" t="s">
        <v>521</v>
      </c>
      <c r="D1234" s="111"/>
      <c r="E1234" s="112" t="n">
        <v>1371.65</v>
      </c>
      <c r="F1234" s="70" t="n">
        <f aca="false">IF(ISNUMBER(FIND("SALDO ANTERIOR",C1234)),0,IF(ISNUMBER(FIND("SALDO DO DIA",C1234)),0,IF(ISNUMBER(FIND("SALDO PARCIAL",C1234)),0,IF(ISNUMBER(FIND("SDO CTA/APL AUTOMATICAS",C1234)),0,IF(ISNUMBER(FIND("APL APLIC AUT MAIS",C1234)),0,IF(ISNUMBER(FIND("TEC DEPOSITO",C1234)),0,IF(E1234&gt;0,0,E1234*(-1))))))))</f>
        <v>0</v>
      </c>
      <c r="G1234" s="97" t="n">
        <f aca="false">IF(ISNUMBER(FIND("SALDO ANTERIOR",C1234)),0,IF(ISNUMBER(FIND("SALDO DO DIA",C1234)),0,IF(ISNUMBER(FIND("SDO CTA/APL AUTOMATICAS",C1234)),0,IF(ISNUMBER(FIND("TEC DEPOSITO",C1234)),0,IF(ISNUMBER(FIND("APL APLIC AUT MAIS",C1234)),E1234,IF(E1234&gt;0,E1234,0))))))</f>
        <v>0</v>
      </c>
      <c r="H1234" s="96" t="n">
        <v>44166</v>
      </c>
    </row>
    <row r="1235" customFormat="false" ht="15.8" hidden="false" customHeight="false" outlineLevel="0" collapsed="false">
      <c r="A1235" s="59" t="s">
        <v>757</v>
      </c>
      <c r="B1235" s="109" t="s">
        <v>820</v>
      </c>
      <c r="C1235" s="109" t="s">
        <v>758</v>
      </c>
      <c r="D1235" s="111" t="s">
        <v>64</v>
      </c>
      <c r="E1235" s="113" t="n">
        <v>-25</v>
      </c>
      <c r="F1235" s="70" t="n">
        <f aca="false">IF(ISNUMBER(FIND("SALDO ANTERIOR",C1235)),0,IF(ISNUMBER(FIND("SALDO DO DIA",C1235)),0,IF(ISNUMBER(FIND("SALDO PARCIAL",C1235)),0,IF(ISNUMBER(FIND("SDO CTA/APL AUTOMATICAS",C1235)),0,IF(ISNUMBER(FIND("APL APLIC AUT MAIS",C1235)),0,IF(ISNUMBER(FIND("TEC DEPOSITO",C1235)),0,IF(E1235&gt;0,0,E1235*(-1))))))))</f>
        <v>25</v>
      </c>
      <c r="G1235" s="97" t="n">
        <f aca="false">IF(ISNUMBER(FIND("SALDO ANTERIOR",C1235)),0,IF(ISNUMBER(FIND("SALDO DO DIA",C1235)),0,IF(ISNUMBER(FIND("SDO CTA/APL AUTOMATICAS",C1235)),0,IF(ISNUMBER(FIND("TEC DEPOSITO",C1235)),0,IF(ISNUMBER(FIND("APL APLIC AUT MAIS",C1235)),E1235,IF(E1235&gt;0,E1235,0))))))</f>
        <v>0</v>
      </c>
      <c r="H1235" s="96" t="n">
        <v>44166</v>
      </c>
    </row>
    <row r="1236" customFormat="false" ht="17" hidden="false" customHeight="false" outlineLevel="0" collapsed="false">
      <c r="A1236" s="59" t="s">
        <v>29</v>
      </c>
      <c r="B1236" s="109" t="s">
        <v>820</v>
      </c>
      <c r="C1236" s="110" t="s">
        <v>521</v>
      </c>
      <c r="D1236" s="111"/>
      <c r="E1236" s="112" t="n">
        <v>1346.65</v>
      </c>
      <c r="F1236" s="70" t="n">
        <f aca="false">IF(ISNUMBER(FIND("SALDO ANTERIOR",C1236)),0,IF(ISNUMBER(FIND("SALDO DO DIA",C1236)),0,IF(ISNUMBER(FIND("SALDO PARCIAL",C1236)),0,IF(ISNUMBER(FIND("SDO CTA/APL AUTOMATICAS",C1236)),0,IF(ISNUMBER(FIND("APL APLIC AUT MAIS",C1236)),0,IF(ISNUMBER(FIND("TEC DEPOSITO",C1236)),0,IF(E1236&gt;0,0,E1236*(-1))))))))</f>
        <v>0</v>
      </c>
      <c r="G1236" s="97" t="n">
        <f aca="false">IF(ISNUMBER(FIND("SALDO ANTERIOR",C1236)),0,IF(ISNUMBER(FIND("SALDO DO DIA",C1236)),0,IF(ISNUMBER(FIND("SDO CTA/APL AUTOMATICAS",C1236)),0,IF(ISNUMBER(FIND("TEC DEPOSITO",C1236)),0,IF(ISNUMBER(FIND("APL APLIC AUT MAIS",C1236)),E1236,IF(E1236&gt;0,E1236,0))))))</f>
        <v>0</v>
      </c>
      <c r="H1236" s="96" t="n">
        <v>44166</v>
      </c>
    </row>
    <row r="1237" customFormat="false" ht="15.8" hidden="false" customHeight="false" outlineLevel="0" collapsed="false">
      <c r="A1237" s="59" t="s">
        <v>203</v>
      </c>
      <c r="B1237" s="109" t="s">
        <v>821</v>
      </c>
      <c r="C1237" s="109" t="s">
        <v>822</v>
      </c>
      <c r="D1237" s="111" t="s">
        <v>478</v>
      </c>
      <c r="E1237" s="113" t="n">
        <v>-400</v>
      </c>
      <c r="F1237" s="70" t="n">
        <f aca="false">IF(ISNUMBER(FIND("SALDO ANTERIOR",C1237)),0,IF(ISNUMBER(FIND("SALDO DO DIA",C1237)),0,IF(ISNUMBER(FIND("SALDO PARCIAL",C1237)),0,IF(ISNUMBER(FIND("SDO CTA/APL AUTOMATICAS",C1237)),0,IF(ISNUMBER(FIND("APL APLIC AUT MAIS",C1237)),0,IF(ISNUMBER(FIND("TEC DEPOSITO",C1237)),0,IF(E1237&gt;0,0,E1237*(-1))))))))</f>
        <v>400</v>
      </c>
      <c r="G1237" s="97" t="n">
        <f aca="false">IF(ISNUMBER(FIND("SALDO ANTERIOR",C1237)),0,IF(ISNUMBER(FIND("SALDO DO DIA",C1237)),0,IF(ISNUMBER(FIND("SDO CTA/APL AUTOMATICAS",C1237)),0,IF(ISNUMBER(FIND("TEC DEPOSITO",C1237)),0,IF(ISNUMBER(FIND("APL APLIC AUT MAIS",C1237)),E1237,IF(E1237&gt;0,E1237,0))))))</f>
        <v>0</v>
      </c>
      <c r="H1237" s="96" t="n">
        <v>44166</v>
      </c>
    </row>
    <row r="1238" customFormat="false" ht="15.8" hidden="false" customHeight="false" outlineLevel="0" collapsed="false">
      <c r="A1238" s="59" t="s">
        <v>127</v>
      </c>
      <c r="B1238" s="109" t="s">
        <v>821</v>
      </c>
      <c r="C1238" s="109" t="s">
        <v>823</v>
      </c>
      <c r="D1238" s="111" t="s">
        <v>478</v>
      </c>
      <c r="E1238" s="113" t="n">
        <v>-100</v>
      </c>
      <c r="F1238" s="70" t="n">
        <f aca="false">IF(ISNUMBER(FIND("SALDO ANTERIOR",C1238)),0,IF(ISNUMBER(FIND("SALDO DO DIA",C1238)),0,IF(ISNUMBER(FIND("SALDO PARCIAL",C1238)),0,IF(ISNUMBER(FIND("SDO CTA/APL AUTOMATICAS",C1238)),0,IF(ISNUMBER(FIND("APL APLIC AUT MAIS",C1238)),0,IF(ISNUMBER(FIND("TEC DEPOSITO",C1238)),0,IF(E1238&gt;0,0,E1238*(-1))))))))</f>
        <v>100</v>
      </c>
      <c r="G1238" s="97" t="n">
        <f aca="false">IF(ISNUMBER(FIND("SALDO ANTERIOR",C1238)),0,IF(ISNUMBER(FIND("SALDO DO DIA",C1238)),0,IF(ISNUMBER(FIND("SDO CTA/APL AUTOMATICAS",C1238)),0,IF(ISNUMBER(FIND("TEC DEPOSITO",C1238)),0,IF(ISNUMBER(FIND("APL APLIC AUT MAIS",C1238)),E1238,IF(E1238&gt;0,E1238,0))))))</f>
        <v>0</v>
      </c>
      <c r="H1238" s="96" t="n">
        <v>44166</v>
      </c>
    </row>
    <row r="1239" customFormat="false" ht="15.8" hidden="false" customHeight="false" outlineLevel="0" collapsed="false">
      <c r="A1239" s="59" t="s">
        <v>824</v>
      </c>
      <c r="B1239" s="109" t="s">
        <v>821</v>
      </c>
      <c r="C1239" s="109" t="s">
        <v>825</v>
      </c>
      <c r="D1239" s="111" t="s">
        <v>64</v>
      </c>
      <c r="E1239" s="113" t="n">
        <v>-90</v>
      </c>
      <c r="F1239" s="70" t="n">
        <f aca="false">IF(ISNUMBER(FIND("SALDO ANTERIOR",C1239)),0,IF(ISNUMBER(FIND("SALDO DO DIA",C1239)),0,IF(ISNUMBER(FIND("SALDO PARCIAL",C1239)),0,IF(ISNUMBER(FIND("SDO CTA/APL AUTOMATICAS",C1239)),0,IF(ISNUMBER(FIND("APL APLIC AUT MAIS",C1239)),0,IF(ISNUMBER(FIND("TEC DEPOSITO",C1239)),0,IF(E1239&gt;0,0,E1239*(-1))))))))</f>
        <v>90</v>
      </c>
      <c r="G1239" s="97" t="n">
        <f aca="false">IF(ISNUMBER(FIND("SALDO ANTERIOR",C1239)),0,IF(ISNUMBER(FIND("SALDO DO DIA",C1239)),0,IF(ISNUMBER(FIND("SDO CTA/APL AUTOMATICAS",C1239)),0,IF(ISNUMBER(FIND("TEC DEPOSITO",C1239)),0,IF(ISNUMBER(FIND("APL APLIC AUT MAIS",C1239)),E1239,IF(E1239&gt;0,E1239,0))))))</f>
        <v>0</v>
      </c>
      <c r="H1239" s="96" t="n">
        <v>44166</v>
      </c>
    </row>
    <row r="1240" customFormat="false" ht="15.8" hidden="false" customHeight="false" outlineLevel="0" collapsed="false">
      <c r="A1240" s="59" t="s">
        <v>71</v>
      </c>
      <c r="B1240" s="109" t="s">
        <v>821</v>
      </c>
      <c r="C1240" s="109" t="s">
        <v>85</v>
      </c>
      <c r="D1240" s="111" t="s">
        <v>64</v>
      </c>
      <c r="E1240" s="113" t="n">
        <v>-3.76</v>
      </c>
      <c r="F1240" s="70" t="n">
        <f aca="false">IF(ISNUMBER(FIND("SALDO ANTERIOR",C1240)),0,IF(ISNUMBER(FIND("SALDO DO DIA",C1240)),0,IF(ISNUMBER(FIND("SALDO PARCIAL",C1240)),0,IF(ISNUMBER(FIND("SDO CTA/APL AUTOMATICAS",C1240)),0,IF(ISNUMBER(FIND("APL APLIC AUT MAIS",C1240)),0,IF(ISNUMBER(FIND("TEC DEPOSITO",C1240)),0,IF(E1240&gt;0,0,E1240*(-1))))))))</f>
        <v>3.76</v>
      </c>
      <c r="G1240" s="97" t="n">
        <f aca="false">IF(ISNUMBER(FIND("SALDO ANTERIOR",C1240)),0,IF(ISNUMBER(FIND("SALDO DO DIA",C1240)),0,IF(ISNUMBER(FIND("SDO CTA/APL AUTOMATICAS",C1240)),0,IF(ISNUMBER(FIND("TEC DEPOSITO",C1240)),0,IF(ISNUMBER(FIND("APL APLIC AUT MAIS",C1240)),E1240,IF(E1240&gt;0,E1240,0))))))</f>
        <v>0</v>
      </c>
      <c r="H1240" s="96" t="n">
        <v>44166</v>
      </c>
    </row>
    <row r="1241" customFormat="false" ht="15.8" hidden="false" customHeight="false" outlineLevel="0" collapsed="false">
      <c r="A1241" s="59" t="s">
        <v>824</v>
      </c>
      <c r="B1241" s="109" t="s">
        <v>821</v>
      </c>
      <c r="C1241" s="109" t="s">
        <v>505</v>
      </c>
      <c r="D1241" s="111" t="s">
        <v>64</v>
      </c>
      <c r="E1241" s="113" t="n">
        <v>-110</v>
      </c>
      <c r="F1241" s="70" t="n">
        <f aca="false">IF(ISNUMBER(FIND("SALDO ANTERIOR",C1241)),0,IF(ISNUMBER(FIND("SALDO DO DIA",C1241)),0,IF(ISNUMBER(FIND("SALDO PARCIAL",C1241)),0,IF(ISNUMBER(FIND("SDO CTA/APL AUTOMATICAS",C1241)),0,IF(ISNUMBER(FIND("APL APLIC AUT MAIS",C1241)),0,IF(ISNUMBER(FIND("TEC DEPOSITO",C1241)),0,IF(E1241&gt;0,0,E1241*(-1))))))))</f>
        <v>110</v>
      </c>
      <c r="G1241" s="97" t="n">
        <f aca="false">IF(ISNUMBER(FIND("SALDO ANTERIOR",C1241)),0,IF(ISNUMBER(FIND("SALDO DO DIA",C1241)),0,IF(ISNUMBER(FIND("SDO CTA/APL AUTOMATICAS",C1241)),0,IF(ISNUMBER(FIND("TEC DEPOSITO",C1241)),0,IF(ISNUMBER(FIND("APL APLIC AUT MAIS",C1241)),E1241,IF(E1241&gt;0,E1241,0))))))</f>
        <v>0</v>
      </c>
      <c r="H1241" s="96" t="n">
        <v>44166</v>
      </c>
    </row>
    <row r="1242" customFormat="false" ht="15.8" hidden="false" customHeight="false" outlineLevel="0" collapsed="false">
      <c r="A1242" s="59" t="s">
        <v>824</v>
      </c>
      <c r="B1242" s="109" t="s">
        <v>821</v>
      </c>
      <c r="C1242" s="109" t="s">
        <v>826</v>
      </c>
      <c r="D1242" s="111" t="s">
        <v>64</v>
      </c>
      <c r="E1242" s="113" t="n">
        <v>-59.99</v>
      </c>
      <c r="F1242" s="70" t="n">
        <f aca="false">IF(ISNUMBER(FIND("SALDO ANTERIOR",C1242)),0,IF(ISNUMBER(FIND("SALDO DO DIA",C1242)),0,IF(ISNUMBER(FIND("SALDO PARCIAL",C1242)),0,IF(ISNUMBER(FIND("SDO CTA/APL AUTOMATICAS",C1242)),0,IF(ISNUMBER(FIND("APL APLIC AUT MAIS",C1242)),0,IF(ISNUMBER(FIND("TEC DEPOSITO",C1242)),0,IF(E1242&gt;0,0,E1242*(-1))))))))</f>
        <v>59.99</v>
      </c>
      <c r="G1242" s="97" t="n">
        <f aca="false">IF(ISNUMBER(FIND("SALDO ANTERIOR",C1242)),0,IF(ISNUMBER(FIND("SALDO DO DIA",C1242)),0,IF(ISNUMBER(FIND("SDO CTA/APL AUTOMATICAS",C1242)),0,IF(ISNUMBER(FIND("TEC DEPOSITO",C1242)),0,IF(ISNUMBER(FIND("APL APLIC AUT MAIS",C1242)),E1242,IF(E1242&gt;0,E1242,0))))))</f>
        <v>0</v>
      </c>
      <c r="H1242" s="96" t="n">
        <v>44166</v>
      </c>
    </row>
    <row r="1243" customFormat="false" ht="15.8" hidden="false" customHeight="false" outlineLevel="0" collapsed="false">
      <c r="A1243" s="59" t="s">
        <v>316</v>
      </c>
      <c r="B1243" s="109" t="s">
        <v>821</v>
      </c>
      <c r="C1243" s="109" t="s">
        <v>479</v>
      </c>
      <c r="D1243" s="111" t="s">
        <v>64</v>
      </c>
      <c r="E1243" s="113" t="n">
        <v>-50</v>
      </c>
      <c r="F1243" s="70" t="n">
        <f aca="false">IF(ISNUMBER(FIND("SALDO ANTERIOR",C1243)),0,IF(ISNUMBER(FIND("SALDO DO DIA",C1243)),0,IF(ISNUMBER(FIND("SALDO PARCIAL",C1243)),0,IF(ISNUMBER(FIND("SDO CTA/APL AUTOMATICAS",C1243)),0,IF(ISNUMBER(FIND("APL APLIC AUT MAIS",C1243)),0,IF(ISNUMBER(FIND("TEC DEPOSITO",C1243)),0,IF(E1243&gt;0,0,E1243*(-1))))))))</f>
        <v>50</v>
      </c>
      <c r="G1243" s="97" t="n">
        <f aca="false">IF(ISNUMBER(FIND("SALDO ANTERIOR",C1243)),0,IF(ISNUMBER(FIND("SALDO DO DIA",C1243)),0,IF(ISNUMBER(FIND("SDO CTA/APL AUTOMATICAS",C1243)),0,IF(ISNUMBER(FIND("TEC DEPOSITO",C1243)),0,IF(ISNUMBER(FIND("APL APLIC AUT MAIS",C1243)),E1243,IF(E1243&gt;0,E1243,0))))))</f>
        <v>0</v>
      </c>
      <c r="H1243" s="96" t="n">
        <v>44166</v>
      </c>
    </row>
    <row r="1244" customFormat="false" ht="15.8" hidden="false" customHeight="false" outlineLevel="0" collapsed="false">
      <c r="A1244" s="59" t="s">
        <v>98</v>
      </c>
      <c r="B1244" s="109" t="s">
        <v>821</v>
      </c>
      <c r="C1244" s="109" t="s">
        <v>743</v>
      </c>
      <c r="D1244" s="111" t="s">
        <v>64</v>
      </c>
      <c r="E1244" s="113" t="n">
        <v>-6.87</v>
      </c>
      <c r="F1244" s="70" t="n">
        <f aca="false">IF(ISNUMBER(FIND("SALDO ANTERIOR",C1244)),0,IF(ISNUMBER(FIND("SALDO DO DIA",C1244)),0,IF(ISNUMBER(FIND("SALDO PARCIAL",C1244)),0,IF(ISNUMBER(FIND("SDO CTA/APL AUTOMATICAS",C1244)),0,IF(ISNUMBER(FIND("APL APLIC AUT MAIS",C1244)),0,IF(ISNUMBER(FIND("TEC DEPOSITO",C1244)),0,IF(E1244&gt;0,0,E1244*(-1))))))))</f>
        <v>6.87</v>
      </c>
      <c r="G1244" s="97" t="n">
        <f aca="false">IF(ISNUMBER(FIND("SALDO ANTERIOR",C1244)),0,IF(ISNUMBER(FIND("SALDO DO DIA",C1244)),0,IF(ISNUMBER(FIND("SDO CTA/APL AUTOMATICAS",C1244)),0,IF(ISNUMBER(FIND("TEC DEPOSITO",C1244)),0,IF(ISNUMBER(FIND("APL APLIC AUT MAIS",C1244)),E1244,IF(E1244&gt;0,E1244,0))))))</f>
        <v>0</v>
      </c>
      <c r="H1244" s="96" t="n">
        <v>44166</v>
      </c>
    </row>
    <row r="1245" customFormat="false" ht="15.8" hidden="false" customHeight="false" outlineLevel="0" collapsed="false">
      <c r="A1245" s="59" t="s">
        <v>824</v>
      </c>
      <c r="B1245" s="109" t="s">
        <v>821</v>
      </c>
      <c r="C1245" s="109" t="s">
        <v>827</v>
      </c>
      <c r="D1245" s="111" t="s">
        <v>64</v>
      </c>
      <c r="E1245" s="113" t="n">
        <v>-81</v>
      </c>
      <c r="F1245" s="70" t="n">
        <f aca="false">IF(ISNUMBER(FIND("SALDO ANTERIOR",C1245)),0,IF(ISNUMBER(FIND("SALDO DO DIA",C1245)),0,IF(ISNUMBER(FIND("SALDO PARCIAL",C1245)),0,IF(ISNUMBER(FIND("SDO CTA/APL AUTOMATICAS",C1245)),0,IF(ISNUMBER(FIND("APL APLIC AUT MAIS",C1245)),0,IF(ISNUMBER(FIND("TEC DEPOSITO",C1245)),0,IF(E1245&gt;0,0,E1245*(-1))))))))</f>
        <v>81</v>
      </c>
      <c r="G1245" s="97" t="n">
        <f aca="false">IF(ISNUMBER(FIND("SALDO ANTERIOR",C1245)),0,IF(ISNUMBER(FIND("SALDO DO DIA",C1245)),0,IF(ISNUMBER(FIND("SDO CTA/APL AUTOMATICAS",C1245)),0,IF(ISNUMBER(FIND("TEC DEPOSITO",C1245)),0,IF(ISNUMBER(FIND("APL APLIC AUT MAIS",C1245)),E1245,IF(E1245&gt;0,E1245,0))))))</f>
        <v>0</v>
      </c>
      <c r="H1245" s="96" t="n">
        <v>44166</v>
      </c>
    </row>
    <row r="1246" customFormat="false" ht="17" hidden="false" customHeight="false" outlineLevel="0" collapsed="false">
      <c r="A1246" s="59" t="s">
        <v>29</v>
      </c>
      <c r="B1246" s="109" t="s">
        <v>821</v>
      </c>
      <c r="C1246" s="110" t="s">
        <v>521</v>
      </c>
      <c r="D1246" s="111"/>
      <c r="E1246" s="112" t="n">
        <v>445.03</v>
      </c>
      <c r="F1246" s="70" t="n">
        <f aca="false">IF(ISNUMBER(FIND("SALDO ANTERIOR",C1246)),0,IF(ISNUMBER(FIND("SALDO DO DIA",C1246)),0,IF(ISNUMBER(FIND("SALDO PARCIAL",C1246)),0,IF(ISNUMBER(FIND("SDO CTA/APL AUTOMATICAS",C1246)),0,IF(ISNUMBER(FIND("APL APLIC AUT MAIS",C1246)),0,IF(ISNUMBER(FIND("TEC DEPOSITO",C1246)),0,IF(E1246&gt;0,0,E1246*(-1))))))))</f>
        <v>0</v>
      </c>
      <c r="G1246" s="97" t="n">
        <f aca="false">IF(ISNUMBER(FIND("SALDO ANTERIOR",C1246)),0,IF(ISNUMBER(FIND("SALDO DO DIA",C1246)),0,IF(ISNUMBER(FIND("SDO CTA/APL AUTOMATICAS",C1246)),0,IF(ISNUMBER(FIND("TEC DEPOSITO",C1246)),0,IF(ISNUMBER(FIND("APL APLIC AUT MAIS",C1246)),E1246,IF(E1246&gt;0,E1246,0))))))</f>
        <v>0</v>
      </c>
      <c r="H1246" s="96" t="n">
        <v>44166</v>
      </c>
    </row>
    <row r="1247" customFormat="false" ht="17" hidden="false" customHeight="false" outlineLevel="0" collapsed="false">
      <c r="A1247" s="59" t="s">
        <v>29</v>
      </c>
      <c r="B1247" s="109" t="s">
        <v>828</v>
      </c>
      <c r="C1247" s="110" t="s">
        <v>521</v>
      </c>
      <c r="D1247" s="111"/>
      <c r="E1247" s="112" t="n">
        <v>445.03</v>
      </c>
      <c r="F1247" s="70" t="n">
        <f aca="false">IF(ISNUMBER(FIND("SALDO ANTERIOR",C1247)),0,IF(ISNUMBER(FIND("SALDO DO DIA",C1247)),0,IF(ISNUMBER(FIND("SALDO PARCIAL",C1247)),0,IF(ISNUMBER(FIND("SDO CTA/APL AUTOMATICAS",C1247)),0,IF(ISNUMBER(FIND("APL APLIC AUT MAIS",C1247)),0,IF(ISNUMBER(FIND("TEC DEPOSITO",C1247)),0,IF(E1247&gt;0,0,E1247*(-1))))))))</f>
        <v>0</v>
      </c>
      <c r="G1247" s="97" t="n">
        <f aca="false">IF(ISNUMBER(FIND("SALDO ANTERIOR",C1247)),0,IF(ISNUMBER(FIND("SALDO DO DIA",C1247)),0,IF(ISNUMBER(FIND("SDO CTA/APL AUTOMATICAS",C1247)),0,IF(ISNUMBER(FIND("TEC DEPOSITO",C1247)),0,IF(ISNUMBER(FIND("APL APLIC AUT MAIS",C1247)),E1247,IF(E1247&gt;0,E1247,0))))))</f>
        <v>0</v>
      </c>
      <c r="H1247" s="96" t="n">
        <v>44166</v>
      </c>
    </row>
    <row r="1248" customFormat="false" ht="15.8" hidden="false" customHeight="false" outlineLevel="0" collapsed="false">
      <c r="A1248" s="59" t="s">
        <v>829</v>
      </c>
      <c r="B1248" s="109" t="s">
        <v>830</v>
      </c>
      <c r="C1248" s="109" t="s">
        <v>831</v>
      </c>
      <c r="D1248" s="111" t="s">
        <v>64</v>
      </c>
      <c r="E1248" s="113" t="n">
        <v>-88</v>
      </c>
      <c r="F1248" s="70" t="n">
        <f aca="false">IF(ISNUMBER(FIND("SALDO ANTERIOR",C1248)),0,IF(ISNUMBER(FIND("SALDO DO DIA",C1248)),0,IF(ISNUMBER(FIND("SALDO PARCIAL",C1248)),0,IF(ISNUMBER(FIND("SDO CTA/APL AUTOMATICAS",C1248)),0,IF(ISNUMBER(FIND("APL APLIC AUT MAIS",C1248)),0,IF(ISNUMBER(FIND("TEC DEPOSITO",C1248)),0,IF(E1248&gt;0,0,E1248*(-1))))))))</f>
        <v>88</v>
      </c>
      <c r="G1248" s="97" t="n">
        <f aca="false">IF(ISNUMBER(FIND("SALDO ANTERIOR",C1248)),0,IF(ISNUMBER(FIND("SALDO DO DIA",C1248)),0,IF(ISNUMBER(FIND("SDO CTA/APL AUTOMATICAS",C1248)),0,IF(ISNUMBER(FIND("TEC DEPOSITO",C1248)),0,IF(ISNUMBER(FIND("APL APLIC AUT MAIS",C1248)),E1248,IF(E1248&gt;0,E1248,0))))))</f>
        <v>0</v>
      </c>
      <c r="H1248" s="96" t="n">
        <v>44166</v>
      </c>
    </row>
    <row r="1249" customFormat="false" ht="15.8" hidden="false" customHeight="false" outlineLevel="0" collapsed="false">
      <c r="A1249" s="59" t="s">
        <v>832</v>
      </c>
      <c r="B1249" s="109" t="s">
        <v>830</v>
      </c>
      <c r="C1249" s="109" t="s">
        <v>833</v>
      </c>
      <c r="D1249" s="111" t="s">
        <v>61</v>
      </c>
      <c r="E1249" s="113" t="n">
        <v>-422</v>
      </c>
      <c r="F1249" s="70" t="n">
        <f aca="false">IF(ISNUMBER(FIND("SALDO ANTERIOR",C1249)),0,IF(ISNUMBER(FIND("SALDO DO DIA",C1249)),0,IF(ISNUMBER(FIND("SALDO PARCIAL",C1249)),0,IF(ISNUMBER(FIND("SDO CTA/APL AUTOMATICAS",C1249)),0,IF(ISNUMBER(FIND("APL APLIC AUT MAIS",C1249)),0,IF(ISNUMBER(FIND("TEC DEPOSITO",C1249)),0,IF(E1249&gt;0,0,E1249*(-1))))))))</f>
        <v>422</v>
      </c>
      <c r="G1249" s="97" t="n">
        <f aca="false">IF(ISNUMBER(FIND("SALDO ANTERIOR",C1249)),0,IF(ISNUMBER(FIND("SALDO DO DIA",C1249)),0,IF(ISNUMBER(FIND("SDO CTA/APL AUTOMATICAS",C1249)),0,IF(ISNUMBER(FIND("TEC DEPOSITO",C1249)),0,IF(ISNUMBER(FIND("APL APLIC AUT MAIS",C1249)),E1249,IF(E1249&gt;0,E1249,0))))))</f>
        <v>0</v>
      </c>
      <c r="H1249" s="96" t="n">
        <v>44166</v>
      </c>
    </row>
    <row r="1250" customFormat="false" ht="17" hidden="false" customHeight="false" outlineLevel="0" collapsed="false">
      <c r="A1250" s="59" t="s">
        <v>29</v>
      </c>
      <c r="B1250" s="109" t="s">
        <v>830</v>
      </c>
      <c r="C1250" s="110" t="s">
        <v>494</v>
      </c>
      <c r="D1250" s="111"/>
      <c r="E1250" s="115" t="n">
        <v>-64.97</v>
      </c>
      <c r="F1250" s="70" t="n">
        <f aca="false">IF(ISNUMBER(FIND("SALDO ANTERIOR",C1250)),0,IF(ISNUMBER(FIND("SALDO DO DIA",C1250)),0,IF(ISNUMBER(FIND("SALDO PARCIAL",C1250)),0,IF(ISNUMBER(FIND("SDO CTA/APL AUTOMATICAS",C1250)),0,IF(ISNUMBER(FIND("APL APLIC AUT MAIS",C1250)),0,IF(ISNUMBER(FIND("TEC DEPOSITO",C1250)),0,IF(E1250&gt;0,0,E1250*(-1))))))))</f>
        <v>0</v>
      </c>
      <c r="G1250" s="97" t="n">
        <f aca="false">IF(ISNUMBER(FIND("SALDO ANTERIOR",C1250)),0,IF(ISNUMBER(FIND("SALDO DO DIA",C1250)),0,IF(ISNUMBER(FIND("SDO CTA/APL AUTOMATICAS",C1250)),0,IF(ISNUMBER(FIND("TEC DEPOSITO",C1250)),0,IF(ISNUMBER(FIND("APL APLIC AUT MAIS",C1250)),E1250,IF(E1250&gt;0,E1250,0))))))</f>
        <v>0</v>
      </c>
      <c r="H1250" s="96" t="n">
        <v>44166</v>
      </c>
    </row>
    <row r="1251" customFormat="false" ht="15.8" hidden="false" customHeight="false" outlineLevel="0" collapsed="false">
      <c r="A1251" s="59" t="s">
        <v>119</v>
      </c>
      <c r="B1251" s="109" t="s">
        <v>834</v>
      </c>
      <c r="C1251" s="109" t="s">
        <v>835</v>
      </c>
      <c r="D1251" s="111" t="s">
        <v>61</v>
      </c>
      <c r="E1251" s="113" t="n">
        <v>-567.76</v>
      </c>
      <c r="F1251" s="70" t="n">
        <f aca="false">IF(ISNUMBER(FIND("SALDO ANTERIOR",C1251)),0,IF(ISNUMBER(FIND("SALDO DO DIA",C1251)),0,IF(ISNUMBER(FIND("SALDO PARCIAL",C1251)),0,IF(ISNUMBER(FIND("SDO CTA/APL AUTOMATICAS",C1251)),0,IF(ISNUMBER(FIND("APL APLIC AUT MAIS",C1251)),0,IF(ISNUMBER(FIND("TEC DEPOSITO",C1251)),0,IF(E1251&gt;0,0,E1251*(-1))))))))</f>
        <v>567.76</v>
      </c>
      <c r="G1251" s="97" t="n">
        <f aca="false">IF(ISNUMBER(FIND("SALDO ANTERIOR",C1251)),0,IF(ISNUMBER(FIND("SALDO DO DIA",C1251)),0,IF(ISNUMBER(FIND("SDO CTA/APL AUTOMATICAS",C1251)),0,IF(ISNUMBER(FIND("TEC DEPOSITO",C1251)),0,IF(ISNUMBER(FIND("APL APLIC AUT MAIS",C1251)),E1251,IF(E1251&gt;0,E1251,0))))))</f>
        <v>0</v>
      </c>
      <c r="H1251" s="96" t="n">
        <v>44166</v>
      </c>
    </row>
    <row r="1252" customFormat="false" ht="15.8" hidden="false" customHeight="false" outlineLevel="0" collapsed="false">
      <c r="A1252" s="59" t="s">
        <v>749</v>
      </c>
      <c r="B1252" s="109" t="s">
        <v>834</v>
      </c>
      <c r="C1252" s="109" t="s">
        <v>836</v>
      </c>
      <c r="D1252" s="111" t="s">
        <v>582</v>
      </c>
      <c r="E1252" s="113" t="n">
        <v>-261</v>
      </c>
      <c r="F1252" s="70" t="n">
        <f aca="false">IF(ISNUMBER(FIND("SALDO ANTERIOR",C1252)),0,IF(ISNUMBER(FIND("SALDO DO DIA",C1252)),0,IF(ISNUMBER(FIND("SALDO PARCIAL",C1252)),0,IF(ISNUMBER(FIND("SDO CTA/APL AUTOMATICAS",C1252)),0,IF(ISNUMBER(FIND("APL APLIC AUT MAIS",C1252)),0,IF(ISNUMBER(FIND("TEC DEPOSITO",C1252)),0,IF(E1252&gt;0,0,E1252*(-1))))))))</f>
        <v>261</v>
      </c>
      <c r="G1252" s="97" t="n">
        <f aca="false">IF(ISNUMBER(FIND("SALDO ANTERIOR",C1252)),0,IF(ISNUMBER(FIND("SALDO DO DIA",C1252)),0,IF(ISNUMBER(FIND("SDO CTA/APL AUTOMATICAS",C1252)),0,IF(ISNUMBER(FIND("TEC DEPOSITO",C1252)),0,IF(ISNUMBER(FIND("APL APLIC AUT MAIS",C1252)),E1252,IF(E1252&gt;0,E1252,0))))))</f>
        <v>0</v>
      </c>
      <c r="H1252" s="96" t="n">
        <v>44166</v>
      </c>
    </row>
    <row r="1253" customFormat="false" ht="15.8" hidden="false" customHeight="false" outlineLevel="0" collapsed="false">
      <c r="A1253" s="59" t="s">
        <v>176</v>
      </c>
      <c r="B1253" s="109" t="s">
        <v>834</v>
      </c>
      <c r="C1253" s="109" t="s">
        <v>837</v>
      </c>
      <c r="D1253" s="111" t="s">
        <v>61</v>
      </c>
      <c r="E1253" s="113" t="n">
        <v>-51</v>
      </c>
      <c r="F1253" s="70" t="n">
        <f aca="false">IF(ISNUMBER(FIND("SALDO ANTERIOR",C1253)),0,IF(ISNUMBER(FIND("SALDO DO DIA",C1253)),0,IF(ISNUMBER(FIND("SALDO PARCIAL",C1253)),0,IF(ISNUMBER(FIND("SDO CTA/APL AUTOMATICAS",C1253)),0,IF(ISNUMBER(FIND("APL APLIC AUT MAIS",C1253)),0,IF(ISNUMBER(FIND("TEC DEPOSITO",C1253)),0,IF(E1253&gt;0,0,E1253*(-1))))))))</f>
        <v>51</v>
      </c>
      <c r="G1253" s="97" t="n">
        <f aca="false">IF(ISNUMBER(FIND("SALDO ANTERIOR",C1253)),0,IF(ISNUMBER(FIND("SALDO DO DIA",C1253)),0,IF(ISNUMBER(FIND("SDO CTA/APL AUTOMATICAS",C1253)),0,IF(ISNUMBER(FIND("TEC DEPOSITO",C1253)),0,IF(ISNUMBER(FIND("APL APLIC AUT MAIS",C1253)),E1253,IF(E1253&gt;0,E1253,0))))))</f>
        <v>0</v>
      </c>
      <c r="H1253" s="96" t="n">
        <v>44166</v>
      </c>
    </row>
    <row r="1254" customFormat="false" ht="15.8" hidden="false" customHeight="false" outlineLevel="0" collapsed="false">
      <c r="A1254" s="59" t="s">
        <v>176</v>
      </c>
      <c r="B1254" s="109" t="s">
        <v>834</v>
      </c>
      <c r="C1254" s="109" t="s">
        <v>838</v>
      </c>
      <c r="D1254" s="111" t="s">
        <v>61</v>
      </c>
      <c r="E1254" s="113" t="n">
        <v>-85</v>
      </c>
      <c r="F1254" s="70" t="n">
        <f aca="false">IF(ISNUMBER(FIND("SALDO ANTERIOR",C1254)),0,IF(ISNUMBER(FIND("SALDO DO DIA",C1254)),0,IF(ISNUMBER(FIND("SALDO PARCIAL",C1254)),0,IF(ISNUMBER(FIND("SDO CTA/APL AUTOMATICAS",C1254)),0,IF(ISNUMBER(FIND("APL APLIC AUT MAIS",C1254)),0,IF(ISNUMBER(FIND("TEC DEPOSITO",C1254)),0,IF(E1254&gt;0,0,E1254*(-1))))))))</f>
        <v>85</v>
      </c>
      <c r="G1254" s="97" t="n">
        <f aca="false">IF(ISNUMBER(FIND("SALDO ANTERIOR",C1254)),0,IF(ISNUMBER(FIND("SALDO DO DIA",C1254)),0,IF(ISNUMBER(FIND("SDO CTA/APL AUTOMATICAS",C1254)),0,IF(ISNUMBER(FIND("TEC DEPOSITO",C1254)),0,IF(ISNUMBER(FIND("APL APLIC AUT MAIS",C1254)),E1254,IF(E1254&gt;0,E1254,0))))))</f>
        <v>0</v>
      </c>
      <c r="H1254" s="96" t="n">
        <v>44166</v>
      </c>
    </row>
    <row r="1255" customFormat="false" ht="15.8" hidden="false" customHeight="false" outlineLevel="0" collapsed="false">
      <c r="A1255" s="59" t="s">
        <v>67</v>
      </c>
      <c r="B1255" s="109" t="s">
        <v>834</v>
      </c>
      <c r="C1255" s="109" t="s">
        <v>109</v>
      </c>
      <c r="D1255" s="111" t="s">
        <v>82</v>
      </c>
      <c r="E1255" s="113" t="n">
        <v>-6.61</v>
      </c>
      <c r="F1255" s="70" t="n">
        <f aca="false">IF(ISNUMBER(FIND("SALDO ANTERIOR",C1255)),0,IF(ISNUMBER(FIND("SALDO DO DIA",C1255)),0,IF(ISNUMBER(FIND("SALDO PARCIAL",C1255)),0,IF(ISNUMBER(FIND("SDO CTA/APL AUTOMATICAS",C1255)),0,IF(ISNUMBER(FIND("APL APLIC AUT MAIS",C1255)),0,IF(ISNUMBER(FIND("TEC DEPOSITO",C1255)),0,IF(E1255&gt;0,0,E1255*(-1))))))))</f>
        <v>6.61</v>
      </c>
      <c r="G1255" s="97" t="n">
        <f aca="false">IF(ISNUMBER(FIND("SALDO ANTERIOR",C1255)),0,IF(ISNUMBER(FIND("SALDO DO DIA",C1255)),0,IF(ISNUMBER(FIND("SDO CTA/APL AUTOMATICAS",C1255)),0,IF(ISNUMBER(FIND("TEC DEPOSITO",C1255)),0,IF(ISNUMBER(FIND("APL APLIC AUT MAIS",C1255)),E1255,IF(E1255&gt;0,E1255,0))))))</f>
        <v>0</v>
      </c>
      <c r="H1255" s="96" t="n">
        <v>44166</v>
      </c>
    </row>
    <row r="1256" customFormat="false" ht="17" hidden="false" customHeight="false" outlineLevel="0" collapsed="false">
      <c r="A1256" s="59" t="s">
        <v>29</v>
      </c>
      <c r="B1256" s="109" t="s">
        <v>834</v>
      </c>
      <c r="C1256" s="110" t="s">
        <v>494</v>
      </c>
      <c r="D1256" s="111"/>
      <c r="E1256" s="115" t="n">
        <v>-1036.34</v>
      </c>
      <c r="F1256" s="70" t="n">
        <f aca="false">IF(ISNUMBER(FIND("SALDO ANTERIOR",C1256)),0,IF(ISNUMBER(FIND("SALDO DO DIA",C1256)),0,IF(ISNUMBER(FIND("SALDO PARCIAL",C1256)),0,IF(ISNUMBER(FIND("SDO CTA/APL AUTOMATICAS",C1256)),0,IF(ISNUMBER(FIND("APL APLIC AUT MAIS",C1256)),0,IF(ISNUMBER(FIND("TEC DEPOSITO",C1256)),0,IF(E1256&gt;0,0,E1256*(-1))))))))</f>
        <v>0</v>
      </c>
      <c r="G1256" s="97" t="n">
        <f aca="false">IF(ISNUMBER(FIND("SALDO ANTERIOR",C1256)),0,IF(ISNUMBER(FIND("SALDO DO DIA",C1256)),0,IF(ISNUMBER(FIND("SDO CTA/APL AUTOMATICAS",C1256)),0,IF(ISNUMBER(FIND("TEC DEPOSITO",C1256)),0,IF(ISNUMBER(FIND("APL APLIC AUT MAIS",C1256)),E1256,IF(E1256&gt;0,E1256,0))))))</f>
        <v>0</v>
      </c>
      <c r="H1256" s="96" t="n">
        <v>44166</v>
      </c>
    </row>
    <row r="1257" customFormat="false" ht="15.8" hidden="false" customHeight="false" outlineLevel="0" collapsed="false">
      <c r="A1257" s="59" t="s">
        <v>130</v>
      </c>
      <c r="B1257" s="109" t="s">
        <v>839</v>
      </c>
      <c r="C1257" s="109" t="s">
        <v>131</v>
      </c>
      <c r="D1257" s="111" t="s">
        <v>82</v>
      </c>
      <c r="E1257" s="113" t="n">
        <v>-75</v>
      </c>
      <c r="F1257" s="70" t="n">
        <f aca="false">IF(ISNUMBER(FIND("SALDO ANTERIOR",C1257)),0,IF(ISNUMBER(FIND("SALDO DO DIA",C1257)),0,IF(ISNUMBER(FIND("SALDO PARCIAL",C1257)),0,IF(ISNUMBER(FIND("SDO CTA/APL AUTOMATICAS",C1257)),0,IF(ISNUMBER(FIND("APL APLIC AUT MAIS",C1257)),0,IF(ISNUMBER(FIND("TEC DEPOSITO",C1257)),0,IF(E1257&gt;0,0,E1257*(-1))))))))</f>
        <v>75</v>
      </c>
      <c r="G1257" s="97" t="n">
        <f aca="false">IF(ISNUMBER(FIND("SALDO ANTERIOR",C1257)),0,IF(ISNUMBER(FIND("SALDO DO DIA",C1257)),0,IF(ISNUMBER(FIND("SDO CTA/APL AUTOMATICAS",C1257)),0,IF(ISNUMBER(FIND("TEC DEPOSITO",C1257)),0,IF(ISNUMBER(FIND("APL APLIC AUT MAIS",C1257)),E1257,IF(E1257&gt;0,E1257,0))))))</f>
        <v>0</v>
      </c>
      <c r="H1257" s="96" t="n">
        <v>44166</v>
      </c>
    </row>
    <row r="1258" customFormat="false" ht="17" hidden="false" customHeight="false" outlineLevel="0" collapsed="false">
      <c r="A1258" s="59" t="s">
        <v>29</v>
      </c>
      <c r="B1258" s="109" t="s">
        <v>839</v>
      </c>
      <c r="C1258" s="110" t="s">
        <v>494</v>
      </c>
      <c r="D1258" s="111"/>
      <c r="E1258" s="115" t="n">
        <v>-1111.34</v>
      </c>
      <c r="F1258" s="70" t="n">
        <f aca="false">IF(ISNUMBER(FIND("SALDO ANTERIOR",C1258)),0,IF(ISNUMBER(FIND("SALDO DO DIA",C1258)),0,IF(ISNUMBER(FIND("SALDO PARCIAL",C1258)),0,IF(ISNUMBER(FIND("SDO CTA/APL AUTOMATICAS",C1258)),0,IF(ISNUMBER(FIND("APL APLIC AUT MAIS",C1258)),0,IF(ISNUMBER(FIND("TEC DEPOSITO",C1258)),0,IF(E1258&gt;0,0,E1258*(-1))))))))</f>
        <v>0</v>
      </c>
      <c r="G1258" s="97" t="n">
        <f aca="false">IF(ISNUMBER(FIND("SALDO ANTERIOR",C1258)),0,IF(ISNUMBER(FIND("SALDO DO DIA",C1258)),0,IF(ISNUMBER(FIND("SDO CTA/APL AUTOMATICAS",C1258)),0,IF(ISNUMBER(FIND("TEC DEPOSITO",C1258)),0,IF(ISNUMBER(FIND("APL APLIC AUT MAIS",C1258)),E1258,IF(E1258&gt;0,E1258,0))))))</f>
        <v>0</v>
      </c>
      <c r="H1258" s="96" t="n">
        <v>44166</v>
      </c>
    </row>
    <row r="1259" customFormat="false" ht="15.8" hidden="false" customHeight="false" outlineLevel="0" collapsed="false">
      <c r="A1259" s="59" t="s">
        <v>65</v>
      </c>
      <c r="B1259" s="109" t="s">
        <v>840</v>
      </c>
      <c r="C1259" s="109" t="s">
        <v>841</v>
      </c>
      <c r="D1259" s="111" t="s">
        <v>478</v>
      </c>
      <c r="E1259" s="113" t="n">
        <v>-100</v>
      </c>
      <c r="F1259" s="70" t="n">
        <f aca="false">IF(ISNUMBER(FIND("SALDO ANTERIOR",C1259)),0,IF(ISNUMBER(FIND("SALDO DO DIA",C1259)),0,IF(ISNUMBER(FIND("SALDO PARCIAL",C1259)),0,IF(ISNUMBER(FIND("SDO CTA/APL AUTOMATICAS",C1259)),0,IF(ISNUMBER(FIND("APL APLIC AUT MAIS",C1259)),0,IF(ISNUMBER(FIND("TEC DEPOSITO",C1259)),0,IF(E1259&gt;0,0,E1259*(-1))))))))</f>
        <v>100</v>
      </c>
      <c r="G1259" s="97" t="n">
        <f aca="false">IF(ISNUMBER(FIND("SALDO ANTERIOR",C1259)),0,IF(ISNUMBER(FIND("SALDO DO DIA",C1259)),0,IF(ISNUMBER(FIND("SDO CTA/APL AUTOMATICAS",C1259)),0,IF(ISNUMBER(FIND("TEC DEPOSITO",C1259)),0,IF(ISNUMBER(FIND("APL APLIC AUT MAIS",C1259)),E1259,IF(E1259&gt;0,E1259,0))))))</f>
        <v>0</v>
      </c>
      <c r="H1259" s="96" t="n">
        <v>44166</v>
      </c>
    </row>
    <row r="1260" customFormat="false" ht="15.8" hidden="false" customHeight="false" outlineLevel="0" collapsed="false">
      <c r="A1260" s="59" t="s">
        <v>98</v>
      </c>
      <c r="B1260" s="109" t="s">
        <v>840</v>
      </c>
      <c r="C1260" s="109" t="s">
        <v>533</v>
      </c>
      <c r="D1260" s="111" t="s">
        <v>64</v>
      </c>
      <c r="E1260" s="113" t="n">
        <v>-10</v>
      </c>
      <c r="F1260" s="70" t="n">
        <f aca="false">IF(ISNUMBER(FIND("SALDO ANTERIOR",C1260)),0,IF(ISNUMBER(FIND("SALDO DO DIA",C1260)),0,IF(ISNUMBER(FIND("SALDO PARCIAL",C1260)),0,IF(ISNUMBER(FIND("SDO CTA/APL AUTOMATICAS",C1260)),0,IF(ISNUMBER(FIND("APL APLIC AUT MAIS",C1260)),0,IF(ISNUMBER(FIND("TEC DEPOSITO",C1260)),0,IF(E1260&gt;0,0,E1260*(-1))))))))</f>
        <v>10</v>
      </c>
      <c r="G1260" s="97" t="n">
        <f aca="false">IF(ISNUMBER(FIND("SALDO ANTERIOR",C1260)),0,IF(ISNUMBER(FIND("SALDO DO DIA",C1260)),0,IF(ISNUMBER(FIND("SDO CTA/APL AUTOMATICAS",C1260)),0,IF(ISNUMBER(FIND("TEC DEPOSITO",C1260)),0,IF(ISNUMBER(FIND("APL APLIC AUT MAIS",C1260)),E1260,IF(E1260&gt;0,E1260,0))))))</f>
        <v>0</v>
      </c>
      <c r="H1260" s="96" t="n">
        <v>44166</v>
      </c>
    </row>
    <row r="1261" customFormat="false" ht="15.8" hidden="false" customHeight="false" outlineLevel="0" collapsed="false">
      <c r="A1261" s="59" t="s">
        <v>532</v>
      </c>
      <c r="B1261" s="109" t="s">
        <v>840</v>
      </c>
      <c r="C1261" s="109" t="s">
        <v>163</v>
      </c>
      <c r="D1261" s="111" t="s">
        <v>64</v>
      </c>
      <c r="E1261" s="113" t="n">
        <v>-11</v>
      </c>
      <c r="F1261" s="70" t="n">
        <f aca="false">IF(ISNUMBER(FIND("SALDO ANTERIOR",C1261)),0,IF(ISNUMBER(FIND("SALDO DO DIA",C1261)),0,IF(ISNUMBER(FIND("SALDO PARCIAL",C1261)),0,IF(ISNUMBER(FIND("SDO CTA/APL AUTOMATICAS",C1261)),0,IF(ISNUMBER(FIND("APL APLIC AUT MAIS",C1261)),0,IF(ISNUMBER(FIND("TEC DEPOSITO",C1261)),0,IF(E1261&gt;0,0,E1261*(-1))))))))</f>
        <v>11</v>
      </c>
      <c r="G1261" s="97" t="n">
        <f aca="false">IF(ISNUMBER(FIND("SALDO ANTERIOR",C1261)),0,IF(ISNUMBER(FIND("SALDO DO DIA",C1261)),0,IF(ISNUMBER(FIND("SDO CTA/APL AUTOMATICAS",C1261)),0,IF(ISNUMBER(FIND("TEC DEPOSITO",C1261)),0,IF(ISNUMBER(FIND("APL APLIC AUT MAIS",C1261)),E1261,IF(E1261&gt;0,E1261,0))))))</f>
        <v>0</v>
      </c>
      <c r="H1261" s="96" t="n">
        <v>44166</v>
      </c>
    </row>
    <row r="1262" customFormat="false" ht="15.8" hidden="false" customHeight="false" outlineLevel="0" collapsed="false">
      <c r="A1262" s="59" t="s">
        <v>127</v>
      </c>
      <c r="B1262" s="109" t="s">
        <v>840</v>
      </c>
      <c r="C1262" s="109" t="s">
        <v>247</v>
      </c>
      <c r="D1262" s="111" t="s">
        <v>64</v>
      </c>
      <c r="E1262" s="113" t="n">
        <v>-25.42</v>
      </c>
      <c r="F1262" s="70" t="n">
        <f aca="false">IF(ISNUMBER(FIND("SALDO ANTERIOR",C1262)),0,IF(ISNUMBER(FIND("SALDO DO DIA",C1262)),0,IF(ISNUMBER(FIND("SALDO PARCIAL",C1262)),0,IF(ISNUMBER(FIND("SDO CTA/APL AUTOMATICAS",C1262)),0,IF(ISNUMBER(FIND("APL APLIC AUT MAIS",C1262)),0,IF(ISNUMBER(FIND("TEC DEPOSITO",C1262)),0,IF(E1262&gt;0,0,E1262*(-1))))))))</f>
        <v>25.42</v>
      </c>
      <c r="G1262" s="97" t="n">
        <f aca="false">IF(ISNUMBER(FIND("SALDO ANTERIOR",C1262)),0,IF(ISNUMBER(FIND("SALDO DO DIA",C1262)),0,IF(ISNUMBER(FIND("SDO CTA/APL AUTOMATICAS",C1262)),0,IF(ISNUMBER(FIND("TEC DEPOSITO",C1262)),0,IF(ISNUMBER(FIND("APL APLIC AUT MAIS",C1262)),E1262,IF(E1262&gt;0,E1262,0))))))</f>
        <v>0</v>
      </c>
      <c r="H1262" s="96" t="n">
        <v>44166</v>
      </c>
    </row>
    <row r="1263" customFormat="false" ht="15.8" hidden="false" customHeight="false" outlineLevel="0" collapsed="false">
      <c r="A1263" s="59" t="s">
        <v>316</v>
      </c>
      <c r="B1263" s="109" t="s">
        <v>840</v>
      </c>
      <c r="C1263" s="109" t="s">
        <v>479</v>
      </c>
      <c r="D1263" s="111" t="s">
        <v>64</v>
      </c>
      <c r="E1263" s="113" t="n">
        <v>-50</v>
      </c>
      <c r="F1263" s="70" t="n">
        <f aca="false">IF(ISNUMBER(FIND("SALDO ANTERIOR",C1263)),0,IF(ISNUMBER(FIND("SALDO DO DIA",C1263)),0,IF(ISNUMBER(FIND("SALDO PARCIAL",C1263)),0,IF(ISNUMBER(FIND("SDO CTA/APL AUTOMATICAS",C1263)),0,IF(ISNUMBER(FIND("APL APLIC AUT MAIS",C1263)),0,IF(ISNUMBER(FIND("TEC DEPOSITO",C1263)),0,IF(E1263&gt;0,0,E1263*(-1))))))))</f>
        <v>50</v>
      </c>
      <c r="G1263" s="97" t="n">
        <f aca="false">IF(ISNUMBER(FIND("SALDO ANTERIOR",C1263)),0,IF(ISNUMBER(FIND("SALDO DO DIA",C1263)),0,IF(ISNUMBER(FIND("SDO CTA/APL AUTOMATICAS",C1263)),0,IF(ISNUMBER(FIND("TEC DEPOSITO",C1263)),0,IF(ISNUMBER(FIND("APL APLIC AUT MAIS",C1263)),E1263,IF(E1263&gt;0,E1263,0))))))</f>
        <v>0</v>
      </c>
      <c r="H1263" s="96" t="n">
        <v>44166</v>
      </c>
    </row>
    <row r="1264" customFormat="false" ht="15.8" hidden="false" customHeight="false" outlineLevel="0" collapsed="false">
      <c r="A1264" s="59" t="s">
        <v>98</v>
      </c>
      <c r="B1264" s="109" t="s">
        <v>840</v>
      </c>
      <c r="C1264" s="109" t="s">
        <v>99</v>
      </c>
      <c r="D1264" s="111" t="s">
        <v>64</v>
      </c>
      <c r="E1264" s="113" t="n">
        <v>-76.77</v>
      </c>
      <c r="F1264" s="70" t="n">
        <f aca="false">IF(ISNUMBER(FIND("SALDO ANTERIOR",C1264)),0,IF(ISNUMBER(FIND("SALDO DO DIA",C1264)),0,IF(ISNUMBER(FIND("SALDO PARCIAL",C1264)),0,IF(ISNUMBER(FIND("SDO CTA/APL AUTOMATICAS",C1264)),0,IF(ISNUMBER(FIND("APL APLIC AUT MAIS",C1264)),0,IF(ISNUMBER(FIND("TEC DEPOSITO",C1264)),0,IF(E1264&gt;0,0,E1264*(-1))))))))</f>
        <v>76.77</v>
      </c>
      <c r="G1264" s="97" t="n">
        <f aca="false">IF(ISNUMBER(FIND("SALDO ANTERIOR",C1264)),0,IF(ISNUMBER(FIND("SALDO DO DIA",C1264)),0,IF(ISNUMBER(FIND("SDO CTA/APL AUTOMATICAS",C1264)),0,IF(ISNUMBER(FIND("TEC DEPOSITO",C1264)),0,IF(ISNUMBER(FIND("APL APLIC AUT MAIS",C1264)),E1264,IF(E1264&gt;0,E1264,0))))))</f>
        <v>0</v>
      </c>
      <c r="H1264" s="96" t="n">
        <v>44166</v>
      </c>
    </row>
    <row r="1265" customFormat="false" ht="17" hidden="false" customHeight="false" outlineLevel="0" collapsed="false">
      <c r="A1265" s="59" t="s">
        <v>29</v>
      </c>
      <c r="B1265" s="109" t="s">
        <v>840</v>
      </c>
      <c r="C1265" s="110" t="s">
        <v>494</v>
      </c>
      <c r="D1265" s="111"/>
      <c r="E1265" s="115" t="n">
        <v>-1384.53</v>
      </c>
      <c r="F1265" s="70" t="n">
        <f aca="false">IF(ISNUMBER(FIND("SALDO ANTERIOR",C1265)),0,IF(ISNUMBER(FIND("SALDO DO DIA",C1265)),0,IF(ISNUMBER(FIND("SALDO PARCIAL",C1265)),0,IF(ISNUMBER(FIND("SDO CTA/APL AUTOMATICAS",C1265)),0,IF(ISNUMBER(FIND("APL APLIC AUT MAIS",C1265)),0,IF(ISNUMBER(FIND("TEC DEPOSITO",C1265)),0,IF(E1265&gt;0,0,E1265*(-1))))))))</f>
        <v>0</v>
      </c>
      <c r="G1265" s="97" t="n">
        <f aca="false">IF(ISNUMBER(FIND("SALDO ANTERIOR",C1265)),0,IF(ISNUMBER(FIND("SALDO DO DIA",C1265)),0,IF(ISNUMBER(FIND("SDO CTA/APL AUTOMATICAS",C1265)),0,IF(ISNUMBER(FIND("TEC DEPOSITO",C1265)),0,IF(ISNUMBER(FIND("APL APLIC AUT MAIS",C1265)),E1265,IF(E1265&gt;0,E1265,0))))))</f>
        <v>0</v>
      </c>
      <c r="H1265" s="96" t="n">
        <v>44166</v>
      </c>
    </row>
    <row r="1266" customFormat="false" ht="15.8" hidden="false" customHeight="false" outlineLevel="0" collapsed="false">
      <c r="A1266" s="59" t="s">
        <v>842</v>
      </c>
      <c r="B1266" s="109" t="s">
        <v>843</v>
      </c>
      <c r="C1266" s="109" t="s">
        <v>844</v>
      </c>
      <c r="D1266" s="111" t="s">
        <v>61</v>
      </c>
      <c r="E1266" s="113" t="n">
        <v>-30</v>
      </c>
      <c r="F1266" s="70" t="n">
        <f aca="false">IF(ISNUMBER(FIND("SALDO ANTERIOR",C1266)),0,IF(ISNUMBER(FIND("SALDO DO DIA",C1266)),0,IF(ISNUMBER(FIND("SALDO PARCIAL",C1266)),0,IF(ISNUMBER(FIND("SDO CTA/APL AUTOMATICAS",C1266)),0,IF(ISNUMBER(FIND("APL APLIC AUT MAIS",C1266)),0,IF(ISNUMBER(FIND("TEC DEPOSITO",C1266)),0,IF(E1266&gt;0,0,E1266*(-1))))))))</f>
        <v>30</v>
      </c>
      <c r="G1266" s="97" t="n">
        <f aca="false">IF(ISNUMBER(FIND("SALDO ANTERIOR",C1266)),0,IF(ISNUMBER(FIND("SALDO DO DIA",C1266)),0,IF(ISNUMBER(FIND("SDO CTA/APL AUTOMATICAS",C1266)),0,IF(ISNUMBER(FIND("TEC DEPOSITO",C1266)),0,IF(ISNUMBER(FIND("APL APLIC AUT MAIS",C1266)),E1266,IF(E1266&gt;0,E1266,0))))))</f>
        <v>0</v>
      </c>
      <c r="H1266" s="96" t="n">
        <v>44166</v>
      </c>
    </row>
    <row r="1267" customFormat="false" ht="15.8" hidden="false" customHeight="false" outlineLevel="0" collapsed="false">
      <c r="A1267" s="59" t="s">
        <v>98</v>
      </c>
      <c r="B1267" s="109" t="s">
        <v>843</v>
      </c>
      <c r="C1267" s="109" t="s">
        <v>743</v>
      </c>
      <c r="D1267" s="111" t="s">
        <v>64</v>
      </c>
      <c r="E1267" s="113" t="n">
        <v>-17.19</v>
      </c>
      <c r="F1267" s="70" t="n">
        <f aca="false">IF(ISNUMBER(FIND("SALDO ANTERIOR",C1267)),0,IF(ISNUMBER(FIND("SALDO DO DIA",C1267)),0,IF(ISNUMBER(FIND("SALDO PARCIAL",C1267)),0,IF(ISNUMBER(FIND("SDO CTA/APL AUTOMATICAS",C1267)),0,IF(ISNUMBER(FIND("APL APLIC AUT MAIS",C1267)),0,IF(ISNUMBER(FIND("TEC DEPOSITO",C1267)),0,IF(E1267&gt;0,0,E1267*(-1))))))))</f>
        <v>17.19</v>
      </c>
      <c r="G1267" s="97" t="n">
        <f aca="false">IF(ISNUMBER(FIND("SALDO ANTERIOR",C1267)),0,IF(ISNUMBER(FIND("SALDO DO DIA",C1267)),0,IF(ISNUMBER(FIND("SDO CTA/APL AUTOMATICAS",C1267)),0,IF(ISNUMBER(FIND("TEC DEPOSITO",C1267)),0,IF(ISNUMBER(FIND("APL APLIC AUT MAIS",C1267)),E1267,IF(E1267&gt;0,E1267,0))))))</f>
        <v>0</v>
      </c>
      <c r="H1267" s="96" t="n">
        <v>44166</v>
      </c>
    </row>
    <row r="1268" customFormat="false" ht="15.8" hidden="false" customHeight="false" outlineLevel="0" collapsed="false">
      <c r="A1268" s="59" t="s">
        <v>122</v>
      </c>
      <c r="B1268" s="109" t="s">
        <v>843</v>
      </c>
      <c r="C1268" s="109" t="s">
        <v>123</v>
      </c>
      <c r="D1268" s="111" t="s">
        <v>61</v>
      </c>
      <c r="E1268" s="113" t="n">
        <v>-5558.24</v>
      </c>
      <c r="F1268" s="70" t="n">
        <f aca="false">IF(ISNUMBER(FIND("SALDO ANTERIOR",C1268)),0,IF(ISNUMBER(FIND("SALDO DO DIA",C1268)),0,IF(ISNUMBER(FIND("SALDO PARCIAL",C1268)),0,IF(ISNUMBER(FIND("SDO CTA/APL AUTOMATICAS",C1268)),0,IF(ISNUMBER(FIND("APL APLIC AUT MAIS",C1268)),0,IF(ISNUMBER(FIND("TEC DEPOSITO",C1268)),0,IF(E1268&gt;0,0,E1268*(-1))))))))</f>
        <v>5558.24</v>
      </c>
      <c r="G1268" s="97" t="n">
        <f aca="false">IF(ISNUMBER(FIND("SALDO ANTERIOR",C1268)),0,IF(ISNUMBER(FIND("SALDO DO DIA",C1268)),0,IF(ISNUMBER(FIND("SDO CTA/APL AUTOMATICAS",C1268)),0,IF(ISNUMBER(FIND("TEC DEPOSITO",C1268)),0,IF(ISNUMBER(FIND("APL APLIC AUT MAIS",C1268)),E1268,IF(E1268&gt;0,E1268,0))))))</f>
        <v>0</v>
      </c>
      <c r="H1268" s="96" t="n">
        <v>44166</v>
      </c>
    </row>
    <row r="1269" customFormat="false" ht="15.8" hidden="false" customHeight="false" outlineLevel="0" collapsed="false">
      <c r="A1269" s="59" t="s">
        <v>167</v>
      </c>
      <c r="B1269" s="109" t="s">
        <v>843</v>
      </c>
      <c r="C1269" s="109" t="s">
        <v>168</v>
      </c>
      <c r="D1269" s="111" t="s">
        <v>61</v>
      </c>
      <c r="E1269" s="114" t="n">
        <v>3148.16</v>
      </c>
      <c r="F1269" s="70" t="n">
        <f aca="false">IF(ISNUMBER(FIND("SALDO ANTERIOR",C1269)),0,IF(ISNUMBER(FIND("SALDO DO DIA",C1269)),0,IF(ISNUMBER(FIND("SALDO PARCIAL",C1269)),0,IF(ISNUMBER(FIND("SDO CTA/APL AUTOMATICAS",C1269)),0,IF(ISNUMBER(FIND("APL APLIC AUT MAIS",C1269)),0,IF(ISNUMBER(FIND("TEC DEPOSITO",C1269)),0,IF(E1269&gt;0,0,E1269*(-1))))))))</f>
        <v>0</v>
      </c>
      <c r="G1269" s="97" t="n">
        <f aca="false">IF(ISNUMBER(FIND("SALDO ANTERIOR",C1269)),0,IF(ISNUMBER(FIND("SALDO DO DIA",C1269)),0,IF(ISNUMBER(FIND("SDO CTA/APL AUTOMATICAS",C1269)),0,IF(ISNUMBER(FIND("TEC DEPOSITO",C1269)),0,IF(ISNUMBER(FIND("APL APLIC AUT MAIS",C1269)),E1269,IF(E1269&gt;0,E1269,0))))))</f>
        <v>3148.16</v>
      </c>
      <c r="H1269" s="96" t="n">
        <v>44166</v>
      </c>
    </row>
    <row r="1270" customFormat="false" ht="15.8" hidden="false" customHeight="false" outlineLevel="0" collapsed="false">
      <c r="A1270" s="59" t="s">
        <v>127</v>
      </c>
      <c r="B1270" s="109" t="s">
        <v>843</v>
      </c>
      <c r="C1270" s="109" t="s">
        <v>128</v>
      </c>
      <c r="D1270" s="111"/>
      <c r="E1270" s="114" t="n">
        <v>4390</v>
      </c>
      <c r="F1270" s="70" t="n">
        <f aca="false">IF(ISNUMBER(FIND("SALDO ANTERIOR",C1270)),0,IF(ISNUMBER(FIND("SALDO DO DIA",C1270)),0,IF(ISNUMBER(FIND("SALDO PARCIAL",C1270)),0,IF(ISNUMBER(FIND("SDO CTA/APL AUTOMATICAS",C1270)),0,IF(ISNUMBER(FIND("APL APLIC AUT MAIS",C1270)),0,IF(ISNUMBER(FIND("TEC DEPOSITO",C1270)),0,IF(E1270&gt;0,0,E1270*(-1))))))))</f>
        <v>0</v>
      </c>
      <c r="G1270" s="97" t="n">
        <f aca="false">IF(ISNUMBER(FIND("SALDO ANTERIOR",C1270)),0,IF(ISNUMBER(FIND("SALDO DO DIA",C1270)),0,IF(ISNUMBER(FIND("SDO CTA/APL AUTOMATICAS",C1270)),0,IF(ISNUMBER(FIND("TEC DEPOSITO",C1270)),0,IF(ISNUMBER(FIND("APL APLIC AUT MAIS",C1270)),E1270,IF(E1270&gt;0,E1270,0))))))</f>
        <v>4390</v>
      </c>
      <c r="H1270" s="96" t="n">
        <v>44166</v>
      </c>
    </row>
    <row r="1271" customFormat="false" ht="17" hidden="false" customHeight="false" outlineLevel="0" collapsed="false">
      <c r="A1271" s="59" t="s">
        <v>29</v>
      </c>
      <c r="B1271" s="109" t="s">
        <v>843</v>
      </c>
      <c r="C1271" s="110" t="s">
        <v>521</v>
      </c>
      <c r="D1271" s="111"/>
      <c r="E1271" s="112" t="n">
        <v>548.2</v>
      </c>
      <c r="F1271" s="70" t="n">
        <f aca="false">IF(ISNUMBER(FIND("SALDO ANTERIOR",C1271)),0,IF(ISNUMBER(FIND("SALDO DO DIA",C1271)),0,IF(ISNUMBER(FIND("SALDO PARCIAL",C1271)),0,IF(ISNUMBER(FIND("SDO CTA/APL AUTOMATICAS",C1271)),0,IF(ISNUMBER(FIND("APL APLIC AUT MAIS",C1271)),0,IF(ISNUMBER(FIND("TEC DEPOSITO",C1271)),0,IF(E1271&gt;0,0,E1271*(-1))))))))</f>
        <v>0</v>
      </c>
      <c r="G1271" s="97" t="n">
        <f aca="false">IF(ISNUMBER(FIND("SALDO ANTERIOR",C1271)),0,IF(ISNUMBER(FIND("SALDO DO DIA",C1271)),0,IF(ISNUMBER(FIND("SDO CTA/APL AUTOMATICAS",C1271)),0,IF(ISNUMBER(FIND("TEC DEPOSITO",C1271)),0,IF(ISNUMBER(FIND("APL APLIC AUT MAIS",C1271)),E1271,IF(E1271&gt;0,E1271,0))))))</f>
        <v>0</v>
      </c>
      <c r="H1271" s="96" t="n">
        <v>44166</v>
      </c>
    </row>
    <row r="1272" customFormat="false" ht="15.8" hidden="false" customHeight="false" outlineLevel="0" collapsed="false">
      <c r="A1272" s="59" t="s">
        <v>845</v>
      </c>
      <c r="B1272" s="109" t="s">
        <v>846</v>
      </c>
      <c r="C1272" s="109" t="s">
        <v>847</v>
      </c>
      <c r="D1272" s="111" t="s">
        <v>732</v>
      </c>
      <c r="E1272" s="113" t="n">
        <v>-130</v>
      </c>
      <c r="F1272" s="70" t="n">
        <f aca="false">IF(ISNUMBER(FIND("SALDO ANTERIOR",C1272)),0,IF(ISNUMBER(FIND("SALDO DO DIA",C1272)),0,IF(ISNUMBER(FIND("SALDO PARCIAL",C1272)),0,IF(ISNUMBER(FIND("SDO CTA/APL AUTOMATICAS",C1272)),0,IF(ISNUMBER(FIND("APL APLIC AUT MAIS",C1272)),0,IF(ISNUMBER(FIND("TEC DEPOSITO",C1272)),0,IF(E1272&gt;0,0,E1272*(-1))))))))</f>
        <v>130</v>
      </c>
      <c r="G1272" s="97" t="n">
        <f aca="false">IF(ISNUMBER(FIND("SALDO ANTERIOR",C1272)),0,IF(ISNUMBER(FIND("SALDO DO DIA",C1272)),0,IF(ISNUMBER(FIND("SDO CTA/APL AUTOMATICAS",C1272)),0,IF(ISNUMBER(FIND("TEC DEPOSITO",C1272)),0,IF(ISNUMBER(FIND("APL APLIC AUT MAIS",C1272)),E1272,IF(E1272&gt;0,E1272,0))))))</f>
        <v>0</v>
      </c>
      <c r="H1272" s="96" t="n">
        <v>44166</v>
      </c>
    </row>
    <row r="1273" customFormat="false" ht="17" hidden="false" customHeight="false" outlineLevel="0" collapsed="false">
      <c r="A1273" s="59" t="s">
        <v>29</v>
      </c>
      <c r="B1273" s="109" t="s">
        <v>846</v>
      </c>
      <c r="C1273" s="110" t="s">
        <v>521</v>
      </c>
      <c r="D1273" s="111"/>
      <c r="E1273" s="112" t="n">
        <v>418.2</v>
      </c>
      <c r="F1273" s="70" t="n">
        <f aca="false">IF(ISNUMBER(FIND("SALDO ANTERIOR",C1273)),0,IF(ISNUMBER(FIND("SALDO DO DIA",C1273)),0,IF(ISNUMBER(FIND("SALDO PARCIAL",C1273)),0,IF(ISNUMBER(FIND("SDO CTA/APL AUTOMATICAS",C1273)),0,IF(ISNUMBER(FIND("APL APLIC AUT MAIS",C1273)),0,IF(ISNUMBER(FIND("TEC DEPOSITO",C1273)),0,IF(E1273&gt;0,0,E1273*(-1))))))))</f>
        <v>0</v>
      </c>
      <c r="G1273" s="97" t="n">
        <f aca="false">IF(ISNUMBER(FIND("SALDO ANTERIOR",C1273)),0,IF(ISNUMBER(FIND("SALDO DO DIA",C1273)),0,IF(ISNUMBER(FIND("SDO CTA/APL AUTOMATICAS",C1273)),0,IF(ISNUMBER(FIND("TEC DEPOSITO",C1273)),0,IF(ISNUMBER(FIND("APL APLIC AUT MAIS",C1273)),E1273,IF(E1273&gt;0,E1273,0))))))</f>
        <v>0</v>
      </c>
      <c r="H1273" s="96" t="n">
        <v>44166</v>
      </c>
    </row>
    <row r="1274" customFormat="false" ht="15.8" hidden="false" customHeight="false" outlineLevel="0" collapsed="false">
      <c r="A1274" s="59" t="s">
        <v>532</v>
      </c>
      <c r="B1274" s="109" t="s">
        <v>848</v>
      </c>
      <c r="C1274" s="109" t="s">
        <v>533</v>
      </c>
      <c r="D1274" s="111" t="s">
        <v>64</v>
      </c>
      <c r="E1274" s="113" t="n">
        <v>-10</v>
      </c>
      <c r="F1274" s="70" t="n">
        <f aca="false">IF(ISNUMBER(FIND("SALDO ANTERIOR",C1274)),0,IF(ISNUMBER(FIND("SALDO DO DIA",C1274)),0,IF(ISNUMBER(FIND("SALDO PARCIAL",C1274)),0,IF(ISNUMBER(FIND("SDO CTA/APL AUTOMATICAS",C1274)),0,IF(ISNUMBER(FIND("APL APLIC AUT MAIS",C1274)),0,IF(ISNUMBER(FIND("TEC DEPOSITO",C1274)),0,IF(E1274&gt;0,0,E1274*(-1))))))))</f>
        <v>10</v>
      </c>
      <c r="G1274" s="97" t="n">
        <f aca="false">IF(ISNUMBER(FIND("SALDO ANTERIOR",C1274)),0,IF(ISNUMBER(FIND("SALDO DO DIA",C1274)),0,IF(ISNUMBER(FIND("SDO CTA/APL AUTOMATICAS",C1274)),0,IF(ISNUMBER(FIND("TEC DEPOSITO",C1274)),0,IF(ISNUMBER(FIND("APL APLIC AUT MAIS",C1274)),E1274,IF(E1274&gt;0,E1274,0))))))</f>
        <v>0</v>
      </c>
      <c r="H1274" s="96" t="n">
        <v>44166</v>
      </c>
    </row>
    <row r="1275" customFormat="false" ht="15.8" hidden="false" customHeight="false" outlineLevel="0" collapsed="false">
      <c r="A1275" s="59" t="s">
        <v>74</v>
      </c>
      <c r="B1275" s="109" t="s">
        <v>848</v>
      </c>
      <c r="C1275" s="109" t="s">
        <v>615</v>
      </c>
      <c r="D1275" s="111" t="s">
        <v>64</v>
      </c>
      <c r="E1275" s="113" t="n">
        <v>-21.58</v>
      </c>
      <c r="F1275" s="70" t="n">
        <f aca="false">IF(ISNUMBER(FIND("SALDO ANTERIOR",C1275)),0,IF(ISNUMBER(FIND("SALDO DO DIA",C1275)),0,IF(ISNUMBER(FIND("SALDO PARCIAL",C1275)),0,IF(ISNUMBER(FIND("SDO CTA/APL AUTOMATICAS",C1275)),0,IF(ISNUMBER(FIND("APL APLIC AUT MAIS",C1275)),0,IF(ISNUMBER(FIND("TEC DEPOSITO",C1275)),0,IF(E1275&gt;0,0,E1275*(-1))))))))</f>
        <v>21.58</v>
      </c>
      <c r="G1275" s="97" t="n">
        <f aca="false">IF(ISNUMBER(FIND("SALDO ANTERIOR",C1275)),0,IF(ISNUMBER(FIND("SALDO DO DIA",C1275)),0,IF(ISNUMBER(FIND("SDO CTA/APL AUTOMATICAS",C1275)),0,IF(ISNUMBER(FIND("TEC DEPOSITO",C1275)),0,IF(ISNUMBER(FIND("APL APLIC AUT MAIS",C1275)),E1275,IF(E1275&gt;0,E1275,0))))))</f>
        <v>0</v>
      </c>
      <c r="H1275" s="96" t="n">
        <v>44166</v>
      </c>
    </row>
    <row r="1276" customFormat="false" ht="17" hidden="false" customHeight="false" outlineLevel="0" collapsed="false">
      <c r="A1276" s="59" t="s">
        <v>29</v>
      </c>
      <c r="B1276" s="109" t="s">
        <v>848</v>
      </c>
      <c r="C1276" s="110" t="s">
        <v>521</v>
      </c>
      <c r="D1276" s="111"/>
      <c r="E1276" s="112" t="n">
        <v>386.62</v>
      </c>
      <c r="F1276" s="70" t="n">
        <f aca="false">IF(ISNUMBER(FIND("SALDO ANTERIOR",C1276)),0,IF(ISNUMBER(FIND("SALDO DO DIA",C1276)),0,IF(ISNUMBER(FIND("SALDO PARCIAL",C1276)),0,IF(ISNUMBER(FIND("SDO CTA/APL AUTOMATICAS",C1276)),0,IF(ISNUMBER(FIND("APL APLIC AUT MAIS",C1276)),0,IF(ISNUMBER(FIND("TEC DEPOSITO",C1276)),0,IF(E1276&gt;0,0,E1276*(-1))))))))</f>
        <v>0</v>
      </c>
      <c r="G1276" s="97" t="n">
        <f aca="false">IF(ISNUMBER(FIND("SALDO ANTERIOR",C1276)),0,IF(ISNUMBER(FIND("SALDO DO DIA",C1276)),0,IF(ISNUMBER(FIND("SDO CTA/APL AUTOMATICAS",C1276)),0,IF(ISNUMBER(FIND("TEC DEPOSITO",C1276)),0,IF(ISNUMBER(FIND("APL APLIC AUT MAIS",C1276)),E1276,IF(E1276&gt;0,E1276,0))))))</f>
        <v>0</v>
      </c>
      <c r="H1276" s="96" t="n">
        <v>44166</v>
      </c>
    </row>
    <row r="1277" customFormat="false" ht="15.8" hidden="false" customHeight="false" outlineLevel="0" collapsed="false">
      <c r="A1277" s="59" t="s">
        <v>35</v>
      </c>
      <c r="B1277" s="109" t="s">
        <v>849</v>
      </c>
      <c r="C1277" s="109" t="s">
        <v>168</v>
      </c>
      <c r="D1277" s="111" t="s">
        <v>61</v>
      </c>
      <c r="E1277" s="113" t="n">
        <v>-7000</v>
      </c>
      <c r="F1277" s="70" t="n">
        <f aca="false">IF(ISNUMBER(FIND("SALDO ANTERIOR",C1277)),0,IF(ISNUMBER(FIND("SALDO DO DIA",C1277)),0,IF(ISNUMBER(FIND("SALDO PARCIAL",C1277)),0,IF(ISNUMBER(FIND("SDO CTA/APL AUTOMATICAS",C1277)),0,IF(ISNUMBER(FIND("APL APLIC AUT MAIS",C1277)),0,IF(ISNUMBER(FIND("TEC DEPOSITO",C1277)),0,IF(E1277&gt;0,0,E1277*(-1))))))))</f>
        <v>7000</v>
      </c>
      <c r="G1277" s="97" t="n">
        <f aca="false">IF(ISNUMBER(FIND("SALDO ANTERIOR",C1277)),0,IF(ISNUMBER(FIND("SALDO DO DIA",C1277)),0,IF(ISNUMBER(FIND("SDO CTA/APL AUTOMATICAS",C1277)),0,IF(ISNUMBER(FIND("TEC DEPOSITO",C1277)),0,IF(ISNUMBER(FIND("APL APLIC AUT MAIS",C1277)),E1277,IF(E1277&gt;0,E1277,0))))))</f>
        <v>0</v>
      </c>
      <c r="H1277" s="96" t="n">
        <v>44166</v>
      </c>
    </row>
    <row r="1278" customFormat="false" ht="15.8" hidden="false" customHeight="false" outlineLevel="0" collapsed="false">
      <c r="A1278" s="59" t="s">
        <v>98</v>
      </c>
      <c r="B1278" s="109" t="s">
        <v>849</v>
      </c>
      <c r="C1278" s="109" t="s">
        <v>743</v>
      </c>
      <c r="D1278" s="111" t="s">
        <v>64</v>
      </c>
      <c r="E1278" s="113" t="n">
        <v>-10.8</v>
      </c>
      <c r="F1278" s="70" t="n">
        <f aca="false">IF(ISNUMBER(FIND("SALDO ANTERIOR",C1278)),0,IF(ISNUMBER(FIND("SALDO DO DIA",C1278)),0,IF(ISNUMBER(FIND("SALDO PARCIAL",C1278)),0,IF(ISNUMBER(FIND("SDO CTA/APL AUTOMATICAS",C1278)),0,IF(ISNUMBER(FIND("APL APLIC AUT MAIS",C1278)),0,IF(ISNUMBER(FIND("TEC DEPOSITO",C1278)),0,IF(E1278&gt;0,0,E1278*(-1))))))))</f>
        <v>10.8</v>
      </c>
      <c r="G1278" s="97" t="n">
        <f aca="false">IF(ISNUMBER(FIND("SALDO ANTERIOR",C1278)),0,IF(ISNUMBER(FIND("SALDO DO DIA",C1278)),0,IF(ISNUMBER(FIND("SDO CTA/APL AUTOMATICAS",C1278)),0,IF(ISNUMBER(FIND("TEC DEPOSITO",C1278)),0,IF(ISNUMBER(FIND("APL APLIC AUT MAIS",C1278)),E1278,IF(E1278&gt;0,E1278,0))))))</f>
        <v>0</v>
      </c>
      <c r="H1278" s="96" t="n">
        <v>44166</v>
      </c>
    </row>
    <row r="1279" customFormat="false" ht="15.8" hidden="false" customHeight="false" outlineLevel="0" collapsed="false">
      <c r="A1279" s="59" t="s">
        <v>850</v>
      </c>
      <c r="B1279" s="109" t="s">
        <v>849</v>
      </c>
      <c r="C1279" s="109" t="s">
        <v>851</v>
      </c>
      <c r="D1279" s="111" t="s">
        <v>852</v>
      </c>
      <c r="E1279" s="113" t="n">
        <v>-48</v>
      </c>
      <c r="F1279" s="70" t="n">
        <f aca="false">IF(ISNUMBER(FIND("SALDO ANTERIOR",C1279)),0,IF(ISNUMBER(FIND("SALDO DO DIA",C1279)),0,IF(ISNUMBER(FIND("SALDO PARCIAL",C1279)),0,IF(ISNUMBER(FIND("SDO CTA/APL AUTOMATICAS",C1279)),0,IF(ISNUMBER(FIND("APL APLIC AUT MAIS",C1279)),0,IF(ISNUMBER(FIND("TEC DEPOSITO",C1279)),0,IF(E1279&gt;0,0,E1279*(-1))))))))</f>
        <v>48</v>
      </c>
      <c r="G1279" s="97" t="n">
        <f aca="false">IF(ISNUMBER(FIND("SALDO ANTERIOR",C1279)),0,IF(ISNUMBER(FIND("SALDO DO DIA",C1279)),0,IF(ISNUMBER(FIND("SDO CTA/APL AUTOMATICAS",C1279)),0,IF(ISNUMBER(FIND("TEC DEPOSITO",C1279)),0,IF(ISNUMBER(FIND("APL APLIC AUT MAIS",C1279)),E1279,IF(E1279&gt;0,E1279,0))))))</f>
        <v>0</v>
      </c>
      <c r="H1279" s="96" t="n">
        <v>44166</v>
      </c>
    </row>
    <row r="1280" customFormat="false" ht="15.8" hidden="false" customHeight="false" outlineLevel="0" collapsed="false">
      <c r="A1280" s="59" t="s">
        <v>127</v>
      </c>
      <c r="B1280" s="109" t="s">
        <v>849</v>
      </c>
      <c r="C1280" s="109" t="s">
        <v>128</v>
      </c>
      <c r="D1280" s="111"/>
      <c r="E1280" s="114" t="n">
        <v>9490</v>
      </c>
      <c r="F1280" s="70" t="n">
        <f aca="false">IF(ISNUMBER(FIND("SALDO ANTERIOR",C1280)),0,IF(ISNUMBER(FIND("SALDO DO DIA",C1280)),0,IF(ISNUMBER(FIND("SALDO PARCIAL",C1280)),0,IF(ISNUMBER(FIND("SDO CTA/APL AUTOMATICAS",C1280)),0,IF(ISNUMBER(FIND("APL APLIC AUT MAIS",C1280)),0,IF(ISNUMBER(FIND("TEC DEPOSITO",C1280)),0,IF(E1280&gt;0,0,E1280*(-1))))))))</f>
        <v>0</v>
      </c>
      <c r="G1280" s="97" t="n">
        <f aca="false">IF(ISNUMBER(FIND("SALDO ANTERIOR",C1280)),0,IF(ISNUMBER(FIND("SALDO DO DIA",C1280)),0,IF(ISNUMBER(FIND("SDO CTA/APL AUTOMATICAS",C1280)),0,IF(ISNUMBER(FIND("TEC DEPOSITO",C1280)),0,IF(ISNUMBER(FIND("APL APLIC AUT MAIS",C1280)),E1280,IF(E1280&gt;0,E1280,0))))))</f>
        <v>9490</v>
      </c>
      <c r="H1280" s="96" t="n">
        <v>44166</v>
      </c>
    </row>
    <row r="1281" customFormat="false" ht="17" hidden="false" customHeight="false" outlineLevel="0" collapsed="false">
      <c r="A1281" s="59" t="s">
        <v>29</v>
      </c>
      <c r="B1281" s="109" t="s">
        <v>849</v>
      </c>
      <c r="C1281" s="110" t="s">
        <v>521</v>
      </c>
      <c r="D1281" s="111"/>
      <c r="E1281" s="112" t="n">
        <v>2817.82</v>
      </c>
      <c r="F1281" s="70" t="n">
        <f aca="false">IF(ISNUMBER(FIND("SALDO ANTERIOR",C1281)),0,IF(ISNUMBER(FIND("SALDO DO DIA",C1281)),0,IF(ISNUMBER(FIND("SALDO PARCIAL",C1281)),0,IF(ISNUMBER(FIND("SDO CTA/APL AUTOMATICAS",C1281)),0,IF(ISNUMBER(FIND("APL APLIC AUT MAIS",C1281)),0,IF(ISNUMBER(FIND("TEC DEPOSITO",C1281)),0,IF(E1281&gt;0,0,E1281*(-1))))))))</f>
        <v>0</v>
      </c>
      <c r="G1281" s="97" t="n">
        <f aca="false">IF(ISNUMBER(FIND("SALDO ANTERIOR",C1281)),0,IF(ISNUMBER(FIND("SALDO DO DIA",C1281)),0,IF(ISNUMBER(FIND("SDO CTA/APL AUTOMATICAS",C1281)),0,IF(ISNUMBER(FIND("TEC DEPOSITO",C1281)),0,IF(ISNUMBER(FIND("APL APLIC AUT MAIS",C1281)),E1281,IF(E1281&gt;0,E1281,0))))))</f>
        <v>0</v>
      </c>
      <c r="H1281" s="96" t="n">
        <v>44166</v>
      </c>
    </row>
    <row r="1282" customFormat="false" ht="15.8" hidden="false" customHeight="false" outlineLevel="0" collapsed="false">
      <c r="A1282" s="59" t="s">
        <v>853</v>
      </c>
      <c r="B1282" s="109" t="s">
        <v>854</v>
      </c>
      <c r="C1282" s="109" t="s">
        <v>217</v>
      </c>
      <c r="D1282" s="111" t="s">
        <v>61</v>
      </c>
      <c r="E1282" s="113" t="n">
        <v>-100.8</v>
      </c>
      <c r="F1282" s="70" t="n">
        <f aca="false">IF(ISNUMBER(FIND("SALDO ANTERIOR",C1282)),0,IF(ISNUMBER(FIND("SALDO DO DIA",C1282)),0,IF(ISNUMBER(FIND("SALDO PARCIAL",C1282)),0,IF(ISNUMBER(FIND("SDO CTA/APL AUTOMATICAS",C1282)),0,IF(ISNUMBER(FIND("APL APLIC AUT MAIS",C1282)),0,IF(ISNUMBER(FIND("TEC DEPOSITO",C1282)),0,IF(E1282&gt;0,0,E1282*(-1))))))))</f>
        <v>100.8</v>
      </c>
      <c r="G1282" s="97" t="n">
        <f aca="false">IF(ISNUMBER(FIND("SALDO ANTERIOR",C1282)),0,IF(ISNUMBER(FIND("SALDO DO DIA",C1282)),0,IF(ISNUMBER(FIND("SDO CTA/APL AUTOMATICAS",C1282)),0,IF(ISNUMBER(FIND("TEC DEPOSITO",C1282)),0,IF(ISNUMBER(FIND("APL APLIC AUT MAIS",C1282)),E1282,IF(E1282&gt;0,E1282,0))))))</f>
        <v>0</v>
      </c>
      <c r="H1282" s="96" t="n">
        <v>44166</v>
      </c>
    </row>
    <row r="1283" customFormat="false" ht="15.8" hidden="false" customHeight="false" outlineLevel="0" collapsed="false">
      <c r="A1283" s="59" t="s">
        <v>203</v>
      </c>
      <c r="B1283" s="109" t="s">
        <v>854</v>
      </c>
      <c r="C1283" s="109" t="s">
        <v>855</v>
      </c>
      <c r="D1283" s="111" t="s">
        <v>478</v>
      </c>
      <c r="E1283" s="113" t="n">
        <v>-100</v>
      </c>
      <c r="F1283" s="70" t="n">
        <f aca="false">IF(ISNUMBER(FIND("SALDO ANTERIOR",C1283)),0,IF(ISNUMBER(FIND("SALDO DO DIA",C1283)),0,IF(ISNUMBER(FIND("SALDO PARCIAL",C1283)),0,IF(ISNUMBER(FIND("SDO CTA/APL AUTOMATICAS",C1283)),0,IF(ISNUMBER(FIND("APL APLIC AUT MAIS",C1283)),0,IF(ISNUMBER(FIND("TEC DEPOSITO",C1283)),0,IF(E1283&gt;0,0,E1283*(-1))))))))</f>
        <v>100</v>
      </c>
      <c r="G1283" s="97" t="n">
        <f aca="false">IF(ISNUMBER(FIND("SALDO ANTERIOR",C1283)),0,IF(ISNUMBER(FIND("SALDO DO DIA",C1283)),0,IF(ISNUMBER(FIND("SDO CTA/APL AUTOMATICAS",C1283)),0,IF(ISNUMBER(FIND("TEC DEPOSITO",C1283)),0,IF(ISNUMBER(FIND("APL APLIC AUT MAIS",C1283)),E1283,IF(E1283&gt;0,E1283,0))))))</f>
        <v>0</v>
      </c>
      <c r="H1283" s="96" t="n">
        <v>44166</v>
      </c>
    </row>
    <row r="1284" customFormat="false" ht="15.8" hidden="false" customHeight="false" outlineLevel="0" collapsed="false">
      <c r="A1284" s="59" t="s">
        <v>856</v>
      </c>
      <c r="B1284" s="109" t="s">
        <v>854</v>
      </c>
      <c r="C1284" s="109" t="s">
        <v>857</v>
      </c>
      <c r="D1284" s="111" t="s">
        <v>599</v>
      </c>
      <c r="E1284" s="113" t="n">
        <v>-150</v>
      </c>
      <c r="F1284" s="70" t="n">
        <f aca="false">IF(ISNUMBER(FIND("SALDO ANTERIOR",C1284)),0,IF(ISNUMBER(FIND("SALDO DO DIA",C1284)),0,IF(ISNUMBER(FIND("SALDO PARCIAL",C1284)),0,IF(ISNUMBER(FIND("SDO CTA/APL AUTOMATICAS",C1284)),0,IF(ISNUMBER(FIND("APL APLIC AUT MAIS",C1284)),0,IF(ISNUMBER(FIND("TEC DEPOSITO",C1284)),0,IF(E1284&gt;0,0,E1284*(-1))))))))</f>
        <v>150</v>
      </c>
      <c r="G1284" s="97" t="n">
        <f aca="false">IF(ISNUMBER(FIND("SALDO ANTERIOR",C1284)),0,IF(ISNUMBER(FIND("SALDO DO DIA",C1284)),0,IF(ISNUMBER(FIND("SDO CTA/APL AUTOMATICAS",C1284)),0,IF(ISNUMBER(FIND("TEC DEPOSITO",C1284)),0,IF(ISNUMBER(FIND("APL APLIC AUT MAIS",C1284)),E1284,IF(E1284&gt;0,E1284,0))))))</f>
        <v>0</v>
      </c>
      <c r="H1284" s="96" t="n">
        <v>44166</v>
      </c>
    </row>
    <row r="1285" customFormat="false" ht="15.8" hidden="false" customHeight="false" outlineLevel="0" collapsed="false">
      <c r="A1285" s="59" t="s">
        <v>532</v>
      </c>
      <c r="B1285" s="109" t="s">
        <v>854</v>
      </c>
      <c r="C1285" s="109" t="s">
        <v>533</v>
      </c>
      <c r="D1285" s="111" t="s">
        <v>64</v>
      </c>
      <c r="E1285" s="113" t="n">
        <v>-10</v>
      </c>
      <c r="F1285" s="70" t="n">
        <f aca="false">IF(ISNUMBER(FIND("SALDO ANTERIOR",C1285)),0,IF(ISNUMBER(FIND("SALDO DO DIA",C1285)),0,IF(ISNUMBER(FIND("SALDO PARCIAL",C1285)),0,IF(ISNUMBER(FIND("SDO CTA/APL AUTOMATICAS",C1285)),0,IF(ISNUMBER(FIND("APL APLIC AUT MAIS",C1285)),0,IF(ISNUMBER(FIND("TEC DEPOSITO",C1285)),0,IF(E1285&gt;0,0,E1285*(-1))))))))</f>
        <v>10</v>
      </c>
      <c r="G1285" s="97" t="n">
        <f aca="false">IF(ISNUMBER(FIND("SALDO ANTERIOR",C1285)),0,IF(ISNUMBER(FIND("SALDO DO DIA",C1285)),0,IF(ISNUMBER(FIND("SDO CTA/APL AUTOMATICAS",C1285)),0,IF(ISNUMBER(FIND("TEC DEPOSITO",C1285)),0,IF(ISNUMBER(FIND("APL APLIC AUT MAIS",C1285)),E1285,IF(E1285&gt;0,E1285,0))))))</f>
        <v>0</v>
      </c>
      <c r="H1285" s="96" t="n">
        <v>44166</v>
      </c>
    </row>
    <row r="1286" customFormat="false" ht="15.8" hidden="false" customHeight="false" outlineLevel="0" collapsed="false">
      <c r="A1286" s="59" t="s">
        <v>316</v>
      </c>
      <c r="B1286" s="109" t="s">
        <v>854</v>
      </c>
      <c r="C1286" s="109" t="s">
        <v>479</v>
      </c>
      <c r="D1286" s="111" t="s">
        <v>64</v>
      </c>
      <c r="E1286" s="113" t="n">
        <v>-75</v>
      </c>
      <c r="F1286" s="70" t="n">
        <f aca="false">IF(ISNUMBER(FIND("SALDO ANTERIOR",C1286)),0,IF(ISNUMBER(FIND("SALDO DO DIA",C1286)),0,IF(ISNUMBER(FIND("SALDO PARCIAL",C1286)),0,IF(ISNUMBER(FIND("SDO CTA/APL AUTOMATICAS",C1286)),0,IF(ISNUMBER(FIND("APL APLIC AUT MAIS",C1286)),0,IF(ISNUMBER(FIND("TEC DEPOSITO",C1286)),0,IF(E1286&gt;0,0,E1286*(-1))))))))</f>
        <v>75</v>
      </c>
      <c r="G1286" s="97" t="n">
        <f aca="false">IF(ISNUMBER(FIND("SALDO ANTERIOR",C1286)),0,IF(ISNUMBER(FIND("SALDO DO DIA",C1286)),0,IF(ISNUMBER(FIND("SDO CTA/APL AUTOMATICAS",C1286)),0,IF(ISNUMBER(FIND("TEC DEPOSITO",C1286)),0,IF(ISNUMBER(FIND("APL APLIC AUT MAIS",C1286)),E1286,IF(E1286&gt;0,E1286,0))))))</f>
        <v>0</v>
      </c>
      <c r="H1286" s="96" t="n">
        <v>44166</v>
      </c>
    </row>
    <row r="1287" customFormat="false" ht="15.8" hidden="false" customHeight="false" outlineLevel="0" collapsed="false">
      <c r="A1287" s="59" t="s">
        <v>87</v>
      </c>
      <c r="B1287" s="109" t="s">
        <v>854</v>
      </c>
      <c r="C1287" s="109" t="s">
        <v>858</v>
      </c>
      <c r="D1287" s="111" t="s">
        <v>64</v>
      </c>
      <c r="E1287" s="113" t="n">
        <v>-24</v>
      </c>
      <c r="F1287" s="70" t="n">
        <f aca="false">IF(ISNUMBER(FIND("SALDO ANTERIOR",C1287)),0,IF(ISNUMBER(FIND("SALDO DO DIA",C1287)),0,IF(ISNUMBER(FIND("SALDO PARCIAL",C1287)),0,IF(ISNUMBER(FIND("SDO CTA/APL AUTOMATICAS",C1287)),0,IF(ISNUMBER(FIND("APL APLIC AUT MAIS",C1287)),0,IF(ISNUMBER(FIND("TEC DEPOSITO",C1287)),0,IF(E1287&gt;0,0,E1287*(-1))))))))</f>
        <v>24</v>
      </c>
      <c r="G1287" s="97" t="n">
        <f aca="false">IF(ISNUMBER(FIND("SALDO ANTERIOR",C1287)),0,IF(ISNUMBER(FIND("SALDO DO DIA",C1287)),0,IF(ISNUMBER(FIND("SDO CTA/APL AUTOMATICAS",C1287)),0,IF(ISNUMBER(FIND("TEC DEPOSITO",C1287)),0,IF(ISNUMBER(FIND("APL APLIC AUT MAIS",C1287)),E1287,IF(E1287&gt;0,E1287,0))))))</f>
        <v>0</v>
      </c>
      <c r="H1287" s="96" t="n">
        <v>44166</v>
      </c>
    </row>
    <row r="1288" customFormat="false" ht="17" hidden="false" customHeight="false" outlineLevel="0" collapsed="false">
      <c r="A1288" s="59" t="s">
        <v>29</v>
      </c>
      <c r="B1288" s="109" t="s">
        <v>854</v>
      </c>
      <c r="C1288" s="110" t="s">
        <v>521</v>
      </c>
      <c r="D1288" s="111"/>
      <c r="E1288" s="112" t="n">
        <v>2358.02</v>
      </c>
      <c r="F1288" s="70" t="n">
        <f aca="false">IF(ISNUMBER(FIND("SALDO ANTERIOR",C1288)),0,IF(ISNUMBER(FIND("SALDO DO DIA",C1288)),0,IF(ISNUMBER(FIND("SALDO PARCIAL",C1288)),0,IF(ISNUMBER(FIND("SDO CTA/APL AUTOMATICAS",C1288)),0,IF(ISNUMBER(FIND("APL APLIC AUT MAIS",C1288)),0,IF(ISNUMBER(FIND("TEC DEPOSITO",C1288)),0,IF(E1288&gt;0,0,E1288*(-1))))))))</f>
        <v>0</v>
      </c>
      <c r="G1288" s="97" t="n">
        <f aca="false">IF(ISNUMBER(FIND("SALDO ANTERIOR",C1288)),0,IF(ISNUMBER(FIND("SALDO DO DIA",C1288)),0,IF(ISNUMBER(FIND("SDO CTA/APL AUTOMATICAS",C1288)),0,IF(ISNUMBER(FIND("TEC DEPOSITO",C1288)),0,IF(ISNUMBER(FIND("APL APLIC AUT MAIS",C1288)),E1288,IF(E1288&gt;0,E1288,0))))))</f>
        <v>0</v>
      </c>
      <c r="H1288" s="96" t="n">
        <v>44166</v>
      </c>
    </row>
    <row r="1289" customFormat="false" ht="15.8" hidden="false" customHeight="false" outlineLevel="0" collapsed="false">
      <c r="A1289" s="59" t="s">
        <v>203</v>
      </c>
      <c r="B1289" s="109" t="s">
        <v>859</v>
      </c>
      <c r="C1289" s="109" t="s">
        <v>860</v>
      </c>
      <c r="D1289" s="111" t="s">
        <v>861</v>
      </c>
      <c r="E1289" s="113" t="n">
        <v>-200</v>
      </c>
      <c r="F1289" s="70" t="n">
        <f aca="false">IF(ISNUMBER(FIND("SALDO ANTERIOR",C1289)),0,IF(ISNUMBER(FIND("SALDO DO DIA",C1289)),0,IF(ISNUMBER(FIND("SALDO PARCIAL",C1289)),0,IF(ISNUMBER(FIND("SDO CTA/APL AUTOMATICAS",C1289)),0,IF(ISNUMBER(FIND("APL APLIC AUT MAIS",C1289)),0,IF(ISNUMBER(FIND("TEC DEPOSITO",C1289)),0,IF(E1289&gt;0,0,E1289*(-1))))))))</f>
        <v>200</v>
      </c>
      <c r="G1289" s="97" t="n">
        <f aca="false">IF(ISNUMBER(FIND("SALDO ANTERIOR",C1289)),0,IF(ISNUMBER(FIND("SALDO DO DIA",C1289)),0,IF(ISNUMBER(FIND("SDO CTA/APL AUTOMATICAS",C1289)),0,IF(ISNUMBER(FIND("TEC DEPOSITO",C1289)),0,IF(ISNUMBER(FIND("APL APLIC AUT MAIS",C1289)),E1289,IF(E1289&gt;0,E1289,0))))))</f>
        <v>0</v>
      </c>
      <c r="H1289" s="96" t="n">
        <v>44166</v>
      </c>
    </row>
    <row r="1290" customFormat="false" ht="15.8" hidden="false" customHeight="false" outlineLevel="0" collapsed="false">
      <c r="A1290" s="59" t="s">
        <v>862</v>
      </c>
      <c r="B1290" s="109" t="s">
        <v>859</v>
      </c>
      <c r="C1290" s="109" t="s">
        <v>863</v>
      </c>
      <c r="D1290" s="111" t="s">
        <v>64</v>
      </c>
      <c r="E1290" s="113" t="n">
        <v>-150</v>
      </c>
      <c r="F1290" s="70" t="n">
        <f aca="false">IF(ISNUMBER(FIND("SALDO ANTERIOR",C1290)),0,IF(ISNUMBER(FIND("SALDO DO DIA",C1290)),0,IF(ISNUMBER(FIND("SALDO PARCIAL",C1290)),0,IF(ISNUMBER(FIND("SDO CTA/APL AUTOMATICAS",C1290)),0,IF(ISNUMBER(FIND("APL APLIC AUT MAIS",C1290)),0,IF(ISNUMBER(FIND("TEC DEPOSITO",C1290)),0,IF(E1290&gt;0,0,E1290*(-1))))))))</f>
        <v>150</v>
      </c>
      <c r="G1290" s="97" t="n">
        <f aca="false">IF(ISNUMBER(FIND("SALDO ANTERIOR",C1290)),0,IF(ISNUMBER(FIND("SALDO DO DIA",C1290)),0,IF(ISNUMBER(FIND("SDO CTA/APL AUTOMATICAS",C1290)),0,IF(ISNUMBER(FIND("TEC DEPOSITO",C1290)),0,IF(ISNUMBER(FIND("APL APLIC AUT MAIS",C1290)),E1290,IF(E1290&gt;0,E1290,0))))))</f>
        <v>0</v>
      </c>
      <c r="H1290" s="96" t="n">
        <v>44166</v>
      </c>
    </row>
    <row r="1291" customFormat="false" ht="15.8" hidden="false" customHeight="false" outlineLevel="0" collapsed="false">
      <c r="A1291" s="59" t="s">
        <v>862</v>
      </c>
      <c r="B1291" s="109" t="s">
        <v>859</v>
      </c>
      <c r="C1291" s="109" t="s">
        <v>864</v>
      </c>
      <c r="D1291" s="111" t="s">
        <v>64</v>
      </c>
      <c r="E1291" s="113" t="n">
        <v>-55</v>
      </c>
      <c r="F1291" s="70" t="n">
        <f aca="false">IF(ISNUMBER(FIND("SALDO ANTERIOR",C1291)),0,IF(ISNUMBER(FIND("SALDO DO DIA",C1291)),0,IF(ISNUMBER(FIND("SALDO PARCIAL",C1291)),0,IF(ISNUMBER(FIND("SDO CTA/APL AUTOMATICAS",C1291)),0,IF(ISNUMBER(FIND("APL APLIC AUT MAIS",C1291)),0,IF(ISNUMBER(FIND("TEC DEPOSITO",C1291)),0,IF(E1291&gt;0,0,E1291*(-1))))))))</f>
        <v>55</v>
      </c>
      <c r="G1291" s="97" t="n">
        <f aca="false">IF(ISNUMBER(FIND("SALDO ANTERIOR",C1291)),0,IF(ISNUMBER(FIND("SALDO DO DIA",C1291)),0,IF(ISNUMBER(FIND("SDO CTA/APL AUTOMATICAS",C1291)),0,IF(ISNUMBER(FIND("TEC DEPOSITO",C1291)),0,IF(ISNUMBER(FIND("APL APLIC AUT MAIS",C1291)),E1291,IF(E1291&gt;0,E1291,0))))))</f>
        <v>0</v>
      </c>
      <c r="H1291" s="96" t="n">
        <v>44166</v>
      </c>
    </row>
    <row r="1292" customFormat="false" ht="15.8" hidden="false" customHeight="false" outlineLevel="0" collapsed="false">
      <c r="A1292" s="59" t="s">
        <v>862</v>
      </c>
      <c r="B1292" s="109" t="s">
        <v>859</v>
      </c>
      <c r="C1292" s="109" t="s">
        <v>865</v>
      </c>
      <c r="D1292" s="111" t="s">
        <v>64</v>
      </c>
      <c r="E1292" s="113" t="n">
        <v>-40</v>
      </c>
      <c r="F1292" s="70" t="n">
        <f aca="false">IF(ISNUMBER(FIND("SALDO ANTERIOR",C1292)),0,IF(ISNUMBER(FIND("SALDO DO DIA",C1292)),0,IF(ISNUMBER(FIND("SALDO PARCIAL",C1292)),0,IF(ISNUMBER(FIND("SDO CTA/APL AUTOMATICAS",C1292)),0,IF(ISNUMBER(FIND("APL APLIC AUT MAIS",C1292)),0,IF(ISNUMBER(FIND("TEC DEPOSITO",C1292)),0,IF(E1292&gt;0,0,E1292*(-1))))))))</f>
        <v>40</v>
      </c>
      <c r="G1292" s="97" t="n">
        <f aca="false">IF(ISNUMBER(FIND("SALDO ANTERIOR",C1292)),0,IF(ISNUMBER(FIND("SALDO DO DIA",C1292)),0,IF(ISNUMBER(FIND("SDO CTA/APL AUTOMATICAS",C1292)),0,IF(ISNUMBER(FIND("TEC DEPOSITO",C1292)),0,IF(ISNUMBER(FIND("APL APLIC AUT MAIS",C1292)),E1292,IF(E1292&gt;0,E1292,0))))))</f>
        <v>0</v>
      </c>
      <c r="H1292" s="96" t="n">
        <v>44166</v>
      </c>
    </row>
    <row r="1293" customFormat="false" ht="15.8" hidden="false" customHeight="false" outlineLevel="0" collapsed="false">
      <c r="A1293" s="59" t="s">
        <v>862</v>
      </c>
      <c r="B1293" s="109" t="s">
        <v>859</v>
      </c>
      <c r="C1293" s="109" t="s">
        <v>866</v>
      </c>
      <c r="D1293" s="111" t="s">
        <v>64</v>
      </c>
      <c r="E1293" s="113" t="n">
        <v>-35.7</v>
      </c>
      <c r="F1293" s="70" t="n">
        <f aca="false">IF(ISNUMBER(FIND("SALDO ANTERIOR",C1293)),0,IF(ISNUMBER(FIND("SALDO DO DIA",C1293)),0,IF(ISNUMBER(FIND("SALDO PARCIAL",C1293)),0,IF(ISNUMBER(FIND("SDO CTA/APL AUTOMATICAS",C1293)),0,IF(ISNUMBER(FIND("APL APLIC AUT MAIS",C1293)),0,IF(ISNUMBER(FIND("TEC DEPOSITO",C1293)),0,IF(E1293&gt;0,0,E1293*(-1))))))))</f>
        <v>35.7</v>
      </c>
      <c r="G1293" s="97" t="n">
        <f aca="false">IF(ISNUMBER(FIND("SALDO ANTERIOR",C1293)),0,IF(ISNUMBER(FIND("SALDO DO DIA",C1293)),0,IF(ISNUMBER(FIND("SDO CTA/APL AUTOMATICAS",C1293)),0,IF(ISNUMBER(FIND("TEC DEPOSITO",C1293)),0,IF(ISNUMBER(FIND("APL APLIC AUT MAIS",C1293)),E1293,IF(E1293&gt;0,E1293,0))))))</f>
        <v>0</v>
      </c>
      <c r="H1293" s="96" t="n">
        <v>44166</v>
      </c>
    </row>
    <row r="1294" customFormat="false" ht="15.8" hidden="false" customHeight="false" outlineLevel="0" collapsed="false">
      <c r="A1294" s="59" t="s">
        <v>862</v>
      </c>
      <c r="B1294" s="109" t="s">
        <v>859</v>
      </c>
      <c r="C1294" s="109" t="s">
        <v>737</v>
      </c>
      <c r="D1294" s="111" t="s">
        <v>64</v>
      </c>
      <c r="E1294" s="113" t="n">
        <v>-48</v>
      </c>
      <c r="F1294" s="70" t="n">
        <f aca="false">IF(ISNUMBER(FIND("SALDO ANTERIOR",C1294)),0,IF(ISNUMBER(FIND("SALDO DO DIA",C1294)),0,IF(ISNUMBER(FIND("SALDO PARCIAL",C1294)),0,IF(ISNUMBER(FIND("SDO CTA/APL AUTOMATICAS",C1294)),0,IF(ISNUMBER(FIND("APL APLIC AUT MAIS",C1294)),0,IF(ISNUMBER(FIND("TEC DEPOSITO",C1294)),0,IF(E1294&gt;0,0,E1294*(-1))))))))</f>
        <v>48</v>
      </c>
      <c r="G1294" s="97" t="n">
        <f aca="false">IF(ISNUMBER(FIND("SALDO ANTERIOR",C1294)),0,IF(ISNUMBER(FIND("SALDO DO DIA",C1294)),0,IF(ISNUMBER(FIND("SDO CTA/APL AUTOMATICAS",C1294)),0,IF(ISNUMBER(FIND("TEC DEPOSITO",C1294)),0,IF(ISNUMBER(FIND("APL APLIC AUT MAIS",C1294)),E1294,IF(E1294&gt;0,E1294,0))))))</f>
        <v>0</v>
      </c>
      <c r="H1294" s="96" t="n">
        <v>44166</v>
      </c>
    </row>
    <row r="1295" customFormat="false" ht="15.8" hidden="false" customHeight="false" outlineLevel="0" collapsed="false">
      <c r="A1295" s="59" t="s">
        <v>862</v>
      </c>
      <c r="B1295" s="109" t="s">
        <v>859</v>
      </c>
      <c r="C1295" s="109" t="s">
        <v>867</v>
      </c>
      <c r="D1295" s="111" t="s">
        <v>64</v>
      </c>
      <c r="E1295" s="113" t="n">
        <v>-30</v>
      </c>
      <c r="F1295" s="70" t="n">
        <f aca="false">IF(ISNUMBER(FIND("SALDO ANTERIOR",C1295)),0,IF(ISNUMBER(FIND("SALDO DO DIA",C1295)),0,IF(ISNUMBER(FIND("SALDO PARCIAL",C1295)),0,IF(ISNUMBER(FIND("SDO CTA/APL AUTOMATICAS",C1295)),0,IF(ISNUMBER(FIND("APL APLIC AUT MAIS",C1295)),0,IF(ISNUMBER(FIND("TEC DEPOSITO",C1295)),0,IF(E1295&gt;0,0,E1295*(-1))))))))</f>
        <v>30</v>
      </c>
      <c r="G1295" s="97" t="n">
        <f aca="false">IF(ISNUMBER(FIND("SALDO ANTERIOR",C1295)),0,IF(ISNUMBER(FIND("SALDO DO DIA",C1295)),0,IF(ISNUMBER(FIND("SDO CTA/APL AUTOMATICAS",C1295)),0,IF(ISNUMBER(FIND("TEC DEPOSITO",C1295)),0,IF(ISNUMBER(FIND("APL APLIC AUT MAIS",C1295)),E1295,IF(E1295&gt;0,E1295,0))))))</f>
        <v>0</v>
      </c>
      <c r="H1295" s="96" t="n">
        <v>44166</v>
      </c>
    </row>
    <row r="1296" customFormat="false" ht="15.8" hidden="false" customHeight="false" outlineLevel="0" collapsed="false">
      <c r="A1296" s="59" t="s">
        <v>862</v>
      </c>
      <c r="B1296" s="109" t="s">
        <v>859</v>
      </c>
      <c r="C1296" s="109" t="s">
        <v>868</v>
      </c>
      <c r="D1296" s="111" t="s">
        <v>64</v>
      </c>
      <c r="E1296" s="113" t="n">
        <v>-100</v>
      </c>
      <c r="F1296" s="70" t="n">
        <f aca="false">IF(ISNUMBER(FIND("SALDO ANTERIOR",C1296)),0,IF(ISNUMBER(FIND("SALDO DO DIA",C1296)),0,IF(ISNUMBER(FIND("SALDO PARCIAL",C1296)),0,IF(ISNUMBER(FIND("SDO CTA/APL AUTOMATICAS",C1296)),0,IF(ISNUMBER(FIND("APL APLIC AUT MAIS",C1296)),0,IF(ISNUMBER(FIND("TEC DEPOSITO",C1296)),0,IF(E1296&gt;0,0,E1296*(-1))))))))</f>
        <v>100</v>
      </c>
      <c r="G1296" s="97" t="n">
        <f aca="false">IF(ISNUMBER(FIND("SALDO ANTERIOR",C1296)),0,IF(ISNUMBER(FIND("SALDO DO DIA",C1296)),0,IF(ISNUMBER(FIND("SDO CTA/APL AUTOMATICAS",C1296)),0,IF(ISNUMBER(FIND("TEC DEPOSITO",C1296)),0,IF(ISNUMBER(FIND("APL APLIC AUT MAIS",C1296)),E1296,IF(E1296&gt;0,E1296,0))))))</f>
        <v>0</v>
      </c>
      <c r="H1296" s="96" t="n">
        <v>44166</v>
      </c>
    </row>
    <row r="1297" customFormat="false" ht="15.8" hidden="false" customHeight="false" outlineLevel="0" collapsed="false">
      <c r="A1297" s="59" t="s">
        <v>862</v>
      </c>
      <c r="B1297" s="109" t="s">
        <v>859</v>
      </c>
      <c r="C1297" s="109" t="s">
        <v>869</v>
      </c>
      <c r="D1297" s="111" t="s">
        <v>64</v>
      </c>
      <c r="E1297" s="113" t="n">
        <v>-125</v>
      </c>
      <c r="F1297" s="70" t="n">
        <f aca="false">IF(ISNUMBER(FIND("SALDO ANTERIOR",C1297)),0,IF(ISNUMBER(FIND("SALDO DO DIA",C1297)),0,IF(ISNUMBER(FIND("SALDO PARCIAL",C1297)),0,IF(ISNUMBER(FIND("SDO CTA/APL AUTOMATICAS",C1297)),0,IF(ISNUMBER(FIND("APL APLIC AUT MAIS",C1297)),0,IF(ISNUMBER(FIND("TEC DEPOSITO",C1297)),0,IF(E1297&gt;0,0,E1297*(-1))))))))</f>
        <v>125</v>
      </c>
      <c r="G1297" s="97" t="n">
        <f aca="false">IF(ISNUMBER(FIND("SALDO ANTERIOR",C1297)),0,IF(ISNUMBER(FIND("SALDO DO DIA",C1297)),0,IF(ISNUMBER(FIND("SDO CTA/APL AUTOMATICAS",C1297)),0,IF(ISNUMBER(FIND("TEC DEPOSITO",C1297)),0,IF(ISNUMBER(FIND("APL APLIC AUT MAIS",C1297)),E1297,IF(E1297&gt;0,E1297,0))))))</f>
        <v>0</v>
      </c>
      <c r="H1297" s="96" t="n">
        <v>44166</v>
      </c>
    </row>
    <row r="1298" customFormat="false" ht="15.8" hidden="false" customHeight="false" outlineLevel="0" collapsed="false">
      <c r="A1298" s="59" t="s">
        <v>862</v>
      </c>
      <c r="B1298" s="109" t="s">
        <v>859</v>
      </c>
      <c r="C1298" s="109" t="s">
        <v>114</v>
      </c>
      <c r="D1298" s="111" t="s">
        <v>64</v>
      </c>
      <c r="E1298" s="113" t="n">
        <v>-10</v>
      </c>
      <c r="F1298" s="70" t="n">
        <f aca="false">IF(ISNUMBER(FIND("SALDO ANTERIOR",C1298)),0,IF(ISNUMBER(FIND("SALDO DO DIA",C1298)),0,IF(ISNUMBER(FIND("SALDO PARCIAL",C1298)),0,IF(ISNUMBER(FIND("SDO CTA/APL AUTOMATICAS",C1298)),0,IF(ISNUMBER(FIND("APL APLIC AUT MAIS",C1298)),0,IF(ISNUMBER(FIND("TEC DEPOSITO",C1298)),0,IF(E1298&gt;0,0,E1298*(-1))))))))</f>
        <v>10</v>
      </c>
      <c r="G1298" s="97" t="n">
        <f aca="false">IF(ISNUMBER(FIND("SALDO ANTERIOR",C1298)),0,IF(ISNUMBER(FIND("SALDO DO DIA",C1298)),0,IF(ISNUMBER(FIND("SDO CTA/APL AUTOMATICAS",C1298)),0,IF(ISNUMBER(FIND("TEC DEPOSITO",C1298)),0,IF(ISNUMBER(FIND("APL APLIC AUT MAIS",C1298)),E1298,IF(E1298&gt;0,E1298,0))))))</f>
        <v>0</v>
      </c>
      <c r="H1298" s="96" t="n">
        <v>44166</v>
      </c>
    </row>
    <row r="1299" customFormat="false" ht="15.8" hidden="false" customHeight="false" outlineLevel="0" collapsed="false">
      <c r="A1299" s="59" t="s">
        <v>862</v>
      </c>
      <c r="B1299" s="109" t="s">
        <v>859</v>
      </c>
      <c r="C1299" s="109" t="s">
        <v>870</v>
      </c>
      <c r="D1299" s="111" t="s">
        <v>64</v>
      </c>
      <c r="E1299" s="113" t="n">
        <v>-80</v>
      </c>
      <c r="F1299" s="70" t="n">
        <f aca="false">IF(ISNUMBER(FIND("SALDO ANTERIOR",C1299)),0,IF(ISNUMBER(FIND("SALDO DO DIA",C1299)),0,IF(ISNUMBER(FIND("SALDO PARCIAL",C1299)),0,IF(ISNUMBER(FIND("SDO CTA/APL AUTOMATICAS",C1299)),0,IF(ISNUMBER(FIND("APL APLIC AUT MAIS",C1299)),0,IF(ISNUMBER(FIND("TEC DEPOSITO",C1299)),0,IF(E1299&gt;0,0,E1299*(-1))))))))</f>
        <v>80</v>
      </c>
      <c r="G1299" s="97" t="n">
        <f aca="false">IF(ISNUMBER(FIND("SALDO ANTERIOR",C1299)),0,IF(ISNUMBER(FIND("SALDO DO DIA",C1299)),0,IF(ISNUMBER(FIND("SDO CTA/APL AUTOMATICAS",C1299)),0,IF(ISNUMBER(FIND("TEC DEPOSITO",C1299)),0,IF(ISNUMBER(FIND("APL APLIC AUT MAIS",C1299)),E1299,IF(E1299&gt;0,E1299,0))))))</f>
        <v>0</v>
      </c>
      <c r="H1299" s="96" t="n">
        <v>44166</v>
      </c>
    </row>
    <row r="1300" customFormat="false" ht="15.8" hidden="false" customHeight="false" outlineLevel="0" collapsed="false">
      <c r="A1300" s="59" t="s">
        <v>862</v>
      </c>
      <c r="B1300" s="109" t="s">
        <v>859</v>
      </c>
      <c r="C1300" s="109" t="s">
        <v>870</v>
      </c>
      <c r="D1300" s="111" t="s">
        <v>64</v>
      </c>
      <c r="E1300" s="113" t="n">
        <v>-20</v>
      </c>
      <c r="F1300" s="70" t="n">
        <f aca="false">IF(ISNUMBER(FIND("SALDO ANTERIOR",C1300)),0,IF(ISNUMBER(FIND("SALDO DO DIA",C1300)),0,IF(ISNUMBER(FIND("SALDO PARCIAL",C1300)),0,IF(ISNUMBER(FIND("SDO CTA/APL AUTOMATICAS",C1300)),0,IF(ISNUMBER(FIND("APL APLIC AUT MAIS",C1300)),0,IF(ISNUMBER(FIND("TEC DEPOSITO",C1300)),0,IF(E1300&gt;0,0,E1300*(-1))))))))</f>
        <v>20</v>
      </c>
      <c r="G1300" s="97" t="n">
        <f aca="false">IF(ISNUMBER(FIND("SALDO ANTERIOR",C1300)),0,IF(ISNUMBER(FIND("SALDO DO DIA",C1300)),0,IF(ISNUMBER(FIND("SDO CTA/APL AUTOMATICAS",C1300)),0,IF(ISNUMBER(FIND("TEC DEPOSITO",C1300)),0,IF(ISNUMBER(FIND("APL APLIC AUT MAIS",C1300)),E1300,IF(E1300&gt;0,E1300,0))))))</f>
        <v>0</v>
      </c>
      <c r="H1300" s="96" t="n">
        <v>44166</v>
      </c>
    </row>
    <row r="1301" customFormat="false" ht="17" hidden="false" customHeight="false" outlineLevel="0" collapsed="false">
      <c r="A1301" s="59" t="s">
        <v>29</v>
      </c>
      <c r="B1301" s="109" t="s">
        <v>859</v>
      </c>
      <c r="C1301" s="110" t="s">
        <v>521</v>
      </c>
      <c r="D1301" s="111"/>
      <c r="E1301" s="112" t="n">
        <v>1464.32</v>
      </c>
      <c r="F1301" s="70" t="n">
        <f aca="false">IF(ISNUMBER(FIND("SALDO ANTERIOR",C1301)),0,IF(ISNUMBER(FIND("SALDO DO DIA",C1301)),0,IF(ISNUMBER(FIND("SALDO PARCIAL",C1301)),0,IF(ISNUMBER(FIND("SDO CTA/APL AUTOMATICAS",C1301)),0,IF(ISNUMBER(FIND("APL APLIC AUT MAIS",C1301)),0,IF(ISNUMBER(FIND("TEC DEPOSITO",C1301)),0,IF(E1301&gt;0,0,E1301*(-1))))))))</f>
        <v>0</v>
      </c>
      <c r="G1301" s="97" t="n">
        <f aca="false">IF(ISNUMBER(FIND("SALDO ANTERIOR",C1301)),0,IF(ISNUMBER(FIND("SALDO DO DIA",C1301)),0,IF(ISNUMBER(FIND("SDO CTA/APL AUTOMATICAS",C1301)),0,IF(ISNUMBER(FIND("TEC DEPOSITO",C1301)),0,IF(ISNUMBER(FIND("APL APLIC AUT MAIS",C1301)),E1301,IF(E1301&gt;0,E1301,0))))))</f>
        <v>0</v>
      </c>
      <c r="H1301" s="96" t="n">
        <v>44166</v>
      </c>
    </row>
    <row r="1302" customFormat="false" ht="15.8" hidden="false" customHeight="false" outlineLevel="0" collapsed="false">
      <c r="A1302" s="59" t="s">
        <v>871</v>
      </c>
      <c r="B1302" s="109" t="s">
        <v>872</v>
      </c>
      <c r="C1302" s="109" t="s">
        <v>873</v>
      </c>
      <c r="D1302" s="111" t="s">
        <v>61</v>
      </c>
      <c r="E1302" s="113" t="n">
        <v>-35</v>
      </c>
      <c r="F1302" s="70" t="n">
        <f aca="false">IF(ISNUMBER(FIND("SALDO ANTERIOR",C1302)),0,IF(ISNUMBER(FIND("SALDO DO DIA",C1302)),0,IF(ISNUMBER(FIND("SALDO PARCIAL",C1302)),0,IF(ISNUMBER(FIND("SDO CTA/APL AUTOMATICAS",C1302)),0,IF(ISNUMBER(FIND("APL APLIC AUT MAIS",C1302)),0,IF(ISNUMBER(FIND("TEC DEPOSITO",C1302)),0,IF(E1302&gt;0,0,E1302*(-1))))))))</f>
        <v>35</v>
      </c>
      <c r="G1302" s="97" t="n">
        <f aca="false">IF(ISNUMBER(FIND("SALDO ANTERIOR",C1302)),0,IF(ISNUMBER(FIND("SALDO DO DIA",C1302)),0,IF(ISNUMBER(FIND("SDO CTA/APL AUTOMATICAS",C1302)),0,IF(ISNUMBER(FIND("TEC DEPOSITO",C1302)),0,IF(ISNUMBER(FIND("APL APLIC AUT MAIS",C1302)),E1302,IF(E1302&gt;0,E1302,0))))))</f>
        <v>0</v>
      </c>
      <c r="H1302" s="96" t="n">
        <v>44166</v>
      </c>
    </row>
    <row r="1303" customFormat="false" ht="15.8" hidden="false" customHeight="false" outlineLevel="0" collapsed="false">
      <c r="A1303" s="70" t="s">
        <v>757</v>
      </c>
      <c r="B1303" s="109" t="s">
        <v>872</v>
      </c>
      <c r="C1303" s="109" t="s">
        <v>758</v>
      </c>
      <c r="D1303" s="111" t="s">
        <v>64</v>
      </c>
      <c r="E1303" s="113" t="n">
        <v>-30</v>
      </c>
      <c r="F1303" s="70" t="n">
        <f aca="false">IF(ISNUMBER(FIND("SALDO ANTERIOR",C1303)),0,IF(ISNUMBER(FIND("SALDO DO DIA",C1303)),0,IF(ISNUMBER(FIND("SALDO PARCIAL",C1303)),0,IF(ISNUMBER(FIND("SDO CTA/APL AUTOMATICAS",C1303)),0,IF(ISNUMBER(FIND("APL APLIC AUT MAIS",C1303)),0,IF(ISNUMBER(FIND("TEC DEPOSITO",C1303)),0,IF(E1303&gt;0,0,E1303*(-1))))))))</f>
        <v>30</v>
      </c>
      <c r="G1303" s="97" t="n">
        <f aca="false">IF(ISNUMBER(FIND("SALDO ANTERIOR",C1303)),0,IF(ISNUMBER(FIND("SALDO DO DIA",C1303)),0,IF(ISNUMBER(FIND("SDO CTA/APL AUTOMATICAS",C1303)),0,IF(ISNUMBER(FIND("TEC DEPOSITO",C1303)),0,IF(ISNUMBER(FIND("APL APLIC AUT MAIS",C1303)),E1303,IF(E1303&gt;0,E1303,0))))))</f>
        <v>0</v>
      </c>
      <c r="H1303" s="96" t="n">
        <v>44166</v>
      </c>
    </row>
    <row r="1304" customFormat="false" ht="17" hidden="false" customHeight="false" outlineLevel="0" collapsed="false">
      <c r="A1304" s="59" t="s">
        <v>29</v>
      </c>
      <c r="B1304" s="109" t="s">
        <v>872</v>
      </c>
      <c r="C1304" s="110" t="s">
        <v>521</v>
      </c>
      <c r="D1304" s="111"/>
      <c r="E1304" s="112" t="n">
        <v>1399.32</v>
      </c>
      <c r="F1304" s="70" t="n">
        <f aca="false">IF(ISNUMBER(FIND("SALDO ANTERIOR",C1304)),0,IF(ISNUMBER(FIND("SALDO DO DIA",C1304)),0,IF(ISNUMBER(FIND("SALDO PARCIAL",C1304)),0,IF(ISNUMBER(FIND("SDO CTA/APL AUTOMATICAS",C1304)),0,IF(ISNUMBER(FIND("APL APLIC AUT MAIS",C1304)),0,IF(ISNUMBER(FIND("TEC DEPOSITO",C1304)),0,IF(E1304&gt;0,0,E1304*(-1))))))))</f>
        <v>0</v>
      </c>
      <c r="G1304" s="97" t="n">
        <f aca="false">IF(ISNUMBER(FIND("SALDO ANTERIOR",C1304)),0,IF(ISNUMBER(FIND("SALDO DO DIA",C1304)),0,IF(ISNUMBER(FIND("SDO CTA/APL AUTOMATICAS",C1304)),0,IF(ISNUMBER(FIND("TEC DEPOSITO",C1304)),0,IF(ISNUMBER(FIND("APL APLIC AUT MAIS",C1304)),E1304,IF(E1304&gt;0,E1304,0))))))</f>
        <v>0</v>
      </c>
      <c r="H1304" s="96" t="n">
        <v>44166</v>
      </c>
    </row>
    <row r="1305" customFormat="false" ht="15.8" hidden="false" customHeight="false" outlineLevel="0" collapsed="false">
      <c r="A1305" s="59" t="s">
        <v>203</v>
      </c>
      <c r="B1305" s="109" t="s">
        <v>874</v>
      </c>
      <c r="C1305" s="109" t="s">
        <v>875</v>
      </c>
      <c r="D1305" s="111" t="s">
        <v>478</v>
      </c>
      <c r="E1305" s="113" t="n">
        <v>-50</v>
      </c>
      <c r="F1305" s="70" t="n">
        <f aca="false">IF(ISNUMBER(FIND("SALDO ANTERIOR",C1305)),0,IF(ISNUMBER(FIND("SALDO DO DIA",C1305)),0,IF(ISNUMBER(FIND("SALDO PARCIAL",C1305)),0,IF(ISNUMBER(FIND("SDO CTA/APL AUTOMATICAS",C1305)),0,IF(ISNUMBER(FIND("APL APLIC AUT MAIS",C1305)),0,IF(ISNUMBER(FIND("TEC DEPOSITO",C1305)),0,IF(E1305&gt;0,0,E1305*(-1))))))))</f>
        <v>50</v>
      </c>
      <c r="G1305" s="97" t="n">
        <f aca="false">IF(ISNUMBER(FIND("SALDO ANTERIOR",C1305)),0,IF(ISNUMBER(FIND("SALDO DO DIA",C1305)),0,IF(ISNUMBER(FIND("SDO CTA/APL AUTOMATICAS",C1305)),0,IF(ISNUMBER(FIND("TEC DEPOSITO",C1305)),0,IF(ISNUMBER(FIND("APL APLIC AUT MAIS",C1305)),E1305,IF(E1305&gt;0,E1305,0))))))</f>
        <v>0</v>
      </c>
      <c r="H1305" s="96" t="n">
        <v>44166</v>
      </c>
    </row>
    <row r="1306" customFormat="false" ht="15.8" hidden="false" customHeight="false" outlineLevel="0" collapsed="false">
      <c r="A1306" s="59" t="s">
        <v>65</v>
      </c>
      <c r="B1306" s="109" t="s">
        <v>874</v>
      </c>
      <c r="C1306" s="109" t="s">
        <v>876</v>
      </c>
      <c r="D1306" s="111" t="s">
        <v>64</v>
      </c>
      <c r="E1306" s="113" t="n">
        <v>-7</v>
      </c>
      <c r="F1306" s="70" t="n">
        <f aca="false">IF(ISNUMBER(FIND("SALDO ANTERIOR",C1306)),0,IF(ISNUMBER(FIND("SALDO DO DIA",C1306)),0,IF(ISNUMBER(FIND("SALDO PARCIAL",C1306)),0,IF(ISNUMBER(FIND("SDO CTA/APL AUTOMATICAS",C1306)),0,IF(ISNUMBER(FIND("APL APLIC AUT MAIS",C1306)),0,IF(ISNUMBER(FIND("TEC DEPOSITO",C1306)),0,IF(E1306&gt;0,0,E1306*(-1))))))))</f>
        <v>7</v>
      </c>
      <c r="G1306" s="97" t="n">
        <f aca="false">IF(ISNUMBER(FIND("SALDO ANTERIOR",C1306)),0,IF(ISNUMBER(FIND("SALDO DO DIA",C1306)),0,IF(ISNUMBER(FIND("SDO CTA/APL AUTOMATICAS",C1306)),0,IF(ISNUMBER(FIND("TEC DEPOSITO",C1306)),0,IF(ISNUMBER(FIND("APL APLIC AUT MAIS",C1306)),E1306,IF(E1306&gt;0,E1306,0))))))</f>
        <v>0</v>
      </c>
      <c r="H1306" s="96" t="n">
        <v>44166</v>
      </c>
    </row>
    <row r="1307" customFormat="false" ht="15.8" hidden="false" customHeight="false" outlineLevel="0" collapsed="false">
      <c r="A1307" s="59" t="s">
        <v>65</v>
      </c>
      <c r="B1307" s="109" t="s">
        <v>874</v>
      </c>
      <c r="C1307" s="109" t="s">
        <v>877</v>
      </c>
      <c r="D1307" s="111" t="s">
        <v>64</v>
      </c>
      <c r="E1307" s="113" t="n">
        <v>-5</v>
      </c>
      <c r="F1307" s="70" t="n">
        <f aca="false">IF(ISNUMBER(FIND("SALDO ANTERIOR",C1307)),0,IF(ISNUMBER(FIND("SALDO DO DIA",C1307)),0,IF(ISNUMBER(FIND("SALDO PARCIAL",C1307)),0,IF(ISNUMBER(FIND("SDO CTA/APL AUTOMATICAS",C1307)),0,IF(ISNUMBER(FIND("APL APLIC AUT MAIS",C1307)),0,IF(ISNUMBER(FIND("TEC DEPOSITO",C1307)),0,IF(E1307&gt;0,0,E1307*(-1))))))))</f>
        <v>5</v>
      </c>
      <c r="G1307" s="97" t="n">
        <f aca="false">IF(ISNUMBER(FIND("SALDO ANTERIOR",C1307)),0,IF(ISNUMBER(FIND("SALDO DO DIA",C1307)),0,IF(ISNUMBER(FIND("SDO CTA/APL AUTOMATICAS",C1307)),0,IF(ISNUMBER(FIND("TEC DEPOSITO",C1307)),0,IF(ISNUMBER(FIND("APL APLIC AUT MAIS",C1307)),E1307,IF(E1307&gt;0,E1307,0))))))</f>
        <v>0</v>
      </c>
      <c r="H1307" s="96" t="n">
        <v>44166</v>
      </c>
    </row>
    <row r="1308" customFormat="false" ht="15.8" hidden="false" customHeight="false" outlineLevel="0" collapsed="false">
      <c r="A1308" s="59" t="s">
        <v>65</v>
      </c>
      <c r="B1308" s="109" t="s">
        <v>874</v>
      </c>
      <c r="C1308" s="109" t="s">
        <v>878</v>
      </c>
      <c r="D1308" s="111" t="s">
        <v>64</v>
      </c>
      <c r="E1308" s="113" t="n">
        <v>-5</v>
      </c>
      <c r="F1308" s="70" t="n">
        <f aca="false">IF(ISNUMBER(FIND("SALDO ANTERIOR",C1308)),0,IF(ISNUMBER(FIND("SALDO DO DIA",C1308)),0,IF(ISNUMBER(FIND("SALDO PARCIAL",C1308)),0,IF(ISNUMBER(FIND("SDO CTA/APL AUTOMATICAS",C1308)),0,IF(ISNUMBER(FIND("APL APLIC AUT MAIS",C1308)),0,IF(ISNUMBER(FIND("TEC DEPOSITO",C1308)),0,IF(E1308&gt;0,0,E1308*(-1))))))))</f>
        <v>5</v>
      </c>
      <c r="G1308" s="97" t="n">
        <f aca="false">IF(ISNUMBER(FIND("SALDO ANTERIOR",C1308)),0,IF(ISNUMBER(FIND("SALDO DO DIA",C1308)),0,IF(ISNUMBER(FIND("SDO CTA/APL AUTOMATICAS",C1308)),0,IF(ISNUMBER(FIND("TEC DEPOSITO",C1308)),0,IF(ISNUMBER(FIND("APL APLIC AUT MAIS",C1308)),E1308,IF(E1308&gt;0,E1308,0))))))</f>
        <v>0</v>
      </c>
      <c r="H1308" s="96" t="n">
        <v>44166</v>
      </c>
    </row>
    <row r="1309" customFormat="false" ht="15.8" hidden="false" customHeight="false" outlineLevel="0" collapsed="false">
      <c r="A1309" s="59" t="s">
        <v>98</v>
      </c>
      <c r="B1309" s="109" t="s">
        <v>874</v>
      </c>
      <c r="C1309" s="109" t="s">
        <v>743</v>
      </c>
      <c r="D1309" s="111" t="s">
        <v>64</v>
      </c>
      <c r="E1309" s="113" t="n">
        <v>-35.04</v>
      </c>
      <c r="F1309" s="70" t="n">
        <f aca="false">IF(ISNUMBER(FIND("SALDO ANTERIOR",C1309)),0,IF(ISNUMBER(FIND("SALDO DO DIA",C1309)),0,IF(ISNUMBER(FIND("SALDO PARCIAL",C1309)),0,IF(ISNUMBER(FIND("SDO CTA/APL AUTOMATICAS",C1309)),0,IF(ISNUMBER(FIND("APL APLIC AUT MAIS",C1309)),0,IF(ISNUMBER(FIND("TEC DEPOSITO",C1309)),0,IF(E1309&gt;0,0,E1309*(-1))))))))</f>
        <v>35.04</v>
      </c>
      <c r="G1309" s="97" t="n">
        <f aca="false">IF(ISNUMBER(FIND("SALDO ANTERIOR",C1309)),0,IF(ISNUMBER(FIND("SALDO DO DIA",C1309)),0,IF(ISNUMBER(FIND("SDO CTA/APL AUTOMATICAS",C1309)),0,IF(ISNUMBER(FIND("TEC DEPOSITO",C1309)),0,IF(ISNUMBER(FIND("APL APLIC AUT MAIS",C1309)),E1309,IF(E1309&gt;0,E1309,0))))))</f>
        <v>0</v>
      </c>
      <c r="H1309" s="96" t="n">
        <v>44166</v>
      </c>
    </row>
    <row r="1310" customFormat="false" ht="17" hidden="false" customHeight="false" outlineLevel="0" collapsed="false">
      <c r="A1310" s="59" t="s">
        <v>29</v>
      </c>
      <c r="B1310" s="109" t="s">
        <v>874</v>
      </c>
      <c r="C1310" s="110" t="s">
        <v>521</v>
      </c>
      <c r="D1310" s="111"/>
      <c r="E1310" s="112" t="n">
        <v>1297.28</v>
      </c>
      <c r="F1310" s="70" t="n">
        <f aca="false">IF(ISNUMBER(FIND("SALDO ANTERIOR",C1310)),0,IF(ISNUMBER(FIND("SALDO DO DIA",C1310)),0,IF(ISNUMBER(FIND("SALDO PARCIAL",C1310)),0,IF(ISNUMBER(FIND("SDO CTA/APL AUTOMATICAS",C1310)),0,IF(ISNUMBER(FIND("APL APLIC AUT MAIS",C1310)),0,IF(ISNUMBER(FIND("TEC DEPOSITO",C1310)),0,IF(E1310&gt;0,0,E1310*(-1))))))))</f>
        <v>0</v>
      </c>
      <c r="G1310" s="97" t="n">
        <f aca="false">IF(ISNUMBER(FIND("SALDO ANTERIOR",C1310)),0,IF(ISNUMBER(FIND("SALDO DO DIA",C1310)),0,IF(ISNUMBER(FIND("SDO CTA/APL AUTOMATICAS",C1310)),0,IF(ISNUMBER(FIND("TEC DEPOSITO",C1310)),0,IF(ISNUMBER(FIND("APL APLIC AUT MAIS",C1310)),E1310,IF(E1310&gt;0,E1310,0))))))</f>
        <v>0</v>
      </c>
      <c r="H1310" s="96" t="n">
        <v>44166</v>
      </c>
    </row>
    <row r="1311" customFormat="false" ht="17" hidden="false" customHeight="false" outlineLevel="0" collapsed="false">
      <c r="A1311" s="59" t="s">
        <v>29</v>
      </c>
      <c r="B1311" s="109" t="s">
        <v>879</v>
      </c>
      <c r="C1311" s="110" t="s">
        <v>521</v>
      </c>
      <c r="D1311" s="111"/>
      <c r="E1311" s="112" t="n">
        <v>1297.28</v>
      </c>
      <c r="F1311" s="70" t="n">
        <f aca="false">IF(ISNUMBER(FIND("SALDO ANTERIOR",C1311)),0,IF(ISNUMBER(FIND("SALDO DO DIA",C1311)),0,IF(ISNUMBER(FIND("SALDO PARCIAL",C1311)),0,IF(ISNUMBER(FIND("SDO CTA/APL AUTOMATICAS",C1311)),0,IF(ISNUMBER(FIND("APL APLIC AUT MAIS",C1311)),0,IF(ISNUMBER(FIND("TEC DEPOSITO",C1311)),0,IF(E1311&gt;0,0,E1311*(-1))))))))</f>
        <v>0</v>
      </c>
      <c r="G1311" s="97" t="n">
        <f aca="false">IF(ISNUMBER(FIND("SALDO ANTERIOR",C1311)),0,IF(ISNUMBER(FIND("SALDO DO DIA",C1311)),0,IF(ISNUMBER(FIND("SDO CTA/APL AUTOMATICAS",C1311)),0,IF(ISNUMBER(FIND("TEC DEPOSITO",C1311)),0,IF(ISNUMBER(FIND("APL APLIC AUT MAIS",C1311)),E1311,IF(E1311&gt;0,E1311,0))))))</f>
        <v>0</v>
      </c>
      <c r="H1311" s="96" t="n">
        <v>44166</v>
      </c>
    </row>
    <row r="1312" customFormat="false" ht="15.8" hidden="false" customHeight="false" outlineLevel="0" collapsed="false">
      <c r="A1312" s="59" t="s">
        <v>880</v>
      </c>
      <c r="B1312" s="109" t="s">
        <v>881</v>
      </c>
      <c r="C1312" s="109" t="s">
        <v>194</v>
      </c>
      <c r="D1312" s="111" t="s">
        <v>61</v>
      </c>
      <c r="E1312" s="113" t="n">
        <v>-257.25</v>
      </c>
      <c r="F1312" s="70" t="n">
        <f aca="false">IF(ISNUMBER(FIND("SALDO ANTERIOR",C1312)),0,IF(ISNUMBER(FIND("SALDO DO DIA",C1312)),0,IF(ISNUMBER(FIND("SALDO PARCIAL",C1312)),0,IF(ISNUMBER(FIND("SDO CTA/APL AUTOMATICAS",C1312)),0,IF(ISNUMBER(FIND("APL APLIC AUT MAIS",C1312)),0,IF(ISNUMBER(FIND("TEC DEPOSITO",C1312)),0,IF(E1312&gt;0,0,E1312*(-1))))))))</f>
        <v>257.25</v>
      </c>
      <c r="G1312" s="97" t="n">
        <f aca="false">IF(ISNUMBER(FIND("SALDO ANTERIOR",C1312)),0,IF(ISNUMBER(FIND("SALDO DO DIA",C1312)),0,IF(ISNUMBER(FIND("SDO CTA/APL AUTOMATICAS",C1312)),0,IF(ISNUMBER(FIND("TEC DEPOSITO",C1312)),0,IF(ISNUMBER(FIND("APL APLIC AUT MAIS",C1312)),E1312,IF(E1312&gt;0,E1312,0))))))</f>
        <v>0</v>
      </c>
      <c r="H1312" s="96" t="n">
        <v>44166</v>
      </c>
    </row>
    <row r="1313" customFormat="false" ht="15.8" hidden="false" customHeight="false" outlineLevel="0" collapsed="false">
      <c r="A1313" s="59" t="s">
        <v>181</v>
      </c>
      <c r="B1313" s="109" t="s">
        <v>881</v>
      </c>
      <c r="C1313" s="109" t="s">
        <v>882</v>
      </c>
      <c r="D1313" s="111" t="s">
        <v>61</v>
      </c>
      <c r="E1313" s="113" t="n">
        <v>-170</v>
      </c>
      <c r="F1313" s="70" t="n">
        <f aca="false">IF(ISNUMBER(FIND("SALDO ANTERIOR",C1313)),0,IF(ISNUMBER(FIND("SALDO DO DIA",C1313)),0,IF(ISNUMBER(FIND("SALDO PARCIAL",C1313)),0,IF(ISNUMBER(FIND("SDO CTA/APL AUTOMATICAS",C1313)),0,IF(ISNUMBER(FIND("APL APLIC AUT MAIS",C1313)),0,IF(ISNUMBER(FIND("TEC DEPOSITO",C1313)),0,IF(E1313&gt;0,0,E1313*(-1))))))))</f>
        <v>170</v>
      </c>
      <c r="G1313" s="97" t="n">
        <f aca="false">IF(ISNUMBER(FIND("SALDO ANTERIOR",C1313)),0,IF(ISNUMBER(FIND("SALDO DO DIA",C1313)),0,IF(ISNUMBER(FIND("SDO CTA/APL AUTOMATICAS",C1313)),0,IF(ISNUMBER(FIND("TEC DEPOSITO",C1313)),0,IF(ISNUMBER(FIND("APL APLIC AUT MAIS",C1313)),E1313,IF(E1313&gt;0,E1313,0))))))</f>
        <v>0</v>
      </c>
      <c r="H1313" s="96" t="n">
        <v>44166</v>
      </c>
    </row>
    <row r="1314" customFormat="false" ht="15.8" hidden="false" customHeight="false" outlineLevel="0" collapsed="false">
      <c r="A1314" s="59" t="s">
        <v>883</v>
      </c>
      <c r="B1314" s="109" t="s">
        <v>881</v>
      </c>
      <c r="C1314" s="109" t="s">
        <v>884</v>
      </c>
      <c r="D1314" s="111" t="s">
        <v>61</v>
      </c>
      <c r="E1314" s="113" t="n">
        <v>-500</v>
      </c>
      <c r="F1314" s="70" t="n">
        <f aca="false">IF(ISNUMBER(FIND("SALDO ANTERIOR",C1314)),0,IF(ISNUMBER(FIND("SALDO DO DIA",C1314)),0,IF(ISNUMBER(FIND("SALDO PARCIAL",C1314)),0,IF(ISNUMBER(FIND("SDO CTA/APL AUTOMATICAS",C1314)),0,IF(ISNUMBER(FIND("APL APLIC AUT MAIS",C1314)),0,IF(ISNUMBER(FIND("TEC DEPOSITO",C1314)),0,IF(E1314&gt;0,0,E1314*(-1))))))))</f>
        <v>500</v>
      </c>
      <c r="G1314" s="97" t="n">
        <f aca="false">IF(ISNUMBER(FIND("SALDO ANTERIOR",C1314)),0,IF(ISNUMBER(FIND("SALDO DO DIA",C1314)),0,IF(ISNUMBER(FIND("SDO CTA/APL AUTOMATICAS",C1314)),0,IF(ISNUMBER(FIND("TEC DEPOSITO",C1314)),0,IF(ISNUMBER(FIND("APL APLIC AUT MAIS",C1314)),E1314,IF(E1314&gt;0,E1314,0))))))</f>
        <v>0</v>
      </c>
      <c r="H1314" s="96" t="n">
        <v>44166</v>
      </c>
    </row>
    <row r="1315" customFormat="false" ht="17" hidden="false" customHeight="false" outlineLevel="0" collapsed="false">
      <c r="A1315" s="59" t="s">
        <v>29</v>
      </c>
      <c r="B1315" s="109" t="s">
        <v>881</v>
      </c>
      <c r="C1315" s="110" t="s">
        <v>521</v>
      </c>
      <c r="D1315" s="111"/>
      <c r="E1315" s="112" t="n">
        <v>370.03</v>
      </c>
      <c r="F1315" s="70" t="n">
        <f aca="false">IF(ISNUMBER(FIND("SALDO ANTERIOR",C1315)),0,IF(ISNUMBER(FIND("SALDO DO DIA",C1315)),0,IF(ISNUMBER(FIND("SALDO PARCIAL",C1315)),0,IF(ISNUMBER(FIND("SDO CTA/APL AUTOMATICAS",C1315)),0,IF(ISNUMBER(FIND("APL APLIC AUT MAIS",C1315)),0,IF(ISNUMBER(FIND("TEC DEPOSITO",C1315)),0,IF(E1315&gt;0,0,E1315*(-1))))))))</f>
        <v>0</v>
      </c>
      <c r="G1315" s="97" t="n">
        <f aca="false">IF(ISNUMBER(FIND("SALDO ANTERIOR",C1315)),0,IF(ISNUMBER(FIND("SALDO DO DIA",C1315)),0,IF(ISNUMBER(FIND("SDO CTA/APL AUTOMATICAS",C1315)),0,IF(ISNUMBER(FIND("TEC DEPOSITO",C1315)),0,IF(ISNUMBER(FIND("APL APLIC AUT MAIS",C1315)),E1315,IF(E1315&gt;0,E1315,0))))))</f>
        <v>0</v>
      </c>
      <c r="H1315" s="96" t="n">
        <v>44166</v>
      </c>
    </row>
    <row r="1316" customFormat="false" ht="15.8" hidden="false" customHeight="false" outlineLevel="0" collapsed="false">
      <c r="A1316" s="70" t="s">
        <v>757</v>
      </c>
      <c r="B1316" s="109" t="s">
        <v>885</v>
      </c>
      <c r="C1316" s="109" t="s">
        <v>758</v>
      </c>
      <c r="D1316" s="111" t="s">
        <v>64</v>
      </c>
      <c r="E1316" s="113" t="n">
        <v>-10</v>
      </c>
      <c r="F1316" s="70" t="n">
        <f aca="false">IF(ISNUMBER(FIND("SALDO ANTERIOR",C1316)),0,IF(ISNUMBER(FIND("SALDO DO DIA",C1316)),0,IF(ISNUMBER(FIND("SALDO PARCIAL",C1316)),0,IF(ISNUMBER(FIND("SDO CTA/APL AUTOMATICAS",C1316)),0,IF(ISNUMBER(FIND("APL APLIC AUT MAIS",C1316)),0,IF(ISNUMBER(FIND("TEC DEPOSITO",C1316)),0,IF(E1316&gt;0,0,E1316*(-1))))))))</f>
        <v>10</v>
      </c>
      <c r="G1316" s="97" t="n">
        <f aca="false">IF(ISNUMBER(FIND("SALDO ANTERIOR",C1316)),0,IF(ISNUMBER(FIND("SALDO DO DIA",C1316)),0,IF(ISNUMBER(FIND("SDO CTA/APL AUTOMATICAS",C1316)),0,IF(ISNUMBER(FIND("TEC DEPOSITO",C1316)),0,IF(ISNUMBER(FIND("APL APLIC AUT MAIS",C1316)),E1316,IF(E1316&gt;0,E1316,0))))))</f>
        <v>0</v>
      </c>
      <c r="H1316" s="96" t="n">
        <v>44166</v>
      </c>
    </row>
    <row r="1317" customFormat="false" ht="17" hidden="false" customHeight="false" outlineLevel="0" collapsed="false">
      <c r="A1317" s="59" t="s">
        <v>29</v>
      </c>
      <c r="B1317" s="109" t="s">
        <v>885</v>
      </c>
      <c r="C1317" s="110" t="s">
        <v>521</v>
      </c>
      <c r="D1317" s="111"/>
      <c r="E1317" s="112" t="n">
        <v>360.03</v>
      </c>
      <c r="F1317" s="70" t="n">
        <f aca="false">IF(ISNUMBER(FIND("SALDO ANTERIOR",C1317)),0,IF(ISNUMBER(FIND("SALDO DO DIA",C1317)),0,IF(ISNUMBER(FIND("SALDO PARCIAL",C1317)),0,IF(ISNUMBER(FIND("SDO CTA/APL AUTOMATICAS",C1317)),0,IF(ISNUMBER(FIND("APL APLIC AUT MAIS",C1317)),0,IF(ISNUMBER(FIND("TEC DEPOSITO",C1317)),0,IF(E1317&gt;0,0,E1317*(-1))))))))</f>
        <v>0</v>
      </c>
      <c r="G1317" s="97" t="n">
        <f aca="false">IF(ISNUMBER(FIND("SALDO ANTERIOR",C1317)),0,IF(ISNUMBER(FIND("SALDO DO DIA",C1317)),0,IF(ISNUMBER(FIND("SDO CTA/APL AUTOMATICAS",C1317)),0,IF(ISNUMBER(FIND("TEC DEPOSITO",C1317)),0,IF(ISNUMBER(FIND("APL APLIC AUT MAIS",C1317)),E1317,IF(E1317&gt;0,E1317,0))))))</f>
        <v>0</v>
      </c>
      <c r="H1317" s="96" t="n">
        <v>44166</v>
      </c>
    </row>
    <row r="1318" customFormat="false" ht="15.8" hidden="false" customHeight="false" outlineLevel="0" collapsed="false">
      <c r="A1318" s="59" t="s">
        <v>203</v>
      </c>
      <c r="B1318" s="109" t="s">
        <v>886</v>
      </c>
      <c r="C1318" s="109" t="s">
        <v>887</v>
      </c>
      <c r="D1318" s="111" t="s">
        <v>478</v>
      </c>
      <c r="E1318" s="113" t="n">
        <v>-100</v>
      </c>
      <c r="F1318" s="70" t="n">
        <f aca="false">IF(ISNUMBER(FIND("SALDO ANTERIOR",C1318)),0,IF(ISNUMBER(FIND("SALDO DO DIA",C1318)),0,IF(ISNUMBER(FIND("SALDO PARCIAL",C1318)),0,IF(ISNUMBER(FIND("SDO CTA/APL AUTOMATICAS",C1318)),0,IF(ISNUMBER(FIND("APL APLIC AUT MAIS",C1318)),0,IF(ISNUMBER(FIND("TEC DEPOSITO",C1318)),0,IF(E1318&gt;0,0,E1318*(-1))))))))</f>
        <v>100</v>
      </c>
      <c r="G1318" s="97" t="n">
        <f aca="false">IF(ISNUMBER(FIND("SALDO ANTERIOR",C1318)),0,IF(ISNUMBER(FIND("SALDO DO DIA",C1318)),0,IF(ISNUMBER(FIND("SDO CTA/APL AUTOMATICAS",C1318)),0,IF(ISNUMBER(FIND("TEC DEPOSITO",C1318)),0,IF(ISNUMBER(FIND("APL APLIC AUT MAIS",C1318)),E1318,IF(E1318&gt;0,E1318,0))))))</f>
        <v>0</v>
      </c>
      <c r="H1318" s="96" t="n">
        <v>44166</v>
      </c>
    </row>
    <row r="1319" customFormat="false" ht="15.8" hidden="false" customHeight="false" outlineLevel="0" collapsed="false">
      <c r="A1319" s="59" t="s">
        <v>888</v>
      </c>
      <c r="B1319" s="109" t="s">
        <v>886</v>
      </c>
      <c r="C1319" s="109" t="s">
        <v>889</v>
      </c>
      <c r="D1319" s="111" t="s">
        <v>64</v>
      </c>
      <c r="E1319" s="113" t="n">
        <v>-1477.7</v>
      </c>
      <c r="F1319" s="70" t="n">
        <f aca="false">IF(ISNUMBER(FIND("SALDO ANTERIOR",C1319)),0,IF(ISNUMBER(FIND("SALDO DO DIA",C1319)),0,IF(ISNUMBER(FIND("SALDO PARCIAL",C1319)),0,IF(ISNUMBER(FIND("SDO CTA/APL AUTOMATICAS",C1319)),0,IF(ISNUMBER(FIND("APL APLIC AUT MAIS",C1319)),0,IF(ISNUMBER(FIND("TEC DEPOSITO",C1319)),0,IF(E1319&gt;0,0,E1319*(-1))))))))</f>
        <v>1477.7</v>
      </c>
      <c r="G1319" s="97" t="n">
        <f aca="false">IF(ISNUMBER(FIND("SALDO ANTERIOR",C1319)),0,IF(ISNUMBER(FIND("SALDO DO DIA",C1319)),0,IF(ISNUMBER(FIND("SDO CTA/APL AUTOMATICAS",C1319)),0,IF(ISNUMBER(FIND("TEC DEPOSITO",C1319)),0,IF(ISNUMBER(FIND("APL APLIC AUT MAIS",C1319)),E1319,IF(E1319&gt;0,E1319,0))))))</f>
        <v>0</v>
      </c>
      <c r="H1319" s="96" t="n">
        <v>44166</v>
      </c>
    </row>
    <row r="1320" customFormat="false" ht="15.8" hidden="false" customHeight="false" outlineLevel="0" collapsed="false">
      <c r="A1320" s="59" t="s">
        <v>71</v>
      </c>
      <c r="B1320" s="109" t="s">
        <v>886</v>
      </c>
      <c r="C1320" s="109" t="s">
        <v>646</v>
      </c>
      <c r="D1320" s="111" t="s">
        <v>64</v>
      </c>
      <c r="E1320" s="113" t="n">
        <v>-15.8</v>
      </c>
      <c r="F1320" s="70" t="n">
        <f aca="false">IF(ISNUMBER(FIND("SALDO ANTERIOR",C1320)),0,IF(ISNUMBER(FIND("SALDO DO DIA",C1320)),0,IF(ISNUMBER(FIND("SALDO PARCIAL",C1320)),0,IF(ISNUMBER(FIND("SDO CTA/APL AUTOMATICAS",C1320)),0,IF(ISNUMBER(FIND("APL APLIC AUT MAIS",C1320)),0,IF(ISNUMBER(FIND("TEC DEPOSITO",C1320)),0,IF(E1320&gt;0,0,E1320*(-1))))))))</f>
        <v>15.8</v>
      </c>
      <c r="G1320" s="97" t="n">
        <f aca="false">IF(ISNUMBER(FIND("SALDO ANTERIOR",C1320)),0,IF(ISNUMBER(FIND("SALDO DO DIA",C1320)),0,IF(ISNUMBER(FIND("SDO CTA/APL AUTOMATICAS",C1320)),0,IF(ISNUMBER(FIND("TEC DEPOSITO",C1320)),0,IF(ISNUMBER(FIND("APL APLIC AUT MAIS",C1320)),E1320,IF(E1320&gt;0,E1320,0))))))</f>
        <v>0</v>
      </c>
      <c r="H1320" s="96" t="n">
        <v>44166</v>
      </c>
    </row>
    <row r="1321" customFormat="false" ht="17" hidden="false" customHeight="false" outlineLevel="0" collapsed="false">
      <c r="A1321" s="59" t="s">
        <v>29</v>
      </c>
      <c r="B1321" s="109" t="s">
        <v>886</v>
      </c>
      <c r="C1321" s="110" t="s">
        <v>494</v>
      </c>
      <c r="D1321" s="111"/>
      <c r="E1321" s="115" t="n">
        <v>-1233.47</v>
      </c>
      <c r="F1321" s="70" t="n">
        <f aca="false">IF(ISNUMBER(FIND("SALDO ANTERIOR",C1321)),0,IF(ISNUMBER(FIND("SALDO DO DIA",C1321)),0,IF(ISNUMBER(FIND("SALDO PARCIAL",C1321)),0,IF(ISNUMBER(FIND("SDO CTA/APL AUTOMATICAS",C1321)),0,IF(ISNUMBER(FIND("APL APLIC AUT MAIS",C1321)),0,IF(ISNUMBER(FIND("TEC DEPOSITO",C1321)),0,IF(E1321&gt;0,0,E1321*(-1))))))))</f>
        <v>0</v>
      </c>
      <c r="G1321" s="97" t="n">
        <f aca="false">IF(ISNUMBER(FIND("SALDO ANTERIOR",C1321)),0,IF(ISNUMBER(FIND("SALDO DO DIA",C1321)),0,IF(ISNUMBER(FIND("SDO CTA/APL AUTOMATICAS",C1321)),0,IF(ISNUMBER(FIND("TEC DEPOSITO",C1321)),0,IF(ISNUMBER(FIND("APL APLIC AUT MAIS",C1321)),E1321,IF(E1321&gt;0,E1321,0))))))</f>
        <v>0</v>
      </c>
      <c r="H1321" s="96" t="n">
        <v>44166</v>
      </c>
    </row>
    <row r="1322" customFormat="false" ht="12.8" hidden="false" customHeight="false" outlineLevel="0" collapsed="false">
      <c r="A1322" s="59" t="s">
        <v>474</v>
      </c>
      <c r="B1322" s="116" t="n">
        <v>44186</v>
      </c>
      <c r="C1322" s="59" t="s">
        <v>890</v>
      </c>
      <c r="D1322" s="64"/>
      <c r="E1322" s="64" t="n">
        <v>-197.75</v>
      </c>
      <c r="F1322" s="70" t="n">
        <f aca="false">IF(ISNUMBER(FIND("SALDO ANTERIOR",C1322)),0,IF(ISNUMBER(FIND("SALDO DO DIA",C1322)),0,IF(ISNUMBER(FIND("SALDO PARCIAL",C1322)),0,IF(ISNUMBER(FIND("SDO CTA/APL AUTOMATICAS",C1322)),0,IF(ISNUMBER(FIND("APL APLIC AUT MAIS",C1322)),0,IF(ISNUMBER(FIND("TEC DEPOSITO",C1322)),0,IF(E1322&gt;0,0,E1322*(-1))))))))</f>
        <v>197.75</v>
      </c>
      <c r="G1322" s="97" t="n">
        <f aca="false">IF(ISNUMBER(FIND("SALDO ANTERIOR",C1322)),0,IF(ISNUMBER(FIND("SALDO DO DIA",C1322)),0,IF(ISNUMBER(FIND("SDO CTA/APL AUTOMATICAS",C1322)),0,IF(ISNUMBER(FIND("TEC DEPOSITO",C1322)),0,IF(ISNUMBER(FIND("APL APLIC AUT MAIS",C1322)),E1322,IF(E1322&gt;0,E1322,0))))))</f>
        <v>0</v>
      </c>
      <c r="H1322" s="96" t="n">
        <v>44166</v>
      </c>
    </row>
  </sheetData>
  <autoFilter ref="A1:H1303"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N53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M16" activeCellId="0" sqref="M16"/>
    </sheetView>
  </sheetViews>
  <sheetFormatPr defaultRowHeight="12.8" zeroHeight="false" outlineLevelRow="0" outlineLevelCol="0"/>
  <cols>
    <col collapsed="false" customWidth="true" hidden="false" outlineLevel="0" max="1" min="1" style="0" width="29.37"/>
    <col collapsed="false" customWidth="false" hidden="false" outlineLevel="0" max="1025" min="2" style="0" width="11.52"/>
  </cols>
  <sheetData>
    <row r="3" customFormat="false" ht="12.8" hidden="false" customHeight="false" outlineLevel="0" collapsed="false">
      <c r="A3" s="117" t="s">
        <v>891</v>
      </c>
      <c r="B3" s="118" t="s">
        <v>56</v>
      </c>
      <c r="C3" s="119"/>
      <c r="D3" s="119"/>
      <c r="E3" s="119"/>
      <c r="F3" s="119"/>
      <c r="G3" s="119"/>
      <c r="H3" s="119"/>
      <c r="I3" s="119"/>
      <c r="J3" s="119"/>
      <c r="K3" s="120" t="n">
        <v>44129</v>
      </c>
      <c r="L3" s="120" t="n">
        <v>44136</v>
      </c>
      <c r="M3" s="120"/>
      <c r="N3" s="121"/>
    </row>
    <row r="4" customFormat="false" ht="12.8" hidden="false" customHeight="false" outlineLevel="0" collapsed="false">
      <c r="A4" s="122" t="s">
        <v>49</v>
      </c>
      <c r="B4" s="123" t="n">
        <v>43831</v>
      </c>
      <c r="C4" s="124" t="n">
        <v>43862</v>
      </c>
      <c r="D4" s="124" t="n">
        <v>43891</v>
      </c>
      <c r="E4" s="124" t="n">
        <v>43922</v>
      </c>
      <c r="F4" s="124" t="n">
        <v>43952</v>
      </c>
      <c r="G4" s="124" t="n">
        <v>43983</v>
      </c>
      <c r="H4" s="124" t="n">
        <v>44013</v>
      </c>
      <c r="I4" s="124" t="n">
        <v>44044</v>
      </c>
      <c r="J4" s="124" t="n">
        <v>44075</v>
      </c>
      <c r="K4" s="124" t="n">
        <v>44105</v>
      </c>
      <c r="L4" s="124" t="n">
        <v>44105</v>
      </c>
      <c r="M4" s="124" t="n">
        <v>44136</v>
      </c>
      <c r="N4" s="125" t="s">
        <v>892</v>
      </c>
    </row>
    <row r="5" customFormat="false" ht="12.8" hidden="false" customHeight="false" outlineLevel="0" collapsed="false">
      <c r="A5" s="126" t="s">
        <v>142</v>
      </c>
      <c r="B5" s="127"/>
      <c r="C5" s="128"/>
      <c r="D5" s="128"/>
      <c r="E5" s="128"/>
      <c r="F5" s="128"/>
      <c r="G5" s="128"/>
      <c r="H5" s="128"/>
      <c r="I5" s="128"/>
      <c r="J5" s="128"/>
      <c r="K5" s="129"/>
      <c r="L5" s="128"/>
      <c r="M5" s="129"/>
      <c r="N5" s="130" t="n">
        <v>297.18</v>
      </c>
    </row>
    <row r="6" customFormat="false" ht="12.8" hidden="false" customHeight="false" outlineLevel="0" collapsed="false">
      <c r="A6" s="131" t="s">
        <v>76</v>
      </c>
      <c r="B6" s="132" t="n">
        <v>86.55</v>
      </c>
      <c r="C6" s="133" t="n">
        <v>200.38</v>
      </c>
      <c r="D6" s="133" t="n">
        <v>63.4</v>
      </c>
      <c r="E6" s="133" t="n">
        <v>349.82</v>
      </c>
      <c r="F6" s="133" t="n">
        <v>229.15</v>
      </c>
      <c r="G6" s="133" t="n">
        <v>217.59</v>
      </c>
      <c r="H6" s="133" t="n">
        <v>138.98</v>
      </c>
      <c r="I6" s="133" t="n">
        <v>414.6</v>
      </c>
      <c r="J6" s="133" t="n">
        <v>373.35</v>
      </c>
      <c r="K6" s="133" t="n">
        <v>253.49</v>
      </c>
      <c r="L6" s="134" t="n">
        <v>253.49</v>
      </c>
      <c r="M6" s="135"/>
      <c r="N6" s="136" t="n">
        <v>2479.22</v>
      </c>
    </row>
    <row r="7" customFormat="false" ht="12.8" hidden="false" customHeight="false" outlineLevel="0" collapsed="false">
      <c r="A7" s="137" t="s">
        <v>67</v>
      </c>
      <c r="B7" s="138"/>
      <c r="C7" s="134"/>
      <c r="D7" s="134"/>
      <c r="E7" s="134"/>
      <c r="F7" s="134"/>
      <c r="G7" s="134"/>
      <c r="H7" s="134"/>
      <c r="I7" s="134"/>
      <c r="J7" s="134"/>
      <c r="K7" s="135"/>
      <c r="L7" s="134"/>
      <c r="M7" s="135"/>
      <c r="N7" s="136" t="n">
        <v>865.4</v>
      </c>
    </row>
    <row r="8" customFormat="false" ht="12.8" hidden="false" customHeight="false" outlineLevel="0" collapsed="false">
      <c r="A8" s="137" t="s">
        <v>119</v>
      </c>
      <c r="B8" s="138"/>
      <c r="C8" s="134"/>
      <c r="D8" s="134"/>
      <c r="E8" s="134"/>
      <c r="F8" s="134"/>
      <c r="G8" s="134"/>
      <c r="H8" s="134"/>
      <c r="I8" s="134"/>
      <c r="J8" s="134"/>
      <c r="K8" s="135"/>
      <c r="L8" s="134"/>
      <c r="M8" s="135"/>
      <c r="N8" s="136" t="n">
        <v>11123.07</v>
      </c>
    </row>
    <row r="9" customFormat="false" ht="12.8" hidden="false" customHeight="false" outlineLevel="0" collapsed="false">
      <c r="A9" s="137" t="s">
        <v>122</v>
      </c>
      <c r="B9" s="138"/>
      <c r="C9" s="134"/>
      <c r="D9" s="134"/>
      <c r="E9" s="134"/>
      <c r="F9" s="134"/>
      <c r="G9" s="134"/>
      <c r="H9" s="134"/>
      <c r="I9" s="134"/>
      <c r="J9" s="134"/>
      <c r="K9" s="135"/>
      <c r="L9" s="134"/>
      <c r="M9" s="135"/>
      <c r="N9" s="136" t="n">
        <v>31712.55</v>
      </c>
    </row>
    <row r="10" customFormat="false" ht="12.8" hidden="false" customHeight="false" outlineLevel="0" collapsed="false">
      <c r="A10" s="137" t="s">
        <v>176</v>
      </c>
      <c r="B10" s="138"/>
      <c r="C10" s="134"/>
      <c r="D10" s="134"/>
      <c r="E10" s="134"/>
      <c r="F10" s="134"/>
      <c r="G10" s="134"/>
      <c r="H10" s="134"/>
      <c r="I10" s="134"/>
      <c r="J10" s="134"/>
      <c r="K10" s="135"/>
      <c r="L10" s="134"/>
      <c r="M10" s="135"/>
      <c r="N10" s="136" t="n">
        <v>1766.68</v>
      </c>
    </row>
    <row r="11" customFormat="false" ht="12.8" hidden="false" customHeight="false" outlineLevel="0" collapsed="false">
      <c r="A11" s="131" t="s">
        <v>65</v>
      </c>
      <c r="B11" s="132" t="n">
        <v>909.33</v>
      </c>
      <c r="C11" s="133" t="n">
        <v>782.54</v>
      </c>
      <c r="D11" s="133" t="n">
        <v>555.75</v>
      </c>
      <c r="E11" s="133" t="n">
        <v>631.8</v>
      </c>
      <c r="F11" s="133" t="n">
        <v>561.95</v>
      </c>
      <c r="G11" s="133" t="n">
        <v>910.96</v>
      </c>
      <c r="H11" s="133" t="n">
        <v>708.02</v>
      </c>
      <c r="I11" s="133" t="n">
        <v>488.67</v>
      </c>
      <c r="J11" s="133" t="n">
        <v>695.17</v>
      </c>
      <c r="K11" s="139" t="n">
        <v>148.49</v>
      </c>
      <c r="L11" s="134" t="n">
        <v>203.94</v>
      </c>
      <c r="M11" s="135" t="n">
        <v>24</v>
      </c>
      <c r="N11" s="136" t="n">
        <v>6392.68</v>
      </c>
    </row>
    <row r="12" customFormat="false" ht="12.8" hidden="false" customHeight="false" outlineLevel="0" collapsed="false">
      <c r="A12" s="137" t="s">
        <v>124</v>
      </c>
      <c r="B12" s="138"/>
      <c r="C12" s="134"/>
      <c r="D12" s="134"/>
      <c r="E12" s="134"/>
      <c r="F12" s="134"/>
      <c r="G12" s="134"/>
      <c r="H12" s="134"/>
      <c r="I12" s="134"/>
      <c r="J12" s="134"/>
      <c r="K12" s="135"/>
      <c r="L12" s="134"/>
      <c r="M12" s="135"/>
      <c r="N12" s="136" t="n">
        <v>50</v>
      </c>
    </row>
    <row r="13" customFormat="false" ht="12.8" hidden="false" customHeight="false" outlineLevel="0" collapsed="false">
      <c r="A13" s="137" t="s">
        <v>130</v>
      </c>
      <c r="B13" s="138"/>
      <c r="C13" s="134"/>
      <c r="D13" s="134"/>
      <c r="E13" s="134"/>
      <c r="F13" s="134"/>
      <c r="G13" s="134"/>
      <c r="H13" s="134"/>
      <c r="I13" s="134"/>
      <c r="J13" s="134"/>
      <c r="K13" s="135"/>
      <c r="L13" s="134"/>
      <c r="M13" s="135"/>
      <c r="N13" s="136" t="n">
        <v>850</v>
      </c>
    </row>
    <row r="14" customFormat="false" ht="12.8" hidden="false" customHeight="false" outlineLevel="0" collapsed="false">
      <c r="A14" s="137" t="s">
        <v>5</v>
      </c>
      <c r="B14" s="138"/>
      <c r="C14" s="134"/>
      <c r="D14" s="134"/>
      <c r="E14" s="134"/>
      <c r="F14" s="134"/>
      <c r="G14" s="134"/>
      <c r="H14" s="134"/>
      <c r="I14" s="134"/>
      <c r="J14" s="134"/>
      <c r="K14" s="135"/>
      <c r="L14" s="134"/>
      <c r="M14" s="135"/>
      <c r="N14" s="136" t="n">
        <v>0</v>
      </c>
    </row>
    <row r="15" customFormat="false" ht="12.8" hidden="false" customHeight="false" outlineLevel="0" collapsed="false">
      <c r="A15" s="131" t="s">
        <v>74</v>
      </c>
      <c r="B15" s="132" t="n">
        <v>110.73</v>
      </c>
      <c r="C15" s="133" t="n">
        <v>144.79</v>
      </c>
      <c r="D15" s="133" t="n">
        <v>165.62</v>
      </c>
      <c r="E15" s="133" t="n">
        <v>238.98</v>
      </c>
      <c r="F15" s="133" t="n">
        <v>172.89</v>
      </c>
      <c r="G15" s="133" t="n">
        <v>516.74</v>
      </c>
      <c r="H15" s="133" t="n">
        <v>70.18</v>
      </c>
      <c r="I15" s="133" t="n">
        <v>389.53</v>
      </c>
      <c r="J15" s="133" t="n">
        <v>273.05</v>
      </c>
      <c r="K15" s="139" t="n">
        <v>128.3</v>
      </c>
      <c r="L15" s="134" t="n">
        <v>128.3</v>
      </c>
      <c r="M15" s="135"/>
      <c r="N15" s="136" t="n">
        <v>2210.81</v>
      </c>
    </row>
    <row r="16" customFormat="false" ht="12.8" hidden="false" customHeight="false" outlineLevel="0" collapsed="false">
      <c r="A16" s="131" t="s">
        <v>87</v>
      </c>
      <c r="B16" s="132" t="n">
        <v>17</v>
      </c>
      <c r="C16" s="133" t="n">
        <v>10.5</v>
      </c>
      <c r="D16" s="133" t="n">
        <v>10</v>
      </c>
      <c r="E16" s="133" t="n">
        <v>16</v>
      </c>
      <c r="F16" s="133" t="n">
        <v>6</v>
      </c>
      <c r="G16" s="133" t="n">
        <v>10</v>
      </c>
      <c r="H16" s="133"/>
      <c r="I16" s="133"/>
      <c r="J16" s="133" t="n">
        <v>167</v>
      </c>
      <c r="K16" s="139" t="n">
        <v>115.8</v>
      </c>
      <c r="L16" s="134" t="n">
        <v>115.8</v>
      </c>
      <c r="M16" s="135" t="n">
        <v>175</v>
      </c>
      <c r="N16" s="136" t="n">
        <v>352.3</v>
      </c>
    </row>
    <row r="17" customFormat="false" ht="12.8" hidden="false" customHeight="false" outlineLevel="0" collapsed="false">
      <c r="A17" s="131" t="s">
        <v>225</v>
      </c>
      <c r="B17" s="132"/>
      <c r="C17" s="133" t="n">
        <v>271.95</v>
      </c>
      <c r="D17" s="133" t="n">
        <v>141</v>
      </c>
      <c r="E17" s="133" t="n">
        <v>389.14</v>
      </c>
      <c r="F17" s="133" t="n">
        <v>239.94</v>
      </c>
      <c r="G17" s="133" t="n">
        <v>29.9</v>
      </c>
      <c r="H17" s="133" t="n">
        <v>203.94</v>
      </c>
      <c r="I17" s="133" t="n">
        <v>18.47</v>
      </c>
      <c r="J17" s="133" t="n">
        <v>32.99</v>
      </c>
      <c r="K17" s="139" t="n">
        <v>185.5</v>
      </c>
      <c r="L17" s="134" t="n">
        <v>185.5</v>
      </c>
      <c r="M17" s="135"/>
      <c r="N17" s="136" t="n">
        <v>1512.83</v>
      </c>
    </row>
    <row r="18" customFormat="false" ht="12.8" hidden="false" customHeight="false" outlineLevel="0" collapsed="false">
      <c r="A18" s="137" t="s">
        <v>219</v>
      </c>
      <c r="B18" s="138"/>
      <c r="C18" s="134"/>
      <c r="D18" s="134"/>
      <c r="E18" s="134"/>
      <c r="F18" s="134"/>
      <c r="G18" s="134"/>
      <c r="H18" s="134"/>
      <c r="I18" s="134"/>
      <c r="J18" s="134"/>
      <c r="K18" s="135"/>
      <c r="L18" s="134"/>
      <c r="M18" s="135"/>
      <c r="N18" s="136" t="n">
        <v>721.54</v>
      </c>
    </row>
    <row r="19" customFormat="false" ht="12.8" hidden="false" customHeight="false" outlineLevel="0" collapsed="false">
      <c r="A19" s="131" t="s">
        <v>98</v>
      </c>
      <c r="B19" s="132" t="n">
        <v>525.08</v>
      </c>
      <c r="C19" s="133" t="n">
        <v>539.38</v>
      </c>
      <c r="D19" s="133" t="n">
        <v>1352.23</v>
      </c>
      <c r="E19" s="133" t="n">
        <v>1196.33</v>
      </c>
      <c r="F19" s="133" t="n">
        <v>962.44</v>
      </c>
      <c r="G19" s="133" t="n">
        <v>1399.72</v>
      </c>
      <c r="H19" s="133" t="n">
        <v>1238.48</v>
      </c>
      <c r="I19" s="133" t="n">
        <v>1628.3</v>
      </c>
      <c r="J19" s="133" t="n">
        <v>1630.35</v>
      </c>
      <c r="K19" s="139" t="n">
        <v>559.53</v>
      </c>
      <c r="L19" s="134" t="n">
        <v>559.53</v>
      </c>
      <c r="M19" s="135" t="n">
        <v>163.35</v>
      </c>
      <c r="N19" s="136" t="n">
        <v>11031.84</v>
      </c>
    </row>
    <row r="20" customFormat="false" ht="12.8" hidden="false" customHeight="false" outlineLevel="0" collapsed="false">
      <c r="A20" s="131" t="s">
        <v>71</v>
      </c>
      <c r="B20" s="132" t="n">
        <v>156.09</v>
      </c>
      <c r="C20" s="133" t="n">
        <v>23.36</v>
      </c>
      <c r="D20" s="133"/>
      <c r="E20" s="133" t="n">
        <v>87.51</v>
      </c>
      <c r="F20" s="133" t="n">
        <v>382.83</v>
      </c>
      <c r="G20" s="133" t="n">
        <v>216.25</v>
      </c>
      <c r="H20" s="133" t="n">
        <v>94.7</v>
      </c>
      <c r="I20" s="133" t="n">
        <v>116.4</v>
      </c>
      <c r="J20" s="133" t="n">
        <v>53.75</v>
      </c>
      <c r="K20" s="139" t="n">
        <v>3.92</v>
      </c>
      <c r="L20" s="134" t="n">
        <v>3.92</v>
      </c>
      <c r="M20" s="135"/>
      <c r="N20" s="136" t="n">
        <v>1134.81</v>
      </c>
    </row>
    <row r="21" customFormat="false" ht="12.8" hidden="false" customHeight="false" outlineLevel="0" collapsed="false">
      <c r="A21" s="137" t="s">
        <v>167</v>
      </c>
      <c r="B21" s="138"/>
      <c r="C21" s="134"/>
      <c r="D21" s="134"/>
      <c r="E21" s="134"/>
      <c r="F21" s="134"/>
      <c r="G21" s="134"/>
      <c r="H21" s="134"/>
      <c r="I21" s="134"/>
      <c r="J21" s="134"/>
      <c r="K21" s="135"/>
      <c r="L21" s="134"/>
      <c r="M21" s="135"/>
      <c r="N21" s="136" t="n">
        <v>0</v>
      </c>
    </row>
    <row r="22" customFormat="false" ht="12.8" hidden="false" customHeight="false" outlineLevel="0" collapsed="false">
      <c r="A22" s="131" t="s">
        <v>148</v>
      </c>
      <c r="B22" s="132" t="n">
        <v>133.1</v>
      </c>
      <c r="C22" s="133"/>
      <c r="D22" s="133"/>
      <c r="E22" s="133"/>
      <c r="F22" s="133"/>
      <c r="G22" s="133"/>
      <c r="H22" s="133"/>
      <c r="I22" s="133"/>
      <c r="J22" s="133"/>
      <c r="K22" s="133" t="n">
        <v>157.9</v>
      </c>
      <c r="L22" s="135" t="n">
        <v>157.9</v>
      </c>
      <c r="M22" s="135"/>
      <c r="N22" s="136" t="n">
        <v>291</v>
      </c>
    </row>
    <row r="23" customFormat="false" ht="12.8" hidden="false" customHeight="false" outlineLevel="0" collapsed="false">
      <c r="A23" s="137" t="s">
        <v>127</v>
      </c>
      <c r="B23" s="138"/>
      <c r="C23" s="134"/>
      <c r="D23" s="134"/>
      <c r="E23" s="134"/>
      <c r="F23" s="134"/>
      <c r="G23" s="134"/>
      <c r="H23" s="134"/>
      <c r="I23" s="134"/>
      <c r="J23" s="134"/>
      <c r="K23" s="135"/>
      <c r="L23" s="134"/>
      <c r="M23" s="135"/>
      <c r="N23" s="136" t="n">
        <v>0</v>
      </c>
    </row>
    <row r="24" customFormat="false" ht="12.8" hidden="false" customHeight="false" outlineLevel="0" collapsed="false">
      <c r="A24" s="137" t="s">
        <v>29</v>
      </c>
      <c r="B24" s="138"/>
      <c r="C24" s="134"/>
      <c r="D24" s="134"/>
      <c r="E24" s="134"/>
      <c r="F24" s="134"/>
      <c r="G24" s="134"/>
      <c r="H24" s="134"/>
      <c r="I24" s="134"/>
      <c r="J24" s="134"/>
      <c r="K24" s="135"/>
      <c r="L24" s="134"/>
      <c r="M24" s="135" t="n">
        <v>0</v>
      </c>
      <c r="N24" s="136" t="n">
        <v>5.99</v>
      </c>
    </row>
    <row r="25" customFormat="false" ht="12.8" hidden="false" customHeight="false" outlineLevel="0" collapsed="false">
      <c r="A25" s="131" t="s">
        <v>203</v>
      </c>
      <c r="B25" s="132"/>
      <c r="C25" s="133" t="n">
        <v>190</v>
      </c>
      <c r="D25" s="133" t="n">
        <v>750</v>
      </c>
      <c r="E25" s="133" t="n">
        <v>800</v>
      </c>
      <c r="F25" s="133" t="n">
        <v>320</v>
      </c>
      <c r="G25" s="133" t="n">
        <v>400</v>
      </c>
      <c r="H25" s="133" t="n">
        <v>200</v>
      </c>
      <c r="I25" s="133" t="n">
        <v>300</v>
      </c>
      <c r="J25" s="133" t="n">
        <v>400</v>
      </c>
      <c r="K25" s="139" t="n">
        <v>300</v>
      </c>
      <c r="L25" s="134" t="n">
        <v>360</v>
      </c>
      <c r="M25" s="135"/>
      <c r="N25" s="136" t="n">
        <v>3660</v>
      </c>
    </row>
    <row r="26" customFormat="false" ht="12.8" hidden="false" customHeight="false" outlineLevel="0" collapsed="false">
      <c r="A26" s="137" t="s">
        <v>181</v>
      </c>
      <c r="B26" s="138"/>
      <c r="C26" s="134"/>
      <c r="D26" s="134"/>
      <c r="E26" s="134"/>
      <c r="F26" s="134"/>
      <c r="G26" s="134"/>
      <c r="H26" s="134"/>
      <c r="I26" s="134"/>
      <c r="J26" s="134"/>
      <c r="K26" s="135"/>
      <c r="L26" s="134"/>
      <c r="M26" s="135"/>
      <c r="N26" s="136" t="n">
        <v>2370.5</v>
      </c>
    </row>
    <row r="27" customFormat="false" ht="12.8" hidden="false" customHeight="false" outlineLevel="0" collapsed="false">
      <c r="A27" s="137" t="s">
        <v>62</v>
      </c>
      <c r="B27" s="138"/>
      <c r="C27" s="134"/>
      <c r="D27" s="134"/>
      <c r="E27" s="134"/>
      <c r="F27" s="134"/>
      <c r="G27" s="134"/>
      <c r="H27" s="134"/>
      <c r="I27" s="134"/>
      <c r="J27" s="134"/>
      <c r="K27" s="135"/>
      <c r="L27" s="134"/>
      <c r="M27" s="135"/>
      <c r="N27" s="136" t="n">
        <v>250</v>
      </c>
    </row>
    <row r="28" customFormat="false" ht="12.8" hidden="false" customHeight="false" outlineLevel="0" collapsed="false">
      <c r="A28" s="137" t="s">
        <v>545</v>
      </c>
      <c r="B28" s="138"/>
      <c r="C28" s="134"/>
      <c r="D28" s="134"/>
      <c r="E28" s="134"/>
      <c r="F28" s="134"/>
      <c r="G28" s="134"/>
      <c r="H28" s="134"/>
      <c r="I28" s="134"/>
      <c r="J28" s="134"/>
      <c r="K28" s="135"/>
      <c r="L28" s="134"/>
      <c r="M28" s="135"/>
      <c r="N28" s="136" t="n">
        <v>243.71</v>
      </c>
    </row>
    <row r="29" customFormat="false" ht="12.8" hidden="false" customHeight="false" outlineLevel="0" collapsed="false">
      <c r="A29" s="137" t="s">
        <v>295</v>
      </c>
      <c r="B29" s="138"/>
      <c r="C29" s="134"/>
      <c r="D29" s="134"/>
      <c r="E29" s="134"/>
      <c r="F29" s="134"/>
      <c r="G29" s="134"/>
      <c r="H29" s="134"/>
      <c r="I29" s="134"/>
      <c r="J29" s="134"/>
      <c r="K29" s="135"/>
      <c r="L29" s="134"/>
      <c r="M29" s="135"/>
      <c r="N29" s="136" t="n">
        <v>5.23</v>
      </c>
    </row>
    <row r="30" customFormat="false" ht="12.8" hidden="false" customHeight="false" outlineLevel="0" collapsed="false">
      <c r="A30" s="137" t="s">
        <v>265</v>
      </c>
      <c r="B30" s="138"/>
      <c r="C30" s="134"/>
      <c r="D30" s="134"/>
      <c r="E30" s="134"/>
      <c r="F30" s="134"/>
      <c r="G30" s="134"/>
      <c r="H30" s="134"/>
      <c r="I30" s="134"/>
      <c r="J30" s="134"/>
      <c r="K30" s="135"/>
      <c r="L30" s="134"/>
      <c r="M30" s="135"/>
      <c r="N30" s="136" t="n">
        <v>78.01</v>
      </c>
    </row>
    <row r="31" customFormat="false" ht="12.8" hidden="false" customHeight="false" outlineLevel="0" collapsed="false">
      <c r="A31" s="131" t="s">
        <v>250</v>
      </c>
      <c r="B31" s="132"/>
      <c r="C31" s="133" t="n">
        <v>83</v>
      </c>
      <c r="D31" s="133"/>
      <c r="E31" s="133"/>
      <c r="F31" s="133"/>
      <c r="G31" s="133"/>
      <c r="H31" s="133"/>
      <c r="I31" s="133"/>
      <c r="J31" s="133"/>
      <c r="K31" s="139"/>
      <c r="L31" s="134"/>
      <c r="M31" s="135"/>
      <c r="N31" s="136" t="n">
        <v>83</v>
      </c>
    </row>
    <row r="32" customFormat="false" ht="12.8" hidden="false" customHeight="false" outlineLevel="0" collapsed="false">
      <c r="A32" s="137" t="s">
        <v>297</v>
      </c>
      <c r="B32" s="138"/>
      <c r="C32" s="134"/>
      <c r="D32" s="134"/>
      <c r="E32" s="134"/>
      <c r="F32" s="134"/>
      <c r="G32" s="134"/>
      <c r="H32" s="134"/>
      <c r="I32" s="134"/>
      <c r="J32" s="134"/>
      <c r="K32" s="135"/>
      <c r="L32" s="134"/>
      <c r="M32" s="135"/>
      <c r="N32" s="136" t="n">
        <v>1907.52</v>
      </c>
    </row>
    <row r="33" customFormat="false" ht="12.8" hidden="false" customHeight="false" outlineLevel="0" collapsed="false">
      <c r="A33" s="137" t="s">
        <v>577</v>
      </c>
      <c r="B33" s="138"/>
      <c r="C33" s="134"/>
      <c r="D33" s="134"/>
      <c r="E33" s="134"/>
      <c r="F33" s="134"/>
      <c r="G33" s="134"/>
      <c r="H33" s="134"/>
      <c r="I33" s="134"/>
      <c r="J33" s="134"/>
      <c r="K33" s="135"/>
      <c r="L33" s="134"/>
      <c r="M33" s="135"/>
      <c r="N33" s="136" t="n">
        <v>180</v>
      </c>
    </row>
    <row r="34" customFormat="false" ht="12.8" hidden="false" customHeight="false" outlineLevel="0" collapsed="false">
      <c r="A34" s="137" t="s">
        <v>575</v>
      </c>
      <c r="B34" s="138"/>
      <c r="C34" s="134"/>
      <c r="D34" s="134"/>
      <c r="E34" s="134"/>
      <c r="F34" s="134"/>
      <c r="G34" s="134"/>
      <c r="H34" s="134"/>
      <c r="I34" s="134"/>
      <c r="J34" s="134"/>
      <c r="K34" s="135"/>
      <c r="L34" s="134"/>
      <c r="M34" s="135"/>
      <c r="N34" s="136" t="n">
        <v>25.25</v>
      </c>
    </row>
    <row r="35" customFormat="false" ht="12.8" hidden="false" customHeight="false" outlineLevel="0" collapsed="false">
      <c r="A35" s="131" t="s">
        <v>33</v>
      </c>
      <c r="B35" s="132" t="n">
        <v>940</v>
      </c>
      <c r="C35" s="133"/>
      <c r="D35" s="133"/>
      <c r="E35" s="133"/>
      <c r="F35" s="133"/>
      <c r="G35" s="133"/>
      <c r="H35" s="133" t="n">
        <v>80</v>
      </c>
      <c r="I35" s="133"/>
      <c r="J35" s="133"/>
      <c r="K35" s="133" t="n">
        <v>800</v>
      </c>
      <c r="L35" s="135" t="n">
        <v>800</v>
      </c>
      <c r="M35" s="135"/>
      <c r="N35" s="136" t="n">
        <v>1020</v>
      </c>
    </row>
    <row r="36" customFormat="false" ht="12.8" hidden="false" customHeight="false" outlineLevel="0" collapsed="false">
      <c r="A36" s="137" t="s">
        <v>474</v>
      </c>
      <c r="B36" s="138"/>
      <c r="C36" s="134"/>
      <c r="D36" s="134"/>
      <c r="E36" s="134"/>
      <c r="F36" s="134"/>
      <c r="G36" s="134"/>
      <c r="H36" s="134"/>
      <c r="I36" s="134"/>
      <c r="J36" s="134"/>
      <c r="K36" s="135"/>
      <c r="L36" s="134"/>
      <c r="M36" s="135"/>
      <c r="N36" s="136" t="n">
        <v>989.54</v>
      </c>
    </row>
    <row r="37" customFormat="false" ht="12.8" hidden="false" customHeight="false" outlineLevel="0" collapsed="false">
      <c r="A37" s="137" t="s">
        <v>608</v>
      </c>
      <c r="B37" s="138"/>
      <c r="C37" s="134"/>
      <c r="D37" s="134"/>
      <c r="E37" s="134"/>
      <c r="F37" s="134"/>
      <c r="G37" s="134"/>
      <c r="H37" s="134"/>
      <c r="I37" s="134"/>
      <c r="J37" s="134"/>
      <c r="K37" s="135"/>
      <c r="L37" s="134"/>
      <c r="M37" s="135"/>
      <c r="N37" s="136" t="n">
        <v>0</v>
      </c>
    </row>
    <row r="38" customFormat="false" ht="12.8" hidden="false" customHeight="false" outlineLevel="0" collapsed="false">
      <c r="A38" s="137" t="s">
        <v>35</v>
      </c>
      <c r="B38" s="138"/>
      <c r="C38" s="134"/>
      <c r="D38" s="134"/>
      <c r="E38" s="134"/>
      <c r="F38" s="134"/>
      <c r="G38" s="134"/>
      <c r="H38" s="134"/>
      <c r="I38" s="134"/>
      <c r="J38" s="134"/>
      <c r="K38" s="135"/>
      <c r="L38" s="134"/>
      <c r="M38" s="135"/>
      <c r="N38" s="136" t="n">
        <v>15700</v>
      </c>
    </row>
    <row r="39" customFormat="false" ht="12.8" hidden="false" customHeight="false" outlineLevel="0" collapsed="false">
      <c r="A39" s="137" t="s">
        <v>651</v>
      </c>
      <c r="B39" s="138"/>
      <c r="C39" s="134"/>
      <c r="D39" s="134"/>
      <c r="E39" s="134"/>
      <c r="F39" s="134"/>
      <c r="G39" s="134"/>
      <c r="H39" s="134"/>
      <c r="I39" s="134"/>
      <c r="J39" s="134"/>
      <c r="K39" s="135"/>
      <c r="L39" s="134"/>
      <c r="M39" s="135"/>
      <c r="N39" s="136" t="n">
        <v>12</v>
      </c>
    </row>
    <row r="40" customFormat="false" ht="12.8" hidden="false" customHeight="false" outlineLevel="0" collapsed="false">
      <c r="A40" s="131" t="s">
        <v>316</v>
      </c>
      <c r="B40" s="132"/>
      <c r="C40" s="133"/>
      <c r="D40" s="133" t="n">
        <v>45.5</v>
      </c>
      <c r="E40" s="133"/>
      <c r="F40" s="133" t="n">
        <v>23.5</v>
      </c>
      <c r="G40" s="133" t="n">
        <v>22</v>
      </c>
      <c r="H40" s="133" t="n">
        <v>88.8</v>
      </c>
      <c r="I40" s="133" t="n">
        <v>191</v>
      </c>
      <c r="J40" s="133"/>
      <c r="K40" s="139"/>
      <c r="L40" s="134"/>
      <c r="M40" s="135"/>
      <c r="N40" s="136" t="n">
        <v>370.8</v>
      </c>
    </row>
    <row r="41" customFormat="false" ht="12.8" hidden="false" customHeight="false" outlineLevel="0" collapsed="false">
      <c r="A41" s="137" t="s">
        <v>640</v>
      </c>
      <c r="B41" s="138"/>
      <c r="C41" s="134"/>
      <c r="D41" s="134"/>
      <c r="E41" s="134"/>
      <c r="F41" s="134"/>
      <c r="G41" s="134"/>
      <c r="H41" s="134"/>
      <c r="I41" s="134"/>
      <c r="J41" s="134"/>
      <c r="K41" s="135"/>
      <c r="L41" s="134"/>
      <c r="M41" s="135"/>
      <c r="N41" s="136" t="n">
        <v>75.06</v>
      </c>
    </row>
    <row r="42" customFormat="false" ht="12.8" hidden="false" customHeight="false" outlineLevel="0" collapsed="false">
      <c r="A42" s="137" t="s">
        <v>527</v>
      </c>
      <c r="B42" s="138"/>
      <c r="C42" s="134"/>
      <c r="D42" s="134"/>
      <c r="E42" s="134"/>
      <c r="F42" s="134"/>
      <c r="G42" s="134"/>
      <c r="H42" s="134"/>
      <c r="I42" s="134"/>
      <c r="J42" s="134"/>
      <c r="K42" s="135"/>
      <c r="L42" s="134"/>
      <c r="M42" s="135"/>
      <c r="N42" s="136" t="n">
        <v>31.61</v>
      </c>
    </row>
    <row r="43" customFormat="false" ht="12.8" hidden="false" customHeight="false" outlineLevel="0" collapsed="false">
      <c r="A43" s="137" t="s">
        <v>631</v>
      </c>
      <c r="B43" s="138"/>
      <c r="C43" s="134"/>
      <c r="D43" s="134"/>
      <c r="E43" s="134"/>
      <c r="F43" s="134"/>
      <c r="G43" s="134"/>
      <c r="H43" s="134"/>
      <c r="I43" s="134"/>
      <c r="J43" s="134"/>
      <c r="K43" s="135"/>
      <c r="L43" s="134"/>
      <c r="M43" s="135"/>
      <c r="N43" s="136" t="n">
        <v>400</v>
      </c>
    </row>
    <row r="44" customFormat="false" ht="12.8" hidden="false" customHeight="false" outlineLevel="0" collapsed="false">
      <c r="A44" s="137" t="s">
        <v>558</v>
      </c>
      <c r="B44" s="138"/>
      <c r="C44" s="134"/>
      <c r="D44" s="134"/>
      <c r="E44" s="134"/>
      <c r="F44" s="134"/>
      <c r="G44" s="134"/>
      <c r="H44" s="134"/>
      <c r="I44" s="134"/>
      <c r="J44" s="134"/>
      <c r="K44" s="135"/>
      <c r="L44" s="134"/>
      <c r="M44" s="135"/>
      <c r="N44" s="136" t="n">
        <v>400</v>
      </c>
    </row>
    <row r="45" customFormat="false" ht="12.8" hidden="false" customHeight="false" outlineLevel="0" collapsed="false">
      <c r="A45" s="137" t="s">
        <v>685</v>
      </c>
      <c r="B45" s="138"/>
      <c r="C45" s="134"/>
      <c r="D45" s="134"/>
      <c r="E45" s="134"/>
      <c r="F45" s="134"/>
      <c r="G45" s="134"/>
      <c r="H45" s="134"/>
      <c r="I45" s="134"/>
      <c r="J45" s="134"/>
      <c r="K45" s="135"/>
      <c r="L45" s="134"/>
      <c r="M45" s="135"/>
      <c r="N45" s="136" t="n">
        <v>700</v>
      </c>
    </row>
    <row r="46" customFormat="false" ht="12.8" hidden="false" customHeight="false" outlineLevel="0" collapsed="false">
      <c r="A46" s="137" t="s">
        <v>724</v>
      </c>
      <c r="B46" s="138"/>
      <c r="C46" s="134"/>
      <c r="D46" s="134"/>
      <c r="E46" s="134"/>
      <c r="F46" s="134"/>
      <c r="G46" s="134"/>
      <c r="H46" s="134"/>
      <c r="I46" s="134"/>
      <c r="J46" s="134"/>
      <c r="K46" s="135"/>
      <c r="L46" s="134"/>
      <c r="M46" s="135"/>
      <c r="N46" s="136" t="n">
        <v>0</v>
      </c>
    </row>
    <row r="47" customFormat="false" ht="12.8" hidden="false" customHeight="false" outlineLevel="0" collapsed="false">
      <c r="A47" s="137" t="s">
        <v>744</v>
      </c>
      <c r="B47" s="138"/>
      <c r="C47" s="134"/>
      <c r="D47" s="134"/>
      <c r="E47" s="134"/>
      <c r="F47" s="134"/>
      <c r="G47" s="134"/>
      <c r="H47" s="134"/>
      <c r="I47" s="134"/>
      <c r="J47" s="134"/>
      <c r="K47" s="135"/>
      <c r="L47" s="134"/>
      <c r="N47" s="136" t="n">
        <v>5</v>
      </c>
    </row>
    <row r="48" customFormat="false" ht="12.8" hidden="false" customHeight="false" outlineLevel="0" collapsed="false">
      <c r="A48" s="137" t="s">
        <v>42</v>
      </c>
      <c r="B48" s="138"/>
      <c r="C48" s="134"/>
      <c r="D48" s="134"/>
      <c r="E48" s="134"/>
      <c r="F48" s="134"/>
      <c r="G48" s="134"/>
      <c r="H48" s="134"/>
      <c r="I48" s="134"/>
      <c r="J48" s="134"/>
      <c r="K48" s="135"/>
      <c r="L48" s="134"/>
      <c r="M48" s="135"/>
      <c r="N48" s="136" t="n">
        <v>0</v>
      </c>
    </row>
    <row r="49" customFormat="false" ht="12.8" hidden="false" customHeight="false" outlineLevel="0" collapsed="false">
      <c r="A49" s="140" t="s">
        <v>757</v>
      </c>
      <c r="B49" s="141"/>
      <c r="C49" s="142"/>
      <c r="D49" s="142"/>
      <c r="E49" s="142"/>
      <c r="F49" s="142"/>
      <c r="G49" s="142"/>
      <c r="H49" s="142"/>
      <c r="I49" s="142"/>
      <c r="J49" s="142"/>
      <c r="K49" s="142"/>
      <c r="L49" s="135"/>
      <c r="M49" s="136" t="n">
        <v>41</v>
      </c>
      <c r="N49" s="0" t="n">
        <v>41</v>
      </c>
    </row>
    <row r="50" customFormat="false" ht="12.8" hidden="false" customHeight="false" outlineLevel="0" collapsed="false">
      <c r="A50" s="137" t="s">
        <v>59</v>
      </c>
      <c r="B50" s="143"/>
      <c r="C50" s="144"/>
      <c r="D50" s="144"/>
      <c r="E50" s="144"/>
      <c r="F50" s="144"/>
      <c r="G50" s="144"/>
      <c r="H50" s="144"/>
      <c r="I50" s="144"/>
      <c r="J50" s="144"/>
      <c r="K50" s="145"/>
      <c r="L50" s="134"/>
      <c r="M50" s="145"/>
      <c r="N50" s="146" t="n">
        <v>115</v>
      </c>
    </row>
    <row r="51" customFormat="false" ht="12.8" hidden="false" customHeight="false" outlineLevel="0" collapsed="false">
      <c r="A51" s="147" t="s">
        <v>892</v>
      </c>
      <c r="B51" s="148" t="n">
        <f aca="false">SUM(B5:B50)</f>
        <v>2877.88</v>
      </c>
      <c r="C51" s="148" t="n">
        <f aca="false">SUM(C5:C50)</f>
        <v>2245.9</v>
      </c>
      <c r="D51" s="148" t="n">
        <f aca="false">SUM(D5:D50)</f>
        <v>3083.5</v>
      </c>
      <c r="E51" s="148" t="n">
        <f aca="false">SUM(E5:E50)</f>
        <v>3709.58</v>
      </c>
      <c r="F51" s="148" t="n">
        <f aca="false">SUM(F5:F50)</f>
        <v>2898.7</v>
      </c>
      <c r="G51" s="148" t="n">
        <f aca="false">SUM(G5:G50)</f>
        <v>3723.16</v>
      </c>
      <c r="H51" s="148" t="n">
        <f aca="false">SUM(H5:H50)</f>
        <v>2823.1</v>
      </c>
      <c r="I51" s="148" t="n">
        <f aca="false">SUM(I5:I50)</f>
        <v>3546.97</v>
      </c>
      <c r="J51" s="148" t="n">
        <f aca="false">SUM(J5:J50)</f>
        <v>3625.66</v>
      </c>
      <c r="K51" s="148" t="n">
        <f aca="false">SUM(K5:K50)</f>
        <v>2652.93</v>
      </c>
      <c r="L51" s="148" t="n">
        <f aca="false">SUM(L5:L50)</f>
        <v>2768.38</v>
      </c>
      <c r="M51" s="149" t="n">
        <v>403.35</v>
      </c>
      <c r="N51" s="150"/>
    </row>
    <row r="53" customFormat="false" ht="12.8" hidden="false" customHeight="false" outlineLevel="0" collapsed="false">
      <c r="M53" s="149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O53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N10" activeCellId="0" sqref="N10"/>
    </sheetView>
  </sheetViews>
  <sheetFormatPr defaultRowHeight="12.8" zeroHeight="false" outlineLevelRow="0" outlineLevelCol="0"/>
  <cols>
    <col collapsed="false" customWidth="true" hidden="false" outlineLevel="0" max="1" min="1" style="0" width="11.27"/>
    <col collapsed="false" customWidth="true" hidden="false" outlineLevel="0" max="2" min="2" style="0" width="8.62"/>
    <col collapsed="false" customWidth="true" hidden="false" outlineLevel="0" max="11" min="3" style="0" width="6.78"/>
    <col collapsed="false" customWidth="true" hidden="false" outlineLevel="0" max="12" min="12" style="0" width="10.61"/>
    <col collapsed="false" customWidth="true" hidden="false" outlineLevel="0" max="13" min="13" style="0" width="12.1"/>
    <col collapsed="false" customWidth="true" hidden="false" outlineLevel="0" max="14" min="14" style="0" width="9.45"/>
    <col collapsed="false" customWidth="true" hidden="false" outlineLevel="0" max="1025" min="15" style="0" width="6.78"/>
  </cols>
  <sheetData>
    <row r="3" customFormat="false" ht="12.8" hidden="false" customHeight="false" outlineLevel="0" collapsed="false">
      <c r="A3" s="117"/>
      <c r="B3" s="118" t="s">
        <v>56</v>
      </c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21"/>
    </row>
    <row r="4" customFormat="false" ht="13.8" hidden="false" customHeight="false" outlineLevel="0" collapsed="false">
      <c r="A4" s="122" t="s">
        <v>49</v>
      </c>
      <c r="B4" s="123" t="n">
        <v>43831</v>
      </c>
      <c r="C4" s="124" t="n">
        <v>43862</v>
      </c>
      <c r="D4" s="124" t="n">
        <v>43891</v>
      </c>
      <c r="E4" s="124" t="n">
        <v>43922</v>
      </c>
      <c r="F4" s="124" t="n">
        <v>43952</v>
      </c>
      <c r="G4" s="124" t="n">
        <v>43983</v>
      </c>
      <c r="H4" s="124" t="n">
        <v>44013</v>
      </c>
      <c r="I4" s="124" t="n">
        <v>44044</v>
      </c>
      <c r="J4" s="124" t="n">
        <v>44075</v>
      </c>
      <c r="K4" s="124" t="n">
        <v>44105</v>
      </c>
      <c r="L4" s="151" t="n">
        <v>44136</v>
      </c>
      <c r="M4" s="125" t="s">
        <v>892</v>
      </c>
      <c r="N4" s="124" t="n">
        <v>44136</v>
      </c>
      <c r="O4" s="152" t="s">
        <v>893</v>
      </c>
    </row>
    <row r="5" customFormat="false" ht="13.8" hidden="false" customHeight="false" outlineLevel="0" collapsed="false">
      <c r="A5" s="153" t="s">
        <v>142</v>
      </c>
      <c r="B5" s="154" t="n">
        <v>9.9</v>
      </c>
      <c r="C5" s="155" t="n">
        <v>115.28</v>
      </c>
      <c r="D5" s="155"/>
      <c r="E5" s="155"/>
      <c r="F5" s="155"/>
      <c r="G5" s="155"/>
      <c r="H5" s="155"/>
      <c r="I5" s="155" t="n">
        <v>172</v>
      </c>
      <c r="J5" s="155"/>
      <c r="K5" s="155" t="n">
        <v>0</v>
      </c>
      <c r="L5" s="156"/>
      <c r="M5" s="157" t="n">
        <v>297.18</v>
      </c>
      <c r="N5" s="158"/>
      <c r="O5" s="152"/>
    </row>
    <row r="6" customFormat="false" ht="13.8" hidden="false" customHeight="false" outlineLevel="0" collapsed="false">
      <c r="A6" s="131" t="s">
        <v>76</v>
      </c>
      <c r="B6" s="132" t="n">
        <v>86.55</v>
      </c>
      <c r="C6" s="133" t="n">
        <v>200.38</v>
      </c>
      <c r="D6" s="133" t="n">
        <v>63.4</v>
      </c>
      <c r="E6" s="133" t="n">
        <v>349.82</v>
      </c>
      <c r="F6" s="133" t="n">
        <v>229.15</v>
      </c>
      <c r="G6" s="133" t="n">
        <v>217.59</v>
      </c>
      <c r="H6" s="133" t="n">
        <v>138.98</v>
      </c>
      <c r="I6" s="133" t="n">
        <v>414.6</v>
      </c>
      <c r="J6" s="133" t="n">
        <v>223.35</v>
      </c>
      <c r="K6" s="133" t="n">
        <v>411.39</v>
      </c>
      <c r="L6" s="159" t="n">
        <v>182.24</v>
      </c>
      <c r="M6" s="160" t="n">
        <v>2517.45</v>
      </c>
      <c r="N6" s="161" t="n">
        <v>242.4</v>
      </c>
      <c r="O6" s="152" t="n">
        <f aca="false">L6-N6</f>
        <v>-60.16</v>
      </c>
    </row>
    <row r="7" customFormat="false" ht="13.8" hidden="false" customHeight="false" outlineLevel="0" collapsed="false">
      <c r="A7" s="162"/>
      <c r="B7" s="138"/>
      <c r="C7" s="134"/>
      <c r="D7" s="134"/>
      <c r="E7" s="134"/>
      <c r="F7" s="134"/>
      <c r="G7" s="134"/>
      <c r="H7" s="134"/>
      <c r="I7" s="134"/>
      <c r="J7" s="134"/>
      <c r="K7" s="134" t="n">
        <v>0</v>
      </c>
      <c r="L7" s="163"/>
      <c r="M7" s="136"/>
      <c r="N7" s="161"/>
      <c r="O7" s="152"/>
    </row>
    <row r="8" customFormat="false" ht="13.8" hidden="false" customHeight="false" outlineLevel="0" collapsed="false">
      <c r="A8" s="162"/>
      <c r="B8" s="138"/>
      <c r="C8" s="134"/>
      <c r="D8" s="134"/>
      <c r="E8" s="134"/>
      <c r="F8" s="134"/>
      <c r="G8" s="134"/>
      <c r="H8" s="134"/>
      <c r="I8" s="134"/>
      <c r="J8" s="134"/>
      <c r="K8" s="134" t="n">
        <v>0</v>
      </c>
      <c r="L8" s="163"/>
      <c r="M8" s="136"/>
      <c r="N8" s="161"/>
      <c r="O8" s="152"/>
    </row>
    <row r="9" customFormat="false" ht="13.8" hidden="false" customHeight="false" outlineLevel="0" collapsed="false">
      <c r="A9" s="131"/>
      <c r="B9" s="132"/>
      <c r="C9" s="133"/>
      <c r="D9" s="133"/>
      <c r="E9" s="133"/>
      <c r="F9" s="133"/>
      <c r="G9" s="133"/>
      <c r="H9" s="133"/>
      <c r="I9" s="133"/>
      <c r="J9" s="133"/>
      <c r="K9" s="133" t="n">
        <v>0</v>
      </c>
      <c r="L9" s="159"/>
      <c r="M9" s="160"/>
      <c r="N9" s="161"/>
      <c r="O9" s="152"/>
    </row>
    <row r="10" customFormat="false" ht="13.8" hidden="false" customHeight="false" outlineLevel="0" collapsed="false">
      <c r="A10" s="131" t="s">
        <v>176</v>
      </c>
      <c r="B10" s="132"/>
      <c r="C10" s="133" t="n">
        <v>150</v>
      </c>
      <c r="D10" s="133" t="n">
        <v>150</v>
      </c>
      <c r="E10" s="133" t="n">
        <v>150</v>
      </c>
      <c r="F10" s="133" t="n">
        <v>556.45</v>
      </c>
      <c r="G10" s="133" t="n">
        <v>150</v>
      </c>
      <c r="H10" s="133" t="n">
        <v>153.6</v>
      </c>
      <c r="I10" s="133" t="n">
        <v>153.25</v>
      </c>
      <c r="J10" s="133" t="n">
        <v>153.38</v>
      </c>
      <c r="K10" s="133" t="n">
        <v>150</v>
      </c>
      <c r="L10" s="159" t="n">
        <v>209.78</v>
      </c>
      <c r="M10" s="160" t="n">
        <v>1976.46</v>
      </c>
      <c r="N10" s="161" t="n">
        <v>209.78</v>
      </c>
      <c r="O10" s="152" t="n">
        <f aca="false">L10-N10</f>
        <v>0</v>
      </c>
    </row>
    <row r="11" customFormat="false" ht="13.8" hidden="false" customHeight="false" outlineLevel="0" collapsed="false">
      <c r="A11" s="131" t="s">
        <v>65</v>
      </c>
      <c r="B11" s="132" t="n">
        <v>909.33</v>
      </c>
      <c r="C11" s="133" t="n">
        <v>782.54</v>
      </c>
      <c r="D11" s="133" t="n">
        <v>555.75</v>
      </c>
      <c r="E11" s="133" t="n">
        <v>631.8</v>
      </c>
      <c r="F11" s="133" t="n">
        <v>561.95</v>
      </c>
      <c r="G11" s="133" t="n">
        <v>910.96</v>
      </c>
      <c r="H11" s="133" t="n">
        <v>708.02</v>
      </c>
      <c r="I11" s="133" t="n">
        <v>488.67</v>
      </c>
      <c r="J11" s="133" t="n">
        <v>695.17</v>
      </c>
      <c r="K11" s="133" t="n">
        <v>203.94</v>
      </c>
      <c r="L11" s="159" t="n">
        <v>195.96</v>
      </c>
      <c r="M11" s="160" t="n">
        <v>6644.09</v>
      </c>
      <c r="N11" s="161" t="n">
        <v>427.36</v>
      </c>
      <c r="O11" s="152" t="n">
        <f aca="false">L11-N11</f>
        <v>-231.4</v>
      </c>
    </row>
    <row r="12" customFormat="false" ht="13.8" hidden="false" customHeight="false" outlineLevel="0" collapsed="false">
      <c r="A12" s="162"/>
      <c r="B12" s="138"/>
      <c r="C12" s="134"/>
      <c r="D12" s="134"/>
      <c r="E12" s="134"/>
      <c r="F12" s="134"/>
      <c r="G12" s="134"/>
      <c r="H12" s="134"/>
      <c r="I12" s="134"/>
      <c r="J12" s="134"/>
      <c r="K12" s="134" t="n">
        <v>0</v>
      </c>
      <c r="L12" s="163"/>
      <c r="M12" s="136"/>
      <c r="N12" s="161"/>
      <c r="O12" s="152"/>
    </row>
    <row r="13" customFormat="false" ht="13.8" hidden="false" customHeight="false" outlineLevel="0" collapsed="false">
      <c r="A13" s="162"/>
      <c r="B13" s="138"/>
      <c r="C13" s="134"/>
      <c r="D13" s="134"/>
      <c r="E13" s="134"/>
      <c r="F13" s="134"/>
      <c r="G13" s="134"/>
      <c r="H13" s="134"/>
      <c r="I13" s="134"/>
      <c r="J13" s="134"/>
      <c r="K13" s="134" t="n">
        <v>0</v>
      </c>
      <c r="L13" s="163"/>
      <c r="M13" s="136"/>
      <c r="N13" s="161"/>
      <c r="O13" s="152"/>
    </row>
    <row r="14" customFormat="false" ht="13.8" hidden="false" customHeight="false" outlineLevel="0" collapsed="false">
      <c r="A14" s="162"/>
      <c r="B14" s="138"/>
      <c r="C14" s="134"/>
      <c r="D14" s="134"/>
      <c r="E14" s="134"/>
      <c r="F14" s="134"/>
      <c r="G14" s="134"/>
      <c r="H14" s="134"/>
      <c r="I14" s="134"/>
      <c r="J14" s="134"/>
      <c r="K14" s="134" t="n">
        <v>0</v>
      </c>
      <c r="L14" s="163"/>
      <c r="M14" s="136"/>
      <c r="N14" s="161"/>
      <c r="O14" s="152"/>
    </row>
    <row r="15" customFormat="false" ht="13.8" hidden="false" customHeight="false" outlineLevel="0" collapsed="false">
      <c r="A15" s="131" t="s">
        <v>74</v>
      </c>
      <c r="B15" s="132" t="n">
        <v>110.73</v>
      </c>
      <c r="C15" s="133" t="n">
        <v>144.79</v>
      </c>
      <c r="D15" s="133" t="n">
        <v>165.62</v>
      </c>
      <c r="E15" s="133" t="n">
        <v>238.98</v>
      </c>
      <c r="F15" s="133" t="n">
        <v>172.89</v>
      </c>
      <c r="G15" s="133" t="n">
        <v>516.74</v>
      </c>
      <c r="H15" s="133" t="n">
        <v>70.18</v>
      </c>
      <c r="I15" s="133" t="n">
        <v>389.53</v>
      </c>
      <c r="J15" s="133" t="n">
        <v>273.05</v>
      </c>
      <c r="K15" s="133" t="n">
        <v>128.3</v>
      </c>
      <c r="L15" s="159" t="n">
        <v>230.31</v>
      </c>
      <c r="M15" s="160" t="n">
        <v>2441.12</v>
      </c>
      <c r="N15" s="161" t="n">
        <v>230.31</v>
      </c>
      <c r="O15" s="152" t="n">
        <f aca="false">L15-N15</f>
        <v>0</v>
      </c>
    </row>
    <row r="16" customFormat="false" ht="12.8" hidden="false" customHeight="false" outlineLevel="0" collapsed="false">
      <c r="A16" s="131" t="s">
        <v>87</v>
      </c>
      <c r="B16" s="132" t="n">
        <v>17</v>
      </c>
      <c r="C16" s="133" t="n">
        <v>10.5</v>
      </c>
      <c r="D16" s="133" t="n">
        <v>10</v>
      </c>
      <c r="E16" s="133" t="n">
        <v>16</v>
      </c>
      <c r="F16" s="133" t="n">
        <v>6</v>
      </c>
      <c r="G16" s="133" t="n">
        <v>10</v>
      </c>
      <c r="H16" s="133"/>
      <c r="I16" s="133"/>
      <c r="J16" s="133"/>
      <c r="K16" s="133" t="n">
        <v>0</v>
      </c>
      <c r="L16" s="164" t="n">
        <v>25</v>
      </c>
      <c r="M16" s="160" t="n">
        <v>94.5</v>
      </c>
      <c r="N16" s="161" t="n">
        <v>125</v>
      </c>
      <c r="O16" s="152" t="n">
        <f aca="false">L16-N16</f>
        <v>-100</v>
      </c>
    </row>
    <row r="17" customFormat="false" ht="13.8" hidden="false" customHeight="false" outlineLevel="0" collapsed="false">
      <c r="A17" s="131" t="s">
        <v>225</v>
      </c>
      <c r="B17" s="132"/>
      <c r="C17" s="133" t="n">
        <v>271.95</v>
      </c>
      <c r="D17" s="133" t="n">
        <v>141</v>
      </c>
      <c r="E17" s="133" t="n">
        <v>389.14</v>
      </c>
      <c r="F17" s="133" t="n">
        <v>239.94</v>
      </c>
      <c r="G17" s="133" t="n">
        <v>29.9</v>
      </c>
      <c r="H17" s="133" t="n">
        <v>203.94</v>
      </c>
      <c r="I17" s="133" t="n">
        <v>18.47</v>
      </c>
      <c r="J17" s="133" t="n">
        <v>32.99</v>
      </c>
      <c r="K17" s="133" t="n">
        <v>185.5</v>
      </c>
      <c r="L17" s="159"/>
      <c r="M17" s="160" t="n">
        <v>1512.83</v>
      </c>
      <c r="N17" s="161"/>
      <c r="O17" s="152" t="n">
        <f aca="false">L17-N17</f>
        <v>0</v>
      </c>
    </row>
    <row r="18" customFormat="false" ht="13.8" hidden="false" customHeight="false" outlineLevel="0" collapsed="false">
      <c r="A18" s="162"/>
      <c r="B18" s="138"/>
      <c r="C18" s="134"/>
      <c r="D18" s="134"/>
      <c r="E18" s="134"/>
      <c r="F18" s="134"/>
      <c r="G18" s="134"/>
      <c r="H18" s="134"/>
      <c r="I18" s="134"/>
      <c r="J18" s="134"/>
      <c r="K18" s="134" t="n">
        <v>0</v>
      </c>
      <c r="L18" s="163"/>
      <c r="M18" s="136"/>
      <c r="N18" s="161"/>
      <c r="O18" s="152" t="n">
        <f aca="false">L18-N18</f>
        <v>0</v>
      </c>
    </row>
    <row r="19" customFormat="false" ht="13.8" hidden="false" customHeight="false" outlineLevel="0" collapsed="false">
      <c r="A19" s="131" t="s">
        <v>98</v>
      </c>
      <c r="B19" s="132" t="n">
        <v>525.08</v>
      </c>
      <c r="C19" s="133" t="n">
        <v>539.38</v>
      </c>
      <c r="D19" s="133" t="n">
        <v>1352.23</v>
      </c>
      <c r="E19" s="133" t="n">
        <v>1196.33</v>
      </c>
      <c r="F19" s="133" t="n">
        <v>962.44</v>
      </c>
      <c r="G19" s="133" t="n">
        <v>1399.72</v>
      </c>
      <c r="H19" s="133" t="n">
        <v>1238.48</v>
      </c>
      <c r="I19" s="133" t="n">
        <v>1628.3</v>
      </c>
      <c r="J19" s="133" t="n">
        <v>1630.35</v>
      </c>
      <c r="K19" s="133" t="n">
        <v>559.53</v>
      </c>
      <c r="L19" s="159" t="n">
        <v>760.49</v>
      </c>
      <c r="M19" s="160" t="n">
        <v>11792.33</v>
      </c>
      <c r="N19" s="161" t="n">
        <v>945.6</v>
      </c>
      <c r="O19" s="152" t="n">
        <f aca="false">L19-N19</f>
        <v>-185.11</v>
      </c>
    </row>
    <row r="20" customFormat="false" ht="13.8" hidden="false" customHeight="false" outlineLevel="0" collapsed="false">
      <c r="A20" s="131" t="s">
        <v>71</v>
      </c>
      <c r="B20" s="132" t="n">
        <v>156.09</v>
      </c>
      <c r="C20" s="133" t="n">
        <v>23.36</v>
      </c>
      <c r="D20" s="133"/>
      <c r="E20" s="133" t="n">
        <v>87.51</v>
      </c>
      <c r="F20" s="133" t="n">
        <v>382.83</v>
      </c>
      <c r="G20" s="133" t="n">
        <v>216.25</v>
      </c>
      <c r="H20" s="133" t="n">
        <v>94.7</v>
      </c>
      <c r="I20" s="133" t="n">
        <v>116.4</v>
      </c>
      <c r="J20" s="133" t="n">
        <v>53.75</v>
      </c>
      <c r="K20" s="133" t="n">
        <v>3.92</v>
      </c>
      <c r="L20" s="159" t="n">
        <v>28.68</v>
      </c>
      <c r="M20" s="160" t="n">
        <v>1163.49</v>
      </c>
      <c r="N20" s="161" t="n">
        <v>28.68</v>
      </c>
      <c r="O20" s="152" t="n">
        <f aca="false">L20-N20</f>
        <v>0</v>
      </c>
    </row>
    <row r="21" customFormat="false" ht="13.8" hidden="false" customHeight="false" outlineLevel="0" collapsed="false">
      <c r="A21" s="162"/>
      <c r="B21" s="138"/>
      <c r="C21" s="134"/>
      <c r="D21" s="134"/>
      <c r="E21" s="134"/>
      <c r="F21" s="134"/>
      <c r="G21" s="134"/>
      <c r="H21" s="134"/>
      <c r="I21" s="134"/>
      <c r="J21" s="134"/>
      <c r="K21" s="134" t="n">
        <v>0</v>
      </c>
      <c r="L21" s="163"/>
      <c r="M21" s="136"/>
      <c r="N21" s="161"/>
      <c r="O21" s="152" t="n">
        <f aca="false">L21-N21</f>
        <v>0</v>
      </c>
    </row>
    <row r="22" customFormat="false" ht="13.8" hidden="false" customHeight="false" outlineLevel="0" collapsed="false">
      <c r="A22" s="162"/>
      <c r="B22" s="138"/>
      <c r="C22" s="134"/>
      <c r="D22" s="134"/>
      <c r="E22" s="134"/>
      <c r="F22" s="134"/>
      <c r="G22" s="134"/>
      <c r="H22" s="134"/>
      <c r="I22" s="134"/>
      <c r="J22" s="134"/>
      <c r="K22" s="134" t="n">
        <v>0</v>
      </c>
      <c r="L22" s="163"/>
      <c r="M22" s="136"/>
      <c r="N22" s="161"/>
      <c r="O22" s="152" t="n">
        <f aca="false">L22-N22</f>
        <v>0</v>
      </c>
    </row>
    <row r="23" customFormat="false" ht="13.8" hidden="false" customHeight="false" outlineLevel="0" collapsed="false">
      <c r="A23" s="162"/>
      <c r="B23" s="138"/>
      <c r="C23" s="134"/>
      <c r="D23" s="134"/>
      <c r="E23" s="134"/>
      <c r="F23" s="134"/>
      <c r="G23" s="134"/>
      <c r="H23" s="134"/>
      <c r="I23" s="134"/>
      <c r="J23" s="134"/>
      <c r="K23" s="134" t="n">
        <v>0</v>
      </c>
      <c r="L23" s="163"/>
      <c r="M23" s="136"/>
      <c r="N23" s="161" t="n">
        <v>0</v>
      </c>
      <c r="O23" s="152" t="n">
        <f aca="false">L23-N23</f>
        <v>0</v>
      </c>
    </row>
    <row r="24" customFormat="false" ht="13.8" hidden="false" customHeight="false" outlineLevel="0" collapsed="false">
      <c r="A24" s="162"/>
      <c r="B24" s="138"/>
      <c r="C24" s="134"/>
      <c r="D24" s="134"/>
      <c r="E24" s="134"/>
      <c r="F24" s="134"/>
      <c r="G24" s="134"/>
      <c r="H24" s="134"/>
      <c r="I24" s="134"/>
      <c r="J24" s="134"/>
      <c r="K24" s="134" t="n">
        <v>0</v>
      </c>
      <c r="L24" s="163"/>
      <c r="M24" s="136"/>
      <c r="N24" s="161" t="n">
        <v>0</v>
      </c>
      <c r="O24" s="152" t="n">
        <f aca="false">L24-N24</f>
        <v>0</v>
      </c>
    </row>
    <row r="25" customFormat="false" ht="13.8" hidden="false" customHeight="false" outlineLevel="0" collapsed="false">
      <c r="A25" s="131" t="s">
        <v>203</v>
      </c>
      <c r="B25" s="132"/>
      <c r="C25" s="133" t="n">
        <v>190</v>
      </c>
      <c r="D25" s="133" t="n">
        <v>750</v>
      </c>
      <c r="E25" s="133" t="n">
        <v>800</v>
      </c>
      <c r="F25" s="133" t="n">
        <v>320</v>
      </c>
      <c r="G25" s="133" t="n">
        <v>400</v>
      </c>
      <c r="H25" s="133" t="n">
        <v>200</v>
      </c>
      <c r="I25" s="133" t="n">
        <v>300</v>
      </c>
      <c r="J25" s="133" t="n">
        <v>400</v>
      </c>
      <c r="K25" s="133" t="n">
        <v>300</v>
      </c>
      <c r="L25" s="159" t="n">
        <v>300</v>
      </c>
      <c r="M25" s="160" t="n">
        <v>3960</v>
      </c>
      <c r="N25" s="161" t="n">
        <v>400</v>
      </c>
      <c r="O25" s="152" t="n">
        <f aca="false">L25-N25</f>
        <v>-100</v>
      </c>
    </row>
    <row r="26" customFormat="false" ht="13.8" hidden="false" customHeight="false" outlineLevel="0" collapsed="false">
      <c r="A26" s="162"/>
      <c r="B26" s="138"/>
      <c r="C26" s="134"/>
      <c r="D26" s="134"/>
      <c r="E26" s="134"/>
      <c r="F26" s="134"/>
      <c r="G26" s="134"/>
      <c r="H26" s="134"/>
      <c r="I26" s="134"/>
      <c r="J26" s="134"/>
      <c r="K26" s="134" t="n">
        <v>0</v>
      </c>
      <c r="L26" s="163"/>
      <c r="M26" s="136"/>
      <c r="N26" s="161"/>
      <c r="O26" s="152" t="n">
        <f aca="false">L26-N26</f>
        <v>0</v>
      </c>
    </row>
    <row r="27" customFormat="false" ht="13.8" hidden="false" customHeight="false" outlineLevel="0" collapsed="false">
      <c r="A27" s="162"/>
      <c r="B27" s="138"/>
      <c r="C27" s="134"/>
      <c r="D27" s="134"/>
      <c r="E27" s="134"/>
      <c r="F27" s="134"/>
      <c r="G27" s="134"/>
      <c r="H27" s="134"/>
      <c r="I27" s="134"/>
      <c r="J27" s="134"/>
      <c r="K27" s="134" t="n">
        <v>0</v>
      </c>
      <c r="L27" s="163"/>
      <c r="M27" s="136"/>
      <c r="N27" s="161"/>
      <c r="O27" s="152" t="n">
        <f aca="false">L27-N27</f>
        <v>0</v>
      </c>
    </row>
    <row r="28" customFormat="false" ht="13.8" hidden="false" customHeight="false" outlineLevel="0" collapsed="false">
      <c r="A28" s="162"/>
      <c r="B28" s="138"/>
      <c r="C28" s="134"/>
      <c r="D28" s="134"/>
      <c r="E28" s="134"/>
      <c r="F28" s="134"/>
      <c r="G28" s="134"/>
      <c r="H28" s="134"/>
      <c r="I28" s="134"/>
      <c r="J28" s="134"/>
      <c r="K28" s="134" t="n">
        <v>0</v>
      </c>
      <c r="L28" s="163"/>
      <c r="M28" s="136"/>
      <c r="N28" s="161"/>
      <c r="O28" s="152" t="n">
        <f aca="false">L28-N28</f>
        <v>0</v>
      </c>
    </row>
    <row r="29" customFormat="false" ht="13.8" hidden="false" customHeight="false" outlineLevel="0" collapsed="false">
      <c r="A29" s="162"/>
      <c r="B29" s="138"/>
      <c r="C29" s="134"/>
      <c r="D29" s="134"/>
      <c r="E29" s="134"/>
      <c r="F29" s="134"/>
      <c r="G29" s="134"/>
      <c r="H29" s="134"/>
      <c r="I29" s="134"/>
      <c r="J29" s="134"/>
      <c r="K29" s="134" t="n">
        <v>0</v>
      </c>
      <c r="L29" s="163"/>
      <c r="M29" s="136"/>
      <c r="N29" s="161"/>
      <c r="O29" s="152" t="n">
        <f aca="false">L29-N29</f>
        <v>0</v>
      </c>
    </row>
    <row r="30" customFormat="false" ht="13.8" hidden="false" customHeight="false" outlineLevel="0" collapsed="false">
      <c r="A30" s="131"/>
      <c r="B30" s="132"/>
      <c r="C30" s="133"/>
      <c r="D30" s="133"/>
      <c r="E30" s="133"/>
      <c r="F30" s="133"/>
      <c r="G30" s="133"/>
      <c r="H30" s="133"/>
      <c r="I30" s="133"/>
      <c r="J30" s="133"/>
      <c r="K30" s="133" t="n">
        <v>0</v>
      </c>
      <c r="L30" s="159"/>
      <c r="M30" s="160"/>
      <c r="N30" s="161"/>
      <c r="O30" s="152" t="n">
        <f aca="false">L30-N30</f>
        <v>0</v>
      </c>
    </row>
    <row r="31" customFormat="false" ht="13.8" hidden="false" customHeight="false" outlineLevel="0" collapsed="false">
      <c r="A31" s="131" t="s">
        <v>250</v>
      </c>
      <c r="B31" s="132"/>
      <c r="C31" s="133" t="n">
        <v>83</v>
      </c>
      <c r="D31" s="133"/>
      <c r="E31" s="133"/>
      <c r="F31" s="133"/>
      <c r="G31" s="133"/>
      <c r="H31" s="133"/>
      <c r="I31" s="133"/>
      <c r="J31" s="133"/>
      <c r="K31" s="133" t="n">
        <v>0</v>
      </c>
      <c r="L31" s="159"/>
      <c r="M31" s="160" t="n">
        <v>83</v>
      </c>
      <c r="N31" s="161"/>
      <c r="O31" s="152" t="n">
        <f aca="false">L31-N31</f>
        <v>0</v>
      </c>
    </row>
    <row r="32" customFormat="false" ht="13.8" hidden="false" customHeight="false" outlineLevel="0" collapsed="false">
      <c r="A32" s="162"/>
      <c r="B32" s="138"/>
      <c r="C32" s="134"/>
      <c r="D32" s="134"/>
      <c r="E32" s="134"/>
      <c r="F32" s="134"/>
      <c r="G32" s="134"/>
      <c r="H32" s="134"/>
      <c r="I32" s="134"/>
      <c r="J32" s="134"/>
      <c r="K32" s="134" t="n">
        <v>0</v>
      </c>
      <c r="L32" s="163"/>
      <c r="M32" s="136"/>
      <c r="N32" s="161"/>
      <c r="O32" s="152" t="n">
        <f aca="false">L32-N32</f>
        <v>0</v>
      </c>
    </row>
    <row r="33" customFormat="false" ht="13.8" hidden="false" customHeight="false" outlineLevel="0" collapsed="false">
      <c r="A33" s="162"/>
      <c r="B33" s="138"/>
      <c r="C33" s="134"/>
      <c r="D33" s="134"/>
      <c r="E33" s="134"/>
      <c r="F33" s="134"/>
      <c r="G33" s="134"/>
      <c r="H33" s="134"/>
      <c r="I33" s="134"/>
      <c r="J33" s="134"/>
      <c r="K33" s="134" t="n">
        <v>0</v>
      </c>
      <c r="L33" s="163"/>
      <c r="M33" s="136"/>
      <c r="N33" s="161"/>
      <c r="O33" s="152" t="n">
        <f aca="false">L33-N33</f>
        <v>0</v>
      </c>
    </row>
    <row r="34" customFormat="false" ht="13.8" hidden="false" customHeight="false" outlineLevel="0" collapsed="false">
      <c r="A34" s="162"/>
      <c r="B34" s="138"/>
      <c r="C34" s="134"/>
      <c r="D34" s="134"/>
      <c r="E34" s="134"/>
      <c r="F34" s="134"/>
      <c r="G34" s="134"/>
      <c r="H34" s="134"/>
      <c r="I34" s="134"/>
      <c r="J34" s="134"/>
      <c r="K34" s="134" t="n">
        <v>0</v>
      </c>
      <c r="L34" s="163"/>
      <c r="M34" s="136"/>
      <c r="N34" s="161"/>
      <c r="O34" s="152" t="n">
        <f aca="false">L34-N34</f>
        <v>0</v>
      </c>
    </row>
    <row r="35" customFormat="false" ht="12.8" hidden="false" customHeight="false" outlineLevel="0" collapsed="false">
      <c r="A35" s="131" t="s">
        <v>33</v>
      </c>
      <c r="B35" s="132" t="n">
        <v>940</v>
      </c>
      <c r="C35" s="133"/>
      <c r="D35" s="133"/>
      <c r="E35" s="133"/>
      <c r="F35" s="133"/>
      <c r="G35" s="133"/>
      <c r="H35" s="133" t="n">
        <v>80</v>
      </c>
      <c r="I35" s="133"/>
      <c r="J35" s="133"/>
      <c r="K35" s="133" t="n">
        <v>800</v>
      </c>
      <c r="L35" s="164"/>
      <c r="M35" s="160" t="n">
        <v>1820</v>
      </c>
      <c r="N35" s="161"/>
      <c r="O35" s="152" t="n">
        <f aca="false">L35-N35</f>
        <v>0</v>
      </c>
    </row>
    <row r="36" customFormat="false" ht="13.8" hidden="false" customHeight="false" outlineLevel="0" collapsed="false">
      <c r="A36" s="162"/>
      <c r="B36" s="138"/>
      <c r="C36" s="134"/>
      <c r="D36" s="134"/>
      <c r="E36" s="134"/>
      <c r="F36" s="134"/>
      <c r="G36" s="134"/>
      <c r="H36" s="134"/>
      <c r="I36" s="134"/>
      <c r="J36" s="134"/>
      <c r="K36" s="134" t="n">
        <v>0</v>
      </c>
      <c r="L36" s="163"/>
      <c r="M36" s="136"/>
      <c r="N36" s="161"/>
      <c r="O36" s="152" t="n">
        <f aca="false">L36-N36</f>
        <v>0</v>
      </c>
    </row>
    <row r="37" customFormat="false" ht="13.8" hidden="false" customHeight="false" outlineLevel="0" collapsed="false">
      <c r="A37" s="162"/>
      <c r="B37" s="138"/>
      <c r="C37" s="134"/>
      <c r="D37" s="134"/>
      <c r="E37" s="134"/>
      <c r="F37" s="134"/>
      <c r="G37" s="134"/>
      <c r="H37" s="134"/>
      <c r="I37" s="134"/>
      <c r="J37" s="134"/>
      <c r="K37" s="134" t="n">
        <v>0</v>
      </c>
      <c r="L37" s="163"/>
      <c r="M37" s="136"/>
      <c r="N37" s="161"/>
      <c r="O37" s="152" t="n">
        <f aca="false">L37-N37</f>
        <v>0</v>
      </c>
    </row>
    <row r="38" customFormat="false" ht="13.8" hidden="false" customHeight="false" outlineLevel="0" collapsed="false">
      <c r="A38" s="162"/>
      <c r="B38" s="138"/>
      <c r="C38" s="134"/>
      <c r="D38" s="134"/>
      <c r="E38" s="134"/>
      <c r="F38" s="134"/>
      <c r="G38" s="134"/>
      <c r="H38" s="134"/>
      <c r="I38" s="134"/>
      <c r="J38" s="134"/>
      <c r="K38" s="134" t="n">
        <v>0</v>
      </c>
      <c r="L38" s="163"/>
      <c r="M38" s="136"/>
      <c r="N38" s="161"/>
      <c r="O38" s="152" t="n">
        <f aca="false">L38-N38</f>
        <v>0</v>
      </c>
    </row>
    <row r="39" customFormat="false" ht="13.8" hidden="false" customHeight="false" outlineLevel="0" collapsed="false">
      <c r="A39" s="162"/>
      <c r="B39" s="138"/>
      <c r="C39" s="134"/>
      <c r="D39" s="134"/>
      <c r="E39" s="134"/>
      <c r="F39" s="134"/>
      <c r="G39" s="134"/>
      <c r="H39" s="134"/>
      <c r="I39" s="134"/>
      <c r="J39" s="134"/>
      <c r="K39" s="134" t="n">
        <v>0</v>
      </c>
      <c r="L39" s="163"/>
      <c r="M39" s="136"/>
      <c r="N39" s="161"/>
      <c r="O39" s="152" t="n">
        <f aca="false">L39-N39</f>
        <v>0</v>
      </c>
    </row>
    <row r="40" customFormat="false" ht="12.8" hidden="false" customHeight="false" outlineLevel="0" collapsed="false">
      <c r="A40" s="131" t="s">
        <v>316</v>
      </c>
      <c r="B40" s="132"/>
      <c r="C40" s="133"/>
      <c r="D40" s="133" t="n">
        <v>45.5</v>
      </c>
      <c r="E40" s="133"/>
      <c r="F40" s="133" t="n">
        <v>23.5</v>
      </c>
      <c r="G40" s="133" t="n">
        <v>22</v>
      </c>
      <c r="H40" s="133" t="n">
        <v>88.8</v>
      </c>
      <c r="I40" s="133" t="n">
        <v>191</v>
      </c>
      <c r="J40" s="133" t="n">
        <v>167</v>
      </c>
      <c r="K40" s="133" t="n">
        <v>115.8</v>
      </c>
      <c r="L40" s="164" t="n">
        <v>149.5</v>
      </c>
      <c r="M40" s="160" t="n">
        <v>803.1</v>
      </c>
      <c r="N40" s="161" t="n">
        <v>199.5</v>
      </c>
      <c r="O40" s="152" t="n">
        <f aca="false">L40-N40</f>
        <v>-50</v>
      </c>
    </row>
    <row r="41" customFormat="false" ht="12.8" hidden="false" customHeight="false" outlineLevel="0" collapsed="false">
      <c r="A41" s="162"/>
      <c r="B41" s="138"/>
      <c r="C41" s="134"/>
      <c r="D41" s="134"/>
      <c r="E41" s="134"/>
      <c r="F41" s="134"/>
      <c r="G41" s="134"/>
      <c r="H41" s="134"/>
      <c r="I41" s="134"/>
      <c r="J41" s="134"/>
      <c r="K41" s="134" t="n">
        <v>0</v>
      </c>
      <c r="L41" s="165"/>
      <c r="M41" s="136"/>
      <c r="N41" s="161"/>
      <c r="O41" s="152" t="n">
        <f aca="false">L41-N41</f>
        <v>0</v>
      </c>
    </row>
    <row r="42" customFormat="false" ht="12.8" hidden="false" customHeight="false" outlineLevel="0" collapsed="false">
      <c r="A42" s="162"/>
      <c r="B42" s="138"/>
      <c r="C42" s="134"/>
      <c r="D42" s="134"/>
      <c r="E42" s="134"/>
      <c r="F42" s="134"/>
      <c r="G42" s="134"/>
      <c r="H42" s="134"/>
      <c r="I42" s="134"/>
      <c r="J42" s="134"/>
      <c r="K42" s="134" t="n">
        <v>0</v>
      </c>
      <c r="L42" s="165"/>
      <c r="M42" s="136"/>
      <c r="N42" s="161"/>
      <c r="O42" s="152" t="n">
        <f aca="false">L42-N42</f>
        <v>0</v>
      </c>
    </row>
    <row r="43" customFormat="false" ht="12.8" hidden="false" customHeight="false" outlineLevel="0" collapsed="false">
      <c r="A43" s="162"/>
      <c r="B43" s="138"/>
      <c r="C43" s="134"/>
      <c r="D43" s="134"/>
      <c r="E43" s="134"/>
      <c r="F43" s="134"/>
      <c r="G43" s="134"/>
      <c r="H43" s="134"/>
      <c r="I43" s="134"/>
      <c r="J43" s="134"/>
      <c r="K43" s="134" t="n">
        <v>0</v>
      </c>
      <c r="L43" s="165"/>
      <c r="M43" s="136"/>
      <c r="N43" s="161"/>
      <c r="O43" s="152" t="n">
        <f aca="false">L43-N43</f>
        <v>0</v>
      </c>
    </row>
    <row r="44" customFormat="false" ht="12.8" hidden="false" customHeight="false" outlineLevel="0" collapsed="false">
      <c r="A44" s="162"/>
      <c r="B44" s="138"/>
      <c r="C44" s="134"/>
      <c r="D44" s="134"/>
      <c r="E44" s="134"/>
      <c r="F44" s="134"/>
      <c r="G44" s="134"/>
      <c r="H44" s="134"/>
      <c r="I44" s="134"/>
      <c r="J44" s="134"/>
      <c r="K44" s="134" t="n">
        <v>0</v>
      </c>
      <c r="L44" s="165"/>
      <c r="M44" s="136"/>
      <c r="N44" s="161"/>
      <c r="O44" s="152" t="n">
        <f aca="false">L44-N44</f>
        <v>0</v>
      </c>
    </row>
    <row r="45" customFormat="false" ht="12.8" hidden="false" customHeight="false" outlineLevel="0" collapsed="false">
      <c r="A45" s="162"/>
      <c r="B45" s="138"/>
      <c r="C45" s="134"/>
      <c r="D45" s="134"/>
      <c r="E45" s="134"/>
      <c r="F45" s="134"/>
      <c r="G45" s="134"/>
      <c r="H45" s="134"/>
      <c r="I45" s="134"/>
      <c r="J45" s="134"/>
      <c r="K45" s="134" t="n">
        <v>0</v>
      </c>
      <c r="L45" s="165"/>
      <c r="M45" s="136"/>
      <c r="N45" s="161"/>
      <c r="O45" s="152" t="n">
        <f aca="false">L45-N45</f>
        <v>0</v>
      </c>
    </row>
    <row r="46" customFormat="false" ht="12.8" hidden="false" customHeight="false" outlineLevel="0" collapsed="false">
      <c r="A46" s="162"/>
      <c r="B46" s="138"/>
      <c r="C46" s="134"/>
      <c r="D46" s="134"/>
      <c r="E46" s="134"/>
      <c r="F46" s="134"/>
      <c r="G46" s="134"/>
      <c r="H46" s="134"/>
      <c r="I46" s="134"/>
      <c r="J46" s="134"/>
      <c r="K46" s="134" t="n">
        <v>0</v>
      </c>
      <c r="L46" s="165"/>
      <c r="M46" s="136"/>
      <c r="N46" s="161"/>
      <c r="O46" s="152" t="n">
        <f aca="false">L46-N46</f>
        <v>0</v>
      </c>
    </row>
    <row r="47" customFormat="false" ht="12.8" hidden="false" customHeight="false" outlineLevel="0" collapsed="false">
      <c r="A47" s="162"/>
      <c r="B47" s="138"/>
      <c r="C47" s="134"/>
      <c r="D47" s="134"/>
      <c r="E47" s="134"/>
      <c r="F47" s="134"/>
      <c r="G47" s="134"/>
      <c r="H47" s="134"/>
      <c r="I47" s="134"/>
      <c r="J47" s="134"/>
      <c r="K47" s="134" t="n">
        <v>0</v>
      </c>
      <c r="L47" s="165"/>
      <c r="M47" s="136"/>
      <c r="N47" s="161"/>
      <c r="O47" s="152" t="n">
        <f aca="false">L47-N47</f>
        <v>0</v>
      </c>
    </row>
    <row r="48" customFormat="false" ht="12.8" hidden="false" customHeight="false" outlineLevel="0" collapsed="false">
      <c r="A48" s="162"/>
      <c r="B48" s="138"/>
      <c r="C48" s="134"/>
      <c r="D48" s="134"/>
      <c r="E48" s="134"/>
      <c r="F48" s="134"/>
      <c r="G48" s="134"/>
      <c r="H48" s="134"/>
      <c r="I48" s="134"/>
      <c r="J48" s="134"/>
      <c r="K48" s="134" t="n">
        <v>0</v>
      </c>
      <c r="L48" s="165"/>
      <c r="M48" s="136"/>
      <c r="N48" s="161"/>
      <c r="O48" s="152" t="n">
        <f aca="false">L48-N48</f>
        <v>0</v>
      </c>
    </row>
    <row r="49" customFormat="false" ht="12.8" hidden="false" customHeight="false" outlineLevel="0" collapsed="false">
      <c r="A49" s="162"/>
      <c r="B49" s="138"/>
      <c r="C49" s="134"/>
      <c r="D49" s="134"/>
      <c r="E49" s="134"/>
      <c r="F49" s="134"/>
      <c r="G49" s="134"/>
      <c r="H49" s="134"/>
      <c r="I49" s="134"/>
      <c r="J49" s="134"/>
      <c r="K49" s="134" t="n">
        <v>0</v>
      </c>
      <c r="L49" s="165"/>
      <c r="M49" s="136"/>
      <c r="N49" s="161"/>
      <c r="O49" s="152" t="n">
        <f aca="false">L49-N49</f>
        <v>0</v>
      </c>
    </row>
    <row r="50" customFormat="false" ht="12.8" hidden="false" customHeight="false" outlineLevel="0" collapsed="false">
      <c r="A50" s="162"/>
      <c r="B50" s="138"/>
      <c r="C50" s="134"/>
      <c r="D50" s="134"/>
      <c r="E50" s="134"/>
      <c r="F50" s="134"/>
      <c r="G50" s="134"/>
      <c r="H50" s="134"/>
      <c r="I50" s="134"/>
      <c r="J50" s="134"/>
      <c r="K50" s="134" t="n">
        <v>0</v>
      </c>
      <c r="L50" s="165"/>
      <c r="M50" s="136"/>
      <c r="N50" s="161"/>
      <c r="O50" s="152" t="n">
        <f aca="false">L50-N50</f>
        <v>0</v>
      </c>
    </row>
    <row r="51" customFormat="false" ht="12.8" hidden="false" customHeight="false" outlineLevel="0" collapsed="false">
      <c r="A51" s="162"/>
      <c r="B51" s="138"/>
      <c r="C51" s="134"/>
      <c r="D51" s="134"/>
      <c r="E51" s="134"/>
      <c r="F51" s="134"/>
      <c r="G51" s="134"/>
      <c r="H51" s="134"/>
      <c r="I51" s="134"/>
      <c r="J51" s="134"/>
      <c r="K51" s="134" t="n">
        <v>0</v>
      </c>
      <c r="L51" s="165"/>
      <c r="M51" s="136"/>
      <c r="N51" s="161"/>
      <c r="O51" s="152" t="n">
        <f aca="false">L51-N51</f>
        <v>0</v>
      </c>
    </row>
    <row r="52" customFormat="false" ht="12.8" hidden="false" customHeight="false" outlineLevel="0" collapsed="false">
      <c r="A52" s="162"/>
      <c r="B52" s="143"/>
      <c r="C52" s="144"/>
      <c r="D52" s="144"/>
      <c r="E52" s="144"/>
      <c r="F52" s="144"/>
      <c r="G52" s="144"/>
      <c r="H52" s="144"/>
      <c r="I52" s="144"/>
      <c r="J52" s="144"/>
      <c r="K52" s="144" t="n">
        <v>0</v>
      </c>
      <c r="L52" s="166"/>
      <c r="M52" s="146"/>
      <c r="N52" s="161"/>
      <c r="O52" s="152" t="n">
        <f aca="false">L52-N52</f>
        <v>0</v>
      </c>
    </row>
    <row r="53" customFormat="false" ht="12.8" hidden="false" customHeight="false" outlineLevel="0" collapsed="false">
      <c r="A53" s="147" t="s">
        <v>894</v>
      </c>
      <c r="B53" s="148" t="n">
        <f aca="false">SUM(B5:B52)</f>
        <v>2754.68</v>
      </c>
      <c r="C53" s="148" t="n">
        <f aca="false">SUM(C5:C52)</f>
        <v>2511.18</v>
      </c>
      <c r="D53" s="148" t="n">
        <f aca="false">SUM(D5:D52)</f>
        <v>3233.5</v>
      </c>
      <c r="E53" s="148" t="n">
        <f aca="false">SUM(E5:E52)</f>
        <v>3859.58</v>
      </c>
      <c r="F53" s="148" t="n">
        <f aca="false">SUM(F5:F52)</f>
        <v>3455.15</v>
      </c>
      <c r="G53" s="148" t="n">
        <f aca="false">SUM(G5:G52)</f>
        <v>3873.16</v>
      </c>
      <c r="H53" s="148" t="n">
        <f aca="false">SUM(H5:H52)</f>
        <v>2976.7</v>
      </c>
      <c r="I53" s="148" t="n">
        <f aca="false">SUM(I5:I52)</f>
        <v>3872.22</v>
      </c>
      <c r="J53" s="148" t="n">
        <f aca="false">SUM(J5:J52)</f>
        <v>3629.04</v>
      </c>
      <c r="K53" s="148" t="n">
        <f aca="false">SUM(K5:K52)</f>
        <v>2858.38</v>
      </c>
      <c r="L53" s="167" t="n">
        <f aca="false">SUM(L5:L52)</f>
        <v>2081.96</v>
      </c>
      <c r="M53" s="148" t="n">
        <f aca="false">SUM(M5:M52)</f>
        <v>35105.55</v>
      </c>
      <c r="N53" s="167" t="n">
        <f aca="false">SUM(N5:N52)</f>
        <v>2808.63</v>
      </c>
      <c r="O53" s="168" t="n">
        <f aca="false">N53-L53</f>
        <v>726.67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P70"/>
  <sheetViews>
    <sheetView showFormulas="false" showGridLines="true" showRowColHeaders="true" showZeros="true" rightToLeft="false" tabSelected="false" showOutlineSymbols="true" defaultGridColor="true" view="normal" topLeftCell="A25" colorId="64" zoomScale="84" zoomScaleNormal="84" zoomScalePageLayoutView="100" workbookViewId="0">
      <selection pane="topLeft" activeCell="P71" activeCellId="0" sqref="P71"/>
    </sheetView>
  </sheetViews>
  <sheetFormatPr defaultRowHeight="12.8" zeroHeight="false" outlineLevelRow="0" outlineLevelCol="0"/>
  <cols>
    <col collapsed="false" customWidth="false" hidden="false" outlineLevel="0" max="15" min="1" style="0" width="11.52"/>
    <col collapsed="false" customWidth="true" hidden="false" outlineLevel="0" max="16" min="16" style="0" width="8.13"/>
    <col collapsed="false" customWidth="false" hidden="false" outlineLevel="0" max="1025" min="17" style="0" width="11.52"/>
  </cols>
  <sheetData>
    <row r="3" customFormat="false" ht="12.8" hidden="false" customHeight="false" outlineLevel="0" collapsed="false">
      <c r="A3" s="169" t="s">
        <v>891</v>
      </c>
      <c r="B3" s="169" t="s">
        <v>56</v>
      </c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1" t="n">
        <v>44180</v>
      </c>
      <c r="N3" s="172"/>
      <c r="O3" s="173" t="n">
        <v>44188</v>
      </c>
      <c r="P3" s="174"/>
    </row>
    <row r="4" customFormat="false" ht="12.8" hidden="false" customHeight="false" outlineLevel="0" collapsed="false">
      <c r="A4" s="175" t="s">
        <v>49</v>
      </c>
      <c r="B4" s="176" t="n">
        <v>43831</v>
      </c>
      <c r="C4" s="176" t="n">
        <v>43862</v>
      </c>
      <c r="D4" s="176" t="n">
        <v>43891</v>
      </c>
      <c r="E4" s="176" t="n">
        <v>43922</v>
      </c>
      <c r="F4" s="176" t="n">
        <v>43952</v>
      </c>
      <c r="G4" s="176" t="n">
        <v>43983</v>
      </c>
      <c r="H4" s="176" t="n">
        <v>44013</v>
      </c>
      <c r="I4" s="176" t="n">
        <v>44044</v>
      </c>
      <c r="J4" s="176" t="n">
        <v>44075</v>
      </c>
      <c r="K4" s="176" t="n">
        <v>44105</v>
      </c>
      <c r="L4" s="176" t="n">
        <v>44136</v>
      </c>
      <c r="M4" s="177" t="n">
        <v>44166</v>
      </c>
      <c r="N4" s="178" t="s">
        <v>892</v>
      </c>
      <c r="O4" s="177" t="n">
        <v>44166</v>
      </c>
      <c r="P4" s="179" t="s">
        <v>895</v>
      </c>
    </row>
    <row r="5" customFormat="false" ht="12.8" hidden="false" customHeight="false" outlineLevel="0" collapsed="false">
      <c r="A5" s="175" t="s">
        <v>142</v>
      </c>
      <c r="B5" s="175" t="n">
        <v>9.9</v>
      </c>
      <c r="C5" s="175" t="n">
        <v>115.28</v>
      </c>
      <c r="D5" s="175"/>
      <c r="E5" s="175"/>
      <c r="F5" s="175"/>
      <c r="G5" s="175"/>
      <c r="H5" s="175"/>
      <c r="I5" s="175" t="n">
        <v>172</v>
      </c>
      <c r="J5" s="175"/>
      <c r="K5" s="175"/>
      <c r="L5" s="175"/>
      <c r="M5" s="180"/>
      <c r="N5" s="172" t="n">
        <v>297.18</v>
      </c>
      <c r="O5" s="180"/>
      <c r="P5" s="180"/>
    </row>
    <row r="6" customFormat="false" ht="12.8" hidden="false" customHeight="false" outlineLevel="0" collapsed="false">
      <c r="A6" s="175" t="s">
        <v>76</v>
      </c>
      <c r="B6" s="175" t="n">
        <v>86.55</v>
      </c>
      <c r="C6" s="175" t="n">
        <v>200.38</v>
      </c>
      <c r="D6" s="175" t="n">
        <v>63.4</v>
      </c>
      <c r="E6" s="175" t="n">
        <v>349.82</v>
      </c>
      <c r="F6" s="175" t="n">
        <v>229.15</v>
      </c>
      <c r="G6" s="175" t="n">
        <v>217.59</v>
      </c>
      <c r="H6" s="175" t="n">
        <v>138.98</v>
      </c>
      <c r="I6" s="175" t="n">
        <v>414.6</v>
      </c>
      <c r="J6" s="175" t="n">
        <v>223.35</v>
      </c>
      <c r="K6" s="175" t="n">
        <v>411.39</v>
      </c>
      <c r="L6" s="175" t="n">
        <v>254.3</v>
      </c>
      <c r="M6" s="180" t="n">
        <v>5.99</v>
      </c>
      <c r="N6" s="172" t="n">
        <v>2595.5</v>
      </c>
      <c r="O6" s="181" t="n">
        <v>5.99</v>
      </c>
      <c r="P6" s="180" t="n">
        <f aca="false">O6-M6</f>
        <v>0</v>
      </c>
    </row>
    <row r="7" customFormat="false" ht="12.8" hidden="false" customHeight="false" outlineLevel="0" collapsed="false">
      <c r="A7" s="169"/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82"/>
      <c r="N7" s="172"/>
      <c r="O7" s="183"/>
      <c r="P7" s="182" t="n">
        <f aca="false">O7-M7</f>
        <v>0</v>
      </c>
    </row>
    <row r="8" customFormat="false" ht="12.8" hidden="false" customHeight="false" outlineLevel="0" collapsed="false">
      <c r="A8" s="169"/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82"/>
      <c r="N8" s="172"/>
      <c r="O8" s="183"/>
      <c r="P8" s="182" t="n">
        <f aca="false">O8-M8</f>
        <v>0</v>
      </c>
    </row>
    <row r="9" customFormat="false" ht="12.8" hidden="false" customHeight="false" outlineLevel="0" collapsed="false">
      <c r="A9" s="169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82"/>
      <c r="N9" s="172"/>
      <c r="O9" s="183"/>
      <c r="P9" s="182" t="n">
        <f aca="false">O9-M9</f>
        <v>0</v>
      </c>
    </row>
    <row r="10" customFormat="false" ht="12.8" hidden="false" customHeight="false" outlineLevel="0" collapsed="false">
      <c r="A10" s="175" t="s">
        <v>176</v>
      </c>
      <c r="B10" s="175"/>
      <c r="C10" s="175" t="n">
        <v>150</v>
      </c>
      <c r="D10" s="175" t="n">
        <v>150</v>
      </c>
      <c r="E10" s="175" t="n">
        <v>150</v>
      </c>
      <c r="F10" s="175" t="n">
        <v>556.45</v>
      </c>
      <c r="G10" s="175" t="n">
        <v>150</v>
      </c>
      <c r="H10" s="175" t="n">
        <v>153.6</v>
      </c>
      <c r="I10" s="175" t="n">
        <v>153.25</v>
      </c>
      <c r="J10" s="175" t="n">
        <v>153.38</v>
      </c>
      <c r="K10" s="175" t="n">
        <v>150</v>
      </c>
      <c r="L10" s="175" t="n">
        <v>209.78</v>
      </c>
      <c r="M10" s="180" t="n">
        <v>136</v>
      </c>
      <c r="N10" s="172" t="n">
        <v>1976.46</v>
      </c>
      <c r="O10" s="181" t="n">
        <v>136</v>
      </c>
      <c r="P10" s="180" t="n">
        <f aca="false">O10-M10</f>
        <v>0</v>
      </c>
    </row>
    <row r="11" customFormat="false" ht="12.8" hidden="false" customHeight="false" outlineLevel="0" collapsed="false">
      <c r="A11" s="175" t="s">
        <v>65</v>
      </c>
      <c r="B11" s="175" t="n">
        <v>909.33</v>
      </c>
      <c r="C11" s="175" t="n">
        <v>782.54</v>
      </c>
      <c r="D11" s="175" t="n">
        <v>555.75</v>
      </c>
      <c r="E11" s="175" t="n">
        <v>631.8</v>
      </c>
      <c r="F11" s="175" t="n">
        <v>561.95</v>
      </c>
      <c r="G11" s="175" t="n">
        <v>855.96</v>
      </c>
      <c r="H11" s="175" t="n">
        <v>708.02</v>
      </c>
      <c r="I11" s="175" t="n">
        <v>488.67</v>
      </c>
      <c r="J11" s="175" t="n">
        <v>695.17</v>
      </c>
      <c r="K11" s="175" t="n">
        <v>203.94</v>
      </c>
      <c r="L11" s="175" t="n">
        <v>409.3</v>
      </c>
      <c r="M11" s="180" t="n">
        <v>11</v>
      </c>
      <c r="N11" s="172" t="n">
        <v>6802.43</v>
      </c>
      <c r="O11" s="181" t="n">
        <v>117</v>
      </c>
      <c r="P11" s="180" t="n">
        <f aca="false">O11-M11</f>
        <v>106</v>
      </c>
    </row>
    <row r="12" customFormat="false" ht="12.8" hidden="false" customHeight="false" outlineLevel="0" collapsed="false">
      <c r="A12" s="169"/>
      <c r="B12" s="170"/>
      <c r="C12" s="170"/>
      <c r="D12" s="170"/>
      <c r="E12" s="170"/>
      <c r="F12" s="170"/>
      <c r="G12" s="170"/>
      <c r="H12" s="170"/>
      <c r="I12" s="170"/>
      <c r="J12" s="170"/>
      <c r="K12" s="170"/>
      <c r="L12" s="170"/>
      <c r="M12" s="182"/>
      <c r="N12" s="172"/>
      <c r="O12" s="184"/>
      <c r="P12" s="182" t="n">
        <f aca="false">O12-M12</f>
        <v>0</v>
      </c>
    </row>
    <row r="13" customFormat="false" ht="12.8" hidden="false" customHeight="false" outlineLevel="0" collapsed="false">
      <c r="A13" s="169"/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82"/>
      <c r="N13" s="172"/>
      <c r="O13" s="183"/>
      <c r="P13" s="182" t="n">
        <f aca="false">O13-M13</f>
        <v>0</v>
      </c>
    </row>
    <row r="14" customFormat="false" ht="12.8" hidden="false" customHeight="false" outlineLevel="0" collapsed="false">
      <c r="A14" s="169"/>
      <c r="B14" s="170"/>
      <c r="C14" s="170"/>
      <c r="D14" s="170"/>
      <c r="E14" s="170"/>
      <c r="F14" s="170"/>
      <c r="G14" s="170"/>
      <c r="H14" s="170"/>
      <c r="I14" s="170"/>
      <c r="J14" s="170"/>
      <c r="K14" s="170"/>
      <c r="L14" s="170"/>
      <c r="M14" s="182"/>
      <c r="N14" s="172"/>
      <c r="O14" s="184"/>
      <c r="P14" s="182" t="n">
        <f aca="false">O14-M14</f>
        <v>0</v>
      </c>
    </row>
    <row r="15" customFormat="false" ht="12.8" hidden="false" customHeight="false" outlineLevel="0" collapsed="false">
      <c r="A15" s="175" t="s">
        <v>74</v>
      </c>
      <c r="B15" s="175" t="n">
        <v>110.73</v>
      </c>
      <c r="C15" s="175" t="n">
        <v>144.79</v>
      </c>
      <c r="D15" s="175" t="n">
        <v>165.62</v>
      </c>
      <c r="E15" s="175" t="n">
        <v>238.98</v>
      </c>
      <c r="F15" s="175" t="n">
        <v>172.89</v>
      </c>
      <c r="G15" s="175" t="n">
        <v>516.74</v>
      </c>
      <c r="H15" s="175" t="n">
        <v>70.18</v>
      </c>
      <c r="I15" s="175" t="n">
        <v>389.53</v>
      </c>
      <c r="J15" s="175" t="n">
        <v>273.05</v>
      </c>
      <c r="K15" s="175" t="n">
        <v>128.3</v>
      </c>
      <c r="L15" s="175" t="n">
        <v>230.31</v>
      </c>
      <c r="M15" s="180"/>
      <c r="N15" s="172" t="n">
        <v>2441.12</v>
      </c>
      <c r="O15" s="181" t="n">
        <v>21.58</v>
      </c>
      <c r="P15" s="180" t="n">
        <f aca="false">O15-M15</f>
        <v>21.58</v>
      </c>
    </row>
    <row r="16" customFormat="false" ht="12.8" hidden="false" customHeight="false" outlineLevel="0" collapsed="false">
      <c r="A16" s="175" t="s">
        <v>87</v>
      </c>
      <c r="B16" s="175" t="n">
        <v>17</v>
      </c>
      <c r="C16" s="175" t="n">
        <v>10.5</v>
      </c>
      <c r="D16" s="175" t="n">
        <v>10</v>
      </c>
      <c r="E16" s="175" t="n">
        <v>16</v>
      </c>
      <c r="F16" s="175" t="n">
        <v>6</v>
      </c>
      <c r="G16" s="175" t="n">
        <v>10</v>
      </c>
      <c r="H16" s="175"/>
      <c r="I16" s="175"/>
      <c r="J16" s="175"/>
      <c r="K16" s="175"/>
      <c r="L16" s="175" t="n">
        <v>25</v>
      </c>
      <c r="M16" s="180"/>
      <c r="N16" s="172" t="n">
        <v>94.5</v>
      </c>
      <c r="O16" s="181" t="n">
        <v>24</v>
      </c>
      <c r="P16" s="180" t="n">
        <f aca="false">O16-M16</f>
        <v>24</v>
      </c>
    </row>
    <row r="17" customFormat="false" ht="12.8" hidden="false" customHeight="false" outlineLevel="0" collapsed="false">
      <c r="A17" s="175" t="s">
        <v>225</v>
      </c>
      <c r="B17" s="175"/>
      <c r="C17" s="175" t="n">
        <v>271.95</v>
      </c>
      <c r="D17" s="175" t="n">
        <v>141</v>
      </c>
      <c r="E17" s="175" t="n">
        <v>389.14</v>
      </c>
      <c r="F17" s="175" t="n">
        <v>239.94</v>
      </c>
      <c r="G17" s="175" t="n">
        <v>29.9</v>
      </c>
      <c r="H17" s="175" t="n">
        <v>203.94</v>
      </c>
      <c r="I17" s="175" t="n">
        <v>18.47</v>
      </c>
      <c r="J17" s="175" t="n">
        <v>32.99</v>
      </c>
      <c r="K17" s="175" t="n">
        <v>185.5</v>
      </c>
      <c r="L17" s="175"/>
      <c r="M17" s="180"/>
      <c r="N17" s="172" t="n">
        <v>1512.83</v>
      </c>
      <c r="O17" s="185"/>
      <c r="P17" s="180" t="n">
        <f aca="false">O17-M17</f>
        <v>0</v>
      </c>
    </row>
    <row r="18" customFormat="false" ht="12.8" hidden="false" customHeight="false" outlineLevel="0" collapsed="false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82"/>
      <c r="N18" s="172"/>
      <c r="O18" s="184"/>
      <c r="P18" s="182" t="n">
        <f aca="false">O18-M18</f>
        <v>0</v>
      </c>
    </row>
    <row r="19" customFormat="false" ht="12.8" hidden="false" customHeight="false" outlineLevel="0" collapsed="false">
      <c r="A19" s="175" t="s">
        <v>98</v>
      </c>
      <c r="B19" s="175" t="n">
        <v>525.08</v>
      </c>
      <c r="C19" s="175" t="n">
        <v>539.38</v>
      </c>
      <c r="D19" s="175" t="n">
        <v>1352.23</v>
      </c>
      <c r="E19" s="175" t="n">
        <v>1196.33</v>
      </c>
      <c r="F19" s="175" t="n">
        <v>962.44</v>
      </c>
      <c r="G19" s="175" t="n">
        <v>1399.72</v>
      </c>
      <c r="H19" s="175" t="n">
        <v>1238.48</v>
      </c>
      <c r="I19" s="175" t="n">
        <v>1628.3</v>
      </c>
      <c r="J19" s="175" t="n">
        <v>1630.35</v>
      </c>
      <c r="K19" s="175" t="n">
        <v>559.53</v>
      </c>
      <c r="L19" s="175" t="n">
        <v>945.6</v>
      </c>
      <c r="M19" s="180" t="n">
        <v>32.29</v>
      </c>
      <c r="N19" s="172" t="n">
        <v>11984.31</v>
      </c>
      <c r="O19" s="181" t="n">
        <v>156.67</v>
      </c>
      <c r="P19" s="180" t="n">
        <f aca="false">O19-M19</f>
        <v>124.38</v>
      </c>
    </row>
    <row r="20" customFormat="false" ht="12.8" hidden="false" customHeight="false" outlineLevel="0" collapsed="false">
      <c r="A20" s="175" t="s">
        <v>71</v>
      </c>
      <c r="B20" s="175" t="n">
        <v>156.09</v>
      </c>
      <c r="C20" s="175" t="n">
        <v>23.36</v>
      </c>
      <c r="D20" s="175"/>
      <c r="E20" s="175" t="n">
        <v>87.51</v>
      </c>
      <c r="F20" s="175" t="n">
        <v>382.83</v>
      </c>
      <c r="G20" s="175" t="n">
        <v>216.25</v>
      </c>
      <c r="H20" s="175" t="n">
        <v>94.7</v>
      </c>
      <c r="I20" s="175" t="n">
        <v>116.4</v>
      </c>
      <c r="J20" s="175" t="n">
        <v>53.75</v>
      </c>
      <c r="K20" s="175" t="n">
        <v>3.92</v>
      </c>
      <c r="L20" s="175" t="n">
        <v>28.68</v>
      </c>
      <c r="M20" s="180" t="n">
        <v>3.76</v>
      </c>
      <c r="N20" s="172" t="n">
        <v>1163.49</v>
      </c>
      <c r="O20" s="181" t="n">
        <v>19.56</v>
      </c>
      <c r="P20" s="180" t="n">
        <f aca="false">O20-M20</f>
        <v>15.8</v>
      </c>
    </row>
    <row r="21" customFormat="false" ht="12.8" hidden="false" customHeight="false" outlineLevel="0" collapsed="false">
      <c r="A21" s="169"/>
      <c r="B21" s="170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82"/>
      <c r="N21" s="172"/>
      <c r="O21" s="183" t="n">
        <v>0</v>
      </c>
      <c r="P21" s="182" t="n">
        <f aca="false">O21-M21</f>
        <v>0</v>
      </c>
    </row>
    <row r="22" customFormat="false" ht="12.8" hidden="false" customHeight="false" outlineLevel="0" collapsed="false">
      <c r="A22" s="169"/>
      <c r="B22" s="170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82"/>
      <c r="N22" s="172"/>
      <c r="O22" s="184"/>
      <c r="P22" s="182" t="n">
        <f aca="false">O22-M22</f>
        <v>0</v>
      </c>
    </row>
    <row r="23" customFormat="false" ht="12.8" hidden="false" customHeight="false" outlineLevel="0" collapsed="false">
      <c r="A23" s="169"/>
      <c r="B23" s="170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82"/>
      <c r="N23" s="172"/>
      <c r="O23" s="183"/>
      <c r="P23" s="182" t="n">
        <f aca="false">O23-M23</f>
        <v>0</v>
      </c>
    </row>
    <row r="24" customFormat="false" ht="12.8" hidden="false" customHeight="false" outlineLevel="0" collapsed="false">
      <c r="A24" s="169"/>
      <c r="B24" s="170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82"/>
      <c r="N24" s="172"/>
      <c r="O24" s="183" t="n">
        <v>0</v>
      </c>
      <c r="P24" s="182" t="n">
        <f aca="false">O24-M24</f>
        <v>0</v>
      </c>
    </row>
    <row r="25" customFormat="false" ht="12.8" hidden="false" customHeight="false" outlineLevel="0" collapsed="false">
      <c r="A25" s="175" t="s">
        <v>203</v>
      </c>
      <c r="B25" s="175"/>
      <c r="C25" s="175" t="n">
        <v>190</v>
      </c>
      <c r="D25" s="175" t="n">
        <v>750</v>
      </c>
      <c r="E25" s="175" t="n">
        <v>800</v>
      </c>
      <c r="F25" s="175" t="n">
        <v>320</v>
      </c>
      <c r="G25" s="175" t="n">
        <v>400</v>
      </c>
      <c r="H25" s="175" t="n">
        <v>200</v>
      </c>
      <c r="I25" s="175" t="n">
        <v>300</v>
      </c>
      <c r="J25" s="175" t="n">
        <v>400</v>
      </c>
      <c r="K25" s="175" t="n">
        <v>360</v>
      </c>
      <c r="L25" s="175" t="n">
        <v>500</v>
      </c>
      <c r="M25" s="180" t="n">
        <v>420</v>
      </c>
      <c r="N25" s="172" t="n">
        <v>4340</v>
      </c>
      <c r="O25" s="181" t="n">
        <v>870</v>
      </c>
      <c r="P25" s="180" t="n">
        <f aca="false">O25-M25</f>
        <v>450</v>
      </c>
    </row>
    <row r="26" customFormat="false" ht="12.8" hidden="false" customHeight="false" outlineLevel="0" collapsed="false">
      <c r="A26" s="175" t="s">
        <v>181</v>
      </c>
      <c r="B26" s="175"/>
      <c r="C26" s="175" t="n">
        <v>783.5</v>
      </c>
      <c r="D26" s="175" t="n">
        <v>283.5</v>
      </c>
      <c r="E26" s="175" t="n">
        <v>283.5</v>
      </c>
      <c r="F26" s="175"/>
      <c r="G26" s="175"/>
      <c r="H26" s="175" t="n">
        <v>567</v>
      </c>
      <c r="I26" s="175" t="n">
        <v>283</v>
      </c>
      <c r="J26" s="175" t="n">
        <v>170</v>
      </c>
      <c r="K26" s="175"/>
      <c r="L26" s="175" t="n">
        <v>170</v>
      </c>
      <c r="M26" s="180"/>
      <c r="N26" s="172" t="n">
        <v>2540.5</v>
      </c>
      <c r="O26" s="181" t="n">
        <v>170</v>
      </c>
      <c r="P26" s="180" t="n">
        <f aca="false">O26-M26</f>
        <v>170</v>
      </c>
    </row>
    <row r="27" customFormat="false" ht="12.8" hidden="false" customHeight="false" outlineLevel="0" collapsed="false">
      <c r="A27" s="169"/>
      <c r="B27" s="170"/>
      <c r="C27" s="170"/>
      <c r="D27" s="170"/>
      <c r="E27" s="170"/>
      <c r="F27" s="170"/>
      <c r="G27" s="170"/>
      <c r="H27" s="170"/>
      <c r="I27" s="170"/>
      <c r="J27" s="170"/>
      <c r="K27" s="170"/>
      <c r="L27" s="170"/>
      <c r="M27" s="182"/>
      <c r="N27" s="172"/>
      <c r="O27" s="184"/>
      <c r="P27" s="182" t="n">
        <f aca="false">O27-M27</f>
        <v>0</v>
      </c>
    </row>
    <row r="28" customFormat="false" ht="12.8" hidden="false" customHeight="false" outlineLevel="0" collapsed="false">
      <c r="A28" s="169"/>
      <c r="B28" s="170"/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82"/>
      <c r="N28" s="172"/>
      <c r="O28" s="184"/>
      <c r="P28" s="182" t="n">
        <f aca="false">O28-M28</f>
        <v>0</v>
      </c>
    </row>
    <row r="29" customFormat="false" ht="12.8" hidden="false" customHeight="false" outlineLevel="0" collapsed="false">
      <c r="A29" s="169"/>
      <c r="B29" s="170"/>
      <c r="C29" s="170"/>
      <c r="D29" s="170"/>
      <c r="E29" s="170"/>
      <c r="F29" s="170"/>
      <c r="G29" s="170"/>
      <c r="H29" s="170"/>
      <c r="I29" s="170"/>
      <c r="J29" s="170"/>
      <c r="K29" s="170"/>
      <c r="L29" s="170"/>
      <c r="M29" s="182"/>
      <c r="N29" s="172"/>
      <c r="O29" s="184"/>
      <c r="P29" s="182" t="n">
        <f aca="false">O29-M29</f>
        <v>0</v>
      </c>
    </row>
    <row r="30" customFormat="false" ht="12.8" hidden="false" customHeight="false" outlineLevel="0" collapsed="false">
      <c r="A30" s="169"/>
      <c r="B30" s="170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82"/>
      <c r="N30" s="172"/>
      <c r="O30" s="184"/>
      <c r="P30" s="182" t="n">
        <f aca="false">O30-M30</f>
        <v>0</v>
      </c>
    </row>
    <row r="31" customFormat="false" ht="12.8" hidden="false" customHeight="false" outlineLevel="0" collapsed="false">
      <c r="A31" s="169"/>
      <c r="B31" s="170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82"/>
      <c r="N31" s="172"/>
      <c r="O31" s="184"/>
      <c r="P31" s="182" t="n">
        <f aca="false">O31-M31</f>
        <v>0</v>
      </c>
    </row>
    <row r="32" customFormat="false" ht="12.8" hidden="false" customHeight="false" outlineLevel="0" collapsed="false">
      <c r="A32" s="169"/>
      <c r="B32" s="170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82"/>
      <c r="N32" s="172"/>
      <c r="O32" s="184"/>
      <c r="P32" s="182" t="n">
        <f aca="false">O32-M32</f>
        <v>0</v>
      </c>
    </row>
    <row r="33" customFormat="false" ht="12.8" hidden="false" customHeight="false" outlineLevel="0" collapsed="false">
      <c r="A33" s="169"/>
      <c r="B33" s="170"/>
      <c r="C33" s="170"/>
      <c r="D33" s="170"/>
      <c r="E33" s="170"/>
      <c r="F33" s="170"/>
      <c r="G33" s="170"/>
      <c r="H33" s="170"/>
      <c r="I33" s="170"/>
      <c r="J33" s="170"/>
      <c r="K33" s="170"/>
      <c r="L33" s="170"/>
      <c r="M33" s="182"/>
      <c r="N33" s="172"/>
      <c r="O33" s="184"/>
      <c r="P33" s="182" t="n">
        <f aca="false">O33-M33</f>
        <v>0</v>
      </c>
    </row>
    <row r="34" customFormat="false" ht="12.8" hidden="false" customHeight="false" outlineLevel="0" collapsed="false">
      <c r="A34" s="169"/>
      <c r="B34" s="170"/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82"/>
      <c r="N34" s="172"/>
      <c r="O34" s="184"/>
      <c r="P34" s="182" t="n">
        <f aca="false">O34-M34</f>
        <v>0</v>
      </c>
    </row>
    <row r="35" customFormat="false" ht="12.8" hidden="false" customHeight="false" outlineLevel="0" collapsed="false">
      <c r="A35" s="169"/>
      <c r="B35" s="170"/>
      <c r="C35" s="170"/>
      <c r="D35" s="170"/>
      <c r="E35" s="170"/>
      <c r="F35" s="170"/>
      <c r="G35" s="170"/>
      <c r="H35" s="170"/>
      <c r="I35" s="170"/>
      <c r="J35" s="170"/>
      <c r="K35" s="170"/>
      <c r="L35" s="170"/>
      <c r="M35" s="182"/>
      <c r="N35" s="172"/>
      <c r="O35" s="184"/>
      <c r="P35" s="182" t="n">
        <f aca="false">O35-M35</f>
        <v>0</v>
      </c>
    </row>
    <row r="36" customFormat="false" ht="12.8" hidden="false" customHeight="false" outlineLevel="0" collapsed="false">
      <c r="A36" s="169"/>
      <c r="B36" s="170"/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82"/>
      <c r="N36" s="172"/>
      <c r="O36" s="183"/>
      <c r="P36" s="182" t="n">
        <f aca="false">O36-M36</f>
        <v>0</v>
      </c>
    </row>
    <row r="37" customFormat="false" ht="12.8" hidden="false" customHeight="false" outlineLevel="0" collapsed="false">
      <c r="A37" s="169"/>
      <c r="B37" s="170"/>
      <c r="C37" s="170"/>
      <c r="D37" s="170"/>
      <c r="E37" s="170"/>
      <c r="F37" s="170"/>
      <c r="G37" s="170"/>
      <c r="H37" s="170"/>
      <c r="I37" s="170"/>
      <c r="J37" s="170"/>
      <c r="K37" s="170"/>
      <c r="L37" s="170"/>
      <c r="M37" s="182"/>
      <c r="N37" s="172"/>
      <c r="O37" s="184"/>
      <c r="P37" s="182" t="n">
        <f aca="false">O37-M37</f>
        <v>0</v>
      </c>
    </row>
    <row r="38" customFormat="false" ht="12.8" hidden="false" customHeight="false" outlineLevel="0" collapsed="false">
      <c r="A38" s="169"/>
      <c r="B38" s="170"/>
      <c r="C38" s="170"/>
      <c r="D38" s="170"/>
      <c r="E38" s="170"/>
      <c r="F38" s="170"/>
      <c r="G38" s="170"/>
      <c r="H38" s="170"/>
      <c r="I38" s="170"/>
      <c r="J38" s="170"/>
      <c r="K38" s="170"/>
      <c r="L38" s="170"/>
      <c r="M38" s="182"/>
      <c r="N38" s="172"/>
      <c r="O38" s="183"/>
      <c r="P38" s="182" t="n">
        <f aca="false">O38-M38</f>
        <v>0</v>
      </c>
    </row>
    <row r="39" customFormat="false" ht="12.8" hidden="false" customHeight="false" outlineLevel="0" collapsed="false">
      <c r="A39" s="169"/>
      <c r="B39" s="170"/>
      <c r="C39" s="170"/>
      <c r="D39" s="170"/>
      <c r="E39" s="170"/>
      <c r="F39" s="170"/>
      <c r="G39" s="170"/>
      <c r="H39" s="170"/>
      <c r="I39" s="170"/>
      <c r="J39" s="170"/>
      <c r="K39" s="170"/>
      <c r="L39" s="170"/>
      <c r="M39" s="182"/>
      <c r="N39" s="172"/>
      <c r="O39" s="184"/>
      <c r="P39" s="182" t="n">
        <f aca="false">O39-M39</f>
        <v>0</v>
      </c>
    </row>
    <row r="40" customFormat="false" ht="12.8" hidden="false" customHeight="false" outlineLevel="0" collapsed="false">
      <c r="A40" s="175" t="s">
        <v>316</v>
      </c>
      <c r="B40" s="175"/>
      <c r="C40" s="175"/>
      <c r="D40" s="175" t="n">
        <v>45.5</v>
      </c>
      <c r="E40" s="175"/>
      <c r="F40" s="175" t="n">
        <v>23.5</v>
      </c>
      <c r="G40" s="175" t="n">
        <v>22</v>
      </c>
      <c r="H40" s="175" t="n">
        <v>88.8</v>
      </c>
      <c r="I40" s="175" t="n">
        <v>191</v>
      </c>
      <c r="J40" s="175" t="n">
        <v>167</v>
      </c>
      <c r="K40" s="175" t="n">
        <v>115.8</v>
      </c>
      <c r="L40" s="175" t="n">
        <v>199.5</v>
      </c>
      <c r="M40" s="180" t="n">
        <v>50</v>
      </c>
      <c r="N40" s="172" t="n">
        <v>903.1</v>
      </c>
      <c r="O40" s="181" t="n">
        <v>175</v>
      </c>
      <c r="P40" s="180" t="n">
        <f aca="false">O40-M40</f>
        <v>125</v>
      </c>
    </row>
    <row r="41" customFormat="false" ht="12.8" hidden="false" customHeight="false" outlineLevel="0" collapsed="false">
      <c r="A41" s="169"/>
      <c r="B41" s="170"/>
      <c r="C41" s="170"/>
      <c r="D41" s="170"/>
      <c r="E41" s="170"/>
      <c r="F41" s="170"/>
      <c r="G41" s="170"/>
      <c r="H41" s="170"/>
      <c r="I41" s="170"/>
      <c r="J41" s="170"/>
      <c r="K41" s="170"/>
      <c r="L41" s="170"/>
      <c r="M41" s="182"/>
      <c r="N41" s="172"/>
      <c r="O41" s="184"/>
      <c r="P41" s="182" t="n">
        <f aca="false">O41-M41</f>
        <v>0</v>
      </c>
    </row>
    <row r="42" customFormat="false" ht="12.8" hidden="false" customHeight="false" outlineLevel="0" collapsed="false">
      <c r="A42" s="169"/>
      <c r="B42" s="170"/>
      <c r="C42" s="170"/>
      <c r="D42" s="170"/>
      <c r="E42" s="170"/>
      <c r="F42" s="170"/>
      <c r="G42" s="170"/>
      <c r="H42" s="170"/>
      <c r="I42" s="170"/>
      <c r="J42" s="170"/>
      <c r="K42" s="170"/>
      <c r="L42" s="170"/>
      <c r="M42" s="182"/>
      <c r="N42" s="172"/>
      <c r="O42" s="184"/>
      <c r="P42" s="182" t="n">
        <f aca="false">O42-M42</f>
        <v>0</v>
      </c>
    </row>
    <row r="43" customFormat="false" ht="12.8" hidden="false" customHeight="false" outlineLevel="0" collapsed="false">
      <c r="A43" s="170"/>
      <c r="B43" s="170"/>
      <c r="C43" s="170"/>
      <c r="D43" s="170"/>
      <c r="E43" s="170"/>
      <c r="F43" s="170"/>
      <c r="G43" s="170"/>
      <c r="H43" s="170"/>
      <c r="I43" s="170"/>
      <c r="J43" s="170"/>
      <c r="K43" s="170"/>
      <c r="L43" s="170"/>
      <c r="M43" s="182"/>
      <c r="N43" s="172"/>
      <c r="O43" s="184"/>
      <c r="P43" s="182" t="n">
        <f aca="false">O43-M43</f>
        <v>0</v>
      </c>
    </row>
    <row r="44" customFormat="false" ht="12.8" hidden="false" customHeight="false" outlineLevel="0" collapsed="false">
      <c r="A44" s="170"/>
      <c r="B44" s="170"/>
      <c r="C44" s="170"/>
      <c r="D44" s="170"/>
      <c r="E44" s="170"/>
      <c r="F44" s="170"/>
      <c r="G44" s="170"/>
      <c r="H44" s="170"/>
      <c r="I44" s="170"/>
      <c r="J44" s="170"/>
      <c r="K44" s="170"/>
      <c r="L44" s="170"/>
      <c r="M44" s="182"/>
      <c r="N44" s="172"/>
      <c r="O44" s="184"/>
      <c r="P44" s="182" t="n">
        <f aca="false">O44-M44</f>
        <v>0</v>
      </c>
    </row>
    <row r="45" customFormat="false" ht="12.8" hidden="false" customHeight="false" outlineLevel="0" collapsed="false">
      <c r="A45" s="170"/>
      <c r="B45" s="170"/>
      <c r="C45" s="170"/>
      <c r="D45" s="170"/>
      <c r="E45" s="170"/>
      <c r="F45" s="170"/>
      <c r="G45" s="170"/>
      <c r="H45" s="170"/>
      <c r="I45" s="170"/>
      <c r="J45" s="170"/>
      <c r="K45" s="170"/>
      <c r="L45" s="170"/>
      <c r="M45" s="182"/>
      <c r="N45" s="172"/>
      <c r="O45" s="184"/>
      <c r="P45" s="182" t="n">
        <f aca="false">O45-M45</f>
        <v>0</v>
      </c>
    </row>
    <row r="46" customFormat="false" ht="12.8" hidden="false" customHeight="false" outlineLevel="0" collapsed="false">
      <c r="A46" s="170"/>
      <c r="B46" s="170"/>
      <c r="C46" s="170"/>
      <c r="D46" s="170"/>
      <c r="E46" s="170"/>
      <c r="F46" s="170"/>
      <c r="G46" s="170"/>
      <c r="H46" s="170"/>
      <c r="I46" s="170"/>
      <c r="J46" s="170"/>
      <c r="K46" s="170"/>
      <c r="L46" s="170"/>
      <c r="M46" s="182"/>
      <c r="N46" s="172"/>
      <c r="O46" s="184"/>
      <c r="P46" s="182" t="n">
        <f aca="false">O46-M46</f>
        <v>0</v>
      </c>
    </row>
    <row r="47" customFormat="false" ht="12.8" hidden="false" customHeight="false" outlineLevel="0" collapsed="false">
      <c r="A47" s="170"/>
      <c r="B47" s="170"/>
      <c r="C47" s="170"/>
      <c r="D47" s="170"/>
      <c r="E47" s="170"/>
      <c r="F47" s="170"/>
      <c r="G47" s="170"/>
      <c r="H47" s="170"/>
      <c r="I47" s="170"/>
      <c r="J47" s="170"/>
      <c r="K47" s="170"/>
      <c r="L47" s="170"/>
      <c r="M47" s="182"/>
      <c r="N47" s="172"/>
      <c r="O47" s="184"/>
      <c r="P47" s="182" t="n">
        <f aca="false">O47-M47</f>
        <v>0</v>
      </c>
    </row>
    <row r="48" customFormat="false" ht="12.8" hidden="false" customHeight="false" outlineLevel="0" collapsed="false">
      <c r="A48" s="170"/>
      <c r="B48" s="170"/>
      <c r="C48" s="170"/>
      <c r="D48" s="170"/>
      <c r="E48" s="170"/>
      <c r="F48" s="170"/>
      <c r="G48" s="170"/>
      <c r="H48" s="170"/>
      <c r="I48" s="170"/>
      <c r="J48" s="170"/>
      <c r="K48" s="170"/>
      <c r="L48" s="170"/>
      <c r="M48" s="182"/>
      <c r="N48" s="172"/>
      <c r="O48" s="184"/>
      <c r="P48" s="182" t="n">
        <f aca="false">O48-M48</f>
        <v>0</v>
      </c>
    </row>
    <row r="49" customFormat="false" ht="12.8" hidden="false" customHeight="false" outlineLevel="0" collapsed="false">
      <c r="A49" s="170"/>
      <c r="B49" s="170"/>
      <c r="C49" s="170"/>
      <c r="D49" s="170"/>
      <c r="E49" s="170"/>
      <c r="F49" s="170"/>
      <c r="G49" s="170"/>
      <c r="H49" s="170"/>
      <c r="I49" s="170"/>
      <c r="J49" s="170"/>
      <c r="K49" s="170"/>
      <c r="L49" s="170"/>
      <c r="M49" s="182"/>
      <c r="N49" s="172"/>
      <c r="O49" s="184"/>
      <c r="P49" s="182" t="n">
        <f aca="false">O49-M49</f>
        <v>0</v>
      </c>
    </row>
    <row r="50" customFormat="false" ht="12.8" hidden="false" customHeight="false" outlineLevel="0" collapsed="false">
      <c r="A50" s="170"/>
      <c r="B50" s="170"/>
      <c r="C50" s="170"/>
      <c r="D50" s="170"/>
      <c r="E50" s="170"/>
      <c r="F50" s="170"/>
      <c r="G50" s="170"/>
      <c r="H50" s="170"/>
      <c r="I50" s="170"/>
      <c r="J50" s="170"/>
      <c r="K50" s="170"/>
      <c r="L50" s="170"/>
      <c r="M50" s="182"/>
      <c r="N50" s="172"/>
      <c r="O50" s="183"/>
      <c r="P50" s="182" t="n">
        <f aca="false">O50-M50</f>
        <v>0</v>
      </c>
    </row>
    <row r="51" customFormat="false" ht="12.8" hidden="false" customHeight="false" outlineLevel="0" collapsed="false">
      <c r="A51" s="170"/>
      <c r="B51" s="170"/>
      <c r="C51" s="170"/>
      <c r="D51" s="170"/>
      <c r="E51" s="170"/>
      <c r="F51" s="170"/>
      <c r="G51" s="170"/>
      <c r="H51" s="170"/>
      <c r="I51" s="170"/>
      <c r="J51" s="170"/>
      <c r="K51" s="170"/>
      <c r="L51" s="170"/>
      <c r="M51" s="182"/>
      <c r="N51" s="172"/>
      <c r="O51" s="184"/>
      <c r="P51" s="182" t="n">
        <f aca="false">O51-M51</f>
        <v>0</v>
      </c>
    </row>
    <row r="52" customFormat="false" ht="12.8" hidden="false" customHeight="false" outlineLevel="0" collapsed="false">
      <c r="A52" s="170"/>
      <c r="B52" s="170"/>
      <c r="C52" s="170"/>
      <c r="D52" s="170"/>
      <c r="E52" s="170"/>
      <c r="F52" s="170"/>
      <c r="G52" s="170"/>
      <c r="H52" s="170"/>
      <c r="I52" s="170"/>
      <c r="J52" s="170"/>
      <c r="K52" s="170"/>
      <c r="L52" s="170"/>
      <c r="M52" s="182"/>
      <c r="N52" s="172"/>
      <c r="O52" s="183"/>
      <c r="P52" s="182" t="n">
        <f aca="false">O52-M52</f>
        <v>0</v>
      </c>
    </row>
    <row r="53" customFormat="false" ht="12.8" hidden="false" customHeight="false" outlineLevel="0" collapsed="false">
      <c r="A53" s="170"/>
      <c r="B53" s="170"/>
      <c r="C53" s="170"/>
      <c r="D53" s="170"/>
      <c r="E53" s="170"/>
      <c r="F53" s="170"/>
      <c r="G53" s="170"/>
      <c r="H53" s="170"/>
      <c r="I53" s="170"/>
      <c r="J53" s="170"/>
      <c r="K53" s="170"/>
      <c r="L53" s="170"/>
      <c r="M53" s="182"/>
      <c r="N53" s="172"/>
      <c r="O53" s="184"/>
      <c r="P53" s="182" t="n">
        <f aca="false">O53-M53</f>
        <v>0</v>
      </c>
    </row>
    <row r="54" customFormat="false" ht="12.8" hidden="false" customHeight="false" outlineLevel="0" collapsed="false">
      <c r="A54" s="170"/>
      <c r="B54" s="170"/>
      <c r="C54" s="170"/>
      <c r="D54" s="170"/>
      <c r="E54" s="170"/>
      <c r="F54" s="170"/>
      <c r="G54" s="170"/>
      <c r="H54" s="170"/>
      <c r="I54" s="170"/>
      <c r="J54" s="170"/>
      <c r="K54" s="170"/>
      <c r="L54" s="170"/>
      <c r="M54" s="182"/>
      <c r="N54" s="172"/>
      <c r="O54" s="184"/>
      <c r="P54" s="182" t="n">
        <f aca="false">O54-M54</f>
        <v>0</v>
      </c>
    </row>
    <row r="55" customFormat="false" ht="12.8" hidden="false" customHeight="false" outlineLevel="0" collapsed="false">
      <c r="A55" s="186" t="s">
        <v>824</v>
      </c>
      <c r="B55" s="187"/>
      <c r="C55" s="187"/>
      <c r="D55" s="187"/>
      <c r="E55" s="187"/>
      <c r="F55" s="187"/>
      <c r="G55" s="187"/>
      <c r="H55" s="187"/>
      <c r="I55" s="187"/>
      <c r="J55" s="187"/>
      <c r="K55" s="187"/>
      <c r="L55" s="187"/>
      <c r="M55" s="179"/>
      <c r="N55" s="188"/>
      <c r="O55" s="181" t="n">
        <v>340.99</v>
      </c>
      <c r="P55" s="180" t="n">
        <f aca="false">O55-M55</f>
        <v>340.99</v>
      </c>
    </row>
    <row r="56" customFormat="false" ht="12.8" hidden="false" customHeight="false" outlineLevel="0" collapsed="false">
      <c r="A56" s="175" t="s">
        <v>532</v>
      </c>
      <c r="B56" s="175"/>
      <c r="C56" s="175"/>
      <c r="D56" s="175"/>
      <c r="E56" s="175"/>
      <c r="F56" s="175"/>
      <c r="G56" s="175" t="n">
        <v>10</v>
      </c>
      <c r="H56" s="175" t="n">
        <v>10</v>
      </c>
      <c r="I56" s="175" t="n">
        <v>20</v>
      </c>
      <c r="J56" s="175" t="n">
        <v>10</v>
      </c>
      <c r="K56" s="175" t="n">
        <v>20</v>
      </c>
      <c r="L56" s="175" t="n">
        <v>32</v>
      </c>
      <c r="M56" s="180" t="n">
        <v>10</v>
      </c>
      <c r="N56" s="172" t="n">
        <v>112</v>
      </c>
      <c r="O56" s="181" t="n">
        <v>31</v>
      </c>
      <c r="P56" s="180" t="n">
        <f aca="false">O56-M56</f>
        <v>21</v>
      </c>
    </row>
    <row r="57" customFormat="false" ht="12.8" hidden="false" customHeight="false" outlineLevel="0" collapsed="false">
      <c r="A57" s="64"/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174"/>
      <c r="N57" s="188"/>
      <c r="O57" s="183"/>
      <c r="P57" s="182" t="n">
        <f aca="false">O57-M57</f>
        <v>0</v>
      </c>
    </row>
    <row r="58" customFormat="false" ht="12.8" hidden="false" customHeight="false" outlineLevel="0" collapsed="false">
      <c r="A58" s="170"/>
      <c r="B58" s="170"/>
      <c r="C58" s="170"/>
      <c r="D58" s="170"/>
      <c r="E58" s="170"/>
      <c r="F58" s="170"/>
      <c r="G58" s="170"/>
      <c r="H58" s="170"/>
      <c r="I58" s="170"/>
      <c r="J58" s="170"/>
      <c r="K58" s="170"/>
      <c r="L58" s="170"/>
      <c r="M58" s="182"/>
      <c r="N58" s="172"/>
      <c r="O58" s="183"/>
      <c r="P58" s="182" t="n">
        <f aca="false">O58-M58</f>
        <v>0</v>
      </c>
    </row>
    <row r="59" customFormat="false" ht="12.8" hidden="false" customHeight="false" outlineLevel="0" collapsed="false">
      <c r="A59" s="189" t="s">
        <v>853</v>
      </c>
      <c r="B59" s="170"/>
      <c r="C59" s="170"/>
      <c r="D59" s="170"/>
      <c r="E59" s="170"/>
      <c r="F59" s="170"/>
      <c r="G59" s="170"/>
      <c r="H59" s="170"/>
      <c r="I59" s="170"/>
      <c r="J59" s="170"/>
      <c r="K59" s="170"/>
      <c r="L59" s="170"/>
      <c r="M59" s="182"/>
      <c r="N59" s="172"/>
      <c r="O59" s="183" t="n">
        <v>100.8</v>
      </c>
      <c r="P59" s="182" t="n">
        <f aca="false">O59-M59</f>
        <v>100.8</v>
      </c>
    </row>
    <row r="60" customFormat="false" ht="12.8" hidden="false" customHeight="false" outlineLevel="0" collapsed="false">
      <c r="A60" s="189" t="s">
        <v>813</v>
      </c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174"/>
      <c r="N60" s="188"/>
      <c r="O60" s="184"/>
      <c r="P60" s="182" t="n">
        <f aca="false">O60-M60</f>
        <v>0</v>
      </c>
    </row>
    <row r="61" customFormat="false" ht="12.8" hidden="false" customHeight="false" outlineLevel="0" collapsed="false">
      <c r="A61" s="189" t="s">
        <v>862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174"/>
      <c r="N61" s="188"/>
      <c r="O61" s="183" t="n">
        <v>693.7</v>
      </c>
      <c r="P61" s="182" t="n">
        <f aca="false">O61-M61</f>
        <v>693.7</v>
      </c>
    </row>
    <row r="62" customFormat="false" ht="12.8" hidden="false" customHeight="false" outlineLevel="0" collapsed="false">
      <c r="A62" s="189" t="s">
        <v>871</v>
      </c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174"/>
      <c r="N62" s="188"/>
      <c r="O62" s="183" t="n">
        <v>35</v>
      </c>
      <c r="P62" s="182" t="n">
        <f aca="false">O62-M62</f>
        <v>35</v>
      </c>
    </row>
    <row r="63" customFormat="false" ht="12.8" hidden="false" customHeight="false" outlineLevel="0" collapsed="false">
      <c r="A63" s="189" t="s">
        <v>856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174"/>
      <c r="N63" s="188"/>
      <c r="O63" s="183" t="n">
        <v>150</v>
      </c>
      <c r="P63" s="182" t="n">
        <f aca="false">O63-M63</f>
        <v>150</v>
      </c>
    </row>
    <row r="64" customFormat="false" ht="12.8" hidden="false" customHeight="false" outlineLevel="0" collapsed="false">
      <c r="A64" s="189" t="s">
        <v>850</v>
      </c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174"/>
      <c r="N64" s="188"/>
      <c r="O64" s="183" t="n">
        <v>48</v>
      </c>
      <c r="P64" s="182" t="n">
        <f aca="false">O64-M64</f>
        <v>48</v>
      </c>
    </row>
    <row r="65" customFormat="false" ht="12.8" hidden="false" customHeight="false" outlineLevel="0" collapsed="false">
      <c r="A65" s="189" t="s">
        <v>845</v>
      </c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174"/>
      <c r="N65" s="188"/>
      <c r="O65" s="183" t="n">
        <v>130</v>
      </c>
      <c r="P65" s="182" t="n">
        <f aca="false">O65-M65</f>
        <v>130</v>
      </c>
    </row>
    <row r="66" customFormat="false" ht="12.8" hidden="false" customHeight="false" outlineLevel="0" collapsed="false">
      <c r="A66" s="189" t="s">
        <v>842</v>
      </c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174"/>
      <c r="N66" s="188"/>
      <c r="O66" s="183" t="n">
        <v>30</v>
      </c>
      <c r="P66" s="182" t="n">
        <f aca="false">O66-M66</f>
        <v>30</v>
      </c>
    </row>
    <row r="67" customFormat="false" ht="12.8" hidden="false" customHeight="false" outlineLevel="0" collapsed="false">
      <c r="A67" s="189" t="s">
        <v>883</v>
      </c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183" t="n">
        <v>500</v>
      </c>
      <c r="P67" s="182" t="n">
        <f aca="false">O67-M67</f>
        <v>500</v>
      </c>
    </row>
    <row r="68" customFormat="false" ht="12.8" hidden="false" customHeight="false" outlineLevel="0" collapsed="false">
      <c r="A68" s="189" t="s">
        <v>888</v>
      </c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183" t="n">
        <v>1477.7</v>
      </c>
      <c r="P68" s="182" t="n">
        <f aca="false">O68-M68</f>
        <v>1477.7</v>
      </c>
    </row>
    <row r="69" customFormat="false" ht="12.8" hidden="false" customHeight="false" outlineLevel="0" collapsed="false">
      <c r="A69" s="189" t="s">
        <v>880</v>
      </c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183" t="n">
        <v>257.25</v>
      </c>
      <c r="P69" s="182" t="n">
        <f aca="false">O69-M69</f>
        <v>257.25</v>
      </c>
    </row>
    <row r="70" customFormat="false" ht="12.8" hidden="false" customHeight="false" outlineLevel="0" collapsed="false">
      <c r="A70" s="190" t="s">
        <v>896</v>
      </c>
      <c r="B70" s="191" t="n">
        <f aca="false">SUM(B5:B59)</f>
        <v>1814.68</v>
      </c>
      <c r="C70" s="191" t="n">
        <f aca="false">SUM(C5:C59)</f>
        <v>3211.68</v>
      </c>
      <c r="D70" s="191" t="n">
        <f aca="false">SUM(D5:D59)</f>
        <v>3517</v>
      </c>
      <c r="E70" s="191" t="n">
        <f aca="false">SUM(E5:E59)</f>
        <v>4143.08</v>
      </c>
      <c r="F70" s="191" t="n">
        <f aca="false">SUM(F5:F59)</f>
        <v>3455.15</v>
      </c>
      <c r="G70" s="191" t="n">
        <f aca="false">SUM(G5:G59)</f>
        <v>3828.16</v>
      </c>
      <c r="H70" s="191" t="n">
        <f aca="false">SUM(H5:H59)</f>
        <v>3473.7</v>
      </c>
      <c r="I70" s="191" t="n">
        <f aca="false">SUM(I5:I59)</f>
        <v>4175.22</v>
      </c>
      <c r="J70" s="191" t="n">
        <f aca="false">SUM(J5:J59)</f>
        <v>3809.04</v>
      </c>
      <c r="K70" s="191" t="n">
        <f aca="false">SUM(K5:K59)</f>
        <v>2138.38</v>
      </c>
      <c r="L70" s="191" t="n">
        <f aca="false">SUM(L5:L59)</f>
        <v>3004.47</v>
      </c>
      <c r="M70" s="172" t="n">
        <f aca="false">SUM(M5:M59)</f>
        <v>669.04</v>
      </c>
      <c r="N70" s="172" t="n">
        <f aca="false">SUM(N5:N59)</f>
        <v>36763.42</v>
      </c>
      <c r="O70" s="172" t="n">
        <f aca="false">SUM(O5:O56)</f>
        <v>2067.79</v>
      </c>
      <c r="P70" s="172" t="n">
        <f aca="false">SUM(P5:P69)</f>
        <v>4821.2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O70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M67" activeCellId="0" sqref="M67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3" customFormat="false" ht="12.8" hidden="false" customHeight="false" outlineLevel="0" collapsed="false">
      <c r="A3" s="192" t="s">
        <v>891</v>
      </c>
      <c r="B3" s="193" t="s">
        <v>56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5"/>
    </row>
    <row r="4" customFormat="false" ht="12.8" hidden="false" customHeight="false" outlineLevel="0" collapsed="false">
      <c r="A4" s="196" t="s">
        <v>49</v>
      </c>
      <c r="B4" s="197" t="n">
        <v>43831</v>
      </c>
      <c r="C4" s="198" t="n">
        <v>43862</v>
      </c>
      <c r="D4" s="198" t="n">
        <v>43891</v>
      </c>
      <c r="E4" s="198" t="n">
        <v>43922</v>
      </c>
      <c r="F4" s="198" t="n">
        <v>43952</v>
      </c>
      <c r="G4" s="198" t="n">
        <v>43983</v>
      </c>
      <c r="H4" s="198" t="n">
        <v>44013</v>
      </c>
      <c r="I4" s="198" t="n">
        <v>44044</v>
      </c>
      <c r="J4" s="198" t="n">
        <v>44075</v>
      </c>
      <c r="K4" s="198" t="n">
        <v>44105</v>
      </c>
      <c r="L4" s="198" t="n">
        <v>44136</v>
      </c>
      <c r="M4" s="198" t="n">
        <v>44166</v>
      </c>
      <c r="N4" s="199" t="s">
        <v>892</v>
      </c>
    </row>
    <row r="5" customFormat="false" ht="12.8" hidden="false" customHeight="false" outlineLevel="0" collapsed="false">
      <c r="A5" s="200" t="s">
        <v>142</v>
      </c>
      <c r="B5" s="201" t="n">
        <v>9.9</v>
      </c>
      <c r="C5" s="202" t="n">
        <v>115.28</v>
      </c>
      <c r="D5" s="203"/>
      <c r="E5" s="203"/>
      <c r="F5" s="203"/>
      <c r="G5" s="203"/>
      <c r="H5" s="203"/>
      <c r="I5" s="202" t="n">
        <v>172</v>
      </c>
      <c r="J5" s="203"/>
      <c r="K5" s="203"/>
      <c r="L5" s="203"/>
      <c r="M5" s="204"/>
      <c r="N5" s="205" t="n">
        <v>297.18</v>
      </c>
    </row>
    <row r="6" s="210" customFormat="true" ht="12.8" hidden="false" customHeight="false" outlineLevel="0" collapsed="false">
      <c r="A6" s="189" t="s">
        <v>76</v>
      </c>
      <c r="B6" s="206" t="n">
        <v>86.55</v>
      </c>
      <c r="C6" s="207" t="n">
        <v>200.38</v>
      </c>
      <c r="D6" s="207" t="n">
        <v>63.4</v>
      </c>
      <c r="E6" s="207" t="n">
        <v>349.82</v>
      </c>
      <c r="F6" s="207" t="n">
        <v>229.15</v>
      </c>
      <c r="G6" s="207" t="n">
        <v>217.59</v>
      </c>
      <c r="H6" s="207" t="n">
        <v>138.98</v>
      </c>
      <c r="I6" s="207" t="n">
        <v>414.6</v>
      </c>
      <c r="J6" s="207" t="n">
        <v>223.35</v>
      </c>
      <c r="K6" s="207" t="n">
        <v>411.39</v>
      </c>
      <c r="L6" s="207" t="n">
        <v>254.3</v>
      </c>
      <c r="M6" s="208" t="n">
        <v>5.99</v>
      </c>
      <c r="N6" s="209" t="n">
        <v>2595.5</v>
      </c>
      <c r="O6" s="0"/>
    </row>
    <row r="7" customFormat="false" ht="12.8" hidden="false" customHeight="false" outlineLevel="0" collapsed="false">
      <c r="A7" s="189" t="s">
        <v>67</v>
      </c>
      <c r="B7" s="206" t="n">
        <v>83.55</v>
      </c>
      <c r="C7" s="207" t="n">
        <v>100.33</v>
      </c>
      <c r="D7" s="207" t="n">
        <v>89.34</v>
      </c>
      <c r="E7" s="207" t="n">
        <v>91.12</v>
      </c>
      <c r="F7" s="207" t="n">
        <v>83.51</v>
      </c>
      <c r="G7" s="207" t="n">
        <v>83.51</v>
      </c>
      <c r="H7" s="207" t="n">
        <v>83.51</v>
      </c>
      <c r="I7" s="207" t="n">
        <v>83.51</v>
      </c>
      <c r="J7" s="207" t="n">
        <v>83.51</v>
      </c>
      <c r="K7" s="207" t="n">
        <v>83.51</v>
      </c>
      <c r="L7" s="207" t="n">
        <v>86.11</v>
      </c>
      <c r="M7" s="208" t="n">
        <v>86.11</v>
      </c>
      <c r="N7" s="209" t="n">
        <v>1037.62</v>
      </c>
    </row>
    <row r="8" s="210" customFormat="true" ht="12.8" hidden="false" customHeight="false" outlineLevel="0" collapsed="false">
      <c r="A8" s="189" t="s">
        <v>119</v>
      </c>
      <c r="B8" s="206" t="n">
        <v>3634.39</v>
      </c>
      <c r="C8" s="207" t="n">
        <v>535.01</v>
      </c>
      <c r="D8" s="207" t="n">
        <v>608.42</v>
      </c>
      <c r="E8" s="207" t="n">
        <v>1197.78</v>
      </c>
      <c r="F8" s="207" t="n">
        <v>700</v>
      </c>
      <c r="G8" s="207" t="n">
        <v>1748.76</v>
      </c>
      <c r="H8" s="207" t="n">
        <v>569.07</v>
      </c>
      <c r="I8" s="207" t="n">
        <v>599.14</v>
      </c>
      <c r="J8" s="207" t="n">
        <v>851.67</v>
      </c>
      <c r="K8" s="207" t="n">
        <v>632.36</v>
      </c>
      <c r="L8" s="207" t="n">
        <v>838.68</v>
      </c>
      <c r="M8" s="208" t="n">
        <v>567.76</v>
      </c>
      <c r="N8" s="209" t="n">
        <v>12483.04</v>
      </c>
      <c r="O8" s="0"/>
    </row>
    <row r="9" customFormat="false" ht="12.8" hidden="false" customHeight="false" outlineLevel="0" collapsed="false">
      <c r="A9" s="189" t="s">
        <v>122</v>
      </c>
      <c r="B9" s="206" t="n">
        <v>4018.57</v>
      </c>
      <c r="C9" s="207" t="n">
        <v>2912.75</v>
      </c>
      <c r="D9" s="207" t="n">
        <v>2972.19</v>
      </c>
      <c r="E9" s="207" t="n">
        <v>3859.33</v>
      </c>
      <c r="F9" s="207" t="n">
        <v>3164.72</v>
      </c>
      <c r="G9" s="207" t="n">
        <v>4992.46</v>
      </c>
      <c r="H9" s="207" t="n">
        <v>3009.75</v>
      </c>
      <c r="I9" s="207" t="n">
        <v>2239.32</v>
      </c>
      <c r="J9" s="207" t="n">
        <v>597.42</v>
      </c>
      <c r="K9" s="207" t="n">
        <v>3946.04</v>
      </c>
      <c r="L9" s="207" t="n">
        <v>2923.72</v>
      </c>
      <c r="M9" s="208" t="n">
        <v>5558.24</v>
      </c>
      <c r="N9" s="209" t="n">
        <v>40194.51</v>
      </c>
    </row>
    <row r="10" s="210" customFormat="true" ht="12.8" hidden="false" customHeight="false" outlineLevel="0" collapsed="false">
      <c r="A10" s="189" t="s">
        <v>176</v>
      </c>
      <c r="B10" s="211"/>
      <c r="C10" s="207" t="n">
        <v>150</v>
      </c>
      <c r="D10" s="207" t="n">
        <v>150</v>
      </c>
      <c r="E10" s="207" t="n">
        <v>150</v>
      </c>
      <c r="F10" s="207" t="n">
        <v>556.45</v>
      </c>
      <c r="G10" s="207" t="n">
        <v>150</v>
      </c>
      <c r="H10" s="207" t="n">
        <v>153.6</v>
      </c>
      <c r="I10" s="207" t="n">
        <v>153.25</v>
      </c>
      <c r="J10" s="207" t="n">
        <v>153.38</v>
      </c>
      <c r="K10" s="207" t="n">
        <v>150</v>
      </c>
      <c r="L10" s="207" t="n">
        <v>209.78</v>
      </c>
      <c r="M10" s="208" t="n">
        <v>136</v>
      </c>
      <c r="N10" s="209" t="n">
        <v>2112.46</v>
      </c>
      <c r="O10" s="0"/>
    </row>
    <row r="11" customFormat="false" ht="12.8" hidden="false" customHeight="false" outlineLevel="0" collapsed="false">
      <c r="A11" s="189" t="s">
        <v>65</v>
      </c>
      <c r="B11" s="206" t="n">
        <v>909.33</v>
      </c>
      <c r="C11" s="207" t="n">
        <v>782.54</v>
      </c>
      <c r="D11" s="207" t="n">
        <v>555.75</v>
      </c>
      <c r="E11" s="207" t="n">
        <v>631.8</v>
      </c>
      <c r="F11" s="207" t="n">
        <v>561.95</v>
      </c>
      <c r="G11" s="207" t="n">
        <v>845.96</v>
      </c>
      <c r="H11" s="207" t="n">
        <v>698.02</v>
      </c>
      <c r="I11" s="207" t="n">
        <v>468.67</v>
      </c>
      <c r="J11" s="207" t="n">
        <v>685.17</v>
      </c>
      <c r="K11" s="207" t="n">
        <v>183.94</v>
      </c>
      <c r="L11" s="207" t="n">
        <v>377.3</v>
      </c>
      <c r="M11" s="208" t="n">
        <v>117</v>
      </c>
      <c r="N11" s="209" t="n">
        <v>6817.43</v>
      </c>
    </row>
    <row r="12" s="210" customFormat="true" ht="12.8" hidden="false" customHeight="false" outlineLevel="0" collapsed="false">
      <c r="A12" s="189" t="s">
        <v>124</v>
      </c>
      <c r="B12" s="206" t="n">
        <v>0</v>
      </c>
      <c r="C12" s="207" t="n">
        <v>20</v>
      </c>
      <c r="D12" s="212"/>
      <c r="E12" s="207" t="n">
        <v>30</v>
      </c>
      <c r="F12" s="212"/>
      <c r="G12" s="212"/>
      <c r="H12" s="212"/>
      <c r="I12" s="212"/>
      <c r="J12" s="212"/>
      <c r="K12" s="212"/>
      <c r="L12" s="207" t="n">
        <v>30</v>
      </c>
      <c r="M12" s="213"/>
      <c r="N12" s="209" t="n">
        <v>80</v>
      </c>
      <c r="O12" s="0"/>
    </row>
    <row r="13" customFormat="false" ht="12.8" hidden="false" customHeight="false" outlineLevel="0" collapsed="false">
      <c r="A13" s="189" t="s">
        <v>130</v>
      </c>
      <c r="B13" s="206" t="n">
        <v>75</v>
      </c>
      <c r="C13" s="207" t="n">
        <v>75</v>
      </c>
      <c r="D13" s="207" t="n">
        <v>175</v>
      </c>
      <c r="E13" s="207" t="n">
        <v>75</v>
      </c>
      <c r="F13" s="207" t="n">
        <v>75</v>
      </c>
      <c r="G13" s="207" t="n">
        <v>75</v>
      </c>
      <c r="H13" s="207" t="n">
        <v>75</v>
      </c>
      <c r="I13" s="207" t="n">
        <v>75</v>
      </c>
      <c r="J13" s="207" t="n">
        <v>75</v>
      </c>
      <c r="K13" s="207" t="n">
        <v>75</v>
      </c>
      <c r="L13" s="207" t="n">
        <v>75</v>
      </c>
      <c r="M13" s="208" t="n">
        <v>75</v>
      </c>
      <c r="N13" s="209" t="n">
        <v>1000</v>
      </c>
    </row>
    <row r="14" s="210" customFormat="true" ht="12.8" hidden="false" customHeight="false" outlineLevel="0" collapsed="false">
      <c r="A14" s="189" t="s">
        <v>5</v>
      </c>
      <c r="B14" s="206" t="n">
        <v>0</v>
      </c>
      <c r="C14" s="207" t="n">
        <v>0</v>
      </c>
      <c r="D14" s="212"/>
      <c r="E14" s="212"/>
      <c r="F14" s="212"/>
      <c r="G14" s="212"/>
      <c r="H14" s="212"/>
      <c r="I14" s="212"/>
      <c r="J14" s="212"/>
      <c r="K14" s="212"/>
      <c r="L14" s="207" t="n">
        <v>0</v>
      </c>
      <c r="M14" s="213"/>
      <c r="N14" s="209" t="n">
        <v>0</v>
      </c>
      <c r="O14" s="0"/>
    </row>
    <row r="15" customFormat="false" ht="12.8" hidden="false" customHeight="false" outlineLevel="0" collapsed="false">
      <c r="A15" s="189" t="s">
        <v>74</v>
      </c>
      <c r="B15" s="206" t="n">
        <v>110.73</v>
      </c>
      <c r="C15" s="207" t="n">
        <v>144.79</v>
      </c>
      <c r="D15" s="207" t="n">
        <v>165.62</v>
      </c>
      <c r="E15" s="207" t="n">
        <v>238.98</v>
      </c>
      <c r="F15" s="207" t="n">
        <v>172.89</v>
      </c>
      <c r="G15" s="207" t="n">
        <v>516.74</v>
      </c>
      <c r="H15" s="207" t="n">
        <v>70.18</v>
      </c>
      <c r="I15" s="207" t="n">
        <v>389.53</v>
      </c>
      <c r="J15" s="207" t="n">
        <v>273.05</v>
      </c>
      <c r="K15" s="207" t="n">
        <v>128.3</v>
      </c>
      <c r="L15" s="207" t="n">
        <v>230.31</v>
      </c>
      <c r="M15" s="208" t="n">
        <v>21.58</v>
      </c>
      <c r="N15" s="209" t="n">
        <v>2462.7</v>
      </c>
    </row>
    <row r="16" s="210" customFormat="true" ht="12.8" hidden="false" customHeight="false" outlineLevel="0" collapsed="false">
      <c r="A16" s="189" t="s">
        <v>87</v>
      </c>
      <c r="B16" s="206" t="n">
        <v>17</v>
      </c>
      <c r="C16" s="207" t="n">
        <v>10.5</v>
      </c>
      <c r="D16" s="207" t="n">
        <v>10</v>
      </c>
      <c r="E16" s="207" t="n">
        <v>16</v>
      </c>
      <c r="F16" s="207" t="n">
        <v>6</v>
      </c>
      <c r="G16" s="207" t="n">
        <v>10</v>
      </c>
      <c r="H16" s="212"/>
      <c r="I16" s="212"/>
      <c r="J16" s="212"/>
      <c r="K16" s="212"/>
      <c r="L16" s="207" t="n">
        <v>25</v>
      </c>
      <c r="M16" s="208" t="n">
        <v>24</v>
      </c>
      <c r="N16" s="209" t="n">
        <v>118.5</v>
      </c>
      <c r="O16" s="0"/>
    </row>
    <row r="17" customFormat="false" ht="12.8" hidden="false" customHeight="false" outlineLevel="0" collapsed="false">
      <c r="A17" s="189" t="s">
        <v>225</v>
      </c>
      <c r="B17" s="211"/>
      <c r="C17" s="207" t="n">
        <v>271.95</v>
      </c>
      <c r="D17" s="207" t="n">
        <v>141</v>
      </c>
      <c r="E17" s="207" t="n">
        <v>389.14</v>
      </c>
      <c r="F17" s="207" t="n">
        <v>239.94</v>
      </c>
      <c r="G17" s="207" t="n">
        <v>29.9</v>
      </c>
      <c r="H17" s="207" t="n">
        <v>203.94</v>
      </c>
      <c r="I17" s="207" t="n">
        <v>18.47</v>
      </c>
      <c r="J17" s="207" t="n">
        <v>32.99</v>
      </c>
      <c r="K17" s="207" t="n">
        <v>185.5</v>
      </c>
      <c r="L17" s="212"/>
      <c r="M17" s="213"/>
      <c r="N17" s="209" t="n">
        <v>1512.83</v>
      </c>
    </row>
    <row r="18" customFormat="false" ht="12.8" hidden="false" customHeight="false" outlineLevel="0" collapsed="false">
      <c r="A18" s="189" t="s">
        <v>219</v>
      </c>
      <c r="B18" s="211"/>
      <c r="C18" s="207" t="n">
        <v>360.77</v>
      </c>
      <c r="D18" s="207" t="n">
        <v>360.77</v>
      </c>
      <c r="E18" s="212"/>
      <c r="F18" s="212"/>
      <c r="G18" s="212"/>
      <c r="H18" s="212"/>
      <c r="I18" s="212"/>
      <c r="J18" s="212"/>
      <c r="K18" s="212"/>
      <c r="L18" s="212"/>
      <c r="M18" s="213"/>
      <c r="N18" s="209" t="n">
        <v>721.54</v>
      </c>
    </row>
    <row r="19" customFormat="false" ht="12.8" hidden="false" customHeight="false" outlineLevel="0" collapsed="false">
      <c r="A19" s="189" t="s">
        <v>98</v>
      </c>
      <c r="B19" s="206" t="n">
        <v>525.08</v>
      </c>
      <c r="C19" s="207" t="n">
        <v>539.38</v>
      </c>
      <c r="D19" s="207" t="n">
        <v>1352.23</v>
      </c>
      <c r="E19" s="207" t="n">
        <v>1196.33</v>
      </c>
      <c r="F19" s="207" t="n">
        <v>962.44</v>
      </c>
      <c r="G19" s="207" t="n">
        <v>1399.72</v>
      </c>
      <c r="H19" s="207" t="n">
        <v>1238.48</v>
      </c>
      <c r="I19" s="207" t="n">
        <v>1628.3</v>
      </c>
      <c r="J19" s="207" t="n">
        <v>1630.35</v>
      </c>
      <c r="K19" s="207" t="n">
        <v>559.53</v>
      </c>
      <c r="L19" s="207" t="n">
        <v>945.6</v>
      </c>
      <c r="M19" s="208" t="n">
        <v>156.67</v>
      </c>
      <c r="N19" s="209" t="n">
        <v>12134.11</v>
      </c>
    </row>
    <row r="20" customFormat="false" ht="12.8" hidden="false" customHeight="false" outlineLevel="0" collapsed="false">
      <c r="A20" s="189" t="s">
        <v>71</v>
      </c>
      <c r="B20" s="206" t="n">
        <v>156.09</v>
      </c>
      <c r="C20" s="207" t="n">
        <v>23.36</v>
      </c>
      <c r="D20" s="212"/>
      <c r="E20" s="207" t="n">
        <v>87.51</v>
      </c>
      <c r="F20" s="207" t="n">
        <v>382.83</v>
      </c>
      <c r="G20" s="207" t="n">
        <v>216.25</v>
      </c>
      <c r="H20" s="207" t="n">
        <v>94.7</v>
      </c>
      <c r="I20" s="207" t="n">
        <v>116.4</v>
      </c>
      <c r="J20" s="207" t="n">
        <v>53.75</v>
      </c>
      <c r="K20" s="207" t="n">
        <v>3.92</v>
      </c>
      <c r="L20" s="207" t="n">
        <v>28.68</v>
      </c>
      <c r="M20" s="208" t="n">
        <v>19.56</v>
      </c>
      <c r="N20" s="209" t="n">
        <v>1183.05</v>
      </c>
    </row>
    <row r="21" customFormat="false" ht="12.8" hidden="false" customHeight="false" outlineLevel="0" collapsed="false">
      <c r="A21" s="189" t="s">
        <v>167</v>
      </c>
      <c r="B21" s="206" t="n">
        <v>0</v>
      </c>
      <c r="C21" s="212"/>
      <c r="D21" s="207" t="n">
        <v>0</v>
      </c>
      <c r="E21" s="207" t="n">
        <v>0</v>
      </c>
      <c r="F21" s="212"/>
      <c r="G21" s="207" t="n">
        <v>0</v>
      </c>
      <c r="H21" s="212"/>
      <c r="I21" s="212"/>
      <c r="J21" s="207" t="n">
        <v>0</v>
      </c>
      <c r="K21" s="207" t="n">
        <v>0</v>
      </c>
      <c r="L21" s="212"/>
      <c r="M21" s="208" t="n">
        <v>0</v>
      </c>
      <c r="N21" s="209" t="n">
        <v>0</v>
      </c>
    </row>
    <row r="22" customFormat="false" ht="12.8" hidden="false" customHeight="false" outlineLevel="0" collapsed="false">
      <c r="A22" s="189" t="s">
        <v>148</v>
      </c>
      <c r="B22" s="206" t="n">
        <v>133.1</v>
      </c>
      <c r="C22" s="212"/>
      <c r="D22" s="212"/>
      <c r="E22" s="212"/>
      <c r="F22" s="212"/>
      <c r="G22" s="212"/>
      <c r="H22" s="212"/>
      <c r="I22" s="212"/>
      <c r="J22" s="207" t="n">
        <v>150</v>
      </c>
      <c r="K22" s="212"/>
      <c r="L22" s="212"/>
      <c r="M22" s="213"/>
      <c r="N22" s="209" t="n">
        <v>283.1</v>
      </c>
    </row>
    <row r="23" customFormat="false" ht="12.8" hidden="false" customHeight="false" outlineLevel="0" collapsed="false">
      <c r="A23" s="189" t="s">
        <v>127</v>
      </c>
      <c r="B23" s="206" t="n">
        <v>0</v>
      </c>
      <c r="C23" s="207" t="n">
        <v>0</v>
      </c>
      <c r="D23" s="207" t="n">
        <v>0</v>
      </c>
      <c r="E23" s="207" t="n">
        <v>0</v>
      </c>
      <c r="F23" s="207" t="n">
        <v>0</v>
      </c>
      <c r="G23" s="207" t="n">
        <v>0</v>
      </c>
      <c r="H23" s="207" t="n">
        <v>0</v>
      </c>
      <c r="I23" s="207" t="n">
        <v>0</v>
      </c>
      <c r="J23" s="207" t="n">
        <v>0</v>
      </c>
      <c r="K23" s="207" t="n">
        <v>0</v>
      </c>
      <c r="L23" s="207" t="n">
        <v>0</v>
      </c>
      <c r="M23" s="208" t="n">
        <v>125.42</v>
      </c>
      <c r="N23" s="209" t="n">
        <v>125.42</v>
      </c>
    </row>
    <row r="24" customFormat="false" ht="12.8" hidden="false" customHeight="false" outlineLevel="0" collapsed="false">
      <c r="A24" s="189" t="s">
        <v>29</v>
      </c>
      <c r="B24" s="206" t="n">
        <v>0</v>
      </c>
      <c r="C24" s="207" t="n">
        <v>0</v>
      </c>
      <c r="D24" s="207" t="n">
        <v>0</v>
      </c>
      <c r="E24" s="207" t="n">
        <v>0</v>
      </c>
      <c r="F24" s="207" t="n">
        <v>0</v>
      </c>
      <c r="G24" s="207" t="n">
        <v>0</v>
      </c>
      <c r="H24" s="207" t="n">
        <v>0</v>
      </c>
      <c r="I24" s="207" t="n">
        <v>0</v>
      </c>
      <c r="J24" s="207" t="n">
        <v>0</v>
      </c>
      <c r="K24" s="207" t="n">
        <v>970</v>
      </c>
      <c r="L24" s="207" t="n">
        <v>0</v>
      </c>
      <c r="M24" s="208" t="n">
        <v>0</v>
      </c>
      <c r="N24" s="209" t="n">
        <v>970</v>
      </c>
    </row>
    <row r="25" customFormat="false" ht="12.8" hidden="false" customHeight="false" outlineLevel="0" collapsed="false">
      <c r="A25" s="189" t="s">
        <v>203</v>
      </c>
      <c r="B25" s="211"/>
      <c r="C25" s="207" t="n">
        <v>190</v>
      </c>
      <c r="D25" s="207" t="n">
        <v>750</v>
      </c>
      <c r="E25" s="207" t="n">
        <v>800</v>
      </c>
      <c r="F25" s="207" t="n">
        <v>320</v>
      </c>
      <c r="G25" s="207" t="n">
        <v>400</v>
      </c>
      <c r="H25" s="207" t="n">
        <v>200</v>
      </c>
      <c r="I25" s="207" t="n">
        <v>300</v>
      </c>
      <c r="J25" s="207" t="n">
        <v>400</v>
      </c>
      <c r="K25" s="207" t="n">
        <v>360</v>
      </c>
      <c r="L25" s="207" t="n">
        <v>500</v>
      </c>
      <c r="M25" s="208" t="n">
        <v>870</v>
      </c>
      <c r="N25" s="209" t="n">
        <v>5090</v>
      </c>
    </row>
    <row r="26" customFormat="false" ht="12.8" hidden="false" customHeight="false" outlineLevel="0" collapsed="false">
      <c r="A26" s="189" t="s">
        <v>181</v>
      </c>
      <c r="B26" s="211"/>
      <c r="C26" s="207" t="n">
        <v>783.5</v>
      </c>
      <c r="D26" s="207" t="n">
        <v>283.5</v>
      </c>
      <c r="E26" s="207" t="n">
        <v>283.5</v>
      </c>
      <c r="F26" s="212"/>
      <c r="G26" s="212"/>
      <c r="H26" s="207" t="n">
        <v>567</v>
      </c>
      <c r="I26" s="207" t="n">
        <v>283</v>
      </c>
      <c r="J26" s="207" t="n">
        <v>170</v>
      </c>
      <c r="K26" s="212"/>
      <c r="L26" s="207" t="n">
        <v>170</v>
      </c>
      <c r="M26" s="208" t="n">
        <v>170</v>
      </c>
      <c r="N26" s="209" t="n">
        <v>2710.5</v>
      </c>
    </row>
    <row r="27" customFormat="false" ht="12.8" hidden="false" customHeight="false" outlineLevel="0" collapsed="false">
      <c r="A27" s="189" t="s">
        <v>62</v>
      </c>
      <c r="B27" s="206" t="n">
        <v>250</v>
      </c>
      <c r="C27" s="212"/>
      <c r="D27" s="212"/>
      <c r="E27" s="212"/>
      <c r="F27" s="212"/>
      <c r="G27" s="212"/>
      <c r="H27" s="212"/>
      <c r="I27" s="212"/>
      <c r="J27" s="212"/>
      <c r="K27" s="212"/>
      <c r="L27" s="212"/>
      <c r="M27" s="213"/>
      <c r="N27" s="209" t="n">
        <v>250</v>
      </c>
    </row>
    <row r="28" customFormat="false" ht="12.8" hidden="false" customHeight="false" outlineLevel="0" collapsed="false">
      <c r="A28" s="189" t="s">
        <v>545</v>
      </c>
      <c r="B28" s="211"/>
      <c r="C28" s="212"/>
      <c r="D28" s="212"/>
      <c r="E28" s="212"/>
      <c r="F28" s="212"/>
      <c r="G28" s="207" t="n">
        <v>243.71</v>
      </c>
      <c r="H28" s="212"/>
      <c r="I28" s="212"/>
      <c r="J28" s="212"/>
      <c r="K28" s="212"/>
      <c r="L28" s="212"/>
      <c r="M28" s="213"/>
      <c r="N28" s="209" t="n">
        <v>243.71</v>
      </c>
    </row>
    <row r="29" customFormat="false" ht="12.8" hidden="false" customHeight="false" outlineLevel="0" collapsed="false">
      <c r="A29" s="189" t="s">
        <v>295</v>
      </c>
      <c r="B29" s="211"/>
      <c r="C29" s="212"/>
      <c r="D29" s="207" t="n">
        <v>5.23</v>
      </c>
      <c r="E29" s="212"/>
      <c r="F29" s="212"/>
      <c r="G29" s="212"/>
      <c r="H29" s="212"/>
      <c r="I29" s="212"/>
      <c r="J29" s="212"/>
      <c r="K29" s="212"/>
      <c r="L29" s="212"/>
      <c r="M29" s="213"/>
      <c r="N29" s="209" t="n">
        <v>5.23</v>
      </c>
    </row>
    <row r="30" customFormat="false" ht="12.8" hidden="false" customHeight="false" outlineLevel="0" collapsed="false">
      <c r="A30" s="189" t="s">
        <v>265</v>
      </c>
      <c r="B30" s="211"/>
      <c r="C30" s="212"/>
      <c r="D30" s="207" t="n">
        <v>15.29</v>
      </c>
      <c r="E30" s="212"/>
      <c r="F30" s="212"/>
      <c r="G30" s="212"/>
      <c r="H30" s="207" t="n">
        <v>31.58</v>
      </c>
      <c r="I30" s="212"/>
      <c r="J30" s="212"/>
      <c r="K30" s="207" t="n">
        <v>31.14</v>
      </c>
      <c r="L30" s="207" t="n">
        <v>27.29</v>
      </c>
      <c r="M30" s="213"/>
      <c r="N30" s="209" t="n">
        <v>105.3</v>
      </c>
    </row>
    <row r="31" customFormat="false" ht="12.8" hidden="false" customHeight="false" outlineLevel="0" collapsed="false">
      <c r="A31" s="189" t="s">
        <v>250</v>
      </c>
      <c r="B31" s="211"/>
      <c r="C31" s="207" t="n">
        <v>83</v>
      </c>
      <c r="D31" s="212"/>
      <c r="E31" s="212"/>
      <c r="F31" s="212"/>
      <c r="G31" s="212"/>
      <c r="H31" s="212"/>
      <c r="I31" s="212"/>
      <c r="J31" s="212"/>
      <c r="K31" s="212"/>
      <c r="L31" s="212"/>
      <c r="M31" s="213"/>
      <c r="N31" s="209" t="n">
        <v>83</v>
      </c>
    </row>
    <row r="32" customFormat="false" ht="12.8" hidden="false" customHeight="false" outlineLevel="0" collapsed="false">
      <c r="A32" s="189" t="s">
        <v>297</v>
      </c>
      <c r="B32" s="211"/>
      <c r="C32" s="212"/>
      <c r="D32" s="207" t="n">
        <v>1907.52</v>
      </c>
      <c r="E32" s="212"/>
      <c r="F32" s="212"/>
      <c r="G32" s="212"/>
      <c r="H32" s="212"/>
      <c r="I32" s="212"/>
      <c r="J32" s="212"/>
      <c r="K32" s="212"/>
      <c r="L32" s="212"/>
      <c r="M32" s="213"/>
      <c r="N32" s="209" t="n">
        <v>1907.52</v>
      </c>
    </row>
    <row r="33" customFormat="false" ht="12.8" hidden="false" customHeight="false" outlineLevel="0" collapsed="false">
      <c r="A33" s="189" t="s">
        <v>577</v>
      </c>
      <c r="B33" s="211"/>
      <c r="C33" s="212"/>
      <c r="D33" s="212"/>
      <c r="E33" s="212"/>
      <c r="F33" s="212"/>
      <c r="G33" s="212"/>
      <c r="H33" s="207" t="n">
        <v>50</v>
      </c>
      <c r="I33" s="212"/>
      <c r="J33" s="212"/>
      <c r="K33" s="207" t="n">
        <v>130</v>
      </c>
      <c r="L33" s="212"/>
      <c r="M33" s="213"/>
      <c r="N33" s="209" t="n">
        <v>180</v>
      </c>
    </row>
    <row r="34" customFormat="false" ht="12.8" hidden="false" customHeight="false" outlineLevel="0" collapsed="false">
      <c r="A34" s="189" t="s">
        <v>575</v>
      </c>
      <c r="B34" s="211"/>
      <c r="C34" s="212"/>
      <c r="D34" s="212"/>
      <c r="E34" s="212"/>
      <c r="F34" s="212"/>
      <c r="G34" s="212"/>
      <c r="H34" s="207" t="n">
        <v>25.25</v>
      </c>
      <c r="I34" s="212"/>
      <c r="J34" s="212"/>
      <c r="K34" s="212"/>
      <c r="L34" s="212"/>
      <c r="M34" s="213"/>
      <c r="N34" s="209" t="n">
        <v>25.25</v>
      </c>
    </row>
    <row r="35" customFormat="false" ht="12.8" hidden="false" customHeight="false" outlineLevel="0" collapsed="false">
      <c r="A35" s="189" t="s">
        <v>33</v>
      </c>
      <c r="B35" s="206" t="n">
        <v>940</v>
      </c>
      <c r="C35" s="212"/>
      <c r="D35" s="212"/>
      <c r="E35" s="212"/>
      <c r="F35" s="212"/>
      <c r="G35" s="212"/>
      <c r="H35" s="207" t="n">
        <v>80</v>
      </c>
      <c r="I35" s="212"/>
      <c r="J35" s="212"/>
      <c r="K35" s="212"/>
      <c r="L35" s="212"/>
      <c r="M35" s="213"/>
      <c r="N35" s="209" t="n">
        <v>1020</v>
      </c>
    </row>
    <row r="36" customFormat="false" ht="12.8" hidden="false" customHeight="false" outlineLevel="0" collapsed="false">
      <c r="A36" s="189" t="s">
        <v>474</v>
      </c>
      <c r="B36" s="211"/>
      <c r="C36" s="212"/>
      <c r="D36" s="212"/>
      <c r="E36" s="212"/>
      <c r="F36" s="207" t="n">
        <v>198</v>
      </c>
      <c r="G36" s="207" t="n">
        <v>198</v>
      </c>
      <c r="H36" s="207" t="n">
        <v>198</v>
      </c>
      <c r="I36" s="212"/>
      <c r="J36" s="207" t="n">
        <v>198</v>
      </c>
      <c r="K36" s="207" t="n">
        <v>197.54</v>
      </c>
      <c r="L36" s="212"/>
      <c r="M36" s="208" t="n">
        <v>197.75</v>
      </c>
      <c r="N36" s="209" t="n">
        <v>1187.29</v>
      </c>
    </row>
    <row r="37" customFormat="false" ht="12.8" hidden="false" customHeight="false" outlineLevel="0" collapsed="false">
      <c r="A37" s="189" t="s">
        <v>608</v>
      </c>
      <c r="B37" s="211"/>
      <c r="C37" s="212"/>
      <c r="D37" s="212"/>
      <c r="E37" s="212"/>
      <c r="F37" s="212"/>
      <c r="G37" s="212"/>
      <c r="H37" s="207" t="n">
        <v>0</v>
      </c>
      <c r="I37" s="212"/>
      <c r="J37" s="212"/>
      <c r="K37" s="212"/>
      <c r="L37" s="212"/>
      <c r="M37" s="213"/>
      <c r="N37" s="209" t="n">
        <v>0</v>
      </c>
    </row>
    <row r="38" customFormat="false" ht="12.8" hidden="false" customHeight="false" outlineLevel="0" collapsed="false">
      <c r="A38" s="189" t="s">
        <v>35</v>
      </c>
      <c r="B38" s="211"/>
      <c r="C38" s="212"/>
      <c r="D38" s="212"/>
      <c r="E38" s="212"/>
      <c r="F38" s="207" t="n">
        <v>5000</v>
      </c>
      <c r="G38" s="207" t="n">
        <v>3000</v>
      </c>
      <c r="H38" s="207" t="n">
        <v>3000</v>
      </c>
      <c r="I38" s="207" t="n">
        <v>2700</v>
      </c>
      <c r="J38" s="207" t="n">
        <v>2000</v>
      </c>
      <c r="K38" s="212"/>
      <c r="L38" s="207" t="n">
        <v>1000</v>
      </c>
      <c r="M38" s="208" t="n">
        <v>7000</v>
      </c>
      <c r="N38" s="209" t="n">
        <v>23700</v>
      </c>
    </row>
    <row r="39" customFormat="false" ht="12.8" hidden="false" customHeight="false" outlineLevel="0" collapsed="false">
      <c r="A39" s="189" t="s">
        <v>651</v>
      </c>
      <c r="B39" s="211"/>
      <c r="C39" s="212"/>
      <c r="D39" s="212"/>
      <c r="E39" s="212"/>
      <c r="F39" s="212"/>
      <c r="G39" s="212"/>
      <c r="H39" s="212"/>
      <c r="I39" s="207" t="n">
        <v>12</v>
      </c>
      <c r="J39" s="212"/>
      <c r="K39" s="212"/>
      <c r="L39" s="212"/>
      <c r="M39" s="213"/>
      <c r="N39" s="209" t="n">
        <v>12</v>
      </c>
    </row>
    <row r="40" customFormat="false" ht="12.8" hidden="false" customHeight="false" outlineLevel="0" collapsed="false">
      <c r="A40" s="189" t="s">
        <v>316</v>
      </c>
      <c r="B40" s="211"/>
      <c r="C40" s="212"/>
      <c r="D40" s="207" t="n">
        <v>45.5</v>
      </c>
      <c r="E40" s="212"/>
      <c r="F40" s="207" t="n">
        <v>23.5</v>
      </c>
      <c r="G40" s="207" t="n">
        <v>22</v>
      </c>
      <c r="H40" s="207" t="n">
        <v>88.8</v>
      </c>
      <c r="I40" s="207" t="n">
        <v>191</v>
      </c>
      <c r="J40" s="207" t="n">
        <v>167</v>
      </c>
      <c r="K40" s="207" t="n">
        <v>115.8</v>
      </c>
      <c r="L40" s="207" t="n">
        <v>199.5</v>
      </c>
      <c r="M40" s="208" t="n">
        <v>175</v>
      </c>
      <c r="N40" s="209" t="n">
        <v>1028.1</v>
      </c>
    </row>
    <row r="41" customFormat="false" ht="12.8" hidden="false" customHeight="false" outlineLevel="0" collapsed="false">
      <c r="A41" s="189" t="s">
        <v>640</v>
      </c>
      <c r="B41" s="211"/>
      <c r="C41" s="212"/>
      <c r="D41" s="212"/>
      <c r="E41" s="212"/>
      <c r="F41" s="212"/>
      <c r="G41" s="212"/>
      <c r="H41" s="212"/>
      <c r="I41" s="207" t="n">
        <v>75.06</v>
      </c>
      <c r="J41" s="212"/>
      <c r="K41" s="212"/>
      <c r="L41" s="212"/>
      <c r="M41" s="213"/>
      <c r="N41" s="209" t="n">
        <v>75.06</v>
      </c>
    </row>
    <row r="42" customFormat="false" ht="12.8" hidden="false" customHeight="false" outlineLevel="0" collapsed="false">
      <c r="A42" s="189" t="s">
        <v>527</v>
      </c>
      <c r="B42" s="211"/>
      <c r="C42" s="212"/>
      <c r="D42" s="212"/>
      <c r="E42" s="212"/>
      <c r="F42" s="212"/>
      <c r="G42" s="207" t="n">
        <v>31.61</v>
      </c>
      <c r="H42" s="212"/>
      <c r="I42" s="212"/>
      <c r="J42" s="212"/>
      <c r="K42" s="212"/>
      <c r="L42" s="212"/>
      <c r="M42" s="213"/>
      <c r="N42" s="209" t="n">
        <v>31.61</v>
      </c>
    </row>
    <row r="43" customFormat="false" ht="12.8" hidden="false" customHeight="false" outlineLevel="0" collapsed="false">
      <c r="A43" s="189" t="s">
        <v>631</v>
      </c>
      <c r="B43" s="211"/>
      <c r="C43" s="212"/>
      <c r="D43" s="212"/>
      <c r="E43" s="212"/>
      <c r="F43" s="212"/>
      <c r="G43" s="212"/>
      <c r="H43" s="212"/>
      <c r="I43" s="207" t="n">
        <v>400</v>
      </c>
      <c r="J43" s="212"/>
      <c r="K43" s="212"/>
      <c r="L43" s="212"/>
      <c r="M43" s="213"/>
      <c r="N43" s="209" t="n">
        <v>400</v>
      </c>
    </row>
    <row r="44" customFormat="false" ht="12.8" hidden="false" customHeight="false" outlineLevel="0" collapsed="false">
      <c r="A44" s="189" t="s">
        <v>558</v>
      </c>
      <c r="B44" s="211"/>
      <c r="C44" s="212"/>
      <c r="D44" s="212"/>
      <c r="E44" s="212"/>
      <c r="F44" s="212"/>
      <c r="G44" s="212"/>
      <c r="H44" s="207" t="n">
        <v>400</v>
      </c>
      <c r="I44" s="212"/>
      <c r="J44" s="212"/>
      <c r="K44" s="212"/>
      <c r="L44" s="212"/>
      <c r="M44" s="213"/>
      <c r="N44" s="209" t="n">
        <v>400</v>
      </c>
    </row>
    <row r="45" customFormat="false" ht="12.8" hidden="false" customHeight="false" outlineLevel="0" collapsed="false">
      <c r="A45" s="189" t="s">
        <v>685</v>
      </c>
      <c r="B45" s="211"/>
      <c r="C45" s="212"/>
      <c r="D45" s="212"/>
      <c r="E45" s="212"/>
      <c r="F45" s="212"/>
      <c r="G45" s="212"/>
      <c r="H45" s="212"/>
      <c r="I45" s="212"/>
      <c r="J45" s="207" t="n">
        <v>700</v>
      </c>
      <c r="K45" s="212"/>
      <c r="L45" s="212"/>
      <c r="M45" s="213"/>
      <c r="N45" s="209" t="n">
        <v>700</v>
      </c>
    </row>
    <row r="46" customFormat="false" ht="12.8" hidden="false" customHeight="false" outlineLevel="0" collapsed="false">
      <c r="A46" s="189" t="s">
        <v>724</v>
      </c>
      <c r="B46" s="211"/>
      <c r="C46" s="212"/>
      <c r="D46" s="212"/>
      <c r="E46" s="212"/>
      <c r="F46" s="212"/>
      <c r="G46" s="212"/>
      <c r="H46" s="212"/>
      <c r="I46" s="212"/>
      <c r="J46" s="212"/>
      <c r="K46" s="207" t="n">
        <v>0</v>
      </c>
      <c r="L46" s="212"/>
      <c r="M46" s="213"/>
      <c r="N46" s="209" t="n">
        <v>0</v>
      </c>
    </row>
    <row r="47" customFormat="false" ht="12.8" hidden="false" customHeight="false" outlineLevel="0" collapsed="false">
      <c r="A47" s="189" t="s">
        <v>744</v>
      </c>
      <c r="B47" s="211"/>
      <c r="C47" s="212"/>
      <c r="D47" s="212"/>
      <c r="E47" s="212"/>
      <c r="F47" s="212"/>
      <c r="G47" s="212"/>
      <c r="H47" s="212"/>
      <c r="I47" s="212"/>
      <c r="J47" s="212"/>
      <c r="K47" s="207" t="n">
        <v>5</v>
      </c>
      <c r="L47" s="212"/>
      <c r="M47" s="213"/>
      <c r="N47" s="209" t="n">
        <v>5</v>
      </c>
    </row>
    <row r="48" customFormat="false" ht="12.8" hidden="false" customHeight="false" outlineLevel="0" collapsed="false">
      <c r="A48" s="189" t="s">
        <v>42</v>
      </c>
      <c r="B48" s="211"/>
      <c r="C48" s="212"/>
      <c r="D48" s="212"/>
      <c r="E48" s="212"/>
      <c r="F48" s="212"/>
      <c r="G48" s="212"/>
      <c r="H48" s="212"/>
      <c r="I48" s="212"/>
      <c r="J48" s="212"/>
      <c r="K48" s="207" t="n">
        <v>0</v>
      </c>
      <c r="L48" s="212"/>
      <c r="M48" s="213"/>
      <c r="N48" s="209" t="n">
        <v>0</v>
      </c>
    </row>
    <row r="49" customFormat="false" ht="12.8" hidden="false" customHeight="false" outlineLevel="0" collapsed="false">
      <c r="A49" s="189" t="s">
        <v>59</v>
      </c>
      <c r="B49" s="206" t="n">
        <v>115</v>
      </c>
      <c r="C49" s="212"/>
      <c r="D49" s="212"/>
      <c r="E49" s="212"/>
      <c r="F49" s="212"/>
      <c r="G49" s="212"/>
      <c r="H49" s="212"/>
      <c r="I49" s="212"/>
      <c r="J49" s="212"/>
      <c r="K49" s="212"/>
      <c r="L49" s="207" t="n">
        <v>60</v>
      </c>
      <c r="M49" s="213"/>
      <c r="N49" s="209" t="n">
        <v>175</v>
      </c>
    </row>
    <row r="50" customFormat="false" ht="12.8" hidden="false" customHeight="false" outlineLevel="0" collapsed="false">
      <c r="A50" s="189" t="s">
        <v>757</v>
      </c>
      <c r="B50" s="211"/>
      <c r="C50" s="212"/>
      <c r="D50" s="212"/>
      <c r="E50" s="212"/>
      <c r="F50" s="212"/>
      <c r="G50" s="212"/>
      <c r="H50" s="212"/>
      <c r="I50" s="212"/>
      <c r="J50" s="212"/>
      <c r="K50" s="212"/>
      <c r="L50" s="207" t="n">
        <v>41</v>
      </c>
      <c r="M50" s="208" t="n">
        <v>65</v>
      </c>
      <c r="N50" s="209" t="n">
        <v>106</v>
      </c>
    </row>
    <row r="51" customFormat="false" ht="12.8" hidden="false" customHeight="false" outlineLevel="0" collapsed="false">
      <c r="A51" s="189" t="s">
        <v>810</v>
      </c>
      <c r="B51" s="211"/>
      <c r="C51" s="212"/>
      <c r="D51" s="212"/>
      <c r="E51" s="212"/>
      <c r="F51" s="212"/>
      <c r="G51" s="212"/>
      <c r="H51" s="212"/>
      <c r="I51" s="212"/>
      <c r="J51" s="212"/>
      <c r="K51" s="212"/>
      <c r="L51" s="207" t="n">
        <v>9</v>
      </c>
      <c r="M51" s="213"/>
      <c r="N51" s="209" t="n">
        <v>9</v>
      </c>
    </row>
    <row r="52" customFormat="false" ht="12.8" hidden="false" customHeight="false" outlineLevel="0" collapsed="false">
      <c r="A52" s="189" t="s">
        <v>749</v>
      </c>
      <c r="B52" s="211"/>
      <c r="C52" s="212"/>
      <c r="D52" s="212"/>
      <c r="E52" s="212"/>
      <c r="F52" s="212"/>
      <c r="G52" s="212"/>
      <c r="H52" s="212"/>
      <c r="I52" s="212"/>
      <c r="J52" s="212"/>
      <c r="K52" s="207" t="n">
        <v>125</v>
      </c>
      <c r="L52" s="212"/>
      <c r="M52" s="208" t="n">
        <v>261</v>
      </c>
      <c r="N52" s="209" t="n">
        <v>386</v>
      </c>
    </row>
    <row r="53" customFormat="false" ht="12.8" hidden="false" customHeight="false" outlineLevel="0" collapsed="false">
      <c r="A53" s="189" t="s">
        <v>45</v>
      </c>
      <c r="B53" s="211"/>
      <c r="C53" s="212"/>
      <c r="D53" s="212"/>
      <c r="E53" s="212"/>
      <c r="F53" s="212"/>
      <c r="G53" s="212"/>
      <c r="H53" s="212"/>
      <c r="I53" s="212"/>
      <c r="J53" s="212"/>
      <c r="K53" s="212"/>
      <c r="L53" s="207" t="n">
        <v>0</v>
      </c>
      <c r="M53" s="213"/>
      <c r="N53" s="209" t="n">
        <v>0</v>
      </c>
    </row>
    <row r="54" customFormat="false" ht="12.8" hidden="false" customHeight="false" outlineLevel="0" collapsed="false">
      <c r="A54" s="189" t="s">
        <v>504</v>
      </c>
      <c r="B54" s="211"/>
      <c r="C54" s="212"/>
      <c r="D54" s="212"/>
      <c r="E54" s="212"/>
      <c r="F54" s="212"/>
      <c r="G54" s="207" t="n">
        <v>55</v>
      </c>
      <c r="H54" s="212"/>
      <c r="I54" s="212"/>
      <c r="J54" s="212"/>
      <c r="K54" s="212"/>
      <c r="L54" s="207" t="n">
        <v>40</v>
      </c>
      <c r="M54" s="213"/>
      <c r="N54" s="209" t="n">
        <v>95</v>
      </c>
    </row>
    <row r="55" customFormat="false" ht="12.8" hidden="false" customHeight="false" outlineLevel="0" collapsed="false">
      <c r="A55" s="189" t="s">
        <v>824</v>
      </c>
      <c r="B55" s="211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208" t="n">
        <v>340.99</v>
      </c>
      <c r="N55" s="209" t="n">
        <v>340.99</v>
      </c>
    </row>
    <row r="56" customFormat="false" ht="12.8" hidden="false" customHeight="false" outlineLevel="0" collapsed="false">
      <c r="A56" s="189" t="s">
        <v>532</v>
      </c>
      <c r="B56" s="211"/>
      <c r="C56" s="212"/>
      <c r="D56" s="212"/>
      <c r="E56" s="212"/>
      <c r="F56" s="212"/>
      <c r="G56" s="207" t="n">
        <v>10</v>
      </c>
      <c r="H56" s="207" t="n">
        <v>10</v>
      </c>
      <c r="I56" s="207" t="n">
        <v>20</v>
      </c>
      <c r="J56" s="207" t="n">
        <v>10</v>
      </c>
      <c r="K56" s="207" t="n">
        <v>20</v>
      </c>
      <c r="L56" s="207" t="n">
        <v>32</v>
      </c>
      <c r="M56" s="208" t="n">
        <v>31</v>
      </c>
      <c r="N56" s="209" t="n">
        <v>133</v>
      </c>
    </row>
    <row r="57" customFormat="false" ht="12.8" hidden="false" customHeight="false" outlineLevel="0" collapsed="false">
      <c r="A57" s="189" t="s">
        <v>832</v>
      </c>
      <c r="B57" s="211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08" t="n">
        <v>422</v>
      </c>
      <c r="N57" s="209" t="n">
        <v>422</v>
      </c>
    </row>
    <row r="58" customFormat="false" ht="12.8" hidden="false" customHeight="false" outlineLevel="0" collapsed="false">
      <c r="A58" s="189" t="s">
        <v>829</v>
      </c>
      <c r="B58" s="211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208" t="n">
        <v>88</v>
      </c>
      <c r="N58" s="209" t="n">
        <v>88</v>
      </c>
    </row>
    <row r="59" customFormat="false" ht="12.8" hidden="false" customHeight="false" outlineLevel="0" collapsed="false">
      <c r="A59" s="189" t="s">
        <v>853</v>
      </c>
      <c r="B59" s="211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208" t="n">
        <v>100.8</v>
      </c>
      <c r="N59" s="209" t="n">
        <v>100.8</v>
      </c>
    </row>
    <row r="60" customFormat="false" ht="12.8" hidden="false" customHeight="false" outlineLevel="0" collapsed="false">
      <c r="A60" s="189" t="s">
        <v>813</v>
      </c>
      <c r="B60" s="211"/>
      <c r="C60" s="212"/>
      <c r="D60" s="212"/>
      <c r="E60" s="212"/>
      <c r="F60" s="212"/>
      <c r="G60" s="212"/>
      <c r="H60" s="212"/>
      <c r="I60" s="212"/>
      <c r="J60" s="212"/>
      <c r="K60" s="212"/>
      <c r="L60" s="207" t="n">
        <v>500</v>
      </c>
      <c r="M60" s="213"/>
      <c r="N60" s="209" t="n">
        <v>500</v>
      </c>
    </row>
    <row r="61" customFormat="false" ht="12.8" hidden="false" customHeight="false" outlineLevel="0" collapsed="false">
      <c r="A61" s="189" t="s">
        <v>862</v>
      </c>
      <c r="B61" s="211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208" t="n">
        <v>693.7</v>
      </c>
      <c r="N61" s="209" t="n">
        <v>693.7</v>
      </c>
    </row>
    <row r="62" customFormat="false" ht="12.8" hidden="false" customHeight="false" outlineLevel="0" collapsed="false">
      <c r="A62" s="189" t="s">
        <v>871</v>
      </c>
      <c r="B62" s="211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08" t="n">
        <v>35</v>
      </c>
      <c r="N62" s="209" t="n">
        <v>35</v>
      </c>
    </row>
    <row r="63" customFormat="false" ht="12.8" hidden="false" customHeight="false" outlineLevel="0" collapsed="false">
      <c r="A63" s="189" t="s">
        <v>856</v>
      </c>
      <c r="B63" s="211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08" t="n">
        <v>150</v>
      </c>
      <c r="N63" s="209" t="n">
        <v>150</v>
      </c>
    </row>
    <row r="64" customFormat="false" ht="12.8" hidden="false" customHeight="false" outlineLevel="0" collapsed="false">
      <c r="A64" s="189" t="s">
        <v>850</v>
      </c>
      <c r="B64" s="211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208" t="n">
        <v>48</v>
      </c>
      <c r="N64" s="209" t="n">
        <v>48</v>
      </c>
    </row>
    <row r="65" customFormat="false" ht="12.8" hidden="false" customHeight="false" outlineLevel="0" collapsed="false">
      <c r="A65" s="189" t="s">
        <v>845</v>
      </c>
      <c r="B65" s="211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208" t="n">
        <v>130</v>
      </c>
      <c r="N65" s="209" t="n">
        <v>130</v>
      </c>
    </row>
    <row r="66" customFormat="false" ht="12.8" hidden="false" customHeight="false" outlineLevel="0" collapsed="false">
      <c r="A66" s="189" t="s">
        <v>842</v>
      </c>
      <c r="B66" s="211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208" t="n">
        <v>30</v>
      </c>
      <c r="N66" s="209" t="n">
        <v>30</v>
      </c>
    </row>
    <row r="67" customFormat="false" ht="12.8" hidden="false" customHeight="false" outlineLevel="0" collapsed="false">
      <c r="A67" s="189" t="s">
        <v>883</v>
      </c>
      <c r="B67" s="211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08" t="n">
        <v>500</v>
      </c>
      <c r="N67" s="209" t="n">
        <v>500</v>
      </c>
    </row>
    <row r="68" customFormat="false" ht="12.8" hidden="false" customHeight="false" outlineLevel="0" collapsed="false">
      <c r="A68" s="189" t="s">
        <v>888</v>
      </c>
      <c r="B68" s="211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208" t="n">
        <v>1477.7</v>
      </c>
      <c r="N68" s="209" t="n">
        <v>1477.7</v>
      </c>
    </row>
    <row r="69" customFormat="false" ht="12.8" hidden="false" customHeight="false" outlineLevel="0" collapsed="false">
      <c r="A69" s="189" t="s">
        <v>880</v>
      </c>
      <c r="B69" s="214"/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6" t="n">
        <v>257.25</v>
      </c>
      <c r="N69" s="217" t="n">
        <v>257.25</v>
      </c>
    </row>
    <row r="70" customFormat="false" ht="12.8" hidden="false" customHeight="false" outlineLevel="0" collapsed="false">
      <c r="A70" s="218" t="s">
        <v>892</v>
      </c>
      <c r="B70" s="219" t="n">
        <v>11064.29</v>
      </c>
      <c r="C70" s="220" t="n">
        <v>7298.54</v>
      </c>
      <c r="D70" s="220" t="n">
        <v>9650.76</v>
      </c>
      <c r="E70" s="220" t="n">
        <v>9396.31</v>
      </c>
      <c r="F70" s="220" t="n">
        <v>12676.38</v>
      </c>
      <c r="G70" s="220" t="n">
        <v>14246.21</v>
      </c>
      <c r="H70" s="220" t="n">
        <v>10985.86</v>
      </c>
      <c r="I70" s="220" t="n">
        <v>10339.25</v>
      </c>
      <c r="J70" s="220" t="n">
        <v>8454.64</v>
      </c>
      <c r="K70" s="220" t="n">
        <v>8313.97</v>
      </c>
      <c r="L70" s="220" t="n">
        <v>8603.27</v>
      </c>
      <c r="M70" s="221" t="n">
        <v>19936.52</v>
      </c>
      <c r="N70" s="222" t="n">
        <v>130966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48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G47" activeCellId="0" sqref="G47"/>
    </sheetView>
  </sheetViews>
  <sheetFormatPr defaultRowHeight="12.8" zeroHeight="false" outlineLevelRow="0" outlineLevelCol="0"/>
  <cols>
    <col collapsed="false" customWidth="true" hidden="false" outlineLevel="0" max="1" min="1" style="0" width="19.9"/>
    <col collapsed="false" customWidth="false" hidden="false" outlineLevel="0" max="6" min="2" style="0" width="11.52"/>
    <col collapsed="false" customWidth="true" hidden="false" outlineLevel="0" max="7" min="7" style="0" width="17.06"/>
    <col collapsed="false" customWidth="true" hidden="false" outlineLevel="0" max="8" min="8" style="0" width="16.56"/>
    <col collapsed="false" customWidth="false" hidden="false" outlineLevel="0" max="1025" min="9" style="0" width="11.52"/>
  </cols>
  <sheetData>
    <row r="1" customFormat="false" ht="12.8" hidden="false" customHeight="false" outlineLevel="0" collapsed="false">
      <c r="A1" s="53" t="s">
        <v>897</v>
      </c>
      <c r="B1" s="187" t="s">
        <v>50</v>
      </c>
      <c r="C1" s="55" t="s">
        <v>7</v>
      </c>
      <c r="D1" s="56" t="s">
        <v>898</v>
      </c>
      <c r="E1" s="54" t="s">
        <v>899</v>
      </c>
      <c r="F1" s="57" t="s">
        <v>900</v>
      </c>
      <c r="G1" s="58" t="s">
        <v>901</v>
      </c>
      <c r="H1" s="187" t="s">
        <v>902</v>
      </c>
    </row>
    <row r="2" customFormat="false" ht="12.8" hidden="false" customHeight="false" outlineLevel="0" collapsed="false">
      <c r="A2" s="70" t="s">
        <v>903</v>
      </c>
      <c r="B2" s="223" t="n">
        <v>44018</v>
      </c>
      <c r="C2" s="70" t="n">
        <v>500</v>
      </c>
      <c r="D2" s="223" t="n">
        <v>44013</v>
      </c>
      <c r="E2" s="70" t="s">
        <v>904</v>
      </c>
      <c r="F2" s="70"/>
      <c r="G2" s="70"/>
      <c r="H2" s="70"/>
    </row>
    <row r="3" customFormat="false" ht="12.8" hidden="false" customHeight="false" outlineLevel="0" collapsed="false">
      <c r="A3" s="70" t="s">
        <v>905</v>
      </c>
      <c r="B3" s="223" t="n">
        <v>44018</v>
      </c>
      <c r="C3" s="70" t="n">
        <v>90</v>
      </c>
      <c r="D3" s="223" t="n">
        <v>44013</v>
      </c>
      <c r="E3" s="70" t="s">
        <v>904</v>
      </c>
      <c r="F3" s="70"/>
      <c r="G3" s="70"/>
      <c r="H3" s="70"/>
    </row>
    <row r="4" customFormat="false" ht="12.8" hidden="false" customHeight="false" outlineLevel="0" collapsed="false">
      <c r="A4" s="70" t="s">
        <v>905</v>
      </c>
      <c r="B4" s="223" t="n">
        <v>44018</v>
      </c>
      <c r="C4" s="70" t="n">
        <v>60</v>
      </c>
      <c r="D4" s="223" t="n">
        <v>44013</v>
      </c>
      <c r="E4" s="70" t="s">
        <v>904</v>
      </c>
      <c r="F4" s="70"/>
      <c r="G4" s="70"/>
      <c r="H4" s="70"/>
    </row>
    <row r="5" customFormat="false" ht="12.8" hidden="false" customHeight="false" outlineLevel="0" collapsed="false">
      <c r="A5" s="70" t="s">
        <v>181</v>
      </c>
      <c r="B5" s="223" t="n">
        <v>44018</v>
      </c>
      <c r="C5" s="70" t="n">
        <v>0</v>
      </c>
      <c r="D5" s="223" t="n">
        <v>44013</v>
      </c>
      <c r="E5" s="70"/>
      <c r="F5" s="70"/>
      <c r="G5" s="70"/>
      <c r="H5" s="70"/>
    </row>
    <row r="6" customFormat="false" ht="12.8" hidden="false" customHeight="false" outlineLevel="0" collapsed="false">
      <c r="A6" s="70" t="s">
        <v>474</v>
      </c>
      <c r="B6" s="223" t="n">
        <v>44018</v>
      </c>
      <c r="C6" s="70" t="n">
        <v>180</v>
      </c>
      <c r="D6" s="223" t="n">
        <v>44013</v>
      </c>
      <c r="E6" s="70" t="s">
        <v>904</v>
      </c>
      <c r="F6" s="70"/>
      <c r="G6" s="70"/>
      <c r="H6" s="70"/>
    </row>
    <row r="7" customFormat="false" ht="12.8" hidden="false" customHeight="false" outlineLevel="0" collapsed="false">
      <c r="A7" s="70" t="s">
        <v>906</v>
      </c>
      <c r="B7" s="223" t="n">
        <v>44018</v>
      </c>
      <c r="C7" s="70" t="n">
        <v>360</v>
      </c>
      <c r="D7" s="223" t="n">
        <v>44013</v>
      </c>
      <c r="E7" s="70" t="s">
        <v>904</v>
      </c>
      <c r="F7" s="70"/>
      <c r="G7" s="70"/>
      <c r="H7" s="70"/>
    </row>
    <row r="8" customFormat="false" ht="12.8" hidden="false" customHeight="false" outlineLevel="0" collapsed="false">
      <c r="A8" s="99" t="s">
        <v>907</v>
      </c>
      <c r="B8" s="224" t="n">
        <v>44044</v>
      </c>
      <c r="C8" s="99" t="n">
        <v>0</v>
      </c>
      <c r="D8" s="224" t="n">
        <v>44044</v>
      </c>
      <c r="E8" s="225"/>
      <c r="F8" s="225"/>
      <c r="G8" s="225"/>
      <c r="H8" s="225"/>
    </row>
    <row r="9" customFormat="false" ht="12.8" hidden="false" customHeight="false" outlineLevel="0" collapsed="false">
      <c r="A9" s="99" t="s">
        <v>908</v>
      </c>
      <c r="B9" s="224" t="n">
        <v>44044</v>
      </c>
      <c r="C9" s="99" t="n">
        <v>0</v>
      </c>
      <c r="D9" s="224" t="n">
        <v>44044</v>
      </c>
      <c r="E9" s="225"/>
      <c r="F9" s="225"/>
      <c r="G9" s="225"/>
      <c r="H9" s="225"/>
    </row>
    <row r="10" customFormat="false" ht="12.8" hidden="false" customHeight="false" outlineLevel="0" collapsed="false">
      <c r="A10" s="99" t="s">
        <v>903</v>
      </c>
      <c r="B10" s="224" t="n">
        <v>44044</v>
      </c>
      <c r="C10" s="99" t="n">
        <v>542.9</v>
      </c>
      <c r="D10" s="224" t="n">
        <v>44044</v>
      </c>
      <c r="E10" s="225" t="s">
        <v>904</v>
      </c>
      <c r="F10" s="225"/>
      <c r="G10" s="225"/>
      <c r="H10" s="225"/>
    </row>
    <row r="11" customFormat="false" ht="12.8" hidden="false" customHeight="false" outlineLevel="0" collapsed="false">
      <c r="A11" s="99" t="s">
        <v>905</v>
      </c>
      <c r="B11" s="224" t="n">
        <v>44044</v>
      </c>
      <c r="C11" s="99" t="n">
        <v>90</v>
      </c>
      <c r="D11" s="224" t="n">
        <v>44044</v>
      </c>
      <c r="E11" s="225" t="s">
        <v>904</v>
      </c>
      <c r="F11" s="225"/>
      <c r="G11" s="225"/>
      <c r="H11" s="225"/>
    </row>
    <row r="12" customFormat="false" ht="12.8" hidden="false" customHeight="false" outlineLevel="0" collapsed="false">
      <c r="A12" s="99" t="s">
        <v>905</v>
      </c>
      <c r="B12" s="224" t="n">
        <v>44044</v>
      </c>
      <c r="C12" s="99" t="n">
        <v>60</v>
      </c>
      <c r="D12" s="224" t="n">
        <v>44044</v>
      </c>
      <c r="E12" s="225" t="s">
        <v>904</v>
      </c>
      <c r="F12" s="225"/>
      <c r="G12" s="225"/>
      <c r="H12" s="225"/>
    </row>
    <row r="13" customFormat="false" ht="12.8" hidden="false" customHeight="false" outlineLevel="0" collapsed="false">
      <c r="A13" s="99" t="s">
        <v>909</v>
      </c>
      <c r="B13" s="224" t="n">
        <v>44044</v>
      </c>
      <c r="C13" s="99" t="n">
        <v>283</v>
      </c>
      <c r="D13" s="224" t="n">
        <v>44044</v>
      </c>
      <c r="E13" s="225" t="s">
        <v>904</v>
      </c>
      <c r="F13" s="225"/>
      <c r="G13" s="225"/>
      <c r="H13" s="225"/>
    </row>
    <row r="14" customFormat="false" ht="12.8" hidden="false" customHeight="false" outlineLevel="0" collapsed="false">
      <c r="A14" s="99" t="s">
        <v>181</v>
      </c>
      <c r="B14" s="224" t="n">
        <v>44044</v>
      </c>
      <c r="C14" s="99" t="n">
        <v>0</v>
      </c>
      <c r="D14" s="224" t="n">
        <v>44044</v>
      </c>
      <c r="E14" s="225"/>
      <c r="F14" s="225"/>
      <c r="G14" s="225"/>
      <c r="H14" s="225"/>
    </row>
    <row r="15" customFormat="false" ht="12.8" hidden="false" customHeight="false" outlineLevel="0" collapsed="false">
      <c r="A15" s="99" t="s">
        <v>474</v>
      </c>
      <c r="B15" s="224" t="n">
        <v>44044</v>
      </c>
      <c r="C15" s="99" t="n">
        <v>180</v>
      </c>
      <c r="D15" s="224" t="n">
        <v>44044</v>
      </c>
      <c r="E15" s="225" t="s">
        <v>904</v>
      </c>
      <c r="F15" s="225"/>
      <c r="G15" s="225"/>
      <c r="H15" s="225"/>
    </row>
    <row r="16" customFormat="false" ht="12.8" hidden="false" customHeight="false" outlineLevel="0" collapsed="false">
      <c r="A16" s="70" t="s">
        <v>908</v>
      </c>
      <c r="B16" s="223" t="n">
        <v>44075</v>
      </c>
      <c r="C16" s="70" t="n">
        <v>0</v>
      </c>
      <c r="D16" s="223" t="n">
        <v>44075</v>
      </c>
      <c r="E16" s="70"/>
      <c r="F16" s="70"/>
      <c r="G16" s="70"/>
      <c r="H16" s="70"/>
    </row>
    <row r="17" customFormat="false" ht="12.8" hidden="false" customHeight="false" outlineLevel="0" collapsed="false">
      <c r="A17" s="70" t="s">
        <v>903</v>
      </c>
      <c r="B17" s="223" t="n">
        <v>44075</v>
      </c>
      <c r="C17" s="70" t="n">
        <v>549.13</v>
      </c>
      <c r="D17" s="223" t="n">
        <v>44075</v>
      </c>
      <c r="E17" s="70" t="s">
        <v>910</v>
      </c>
      <c r="F17" s="70"/>
      <c r="G17" s="70"/>
      <c r="H17" s="70"/>
    </row>
    <row r="18" customFormat="false" ht="12.8" hidden="false" customHeight="false" outlineLevel="0" collapsed="false">
      <c r="A18" s="70" t="s">
        <v>905</v>
      </c>
      <c r="B18" s="223" t="n">
        <v>44075</v>
      </c>
      <c r="C18" s="70" t="n">
        <v>90</v>
      </c>
      <c r="D18" s="223" t="n">
        <v>44075</v>
      </c>
      <c r="E18" s="70" t="s">
        <v>910</v>
      </c>
      <c r="F18" s="70"/>
      <c r="G18" s="70"/>
      <c r="H18" s="70"/>
    </row>
    <row r="19" customFormat="false" ht="12.8" hidden="false" customHeight="false" outlineLevel="0" collapsed="false">
      <c r="A19" s="70" t="s">
        <v>905</v>
      </c>
      <c r="B19" s="223" t="n">
        <v>44075</v>
      </c>
      <c r="C19" s="70" t="n">
        <v>60</v>
      </c>
      <c r="D19" s="223" t="n">
        <v>44075</v>
      </c>
      <c r="E19" s="70" t="s">
        <v>910</v>
      </c>
      <c r="F19" s="70"/>
      <c r="G19" s="70"/>
      <c r="H19" s="70"/>
    </row>
    <row r="20" customFormat="false" ht="12.8" hidden="false" customHeight="false" outlineLevel="0" collapsed="false">
      <c r="A20" s="70" t="s">
        <v>181</v>
      </c>
      <c r="B20" s="223" t="n">
        <v>44075</v>
      </c>
      <c r="C20" s="70" t="n">
        <v>170</v>
      </c>
      <c r="D20" s="223" t="n">
        <v>44075</v>
      </c>
      <c r="E20" s="70" t="s">
        <v>910</v>
      </c>
      <c r="F20" s="70"/>
      <c r="G20" s="70"/>
      <c r="H20" s="70"/>
    </row>
    <row r="21" customFormat="false" ht="12.8" hidden="false" customHeight="false" outlineLevel="0" collapsed="false">
      <c r="A21" s="70" t="s">
        <v>474</v>
      </c>
      <c r="B21" s="223" t="n">
        <v>44075</v>
      </c>
      <c r="C21" s="70" t="n">
        <v>197.54</v>
      </c>
      <c r="D21" s="223" t="n">
        <v>44075</v>
      </c>
      <c r="E21" s="70" t="s">
        <v>910</v>
      </c>
      <c r="F21" s="70"/>
      <c r="G21" s="70"/>
      <c r="H21" s="70"/>
    </row>
    <row r="22" customFormat="false" ht="12.8" hidden="false" customHeight="false" outlineLevel="0" collapsed="false">
      <c r="A22" s="99" t="s">
        <v>908</v>
      </c>
      <c r="B22" s="224" t="n">
        <v>44105</v>
      </c>
      <c r="C22" s="99" t="n">
        <v>0</v>
      </c>
      <c r="D22" s="224" t="n">
        <v>44105</v>
      </c>
      <c r="E22" s="225"/>
      <c r="F22" s="225"/>
      <c r="G22" s="225"/>
      <c r="H22" s="225"/>
    </row>
    <row r="23" customFormat="false" ht="12.8" hidden="false" customHeight="false" outlineLevel="0" collapsed="false">
      <c r="A23" s="99" t="s">
        <v>903</v>
      </c>
      <c r="B23" s="224" t="n">
        <v>44105</v>
      </c>
      <c r="C23" s="99" t="n">
        <v>550</v>
      </c>
      <c r="D23" s="224" t="n">
        <v>44105</v>
      </c>
      <c r="E23" s="225" t="s">
        <v>910</v>
      </c>
      <c r="F23" s="225"/>
      <c r="G23" s="225"/>
      <c r="H23" s="225"/>
    </row>
    <row r="24" customFormat="false" ht="12.8" hidden="false" customHeight="false" outlineLevel="0" collapsed="false">
      <c r="A24" s="99" t="s">
        <v>905</v>
      </c>
      <c r="B24" s="224" t="n">
        <v>44105</v>
      </c>
      <c r="C24" s="99" t="n">
        <v>90</v>
      </c>
      <c r="D24" s="224" t="n">
        <v>44105</v>
      </c>
      <c r="E24" s="225" t="s">
        <v>910</v>
      </c>
      <c r="F24" s="225"/>
      <c r="G24" s="225"/>
      <c r="H24" s="225"/>
    </row>
    <row r="25" customFormat="false" ht="12.8" hidden="false" customHeight="false" outlineLevel="0" collapsed="false">
      <c r="A25" s="99" t="s">
        <v>905</v>
      </c>
      <c r="B25" s="224" t="n">
        <v>44105</v>
      </c>
      <c r="C25" s="99" t="n">
        <v>60</v>
      </c>
      <c r="D25" s="224" t="n">
        <v>44105</v>
      </c>
      <c r="E25" s="225" t="s">
        <v>910</v>
      </c>
      <c r="F25" s="225"/>
      <c r="G25" s="225"/>
      <c r="H25" s="225"/>
    </row>
    <row r="26" customFormat="false" ht="12.8" hidden="false" customHeight="false" outlineLevel="0" collapsed="false">
      <c r="A26" s="99" t="s">
        <v>181</v>
      </c>
      <c r="B26" s="224" t="n">
        <v>44105</v>
      </c>
      <c r="C26" s="99" t="n">
        <v>170</v>
      </c>
      <c r="D26" s="224" t="n">
        <v>44105</v>
      </c>
      <c r="E26" s="225" t="s">
        <v>910</v>
      </c>
      <c r="F26" s="225"/>
      <c r="G26" s="225"/>
      <c r="H26" s="225"/>
    </row>
    <row r="27" customFormat="false" ht="12.8" hidden="false" customHeight="false" outlineLevel="0" collapsed="false">
      <c r="A27" s="99" t="s">
        <v>474</v>
      </c>
      <c r="B27" s="224" t="n">
        <v>44105</v>
      </c>
      <c r="C27" s="99" t="n">
        <v>197.54</v>
      </c>
      <c r="D27" s="224" t="n">
        <v>44105</v>
      </c>
      <c r="E27" s="225" t="s">
        <v>910</v>
      </c>
      <c r="F27" s="225"/>
      <c r="G27" s="225"/>
      <c r="H27" s="225"/>
    </row>
    <row r="28" customFormat="false" ht="12.8" hidden="false" customHeight="false" outlineLevel="0" collapsed="false">
      <c r="A28" s="99" t="s">
        <v>67</v>
      </c>
      <c r="B28" s="224" t="n">
        <v>44105</v>
      </c>
      <c r="C28" s="99" t="n">
        <v>83.51</v>
      </c>
      <c r="D28" s="224" t="n">
        <v>44105</v>
      </c>
      <c r="E28" s="225" t="s">
        <v>910</v>
      </c>
      <c r="F28" s="225"/>
      <c r="G28" s="225"/>
      <c r="H28" s="225"/>
    </row>
    <row r="29" customFormat="false" ht="12.8" hidden="false" customHeight="false" outlineLevel="0" collapsed="false">
      <c r="A29" s="226" t="s">
        <v>911</v>
      </c>
      <c r="B29" s="227" t="n">
        <v>44105</v>
      </c>
      <c r="C29" s="226" t="n">
        <v>2522</v>
      </c>
      <c r="D29" s="227" t="n">
        <v>44105</v>
      </c>
      <c r="E29" s="226" t="s">
        <v>910</v>
      </c>
      <c r="F29" s="226" t="n">
        <f aca="false">'16112020'!K53</f>
        <v>2858.38</v>
      </c>
      <c r="G29" s="226" t="n">
        <f aca="false">((F29*100)/C29)-100</f>
        <v>13.3378271213323</v>
      </c>
      <c r="H29" s="226"/>
    </row>
    <row r="30" customFormat="false" ht="12.8" hidden="false" customHeight="false" outlineLevel="0" collapsed="false">
      <c r="A30" s="99" t="s">
        <v>130</v>
      </c>
      <c r="B30" s="224" t="n">
        <v>44105</v>
      </c>
      <c r="C30" s="99" t="n">
        <v>75</v>
      </c>
      <c r="D30" s="224" t="n">
        <v>44105</v>
      </c>
      <c r="E30" s="225" t="s">
        <v>910</v>
      </c>
      <c r="F30" s="225"/>
      <c r="G30" s="225"/>
      <c r="H30" s="225"/>
    </row>
    <row r="31" customFormat="false" ht="12.8" hidden="false" customHeight="false" outlineLevel="0" collapsed="false">
      <c r="A31" s="70" t="s">
        <v>908</v>
      </c>
      <c r="B31" s="223" t="n">
        <v>44136</v>
      </c>
      <c r="C31" s="70" t="n">
        <v>0</v>
      </c>
      <c r="D31" s="223" t="n">
        <v>44136</v>
      </c>
      <c r="E31" s="70"/>
      <c r="F31" s="70"/>
      <c r="G31" s="70"/>
      <c r="H31" s="70"/>
    </row>
    <row r="32" customFormat="false" ht="13.8" hidden="false" customHeight="false" outlineLevel="0" collapsed="false">
      <c r="A32" s="70" t="s">
        <v>903</v>
      </c>
      <c r="B32" s="223" t="n">
        <v>44136</v>
      </c>
      <c r="C32" s="228" t="n">
        <v>566.82</v>
      </c>
      <c r="D32" s="223" t="n">
        <v>44136</v>
      </c>
      <c r="E32" s="70" t="s">
        <v>910</v>
      </c>
      <c r="F32" s="70"/>
      <c r="G32" s="70"/>
      <c r="H32" s="70"/>
    </row>
    <row r="33" customFormat="false" ht="12.8" hidden="false" customHeight="false" outlineLevel="0" collapsed="false">
      <c r="A33" s="70" t="s">
        <v>905</v>
      </c>
      <c r="B33" s="223" t="n">
        <v>44136</v>
      </c>
      <c r="C33" s="70" t="n">
        <v>290</v>
      </c>
      <c r="D33" s="223" t="n">
        <v>44136</v>
      </c>
      <c r="E33" s="70" t="s">
        <v>910</v>
      </c>
      <c r="F33" s="70"/>
      <c r="G33" s="70"/>
      <c r="H33" s="70"/>
    </row>
    <row r="34" customFormat="false" ht="12.8" hidden="false" customHeight="false" outlineLevel="0" collapsed="false">
      <c r="A34" s="70" t="s">
        <v>905</v>
      </c>
      <c r="B34" s="223" t="n">
        <v>44136</v>
      </c>
      <c r="C34" s="70" t="n">
        <v>60.23</v>
      </c>
      <c r="D34" s="223" t="n">
        <v>44136</v>
      </c>
      <c r="E34" s="70" t="s">
        <v>910</v>
      </c>
      <c r="F34" s="70"/>
      <c r="G34" s="70"/>
      <c r="H34" s="70"/>
    </row>
    <row r="35" customFormat="false" ht="12.8" hidden="false" customHeight="false" outlineLevel="0" collapsed="false">
      <c r="A35" s="70" t="s">
        <v>181</v>
      </c>
      <c r="B35" s="223" t="n">
        <v>44136</v>
      </c>
      <c r="C35" s="70" t="n">
        <v>170</v>
      </c>
      <c r="D35" s="223" t="n">
        <v>44136</v>
      </c>
      <c r="E35" s="70" t="s">
        <v>910</v>
      </c>
      <c r="F35" s="70"/>
      <c r="G35" s="70"/>
      <c r="H35" s="70"/>
    </row>
    <row r="36" customFormat="false" ht="12.8" hidden="false" customHeight="false" outlineLevel="0" collapsed="false">
      <c r="A36" s="70" t="s">
        <v>474</v>
      </c>
      <c r="B36" s="223" t="n">
        <v>44136</v>
      </c>
      <c r="C36" s="70" t="n">
        <v>198.13</v>
      </c>
      <c r="D36" s="223" t="n">
        <v>44136</v>
      </c>
      <c r="E36" s="70" t="s">
        <v>910</v>
      </c>
      <c r="F36" s="70"/>
      <c r="G36" s="70"/>
      <c r="H36" s="70"/>
    </row>
    <row r="37" customFormat="false" ht="12.8" hidden="false" customHeight="false" outlineLevel="0" collapsed="false">
      <c r="A37" s="70" t="s">
        <v>67</v>
      </c>
      <c r="B37" s="223" t="n">
        <v>44136</v>
      </c>
      <c r="C37" s="70" t="n">
        <v>83.51</v>
      </c>
      <c r="D37" s="223" t="n">
        <v>44136</v>
      </c>
      <c r="E37" s="70" t="s">
        <v>910</v>
      </c>
      <c r="F37" s="70"/>
      <c r="G37" s="70"/>
      <c r="H37" s="70"/>
    </row>
    <row r="38" customFormat="false" ht="12.8" hidden="false" customHeight="false" outlineLevel="0" collapsed="false">
      <c r="A38" s="229" t="s">
        <v>912</v>
      </c>
      <c r="B38" s="230" t="n">
        <v>44136</v>
      </c>
      <c r="C38" s="229" t="n">
        <v>1900</v>
      </c>
      <c r="D38" s="230" t="n">
        <v>44136</v>
      </c>
      <c r="E38" s="229" t="s">
        <v>910</v>
      </c>
      <c r="F38" s="229" t="n">
        <f aca="false">'16112020'!L53</f>
        <v>2081.96</v>
      </c>
      <c r="G38" s="229" t="n">
        <f aca="false">((I38*100)/C38)</f>
        <v>9.57684210526316</v>
      </c>
      <c r="H38" s="230" t="n">
        <v>44151</v>
      </c>
      <c r="I38" s="0" t="n">
        <f aca="false">F38-C38</f>
        <v>181.96</v>
      </c>
    </row>
    <row r="39" customFormat="false" ht="12.8" hidden="false" customHeight="false" outlineLevel="0" collapsed="false">
      <c r="A39" s="229" t="s">
        <v>913</v>
      </c>
      <c r="B39" s="230" t="n">
        <v>44136</v>
      </c>
      <c r="C39" s="229" t="n">
        <v>600</v>
      </c>
      <c r="D39" s="230" t="n">
        <v>44136</v>
      </c>
      <c r="E39" s="229" t="s">
        <v>910</v>
      </c>
      <c r="F39" s="229" t="n">
        <f aca="false">'16112020'!O53</f>
        <v>726.67</v>
      </c>
      <c r="G39" s="229" t="n">
        <f aca="false">((I39*100)/C39)</f>
        <v>21.1116666666667</v>
      </c>
      <c r="H39" s="230" t="n">
        <v>44165</v>
      </c>
      <c r="I39" s="0" t="n">
        <f aca="false">F39-C39</f>
        <v>126.67</v>
      </c>
    </row>
    <row r="40" customFormat="false" ht="12.8" hidden="false" customHeight="false" outlineLevel="0" collapsed="false">
      <c r="A40" s="70" t="s">
        <v>914</v>
      </c>
      <c r="B40" s="223" t="n">
        <v>44136</v>
      </c>
      <c r="C40" s="70" t="n">
        <v>0</v>
      </c>
      <c r="D40" s="223" t="n">
        <v>44136</v>
      </c>
      <c r="E40" s="70"/>
      <c r="F40" s="70"/>
      <c r="G40" s="70"/>
      <c r="H40" s="70"/>
    </row>
    <row r="41" customFormat="false" ht="12.8" hidden="false" customHeight="false" outlineLevel="0" collapsed="false">
      <c r="A41" s="99" t="s">
        <v>908</v>
      </c>
      <c r="B41" s="224" t="n">
        <v>44166</v>
      </c>
      <c r="C41" s="99" t="n">
        <v>0</v>
      </c>
      <c r="D41" s="224" t="n">
        <v>44166</v>
      </c>
      <c r="E41" s="225"/>
      <c r="F41" s="225"/>
      <c r="G41" s="225"/>
      <c r="H41" s="225"/>
    </row>
    <row r="42" customFormat="false" ht="12.8" hidden="false" customHeight="false" outlineLevel="0" collapsed="false">
      <c r="A42" s="99" t="s">
        <v>903</v>
      </c>
      <c r="B42" s="224" t="n">
        <v>44166</v>
      </c>
      <c r="C42" s="99" t="n">
        <v>567.76</v>
      </c>
      <c r="D42" s="224" t="n">
        <v>44166</v>
      </c>
      <c r="E42" s="225" t="s">
        <v>910</v>
      </c>
      <c r="F42" s="225"/>
      <c r="G42" s="225"/>
      <c r="H42" s="225"/>
    </row>
    <row r="43" customFormat="false" ht="12.8" hidden="false" customHeight="false" outlineLevel="0" collapsed="false">
      <c r="A43" s="99" t="s">
        <v>905</v>
      </c>
      <c r="B43" s="224" t="n">
        <v>44166</v>
      </c>
      <c r="C43" s="225" t="n">
        <v>51</v>
      </c>
      <c r="D43" s="224" t="n">
        <v>44166</v>
      </c>
      <c r="E43" s="225" t="s">
        <v>910</v>
      </c>
      <c r="F43" s="225"/>
      <c r="G43" s="225"/>
      <c r="H43" s="225"/>
    </row>
    <row r="44" customFormat="false" ht="12.8" hidden="false" customHeight="false" outlineLevel="0" collapsed="false">
      <c r="A44" s="99" t="s">
        <v>905</v>
      </c>
      <c r="B44" s="224" t="n">
        <v>44166</v>
      </c>
      <c r="C44" s="225" t="n">
        <v>85</v>
      </c>
      <c r="D44" s="224" t="n">
        <v>44166</v>
      </c>
      <c r="E44" s="225" t="s">
        <v>910</v>
      </c>
      <c r="F44" s="225"/>
      <c r="G44" s="225"/>
      <c r="H44" s="225"/>
    </row>
    <row r="45" customFormat="false" ht="12.8" hidden="false" customHeight="false" outlineLevel="0" collapsed="false">
      <c r="A45" s="99" t="s">
        <v>181</v>
      </c>
      <c r="B45" s="224" t="n">
        <v>44166</v>
      </c>
      <c r="C45" s="99" t="n">
        <v>170</v>
      </c>
      <c r="D45" s="224" t="n">
        <v>44166</v>
      </c>
      <c r="E45" s="225"/>
      <c r="F45" s="225"/>
      <c r="G45" s="225"/>
      <c r="H45" s="225"/>
    </row>
    <row r="46" customFormat="false" ht="12.8" hidden="false" customHeight="false" outlineLevel="0" collapsed="false">
      <c r="A46" s="99" t="s">
        <v>474</v>
      </c>
      <c r="B46" s="224" t="n">
        <v>44166</v>
      </c>
      <c r="C46" s="99" t="n">
        <v>197.54</v>
      </c>
      <c r="D46" s="224" t="n">
        <v>44166</v>
      </c>
      <c r="E46" s="225" t="s">
        <v>904</v>
      </c>
      <c r="F46" s="225"/>
      <c r="G46" s="225"/>
      <c r="H46" s="225"/>
    </row>
    <row r="47" customFormat="false" ht="12.8" hidden="false" customHeight="false" outlineLevel="0" collapsed="false">
      <c r="A47" s="229" t="s">
        <v>912</v>
      </c>
      <c r="B47" s="230" t="n">
        <v>44136</v>
      </c>
      <c r="C47" s="229" t="n">
        <v>1000</v>
      </c>
      <c r="D47" s="230" t="n">
        <v>44166</v>
      </c>
      <c r="E47" s="229" t="s">
        <v>904</v>
      </c>
      <c r="F47" s="229" t="n">
        <f aca="false">'07122020'!M70</f>
        <v>669.04</v>
      </c>
      <c r="G47" s="229" t="n">
        <f aca="false">((I47*100)/C47)</f>
        <v>-33.096</v>
      </c>
      <c r="H47" s="230" t="n">
        <v>44180</v>
      </c>
      <c r="I47" s="0" t="n">
        <f aca="false">F47-C47</f>
        <v>-330.96</v>
      </c>
    </row>
    <row r="48" customFormat="false" ht="12.8" hidden="false" customHeight="false" outlineLevel="0" collapsed="false">
      <c r="A48" s="229" t="s">
        <v>913</v>
      </c>
      <c r="B48" s="230" t="n">
        <v>44136</v>
      </c>
      <c r="C48" s="229" t="n">
        <v>1000</v>
      </c>
      <c r="D48" s="230" t="n">
        <v>44166</v>
      </c>
      <c r="E48" s="229" t="s">
        <v>904</v>
      </c>
      <c r="F48" s="229" t="n">
        <f aca="false">'07122020'!P70</f>
        <v>4821.2</v>
      </c>
      <c r="G48" s="229" t="n">
        <f aca="false">((F48*100)/C48)-100</f>
        <v>382.12</v>
      </c>
      <c r="H48" s="230" t="n">
        <v>44188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true">
    <pageSetUpPr fitToPage="false"/>
  </sheetPr>
  <dimension ref="A1:O511"/>
  <sheetViews>
    <sheetView showFormulas="false" showGridLines="true" showRowColHeaders="true" showZeros="true" rightToLeft="false" tabSelected="false" showOutlineSymbols="true" defaultGridColor="true" view="normal" topLeftCell="A474" colorId="64" zoomScale="84" zoomScaleNormal="84" zoomScalePageLayoutView="100" workbookViewId="0">
      <selection pane="topLeft" activeCell="A454" activeCellId="0" sqref="A454"/>
    </sheetView>
  </sheetViews>
  <sheetFormatPr defaultRowHeight="12.8" zeroHeight="false" outlineLevelRow="0" outlineLevelCol="0"/>
  <cols>
    <col collapsed="false" customWidth="true" hidden="false" outlineLevel="0" max="1" min="1" style="231" width="12.96"/>
    <col collapsed="false" customWidth="true" hidden="false" outlineLevel="0" max="2" min="2" style="232" width="38.76"/>
    <col collapsed="false" customWidth="true" hidden="false" outlineLevel="0" max="3" min="3" style="8" width="21.29"/>
    <col collapsed="false" customWidth="true" hidden="false" outlineLevel="0" max="4" min="4" style="233" width="16.41"/>
    <col collapsed="false" customWidth="true" hidden="false" outlineLevel="0" max="5" min="5" style="0" width="15.29"/>
    <col collapsed="false" customWidth="true" hidden="false" outlineLevel="0" max="6" min="6" style="233" width="22.86"/>
    <col collapsed="false" customWidth="true" hidden="false" outlineLevel="0" max="7" min="7" style="0" width="11.3"/>
    <col collapsed="false" customWidth="true" hidden="false" outlineLevel="0" max="8" min="8" style="0" width="18.58"/>
    <col collapsed="false" customWidth="true" hidden="false" outlineLevel="0" max="9" min="9" style="0" width="9.85"/>
    <col collapsed="false" customWidth="true" hidden="false" outlineLevel="0" max="10" min="10" style="0" width="18.58"/>
    <col collapsed="false" customWidth="true" hidden="false" outlineLevel="0" max="1022" min="11" style="0" width="9.85"/>
    <col collapsed="false" customWidth="false" hidden="false" outlineLevel="0" max="1025" min="1023" style="0" width="11.52"/>
  </cols>
  <sheetData>
    <row r="1" customFormat="false" ht="15" hidden="false" customHeight="false" outlineLevel="0" collapsed="false">
      <c r="A1" s="234" t="s">
        <v>50</v>
      </c>
      <c r="B1" s="235" t="s">
        <v>51</v>
      </c>
      <c r="C1" s="236" t="s">
        <v>7</v>
      </c>
      <c r="D1" s="237" t="s">
        <v>56</v>
      </c>
      <c r="E1" s="98"/>
      <c r="F1" s="238"/>
      <c r="G1" s="98"/>
      <c r="I1" s="239"/>
      <c r="O1" s="1"/>
    </row>
    <row r="2" customFormat="false" ht="15" hidden="false" customHeight="false" outlineLevel="0" collapsed="false">
      <c r="A2" s="240" t="n">
        <v>43718</v>
      </c>
      <c r="B2" s="241" t="s">
        <v>915</v>
      </c>
      <c r="C2" s="242" t="n">
        <v>206.65</v>
      </c>
      <c r="D2" s="243" t="n">
        <v>43831</v>
      </c>
      <c r="F2" s="244"/>
    </row>
    <row r="3" customFormat="false" ht="15" hidden="false" customHeight="false" outlineLevel="0" collapsed="false">
      <c r="A3" s="240" t="n">
        <v>43806</v>
      </c>
      <c r="B3" s="241" t="s">
        <v>916</v>
      </c>
      <c r="C3" s="242" t="n">
        <v>380.87</v>
      </c>
      <c r="D3" s="243" t="n">
        <v>43831</v>
      </c>
      <c r="F3" s="244"/>
    </row>
    <row r="4" customFormat="false" ht="15" hidden="false" customHeight="false" outlineLevel="0" collapsed="false">
      <c r="A4" s="240" t="n">
        <v>43806</v>
      </c>
      <c r="B4" s="241" t="s">
        <v>917</v>
      </c>
      <c r="C4" s="242" t="n">
        <v>15</v>
      </c>
      <c r="D4" s="243" t="n">
        <v>43831</v>
      </c>
      <c r="F4" s="244"/>
    </row>
    <row r="5" customFormat="false" ht="15" hidden="false" customHeight="false" outlineLevel="0" collapsed="false">
      <c r="A5" s="240" t="n">
        <v>43808</v>
      </c>
      <c r="B5" s="241" t="s">
        <v>918</v>
      </c>
      <c r="C5" s="242" t="n">
        <v>83.98</v>
      </c>
      <c r="D5" s="243" t="n">
        <v>43831</v>
      </c>
      <c r="F5" s="244"/>
    </row>
    <row r="6" customFormat="false" ht="15" hidden="false" customHeight="false" outlineLevel="0" collapsed="false">
      <c r="A6" s="240" t="n">
        <v>43808</v>
      </c>
      <c r="B6" s="241" t="s">
        <v>919</v>
      </c>
      <c r="C6" s="242" t="n">
        <v>4</v>
      </c>
      <c r="D6" s="243" t="n">
        <v>43831</v>
      </c>
      <c r="F6" s="244"/>
    </row>
    <row r="7" customFormat="false" ht="15" hidden="false" customHeight="false" outlineLevel="0" collapsed="false">
      <c r="A7" s="240" t="n">
        <v>43808</v>
      </c>
      <c r="B7" s="241" t="s">
        <v>919</v>
      </c>
      <c r="C7" s="242" t="n">
        <v>1</v>
      </c>
      <c r="D7" s="243" t="n">
        <v>43831</v>
      </c>
      <c r="F7" s="244"/>
    </row>
    <row r="8" customFormat="false" ht="15" hidden="false" customHeight="false" outlineLevel="0" collapsed="false">
      <c r="A8" s="240" t="n">
        <v>43808</v>
      </c>
      <c r="B8" s="241" t="s">
        <v>920</v>
      </c>
      <c r="C8" s="242" t="n">
        <v>85</v>
      </c>
      <c r="D8" s="243" t="n">
        <v>43831</v>
      </c>
    </row>
    <row r="9" customFormat="false" ht="15" hidden="false" customHeight="false" outlineLevel="0" collapsed="false">
      <c r="A9" s="240" t="n">
        <v>43809</v>
      </c>
      <c r="B9" s="241" t="s">
        <v>921</v>
      </c>
      <c r="C9" s="242" t="n">
        <v>8</v>
      </c>
      <c r="D9" s="243" t="n">
        <v>43831</v>
      </c>
    </row>
    <row r="10" customFormat="false" ht="15" hidden="false" customHeight="false" outlineLevel="0" collapsed="false">
      <c r="A10" s="240" t="n">
        <v>43809</v>
      </c>
      <c r="B10" s="241" t="s">
        <v>922</v>
      </c>
      <c r="C10" s="242" t="n">
        <v>9.98</v>
      </c>
      <c r="D10" s="243" t="n">
        <v>43831</v>
      </c>
    </row>
    <row r="11" customFormat="false" ht="15" hidden="false" customHeight="false" outlineLevel="0" collapsed="false">
      <c r="A11" s="240" t="n">
        <v>43811</v>
      </c>
      <c r="B11" s="241" t="s">
        <v>923</v>
      </c>
      <c r="C11" s="242" t="n">
        <v>21.59</v>
      </c>
      <c r="D11" s="243" t="n">
        <v>43831</v>
      </c>
    </row>
    <row r="12" customFormat="false" ht="15" hidden="false" customHeight="false" outlineLevel="0" collapsed="false">
      <c r="A12" s="240" t="n">
        <v>43811</v>
      </c>
      <c r="B12" s="241" t="s">
        <v>923</v>
      </c>
      <c r="C12" s="242" t="n">
        <v>3.71</v>
      </c>
      <c r="D12" s="243" t="n">
        <v>43831</v>
      </c>
    </row>
    <row r="13" customFormat="false" ht="15" hidden="false" customHeight="false" outlineLevel="0" collapsed="false">
      <c r="A13" s="240" t="n">
        <v>43812</v>
      </c>
      <c r="B13" s="241" t="s">
        <v>924</v>
      </c>
      <c r="C13" s="242" t="n">
        <v>35</v>
      </c>
      <c r="D13" s="243" t="n">
        <v>43831</v>
      </c>
    </row>
    <row r="14" customFormat="false" ht="15" hidden="false" customHeight="false" outlineLevel="0" collapsed="false">
      <c r="A14" s="240" t="n">
        <v>43815</v>
      </c>
      <c r="B14" s="241" t="s">
        <v>925</v>
      </c>
      <c r="C14" s="242" t="n">
        <v>8.48</v>
      </c>
      <c r="D14" s="243" t="n">
        <v>43831</v>
      </c>
    </row>
    <row r="15" customFormat="false" ht="15" hidden="false" customHeight="false" outlineLevel="0" collapsed="false">
      <c r="A15" s="240" t="n">
        <v>43815</v>
      </c>
      <c r="B15" s="241" t="s">
        <v>926</v>
      </c>
      <c r="C15" s="242" t="n">
        <v>2.5</v>
      </c>
      <c r="D15" s="243" t="n">
        <v>43831</v>
      </c>
    </row>
    <row r="16" customFormat="false" ht="15" hidden="false" customHeight="false" outlineLevel="0" collapsed="false">
      <c r="A16" s="240" t="n">
        <v>43815</v>
      </c>
      <c r="B16" s="241" t="s">
        <v>927</v>
      </c>
      <c r="C16" s="242" t="n">
        <v>4.5</v>
      </c>
      <c r="D16" s="243" t="n">
        <v>43831</v>
      </c>
    </row>
    <row r="17" customFormat="false" ht="15" hidden="false" customHeight="false" outlineLevel="0" collapsed="false">
      <c r="A17" s="240" t="n">
        <v>43815</v>
      </c>
      <c r="B17" s="241" t="s">
        <v>928</v>
      </c>
      <c r="C17" s="242" t="n">
        <v>21</v>
      </c>
      <c r="D17" s="243" t="n">
        <v>43831</v>
      </c>
    </row>
    <row r="18" customFormat="false" ht="15" hidden="false" customHeight="false" outlineLevel="0" collapsed="false">
      <c r="A18" s="240" t="n">
        <v>43815</v>
      </c>
      <c r="B18" s="241" t="s">
        <v>929</v>
      </c>
      <c r="C18" s="242" t="n">
        <v>8.59</v>
      </c>
      <c r="D18" s="243" t="n">
        <v>43831</v>
      </c>
    </row>
    <row r="19" customFormat="false" ht="15" hidden="false" customHeight="false" outlineLevel="0" collapsed="false">
      <c r="A19" s="240" t="n">
        <v>43815</v>
      </c>
      <c r="B19" s="241" t="s">
        <v>930</v>
      </c>
      <c r="C19" s="242" t="n">
        <v>20.83</v>
      </c>
      <c r="D19" s="243" t="n">
        <v>43831</v>
      </c>
    </row>
    <row r="20" customFormat="false" ht="15" hidden="false" customHeight="false" outlineLevel="0" collapsed="false">
      <c r="A20" s="240" t="n">
        <v>43816</v>
      </c>
      <c r="B20" s="241" t="s">
        <v>929</v>
      </c>
      <c r="C20" s="242" t="n">
        <v>2.99</v>
      </c>
      <c r="D20" s="243" t="n">
        <v>43831</v>
      </c>
    </row>
    <row r="21" customFormat="false" ht="15" hidden="false" customHeight="false" outlineLevel="0" collapsed="false">
      <c r="A21" s="240" t="n">
        <v>43818</v>
      </c>
      <c r="B21" s="241" t="s">
        <v>931</v>
      </c>
      <c r="C21" s="242" t="n">
        <v>16.9</v>
      </c>
      <c r="D21" s="243" t="n">
        <v>43831</v>
      </c>
    </row>
    <row r="22" customFormat="false" ht="15" hidden="false" customHeight="false" outlineLevel="0" collapsed="false">
      <c r="A22" s="240" t="n">
        <v>43818</v>
      </c>
      <c r="B22" s="241" t="s">
        <v>932</v>
      </c>
      <c r="C22" s="242" t="n">
        <v>11.9</v>
      </c>
      <c r="D22" s="243" t="n">
        <v>43831</v>
      </c>
    </row>
    <row r="23" customFormat="false" ht="15" hidden="false" customHeight="false" outlineLevel="0" collapsed="false">
      <c r="A23" s="240" t="n">
        <v>43818</v>
      </c>
      <c r="B23" s="241" t="s">
        <v>927</v>
      </c>
      <c r="C23" s="242" t="n">
        <v>4.5</v>
      </c>
      <c r="D23" s="243" t="n">
        <v>43831</v>
      </c>
    </row>
    <row r="24" customFormat="false" ht="15" hidden="false" customHeight="false" outlineLevel="0" collapsed="false">
      <c r="A24" s="240" t="n">
        <v>43818</v>
      </c>
      <c r="B24" s="241" t="s">
        <v>926</v>
      </c>
      <c r="C24" s="242" t="n">
        <v>37.4</v>
      </c>
      <c r="D24" s="243" t="n">
        <v>43831</v>
      </c>
    </row>
    <row r="25" customFormat="false" ht="15" hidden="false" customHeight="false" outlineLevel="0" collapsed="false">
      <c r="A25" s="240" t="n">
        <v>43818</v>
      </c>
      <c r="B25" s="241" t="s">
        <v>933</v>
      </c>
      <c r="C25" s="242" t="n">
        <v>4</v>
      </c>
      <c r="D25" s="243" t="n">
        <v>43831</v>
      </c>
    </row>
    <row r="26" customFormat="false" ht="15" hidden="false" customHeight="false" outlineLevel="0" collapsed="false">
      <c r="A26" s="240" t="n">
        <v>43820</v>
      </c>
      <c r="B26" s="241" t="s">
        <v>934</v>
      </c>
      <c r="C26" s="242" t="n">
        <v>49.99</v>
      </c>
      <c r="D26" s="243" t="n">
        <v>43831</v>
      </c>
    </row>
    <row r="27" customFormat="false" ht="15" hidden="false" customHeight="false" outlineLevel="0" collapsed="false">
      <c r="A27" s="240" t="n">
        <v>43820</v>
      </c>
      <c r="B27" s="241" t="s">
        <v>935</v>
      </c>
      <c r="C27" s="242" t="n">
        <v>79.98</v>
      </c>
      <c r="D27" s="243" t="n">
        <v>43831</v>
      </c>
    </row>
    <row r="28" customFormat="false" ht="15" hidden="false" customHeight="false" outlineLevel="0" collapsed="false">
      <c r="A28" s="240" t="n">
        <v>43820</v>
      </c>
      <c r="B28" s="241" t="s">
        <v>936</v>
      </c>
      <c r="C28" s="242" t="n">
        <v>15.5</v>
      </c>
      <c r="D28" s="243" t="n">
        <v>43831</v>
      </c>
    </row>
    <row r="29" customFormat="false" ht="15" hidden="false" customHeight="false" outlineLevel="0" collapsed="false">
      <c r="A29" s="240" t="n">
        <v>43821</v>
      </c>
      <c r="B29" s="241" t="s">
        <v>937</v>
      </c>
      <c r="C29" s="242" t="n">
        <v>375.32</v>
      </c>
      <c r="D29" s="243" t="n">
        <v>43831</v>
      </c>
    </row>
    <row r="30" customFormat="false" ht="15" hidden="false" customHeight="false" outlineLevel="0" collapsed="false">
      <c r="A30" s="240" t="n">
        <v>43821</v>
      </c>
      <c r="B30" s="241" t="s">
        <v>937</v>
      </c>
      <c r="C30" s="242" t="n">
        <v>161.7</v>
      </c>
      <c r="D30" s="243" t="n">
        <v>43831</v>
      </c>
    </row>
    <row r="31" customFormat="false" ht="15" hidden="false" customHeight="false" outlineLevel="0" collapsed="false">
      <c r="A31" s="240" t="n">
        <v>43821</v>
      </c>
      <c r="B31" s="241" t="s">
        <v>916</v>
      </c>
      <c r="C31" s="242" t="n">
        <v>104.8</v>
      </c>
      <c r="D31" s="243" t="n">
        <v>43831</v>
      </c>
    </row>
    <row r="32" customFormat="false" ht="15" hidden="false" customHeight="false" outlineLevel="0" collapsed="false">
      <c r="A32" s="240" t="n">
        <v>43821</v>
      </c>
      <c r="B32" s="241" t="s">
        <v>916</v>
      </c>
      <c r="C32" s="242" t="n">
        <v>547.68</v>
      </c>
      <c r="D32" s="243" t="n">
        <v>43831</v>
      </c>
    </row>
    <row r="33" customFormat="false" ht="15" hidden="false" customHeight="false" outlineLevel="0" collapsed="false">
      <c r="A33" s="240" t="n">
        <v>43821</v>
      </c>
      <c r="B33" s="241" t="s">
        <v>938</v>
      </c>
      <c r="C33" s="242" t="n">
        <v>19.79</v>
      </c>
      <c r="D33" s="243" t="n">
        <v>43831</v>
      </c>
    </row>
    <row r="34" customFormat="false" ht="15" hidden="false" customHeight="false" outlineLevel="0" collapsed="false">
      <c r="A34" s="240" t="n">
        <v>43821</v>
      </c>
      <c r="B34" s="241" t="s">
        <v>939</v>
      </c>
      <c r="C34" s="242" t="n">
        <v>220.06</v>
      </c>
      <c r="D34" s="243" t="n">
        <v>43831</v>
      </c>
    </row>
    <row r="35" customFormat="false" ht="15" hidden="false" customHeight="false" outlineLevel="0" collapsed="false">
      <c r="A35" s="240" t="n">
        <v>43824</v>
      </c>
      <c r="B35" s="241" t="s">
        <v>940</v>
      </c>
      <c r="C35" s="242" t="n">
        <v>58.21</v>
      </c>
      <c r="D35" s="243" t="n">
        <v>43831</v>
      </c>
    </row>
    <row r="36" customFormat="false" ht="15" hidden="false" customHeight="false" outlineLevel="0" collapsed="false">
      <c r="A36" s="240" t="n">
        <v>43826</v>
      </c>
      <c r="B36" s="241" t="s">
        <v>940</v>
      </c>
      <c r="C36" s="242" t="n">
        <v>19.99</v>
      </c>
      <c r="D36" s="243" t="n">
        <v>43831</v>
      </c>
    </row>
    <row r="37" customFormat="false" ht="15" hidden="false" customHeight="false" outlineLevel="0" collapsed="false">
      <c r="A37" s="240" t="n">
        <v>43827</v>
      </c>
      <c r="B37" s="241" t="s">
        <v>941</v>
      </c>
      <c r="C37" s="242" t="n">
        <v>30</v>
      </c>
      <c r="D37" s="243" t="n">
        <v>43831</v>
      </c>
    </row>
    <row r="38" customFormat="false" ht="15" hidden="false" customHeight="false" outlineLevel="0" collapsed="false">
      <c r="A38" s="240" t="n">
        <v>43827</v>
      </c>
      <c r="B38" s="241" t="s">
        <v>942</v>
      </c>
      <c r="C38" s="242" t="n">
        <v>14.76</v>
      </c>
      <c r="D38" s="243" t="n">
        <v>43831</v>
      </c>
    </row>
    <row r="39" customFormat="false" ht="15" hidden="false" customHeight="false" outlineLevel="0" collapsed="false">
      <c r="A39" s="240" t="n">
        <v>43829</v>
      </c>
      <c r="B39" s="241" t="s">
        <v>916</v>
      </c>
      <c r="C39" s="242" t="n">
        <v>244.94</v>
      </c>
      <c r="D39" s="243" t="n">
        <v>43831</v>
      </c>
    </row>
    <row r="40" customFormat="false" ht="15" hidden="false" customHeight="false" outlineLevel="0" collapsed="false">
      <c r="A40" s="240" t="n">
        <v>43829</v>
      </c>
      <c r="B40" s="241" t="s">
        <v>943</v>
      </c>
      <c r="C40" s="242" t="n">
        <v>205.04</v>
      </c>
      <c r="D40" s="243" t="n">
        <v>43831</v>
      </c>
    </row>
    <row r="41" customFormat="false" ht="15" hidden="false" customHeight="false" outlineLevel="0" collapsed="false">
      <c r="A41" s="240" t="n">
        <v>43832</v>
      </c>
      <c r="B41" s="241" t="s">
        <v>944</v>
      </c>
      <c r="C41" s="242" t="n">
        <v>35</v>
      </c>
      <c r="D41" s="243" t="n">
        <v>43831</v>
      </c>
    </row>
    <row r="42" customFormat="false" ht="15" hidden="false" customHeight="false" outlineLevel="0" collapsed="false">
      <c r="A42" s="240" t="n">
        <v>43832</v>
      </c>
      <c r="B42" s="241" t="s">
        <v>945</v>
      </c>
      <c r="C42" s="242" t="n">
        <v>118.31</v>
      </c>
      <c r="D42" s="243" t="n">
        <v>43831</v>
      </c>
    </row>
    <row r="43" customFormat="false" ht="15" hidden="false" customHeight="false" outlineLevel="0" collapsed="false">
      <c r="A43" s="240" t="n">
        <v>43832</v>
      </c>
      <c r="B43" s="241" t="s">
        <v>946</v>
      </c>
      <c r="C43" s="242" t="n">
        <v>179.94</v>
      </c>
      <c r="D43" s="243" t="n">
        <v>43831</v>
      </c>
    </row>
    <row r="44" customFormat="false" ht="15" hidden="false" customHeight="false" outlineLevel="0" collapsed="false">
      <c r="A44" s="240" t="n">
        <v>43834</v>
      </c>
      <c r="B44" s="241" t="s">
        <v>947</v>
      </c>
      <c r="C44" s="242" t="n">
        <v>50</v>
      </c>
      <c r="D44" s="243" t="n">
        <v>43831</v>
      </c>
    </row>
    <row r="45" customFormat="false" ht="15" hidden="false" customHeight="false" outlineLevel="0" collapsed="false">
      <c r="A45" s="240" t="n">
        <v>44090</v>
      </c>
      <c r="B45" s="241" t="s">
        <v>948</v>
      </c>
      <c r="C45" s="245" t="n">
        <v>489.19</v>
      </c>
      <c r="D45" s="243" t="n">
        <v>43831</v>
      </c>
    </row>
    <row r="46" customFormat="false" ht="15" hidden="false" customHeight="false" outlineLevel="0" collapsed="false">
      <c r="A46" s="240" t="n">
        <v>43808</v>
      </c>
      <c r="B46" s="241" t="s">
        <v>949</v>
      </c>
      <c r="C46" s="242" t="n">
        <v>85</v>
      </c>
      <c r="D46" s="243" t="n">
        <v>43862</v>
      </c>
    </row>
    <row r="47" customFormat="false" ht="15" hidden="false" customHeight="false" outlineLevel="0" collapsed="false">
      <c r="A47" s="240" t="n">
        <v>43832</v>
      </c>
      <c r="B47" s="241" t="s">
        <v>950</v>
      </c>
      <c r="C47" s="242" t="n">
        <v>118.31</v>
      </c>
      <c r="D47" s="243" t="n">
        <v>43862</v>
      </c>
    </row>
    <row r="48" customFormat="false" ht="15" hidden="false" customHeight="false" outlineLevel="0" collapsed="false">
      <c r="A48" s="240" t="n">
        <v>43832</v>
      </c>
      <c r="B48" s="241" t="s">
        <v>951</v>
      </c>
      <c r="C48" s="242" t="n">
        <v>179.94</v>
      </c>
      <c r="D48" s="243" t="n">
        <v>43862</v>
      </c>
    </row>
    <row r="49" customFormat="false" ht="15" hidden="false" customHeight="false" outlineLevel="0" collapsed="false">
      <c r="A49" s="240" t="n">
        <v>43841</v>
      </c>
      <c r="B49" s="241" t="s">
        <v>937</v>
      </c>
      <c r="C49" s="242" t="n">
        <v>83.32</v>
      </c>
      <c r="D49" s="243" t="n">
        <v>43862</v>
      </c>
    </row>
    <row r="50" customFormat="false" ht="15" hidden="false" customHeight="false" outlineLevel="0" collapsed="false">
      <c r="A50" s="240" t="n">
        <v>43841</v>
      </c>
      <c r="B50" s="241" t="s">
        <v>925</v>
      </c>
      <c r="C50" s="242" t="n">
        <v>66.97</v>
      </c>
      <c r="D50" s="243" t="n">
        <v>43862</v>
      </c>
    </row>
    <row r="51" customFormat="false" ht="15" hidden="false" customHeight="false" outlineLevel="0" collapsed="false">
      <c r="A51" s="240" t="n">
        <v>43841</v>
      </c>
      <c r="B51" s="241" t="s">
        <v>952</v>
      </c>
      <c r="C51" s="242" t="n">
        <v>17.99</v>
      </c>
      <c r="D51" s="243" t="n">
        <v>43862</v>
      </c>
    </row>
    <row r="52" customFormat="false" ht="15" hidden="false" customHeight="false" outlineLevel="0" collapsed="false">
      <c r="A52" s="240" t="n">
        <v>43841</v>
      </c>
      <c r="B52" s="241" t="s">
        <v>952</v>
      </c>
      <c r="C52" s="242" t="n">
        <v>1.5</v>
      </c>
      <c r="D52" s="243" t="n">
        <v>43862</v>
      </c>
    </row>
    <row r="53" customFormat="false" ht="15" hidden="false" customHeight="false" outlineLevel="0" collapsed="false">
      <c r="A53" s="240" t="n">
        <v>43841</v>
      </c>
      <c r="B53" s="241" t="s">
        <v>953</v>
      </c>
      <c r="C53" s="242" t="n">
        <v>20</v>
      </c>
      <c r="D53" s="243" t="n">
        <v>43862</v>
      </c>
    </row>
    <row r="54" customFormat="false" ht="15" hidden="false" customHeight="false" outlineLevel="0" collapsed="false">
      <c r="A54" s="240" t="n">
        <v>43842</v>
      </c>
      <c r="B54" s="241" t="s">
        <v>954</v>
      </c>
      <c r="C54" s="242" t="n">
        <v>25</v>
      </c>
      <c r="D54" s="243" t="n">
        <v>43862</v>
      </c>
    </row>
    <row r="55" customFormat="false" ht="15" hidden="false" customHeight="false" outlineLevel="0" collapsed="false">
      <c r="A55" s="240" t="n">
        <v>43842</v>
      </c>
      <c r="B55" s="241" t="s">
        <v>953</v>
      </c>
      <c r="C55" s="242" t="n">
        <v>89.98</v>
      </c>
      <c r="D55" s="243" t="n">
        <v>43862</v>
      </c>
    </row>
    <row r="56" customFormat="false" ht="15" hidden="false" customHeight="false" outlineLevel="0" collapsed="false">
      <c r="A56" s="240" t="n">
        <v>43842</v>
      </c>
      <c r="B56" s="241" t="s">
        <v>955</v>
      </c>
      <c r="C56" s="242" t="n">
        <v>12.5</v>
      </c>
      <c r="D56" s="243" t="n">
        <v>43862</v>
      </c>
    </row>
    <row r="57" customFormat="false" ht="15" hidden="false" customHeight="false" outlineLevel="0" collapsed="false">
      <c r="A57" s="240" t="n">
        <v>43842</v>
      </c>
      <c r="B57" s="241" t="s">
        <v>956</v>
      </c>
      <c r="C57" s="242" t="n">
        <v>40</v>
      </c>
      <c r="D57" s="243" t="n">
        <v>43862</v>
      </c>
    </row>
    <row r="58" customFormat="false" ht="15" hidden="false" customHeight="false" outlineLevel="0" collapsed="false">
      <c r="A58" s="240" t="n">
        <v>43844</v>
      </c>
      <c r="B58" s="241" t="s">
        <v>937</v>
      </c>
      <c r="C58" s="242" t="n">
        <v>111.55</v>
      </c>
      <c r="D58" s="243" t="n">
        <v>43862</v>
      </c>
    </row>
    <row r="59" customFormat="false" ht="15" hidden="false" customHeight="false" outlineLevel="0" collapsed="false">
      <c r="A59" s="240" t="n">
        <v>43844</v>
      </c>
      <c r="B59" s="241" t="s">
        <v>937</v>
      </c>
      <c r="C59" s="242" t="n">
        <v>9.93</v>
      </c>
      <c r="D59" s="243" t="n">
        <v>43862</v>
      </c>
    </row>
    <row r="60" customFormat="false" ht="15" hidden="false" customHeight="false" outlineLevel="0" collapsed="false">
      <c r="A60" s="240" t="n">
        <v>43844</v>
      </c>
      <c r="B60" s="241" t="s">
        <v>947</v>
      </c>
      <c r="C60" s="242" t="n">
        <v>50</v>
      </c>
      <c r="D60" s="243" t="n">
        <v>43862</v>
      </c>
    </row>
    <row r="61" customFormat="false" ht="15" hidden="false" customHeight="false" outlineLevel="0" collapsed="false">
      <c r="A61" s="240" t="n">
        <v>43848</v>
      </c>
      <c r="B61" s="241" t="s">
        <v>939</v>
      </c>
      <c r="C61" s="242" t="n">
        <v>213</v>
      </c>
      <c r="D61" s="243" t="n">
        <v>43862</v>
      </c>
    </row>
    <row r="62" customFormat="false" ht="15" hidden="false" customHeight="false" outlineLevel="0" collapsed="false">
      <c r="A62" s="240" t="n">
        <v>43848</v>
      </c>
      <c r="B62" s="241" t="s">
        <v>957</v>
      </c>
      <c r="C62" s="242" t="n">
        <v>13.2</v>
      </c>
      <c r="D62" s="243" t="n">
        <v>43862</v>
      </c>
    </row>
    <row r="63" customFormat="false" ht="15" hidden="false" customHeight="false" outlineLevel="0" collapsed="false">
      <c r="A63" s="240" t="n">
        <v>43848</v>
      </c>
      <c r="B63" s="241" t="s">
        <v>958</v>
      </c>
      <c r="C63" s="242" t="n">
        <v>96</v>
      </c>
      <c r="D63" s="243" t="n">
        <v>43862</v>
      </c>
    </row>
    <row r="64" customFormat="false" ht="15" hidden="false" customHeight="false" outlineLevel="0" collapsed="false">
      <c r="A64" s="240" t="n">
        <v>43848</v>
      </c>
      <c r="B64" s="241" t="s">
        <v>959</v>
      </c>
      <c r="C64" s="242" t="n">
        <v>65.82</v>
      </c>
      <c r="D64" s="243" t="n">
        <v>43862</v>
      </c>
    </row>
    <row r="65" customFormat="false" ht="15" hidden="false" customHeight="false" outlineLevel="0" collapsed="false">
      <c r="A65" s="240" t="n">
        <v>43849</v>
      </c>
      <c r="B65" s="241" t="s">
        <v>952</v>
      </c>
      <c r="C65" s="242" t="n">
        <v>46.66</v>
      </c>
      <c r="D65" s="243" t="n">
        <v>43862</v>
      </c>
    </row>
    <row r="66" customFormat="false" ht="15" hidden="false" customHeight="false" outlineLevel="0" collapsed="false">
      <c r="A66" s="240" t="n">
        <v>43849</v>
      </c>
      <c r="B66" s="241" t="s">
        <v>960</v>
      </c>
      <c r="C66" s="242" t="n">
        <v>5</v>
      </c>
      <c r="D66" s="243" t="n">
        <v>43862</v>
      </c>
    </row>
    <row r="67" customFormat="false" ht="15" hidden="false" customHeight="false" outlineLevel="0" collapsed="false">
      <c r="A67" s="240" t="n">
        <v>43849</v>
      </c>
      <c r="B67" s="241" t="s">
        <v>961</v>
      </c>
      <c r="C67" s="242" t="n">
        <v>5</v>
      </c>
      <c r="D67" s="243" t="n">
        <v>43862</v>
      </c>
    </row>
    <row r="68" customFormat="false" ht="15" hidden="false" customHeight="false" outlineLevel="0" collapsed="false">
      <c r="A68" s="240" t="n">
        <v>43849</v>
      </c>
      <c r="B68" s="241" t="s">
        <v>956</v>
      </c>
      <c r="C68" s="242" t="n">
        <v>40</v>
      </c>
      <c r="D68" s="243" t="n">
        <v>43862</v>
      </c>
    </row>
    <row r="69" customFormat="false" ht="15" hidden="false" customHeight="false" outlineLevel="0" collapsed="false">
      <c r="A69" s="240" t="n">
        <v>43849</v>
      </c>
      <c r="B69" s="241" t="s">
        <v>962</v>
      </c>
      <c r="C69" s="242" t="n">
        <v>77.97</v>
      </c>
      <c r="D69" s="243" t="n">
        <v>43862</v>
      </c>
    </row>
    <row r="70" customFormat="false" ht="15" hidden="false" customHeight="false" outlineLevel="0" collapsed="false">
      <c r="A70" s="240" t="n">
        <v>43849</v>
      </c>
      <c r="B70" s="241" t="s">
        <v>963</v>
      </c>
      <c r="C70" s="242" t="n">
        <v>345.7</v>
      </c>
      <c r="D70" s="243" t="n">
        <v>43862</v>
      </c>
    </row>
    <row r="71" customFormat="false" ht="15" hidden="false" customHeight="false" outlineLevel="0" collapsed="false">
      <c r="A71" s="240" t="n">
        <v>43849</v>
      </c>
      <c r="B71" s="241" t="s">
        <v>964</v>
      </c>
      <c r="C71" s="242" t="n">
        <v>501.36</v>
      </c>
      <c r="D71" s="243" t="n">
        <v>43862</v>
      </c>
    </row>
    <row r="72" customFormat="false" ht="15" hidden="false" customHeight="false" outlineLevel="0" collapsed="false">
      <c r="A72" s="240" t="n">
        <v>43850</v>
      </c>
      <c r="B72" s="241" t="s">
        <v>965</v>
      </c>
      <c r="C72" s="242" t="n">
        <v>20</v>
      </c>
      <c r="D72" s="243" t="n">
        <v>43862</v>
      </c>
    </row>
    <row r="73" customFormat="false" ht="15" hidden="false" customHeight="false" outlineLevel="0" collapsed="false">
      <c r="A73" s="240" t="n">
        <v>43850</v>
      </c>
      <c r="B73" s="241" t="s">
        <v>966</v>
      </c>
      <c r="C73" s="242" t="n">
        <v>2.8</v>
      </c>
      <c r="D73" s="243" t="n">
        <v>43862</v>
      </c>
    </row>
    <row r="74" customFormat="false" ht="15" hidden="false" customHeight="false" outlineLevel="0" collapsed="false">
      <c r="A74" s="240" t="n">
        <v>43850</v>
      </c>
      <c r="B74" s="241" t="s">
        <v>966</v>
      </c>
      <c r="C74" s="242" t="n">
        <v>6</v>
      </c>
      <c r="D74" s="243" t="n">
        <v>43862</v>
      </c>
    </row>
    <row r="75" customFormat="false" ht="15" hidden="false" customHeight="false" outlineLevel="0" collapsed="false">
      <c r="A75" s="240" t="n">
        <v>43850</v>
      </c>
      <c r="B75" s="241" t="s">
        <v>967</v>
      </c>
      <c r="C75" s="242" t="n">
        <v>9</v>
      </c>
      <c r="D75" s="243" t="n">
        <v>43862</v>
      </c>
    </row>
    <row r="76" customFormat="false" ht="15" hidden="false" customHeight="false" outlineLevel="0" collapsed="false">
      <c r="A76" s="240" t="n">
        <v>43851</v>
      </c>
      <c r="B76" s="241" t="s">
        <v>957</v>
      </c>
      <c r="C76" s="242" t="n">
        <v>86.63</v>
      </c>
      <c r="D76" s="243" t="n">
        <v>43862</v>
      </c>
    </row>
    <row r="77" customFormat="false" ht="15" hidden="false" customHeight="false" outlineLevel="0" collapsed="false">
      <c r="A77" s="240" t="n">
        <v>43854</v>
      </c>
      <c r="B77" s="241" t="s">
        <v>929</v>
      </c>
      <c r="C77" s="242" t="n">
        <v>2.99</v>
      </c>
      <c r="D77" s="243" t="n">
        <v>43862</v>
      </c>
    </row>
    <row r="78" customFormat="false" ht="15" hidden="false" customHeight="false" outlineLevel="0" collapsed="false">
      <c r="A78" s="240" t="n">
        <v>43855</v>
      </c>
      <c r="B78" s="241" t="s">
        <v>968</v>
      </c>
      <c r="C78" s="242" t="n">
        <v>13.3</v>
      </c>
      <c r="D78" s="243" t="n">
        <v>43862</v>
      </c>
    </row>
    <row r="79" customFormat="false" ht="15" hidden="false" customHeight="false" outlineLevel="0" collapsed="false">
      <c r="A79" s="240" t="n">
        <v>43855</v>
      </c>
      <c r="B79" s="241" t="s">
        <v>969</v>
      </c>
      <c r="C79" s="242" t="n">
        <v>5.4</v>
      </c>
      <c r="D79" s="243" t="n">
        <v>43862</v>
      </c>
    </row>
    <row r="80" customFormat="false" ht="15" hidden="false" customHeight="false" outlineLevel="0" collapsed="false">
      <c r="A80" s="240" t="n">
        <v>43855</v>
      </c>
      <c r="B80" s="241" t="s">
        <v>970</v>
      </c>
      <c r="C80" s="242" t="n">
        <v>69.85</v>
      </c>
      <c r="D80" s="243" t="n">
        <v>43862</v>
      </c>
    </row>
    <row r="81" customFormat="false" ht="15" hidden="false" customHeight="false" outlineLevel="0" collapsed="false">
      <c r="A81" s="240" t="n">
        <v>43855</v>
      </c>
      <c r="B81" s="241" t="s">
        <v>970</v>
      </c>
      <c r="C81" s="242" t="n">
        <v>39.9</v>
      </c>
      <c r="D81" s="243" t="n">
        <v>43862</v>
      </c>
    </row>
    <row r="82" customFormat="false" ht="15" hidden="false" customHeight="false" outlineLevel="0" collapsed="false">
      <c r="A82" s="240" t="n">
        <v>43855</v>
      </c>
      <c r="B82" s="241" t="s">
        <v>971</v>
      </c>
      <c r="C82" s="242" t="n">
        <v>32.49</v>
      </c>
      <c r="D82" s="243" t="n">
        <v>43862</v>
      </c>
    </row>
    <row r="83" customFormat="false" ht="15" hidden="false" customHeight="false" outlineLevel="0" collapsed="false">
      <c r="A83" s="240" t="n">
        <v>43860</v>
      </c>
      <c r="B83" s="241" t="s">
        <v>930</v>
      </c>
      <c r="C83" s="242" t="n">
        <v>12.1</v>
      </c>
      <c r="D83" s="243" t="n">
        <v>43862</v>
      </c>
    </row>
    <row r="84" customFormat="false" ht="15" hidden="false" customHeight="false" outlineLevel="0" collapsed="false">
      <c r="A84" s="240" t="n">
        <v>43862</v>
      </c>
      <c r="B84" s="241" t="s">
        <v>972</v>
      </c>
      <c r="C84" s="242" t="n">
        <v>25</v>
      </c>
      <c r="D84" s="243" t="n">
        <v>43862</v>
      </c>
    </row>
    <row r="85" customFormat="false" ht="15" hidden="false" customHeight="false" outlineLevel="0" collapsed="false">
      <c r="A85" s="240" t="n">
        <v>43862</v>
      </c>
      <c r="B85" s="241" t="s">
        <v>939</v>
      </c>
      <c r="C85" s="242" t="n">
        <v>212</v>
      </c>
      <c r="D85" s="243" t="n">
        <v>43862</v>
      </c>
    </row>
    <row r="86" customFormat="false" ht="15" hidden="false" customHeight="false" outlineLevel="0" collapsed="false">
      <c r="A86" s="246" t="n">
        <v>43867</v>
      </c>
      <c r="B86" s="241" t="s">
        <v>929</v>
      </c>
      <c r="C86" s="247" t="n">
        <v>2.99</v>
      </c>
      <c r="D86" s="243" t="n">
        <v>43862</v>
      </c>
    </row>
    <row r="87" customFormat="false" ht="15" hidden="false" customHeight="false" outlineLevel="0" collapsed="false">
      <c r="A87" s="246" t="n">
        <v>43862</v>
      </c>
      <c r="B87" s="248" t="s">
        <v>973</v>
      </c>
      <c r="C87" s="247" t="n">
        <v>50.66</v>
      </c>
      <c r="D87" s="243" t="n">
        <v>43862</v>
      </c>
    </row>
    <row r="88" customFormat="false" ht="15" hidden="false" customHeight="false" outlineLevel="0" collapsed="false">
      <c r="A88" s="240" t="n">
        <v>43808</v>
      </c>
      <c r="B88" s="241" t="s">
        <v>974</v>
      </c>
      <c r="C88" s="242" t="n">
        <v>85</v>
      </c>
      <c r="D88" s="243" t="n">
        <v>43891</v>
      </c>
      <c r="E88" s="249"/>
      <c r="F88" s="250"/>
      <c r="G88" s="250"/>
      <c r="H88" s="251"/>
      <c r="I88" s="252"/>
    </row>
    <row r="89" customFormat="false" ht="15" hidden="false" customHeight="false" outlineLevel="0" collapsed="false">
      <c r="A89" s="240" t="n">
        <v>43832</v>
      </c>
      <c r="B89" s="241" t="s">
        <v>975</v>
      </c>
      <c r="C89" s="242" t="n">
        <v>118.31</v>
      </c>
      <c r="D89" s="243" t="n">
        <v>43891</v>
      </c>
      <c r="E89" s="249"/>
      <c r="F89" s="250"/>
      <c r="G89" s="250"/>
      <c r="H89" s="251"/>
      <c r="I89" s="252"/>
    </row>
    <row r="90" customFormat="false" ht="15" hidden="false" customHeight="false" outlineLevel="0" collapsed="false">
      <c r="A90" s="240" t="n">
        <v>43832</v>
      </c>
      <c r="B90" s="241" t="s">
        <v>976</v>
      </c>
      <c r="C90" s="242" t="n">
        <v>179.94</v>
      </c>
      <c r="D90" s="243" t="n">
        <v>43891</v>
      </c>
      <c r="E90" s="249"/>
      <c r="F90" s="250"/>
      <c r="G90" s="250"/>
      <c r="H90" s="251"/>
      <c r="I90" s="252"/>
    </row>
    <row r="91" customFormat="false" ht="15" hidden="false" customHeight="false" outlineLevel="0" collapsed="false">
      <c r="A91" s="240" t="n">
        <v>43848</v>
      </c>
      <c r="B91" s="241" t="s">
        <v>977</v>
      </c>
      <c r="C91" s="242" t="n">
        <v>96</v>
      </c>
      <c r="D91" s="243" t="n">
        <v>43891</v>
      </c>
      <c r="E91" s="249"/>
      <c r="F91" s="250"/>
      <c r="G91" s="250"/>
      <c r="H91" s="251"/>
      <c r="I91" s="252"/>
    </row>
    <row r="92" customFormat="false" ht="15" hidden="false" customHeight="false" outlineLevel="0" collapsed="false">
      <c r="A92" s="240" t="n">
        <v>43848</v>
      </c>
      <c r="B92" s="241" t="s">
        <v>978</v>
      </c>
      <c r="C92" s="242" t="n">
        <v>65.82</v>
      </c>
      <c r="D92" s="243" t="n">
        <v>43891</v>
      </c>
      <c r="E92" s="249"/>
      <c r="F92" s="250"/>
      <c r="G92" s="250"/>
      <c r="H92" s="251"/>
      <c r="I92" s="252"/>
    </row>
    <row r="93" customFormat="false" ht="15" hidden="false" customHeight="false" outlineLevel="0" collapsed="false">
      <c r="A93" s="240" t="n">
        <v>43849</v>
      </c>
      <c r="B93" s="241" t="s">
        <v>979</v>
      </c>
      <c r="C93" s="242" t="n">
        <v>501.36</v>
      </c>
      <c r="D93" s="243" t="n">
        <v>43891</v>
      </c>
      <c r="E93" s="249"/>
      <c r="F93" s="250"/>
      <c r="G93" s="250"/>
      <c r="H93" s="251"/>
      <c r="I93" s="252"/>
    </row>
    <row r="94" customFormat="false" ht="15" hidden="false" customHeight="false" outlineLevel="0" collapsed="false">
      <c r="A94" s="240" t="n">
        <v>43855</v>
      </c>
      <c r="B94" s="241" t="s">
        <v>980</v>
      </c>
      <c r="C94" s="242" t="n">
        <v>69.85</v>
      </c>
      <c r="D94" s="243" t="n">
        <v>43891</v>
      </c>
      <c r="E94" s="249"/>
      <c r="F94" s="250"/>
      <c r="G94" s="250"/>
      <c r="H94" s="251"/>
      <c r="I94" s="252"/>
    </row>
    <row r="95" customFormat="false" ht="15" hidden="false" customHeight="false" outlineLevel="0" collapsed="false">
      <c r="A95" s="240" t="n">
        <v>43855</v>
      </c>
      <c r="B95" s="241" t="s">
        <v>980</v>
      </c>
      <c r="C95" s="242" t="n">
        <v>39.9</v>
      </c>
      <c r="D95" s="243" t="n">
        <v>43891</v>
      </c>
      <c r="E95" s="249"/>
      <c r="F95" s="250"/>
      <c r="G95" s="250"/>
      <c r="H95" s="251"/>
      <c r="I95" s="252"/>
    </row>
    <row r="96" customFormat="false" ht="15" hidden="false" customHeight="false" outlineLevel="0" collapsed="false">
      <c r="A96" s="240" t="n">
        <v>43855</v>
      </c>
      <c r="B96" s="241" t="s">
        <v>981</v>
      </c>
      <c r="C96" s="242" t="n">
        <v>32.49</v>
      </c>
      <c r="D96" s="243" t="n">
        <v>43891</v>
      </c>
      <c r="E96" s="249"/>
      <c r="F96" s="250"/>
      <c r="G96" s="250"/>
      <c r="H96" s="251"/>
      <c r="I96" s="252"/>
    </row>
    <row r="97" customFormat="false" ht="15" hidden="false" customHeight="false" outlineLevel="0" collapsed="false">
      <c r="A97" s="246" t="n">
        <v>43872</v>
      </c>
      <c r="B97" s="248" t="s">
        <v>982</v>
      </c>
      <c r="C97" s="247" t="n">
        <v>152.5</v>
      </c>
      <c r="D97" s="243" t="n">
        <v>43891</v>
      </c>
      <c r="E97" s="249"/>
      <c r="F97" s="250"/>
      <c r="G97" s="250"/>
      <c r="H97" s="251"/>
      <c r="I97" s="252"/>
    </row>
    <row r="98" customFormat="false" ht="15" hidden="false" customHeight="false" outlineLevel="0" collapsed="false">
      <c r="A98" s="246" t="n">
        <v>43874</v>
      </c>
      <c r="B98" s="248" t="s">
        <v>983</v>
      </c>
      <c r="C98" s="247" t="n">
        <v>204.06</v>
      </c>
      <c r="D98" s="243" t="n">
        <v>43891</v>
      </c>
      <c r="E98" s="249"/>
      <c r="F98" s="250"/>
      <c r="G98" s="250"/>
      <c r="H98" s="251"/>
      <c r="I98" s="252"/>
    </row>
    <row r="99" customFormat="false" ht="15" hidden="false" customHeight="false" outlineLevel="0" collapsed="false">
      <c r="A99" s="246" t="n">
        <v>43875</v>
      </c>
      <c r="B99" s="248" t="s">
        <v>984</v>
      </c>
      <c r="C99" s="247" t="n">
        <v>46.98</v>
      </c>
      <c r="D99" s="243" t="n">
        <v>43891</v>
      </c>
      <c r="E99" s="249"/>
      <c r="F99" s="250"/>
      <c r="G99" s="250"/>
      <c r="H99" s="251"/>
      <c r="I99" s="252"/>
    </row>
    <row r="100" customFormat="false" ht="15" hidden="false" customHeight="false" outlineLevel="0" collapsed="false">
      <c r="A100" s="246" t="n">
        <v>43875</v>
      </c>
      <c r="B100" s="248" t="s">
        <v>985</v>
      </c>
      <c r="C100" s="247" t="n">
        <v>230.07</v>
      </c>
      <c r="D100" s="243" t="n">
        <v>43891</v>
      </c>
      <c r="E100" s="249"/>
      <c r="F100" s="250"/>
      <c r="G100" s="250"/>
      <c r="H100" s="251"/>
      <c r="I100" s="252"/>
    </row>
    <row r="101" customFormat="false" ht="15" hidden="false" customHeight="false" outlineLevel="0" collapsed="false">
      <c r="A101" s="246" t="n">
        <v>43875</v>
      </c>
      <c r="B101" s="248" t="s">
        <v>973</v>
      </c>
      <c r="C101" s="247" t="n">
        <v>34.08</v>
      </c>
      <c r="D101" s="243" t="n">
        <v>43891</v>
      </c>
      <c r="E101" s="249"/>
      <c r="F101" s="250"/>
      <c r="G101" s="250"/>
      <c r="H101" s="251"/>
      <c r="I101" s="252"/>
    </row>
    <row r="102" customFormat="false" ht="15" hidden="false" customHeight="false" outlineLevel="0" collapsed="false">
      <c r="A102" s="246" t="n">
        <v>43876</v>
      </c>
      <c r="B102" s="248" t="s">
        <v>986</v>
      </c>
      <c r="C102" s="247" t="n">
        <v>10</v>
      </c>
      <c r="D102" s="243" t="n">
        <v>43891</v>
      </c>
      <c r="E102" s="249"/>
      <c r="F102" s="250"/>
      <c r="G102" s="250"/>
      <c r="H102" s="251"/>
      <c r="I102" s="252"/>
    </row>
    <row r="103" customFormat="false" ht="15" hidden="false" customHeight="false" outlineLevel="0" collapsed="false">
      <c r="A103" s="246" t="n">
        <v>43876</v>
      </c>
      <c r="B103" s="248" t="s">
        <v>987</v>
      </c>
      <c r="C103" s="247" t="n">
        <v>9</v>
      </c>
      <c r="D103" s="243" t="n">
        <v>43891</v>
      </c>
      <c r="E103" s="249"/>
      <c r="F103" s="250"/>
      <c r="G103" s="250"/>
      <c r="H103" s="251"/>
      <c r="I103" s="252"/>
    </row>
    <row r="104" customFormat="false" ht="15" hidden="false" customHeight="false" outlineLevel="0" collapsed="false">
      <c r="A104" s="246" t="n">
        <v>43876</v>
      </c>
      <c r="B104" s="248" t="s">
        <v>988</v>
      </c>
      <c r="C104" s="247" t="n">
        <v>50</v>
      </c>
      <c r="D104" s="243" t="n">
        <v>43891</v>
      </c>
      <c r="E104" s="249"/>
      <c r="F104" s="250"/>
      <c r="G104" s="250"/>
      <c r="H104" s="251"/>
      <c r="I104" s="252"/>
    </row>
    <row r="105" customFormat="false" ht="15" hidden="false" customHeight="false" outlineLevel="0" collapsed="false">
      <c r="A105" s="246" t="n">
        <v>43879</v>
      </c>
      <c r="B105" s="248" t="s">
        <v>937</v>
      </c>
      <c r="C105" s="247" t="n">
        <v>67.64</v>
      </c>
      <c r="D105" s="243" t="n">
        <v>43891</v>
      </c>
      <c r="E105" s="249"/>
      <c r="F105" s="250"/>
      <c r="G105" s="250"/>
      <c r="H105" s="251"/>
      <c r="I105" s="252"/>
    </row>
    <row r="106" customFormat="false" ht="15" hidden="false" customHeight="false" outlineLevel="0" collapsed="false">
      <c r="A106" s="246" t="n">
        <v>43880</v>
      </c>
      <c r="B106" s="248" t="s">
        <v>989</v>
      </c>
      <c r="C106" s="247" t="n">
        <v>102.19</v>
      </c>
      <c r="D106" s="243" t="n">
        <v>43891</v>
      </c>
      <c r="E106" s="249"/>
      <c r="F106" s="250"/>
      <c r="G106" s="250"/>
      <c r="H106" s="251"/>
      <c r="I106" s="252"/>
    </row>
    <row r="107" customFormat="false" ht="15" hidden="false" customHeight="false" outlineLevel="0" collapsed="false">
      <c r="A107" s="246" t="n">
        <v>43882</v>
      </c>
      <c r="B107" s="248" t="s">
        <v>931</v>
      </c>
      <c r="C107" s="247" t="n">
        <v>16.9</v>
      </c>
      <c r="D107" s="243" t="n">
        <v>43891</v>
      </c>
      <c r="E107" s="249"/>
      <c r="F107" s="250"/>
      <c r="G107" s="250"/>
      <c r="H107" s="251"/>
      <c r="I107" s="252"/>
    </row>
    <row r="108" customFormat="false" ht="15" hidden="false" customHeight="false" outlineLevel="0" collapsed="false">
      <c r="A108" s="246" t="n">
        <v>43883</v>
      </c>
      <c r="B108" s="248" t="s">
        <v>990</v>
      </c>
      <c r="C108" s="247" t="n">
        <v>22</v>
      </c>
      <c r="D108" s="243" t="n">
        <v>43891</v>
      </c>
      <c r="E108" s="249"/>
      <c r="F108" s="250"/>
      <c r="G108" s="250"/>
      <c r="H108" s="251"/>
      <c r="I108" s="252"/>
    </row>
    <row r="109" customFormat="false" ht="15" hidden="false" customHeight="false" outlineLevel="0" collapsed="false">
      <c r="A109" s="246" t="n">
        <v>43890</v>
      </c>
      <c r="B109" s="248" t="s">
        <v>991</v>
      </c>
      <c r="C109" s="247" t="n">
        <v>49.99</v>
      </c>
      <c r="D109" s="243" t="n">
        <v>43891</v>
      </c>
      <c r="E109" s="249"/>
      <c r="F109" s="250"/>
      <c r="G109" s="250"/>
      <c r="H109" s="251"/>
      <c r="I109" s="252"/>
    </row>
    <row r="110" customFormat="false" ht="15" hidden="false" customHeight="false" outlineLevel="0" collapsed="false">
      <c r="A110" s="246" t="n">
        <v>43890</v>
      </c>
      <c r="B110" s="248" t="s">
        <v>916</v>
      </c>
      <c r="C110" s="247" t="n">
        <v>225.16</v>
      </c>
      <c r="D110" s="243" t="n">
        <v>43891</v>
      </c>
      <c r="E110" s="249"/>
      <c r="F110" s="250"/>
      <c r="G110" s="250"/>
      <c r="H110" s="251"/>
      <c r="I110" s="252"/>
    </row>
    <row r="111" customFormat="false" ht="15" hidden="false" customHeight="false" outlineLevel="0" collapsed="false">
      <c r="A111" s="246" t="n">
        <v>43890</v>
      </c>
      <c r="B111" s="248" t="s">
        <v>992</v>
      </c>
      <c r="C111" s="247" t="n">
        <v>15</v>
      </c>
      <c r="D111" s="243" t="n">
        <v>43891</v>
      </c>
      <c r="E111" s="249"/>
      <c r="F111" s="250"/>
      <c r="G111" s="250"/>
      <c r="H111" s="251"/>
      <c r="I111" s="252"/>
    </row>
    <row r="112" customFormat="false" ht="15" hidden="false" customHeight="false" outlineLevel="0" collapsed="false">
      <c r="A112" s="246" t="n">
        <v>43890</v>
      </c>
      <c r="B112" s="248" t="s">
        <v>993</v>
      </c>
      <c r="C112" s="247" t="n">
        <v>14.52</v>
      </c>
      <c r="D112" s="243" t="n">
        <v>43891</v>
      </c>
      <c r="E112" s="249"/>
      <c r="F112" s="250"/>
      <c r="G112" s="250"/>
      <c r="H112" s="251"/>
      <c r="I112" s="252"/>
    </row>
    <row r="113" customFormat="false" ht="15" hidden="false" customHeight="false" outlineLevel="0" collapsed="false">
      <c r="A113" s="246" t="n">
        <v>43890</v>
      </c>
      <c r="B113" s="248" t="s">
        <v>994</v>
      </c>
      <c r="C113" s="247" t="n">
        <v>103.34</v>
      </c>
      <c r="D113" s="243" t="n">
        <v>43891</v>
      </c>
      <c r="E113" s="249"/>
      <c r="F113" s="250"/>
      <c r="G113" s="250"/>
      <c r="H113" s="251"/>
      <c r="I113" s="252"/>
    </row>
    <row r="114" customFormat="false" ht="15" hidden="false" customHeight="false" outlineLevel="0" collapsed="false">
      <c r="A114" s="246" t="n">
        <v>43891</v>
      </c>
      <c r="B114" s="248" t="s">
        <v>995</v>
      </c>
      <c r="C114" s="247" t="n">
        <v>10</v>
      </c>
      <c r="D114" s="243" t="n">
        <v>43891</v>
      </c>
      <c r="E114" s="249"/>
      <c r="F114" s="250"/>
      <c r="G114" s="250"/>
      <c r="H114" s="251"/>
      <c r="I114" s="252"/>
    </row>
    <row r="115" customFormat="false" ht="15" hidden="false" customHeight="false" outlineLevel="0" collapsed="false">
      <c r="A115" s="246" t="n">
        <v>43891</v>
      </c>
      <c r="B115" s="248" t="s">
        <v>995</v>
      </c>
      <c r="C115" s="247" t="n">
        <v>2</v>
      </c>
      <c r="D115" s="243" t="n">
        <v>43891</v>
      </c>
      <c r="E115" s="249"/>
      <c r="F115" s="250"/>
      <c r="G115" s="250"/>
      <c r="H115" s="251"/>
      <c r="I115" s="252"/>
    </row>
    <row r="116" customFormat="false" ht="15" hidden="false" customHeight="false" outlineLevel="0" collapsed="false">
      <c r="A116" s="246" t="n">
        <v>43891</v>
      </c>
      <c r="B116" s="248" t="s">
        <v>996</v>
      </c>
      <c r="C116" s="247" t="n">
        <v>19</v>
      </c>
      <c r="D116" s="243" t="n">
        <v>43891</v>
      </c>
      <c r="E116" s="249"/>
      <c r="F116" s="250"/>
      <c r="G116" s="250"/>
      <c r="H116" s="251"/>
      <c r="I116" s="252"/>
    </row>
    <row r="117" customFormat="false" ht="15" hidden="false" customHeight="false" outlineLevel="0" collapsed="false">
      <c r="A117" s="246" t="n">
        <v>43891</v>
      </c>
      <c r="B117" s="248" t="s">
        <v>997</v>
      </c>
      <c r="C117" s="247" t="n">
        <v>13.39</v>
      </c>
      <c r="D117" s="243" t="n">
        <v>43891</v>
      </c>
      <c r="E117" s="249"/>
      <c r="F117" s="250"/>
      <c r="G117" s="250"/>
      <c r="H117" s="251"/>
      <c r="I117" s="252"/>
    </row>
    <row r="118" customFormat="false" ht="15" hidden="false" customHeight="false" outlineLevel="0" collapsed="false">
      <c r="A118" s="246" t="n">
        <v>43892</v>
      </c>
      <c r="B118" s="248" t="s">
        <v>998</v>
      </c>
      <c r="C118" s="247" t="n">
        <v>50</v>
      </c>
      <c r="D118" s="243" t="n">
        <v>43891</v>
      </c>
      <c r="E118" s="249"/>
      <c r="F118" s="250"/>
      <c r="G118" s="250"/>
      <c r="H118" s="251"/>
      <c r="I118" s="252"/>
    </row>
    <row r="119" customFormat="false" ht="15" hidden="false" customHeight="false" outlineLevel="0" collapsed="false">
      <c r="A119" s="246" t="n">
        <v>43892</v>
      </c>
      <c r="B119" s="248" t="s">
        <v>999</v>
      </c>
      <c r="C119" s="247" t="n">
        <v>36</v>
      </c>
      <c r="D119" s="243" t="n">
        <v>43891</v>
      </c>
      <c r="E119" s="249"/>
      <c r="F119" s="250"/>
      <c r="G119" s="250"/>
      <c r="H119" s="251"/>
      <c r="I119" s="252"/>
    </row>
    <row r="120" customFormat="false" ht="15" hidden="false" customHeight="false" outlineLevel="0" collapsed="false">
      <c r="A120" s="246" t="n">
        <v>43895</v>
      </c>
      <c r="B120" s="248" t="s">
        <v>1000</v>
      </c>
      <c r="C120" s="247" t="n">
        <v>12</v>
      </c>
      <c r="D120" s="243" t="n">
        <v>43891</v>
      </c>
      <c r="E120" s="249"/>
      <c r="F120" s="250"/>
      <c r="G120" s="250"/>
      <c r="H120" s="251"/>
      <c r="I120" s="252"/>
    </row>
    <row r="121" customFormat="false" ht="15" hidden="false" customHeight="false" outlineLevel="0" collapsed="false">
      <c r="A121" s="246" t="n">
        <v>43895</v>
      </c>
      <c r="B121" s="248" t="s">
        <v>1001</v>
      </c>
      <c r="C121" s="247" t="n">
        <v>42.49</v>
      </c>
      <c r="D121" s="243" t="n">
        <v>43891</v>
      </c>
      <c r="E121" s="249"/>
      <c r="F121" s="250"/>
      <c r="G121" s="250"/>
      <c r="H121" s="251"/>
      <c r="I121" s="252"/>
    </row>
    <row r="122" customFormat="false" ht="15" hidden="false" customHeight="false" outlineLevel="0" collapsed="false">
      <c r="A122" s="246" t="n">
        <v>43895</v>
      </c>
      <c r="B122" s="248" t="s">
        <v>1002</v>
      </c>
      <c r="C122" s="247" t="n">
        <v>58.44</v>
      </c>
      <c r="D122" s="243" t="n">
        <v>43891</v>
      </c>
      <c r="E122" s="249"/>
      <c r="F122" s="250"/>
      <c r="G122" s="250"/>
      <c r="H122" s="251"/>
      <c r="I122" s="252"/>
    </row>
    <row r="123" customFormat="false" ht="15" hidden="false" customHeight="false" outlineLevel="0" collapsed="false">
      <c r="A123" s="246" t="n">
        <v>43895</v>
      </c>
      <c r="B123" s="248" t="s">
        <v>918</v>
      </c>
      <c r="C123" s="247" t="n">
        <v>85.98</v>
      </c>
      <c r="D123" s="243" t="n">
        <v>43891</v>
      </c>
      <c r="E123" s="249"/>
      <c r="F123" s="250"/>
      <c r="G123" s="250"/>
      <c r="H123" s="251"/>
      <c r="I123" s="252"/>
    </row>
    <row r="124" customFormat="false" ht="15" hidden="false" customHeight="false" outlineLevel="0" collapsed="false">
      <c r="A124" s="246" t="n">
        <v>43895</v>
      </c>
      <c r="B124" s="248" t="s">
        <v>929</v>
      </c>
      <c r="C124" s="247" t="n">
        <v>2.99</v>
      </c>
      <c r="D124" s="243" t="n">
        <v>43891</v>
      </c>
      <c r="E124" s="249"/>
      <c r="F124" s="250"/>
      <c r="G124" s="250"/>
      <c r="H124" s="251"/>
      <c r="I124" s="252"/>
    </row>
    <row r="125" customFormat="false" ht="15" hidden="false" customHeight="false" outlineLevel="0" collapsed="false">
      <c r="A125" s="246" t="n">
        <v>43896</v>
      </c>
      <c r="B125" s="248" t="s">
        <v>1003</v>
      </c>
      <c r="C125" s="247" t="n">
        <v>5</v>
      </c>
      <c r="D125" s="243" t="n">
        <v>43891</v>
      </c>
      <c r="E125" s="249"/>
      <c r="F125" s="250"/>
      <c r="G125" s="250"/>
      <c r="H125" s="251"/>
      <c r="I125" s="252"/>
    </row>
    <row r="126" customFormat="false" ht="15" hidden="false" customHeight="false" outlineLevel="0" collapsed="false">
      <c r="A126" s="246" t="n">
        <v>43896</v>
      </c>
      <c r="B126" s="248" t="s">
        <v>1004</v>
      </c>
      <c r="C126" s="247" t="n">
        <v>90</v>
      </c>
      <c r="D126" s="243" t="n">
        <v>43891</v>
      </c>
      <c r="E126" s="249"/>
      <c r="F126" s="250"/>
      <c r="G126" s="250"/>
      <c r="H126" s="251"/>
      <c r="I126" s="252"/>
    </row>
    <row r="127" customFormat="false" ht="15" hidden="false" customHeight="false" outlineLevel="0" collapsed="false">
      <c r="A127" s="253" t="n">
        <v>43897</v>
      </c>
      <c r="B127" s="254" t="s">
        <v>1005</v>
      </c>
      <c r="C127" s="242" t="n">
        <v>2.8</v>
      </c>
      <c r="D127" s="243" t="n">
        <v>43891</v>
      </c>
      <c r="E127" s="249"/>
      <c r="F127" s="250"/>
      <c r="G127" s="250"/>
      <c r="H127" s="251"/>
      <c r="I127" s="252"/>
    </row>
    <row r="128" customFormat="false" ht="15" hidden="false" customHeight="false" outlineLevel="0" collapsed="false">
      <c r="A128" s="255" t="n">
        <v>43849</v>
      </c>
      <c r="B128" s="254" t="s">
        <v>1006</v>
      </c>
      <c r="C128" s="256" t="n">
        <v>0</v>
      </c>
      <c r="D128" s="243" t="n">
        <v>43952</v>
      </c>
    </row>
    <row r="129" customFormat="false" ht="15" hidden="false" customHeight="false" outlineLevel="0" collapsed="false">
      <c r="A129" s="257" t="n">
        <v>43872</v>
      </c>
      <c r="B129" s="258" t="s">
        <v>1007</v>
      </c>
      <c r="C129" s="259" t="n">
        <v>0</v>
      </c>
      <c r="D129" s="243" t="n">
        <v>43952</v>
      </c>
    </row>
    <row r="130" customFormat="false" ht="15" hidden="true" customHeight="false" outlineLevel="0" collapsed="false">
      <c r="A130" s="260"/>
      <c r="B130" s="254"/>
      <c r="C130" s="242"/>
      <c r="D130" s="243"/>
    </row>
    <row r="131" customFormat="false" ht="15" hidden="true" customHeight="false" outlineLevel="0" collapsed="false">
      <c r="A131" s="261"/>
      <c r="B131" s="258"/>
      <c r="C131" s="245"/>
      <c r="D131" s="243"/>
    </row>
    <row r="132" customFormat="false" ht="15" hidden="true" customHeight="false" outlineLevel="0" collapsed="false">
      <c r="A132" s="240"/>
      <c r="B132" s="254"/>
      <c r="C132" s="242"/>
      <c r="D132" s="243"/>
    </row>
    <row r="133" customFormat="false" ht="15" hidden="true" customHeight="false" outlineLevel="0" collapsed="false">
      <c r="A133" s="240"/>
      <c r="B133" s="254"/>
      <c r="C133" s="242"/>
      <c r="D133" s="243"/>
    </row>
    <row r="134" customFormat="false" ht="15" hidden="true" customHeight="false" outlineLevel="0" collapsed="false">
      <c r="A134" s="240"/>
      <c r="B134" s="254"/>
      <c r="C134" s="242"/>
      <c r="D134" s="243"/>
    </row>
    <row r="135" customFormat="false" ht="15" hidden="true" customHeight="false" outlineLevel="0" collapsed="false">
      <c r="A135" s="240"/>
      <c r="B135" s="254"/>
      <c r="C135" s="242"/>
      <c r="D135" s="243"/>
    </row>
    <row r="136" customFormat="false" ht="15" hidden="true" customHeight="false" outlineLevel="0" collapsed="false">
      <c r="A136" s="240"/>
      <c r="B136" s="254"/>
      <c r="C136" s="242"/>
      <c r="D136" s="243"/>
    </row>
    <row r="137" customFormat="false" ht="15" hidden="true" customHeight="false" outlineLevel="0" collapsed="false">
      <c r="A137" s="240"/>
      <c r="B137" s="254"/>
      <c r="C137" s="242"/>
      <c r="D137" s="243"/>
    </row>
    <row r="138" customFormat="false" ht="15" hidden="false" customHeight="false" outlineLevel="0" collapsed="false">
      <c r="A138" s="255" t="n">
        <v>43832</v>
      </c>
      <c r="B138" s="254" t="s">
        <v>1008</v>
      </c>
      <c r="C138" s="242" t="n">
        <v>179.94</v>
      </c>
      <c r="D138" s="260" t="n">
        <v>43922</v>
      </c>
      <c r="E138" s="252"/>
    </row>
    <row r="139" customFormat="false" ht="15" hidden="false" customHeight="false" outlineLevel="0" collapsed="false">
      <c r="A139" s="255" t="n">
        <v>43849</v>
      </c>
      <c r="B139" s="241" t="s">
        <v>1009</v>
      </c>
      <c r="C139" s="242" t="n">
        <v>501.36</v>
      </c>
      <c r="D139" s="260" t="n">
        <v>43922</v>
      </c>
      <c r="E139" s="252"/>
    </row>
    <row r="140" customFormat="false" ht="15" hidden="false" customHeight="false" outlineLevel="0" collapsed="false">
      <c r="A140" s="255" t="n">
        <v>43872</v>
      </c>
      <c r="B140" s="241" t="s">
        <v>1010</v>
      </c>
      <c r="C140" s="242" t="n">
        <v>152.5</v>
      </c>
      <c r="D140" s="260" t="n">
        <v>43922</v>
      </c>
      <c r="E140" s="252"/>
    </row>
    <row r="141" customFormat="false" ht="15" hidden="false" customHeight="false" outlineLevel="0" collapsed="false">
      <c r="A141" s="255" t="n">
        <v>43890</v>
      </c>
      <c r="B141" s="241" t="s">
        <v>1011</v>
      </c>
      <c r="C141" s="242" t="n">
        <v>103.34</v>
      </c>
      <c r="D141" s="260" t="n">
        <v>43922</v>
      </c>
      <c r="E141" s="252"/>
    </row>
    <row r="142" customFormat="false" ht="15" hidden="false" customHeight="false" outlineLevel="0" collapsed="false">
      <c r="A142" s="253" t="n">
        <v>43896</v>
      </c>
      <c r="B142" s="241" t="s">
        <v>1012</v>
      </c>
      <c r="C142" s="242" t="n">
        <v>90</v>
      </c>
      <c r="D142" s="260" t="n">
        <v>43922</v>
      </c>
      <c r="E142" s="252"/>
    </row>
    <row r="143" customFormat="false" ht="15" hidden="false" customHeight="false" outlineLevel="0" collapsed="false">
      <c r="A143" s="253" t="n">
        <v>43897</v>
      </c>
      <c r="B143" s="241" t="s">
        <v>1013</v>
      </c>
      <c r="C143" s="242" t="n">
        <v>50</v>
      </c>
      <c r="D143" s="260" t="n">
        <v>43922</v>
      </c>
      <c r="E143" s="252"/>
    </row>
    <row r="144" customFormat="false" ht="15" hidden="false" customHeight="false" outlineLevel="0" collapsed="false">
      <c r="A144" s="253" t="n">
        <v>43897</v>
      </c>
      <c r="B144" s="241" t="s">
        <v>1014</v>
      </c>
      <c r="C144" s="242" t="n">
        <v>8.98</v>
      </c>
      <c r="D144" s="260" t="n">
        <v>43922</v>
      </c>
      <c r="E144" s="252"/>
    </row>
    <row r="145" customFormat="false" ht="15" hidden="false" customHeight="false" outlineLevel="0" collapsed="false">
      <c r="A145" s="253" t="n">
        <v>43897</v>
      </c>
      <c r="B145" s="241" t="s">
        <v>1015</v>
      </c>
      <c r="C145" s="242" t="n">
        <v>38.65</v>
      </c>
      <c r="D145" s="260" t="n">
        <v>43922</v>
      </c>
      <c r="E145" s="252"/>
    </row>
    <row r="146" customFormat="false" ht="15" hidden="false" customHeight="false" outlineLevel="0" collapsed="false">
      <c r="A146" s="253" t="n">
        <v>43897</v>
      </c>
      <c r="B146" s="241" t="s">
        <v>1016</v>
      </c>
      <c r="C146" s="242" t="n">
        <v>60</v>
      </c>
      <c r="D146" s="260" t="n">
        <v>43922</v>
      </c>
      <c r="E146" s="252"/>
    </row>
    <row r="147" customFormat="false" ht="15" hidden="false" customHeight="false" outlineLevel="0" collapsed="false">
      <c r="A147" s="253" t="n">
        <v>43899</v>
      </c>
      <c r="B147" s="241" t="s">
        <v>1017</v>
      </c>
      <c r="C147" s="242" t="n">
        <v>22</v>
      </c>
      <c r="D147" s="260" t="n">
        <v>43922</v>
      </c>
      <c r="E147" s="252"/>
    </row>
    <row r="148" customFormat="false" ht="15" hidden="false" customHeight="false" outlineLevel="0" collapsed="false">
      <c r="A148" s="253" t="n">
        <v>43899</v>
      </c>
      <c r="B148" s="241" t="s">
        <v>1018</v>
      </c>
      <c r="C148" s="242" t="n">
        <v>15</v>
      </c>
      <c r="D148" s="260" t="n">
        <v>43922</v>
      </c>
      <c r="E148" s="252"/>
    </row>
    <row r="149" customFormat="false" ht="15" hidden="false" customHeight="false" outlineLevel="0" collapsed="false">
      <c r="A149" s="253" t="n">
        <v>43899</v>
      </c>
      <c r="B149" s="241" t="s">
        <v>1019</v>
      </c>
      <c r="C149" s="242" t="n">
        <v>22</v>
      </c>
      <c r="D149" s="260" t="n">
        <v>43922</v>
      </c>
      <c r="E149" s="252"/>
    </row>
    <row r="150" customFormat="false" ht="15" hidden="false" customHeight="false" outlineLevel="0" collapsed="false">
      <c r="A150" s="253" t="n">
        <v>43899</v>
      </c>
      <c r="B150" s="241" t="s">
        <v>1020</v>
      </c>
      <c r="C150" s="242" t="n">
        <v>18</v>
      </c>
      <c r="D150" s="260" t="n">
        <v>43922</v>
      </c>
      <c r="E150" s="252"/>
    </row>
    <row r="151" customFormat="false" ht="15" hidden="false" customHeight="false" outlineLevel="0" collapsed="false">
      <c r="A151" s="253" t="n">
        <v>43899</v>
      </c>
      <c r="B151" s="241" t="s">
        <v>1021</v>
      </c>
      <c r="C151" s="242" t="n">
        <v>15</v>
      </c>
      <c r="D151" s="260" t="n">
        <v>43922</v>
      </c>
      <c r="E151" s="252"/>
    </row>
    <row r="152" customFormat="false" ht="15" hidden="false" customHeight="false" outlineLevel="0" collapsed="false">
      <c r="A152" s="253" t="n">
        <v>43899</v>
      </c>
      <c r="B152" s="241" t="s">
        <v>1022</v>
      </c>
      <c r="C152" s="242" t="n">
        <v>30</v>
      </c>
      <c r="D152" s="260" t="n">
        <v>43922</v>
      </c>
      <c r="E152" s="252"/>
    </row>
    <row r="153" customFormat="false" ht="15" hidden="false" customHeight="false" outlineLevel="0" collapsed="false">
      <c r="A153" s="253" t="n">
        <v>43899</v>
      </c>
      <c r="B153" s="241" t="s">
        <v>1022</v>
      </c>
      <c r="C153" s="242" t="n">
        <v>6</v>
      </c>
      <c r="D153" s="260" t="n">
        <v>43922</v>
      </c>
      <c r="E153" s="252"/>
    </row>
    <row r="154" customFormat="false" ht="15" hidden="false" customHeight="false" outlineLevel="0" collapsed="false">
      <c r="A154" s="253" t="n">
        <v>43899</v>
      </c>
      <c r="B154" s="241" t="s">
        <v>1023</v>
      </c>
      <c r="C154" s="242" t="n">
        <v>15.86</v>
      </c>
      <c r="D154" s="260" t="n">
        <v>43922</v>
      </c>
      <c r="E154" s="252"/>
    </row>
    <row r="155" customFormat="false" ht="15" hidden="false" customHeight="false" outlineLevel="0" collapsed="false">
      <c r="A155" s="253" t="n">
        <v>43899</v>
      </c>
      <c r="B155" s="241" t="s">
        <v>1024</v>
      </c>
      <c r="C155" s="242" t="n">
        <v>42.99</v>
      </c>
      <c r="D155" s="260" t="n">
        <v>43922</v>
      </c>
      <c r="E155" s="252"/>
    </row>
    <row r="156" customFormat="false" ht="15" hidden="false" customHeight="false" outlineLevel="0" collapsed="false">
      <c r="A156" s="253" t="n">
        <v>43900</v>
      </c>
      <c r="B156" s="241" t="s">
        <v>1025</v>
      </c>
      <c r="C156" s="242" t="n">
        <v>43.3</v>
      </c>
      <c r="D156" s="260" t="n">
        <v>43922</v>
      </c>
      <c r="E156" s="252"/>
    </row>
    <row r="157" customFormat="false" ht="15" hidden="false" customHeight="false" outlineLevel="0" collapsed="false">
      <c r="A157" s="253" t="n">
        <v>43901</v>
      </c>
      <c r="B157" s="241" t="s">
        <v>972</v>
      </c>
      <c r="C157" s="242" t="n">
        <v>25</v>
      </c>
      <c r="D157" s="260" t="n">
        <v>43922</v>
      </c>
      <c r="E157" s="252"/>
    </row>
    <row r="158" customFormat="false" ht="15" hidden="false" customHeight="false" outlineLevel="0" collapsed="false">
      <c r="A158" s="253" t="n">
        <v>43901</v>
      </c>
      <c r="B158" s="241" t="s">
        <v>1026</v>
      </c>
      <c r="C158" s="242" t="n">
        <v>20.47</v>
      </c>
      <c r="D158" s="260" t="n">
        <v>43922</v>
      </c>
      <c r="E158" s="252"/>
    </row>
    <row r="159" customFormat="false" ht="15" hidden="false" customHeight="false" outlineLevel="0" collapsed="false">
      <c r="A159" s="253" t="n">
        <v>43901</v>
      </c>
      <c r="B159" s="241" t="s">
        <v>1027</v>
      </c>
      <c r="C159" s="242" t="n">
        <v>17.95</v>
      </c>
      <c r="D159" s="260" t="n">
        <v>43922</v>
      </c>
      <c r="E159" s="252"/>
    </row>
    <row r="160" customFormat="false" ht="15" hidden="false" customHeight="false" outlineLevel="0" collapsed="false">
      <c r="A160" s="253" t="n">
        <v>43901</v>
      </c>
      <c r="B160" s="241" t="s">
        <v>1028</v>
      </c>
      <c r="C160" s="242" t="n">
        <v>27.88</v>
      </c>
      <c r="D160" s="260" t="n">
        <v>43922</v>
      </c>
      <c r="E160" s="252"/>
    </row>
    <row r="161" customFormat="false" ht="15" hidden="false" customHeight="false" outlineLevel="0" collapsed="false">
      <c r="A161" s="253" t="n">
        <v>43901</v>
      </c>
      <c r="B161" s="241" t="s">
        <v>1029</v>
      </c>
      <c r="C161" s="242" t="n">
        <v>37.57</v>
      </c>
      <c r="D161" s="260" t="n">
        <v>43922</v>
      </c>
      <c r="E161" s="252"/>
    </row>
    <row r="162" customFormat="false" ht="15" hidden="false" customHeight="false" outlineLevel="0" collapsed="false">
      <c r="A162" s="253" t="n">
        <v>43902</v>
      </c>
      <c r="B162" s="254" t="s">
        <v>1030</v>
      </c>
      <c r="C162" s="242" t="n">
        <v>63</v>
      </c>
      <c r="D162" s="260" t="n">
        <v>43922</v>
      </c>
      <c r="E162" s="252"/>
    </row>
    <row r="163" customFormat="false" ht="15" hidden="false" customHeight="false" outlineLevel="0" collapsed="false">
      <c r="A163" s="253" t="n">
        <v>43902</v>
      </c>
      <c r="B163" s="254" t="s">
        <v>966</v>
      </c>
      <c r="C163" s="242" t="n">
        <v>14</v>
      </c>
      <c r="D163" s="260" t="n">
        <v>43922</v>
      </c>
      <c r="E163" s="252"/>
    </row>
    <row r="164" customFormat="false" ht="15" hidden="false" customHeight="false" outlineLevel="0" collapsed="false">
      <c r="A164" s="253" t="n">
        <v>43903</v>
      </c>
      <c r="B164" s="254" t="s">
        <v>939</v>
      </c>
      <c r="C164" s="242" t="n">
        <v>50</v>
      </c>
      <c r="D164" s="260" t="n">
        <v>43922</v>
      </c>
      <c r="E164" s="252"/>
    </row>
    <row r="165" customFormat="false" ht="15" hidden="false" customHeight="false" outlineLevel="0" collapsed="false">
      <c r="A165" s="255" t="n">
        <v>43904</v>
      </c>
      <c r="B165" s="254" t="s">
        <v>1031</v>
      </c>
      <c r="C165" s="242" t="n">
        <v>35.45</v>
      </c>
      <c r="D165" s="260" t="n">
        <v>43922</v>
      </c>
      <c r="E165" s="252"/>
    </row>
    <row r="166" customFormat="false" ht="15" hidden="false" customHeight="false" outlineLevel="0" collapsed="false">
      <c r="A166" s="255" t="n">
        <v>43904</v>
      </c>
      <c r="B166" s="254" t="s">
        <v>1032</v>
      </c>
      <c r="C166" s="242" t="n">
        <v>7.5</v>
      </c>
      <c r="D166" s="260" t="n">
        <v>43922</v>
      </c>
      <c r="E166" s="252"/>
    </row>
    <row r="167" customFormat="false" ht="15" hidden="false" customHeight="false" outlineLevel="0" collapsed="false">
      <c r="A167" s="255" t="n">
        <v>43904</v>
      </c>
      <c r="B167" s="254" t="s">
        <v>1033</v>
      </c>
      <c r="C167" s="242" t="n">
        <v>210.27</v>
      </c>
      <c r="D167" s="260" t="n">
        <v>43922</v>
      </c>
      <c r="E167" s="252"/>
    </row>
    <row r="168" customFormat="false" ht="15" hidden="false" customHeight="false" outlineLevel="0" collapsed="false">
      <c r="A168" s="255" t="n">
        <v>43906</v>
      </c>
      <c r="B168" s="254" t="s">
        <v>1034</v>
      </c>
      <c r="C168" s="242" t="n">
        <v>39</v>
      </c>
      <c r="D168" s="260" t="n">
        <v>43922</v>
      </c>
      <c r="E168" s="252"/>
    </row>
    <row r="169" customFormat="false" ht="15" hidden="false" customHeight="false" outlineLevel="0" collapsed="false">
      <c r="A169" s="255" t="n">
        <v>43906</v>
      </c>
      <c r="B169" s="254" t="s">
        <v>1035</v>
      </c>
      <c r="C169" s="242" t="n">
        <v>158.5</v>
      </c>
      <c r="D169" s="260" t="n">
        <v>43922</v>
      </c>
      <c r="E169" s="252"/>
    </row>
    <row r="170" customFormat="false" ht="15" hidden="false" customHeight="false" outlineLevel="0" collapsed="false">
      <c r="A170" s="255" t="n">
        <v>43907</v>
      </c>
      <c r="B170" s="254" t="s">
        <v>1036</v>
      </c>
      <c r="C170" s="242" t="n">
        <v>50</v>
      </c>
      <c r="D170" s="260" t="n">
        <v>43922</v>
      </c>
      <c r="E170" s="252"/>
    </row>
    <row r="171" customFormat="false" ht="15" hidden="false" customHeight="false" outlineLevel="0" collapsed="false">
      <c r="A171" s="255" t="n">
        <v>43907</v>
      </c>
      <c r="B171" s="254" t="s">
        <v>1037</v>
      </c>
      <c r="C171" s="242" t="n">
        <v>282</v>
      </c>
      <c r="D171" s="260" t="n">
        <v>43922</v>
      </c>
      <c r="E171" s="252"/>
    </row>
    <row r="172" customFormat="false" ht="15" hidden="false" customHeight="false" outlineLevel="0" collapsed="false">
      <c r="A172" s="255" t="n">
        <v>43910</v>
      </c>
      <c r="B172" s="254" t="s">
        <v>1038</v>
      </c>
      <c r="C172" s="242" t="n">
        <v>6.99</v>
      </c>
      <c r="D172" s="260" t="n">
        <v>43922</v>
      </c>
      <c r="E172" s="252"/>
    </row>
    <row r="173" customFormat="false" ht="15" hidden="false" customHeight="false" outlineLevel="0" collapsed="false">
      <c r="A173" s="255" t="n">
        <v>43911</v>
      </c>
      <c r="B173" s="254" t="s">
        <v>1039</v>
      </c>
      <c r="C173" s="242" t="n">
        <v>10.79</v>
      </c>
      <c r="D173" s="260" t="n">
        <v>43922</v>
      </c>
      <c r="E173" s="252"/>
    </row>
    <row r="174" customFormat="false" ht="15" hidden="false" customHeight="false" outlineLevel="0" collapsed="false">
      <c r="A174" s="255" t="n">
        <v>43911</v>
      </c>
      <c r="B174" s="254" t="s">
        <v>1040</v>
      </c>
      <c r="C174" s="242" t="n">
        <v>185.01</v>
      </c>
      <c r="D174" s="260" t="n">
        <v>43922</v>
      </c>
      <c r="E174" s="252"/>
    </row>
    <row r="175" customFormat="false" ht="15" hidden="false" customHeight="false" outlineLevel="0" collapsed="false">
      <c r="A175" s="255" t="n">
        <v>43911</v>
      </c>
      <c r="B175" s="254" t="s">
        <v>1041</v>
      </c>
      <c r="C175" s="242" t="n">
        <v>61</v>
      </c>
      <c r="D175" s="260" t="n">
        <v>43922</v>
      </c>
      <c r="E175" s="252"/>
    </row>
    <row r="176" customFormat="false" ht="15" hidden="false" customHeight="false" outlineLevel="0" collapsed="false">
      <c r="A176" s="255" t="n">
        <v>43911</v>
      </c>
      <c r="B176" s="254" t="s">
        <v>1042</v>
      </c>
      <c r="C176" s="242" t="n">
        <v>16.9</v>
      </c>
      <c r="D176" s="260" t="n">
        <v>43922</v>
      </c>
      <c r="E176" s="252"/>
    </row>
    <row r="177" customFormat="false" ht="15" hidden="false" customHeight="false" outlineLevel="0" collapsed="false">
      <c r="A177" s="255" t="n">
        <v>43911</v>
      </c>
      <c r="B177" s="254" t="s">
        <v>1043</v>
      </c>
      <c r="C177" s="242" t="n">
        <v>377.32</v>
      </c>
      <c r="D177" s="260" t="n">
        <v>43922</v>
      </c>
      <c r="E177" s="252"/>
    </row>
    <row r="178" customFormat="false" ht="15" hidden="false" customHeight="false" outlineLevel="0" collapsed="false">
      <c r="A178" s="255" t="n">
        <v>43911</v>
      </c>
      <c r="B178" s="254" t="s">
        <v>1043</v>
      </c>
      <c r="C178" s="242" t="n">
        <v>510.74</v>
      </c>
      <c r="D178" s="260" t="n">
        <v>43922</v>
      </c>
      <c r="E178" s="252"/>
    </row>
    <row r="179" customFormat="false" ht="15" hidden="false" customHeight="false" outlineLevel="0" collapsed="false">
      <c r="A179" s="257" t="n">
        <v>43912</v>
      </c>
      <c r="B179" s="258" t="s">
        <v>1044</v>
      </c>
      <c r="C179" s="242" t="n">
        <v>89.62</v>
      </c>
      <c r="D179" s="260" t="n">
        <v>43922</v>
      </c>
    </row>
    <row r="180" customFormat="false" ht="15" hidden="false" customHeight="false" outlineLevel="0" collapsed="false">
      <c r="A180" s="255" t="n">
        <v>43916</v>
      </c>
      <c r="B180" s="254" t="s">
        <v>1045</v>
      </c>
      <c r="C180" s="242" t="n">
        <v>16</v>
      </c>
      <c r="D180" s="260" t="n">
        <v>43922</v>
      </c>
    </row>
    <row r="181" customFormat="false" ht="15" hidden="false" customHeight="false" outlineLevel="0" collapsed="false">
      <c r="A181" s="255" t="n">
        <v>43916</v>
      </c>
      <c r="B181" s="254" t="s">
        <v>1046</v>
      </c>
      <c r="C181" s="242" t="n">
        <v>10</v>
      </c>
      <c r="D181" s="260" t="n">
        <v>43922</v>
      </c>
    </row>
    <row r="182" customFormat="false" ht="15" hidden="false" customHeight="false" outlineLevel="0" collapsed="false">
      <c r="A182" s="255" t="n">
        <v>43922</v>
      </c>
      <c r="B182" s="254" t="s">
        <v>999</v>
      </c>
      <c r="C182" s="242" t="n">
        <v>36</v>
      </c>
      <c r="D182" s="260" t="n">
        <v>43922</v>
      </c>
    </row>
    <row r="183" customFormat="false" ht="15" hidden="false" customHeight="false" outlineLevel="0" collapsed="false">
      <c r="A183" s="255" t="n">
        <v>43917</v>
      </c>
      <c r="B183" s="254" t="s">
        <v>1047</v>
      </c>
      <c r="C183" s="242" t="n">
        <v>85.97</v>
      </c>
      <c r="D183" s="260" t="n">
        <v>43922</v>
      </c>
    </row>
    <row r="184" customFormat="false" ht="15" hidden="false" customHeight="false" outlineLevel="0" collapsed="false">
      <c r="A184" s="255" t="n">
        <v>43922</v>
      </c>
      <c r="B184" s="254" t="s">
        <v>1048</v>
      </c>
      <c r="C184" s="242" t="n">
        <v>0.23</v>
      </c>
      <c r="D184" s="260" t="n">
        <v>43922</v>
      </c>
    </row>
    <row r="185" customFormat="false" ht="15" hidden="false" customHeight="false" outlineLevel="0" collapsed="false">
      <c r="A185" s="255" t="n">
        <v>43901</v>
      </c>
      <c r="B185" s="254" t="s">
        <v>993</v>
      </c>
      <c r="C185" s="256" t="n">
        <v>0</v>
      </c>
      <c r="D185" s="262" t="n">
        <v>43952</v>
      </c>
    </row>
    <row r="186" customFormat="false" ht="15" hidden="false" customHeight="false" outlineLevel="0" collapsed="false">
      <c r="A186" s="255" t="n">
        <v>43930</v>
      </c>
      <c r="B186" s="254" t="s">
        <v>953</v>
      </c>
      <c r="C186" s="256" t="n">
        <v>0</v>
      </c>
      <c r="D186" s="262" t="n">
        <v>43952</v>
      </c>
    </row>
    <row r="187" customFormat="false" ht="15" hidden="false" customHeight="false" outlineLevel="0" collapsed="false">
      <c r="A187" s="255" t="n">
        <v>43932</v>
      </c>
      <c r="B187" s="254" t="s">
        <v>942</v>
      </c>
      <c r="C187" s="256" t="n">
        <v>0</v>
      </c>
      <c r="D187" s="262" t="n">
        <v>43952</v>
      </c>
    </row>
    <row r="188" customFormat="false" ht="15" hidden="false" customHeight="false" outlineLevel="0" collapsed="false">
      <c r="A188" s="255" t="n">
        <v>43932</v>
      </c>
      <c r="B188" s="254" t="s">
        <v>1044</v>
      </c>
      <c r="C188" s="256" t="n">
        <v>0</v>
      </c>
      <c r="D188" s="262" t="n">
        <v>43952</v>
      </c>
    </row>
    <row r="189" customFormat="false" ht="15" hidden="true" customHeight="false" outlineLevel="0" collapsed="false">
      <c r="A189" s="255"/>
      <c r="B189" s="254"/>
      <c r="C189" s="242"/>
      <c r="D189" s="243"/>
    </row>
    <row r="190" customFormat="false" ht="15" hidden="true" customHeight="false" outlineLevel="0" collapsed="false">
      <c r="A190" s="255"/>
      <c r="B190" s="254"/>
      <c r="C190" s="242"/>
      <c r="D190" s="243"/>
    </row>
    <row r="191" customFormat="false" ht="15" hidden="true" customHeight="false" outlineLevel="0" collapsed="false">
      <c r="A191" s="255"/>
      <c r="B191" s="254"/>
      <c r="C191" s="242"/>
      <c r="D191" s="243"/>
    </row>
    <row r="192" customFormat="false" ht="15" hidden="true" customHeight="false" outlineLevel="0" collapsed="false">
      <c r="A192" s="255"/>
      <c r="B192" s="254"/>
      <c r="C192" s="242"/>
      <c r="D192" s="243"/>
    </row>
    <row r="193" customFormat="false" ht="15" hidden="false" customHeight="false" outlineLevel="0" collapsed="false">
      <c r="A193" s="255" t="n">
        <v>43904</v>
      </c>
      <c r="B193" s="254" t="s">
        <v>1049</v>
      </c>
      <c r="C193" s="256" t="n">
        <v>0</v>
      </c>
      <c r="D193" s="262" t="n">
        <v>43952</v>
      </c>
    </row>
    <row r="194" customFormat="false" ht="15" hidden="false" customHeight="false" outlineLevel="0" collapsed="false">
      <c r="A194" s="255" t="n">
        <v>43901</v>
      </c>
      <c r="B194" s="254" t="s">
        <v>1050</v>
      </c>
      <c r="C194" s="256" t="n">
        <v>0</v>
      </c>
      <c r="D194" s="262" t="n">
        <v>43952</v>
      </c>
    </row>
    <row r="195" customFormat="false" ht="15" hidden="false" customHeight="false" outlineLevel="0" collapsed="false">
      <c r="A195" s="255" t="n">
        <v>43911</v>
      </c>
      <c r="B195" s="254" t="s">
        <v>1051</v>
      </c>
      <c r="C195" s="256" t="n">
        <v>0</v>
      </c>
      <c r="D195" s="262" t="n">
        <v>43952</v>
      </c>
    </row>
    <row r="196" customFormat="false" ht="15" hidden="false" customHeight="false" outlineLevel="0" collapsed="false">
      <c r="A196" s="255" t="n">
        <v>43911</v>
      </c>
      <c r="B196" s="254" t="s">
        <v>1051</v>
      </c>
      <c r="C196" s="256" t="n">
        <v>0</v>
      </c>
      <c r="D196" s="262" t="n">
        <v>43952</v>
      </c>
    </row>
    <row r="197" customFormat="false" ht="15" hidden="true" customHeight="false" outlineLevel="0" collapsed="false">
      <c r="A197" s="255"/>
      <c r="B197" s="254"/>
      <c r="C197" s="242"/>
      <c r="D197" s="243"/>
    </row>
    <row r="198" customFormat="false" ht="15" hidden="true" customHeight="false" outlineLevel="0" collapsed="false">
      <c r="A198" s="255"/>
      <c r="B198" s="254"/>
      <c r="C198" s="242"/>
      <c r="D198" s="243"/>
    </row>
    <row r="199" customFormat="false" ht="15" hidden="true" customHeight="false" outlineLevel="0" collapsed="false">
      <c r="A199" s="255"/>
      <c r="B199" s="254"/>
      <c r="C199" s="242"/>
      <c r="D199" s="243"/>
    </row>
    <row r="200" customFormat="false" ht="15" hidden="false" customHeight="false" outlineLevel="0" collapsed="false">
      <c r="A200" s="263" t="n">
        <v>43890</v>
      </c>
      <c r="B200" s="264" t="s">
        <v>1052</v>
      </c>
      <c r="C200" s="265" t="n">
        <v>0</v>
      </c>
      <c r="D200" s="262" t="n">
        <v>43952</v>
      </c>
    </row>
    <row r="201" customFormat="false" ht="15" hidden="false" customHeight="false" outlineLevel="0" collapsed="false">
      <c r="A201" s="263" t="n">
        <v>43901</v>
      </c>
      <c r="B201" s="264" t="s">
        <v>993</v>
      </c>
      <c r="C201" s="265" t="n">
        <v>0</v>
      </c>
      <c r="D201" s="262" t="n">
        <v>43952</v>
      </c>
    </row>
    <row r="202" customFormat="false" ht="15" hidden="false" customHeight="false" outlineLevel="0" collapsed="false">
      <c r="A202" s="263" t="n">
        <v>43901</v>
      </c>
      <c r="B202" s="264" t="s">
        <v>1053</v>
      </c>
      <c r="C202" s="265" t="n">
        <v>0</v>
      </c>
      <c r="D202" s="262" t="n">
        <v>43952</v>
      </c>
    </row>
    <row r="203" customFormat="false" ht="15" hidden="false" customHeight="false" outlineLevel="0" collapsed="false">
      <c r="A203" s="263" t="n">
        <v>43901</v>
      </c>
      <c r="B203" s="264" t="s">
        <v>1054</v>
      </c>
      <c r="C203" s="265" t="n">
        <v>0</v>
      </c>
      <c r="D203" s="262" t="n">
        <v>43952</v>
      </c>
    </row>
    <row r="204" customFormat="false" ht="15" hidden="false" customHeight="false" outlineLevel="0" collapsed="false">
      <c r="A204" s="263" t="n">
        <v>43904</v>
      </c>
      <c r="B204" s="264" t="s">
        <v>1039</v>
      </c>
      <c r="C204" s="265" t="n">
        <v>0</v>
      </c>
      <c r="D204" s="262" t="n">
        <v>43952</v>
      </c>
    </row>
    <row r="205" customFormat="false" ht="15" hidden="false" customHeight="false" outlineLevel="0" collapsed="false">
      <c r="A205" s="263" t="n">
        <v>43935</v>
      </c>
      <c r="B205" s="264" t="s">
        <v>1055</v>
      </c>
      <c r="C205" s="265" t="n">
        <v>0</v>
      </c>
      <c r="D205" s="262" t="n">
        <v>43952</v>
      </c>
    </row>
    <row r="206" customFormat="false" ht="15" hidden="false" customHeight="false" outlineLevel="0" collapsed="false">
      <c r="A206" s="263" t="n">
        <v>43936</v>
      </c>
      <c r="B206" s="264" t="s">
        <v>957</v>
      </c>
      <c r="C206" s="265" t="n">
        <v>0</v>
      </c>
      <c r="D206" s="262" t="n">
        <v>43952</v>
      </c>
    </row>
    <row r="207" customFormat="false" ht="15" hidden="false" customHeight="false" outlineLevel="0" collapsed="false">
      <c r="A207" s="263" t="n">
        <v>43939</v>
      </c>
      <c r="B207" s="264" t="s">
        <v>1056</v>
      </c>
      <c r="C207" s="265" t="n">
        <v>0</v>
      </c>
      <c r="D207" s="262" t="n">
        <v>43952</v>
      </c>
    </row>
    <row r="208" customFormat="false" ht="15" hidden="false" customHeight="false" outlineLevel="0" collapsed="false">
      <c r="A208" s="263" t="n">
        <v>43939</v>
      </c>
      <c r="B208" s="264" t="s">
        <v>1057</v>
      </c>
      <c r="C208" s="265" t="n">
        <v>0</v>
      </c>
      <c r="D208" s="262" t="n">
        <v>43952</v>
      </c>
    </row>
    <row r="209" customFormat="false" ht="15" hidden="false" customHeight="false" outlineLevel="0" collapsed="false">
      <c r="A209" s="266" t="n">
        <v>43849</v>
      </c>
      <c r="B209" s="228" t="s">
        <v>1006</v>
      </c>
      <c r="C209" s="267" t="n">
        <v>501.36</v>
      </c>
      <c r="D209" s="262" t="n">
        <v>43952</v>
      </c>
    </row>
    <row r="210" customFormat="false" ht="15" hidden="false" customHeight="false" outlineLevel="0" collapsed="false">
      <c r="A210" s="266" t="n">
        <v>43872</v>
      </c>
      <c r="B210" s="228" t="s">
        <v>1058</v>
      </c>
      <c r="C210" s="267" t="n">
        <v>152.5</v>
      </c>
      <c r="D210" s="262" t="n">
        <v>43952</v>
      </c>
    </row>
    <row r="211" customFormat="false" ht="15" hidden="false" customHeight="false" outlineLevel="0" collapsed="false">
      <c r="A211" s="266" t="n">
        <v>43890</v>
      </c>
      <c r="B211" s="228" t="s">
        <v>1052</v>
      </c>
      <c r="C211" s="267" t="n">
        <v>103.34</v>
      </c>
      <c r="D211" s="262" t="n">
        <v>43952</v>
      </c>
    </row>
    <row r="212" customFormat="false" ht="15" hidden="false" customHeight="false" outlineLevel="0" collapsed="false">
      <c r="A212" s="266" t="n">
        <v>43901</v>
      </c>
      <c r="B212" s="228" t="s">
        <v>993</v>
      </c>
      <c r="C212" s="267" t="n">
        <v>-0.02</v>
      </c>
      <c r="D212" s="262" t="n">
        <v>43952</v>
      </c>
    </row>
    <row r="213" customFormat="false" ht="15" hidden="false" customHeight="false" outlineLevel="0" collapsed="false">
      <c r="A213" s="266" t="n">
        <v>43901</v>
      </c>
      <c r="B213" s="228" t="s">
        <v>1053</v>
      </c>
      <c r="C213" s="267" t="n">
        <v>27.88</v>
      </c>
      <c r="D213" s="262" t="n">
        <v>43952</v>
      </c>
    </row>
    <row r="214" customFormat="false" ht="15" hidden="false" customHeight="false" outlineLevel="0" collapsed="false">
      <c r="A214" s="266" t="n">
        <v>43901</v>
      </c>
      <c r="B214" s="228" t="s">
        <v>1054</v>
      </c>
      <c r="C214" s="267" t="n">
        <v>37.57</v>
      </c>
      <c r="D214" s="262" t="n">
        <v>43952</v>
      </c>
    </row>
    <row r="215" customFormat="false" ht="15" hidden="false" customHeight="false" outlineLevel="0" collapsed="false">
      <c r="A215" s="266" t="n">
        <v>43904</v>
      </c>
      <c r="B215" s="228" t="s">
        <v>1039</v>
      </c>
      <c r="C215" s="267" t="n">
        <v>-0.05</v>
      </c>
      <c r="D215" s="262" t="n">
        <v>43952</v>
      </c>
    </row>
    <row r="216" customFormat="false" ht="15" hidden="false" customHeight="false" outlineLevel="0" collapsed="false">
      <c r="A216" s="266" t="n">
        <v>43904</v>
      </c>
      <c r="B216" s="228" t="s">
        <v>1059</v>
      </c>
      <c r="C216" s="267" t="n">
        <v>210.27</v>
      </c>
      <c r="D216" s="262" t="n">
        <v>43952</v>
      </c>
    </row>
    <row r="217" customFormat="false" ht="15" hidden="false" customHeight="false" outlineLevel="0" collapsed="false">
      <c r="A217" s="266" t="n">
        <v>43911</v>
      </c>
      <c r="B217" s="228" t="s">
        <v>1060</v>
      </c>
      <c r="C217" s="267" t="n">
        <v>377.32</v>
      </c>
      <c r="D217" s="262" t="n">
        <v>43952</v>
      </c>
    </row>
    <row r="218" customFormat="false" ht="15" hidden="false" customHeight="false" outlineLevel="0" collapsed="false">
      <c r="A218" s="266" t="n">
        <v>43911</v>
      </c>
      <c r="B218" s="228" t="s">
        <v>1060</v>
      </c>
      <c r="C218" s="267" t="n">
        <v>510.74</v>
      </c>
      <c r="D218" s="262" t="n">
        <v>43952</v>
      </c>
    </row>
    <row r="219" customFormat="false" ht="15" hidden="false" customHeight="false" outlineLevel="0" collapsed="false">
      <c r="A219" s="266" t="n">
        <v>43930</v>
      </c>
      <c r="B219" s="228" t="s">
        <v>953</v>
      </c>
      <c r="C219" s="267" t="n">
        <v>189.83</v>
      </c>
      <c r="D219" s="262" t="n">
        <v>43952</v>
      </c>
    </row>
    <row r="220" customFormat="false" ht="15" hidden="false" customHeight="false" outlineLevel="0" collapsed="false">
      <c r="A220" s="266" t="n">
        <v>43932</v>
      </c>
      <c r="B220" s="228" t="s">
        <v>942</v>
      </c>
      <c r="C220" s="267" t="n">
        <v>26.25</v>
      </c>
      <c r="D220" s="262" t="n">
        <v>43952</v>
      </c>
    </row>
    <row r="221" customFormat="false" ht="15" hidden="false" customHeight="false" outlineLevel="0" collapsed="false">
      <c r="A221" s="266" t="n">
        <v>43932</v>
      </c>
      <c r="B221" s="228" t="s">
        <v>1044</v>
      </c>
      <c r="C221" s="267" t="n">
        <v>5.38</v>
      </c>
      <c r="D221" s="262" t="n">
        <v>43952</v>
      </c>
    </row>
    <row r="222" customFormat="false" ht="15" hidden="false" customHeight="false" outlineLevel="0" collapsed="false">
      <c r="A222" s="266" t="n">
        <v>43935</v>
      </c>
      <c r="B222" s="228" t="s">
        <v>1055</v>
      </c>
      <c r="C222" s="267" t="n">
        <v>7.9</v>
      </c>
      <c r="D222" s="262" t="n">
        <v>43952</v>
      </c>
    </row>
    <row r="223" customFormat="false" ht="15" hidden="false" customHeight="false" outlineLevel="0" collapsed="false">
      <c r="A223" s="266" t="n">
        <v>43936</v>
      </c>
      <c r="B223" s="228" t="s">
        <v>957</v>
      </c>
      <c r="C223" s="267" t="n">
        <v>212.17</v>
      </c>
      <c r="D223" s="262" t="n">
        <v>43952</v>
      </c>
    </row>
    <row r="224" customFormat="false" ht="15" hidden="false" customHeight="false" outlineLevel="0" collapsed="false">
      <c r="A224" s="266" t="n">
        <v>43939</v>
      </c>
      <c r="B224" s="228" t="s">
        <v>1056</v>
      </c>
      <c r="C224" s="267" t="n">
        <v>124.95</v>
      </c>
      <c r="D224" s="262" t="n">
        <v>43952</v>
      </c>
    </row>
    <row r="225" customFormat="false" ht="15" hidden="false" customHeight="false" outlineLevel="0" collapsed="false">
      <c r="A225" s="266" t="n">
        <v>43939</v>
      </c>
      <c r="B225" s="228" t="s">
        <v>1057</v>
      </c>
      <c r="C225" s="267" t="n">
        <v>163.44</v>
      </c>
      <c r="D225" s="262" t="n">
        <v>43952</v>
      </c>
    </row>
    <row r="226" customFormat="false" ht="15" hidden="true" customHeight="false" outlineLevel="0" collapsed="false">
      <c r="A226" s="266"/>
      <c r="B226" s="228"/>
      <c r="C226" s="267"/>
      <c r="D226" s="223"/>
    </row>
    <row r="227" customFormat="false" ht="15" hidden="true" customHeight="false" outlineLevel="0" collapsed="false">
      <c r="A227" s="266"/>
      <c r="B227" s="228"/>
      <c r="C227" s="267"/>
      <c r="D227" s="223"/>
    </row>
    <row r="228" customFormat="false" ht="15" hidden="true" customHeight="false" outlineLevel="0" collapsed="false">
      <c r="A228" s="266"/>
      <c r="B228" s="228"/>
      <c r="C228" s="267"/>
      <c r="D228" s="223"/>
    </row>
    <row r="229" customFormat="false" ht="15" hidden="true" customHeight="false" outlineLevel="0" collapsed="false">
      <c r="A229" s="266"/>
      <c r="B229" s="228"/>
      <c r="C229" s="267"/>
      <c r="D229" s="223"/>
    </row>
    <row r="230" customFormat="false" ht="15" hidden="true" customHeight="false" outlineLevel="0" collapsed="false">
      <c r="A230" s="266"/>
      <c r="B230" s="228"/>
      <c r="C230" s="267"/>
      <c r="D230" s="223"/>
    </row>
    <row r="231" customFormat="false" ht="15" hidden="true" customHeight="false" outlineLevel="0" collapsed="false">
      <c r="A231" s="266"/>
      <c r="B231" s="228"/>
      <c r="C231" s="267"/>
      <c r="D231" s="223"/>
    </row>
    <row r="232" customFormat="false" ht="15" hidden="true" customHeight="false" outlineLevel="0" collapsed="false">
      <c r="A232" s="266"/>
      <c r="B232" s="228"/>
      <c r="C232" s="267"/>
      <c r="D232" s="223"/>
    </row>
    <row r="233" customFormat="false" ht="15" hidden="true" customHeight="false" outlineLevel="0" collapsed="false">
      <c r="A233" s="266"/>
      <c r="B233" s="228"/>
      <c r="C233" s="267"/>
      <c r="D233" s="223"/>
    </row>
    <row r="234" customFormat="false" ht="15" hidden="true" customHeight="false" outlineLevel="0" collapsed="false">
      <c r="A234" s="266"/>
      <c r="B234" s="228"/>
      <c r="C234" s="267"/>
      <c r="D234" s="223"/>
    </row>
    <row r="235" customFormat="false" ht="15" hidden="true" customHeight="false" outlineLevel="0" collapsed="false">
      <c r="A235" s="266"/>
      <c r="B235" s="228"/>
      <c r="C235" s="267"/>
      <c r="D235" s="223"/>
    </row>
    <row r="236" customFormat="false" ht="15" hidden="true" customHeight="false" outlineLevel="0" collapsed="false">
      <c r="A236" s="266"/>
      <c r="B236" s="228"/>
      <c r="C236" s="267"/>
      <c r="D236" s="223"/>
    </row>
    <row r="237" customFormat="false" ht="15" hidden="true" customHeight="false" outlineLevel="0" collapsed="false">
      <c r="A237" s="266"/>
      <c r="B237" s="228"/>
      <c r="C237" s="267"/>
      <c r="D237" s="223"/>
    </row>
    <row r="238" customFormat="false" ht="15" hidden="true" customHeight="false" outlineLevel="0" collapsed="false">
      <c r="A238" s="266"/>
      <c r="B238" s="228"/>
      <c r="C238" s="267"/>
      <c r="D238" s="223"/>
    </row>
    <row r="239" customFormat="false" ht="15" hidden="true" customHeight="false" outlineLevel="0" collapsed="false">
      <c r="A239" s="266"/>
      <c r="B239" s="228"/>
      <c r="C239" s="267"/>
      <c r="D239" s="223"/>
    </row>
    <row r="240" customFormat="false" ht="15" hidden="true" customHeight="false" outlineLevel="0" collapsed="false">
      <c r="A240" s="266"/>
      <c r="B240" s="228"/>
      <c r="C240" s="267"/>
      <c r="D240" s="223"/>
    </row>
    <row r="241" customFormat="false" ht="15" hidden="true" customHeight="false" outlineLevel="0" collapsed="false">
      <c r="A241" s="266"/>
      <c r="B241" s="228"/>
      <c r="C241" s="267"/>
      <c r="D241" s="223"/>
    </row>
    <row r="242" customFormat="false" ht="15" hidden="true" customHeight="false" outlineLevel="0" collapsed="false">
      <c r="A242" s="266"/>
      <c r="B242" s="228"/>
      <c r="C242" s="267"/>
      <c r="D242" s="223"/>
    </row>
    <row r="243" customFormat="false" ht="15" hidden="true" customHeight="false" outlineLevel="0" collapsed="false">
      <c r="A243" s="266"/>
      <c r="B243" s="228"/>
      <c r="C243" s="267"/>
      <c r="D243" s="223"/>
    </row>
    <row r="244" customFormat="false" ht="15" hidden="true" customHeight="false" outlineLevel="0" collapsed="false">
      <c r="A244" s="266"/>
      <c r="B244" s="228"/>
      <c r="C244" s="267"/>
      <c r="D244" s="223"/>
    </row>
    <row r="245" customFormat="false" ht="15" hidden="true" customHeight="false" outlineLevel="0" collapsed="false">
      <c r="A245" s="266"/>
      <c r="B245" s="228"/>
      <c r="C245" s="267"/>
      <c r="D245" s="223"/>
    </row>
    <row r="246" customFormat="false" ht="15" hidden="false" customHeight="false" outlineLevel="0" collapsed="false">
      <c r="A246" s="266" t="n">
        <v>43941</v>
      </c>
      <c r="B246" s="228" t="s">
        <v>1038</v>
      </c>
      <c r="C246" s="267" t="n">
        <v>6.99</v>
      </c>
      <c r="D246" s="262" t="n">
        <v>43952</v>
      </c>
    </row>
    <row r="247" customFormat="false" ht="15" hidden="false" customHeight="false" outlineLevel="0" collapsed="false">
      <c r="A247" s="266" t="n">
        <v>43945</v>
      </c>
      <c r="B247" s="228" t="s">
        <v>931</v>
      </c>
      <c r="C247" s="267" t="n">
        <v>16.9</v>
      </c>
      <c r="D247" s="262" t="n">
        <v>43952</v>
      </c>
    </row>
    <row r="248" customFormat="false" ht="15" hidden="false" customHeight="false" outlineLevel="0" collapsed="false">
      <c r="A248" s="266" t="n">
        <v>43950</v>
      </c>
      <c r="B248" s="228" t="s">
        <v>1061</v>
      </c>
      <c r="C248" s="267" t="n">
        <v>31.92</v>
      </c>
      <c r="D248" s="262" t="n">
        <v>43952</v>
      </c>
    </row>
    <row r="249" customFormat="false" ht="15" hidden="false" customHeight="false" outlineLevel="0" collapsed="false">
      <c r="A249" s="266" t="n">
        <v>43950</v>
      </c>
      <c r="B249" s="228" t="s">
        <v>1061</v>
      </c>
      <c r="C249" s="267" t="n">
        <v>30.06</v>
      </c>
      <c r="D249" s="262" t="n">
        <v>43952</v>
      </c>
    </row>
    <row r="250" customFormat="false" ht="15" hidden="false" customHeight="false" outlineLevel="0" collapsed="false">
      <c r="A250" s="266" t="n">
        <v>43950</v>
      </c>
      <c r="B250" s="228" t="s">
        <v>1061</v>
      </c>
      <c r="C250" s="267" t="n">
        <v>58.66</v>
      </c>
      <c r="D250" s="262" t="n">
        <v>43952</v>
      </c>
    </row>
    <row r="251" customFormat="false" ht="15" hidden="false" customHeight="false" outlineLevel="0" collapsed="false">
      <c r="A251" s="266" t="n">
        <v>43955</v>
      </c>
      <c r="B251" s="228" t="s">
        <v>999</v>
      </c>
      <c r="C251" s="267" t="n">
        <v>36</v>
      </c>
      <c r="D251" s="262" t="n">
        <v>43952</v>
      </c>
    </row>
    <row r="252" customFormat="false" ht="15" hidden="false" customHeight="false" outlineLevel="0" collapsed="false">
      <c r="A252" s="266" t="n">
        <v>43956</v>
      </c>
      <c r="B252" s="228" t="s">
        <v>1062</v>
      </c>
      <c r="C252" s="267" t="n">
        <v>87.75</v>
      </c>
      <c r="D252" s="262" t="n">
        <v>43952</v>
      </c>
    </row>
    <row r="253" customFormat="false" ht="15" hidden="false" customHeight="false" outlineLevel="0" collapsed="false">
      <c r="A253" s="266" t="n">
        <v>43956</v>
      </c>
      <c r="B253" s="228" t="s">
        <v>942</v>
      </c>
      <c r="C253" s="267" t="n">
        <v>23.64</v>
      </c>
      <c r="D253" s="262" t="n">
        <v>43952</v>
      </c>
    </row>
    <row r="254" customFormat="false" ht="15" hidden="false" customHeight="false" outlineLevel="0" collapsed="false">
      <c r="A254" s="266" t="n">
        <v>43957</v>
      </c>
      <c r="B254" s="228" t="s">
        <v>1063</v>
      </c>
      <c r="C254" s="267" t="n">
        <v>128.4</v>
      </c>
      <c r="D254" s="262" t="n">
        <v>43952</v>
      </c>
    </row>
    <row r="255" customFormat="false" ht="13.8" hidden="false" customHeight="false" outlineLevel="0" collapsed="false">
      <c r="A255" s="268" t="n">
        <v>43949</v>
      </c>
      <c r="B255" s="269" t="s">
        <v>1047</v>
      </c>
      <c r="C255" s="270" t="n">
        <v>93.63</v>
      </c>
      <c r="D255" s="271" t="n">
        <v>43952</v>
      </c>
    </row>
    <row r="256" customFormat="false" ht="12.8" hidden="true" customHeight="false" outlineLevel="0" collapsed="false">
      <c r="A256" s="268"/>
      <c r="B256" s="272"/>
      <c r="C256" s="270"/>
      <c r="D256" s="271"/>
    </row>
    <row r="257" customFormat="false" ht="12.8" hidden="true" customHeight="false" outlineLevel="0" collapsed="false">
      <c r="A257" s="268"/>
      <c r="B257" s="272"/>
      <c r="C257" s="270"/>
      <c r="D257" s="271"/>
    </row>
    <row r="258" customFormat="false" ht="12.8" hidden="true" customHeight="false" outlineLevel="0" collapsed="false">
      <c r="A258" s="268"/>
      <c r="B258" s="272"/>
      <c r="C258" s="270"/>
      <c r="D258" s="271"/>
    </row>
    <row r="259" customFormat="false" ht="15" hidden="true" customHeight="false" outlineLevel="0" collapsed="false">
      <c r="A259" s="266"/>
      <c r="B259" s="228"/>
      <c r="C259" s="267"/>
      <c r="D259" s="271"/>
    </row>
    <row r="260" customFormat="false" ht="15" hidden="true" customHeight="false" outlineLevel="0" collapsed="false">
      <c r="A260" s="266"/>
      <c r="B260" s="228"/>
      <c r="C260" s="267"/>
      <c r="D260" s="271"/>
    </row>
    <row r="261" customFormat="false" ht="15" hidden="true" customHeight="false" outlineLevel="0" collapsed="false">
      <c r="A261" s="266"/>
      <c r="B261" s="228"/>
      <c r="C261" s="267"/>
      <c r="D261" s="271"/>
    </row>
    <row r="262" customFormat="false" ht="15" hidden="true" customHeight="false" outlineLevel="0" collapsed="false">
      <c r="A262" s="266"/>
      <c r="B262" s="228"/>
      <c r="C262" s="267"/>
      <c r="D262" s="271"/>
    </row>
    <row r="263" customFormat="false" ht="15" hidden="true" customHeight="false" outlineLevel="0" collapsed="false">
      <c r="A263" s="266"/>
      <c r="B263" s="228"/>
      <c r="C263" s="267"/>
      <c r="D263" s="271"/>
    </row>
    <row r="264" customFormat="false" ht="15" hidden="true" customHeight="false" outlineLevel="0" collapsed="false">
      <c r="A264" s="266"/>
      <c r="B264" s="228"/>
      <c r="C264" s="267"/>
      <c r="D264" s="271"/>
    </row>
    <row r="265" customFormat="false" ht="15" hidden="true" customHeight="false" outlineLevel="0" collapsed="false">
      <c r="A265" s="266"/>
      <c r="B265" s="228"/>
      <c r="C265" s="267"/>
      <c r="D265" s="271"/>
    </row>
    <row r="266" customFormat="false" ht="15" hidden="true" customHeight="false" outlineLevel="0" collapsed="false">
      <c r="A266" s="266"/>
      <c r="B266" s="228"/>
      <c r="C266" s="267"/>
      <c r="D266" s="271"/>
    </row>
    <row r="267" customFormat="false" ht="15" hidden="true" customHeight="false" outlineLevel="0" collapsed="false">
      <c r="A267" s="266"/>
      <c r="B267" s="228"/>
      <c r="C267" s="267"/>
      <c r="D267" s="271"/>
    </row>
    <row r="268" customFormat="false" ht="15" hidden="true" customHeight="false" outlineLevel="0" collapsed="false">
      <c r="A268" s="223"/>
      <c r="B268" s="273"/>
      <c r="C268" s="274"/>
      <c r="D268" s="271"/>
    </row>
    <row r="269" customFormat="false" ht="15" hidden="true" customHeight="false" outlineLevel="0" collapsed="false">
      <c r="A269" s="266"/>
      <c r="B269" s="228"/>
      <c r="C269" s="267"/>
      <c r="D269" s="223"/>
    </row>
    <row r="270" customFormat="false" ht="15" hidden="true" customHeight="false" outlineLevel="0" collapsed="false">
      <c r="A270" s="266"/>
      <c r="B270" s="228"/>
      <c r="C270" s="267"/>
      <c r="D270" s="223"/>
    </row>
    <row r="271" customFormat="false" ht="15" hidden="true" customHeight="false" outlineLevel="0" collapsed="false">
      <c r="A271" s="266"/>
      <c r="B271" s="228"/>
      <c r="C271" s="267"/>
      <c r="D271" s="223"/>
    </row>
    <row r="272" customFormat="false" ht="15" hidden="true" customHeight="false" outlineLevel="0" collapsed="false">
      <c r="A272" s="266"/>
      <c r="B272" s="228"/>
      <c r="C272" s="267"/>
      <c r="D272" s="223"/>
    </row>
    <row r="273" customFormat="false" ht="15" hidden="true" customHeight="false" outlineLevel="0" collapsed="false">
      <c r="A273" s="266"/>
      <c r="B273" s="228"/>
      <c r="C273" s="267"/>
      <c r="D273" s="223"/>
    </row>
    <row r="274" customFormat="false" ht="12.8" hidden="true" customHeight="false" outlineLevel="0" collapsed="false">
      <c r="A274" s="268"/>
      <c r="B274" s="272"/>
      <c r="C274" s="270"/>
      <c r="D274" s="223"/>
    </row>
    <row r="275" customFormat="false" ht="12.8" hidden="true" customHeight="false" outlineLevel="0" collapsed="false">
      <c r="A275" s="268"/>
      <c r="B275" s="272"/>
      <c r="C275" s="270"/>
      <c r="D275" s="223"/>
    </row>
    <row r="276" customFormat="false" ht="13.8" hidden="true" customHeight="false" outlineLevel="0" collapsed="false">
      <c r="A276" s="266"/>
      <c r="B276" s="228"/>
      <c r="C276" s="267"/>
      <c r="D276" s="223"/>
    </row>
    <row r="277" customFormat="false" ht="13.8" hidden="true" customHeight="false" outlineLevel="0" collapsed="false">
      <c r="A277" s="266"/>
      <c r="B277" s="228"/>
      <c r="C277" s="267"/>
      <c r="D277" s="223"/>
    </row>
    <row r="278" customFormat="false" ht="13.8" hidden="true" customHeight="false" outlineLevel="0" collapsed="false">
      <c r="A278" s="266"/>
      <c r="B278" s="228"/>
      <c r="C278" s="267"/>
      <c r="D278" s="223"/>
    </row>
    <row r="279" customFormat="false" ht="13.8" hidden="true" customHeight="false" outlineLevel="0" collapsed="false">
      <c r="A279" s="266"/>
      <c r="B279" s="228"/>
      <c r="C279" s="267"/>
      <c r="D279" s="223"/>
    </row>
    <row r="280" customFormat="false" ht="13.8" hidden="true" customHeight="false" outlineLevel="0" collapsed="false">
      <c r="A280" s="266"/>
      <c r="B280" s="228"/>
      <c r="C280" s="267"/>
      <c r="D280" s="223"/>
    </row>
    <row r="281" customFormat="false" ht="13.8" hidden="true" customHeight="false" outlineLevel="0" collapsed="false">
      <c r="A281" s="266"/>
      <c r="B281" s="228"/>
      <c r="C281" s="267"/>
      <c r="D281" s="223"/>
    </row>
    <row r="282" customFormat="false" ht="13.8" hidden="false" customHeight="false" outlineLevel="0" collapsed="false">
      <c r="A282" s="266" t="s">
        <v>1064</v>
      </c>
      <c r="B282" s="228" t="s">
        <v>1065</v>
      </c>
      <c r="C282" s="267" t="n">
        <v>501.36</v>
      </c>
      <c r="D282" s="271" t="n">
        <v>43983</v>
      </c>
    </row>
    <row r="283" customFormat="false" ht="13.8" hidden="false" customHeight="false" outlineLevel="0" collapsed="false">
      <c r="A283" s="266" t="s">
        <v>204</v>
      </c>
      <c r="B283" s="228" t="s">
        <v>1066</v>
      </c>
      <c r="C283" s="267" t="n">
        <v>152.5</v>
      </c>
      <c r="D283" s="271" t="n">
        <v>43983</v>
      </c>
    </row>
    <row r="284" customFormat="false" ht="13.8" hidden="false" customHeight="false" outlineLevel="0" collapsed="false">
      <c r="A284" s="266" t="s">
        <v>281</v>
      </c>
      <c r="B284" s="228" t="s">
        <v>1067</v>
      </c>
      <c r="C284" s="267" t="n">
        <v>37.57</v>
      </c>
      <c r="D284" s="271" t="n">
        <v>43983</v>
      </c>
    </row>
    <row r="285" customFormat="false" ht="13.8" hidden="false" customHeight="false" outlineLevel="0" collapsed="false">
      <c r="A285" s="266" t="s">
        <v>1068</v>
      </c>
      <c r="B285" s="228" t="s">
        <v>1069</v>
      </c>
      <c r="C285" s="267" t="n">
        <v>210.27</v>
      </c>
      <c r="D285" s="271" t="n">
        <v>43983</v>
      </c>
    </row>
    <row r="286" customFormat="false" ht="13.8" hidden="false" customHeight="false" outlineLevel="0" collapsed="false">
      <c r="A286" s="266" t="s">
        <v>1070</v>
      </c>
      <c r="B286" s="228" t="s">
        <v>1071</v>
      </c>
      <c r="C286" s="267" t="n">
        <v>377.32</v>
      </c>
      <c r="D286" s="271" t="n">
        <v>43983</v>
      </c>
    </row>
    <row r="287" customFormat="false" ht="13.8" hidden="false" customHeight="false" outlineLevel="0" collapsed="false">
      <c r="A287" s="266" t="s">
        <v>1070</v>
      </c>
      <c r="B287" s="228" t="s">
        <v>1071</v>
      </c>
      <c r="C287" s="267" t="n">
        <v>510.74</v>
      </c>
      <c r="D287" s="271" t="n">
        <v>43983</v>
      </c>
    </row>
    <row r="288" customFormat="false" ht="13.8" hidden="false" customHeight="false" outlineLevel="0" collapsed="false">
      <c r="A288" s="266" t="s">
        <v>1072</v>
      </c>
      <c r="B288" s="228" t="s">
        <v>1073</v>
      </c>
      <c r="C288" s="267" t="n">
        <v>163.44</v>
      </c>
      <c r="D288" s="271" t="n">
        <v>43983</v>
      </c>
    </row>
    <row r="289" customFormat="false" ht="13.8" hidden="false" customHeight="false" outlineLevel="0" collapsed="false">
      <c r="A289" s="266" t="s">
        <v>439</v>
      </c>
      <c r="B289" s="228" t="s">
        <v>1074</v>
      </c>
      <c r="C289" s="267" t="n">
        <v>32.95</v>
      </c>
      <c r="D289" s="271" t="n">
        <v>43983</v>
      </c>
    </row>
    <row r="290" customFormat="false" ht="13.8" hidden="false" customHeight="false" outlineLevel="0" collapsed="false">
      <c r="A290" s="266" t="s">
        <v>440</v>
      </c>
      <c r="B290" s="228" t="s">
        <v>1075</v>
      </c>
      <c r="C290" s="267" t="n">
        <v>153.85</v>
      </c>
      <c r="D290" s="271" t="n">
        <v>43983</v>
      </c>
    </row>
    <row r="291" customFormat="false" ht="13.8" hidden="false" customHeight="false" outlineLevel="0" collapsed="false">
      <c r="A291" s="266" t="s">
        <v>442</v>
      </c>
      <c r="B291" s="228" t="s">
        <v>1076</v>
      </c>
      <c r="C291" s="267" t="n">
        <v>41.19</v>
      </c>
      <c r="D291" s="271" t="n">
        <v>43983</v>
      </c>
    </row>
    <row r="292" customFormat="false" ht="13.8" hidden="false" customHeight="false" outlineLevel="0" collapsed="false">
      <c r="A292" s="266" t="s">
        <v>442</v>
      </c>
      <c r="B292" s="228" t="s">
        <v>1076</v>
      </c>
      <c r="C292" s="267" t="n">
        <v>325.85</v>
      </c>
      <c r="D292" s="271" t="n">
        <v>43983</v>
      </c>
    </row>
    <row r="293" customFormat="false" ht="13.8" hidden="false" customHeight="false" outlineLevel="0" collapsed="false">
      <c r="A293" s="266" t="s">
        <v>442</v>
      </c>
      <c r="B293" s="228" t="s">
        <v>1076</v>
      </c>
      <c r="C293" s="267" t="n">
        <v>32.3</v>
      </c>
      <c r="D293" s="271" t="n">
        <v>43983</v>
      </c>
    </row>
    <row r="294" customFormat="false" ht="13.8" hidden="false" customHeight="false" outlineLevel="0" collapsed="false">
      <c r="A294" s="266" t="s">
        <v>442</v>
      </c>
      <c r="B294" s="228" t="s">
        <v>1076</v>
      </c>
      <c r="C294" s="267" t="n">
        <v>235.25</v>
      </c>
      <c r="D294" s="271" t="n">
        <v>43983</v>
      </c>
    </row>
    <row r="295" customFormat="false" ht="13.8" hidden="false" customHeight="false" outlineLevel="0" collapsed="false">
      <c r="A295" s="266" t="s">
        <v>442</v>
      </c>
      <c r="B295" s="228" t="s">
        <v>1077</v>
      </c>
      <c r="C295" s="267" t="n">
        <v>35.3</v>
      </c>
      <c r="D295" s="271" t="n">
        <v>43983</v>
      </c>
    </row>
    <row r="296" customFormat="false" ht="13.8" hidden="false" customHeight="false" outlineLevel="0" collapsed="false">
      <c r="A296" s="266" t="s">
        <v>451</v>
      </c>
      <c r="B296" s="228" t="s">
        <v>1078</v>
      </c>
      <c r="C296" s="267" t="n">
        <v>7.9</v>
      </c>
      <c r="D296" s="271" t="n">
        <v>43983</v>
      </c>
    </row>
    <row r="297" customFormat="false" ht="13.8" hidden="false" customHeight="false" outlineLevel="0" collapsed="false">
      <c r="A297" s="266" t="s">
        <v>1079</v>
      </c>
      <c r="B297" s="228" t="s">
        <v>1080</v>
      </c>
      <c r="C297" s="267" t="n">
        <v>163.79</v>
      </c>
      <c r="D297" s="271" t="n">
        <v>43983</v>
      </c>
    </row>
    <row r="298" customFormat="false" ht="13.8" hidden="false" customHeight="false" outlineLevel="0" collapsed="false">
      <c r="A298" s="266" t="s">
        <v>469</v>
      </c>
      <c r="B298" s="228" t="s">
        <v>1038</v>
      </c>
      <c r="C298" s="267" t="n">
        <v>6.99</v>
      </c>
      <c r="D298" s="271" t="n">
        <v>43983</v>
      </c>
    </row>
    <row r="299" customFormat="false" ht="13.8" hidden="false" customHeight="false" outlineLevel="0" collapsed="false">
      <c r="A299" s="266" t="s">
        <v>472</v>
      </c>
      <c r="B299" s="228" t="s">
        <v>1081</v>
      </c>
      <c r="C299" s="267" t="n">
        <v>45.9</v>
      </c>
      <c r="D299" s="271" t="n">
        <v>43983</v>
      </c>
    </row>
    <row r="300" customFormat="false" ht="13.8" hidden="false" customHeight="false" outlineLevel="0" collapsed="false">
      <c r="A300" s="266" t="s">
        <v>1082</v>
      </c>
      <c r="B300" s="228" t="s">
        <v>966</v>
      </c>
      <c r="C300" s="267" t="n">
        <v>13.5</v>
      </c>
      <c r="D300" s="271" t="n">
        <v>43983</v>
      </c>
    </row>
    <row r="301" customFormat="false" ht="13.8" hidden="false" customHeight="false" outlineLevel="0" collapsed="false">
      <c r="A301" s="266" t="s">
        <v>1082</v>
      </c>
      <c r="B301" s="228" t="s">
        <v>1083</v>
      </c>
      <c r="C301" s="267" t="n">
        <v>50</v>
      </c>
      <c r="D301" s="271" t="n">
        <v>43983</v>
      </c>
    </row>
    <row r="302" customFormat="false" ht="13.8" hidden="false" customHeight="false" outlineLevel="0" collapsed="false">
      <c r="A302" s="266" t="s">
        <v>1084</v>
      </c>
      <c r="B302" s="228" t="s">
        <v>931</v>
      </c>
      <c r="C302" s="267" t="n">
        <v>16.9</v>
      </c>
      <c r="D302" s="271" t="n">
        <v>43983</v>
      </c>
    </row>
    <row r="303" customFormat="false" ht="13.8" hidden="false" customHeight="false" outlineLevel="0" collapsed="false">
      <c r="A303" s="266" t="s">
        <v>1084</v>
      </c>
      <c r="B303" s="228" t="s">
        <v>1085</v>
      </c>
      <c r="C303" s="267" t="n">
        <v>174.66</v>
      </c>
      <c r="D303" s="271" t="n">
        <v>43983</v>
      </c>
    </row>
    <row r="304" customFormat="false" ht="13.8" hidden="false" customHeight="false" outlineLevel="0" collapsed="false">
      <c r="A304" s="266" t="s">
        <v>1084</v>
      </c>
      <c r="B304" s="228" t="s">
        <v>1085</v>
      </c>
      <c r="C304" s="267" t="n">
        <v>60.78</v>
      </c>
      <c r="D304" s="271" t="n">
        <v>43983</v>
      </c>
    </row>
    <row r="305" customFormat="false" ht="13.8" hidden="false" customHeight="false" outlineLevel="0" collapsed="false">
      <c r="A305" s="266" t="s">
        <v>476</v>
      </c>
      <c r="B305" s="228" t="s">
        <v>1074</v>
      </c>
      <c r="C305" s="267" t="n">
        <v>32.95</v>
      </c>
      <c r="D305" s="271" t="n">
        <v>43983</v>
      </c>
    </row>
    <row r="306" customFormat="false" ht="13.8" hidden="false" customHeight="false" outlineLevel="0" collapsed="false">
      <c r="A306" s="266" t="s">
        <v>481</v>
      </c>
      <c r="B306" s="228" t="s">
        <v>1086</v>
      </c>
      <c r="C306" s="267" t="n">
        <v>176.03</v>
      </c>
      <c r="D306" s="271" t="n">
        <v>43983</v>
      </c>
    </row>
    <row r="307" customFormat="false" ht="13.8" hidden="false" customHeight="false" outlineLevel="0" collapsed="false">
      <c r="A307" s="266" t="s">
        <v>483</v>
      </c>
      <c r="B307" s="228" t="s">
        <v>1057</v>
      </c>
      <c r="C307" s="267" t="n">
        <v>348.86</v>
      </c>
      <c r="D307" s="271" t="n">
        <v>43983</v>
      </c>
    </row>
    <row r="308" customFormat="false" ht="13.8" hidden="false" customHeight="false" outlineLevel="0" collapsed="false">
      <c r="A308" s="266" t="s">
        <v>484</v>
      </c>
      <c r="B308" s="228" t="s">
        <v>1062</v>
      </c>
      <c r="C308" s="267" t="n">
        <v>87.75</v>
      </c>
      <c r="D308" s="271" t="n">
        <v>43983</v>
      </c>
    </row>
    <row r="309" customFormat="false" ht="13.8" hidden="false" customHeight="false" outlineLevel="0" collapsed="false">
      <c r="A309" s="266" t="s">
        <v>1087</v>
      </c>
      <c r="B309" s="228" t="s">
        <v>1088</v>
      </c>
      <c r="C309" s="267" t="n">
        <v>74.83</v>
      </c>
      <c r="D309" s="271" t="n">
        <v>43983</v>
      </c>
    </row>
    <row r="310" customFormat="false" ht="13.8" hidden="false" customHeight="false" outlineLevel="0" collapsed="false">
      <c r="A310" s="266" t="s">
        <v>488</v>
      </c>
      <c r="B310" s="228" t="s">
        <v>944</v>
      </c>
      <c r="C310" s="267" t="n">
        <v>36</v>
      </c>
      <c r="D310" s="271" t="n">
        <v>43983</v>
      </c>
    </row>
    <row r="311" customFormat="false" ht="13.8" hidden="false" customHeight="false" outlineLevel="0" collapsed="false">
      <c r="A311" s="266" t="s">
        <v>498</v>
      </c>
      <c r="B311" s="228" t="s">
        <v>1086</v>
      </c>
      <c r="C311" s="267" t="n">
        <v>179.51</v>
      </c>
      <c r="D311" s="271" t="n">
        <v>43983</v>
      </c>
    </row>
    <row r="312" customFormat="false" ht="13.8" hidden="false" customHeight="false" outlineLevel="0" collapsed="false">
      <c r="A312" s="266" t="s">
        <v>442</v>
      </c>
      <c r="B312" s="228" t="s">
        <v>1089</v>
      </c>
      <c r="C312" s="267" t="n">
        <v>0</v>
      </c>
      <c r="D312" s="271" t="n">
        <v>43983</v>
      </c>
      <c r="E312" s="251" t="n">
        <v>6.08</v>
      </c>
    </row>
    <row r="313" customFormat="false" ht="13.8" hidden="false" customHeight="false" outlineLevel="0" collapsed="false">
      <c r="A313" s="64"/>
      <c r="B313" s="228" t="s">
        <v>1090</v>
      </c>
      <c r="C313" s="267" t="n">
        <v>0</v>
      </c>
      <c r="D313" s="271" t="n">
        <v>43983</v>
      </c>
      <c r="E313" s="251" t="n">
        <v>580.03</v>
      </c>
      <c r="F313" s="251"/>
    </row>
    <row r="314" customFormat="false" ht="13.8" hidden="false" customHeight="false" outlineLevel="0" collapsed="false">
      <c r="A314" s="228"/>
      <c r="B314" s="228" t="s">
        <v>1091</v>
      </c>
      <c r="C314" s="267" t="n">
        <v>0</v>
      </c>
      <c r="D314" s="271" t="n">
        <v>43983</v>
      </c>
      <c r="E314" s="275" t="n">
        <v>95.4</v>
      </c>
      <c r="F314" s="275"/>
    </row>
    <row r="315" customFormat="false" ht="13.8" hidden="false" customHeight="false" outlineLevel="0" collapsed="false">
      <c r="A315" s="266" t="s">
        <v>482</v>
      </c>
      <c r="B315" s="228" t="s">
        <v>1089</v>
      </c>
      <c r="C315" s="267" t="n">
        <v>0</v>
      </c>
      <c r="D315" s="271" t="n">
        <v>43983</v>
      </c>
      <c r="E315" s="251" t="n">
        <v>5.59</v>
      </c>
      <c r="F315" s="251"/>
    </row>
    <row r="316" customFormat="false" ht="13.8" hidden="false" customHeight="false" outlineLevel="0" collapsed="false">
      <c r="A316" s="64"/>
      <c r="B316" s="228" t="s">
        <v>1047</v>
      </c>
      <c r="C316" s="267" t="n">
        <v>0</v>
      </c>
      <c r="D316" s="271" t="n">
        <v>43983</v>
      </c>
      <c r="E316" s="251" t="n">
        <v>83.79</v>
      </c>
      <c r="F316" s="251"/>
    </row>
    <row r="317" customFormat="false" ht="13.8" hidden="false" customHeight="false" outlineLevel="0" collapsed="false">
      <c r="A317" s="228"/>
      <c r="B317" s="228" t="s">
        <v>1091</v>
      </c>
      <c r="C317" s="267" t="n">
        <v>0</v>
      </c>
      <c r="D317" s="271" t="n">
        <v>43983</v>
      </c>
      <c r="E317" s="275" t="n">
        <v>14.99</v>
      </c>
      <c r="F317" s="275"/>
    </row>
    <row r="318" customFormat="false" ht="15" hidden="false" customHeight="false" outlineLevel="0" collapsed="false">
      <c r="A318" s="273" t="s">
        <v>1092</v>
      </c>
      <c r="B318" s="64"/>
      <c r="C318" s="274" t="n">
        <v>706.22</v>
      </c>
      <c r="D318" s="271" t="n">
        <v>43983</v>
      </c>
    </row>
    <row r="319" customFormat="false" ht="13.8" hidden="false" customHeight="false" outlineLevel="0" collapsed="false">
      <c r="A319" s="266" t="s">
        <v>1064</v>
      </c>
      <c r="B319" s="228" t="s">
        <v>1093</v>
      </c>
      <c r="C319" s="267" t="n">
        <v>501.36</v>
      </c>
      <c r="D319" s="271" t="n">
        <v>44013</v>
      </c>
    </row>
    <row r="320" customFormat="false" ht="13.8" hidden="false" customHeight="false" outlineLevel="0" collapsed="false">
      <c r="A320" s="266" t="s">
        <v>1068</v>
      </c>
      <c r="B320" s="228" t="s">
        <v>1094</v>
      </c>
      <c r="C320" s="267" t="n">
        <v>210.27</v>
      </c>
      <c r="D320" s="271" t="n">
        <v>44013</v>
      </c>
    </row>
    <row r="321" customFormat="false" ht="13.8" hidden="false" customHeight="false" outlineLevel="0" collapsed="false">
      <c r="A321" s="266" t="s">
        <v>442</v>
      </c>
      <c r="B321" s="228" t="s">
        <v>1095</v>
      </c>
      <c r="C321" s="267" t="n">
        <v>-0.16</v>
      </c>
      <c r="D321" s="271" t="n">
        <v>44013</v>
      </c>
    </row>
    <row r="322" customFormat="false" ht="13.8" hidden="false" customHeight="false" outlineLevel="0" collapsed="false">
      <c r="A322" s="266" t="s">
        <v>442</v>
      </c>
      <c r="B322" s="228" t="s">
        <v>1095</v>
      </c>
      <c r="C322" s="267" t="n">
        <v>-0.16</v>
      </c>
      <c r="D322" s="271" t="n">
        <v>44013</v>
      </c>
    </row>
    <row r="323" customFormat="false" ht="13.8" hidden="false" customHeight="false" outlineLevel="0" collapsed="false">
      <c r="A323" s="266" t="s">
        <v>442</v>
      </c>
      <c r="B323" s="228" t="s">
        <v>1095</v>
      </c>
      <c r="C323" s="267" t="n">
        <v>-0.16</v>
      </c>
      <c r="D323" s="271" t="n">
        <v>44013</v>
      </c>
    </row>
    <row r="324" customFormat="false" ht="13.8" hidden="false" customHeight="false" outlineLevel="0" collapsed="false">
      <c r="A324" s="266" t="s">
        <v>442</v>
      </c>
      <c r="B324" s="228" t="s">
        <v>1096</v>
      </c>
      <c r="C324" s="267" t="n">
        <v>41.19</v>
      </c>
      <c r="D324" s="271" t="n">
        <v>44013</v>
      </c>
    </row>
    <row r="325" customFormat="false" ht="13.8" hidden="false" customHeight="false" outlineLevel="0" collapsed="false">
      <c r="A325" s="266" t="s">
        <v>442</v>
      </c>
      <c r="B325" s="228" t="s">
        <v>1096</v>
      </c>
      <c r="C325" s="267" t="n">
        <v>325.85</v>
      </c>
      <c r="D325" s="271" t="n">
        <v>44013</v>
      </c>
    </row>
    <row r="326" customFormat="false" ht="13.8" hidden="false" customHeight="false" outlineLevel="0" collapsed="false">
      <c r="A326" s="266" t="s">
        <v>442</v>
      </c>
      <c r="B326" s="228" t="s">
        <v>1096</v>
      </c>
      <c r="C326" s="267" t="n">
        <v>32.3</v>
      </c>
      <c r="D326" s="271" t="n">
        <v>44013</v>
      </c>
    </row>
    <row r="327" customFormat="false" ht="13.8" hidden="false" customHeight="false" outlineLevel="0" collapsed="false">
      <c r="A327" s="266" t="s">
        <v>442</v>
      </c>
      <c r="B327" s="228" t="s">
        <v>1096</v>
      </c>
      <c r="C327" s="267" t="n">
        <v>235.25</v>
      </c>
      <c r="D327" s="271" t="n">
        <v>44013</v>
      </c>
    </row>
    <row r="328" customFormat="false" ht="13.8" hidden="false" customHeight="false" outlineLevel="0" collapsed="false">
      <c r="A328" s="266" t="s">
        <v>442</v>
      </c>
      <c r="B328" s="228" t="s">
        <v>1097</v>
      </c>
      <c r="C328" s="267" t="n">
        <v>35.3</v>
      </c>
      <c r="D328" s="271" t="n">
        <v>44013</v>
      </c>
    </row>
    <row r="329" customFormat="false" ht="13.8" hidden="false" customHeight="false" outlineLevel="0" collapsed="false">
      <c r="A329" s="266" t="s">
        <v>1084</v>
      </c>
      <c r="B329" s="228" t="s">
        <v>1098</v>
      </c>
      <c r="C329" s="267" t="n">
        <v>174.66</v>
      </c>
      <c r="D329" s="271" t="n">
        <v>44013</v>
      </c>
    </row>
    <row r="330" customFormat="false" ht="13.8" hidden="false" customHeight="false" outlineLevel="0" collapsed="false">
      <c r="A330" s="266" t="s">
        <v>1084</v>
      </c>
      <c r="B330" s="228" t="s">
        <v>1098</v>
      </c>
      <c r="C330" s="267" t="n">
        <v>60.78</v>
      </c>
      <c r="D330" s="271" t="n">
        <v>44013</v>
      </c>
    </row>
    <row r="331" customFormat="false" ht="13.8" hidden="false" customHeight="false" outlineLevel="0" collapsed="false">
      <c r="A331" s="266" t="s">
        <v>483</v>
      </c>
      <c r="B331" s="228" t="s">
        <v>1073</v>
      </c>
      <c r="C331" s="267" t="n">
        <v>348.86</v>
      </c>
      <c r="D331" s="271" t="n">
        <v>44013</v>
      </c>
    </row>
    <row r="332" customFormat="false" ht="13.8" hidden="false" customHeight="false" outlineLevel="0" collapsed="false">
      <c r="A332" s="64"/>
      <c r="B332" s="228" t="s">
        <v>1099</v>
      </c>
      <c r="C332" s="267" t="n">
        <v>0</v>
      </c>
      <c r="D332" s="271" t="n">
        <v>44013</v>
      </c>
      <c r="E332" s="251" t="n">
        <v>329.14</v>
      </c>
    </row>
    <row r="333" customFormat="false" ht="13.8" hidden="false" customHeight="false" outlineLevel="0" collapsed="false">
      <c r="A333" s="64"/>
      <c r="B333" s="228" t="s">
        <v>1100</v>
      </c>
      <c r="C333" s="267" t="n">
        <v>0</v>
      </c>
      <c r="D333" s="271" t="n">
        <v>44013</v>
      </c>
      <c r="E333" s="251" t="n">
        <v>19.72</v>
      </c>
    </row>
    <row r="334" customFormat="false" ht="15" hidden="false" customHeight="false" outlineLevel="0" collapsed="false">
      <c r="A334" s="266" t="s">
        <v>1101</v>
      </c>
      <c r="B334" s="228" t="s">
        <v>942</v>
      </c>
      <c r="C334" s="267" t="n">
        <v>11.79</v>
      </c>
      <c r="D334" s="271" t="n">
        <v>44013</v>
      </c>
    </row>
    <row r="335" customFormat="false" ht="15" hidden="false" customHeight="false" outlineLevel="0" collapsed="false">
      <c r="A335" s="266" t="s">
        <v>1101</v>
      </c>
      <c r="B335" s="228" t="s">
        <v>1055</v>
      </c>
      <c r="C335" s="267" t="n">
        <v>44.9</v>
      </c>
      <c r="D335" s="271" t="n">
        <v>44013</v>
      </c>
    </row>
    <row r="336" customFormat="false" ht="15" hidden="false" customHeight="false" outlineLevel="0" collapsed="false">
      <c r="A336" s="266" t="s">
        <v>1102</v>
      </c>
      <c r="B336" s="228" t="s">
        <v>1086</v>
      </c>
      <c r="C336" s="267" t="n">
        <v>147.98</v>
      </c>
      <c r="D336" s="271" t="n">
        <v>44013</v>
      </c>
    </row>
    <row r="337" customFormat="false" ht="15" hidden="false" customHeight="false" outlineLevel="0" collapsed="false">
      <c r="A337" s="266" t="s">
        <v>1102</v>
      </c>
      <c r="B337" s="228" t="s">
        <v>1062</v>
      </c>
      <c r="C337" s="267" t="n">
        <v>160.34</v>
      </c>
      <c r="D337" s="271" t="n">
        <v>44013</v>
      </c>
    </row>
    <row r="338" customFormat="false" ht="15" hidden="false" customHeight="false" outlineLevel="0" collapsed="false">
      <c r="A338" s="266" t="s">
        <v>517</v>
      </c>
      <c r="B338" s="228" t="s">
        <v>1078</v>
      </c>
      <c r="C338" s="267" t="n">
        <v>12.9</v>
      </c>
      <c r="D338" s="271" t="n">
        <v>44013</v>
      </c>
    </row>
    <row r="339" customFormat="false" ht="15" hidden="false" customHeight="false" outlineLevel="0" collapsed="false">
      <c r="A339" s="266" t="s">
        <v>1103</v>
      </c>
      <c r="B339" s="228" t="s">
        <v>1062</v>
      </c>
      <c r="C339" s="267" t="n">
        <v>37.89</v>
      </c>
      <c r="D339" s="271" t="n">
        <v>44013</v>
      </c>
    </row>
    <row r="340" customFormat="false" ht="15" hidden="false" customHeight="false" outlineLevel="0" collapsed="false">
      <c r="A340" s="266" t="s">
        <v>1103</v>
      </c>
      <c r="B340" s="228" t="s">
        <v>1038</v>
      </c>
      <c r="C340" s="267" t="n">
        <v>6.99</v>
      </c>
      <c r="D340" s="271" t="n">
        <v>44013</v>
      </c>
    </row>
    <row r="341" customFormat="false" ht="15" hidden="false" customHeight="false" outlineLevel="0" collapsed="false">
      <c r="A341" s="266" t="s">
        <v>1104</v>
      </c>
      <c r="B341" s="228" t="s">
        <v>1086</v>
      </c>
      <c r="C341" s="267" t="n">
        <v>181.41</v>
      </c>
      <c r="D341" s="271" t="n">
        <v>44013</v>
      </c>
    </row>
    <row r="342" customFormat="false" ht="15" hidden="false" customHeight="false" outlineLevel="0" collapsed="false">
      <c r="A342" s="266" t="s">
        <v>1104</v>
      </c>
      <c r="B342" s="228" t="s">
        <v>1081</v>
      </c>
      <c r="C342" s="267" t="n">
        <v>45.9</v>
      </c>
      <c r="D342" s="271" t="n">
        <v>44013</v>
      </c>
    </row>
    <row r="343" customFormat="false" ht="15" hidden="false" customHeight="false" outlineLevel="0" collapsed="false">
      <c r="A343" s="266" t="s">
        <v>529</v>
      </c>
      <c r="B343" s="228" t="s">
        <v>1105</v>
      </c>
      <c r="C343" s="267" t="n">
        <v>9.9</v>
      </c>
      <c r="D343" s="271" t="n">
        <v>44013</v>
      </c>
    </row>
    <row r="344" customFormat="false" ht="15" hidden="false" customHeight="false" outlineLevel="0" collapsed="false">
      <c r="A344" s="266" t="s">
        <v>536</v>
      </c>
      <c r="B344" s="228" t="s">
        <v>931</v>
      </c>
      <c r="C344" s="267" t="n">
        <v>16.9</v>
      </c>
      <c r="D344" s="271" t="n">
        <v>44013</v>
      </c>
    </row>
    <row r="345" customFormat="false" ht="15" hidden="false" customHeight="false" outlineLevel="0" collapsed="false">
      <c r="A345" s="266" t="s">
        <v>540</v>
      </c>
      <c r="B345" s="228" t="s">
        <v>1062</v>
      </c>
      <c r="C345" s="267" t="n">
        <v>25.88</v>
      </c>
      <c r="D345" s="271" t="n">
        <v>44013</v>
      </c>
    </row>
    <row r="346" customFormat="false" ht="15" hidden="false" customHeight="false" outlineLevel="0" collapsed="false">
      <c r="A346" s="266" t="s">
        <v>540</v>
      </c>
      <c r="B346" s="228" t="s">
        <v>1062</v>
      </c>
      <c r="C346" s="267" t="n">
        <v>73</v>
      </c>
      <c r="D346" s="271" t="n">
        <v>44013</v>
      </c>
    </row>
    <row r="347" customFormat="false" ht="15" hidden="false" customHeight="false" outlineLevel="0" collapsed="false">
      <c r="A347" s="266" t="s">
        <v>549</v>
      </c>
      <c r="B347" s="228" t="s">
        <v>999</v>
      </c>
      <c r="C347" s="267" t="n">
        <v>36</v>
      </c>
      <c r="D347" s="271" t="n">
        <v>44013</v>
      </c>
    </row>
    <row r="348" customFormat="false" ht="12.8" hidden="false" customHeight="false" outlineLevel="0" collapsed="false">
      <c r="A348" s="276" t="s">
        <v>1106</v>
      </c>
      <c r="B348" s="277" t="s">
        <v>1107</v>
      </c>
      <c r="C348" s="278" t="n">
        <v>95.86</v>
      </c>
      <c r="D348" s="279" t="n">
        <v>44013</v>
      </c>
      <c r="E348" s="280"/>
    </row>
    <row r="349" customFormat="false" ht="12.8" hidden="false" customHeight="false" outlineLevel="0" collapsed="false">
      <c r="A349" s="276" t="s">
        <v>555</v>
      </c>
      <c r="B349" s="277" t="s">
        <v>1055</v>
      </c>
      <c r="C349" s="278" t="n">
        <v>44.9</v>
      </c>
      <c r="D349" s="279" t="n">
        <v>44013</v>
      </c>
      <c r="E349" s="281"/>
    </row>
    <row r="350" customFormat="false" ht="12.8" hidden="false" customHeight="false" outlineLevel="0" collapsed="false">
      <c r="A350" s="276" t="s">
        <v>1108</v>
      </c>
      <c r="B350" s="277" t="s">
        <v>1089</v>
      </c>
      <c r="C350" s="278" t="n">
        <v>0</v>
      </c>
      <c r="D350" s="279" t="n">
        <v>44013</v>
      </c>
      <c r="E350" s="281" t="n">
        <v>5.76</v>
      </c>
    </row>
    <row r="351" customFormat="false" ht="12.8" hidden="false" customHeight="false" outlineLevel="0" collapsed="false">
      <c r="A351" s="277"/>
      <c r="B351" s="277" t="s">
        <v>1047</v>
      </c>
      <c r="C351" s="278" t="n">
        <v>0</v>
      </c>
      <c r="D351" s="279" t="n">
        <v>44013</v>
      </c>
      <c r="E351" s="281" t="n">
        <v>86.34</v>
      </c>
    </row>
    <row r="352" customFormat="false" ht="12.8" hidden="false" customHeight="false" outlineLevel="0" collapsed="false">
      <c r="A352" s="277"/>
      <c r="B352" s="277" t="s">
        <v>1091</v>
      </c>
      <c r="C352" s="282" t="n">
        <v>0</v>
      </c>
      <c r="D352" s="279" t="n">
        <v>44013</v>
      </c>
      <c r="E352" s="283" t="n">
        <v>14.99</v>
      </c>
    </row>
    <row r="353" customFormat="false" ht="12.8" hidden="false" customHeight="false" outlineLevel="0" collapsed="false">
      <c r="A353" s="284" t="s">
        <v>1109</v>
      </c>
      <c r="B353" s="277"/>
      <c r="C353" s="285" t="n">
        <v>0</v>
      </c>
      <c r="D353" s="279" t="n">
        <v>44013</v>
      </c>
      <c r="E353" s="286" t="n">
        <v>5.53</v>
      </c>
    </row>
    <row r="354" customFormat="false" ht="12.8" hidden="false" customHeight="false" outlineLevel="0" collapsed="false">
      <c r="A354" s="284" t="s">
        <v>1092</v>
      </c>
      <c r="B354" s="277"/>
      <c r="C354" s="285" t="n">
        <v>91.87</v>
      </c>
      <c r="D354" s="279" t="n">
        <v>44013</v>
      </c>
      <c r="E354" s="280"/>
    </row>
    <row r="355" customFormat="false" ht="12.8" hidden="false" customHeight="false" outlineLevel="0" collapsed="false">
      <c r="A355" s="276" t="s">
        <v>1064</v>
      </c>
      <c r="B355" s="277" t="s">
        <v>1110</v>
      </c>
      <c r="C355" s="278" t="n">
        <v>501.36</v>
      </c>
      <c r="D355" s="287" t="n">
        <v>44044</v>
      </c>
      <c r="E355" s="280"/>
    </row>
    <row r="356" customFormat="false" ht="12.8" hidden="false" customHeight="false" outlineLevel="0" collapsed="false">
      <c r="A356" s="276" t="s">
        <v>1068</v>
      </c>
      <c r="B356" s="277" t="s">
        <v>1111</v>
      </c>
      <c r="C356" s="278" t="n">
        <v>210.27</v>
      </c>
      <c r="D356" s="287" t="n">
        <v>44044</v>
      </c>
      <c r="E356" s="280"/>
    </row>
    <row r="357" customFormat="false" ht="12.8" hidden="false" customHeight="false" outlineLevel="0" collapsed="false">
      <c r="A357" s="276" t="s">
        <v>442</v>
      </c>
      <c r="B357" s="277" t="s">
        <v>1112</v>
      </c>
      <c r="C357" s="278" t="n">
        <v>41.19</v>
      </c>
      <c r="D357" s="287" t="n">
        <v>44044</v>
      </c>
      <c r="E357" s="280"/>
    </row>
    <row r="358" customFormat="false" ht="12.8" hidden="false" customHeight="false" outlineLevel="0" collapsed="false">
      <c r="A358" s="276" t="s">
        <v>442</v>
      </c>
      <c r="B358" s="277" t="s">
        <v>1112</v>
      </c>
      <c r="C358" s="278" t="n">
        <v>325.85</v>
      </c>
      <c r="D358" s="287" t="n">
        <v>44044</v>
      </c>
      <c r="E358" s="280"/>
    </row>
    <row r="359" customFormat="false" ht="12.8" hidden="false" customHeight="false" outlineLevel="0" collapsed="false">
      <c r="A359" s="276" t="s">
        <v>442</v>
      </c>
      <c r="B359" s="277" t="s">
        <v>1112</v>
      </c>
      <c r="C359" s="278" t="n">
        <v>32.3</v>
      </c>
      <c r="D359" s="287" t="n">
        <v>44044</v>
      </c>
      <c r="E359" s="280"/>
    </row>
    <row r="360" customFormat="false" ht="12.8" hidden="false" customHeight="false" outlineLevel="0" collapsed="false">
      <c r="A360" s="276" t="s">
        <v>442</v>
      </c>
      <c r="B360" s="277" t="s">
        <v>1112</v>
      </c>
      <c r="C360" s="278" t="n">
        <v>235.25</v>
      </c>
      <c r="D360" s="287" t="n">
        <v>44044</v>
      </c>
      <c r="E360" s="280"/>
    </row>
    <row r="361" customFormat="false" ht="12.8" hidden="false" customHeight="false" outlineLevel="0" collapsed="false">
      <c r="A361" s="276" t="s">
        <v>442</v>
      </c>
      <c r="B361" s="277" t="s">
        <v>1113</v>
      </c>
      <c r="C361" s="278" t="n">
        <v>35.3</v>
      </c>
      <c r="D361" s="287" t="n">
        <v>44044</v>
      </c>
      <c r="E361" s="280"/>
    </row>
    <row r="362" customFormat="false" ht="12.8" hidden="false" customHeight="false" outlineLevel="0" collapsed="false">
      <c r="A362" s="276" t="s">
        <v>578</v>
      </c>
      <c r="B362" s="277" t="s">
        <v>1086</v>
      </c>
      <c r="C362" s="278" t="n">
        <v>190.06</v>
      </c>
      <c r="D362" s="287" t="n">
        <v>44044</v>
      </c>
      <c r="E362" s="280"/>
    </row>
    <row r="363" customFormat="false" ht="12.8" hidden="false" customHeight="false" outlineLevel="0" collapsed="false">
      <c r="A363" s="276" t="s">
        <v>581</v>
      </c>
      <c r="B363" s="277" t="s">
        <v>920</v>
      </c>
      <c r="C363" s="278" t="n">
        <v>85.16</v>
      </c>
      <c r="D363" s="287" t="n">
        <v>44044</v>
      </c>
      <c r="E363" s="280"/>
    </row>
    <row r="364" customFormat="false" ht="12.8" hidden="false" customHeight="false" outlineLevel="0" collapsed="false">
      <c r="A364" s="276" t="s">
        <v>587</v>
      </c>
      <c r="B364" s="277" t="s">
        <v>1038</v>
      </c>
      <c r="C364" s="278" t="n">
        <v>6.99</v>
      </c>
      <c r="D364" s="287" t="n">
        <v>44044</v>
      </c>
      <c r="E364" s="280"/>
    </row>
    <row r="365" customFormat="false" ht="12.8" hidden="false" customHeight="false" outlineLevel="0" collapsed="false">
      <c r="A365" s="276" t="s">
        <v>590</v>
      </c>
      <c r="B365" s="277" t="s">
        <v>1114</v>
      </c>
      <c r="C365" s="278" t="n">
        <v>10</v>
      </c>
      <c r="D365" s="287" t="n">
        <v>44044</v>
      </c>
      <c r="E365" s="280"/>
    </row>
    <row r="366" customFormat="false" ht="12.8" hidden="false" customHeight="false" outlineLevel="0" collapsed="false">
      <c r="A366" s="276" t="s">
        <v>590</v>
      </c>
      <c r="B366" s="277" t="s">
        <v>1081</v>
      </c>
      <c r="C366" s="278" t="n">
        <v>45.9</v>
      </c>
      <c r="D366" s="287" t="n">
        <v>44044</v>
      </c>
      <c r="E366" s="280"/>
    </row>
    <row r="367" customFormat="false" ht="12.8" hidden="false" customHeight="false" outlineLevel="0" collapsed="false">
      <c r="A367" s="276" t="s">
        <v>592</v>
      </c>
      <c r="B367" s="277" t="s">
        <v>1105</v>
      </c>
      <c r="C367" s="278" t="n">
        <v>9.9</v>
      </c>
      <c r="D367" s="287" t="n">
        <v>44044</v>
      </c>
      <c r="E367" s="280"/>
    </row>
    <row r="368" customFormat="false" ht="12.8" hidden="false" customHeight="false" outlineLevel="0" collapsed="false">
      <c r="A368" s="276" t="s">
        <v>594</v>
      </c>
      <c r="B368" s="277" t="s">
        <v>1115</v>
      </c>
      <c r="C368" s="278" t="n">
        <v>16.9</v>
      </c>
      <c r="D368" s="287" t="n">
        <v>44044</v>
      </c>
      <c r="E368" s="280"/>
    </row>
    <row r="369" customFormat="false" ht="12.8" hidden="false" customHeight="false" outlineLevel="0" collapsed="false">
      <c r="A369" s="276" t="s">
        <v>1116</v>
      </c>
      <c r="B369" s="277" t="s">
        <v>1117</v>
      </c>
      <c r="C369" s="278" t="n">
        <v>10</v>
      </c>
      <c r="D369" s="287" t="n">
        <v>44044</v>
      </c>
      <c r="E369" s="280"/>
    </row>
    <row r="370" customFormat="false" ht="12.8" hidden="false" customHeight="false" outlineLevel="0" collapsed="false">
      <c r="A370" s="276" t="s">
        <v>1116</v>
      </c>
      <c r="B370" s="277" t="s">
        <v>1118</v>
      </c>
      <c r="C370" s="278" t="n">
        <v>5</v>
      </c>
      <c r="D370" s="287" t="n">
        <v>44044</v>
      </c>
      <c r="E370" s="280"/>
    </row>
    <row r="371" customFormat="false" ht="12.8" hidden="false" customHeight="false" outlineLevel="0" collapsed="false">
      <c r="A371" s="276" t="s">
        <v>604</v>
      </c>
      <c r="B371" s="277" t="s">
        <v>1078</v>
      </c>
      <c r="C371" s="278" t="n">
        <v>12.9</v>
      </c>
      <c r="D371" s="287" t="n">
        <v>44044</v>
      </c>
      <c r="E371" s="280"/>
    </row>
    <row r="372" customFormat="false" ht="12.8" hidden="false" customHeight="false" outlineLevel="0" collapsed="false">
      <c r="A372" s="276" t="s">
        <v>612</v>
      </c>
      <c r="B372" s="277" t="s">
        <v>1055</v>
      </c>
      <c r="C372" s="278" t="n">
        <v>12.9</v>
      </c>
      <c r="D372" s="287" t="n">
        <v>44044</v>
      </c>
      <c r="E372" s="280"/>
    </row>
    <row r="373" customFormat="false" ht="15" hidden="false" customHeight="false" outlineLevel="0" collapsed="false">
      <c r="A373" s="266" t="s">
        <v>617</v>
      </c>
      <c r="B373" s="228" t="s">
        <v>1086</v>
      </c>
      <c r="C373" s="267" t="n">
        <v>123.52</v>
      </c>
      <c r="D373" s="287" t="n">
        <v>44044</v>
      </c>
      <c r="E373" s="280"/>
    </row>
    <row r="374" customFormat="false" ht="15" hidden="false" customHeight="false" outlineLevel="0" collapsed="false">
      <c r="A374" s="266" t="s">
        <v>617</v>
      </c>
      <c r="B374" s="228" t="s">
        <v>999</v>
      </c>
      <c r="C374" s="267" t="n">
        <v>36</v>
      </c>
      <c r="D374" s="287" t="n">
        <v>44044</v>
      </c>
      <c r="E374" s="280"/>
    </row>
    <row r="375" customFormat="false" ht="15" hidden="false" customHeight="false" outlineLevel="0" collapsed="false">
      <c r="A375" s="266" t="s">
        <v>623</v>
      </c>
      <c r="B375" s="228" t="s">
        <v>1107</v>
      </c>
      <c r="C375" s="267" t="n">
        <v>123.8</v>
      </c>
      <c r="D375" s="287" t="n">
        <v>44044</v>
      </c>
      <c r="E375" s="280"/>
    </row>
    <row r="376" customFormat="false" ht="15" hidden="false" customHeight="false" outlineLevel="0" collapsed="false">
      <c r="A376" s="266" t="s">
        <v>623</v>
      </c>
      <c r="B376" s="228" t="s">
        <v>1107</v>
      </c>
      <c r="C376" s="267" t="n">
        <v>81.52</v>
      </c>
      <c r="D376" s="287" t="n">
        <v>44044</v>
      </c>
      <c r="E376" s="280"/>
    </row>
    <row r="377" customFormat="false" ht="12.8" hidden="false" customHeight="false" outlineLevel="0" collapsed="false">
      <c r="A377" s="276" t="s">
        <v>596</v>
      </c>
      <c r="B377" s="277" t="s">
        <v>1089</v>
      </c>
      <c r="C377" s="277" t="n">
        <v>0</v>
      </c>
      <c r="D377" s="287" t="n">
        <v>44044</v>
      </c>
      <c r="E377" s="281" t="n">
        <v>5.47</v>
      </c>
    </row>
    <row r="378" customFormat="false" ht="12.8" hidden="false" customHeight="false" outlineLevel="0" collapsed="false">
      <c r="A378" s="277"/>
      <c r="B378" s="277" t="s">
        <v>1047</v>
      </c>
      <c r="C378" s="277" t="n">
        <v>0</v>
      </c>
      <c r="D378" s="287" t="n">
        <v>44044</v>
      </c>
      <c r="E378" s="281" t="n">
        <v>82</v>
      </c>
    </row>
    <row r="379" customFormat="false" ht="12.8" hidden="false" customHeight="false" outlineLevel="0" collapsed="false">
      <c r="A379" s="277"/>
      <c r="B379" s="277" t="s">
        <v>1091</v>
      </c>
      <c r="C379" s="277" t="n">
        <v>0</v>
      </c>
      <c r="D379" s="287" t="n">
        <v>44044</v>
      </c>
      <c r="E379" s="283" t="n">
        <v>14.99</v>
      </c>
    </row>
    <row r="380" customFormat="false" ht="12.8" hidden="false" customHeight="false" outlineLevel="0" collapsed="false">
      <c r="A380" s="284" t="s">
        <v>1119</v>
      </c>
      <c r="B380" s="277"/>
      <c r="C380" s="277" t="n">
        <v>0</v>
      </c>
      <c r="D380" s="287" t="n">
        <v>44044</v>
      </c>
      <c r="E380" s="286" t="n">
        <v>0</v>
      </c>
    </row>
    <row r="381" customFormat="false" ht="12.8" hidden="false" customHeight="false" outlineLevel="0" collapsed="false">
      <c r="A381" s="284" t="s">
        <v>1120</v>
      </c>
      <c r="B381" s="277"/>
      <c r="C381" s="277" t="n">
        <v>0</v>
      </c>
      <c r="D381" s="287" t="n">
        <v>44044</v>
      </c>
      <c r="E381" s="286" t="n">
        <v>82</v>
      </c>
    </row>
    <row r="382" customFormat="false" ht="12.8" hidden="false" customHeight="false" outlineLevel="0" collapsed="false">
      <c r="A382" s="284" t="s">
        <v>1109</v>
      </c>
      <c r="B382" s="277"/>
      <c r="C382" s="277" t="n">
        <v>0</v>
      </c>
      <c r="D382" s="287" t="n">
        <v>44044</v>
      </c>
      <c r="E382" s="286" t="n">
        <v>5.25</v>
      </c>
    </row>
    <row r="383" customFormat="false" ht="12.8" hidden="false" customHeight="false" outlineLevel="0" collapsed="false">
      <c r="A383" s="284" t="s">
        <v>1092</v>
      </c>
      <c r="B383" s="277"/>
      <c r="C383" s="285" t="n">
        <v>87.25</v>
      </c>
      <c r="D383" s="287" t="n">
        <v>44044</v>
      </c>
      <c r="E383" s="286" t="n">
        <v>87.25</v>
      </c>
    </row>
    <row r="384" customFormat="false" ht="12.8" hidden="false" customHeight="false" outlineLevel="0" collapsed="false">
      <c r="A384" s="288" t="n">
        <v>44089</v>
      </c>
      <c r="B384" s="289" t="s">
        <v>1121</v>
      </c>
      <c r="C384" s="290" t="n">
        <v>597.42</v>
      </c>
      <c r="D384" s="288" t="n">
        <v>44075</v>
      </c>
    </row>
    <row r="385" customFormat="false" ht="15" hidden="false" customHeight="false" outlineLevel="0" collapsed="false">
      <c r="A385" s="266" t="s">
        <v>1064</v>
      </c>
      <c r="B385" s="228" t="s">
        <v>1122</v>
      </c>
      <c r="C385" s="267" t="n">
        <v>501.36</v>
      </c>
      <c r="D385" s="223" t="n">
        <v>44105</v>
      </c>
    </row>
    <row r="386" customFormat="false" ht="15" hidden="false" customHeight="false" outlineLevel="0" collapsed="false">
      <c r="A386" s="266" t="s">
        <v>442</v>
      </c>
      <c r="B386" s="228" t="s">
        <v>1123</v>
      </c>
      <c r="C386" s="267" t="n">
        <v>41.19</v>
      </c>
      <c r="D386" s="223" t="n">
        <v>44105</v>
      </c>
    </row>
    <row r="387" customFormat="false" ht="15" hidden="false" customHeight="false" outlineLevel="0" collapsed="false">
      <c r="A387" s="266" t="s">
        <v>442</v>
      </c>
      <c r="B387" s="228" t="s">
        <v>1123</v>
      </c>
      <c r="C387" s="267" t="n">
        <v>325.85</v>
      </c>
      <c r="D387" s="223" t="n">
        <v>44105</v>
      </c>
    </row>
    <row r="388" customFormat="false" ht="15" hidden="false" customHeight="false" outlineLevel="0" collapsed="false">
      <c r="A388" s="266" t="s">
        <v>442</v>
      </c>
      <c r="B388" s="228" t="s">
        <v>1123</v>
      </c>
      <c r="C388" s="267" t="n">
        <v>32.3</v>
      </c>
      <c r="D388" s="223" t="n">
        <v>44105</v>
      </c>
    </row>
    <row r="389" customFormat="false" ht="15" hidden="false" customHeight="false" outlineLevel="0" collapsed="false">
      <c r="A389" s="266" t="s">
        <v>442</v>
      </c>
      <c r="B389" s="228" t="s">
        <v>1123</v>
      </c>
      <c r="C389" s="267" t="n">
        <v>235.25</v>
      </c>
      <c r="D389" s="223" t="n">
        <v>44105</v>
      </c>
    </row>
    <row r="390" customFormat="false" ht="15" hidden="false" customHeight="false" outlineLevel="0" collapsed="false">
      <c r="A390" s="266" t="s">
        <v>442</v>
      </c>
      <c r="B390" s="228" t="s">
        <v>1124</v>
      </c>
      <c r="C390" s="267" t="n">
        <v>35.3</v>
      </c>
      <c r="D390" s="223" t="n">
        <v>44105</v>
      </c>
    </row>
    <row r="391" customFormat="false" ht="15" hidden="false" customHeight="false" outlineLevel="0" collapsed="false">
      <c r="A391" s="266" t="s">
        <v>581</v>
      </c>
      <c r="B391" s="228" t="s">
        <v>974</v>
      </c>
      <c r="C391" s="267" t="n">
        <v>85.16</v>
      </c>
      <c r="D391" s="223" t="n">
        <v>44105</v>
      </c>
    </row>
    <row r="392" customFormat="false" ht="15" hidden="false" customHeight="false" outlineLevel="0" collapsed="false">
      <c r="A392" s="266" t="s">
        <v>1125</v>
      </c>
      <c r="B392" s="228" t="s">
        <v>1126</v>
      </c>
      <c r="C392" s="267" t="n">
        <v>58.7</v>
      </c>
      <c r="D392" s="223" t="n">
        <v>44105</v>
      </c>
    </row>
    <row r="393" customFormat="false" ht="15" hidden="false" customHeight="false" outlineLevel="0" collapsed="false">
      <c r="A393" s="266" t="s">
        <v>1127</v>
      </c>
      <c r="B393" s="228" t="s">
        <v>939</v>
      </c>
      <c r="C393" s="267" t="n">
        <v>193</v>
      </c>
      <c r="D393" s="223" t="n">
        <v>44105</v>
      </c>
    </row>
    <row r="394" customFormat="false" ht="15" hidden="false" customHeight="false" outlineLevel="0" collapsed="false">
      <c r="A394" s="266" t="s">
        <v>1128</v>
      </c>
      <c r="B394" s="228" t="s">
        <v>1129</v>
      </c>
      <c r="C394" s="267" t="n">
        <v>80</v>
      </c>
      <c r="D394" s="223" t="n">
        <v>44105</v>
      </c>
    </row>
    <row r="395" customFormat="false" ht="15" hidden="false" customHeight="false" outlineLevel="0" collapsed="false">
      <c r="A395" s="266" t="s">
        <v>678</v>
      </c>
      <c r="B395" s="228" t="s">
        <v>1130</v>
      </c>
      <c r="C395" s="267" t="n">
        <v>208.2</v>
      </c>
      <c r="D395" s="223" t="n">
        <v>44105</v>
      </c>
    </row>
    <row r="396" customFormat="false" ht="15" hidden="false" customHeight="false" outlineLevel="0" collapsed="false">
      <c r="A396" s="266" t="s">
        <v>680</v>
      </c>
      <c r="B396" s="228" t="s">
        <v>947</v>
      </c>
      <c r="C396" s="267" t="n">
        <v>50</v>
      </c>
      <c r="D396" s="223" t="n">
        <v>44105</v>
      </c>
    </row>
    <row r="397" customFormat="false" ht="15" hidden="false" customHeight="false" outlineLevel="0" collapsed="false">
      <c r="A397" s="266" t="s">
        <v>681</v>
      </c>
      <c r="B397" s="228" t="s">
        <v>1131</v>
      </c>
      <c r="C397" s="267" t="n">
        <v>49.74</v>
      </c>
      <c r="D397" s="223" t="n">
        <v>44105</v>
      </c>
    </row>
    <row r="398" customFormat="false" ht="15" hidden="false" customHeight="false" outlineLevel="0" collapsed="false">
      <c r="A398" s="266" t="s">
        <v>681</v>
      </c>
      <c r="B398" s="228" t="s">
        <v>1131</v>
      </c>
      <c r="C398" s="267" t="n">
        <v>38.45</v>
      </c>
      <c r="D398" s="223" t="n">
        <v>44105</v>
      </c>
    </row>
    <row r="399" customFormat="false" ht="15" hidden="false" customHeight="false" outlineLevel="0" collapsed="false">
      <c r="A399" s="266" t="s">
        <v>681</v>
      </c>
      <c r="B399" s="228" t="s">
        <v>1132</v>
      </c>
      <c r="C399" s="267" t="n">
        <v>10</v>
      </c>
      <c r="D399" s="223" t="n">
        <v>44105</v>
      </c>
    </row>
    <row r="400" customFormat="false" ht="15" hidden="false" customHeight="false" outlineLevel="0" collapsed="false">
      <c r="A400" s="266" t="s">
        <v>681</v>
      </c>
      <c r="B400" s="228" t="s">
        <v>1133</v>
      </c>
      <c r="C400" s="267" t="n">
        <v>10</v>
      </c>
      <c r="D400" s="223" t="n">
        <v>44105</v>
      </c>
    </row>
    <row r="401" customFormat="false" ht="15" hidden="false" customHeight="false" outlineLevel="0" collapsed="false">
      <c r="A401" s="266" t="s">
        <v>684</v>
      </c>
      <c r="B401" s="228" t="s">
        <v>1134</v>
      </c>
      <c r="C401" s="267" t="n">
        <v>9.01</v>
      </c>
      <c r="D401" s="223" t="n">
        <v>44105</v>
      </c>
    </row>
    <row r="402" customFormat="false" ht="15" hidden="false" customHeight="false" outlineLevel="0" collapsed="false">
      <c r="A402" s="266" t="s">
        <v>684</v>
      </c>
      <c r="B402" s="228" t="s">
        <v>1135</v>
      </c>
      <c r="C402" s="267" t="n">
        <v>136.96</v>
      </c>
      <c r="D402" s="223" t="n">
        <v>44105</v>
      </c>
    </row>
    <row r="403" customFormat="false" ht="15" hidden="false" customHeight="false" outlineLevel="0" collapsed="false">
      <c r="A403" s="266" t="s">
        <v>1136</v>
      </c>
      <c r="B403" s="228" t="s">
        <v>931</v>
      </c>
      <c r="C403" s="267" t="n">
        <v>21.9</v>
      </c>
      <c r="D403" s="223" t="n">
        <v>44105</v>
      </c>
    </row>
    <row r="404" customFormat="false" ht="15" hidden="false" customHeight="false" outlineLevel="0" collapsed="false">
      <c r="A404" s="266" t="s">
        <v>1136</v>
      </c>
      <c r="B404" s="228" t="s">
        <v>1137</v>
      </c>
      <c r="C404" s="267" t="n">
        <v>6.99</v>
      </c>
      <c r="D404" s="223" t="n">
        <v>44105</v>
      </c>
    </row>
    <row r="405" customFormat="false" ht="15" hidden="false" customHeight="false" outlineLevel="0" collapsed="false">
      <c r="A405" s="266" t="s">
        <v>1138</v>
      </c>
      <c r="B405" s="228" t="s">
        <v>942</v>
      </c>
      <c r="C405" s="267" t="n">
        <v>31.49</v>
      </c>
      <c r="D405" s="223" t="n">
        <v>44105</v>
      </c>
    </row>
    <row r="406" customFormat="false" ht="15" hidden="false" customHeight="false" outlineLevel="0" collapsed="false">
      <c r="A406" s="266" t="s">
        <v>1138</v>
      </c>
      <c r="B406" s="228" t="s">
        <v>1044</v>
      </c>
      <c r="C406" s="267" t="n">
        <v>94.3</v>
      </c>
      <c r="D406" s="223" t="n">
        <v>44105</v>
      </c>
    </row>
    <row r="407" customFormat="false" ht="15" hidden="false" customHeight="false" outlineLevel="0" collapsed="false">
      <c r="A407" s="266" t="s">
        <v>686</v>
      </c>
      <c r="B407" s="228" t="s">
        <v>1081</v>
      </c>
      <c r="C407" s="267" t="n">
        <v>45.9</v>
      </c>
      <c r="D407" s="223" t="n">
        <v>44105</v>
      </c>
    </row>
    <row r="408" customFormat="false" ht="15" hidden="false" customHeight="false" outlineLevel="0" collapsed="false">
      <c r="A408" s="266" t="s">
        <v>688</v>
      </c>
      <c r="B408" s="228" t="s">
        <v>947</v>
      </c>
      <c r="C408" s="267" t="n">
        <v>50</v>
      </c>
      <c r="D408" s="223" t="n">
        <v>44105</v>
      </c>
    </row>
    <row r="409" customFormat="false" ht="15" hidden="false" customHeight="false" outlineLevel="0" collapsed="false">
      <c r="A409" s="266" t="s">
        <v>688</v>
      </c>
      <c r="B409" s="228" t="s">
        <v>1105</v>
      </c>
      <c r="C409" s="267" t="n">
        <v>9.9</v>
      </c>
      <c r="D409" s="223" t="n">
        <v>44105</v>
      </c>
    </row>
    <row r="410" customFormat="false" ht="15" hidden="false" customHeight="false" outlineLevel="0" collapsed="false">
      <c r="A410" s="266" t="s">
        <v>689</v>
      </c>
      <c r="B410" s="228" t="s">
        <v>1130</v>
      </c>
      <c r="C410" s="267" t="n">
        <v>140.02</v>
      </c>
      <c r="D410" s="223" t="n">
        <v>44105</v>
      </c>
    </row>
    <row r="411" customFormat="false" ht="15" hidden="false" customHeight="false" outlineLevel="0" collapsed="false">
      <c r="A411" s="266" t="s">
        <v>706</v>
      </c>
      <c r="B411" s="228" t="s">
        <v>1139</v>
      </c>
      <c r="C411" s="267" t="n">
        <v>165</v>
      </c>
      <c r="D411" s="223" t="n">
        <v>44105</v>
      </c>
    </row>
    <row r="412" customFormat="false" ht="15" hidden="false" customHeight="false" outlineLevel="0" collapsed="false">
      <c r="A412" s="266" t="s">
        <v>706</v>
      </c>
      <c r="B412" s="228" t="s">
        <v>1140</v>
      </c>
      <c r="C412" s="267" t="n">
        <v>200.15</v>
      </c>
      <c r="D412" s="223" t="n">
        <v>44105</v>
      </c>
    </row>
    <row r="413" customFormat="false" ht="15" hidden="false" customHeight="false" outlineLevel="0" collapsed="false">
      <c r="A413" s="266" t="s">
        <v>706</v>
      </c>
      <c r="B413" s="228" t="s">
        <v>1141</v>
      </c>
      <c r="C413" s="267" t="n">
        <v>19.99</v>
      </c>
      <c r="D413" s="223" t="n">
        <v>44105</v>
      </c>
    </row>
    <row r="414" customFormat="false" ht="15" hidden="false" customHeight="false" outlineLevel="0" collapsed="false">
      <c r="A414" s="266" t="s">
        <v>1142</v>
      </c>
      <c r="B414" s="228" t="s">
        <v>1143</v>
      </c>
      <c r="C414" s="267" t="n">
        <v>10</v>
      </c>
      <c r="D414" s="223" t="n">
        <v>44105</v>
      </c>
    </row>
    <row r="415" customFormat="false" ht="15" hidden="false" customHeight="false" outlineLevel="0" collapsed="false">
      <c r="A415" s="266" t="s">
        <v>1142</v>
      </c>
      <c r="B415" s="228" t="s">
        <v>1144</v>
      </c>
      <c r="C415" s="267" t="n">
        <v>5</v>
      </c>
      <c r="D415" s="223" t="n">
        <v>44105</v>
      </c>
    </row>
    <row r="416" customFormat="false" ht="15" hidden="false" customHeight="false" outlineLevel="0" collapsed="false">
      <c r="A416" s="266" t="s">
        <v>708</v>
      </c>
      <c r="B416" s="228" t="s">
        <v>1145</v>
      </c>
      <c r="C416" s="267" t="n">
        <v>99.9</v>
      </c>
      <c r="D416" s="223" t="n">
        <v>44105</v>
      </c>
    </row>
    <row r="417" customFormat="false" ht="15" hidden="false" customHeight="false" outlineLevel="0" collapsed="false">
      <c r="A417" s="266" t="s">
        <v>711</v>
      </c>
      <c r="B417" s="228" t="s">
        <v>944</v>
      </c>
      <c r="C417" s="267" t="n">
        <v>36</v>
      </c>
      <c r="D417" s="223" t="n">
        <v>44105</v>
      </c>
    </row>
    <row r="418" customFormat="false" ht="15" hidden="false" customHeight="false" outlineLevel="0" collapsed="false">
      <c r="A418" s="266" t="s">
        <v>711</v>
      </c>
      <c r="B418" s="228" t="s">
        <v>993</v>
      </c>
      <c r="C418" s="267" t="n">
        <v>19.9</v>
      </c>
      <c r="D418" s="223" t="n">
        <v>44105</v>
      </c>
    </row>
    <row r="419" customFormat="false" ht="15" hidden="false" customHeight="false" outlineLevel="0" collapsed="false">
      <c r="A419" s="266" t="s">
        <v>712</v>
      </c>
      <c r="B419" s="228" t="s">
        <v>1145</v>
      </c>
      <c r="C419" s="267" t="n">
        <v>5.28</v>
      </c>
      <c r="D419" s="223" t="n">
        <v>44105</v>
      </c>
    </row>
    <row r="420" customFormat="false" ht="15" hidden="false" customHeight="false" outlineLevel="0" collapsed="false">
      <c r="A420" s="266" t="s">
        <v>712</v>
      </c>
      <c r="B420" s="228" t="s">
        <v>957</v>
      </c>
      <c r="C420" s="267" t="n">
        <v>96.3</v>
      </c>
      <c r="D420" s="223" t="n">
        <v>44105</v>
      </c>
    </row>
    <row r="421" customFormat="false" ht="15" hidden="false" customHeight="false" outlineLevel="0" collapsed="false">
      <c r="A421" s="266" t="s">
        <v>714</v>
      </c>
      <c r="B421" s="228" t="s">
        <v>939</v>
      </c>
      <c r="C421" s="267" t="n">
        <v>56.6</v>
      </c>
      <c r="D421" s="223" t="n">
        <v>44105</v>
      </c>
    </row>
    <row r="422" customFormat="false" ht="15" hidden="false" customHeight="false" outlineLevel="0" collapsed="false">
      <c r="A422" s="266" t="s">
        <v>714</v>
      </c>
      <c r="B422" s="228" t="s">
        <v>1044</v>
      </c>
      <c r="C422" s="267" t="n">
        <v>39.9</v>
      </c>
      <c r="D422" s="223" t="n">
        <v>44105</v>
      </c>
    </row>
    <row r="423" customFormat="false" ht="15" hidden="false" customHeight="false" outlineLevel="0" collapsed="false">
      <c r="A423" s="266" t="s">
        <v>678</v>
      </c>
      <c r="B423" s="228" t="s">
        <v>1146</v>
      </c>
      <c r="C423" s="267" t="n">
        <v>597.42</v>
      </c>
      <c r="D423" s="223" t="n">
        <v>44105</v>
      </c>
    </row>
    <row r="424" customFormat="false" ht="15" hidden="false" customHeight="false" outlineLevel="0" collapsed="false">
      <c r="A424" s="266" t="s">
        <v>1147</v>
      </c>
      <c r="B424" s="228" t="s">
        <v>1047</v>
      </c>
      <c r="C424" s="274" t="n">
        <v>93.63</v>
      </c>
      <c r="D424" s="223" t="n">
        <v>44105</v>
      </c>
    </row>
    <row r="425" customFormat="false" ht="15" hidden="false" customHeight="false" outlineLevel="0" collapsed="false">
      <c r="A425" s="291" t="s">
        <v>1064</v>
      </c>
      <c r="B425" s="292" t="s">
        <v>1148</v>
      </c>
      <c r="C425" s="293" t="n">
        <v>501.36</v>
      </c>
      <c r="D425" s="288" t="n">
        <v>44136</v>
      </c>
    </row>
    <row r="426" customFormat="false" ht="15" hidden="false" customHeight="false" outlineLevel="0" collapsed="false">
      <c r="A426" s="291" t="s">
        <v>684</v>
      </c>
      <c r="B426" s="292" t="s">
        <v>1149</v>
      </c>
      <c r="C426" s="293" t="n">
        <v>136.96</v>
      </c>
      <c r="D426" s="288" t="n">
        <v>44136</v>
      </c>
    </row>
    <row r="427" customFormat="false" ht="15" hidden="false" customHeight="false" outlineLevel="0" collapsed="false">
      <c r="A427" s="291" t="s">
        <v>706</v>
      </c>
      <c r="B427" s="292" t="s">
        <v>1150</v>
      </c>
      <c r="C427" s="293" t="n">
        <v>19.99</v>
      </c>
      <c r="D427" s="288" t="n">
        <v>44136</v>
      </c>
    </row>
    <row r="428" customFormat="false" ht="15" hidden="false" customHeight="false" outlineLevel="0" collapsed="false">
      <c r="A428" s="291" t="s">
        <v>722</v>
      </c>
      <c r="B428" s="292" t="s">
        <v>939</v>
      </c>
      <c r="C428" s="293" t="n">
        <v>132.56</v>
      </c>
      <c r="D428" s="288" t="n">
        <v>44136</v>
      </c>
    </row>
    <row r="429" customFormat="false" ht="15" hidden="false" customHeight="false" outlineLevel="0" collapsed="false">
      <c r="A429" s="291" t="s">
        <v>1151</v>
      </c>
      <c r="B429" s="292" t="s">
        <v>1152</v>
      </c>
      <c r="C429" s="293" t="n">
        <v>100</v>
      </c>
      <c r="D429" s="288" t="n">
        <v>44136</v>
      </c>
    </row>
    <row r="430" customFormat="false" ht="15" hidden="false" customHeight="false" outlineLevel="0" collapsed="false">
      <c r="A430" s="291" t="s">
        <v>726</v>
      </c>
      <c r="B430" s="292" t="s">
        <v>1145</v>
      </c>
      <c r="C430" s="293" t="n">
        <v>9.9</v>
      </c>
      <c r="D430" s="288" t="n">
        <v>44136</v>
      </c>
    </row>
    <row r="431" customFormat="false" ht="15" hidden="false" customHeight="false" outlineLevel="0" collapsed="false">
      <c r="A431" s="291" t="s">
        <v>726</v>
      </c>
      <c r="B431" s="292" t="s">
        <v>993</v>
      </c>
      <c r="C431" s="293" t="n">
        <v>39.98</v>
      </c>
      <c r="D431" s="288" t="n">
        <v>44136</v>
      </c>
    </row>
    <row r="432" customFormat="false" ht="15" hidden="false" customHeight="false" outlineLevel="0" collapsed="false">
      <c r="A432" s="291" t="s">
        <v>726</v>
      </c>
      <c r="B432" s="292" t="s">
        <v>1153</v>
      </c>
      <c r="C432" s="293" t="n">
        <v>42</v>
      </c>
      <c r="D432" s="288" t="n">
        <v>44136</v>
      </c>
    </row>
    <row r="433" customFormat="false" ht="15" hidden="false" customHeight="false" outlineLevel="0" collapsed="false">
      <c r="A433" s="291" t="s">
        <v>726</v>
      </c>
      <c r="B433" s="292" t="s">
        <v>957</v>
      </c>
      <c r="C433" s="293" t="n">
        <v>52.2</v>
      </c>
      <c r="D433" s="288" t="n">
        <v>44136</v>
      </c>
    </row>
    <row r="434" customFormat="false" ht="15" hidden="false" customHeight="false" outlineLevel="0" collapsed="false">
      <c r="A434" s="291" t="s">
        <v>726</v>
      </c>
      <c r="B434" s="292" t="s">
        <v>1154</v>
      </c>
      <c r="C434" s="293" t="n">
        <v>49.99</v>
      </c>
      <c r="D434" s="288" t="n">
        <v>44136</v>
      </c>
    </row>
    <row r="435" customFormat="false" ht="15" hidden="false" customHeight="false" outlineLevel="0" collapsed="false">
      <c r="A435" s="291" t="s">
        <v>733</v>
      </c>
      <c r="B435" s="292" t="s">
        <v>947</v>
      </c>
      <c r="C435" s="293" t="n">
        <v>50</v>
      </c>
      <c r="D435" s="288" t="n">
        <v>44136</v>
      </c>
    </row>
    <row r="436" customFormat="false" ht="15" hidden="false" customHeight="false" outlineLevel="0" collapsed="false">
      <c r="A436" s="291" t="s">
        <v>740</v>
      </c>
      <c r="B436" s="292" t="s">
        <v>1081</v>
      </c>
      <c r="C436" s="293" t="n">
        <v>45.9</v>
      </c>
      <c r="D436" s="288" t="n">
        <v>44136</v>
      </c>
    </row>
    <row r="437" customFormat="false" ht="15" hidden="false" customHeight="false" outlineLevel="0" collapsed="false">
      <c r="A437" s="291" t="s">
        <v>1155</v>
      </c>
      <c r="B437" s="292" t="s">
        <v>1156</v>
      </c>
      <c r="C437" s="293" t="n">
        <v>8.79</v>
      </c>
      <c r="D437" s="288" t="n">
        <v>44136</v>
      </c>
    </row>
    <row r="438" customFormat="false" ht="15" hidden="false" customHeight="false" outlineLevel="0" collapsed="false">
      <c r="A438" s="291" t="s">
        <v>1155</v>
      </c>
      <c r="B438" s="292" t="s">
        <v>1157</v>
      </c>
      <c r="C438" s="293" t="n">
        <v>71.88</v>
      </c>
      <c r="D438" s="288" t="n">
        <v>44136</v>
      </c>
    </row>
    <row r="439" customFormat="false" ht="15" hidden="false" customHeight="false" outlineLevel="0" collapsed="false">
      <c r="A439" s="291" t="s">
        <v>1155</v>
      </c>
      <c r="B439" s="292" t="s">
        <v>1145</v>
      </c>
      <c r="C439" s="293" t="n">
        <v>99.9</v>
      </c>
      <c r="D439" s="288" t="n">
        <v>44136</v>
      </c>
    </row>
    <row r="440" customFormat="false" ht="15" hidden="false" customHeight="false" outlineLevel="0" collapsed="false">
      <c r="A440" s="291" t="s">
        <v>1158</v>
      </c>
      <c r="B440" s="292" t="s">
        <v>1159</v>
      </c>
      <c r="C440" s="293" t="n">
        <v>10.95</v>
      </c>
      <c r="D440" s="288" t="n">
        <v>44136</v>
      </c>
    </row>
    <row r="441" customFormat="false" ht="15" hidden="false" customHeight="false" outlineLevel="0" collapsed="false">
      <c r="A441" s="291" t="s">
        <v>1158</v>
      </c>
      <c r="B441" s="292" t="s">
        <v>1160</v>
      </c>
      <c r="C441" s="293" t="n">
        <v>21.9</v>
      </c>
      <c r="D441" s="288" t="n">
        <v>44136</v>
      </c>
    </row>
    <row r="442" customFormat="false" ht="15" hidden="false" customHeight="false" outlineLevel="0" collapsed="false">
      <c r="A442" s="291" t="s">
        <v>1158</v>
      </c>
      <c r="B442" s="292" t="s">
        <v>962</v>
      </c>
      <c r="C442" s="293" t="n">
        <v>144.72</v>
      </c>
      <c r="D442" s="288" t="n">
        <v>44136</v>
      </c>
    </row>
    <row r="443" customFormat="false" ht="15" hidden="false" customHeight="false" outlineLevel="0" collapsed="false">
      <c r="A443" s="291" t="s">
        <v>1158</v>
      </c>
      <c r="B443" s="292" t="s">
        <v>962</v>
      </c>
      <c r="C443" s="293" t="n">
        <v>17.27</v>
      </c>
      <c r="D443" s="288" t="n">
        <v>44136</v>
      </c>
    </row>
    <row r="444" customFormat="false" ht="15" hidden="false" customHeight="false" outlineLevel="0" collapsed="false">
      <c r="A444" s="291" t="s">
        <v>747</v>
      </c>
      <c r="B444" s="292" t="s">
        <v>1161</v>
      </c>
      <c r="C444" s="293" t="n">
        <v>10</v>
      </c>
      <c r="D444" s="288" t="n">
        <v>44136</v>
      </c>
    </row>
    <row r="445" customFormat="false" ht="15" hidden="false" customHeight="false" outlineLevel="0" collapsed="false">
      <c r="A445" s="291" t="s">
        <v>750</v>
      </c>
      <c r="B445" s="292" t="s">
        <v>1162</v>
      </c>
      <c r="C445" s="293" t="n">
        <v>205.02</v>
      </c>
      <c r="D445" s="288" t="n">
        <v>44136</v>
      </c>
    </row>
    <row r="446" customFormat="false" ht="15" hidden="false" customHeight="false" outlineLevel="0" collapsed="false">
      <c r="A446" s="291" t="s">
        <v>1163</v>
      </c>
      <c r="B446" s="292" t="s">
        <v>1044</v>
      </c>
      <c r="C446" s="293" t="n">
        <v>39.9</v>
      </c>
      <c r="D446" s="288" t="n">
        <v>44136</v>
      </c>
    </row>
    <row r="447" customFormat="false" ht="15" hidden="false" customHeight="false" outlineLevel="0" collapsed="false">
      <c r="A447" s="291" t="s">
        <v>753</v>
      </c>
      <c r="B447" s="292" t="s">
        <v>1105</v>
      </c>
      <c r="C447" s="293" t="n">
        <v>9.9</v>
      </c>
      <c r="D447" s="288" t="n">
        <v>44136</v>
      </c>
    </row>
    <row r="448" customFormat="false" ht="15" hidden="false" customHeight="false" outlineLevel="0" collapsed="false">
      <c r="A448" s="291" t="s">
        <v>1164</v>
      </c>
      <c r="B448" s="292" t="s">
        <v>1137</v>
      </c>
      <c r="C448" s="293" t="n">
        <v>6.99</v>
      </c>
      <c r="D448" s="288" t="n">
        <v>44136</v>
      </c>
    </row>
    <row r="449" customFormat="false" ht="15" hidden="false" customHeight="false" outlineLevel="0" collapsed="false">
      <c r="A449" s="291" t="s">
        <v>1165</v>
      </c>
      <c r="B449" s="292" t="s">
        <v>1166</v>
      </c>
      <c r="C449" s="293" t="n">
        <v>37.8</v>
      </c>
      <c r="D449" s="288" t="n">
        <v>44136</v>
      </c>
    </row>
    <row r="450" customFormat="false" ht="15" hidden="false" customHeight="false" outlineLevel="0" collapsed="false">
      <c r="A450" s="291" t="s">
        <v>1165</v>
      </c>
      <c r="B450" s="292" t="s">
        <v>1167</v>
      </c>
      <c r="C450" s="293" t="n">
        <v>125</v>
      </c>
      <c r="D450" s="288" t="n">
        <v>44136</v>
      </c>
    </row>
    <row r="451" customFormat="false" ht="15" hidden="false" customHeight="false" outlineLevel="0" collapsed="false">
      <c r="A451" s="291" t="s">
        <v>755</v>
      </c>
      <c r="B451" s="292" t="s">
        <v>1168</v>
      </c>
      <c r="C451" s="293" t="n">
        <v>129.66</v>
      </c>
      <c r="D451" s="288" t="n">
        <v>44136</v>
      </c>
    </row>
    <row r="452" customFormat="false" ht="15" hidden="false" customHeight="false" outlineLevel="0" collapsed="false">
      <c r="A452" s="291" t="s">
        <v>764</v>
      </c>
      <c r="B452" s="292" t="s">
        <v>939</v>
      </c>
      <c r="C452" s="293" t="n">
        <v>205.78</v>
      </c>
      <c r="D452" s="288" t="n">
        <v>44136</v>
      </c>
    </row>
    <row r="453" customFormat="false" ht="15" hidden="false" customHeight="false" outlineLevel="0" collapsed="false">
      <c r="A453" s="291" t="s">
        <v>678</v>
      </c>
      <c r="B453" s="292" t="s">
        <v>1169</v>
      </c>
      <c r="C453" s="293" t="n">
        <v>597.42</v>
      </c>
      <c r="D453" s="288" t="n">
        <v>44136</v>
      </c>
    </row>
    <row r="454" customFormat="false" ht="15.8" hidden="false" customHeight="false" outlineLevel="0" collapsed="false">
      <c r="A454" s="249" t="s">
        <v>1064</v>
      </c>
      <c r="B454" s="250" t="s">
        <v>1170</v>
      </c>
      <c r="C454" s="251" t="n">
        <v>501.36</v>
      </c>
      <c r="D454" s="252" t="n">
        <v>44166</v>
      </c>
    </row>
    <row r="455" customFormat="false" ht="15.8" hidden="false" customHeight="false" outlineLevel="0" collapsed="false">
      <c r="A455" s="249" t="s">
        <v>706</v>
      </c>
      <c r="B455" s="250" t="s">
        <v>1171</v>
      </c>
      <c r="C455" s="251" t="n">
        <v>19.99</v>
      </c>
      <c r="D455" s="252" t="n">
        <v>44166</v>
      </c>
    </row>
    <row r="456" customFormat="false" ht="15.8" hidden="false" customHeight="false" outlineLevel="0" collapsed="false">
      <c r="A456" s="249" t="s">
        <v>755</v>
      </c>
      <c r="B456" s="250" t="s">
        <v>1172</v>
      </c>
      <c r="C456" s="251" t="n">
        <v>129.66</v>
      </c>
      <c r="D456" s="252" t="n">
        <v>44166</v>
      </c>
    </row>
    <row r="457" customFormat="false" ht="15.8" hidden="false" customHeight="false" outlineLevel="0" collapsed="false">
      <c r="A457" s="249" t="s">
        <v>1173</v>
      </c>
      <c r="B457" s="250" t="s">
        <v>1174</v>
      </c>
      <c r="C457" s="251" t="n">
        <v>54.9</v>
      </c>
      <c r="D457" s="252" t="n">
        <v>44166</v>
      </c>
    </row>
    <row r="458" customFormat="false" ht="15.8" hidden="false" customHeight="false" outlineLevel="0" collapsed="false">
      <c r="A458" s="249" t="s">
        <v>1173</v>
      </c>
      <c r="B458" s="250" t="s">
        <v>1174</v>
      </c>
      <c r="C458" s="251" t="n">
        <v>9.5</v>
      </c>
      <c r="D458" s="252" t="n">
        <v>44166</v>
      </c>
    </row>
    <row r="459" customFormat="false" ht="15.8" hidden="false" customHeight="false" outlineLevel="0" collapsed="false">
      <c r="A459" s="249" t="s">
        <v>1173</v>
      </c>
      <c r="B459" s="250" t="s">
        <v>1175</v>
      </c>
      <c r="C459" s="251" t="n">
        <v>89</v>
      </c>
      <c r="D459" s="252" t="n">
        <v>44166</v>
      </c>
    </row>
    <row r="460" customFormat="false" ht="15.8" hidden="false" customHeight="false" outlineLevel="0" collapsed="false">
      <c r="A460" s="249" t="s">
        <v>1173</v>
      </c>
      <c r="B460" s="250" t="s">
        <v>1176</v>
      </c>
      <c r="C460" s="251" t="n">
        <v>63.5</v>
      </c>
      <c r="D460" s="252" t="n">
        <v>44166</v>
      </c>
    </row>
    <row r="461" customFormat="false" ht="15.8" hidden="false" customHeight="false" outlineLevel="0" collapsed="false">
      <c r="A461" s="249" t="s">
        <v>766</v>
      </c>
      <c r="B461" s="250" t="s">
        <v>1061</v>
      </c>
      <c r="C461" s="251" t="n">
        <v>28.79</v>
      </c>
      <c r="D461" s="252" t="n">
        <v>44166</v>
      </c>
    </row>
    <row r="462" customFormat="false" ht="15.8" hidden="false" customHeight="false" outlineLevel="0" collapsed="false">
      <c r="A462" s="249" t="s">
        <v>773</v>
      </c>
      <c r="B462" s="250" t="s">
        <v>1145</v>
      </c>
      <c r="C462" s="251" t="n">
        <v>9.9</v>
      </c>
      <c r="D462" s="252" t="n">
        <v>44166</v>
      </c>
    </row>
    <row r="463" customFormat="false" ht="15.8" hidden="false" customHeight="false" outlineLevel="0" collapsed="false">
      <c r="A463" s="249" t="s">
        <v>1177</v>
      </c>
      <c r="B463" s="250" t="s">
        <v>1178</v>
      </c>
      <c r="C463" s="251" t="n">
        <v>21.98</v>
      </c>
      <c r="D463" s="252" t="n">
        <v>44166</v>
      </c>
    </row>
    <row r="464" customFormat="false" ht="15.8" hidden="false" customHeight="false" outlineLevel="0" collapsed="false">
      <c r="A464" s="249" t="s">
        <v>1177</v>
      </c>
      <c r="B464" s="250" t="s">
        <v>1179</v>
      </c>
      <c r="C464" s="251" t="n">
        <v>22</v>
      </c>
      <c r="D464" s="252" t="n">
        <v>44166</v>
      </c>
    </row>
    <row r="465" customFormat="false" ht="15.8" hidden="false" customHeight="false" outlineLevel="0" collapsed="false">
      <c r="A465" s="249" t="s">
        <v>1177</v>
      </c>
      <c r="B465" s="250" t="s">
        <v>1180</v>
      </c>
      <c r="C465" s="251" t="n">
        <v>35</v>
      </c>
      <c r="D465" s="252" t="n">
        <v>44166</v>
      </c>
    </row>
    <row r="466" customFormat="false" ht="15.8" hidden="false" customHeight="false" outlineLevel="0" collapsed="false">
      <c r="A466" s="249" t="s">
        <v>785</v>
      </c>
      <c r="B466" s="250" t="s">
        <v>1162</v>
      </c>
      <c r="C466" s="251" t="n">
        <v>213.52</v>
      </c>
      <c r="D466" s="252" t="n">
        <v>44166</v>
      </c>
    </row>
    <row r="467" customFormat="false" ht="15.8" hidden="false" customHeight="false" outlineLevel="0" collapsed="false">
      <c r="A467" s="249" t="s">
        <v>785</v>
      </c>
      <c r="B467" s="250" t="s">
        <v>1160</v>
      </c>
      <c r="C467" s="251" t="n">
        <v>21.9</v>
      </c>
      <c r="D467" s="252" t="n">
        <v>44166</v>
      </c>
    </row>
    <row r="468" customFormat="false" ht="15.8" hidden="false" customHeight="false" outlineLevel="0" collapsed="false">
      <c r="A468" s="249" t="s">
        <v>787</v>
      </c>
      <c r="B468" s="250" t="s">
        <v>1157</v>
      </c>
      <c r="C468" s="251" t="n">
        <v>120.94</v>
      </c>
      <c r="D468" s="252" t="n">
        <v>44166</v>
      </c>
    </row>
    <row r="469" customFormat="false" ht="15.8" hidden="false" customHeight="false" outlineLevel="0" collapsed="false">
      <c r="A469" s="249" t="s">
        <v>787</v>
      </c>
      <c r="B469" s="250" t="s">
        <v>1157</v>
      </c>
      <c r="C469" s="251" t="n">
        <v>66.43</v>
      </c>
      <c r="D469" s="252" t="n">
        <v>44166</v>
      </c>
    </row>
    <row r="470" customFormat="false" ht="15.8" hidden="false" customHeight="false" outlineLevel="0" collapsed="false">
      <c r="A470" s="249" t="s">
        <v>789</v>
      </c>
      <c r="B470" s="250" t="s">
        <v>1145</v>
      </c>
      <c r="C470" s="251" t="n">
        <v>99.9</v>
      </c>
      <c r="D470" s="252" t="n">
        <v>44166</v>
      </c>
    </row>
    <row r="471" customFormat="false" ht="15.8" hidden="false" customHeight="false" outlineLevel="0" collapsed="false">
      <c r="A471" s="249" t="s">
        <v>789</v>
      </c>
      <c r="B471" s="250" t="s">
        <v>1181</v>
      </c>
      <c r="C471" s="251" t="n">
        <v>41.3</v>
      </c>
      <c r="D471" s="252" t="n">
        <v>44166</v>
      </c>
    </row>
    <row r="472" customFormat="false" ht="15.8" hidden="false" customHeight="false" outlineLevel="0" collapsed="false">
      <c r="A472" s="249" t="s">
        <v>789</v>
      </c>
      <c r="B472" s="250" t="s">
        <v>1181</v>
      </c>
      <c r="C472" s="251" t="n">
        <v>21.8</v>
      </c>
      <c r="D472" s="252" t="n">
        <v>44166</v>
      </c>
    </row>
    <row r="473" customFormat="false" ht="15.8" hidden="false" customHeight="false" outlineLevel="0" collapsed="false">
      <c r="A473" s="249" t="s">
        <v>1182</v>
      </c>
      <c r="B473" s="250" t="s">
        <v>1183</v>
      </c>
      <c r="C473" s="251" t="n">
        <v>58.4</v>
      </c>
      <c r="D473" s="252" t="n">
        <v>44166</v>
      </c>
    </row>
    <row r="474" customFormat="false" ht="15.8" hidden="false" customHeight="false" outlineLevel="0" collapsed="false">
      <c r="A474" s="249" t="s">
        <v>1182</v>
      </c>
      <c r="B474" s="250" t="s">
        <v>1157</v>
      </c>
      <c r="C474" s="251" t="n">
        <v>123.4</v>
      </c>
      <c r="D474" s="252" t="n">
        <v>44166</v>
      </c>
    </row>
    <row r="475" customFormat="false" ht="15.8" hidden="false" customHeight="false" outlineLevel="0" collapsed="false">
      <c r="A475" s="249" t="s">
        <v>1182</v>
      </c>
      <c r="B475" s="250" t="s">
        <v>993</v>
      </c>
      <c r="C475" s="251" t="n">
        <v>21.99</v>
      </c>
      <c r="D475" s="252" t="n">
        <v>44166</v>
      </c>
    </row>
    <row r="476" customFormat="false" ht="15.8" hidden="false" customHeight="false" outlineLevel="0" collapsed="false">
      <c r="A476" s="249" t="s">
        <v>1182</v>
      </c>
      <c r="B476" s="250" t="s">
        <v>993</v>
      </c>
      <c r="C476" s="251" t="n">
        <v>56.1</v>
      </c>
      <c r="D476" s="252" t="n">
        <v>44166</v>
      </c>
    </row>
    <row r="477" customFormat="false" ht="15.8" hidden="false" customHeight="false" outlineLevel="0" collapsed="false">
      <c r="A477" s="249" t="s">
        <v>1182</v>
      </c>
      <c r="B477" s="250" t="s">
        <v>1184</v>
      </c>
      <c r="C477" s="251" t="n">
        <v>21.5</v>
      </c>
      <c r="D477" s="252" t="n">
        <v>44166</v>
      </c>
    </row>
    <row r="478" customFormat="false" ht="15.8" hidden="false" customHeight="false" outlineLevel="0" collapsed="false">
      <c r="A478" s="249" t="s">
        <v>1182</v>
      </c>
      <c r="B478" s="250" t="s">
        <v>1081</v>
      </c>
      <c r="C478" s="251" t="n">
        <v>45.9</v>
      </c>
      <c r="D478" s="252" t="n">
        <v>44166</v>
      </c>
    </row>
    <row r="479" customFormat="false" ht="15.8" hidden="false" customHeight="false" outlineLevel="0" collapsed="false">
      <c r="A479" s="249" t="s">
        <v>1185</v>
      </c>
      <c r="B479" s="250" t="s">
        <v>942</v>
      </c>
      <c r="C479" s="251" t="n">
        <v>20.35</v>
      </c>
      <c r="D479" s="252" t="n">
        <v>44166</v>
      </c>
    </row>
    <row r="480" customFormat="false" ht="15.8" hidden="false" customHeight="false" outlineLevel="0" collapsed="false">
      <c r="A480" s="249" t="s">
        <v>791</v>
      </c>
      <c r="B480" s="250" t="s">
        <v>1186</v>
      </c>
      <c r="C480" s="251" t="n">
        <v>99.9</v>
      </c>
      <c r="D480" s="252" t="n">
        <v>44166</v>
      </c>
    </row>
    <row r="481" customFormat="false" ht="15.8" hidden="false" customHeight="false" outlineLevel="0" collapsed="false">
      <c r="A481" s="249" t="s">
        <v>791</v>
      </c>
      <c r="B481" s="250" t="s">
        <v>1187</v>
      </c>
      <c r="C481" s="251" t="n">
        <v>149.21</v>
      </c>
      <c r="D481" s="252" t="n">
        <v>44166</v>
      </c>
    </row>
    <row r="482" customFormat="false" ht="15.8" hidden="false" customHeight="false" outlineLevel="0" collapsed="false">
      <c r="A482" s="249" t="s">
        <v>791</v>
      </c>
      <c r="B482" s="250" t="s">
        <v>1188</v>
      </c>
      <c r="C482" s="251" t="n">
        <v>27.9</v>
      </c>
      <c r="D482" s="252" t="n">
        <v>44166</v>
      </c>
    </row>
    <row r="483" customFormat="false" ht="15.8" hidden="false" customHeight="false" outlineLevel="0" collapsed="false">
      <c r="A483" s="249" t="s">
        <v>791</v>
      </c>
      <c r="B483" s="250" t="s">
        <v>1189</v>
      </c>
      <c r="C483" s="251" t="n">
        <v>517.29</v>
      </c>
      <c r="D483" s="252" t="n">
        <v>44166</v>
      </c>
    </row>
    <row r="484" customFormat="false" ht="15.8" hidden="false" customHeight="false" outlineLevel="0" collapsed="false">
      <c r="A484" s="249" t="s">
        <v>792</v>
      </c>
      <c r="B484" s="250" t="s">
        <v>1190</v>
      </c>
      <c r="C484" s="251" t="n">
        <v>86</v>
      </c>
      <c r="D484" s="252" t="n">
        <v>44166</v>
      </c>
    </row>
    <row r="485" customFormat="false" ht="15.8" hidden="false" customHeight="false" outlineLevel="0" collapsed="false">
      <c r="A485" s="249" t="s">
        <v>792</v>
      </c>
      <c r="B485" s="250" t="s">
        <v>1191</v>
      </c>
      <c r="C485" s="251" t="n">
        <v>52.4</v>
      </c>
      <c r="D485" s="252" t="n">
        <v>44166</v>
      </c>
    </row>
    <row r="486" customFormat="false" ht="15.8" hidden="false" customHeight="false" outlineLevel="0" collapsed="false">
      <c r="A486" s="249" t="s">
        <v>792</v>
      </c>
      <c r="B486" s="250" t="s">
        <v>1192</v>
      </c>
      <c r="C486" s="251" t="n">
        <v>5.5</v>
      </c>
      <c r="D486" s="252" t="n">
        <v>44166</v>
      </c>
    </row>
    <row r="487" customFormat="false" ht="15.8" hidden="false" customHeight="false" outlineLevel="0" collapsed="false">
      <c r="A487" s="249" t="s">
        <v>792</v>
      </c>
      <c r="B487" s="250" t="s">
        <v>1192</v>
      </c>
      <c r="C487" s="251" t="n">
        <v>5.49</v>
      </c>
      <c r="D487" s="252" t="n">
        <v>44166</v>
      </c>
    </row>
    <row r="488" customFormat="false" ht="15.8" hidden="false" customHeight="false" outlineLevel="0" collapsed="false">
      <c r="A488" s="249" t="s">
        <v>792</v>
      </c>
      <c r="B488" s="250" t="s">
        <v>1193</v>
      </c>
      <c r="C488" s="251" t="n">
        <v>13</v>
      </c>
      <c r="D488" s="252" t="n">
        <v>44166</v>
      </c>
    </row>
    <row r="489" customFormat="false" ht="15.8" hidden="false" customHeight="false" outlineLevel="0" collapsed="false">
      <c r="A489" s="249" t="s">
        <v>799</v>
      </c>
      <c r="B489" s="250" t="s">
        <v>1194</v>
      </c>
      <c r="C489" s="251" t="n">
        <v>50</v>
      </c>
      <c r="D489" s="252" t="n">
        <v>44166</v>
      </c>
    </row>
    <row r="490" customFormat="false" ht="15.8" hidden="false" customHeight="false" outlineLevel="0" collapsed="false">
      <c r="A490" s="249" t="s">
        <v>799</v>
      </c>
      <c r="B490" s="250" t="s">
        <v>1195</v>
      </c>
      <c r="C490" s="251" t="n">
        <v>300</v>
      </c>
      <c r="D490" s="252" t="n">
        <v>44166</v>
      </c>
    </row>
    <row r="491" customFormat="false" ht="15.8" hidden="false" customHeight="false" outlineLevel="0" collapsed="false">
      <c r="A491" s="249" t="s">
        <v>799</v>
      </c>
      <c r="B491" s="250" t="s">
        <v>1157</v>
      </c>
      <c r="C491" s="251" t="n">
        <v>120.04</v>
      </c>
      <c r="D491" s="252" t="n">
        <v>44166</v>
      </c>
    </row>
    <row r="492" customFormat="false" ht="15.8" hidden="false" customHeight="false" outlineLevel="0" collapsed="false">
      <c r="A492" s="249" t="s">
        <v>805</v>
      </c>
      <c r="B492" s="250" t="s">
        <v>1062</v>
      </c>
      <c r="C492" s="251" t="n">
        <v>64.89</v>
      </c>
      <c r="D492" s="252" t="n">
        <v>44166</v>
      </c>
    </row>
    <row r="493" customFormat="false" ht="15.8" hidden="false" customHeight="false" outlineLevel="0" collapsed="false">
      <c r="A493" s="249" t="s">
        <v>805</v>
      </c>
      <c r="B493" s="250" t="s">
        <v>1196</v>
      </c>
      <c r="C493" s="251" t="n">
        <v>71.4</v>
      </c>
      <c r="D493" s="252" t="n">
        <v>44166</v>
      </c>
    </row>
    <row r="494" customFormat="false" ht="15.8" hidden="false" customHeight="false" outlineLevel="0" collapsed="false">
      <c r="A494" s="249" t="s">
        <v>1197</v>
      </c>
      <c r="B494" s="250" t="s">
        <v>1198</v>
      </c>
      <c r="C494" s="251" t="n">
        <v>5.98</v>
      </c>
      <c r="D494" s="252" t="n">
        <v>44166</v>
      </c>
    </row>
    <row r="495" customFormat="false" ht="15.8" hidden="false" customHeight="false" outlineLevel="0" collapsed="false">
      <c r="A495" s="249" t="s">
        <v>1197</v>
      </c>
      <c r="B495" s="250" t="s">
        <v>1199</v>
      </c>
      <c r="C495" s="251" t="n">
        <v>235</v>
      </c>
      <c r="D495" s="252" t="n">
        <v>44166</v>
      </c>
    </row>
    <row r="496" customFormat="false" ht="15.8" hidden="false" customHeight="false" outlineLevel="0" collapsed="false">
      <c r="A496" s="249" t="s">
        <v>1197</v>
      </c>
      <c r="B496" s="250" t="s">
        <v>1200</v>
      </c>
      <c r="C496" s="251" t="n">
        <v>195.03</v>
      </c>
      <c r="D496" s="252" t="n">
        <v>44166</v>
      </c>
    </row>
    <row r="497" customFormat="false" ht="15.8" hidden="false" customHeight="false" outlineLevel="0" collapsed="false">
      <c r="A497" s="249" t="s">
        <v>1201</v>
      </c>
      <c r="B497" s="250" t="s">
        <v>996</v>
      </c>
      <c r="C497" s="251" t="n">
        <v>75</v>
      </c>
      <c r="D497" s="252" t="n">
        <v>44166</v>
      </c>
    </row>
    <row r="498" customFormat="false" ht="15.8" hidden="false" customHeight="false" outlineLevel="0" collapsed="false">
      <c r="A498" s="249" t="s">
        <v>807</v>
      </c>
      <c r="B498" s="250" t="s">
        <v>1105</v>
      </c>
      <c r="C498" s="251" t="n">
        <v>9.9</v>
      </c>
      <c r="D498" s="252" t="n">
        <v>44166</v>
      </c>
    </row>
    <row r="499" customFormat="false" ht="15.8" hidden="false" customHeight="false" outlineLevel="0" collapsed="false">
      <c r="A499" s="249" t="s">
        <v>815</v>
      </c>
      <c r="B499" s="250" t="s">
        <v>1137</v>
      </c>
      <c r="C499" s="251" t="n">
        <v>6.99</v>
      </c>
      <c r="D499" s="252" t="n">
        <v>44166</v>
      </c>
    </row>
    <row r="500" customFormat="false" ht="15.8" hidden="false" customHeight="false" outlineLevel="0" collapsed="false">
      <c r="A500" s="249" t="s">
        <v>815</v>
      </c>
      <c r="B500" s="250" t="s">
        <v>1202</v>
      </c>
      <c r="C500" s="251" t="n">
        <v>23.18</v>
      </c>
      <c r="D500" s="252" t="n">
        <v>44166</v>
      </c>
    </row>
    <row r="501" customFormat="false" ht="15.8" hidden="false" customHeight="false" outlineLevel="0" collapsed="false">
      <c r="A501" s="249" t="s">
        <v>816</v>
      </c>
      <c r="B501" s="250" t="s">
        <v>1157</v>
      </c>
      <c r="C501" s="251" t="n">
        <v>142.13</v>
      </c>
      <c r="D501" s="252" t="n">
        <v>44166</v>
      </c>
    </row>
    <row r="502" customFormat="false" ht="15.8" hidden="false" customHeight="false" outlineLevel="0" collapsed="false">
      <c r="A502" s="249" t="s">
        <v>818</v>
      </c>
      <c r="B502" s="250" t="s">
        <v>1203</v>
      </c>
      <c r="C502" s="251" t="n">
        <v>116.79</v>
      </c>
      <c r="D502" s="252" t="n">
        <v>44166</v>
      </c>
    </row>
    <row r="503" customFormat="false" ht="15.8" hidden="false" customHeight="false" outlineLevel="0" collapsed="false">
      <c r="A503" s="249" t="s">
        <v>818</v>
      </c>
      <c r="B503" s="250" t="s">
        <v>1157</v>
      </c>
      <c r="C503" s="251" t="n">
        <v>77.79</v>
      </c>
      <c r="D503" s="252" t="n">
        <v>44166</v>
      </c>
    </row>
    <row r="504" customFormat="false" ht="15.8" hidden="false" customHeight="false" outlineLevel="0" collapsed="false">
      <c r="A504" s="249" t="s">
        <v>818</v>
      </c>
      <c r="B504" s="250" t="s">
        <v>1157</v>
      </c>
      <c r="C504" s="251" t="n">
        <v>36.64</v>
      </c>
      <c r="D504" s="252" t="n">
        <v>44166</v>
      </c>
    </row>
    <row r="505" customFormat="false" ht="15.8" hidden="false" customHeight="false" outlineLevel="0" collapsed="false">
      <c r="A505" s="249" t="s">
        <v>1204</v>
      </c>
      <c r="B505" s="250" t="s">
        <v>1205</v>
      </c>
      <c r="C505" s="251" t="n">
        <v>79.96</v>
      </c>
      <c r="D505" s="252" t="n">
        <v>44166</v>
      </c>
    </row>
    <row r="506" customFormat="false" ht="15.8" hidden="false" customHeight="false" outlineLevel="0" collapsed="false">
      <c r="A506" s="249" t="s">
        <v>1204</v>
      </c>
      <c r="B506" s="250" t="s">
        <v>1157</v>
      </c>
      <c r="C506" s="251" t="n">
        <v>138.2</v>
      </c>
      <c r="D506" s="252" t="n">
        <v>44166</v>
      </c>
    </row>
    <row r="507" customFormat="false" ht="15.8" hidden="false" customHeight="false" outlineLevel="0" collapsed="false">
      <c r="A507" s="249" t="s">
        <v>1204</v>
      </c>
      <c r="B507" s="250" t="s">
        <v>1206</v>
      </c>
      <c r="C507" s="251" t="n">
        <v>10</v>
      </c>
      <c r="D507" s="252" t="n">
        <v>44166</v>
      </c>
    </row>
    <row r="508" customFormat="false" ht="15.8" hidden="false" customHeight="false" outlineLevel="0" collapsed="false">
      <c r="A508" s="249" t="s">
        <v>1204</v>
      </c>
      <c r="B508" s="250" t="s">
        <v>1207</v>
      </c>
      <c r="C508" s="251" t="n">
        <v>147.25</v>
      </c>
      <c r="D508" s="252" t="n">
        <v>44166</v>
      </c>
    </row>
    <row r="509" customFormat="false" ht="17" hidden="false" customHeight="false" outlineLevel="0" collapsed="false">
      <c r="A509" s="252" t="n">
        <v>44183</v>
      </c>
      <c r="B509" s="250" t="s">
        <v>1047</v>
      </c>
      <c r="C509" s="294" t="n">
        <v>168.18</v>
      </c>
      <c r="D509" s="252" t="n">
        <v>44166</v>
      </c>
    </row>
    <row r="510" customFormat="false" ht="17" hidden="false" customHeight="false" outlineLevel="0" collapsed="false">
      <c r="A510" s="252" t="n">
        <v>44185</v>
      </c>
      <c r="B510" s="0" t="s">
        <v>68</v>
      </c>
      <c r="C510" s="294" t="n">
        <v>10.77</v>
      </c>
      <c r="D510" s="252" t="n">
        <v>44166</v>
      </c>
    </row>
    <row r="511" customFormat="false" ht="17" hidden="false" customHeight="false" outlineLevel="0" collapsed="false">
      <c r="A511" s="249" t="s">
        <v>678</v>
      </c>
      <c r="B511" s="250" t="s">
        <v>1208</v>
      </c>
      <c r="C511" s="251" t="n">
        <v>597.42</v>
      </c>
      <c r="D511" s="252" t="n">
        <v>44166</v>
      </c>
    </row>
  </sheetData>
  <autoFilter ref="A1:D281">
    <filterColumn colId="3">
      <filters>
        <filter val="2020-01-01"/>
        <filter val="2020-02-01"/>
        <filter val="2020-03-01"/>
        <filter val="2020-04-01"/>
        <filter val="2020-05-01"/>
      </filters>
    </filterColumn>
  </autoFilter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53"/>
  <sheetViews>
    <sheetView showFormulas="false" showGridLines="true" showRowColHeaders="true" showZeros="true" rightToLeft="false" tabSelected="false" showOutlineSymbols="true" defaultGridColor="true" view="normal" topLeftCell="A18" colorId="64" zoomScale="84" zoomScaleNormal="84" zoomScalePageLayoutView="100" workbookViewId="0">
      <selection pane="topLeft" activeCell="E88" activeCellId="0" sqref="E88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16.39"/>
    <col collapsed="false" customWidth="true" hidden="false" outlineLevel="0" max="3" min="3" style="0" width="25.94"/>
    <col collapsed="false" customWidth="false" hidden="false" outlineLevel="0" max="4" min="4" style="0" width="11.52"/>
    <col collapsed="false" customWidth="true" hidden="false" outlineLevel="0" max="5" min="5" style="0" width="13.66"/>
    <col collapsed="false" customWidth="false" hidden="false" outlineLevel="0" max="1025" min="6" style="0" width="11.52"/>
  </cols>
  <sheetData>
    <row r="1" customFormat="false" ht="15" hidden="false" customHeight="false" outlineLevel="0" collapsed="false">
      <c r="A1" s="99" t="s">
        <v>897</v>
      </c>
      <c r="B1" s="295" t="s">
        <v>50</v>
      </c>
      <c r="C1" s="296" t="s">
        <v>51</v>
      </c>
      <c r="D1" s="297" t="s">
        <v>7</v>
      </c>
      <c r="E1" s="237" t="s">
        <v>56</v>
      </c>
      <c r="F1" s="64"/>
    </row>
    <row r="2" customFormat="false" ht="13.8" hidden="false" customHeight="false" outlineLevel="0" collapsed="false">
      <c r="A2" s="64"/>
      <c r="B2" s="298" t="s">
        <v>1064</v>
      </c>
      <c r="C2" s="228" t="s">
        <v>1209</v>
      </c>
      <c r="D2" s="267" t="n">
        <v>0</v>
      </c>
      <c r="E2" s="271" t="n">
        <v>44075</v>
      </c>
      <c r="F2" s="267" t="n">
        <v>501.36</v>
      </c>
    </row>
    <row r="3" customFormat="false" ht="13.8" hidden="false" customHeight="false" outlineLevel="0" collapsed="false">
      <c r="A3" s="64"/>
      <c r="B3" s="298" t="s">
        <v>1068</v>
      </c>
      <c r="C3" s="228" t="s">
        <v>1210</v>
      </c>
      <c r="D3" s="267" t="n">
        <v>0</v>
      </c>
      <c r="E3" s="271" t="n">
        <v>44075</v>
      </c>
      <c r="F3" s="267" t="n">
        <v>210.27</v>
      </c>
    </row>
    <row r="4" customFormat="false" ht="13.8" hidden="false" customHeight="false" outlineLevel="0" collapsed="false">
      <c r="A4" s="64"/>
      <c r="B4" s="298" t="s">
        <v>442</v>
      </c>
      <c r="C4" s="228" t="s">
        <v>1211</v>
      </c>
      <c r="D4" s="267" t="n">
        <v>0</v>
      </c>
      <c r="E4" s="271" t="n">
        <v>44075</v>
      </c>
      <c r="F4" s="267" t="n">
        <v>41.19</v>
      </c>
    </row>
    <row r="5" customFormat="false" ht="13.8" hidden="false" customHeight="false" outlineLevel="0" collapsed="false">
      <c r="A5" s="64"/>
      <c r="B5" s="298" t="s">
        <v>442</v>
      </c>
      <c r="C5" s="228" t="s">
        <v>1211</v>
      </c>
      <c r="D5" s="267" t="n">
        <v>0</v>
      </c>
      <c r="E5" s="271" t="n">
        <v>44075</v>
      </c>
      <c r="F5" s="267" t="n">
        <v>325.85</v>
      </c>
    </row>
    <row r="6" customFormat="false" ht="13.8" hidden="false" customHeight="false" outlineLevel="0" collapsed="false">
      <c r="A6" s="64"/>
      <c r="B6" s="298" t="s">
        <v>442</v>
      </c>
      <c r="C6" s="228" t="s">
        <v>1211</v>
      </c>
      <c r="D6" s="267" t="n">
        <v>0</v>
      </c>
      <c r="E6" s="271" t="n">
        <v>44075</v>
      </c>
      <c r="F6" s="267" t="n">
        <v>32.3</v>
      </c>
    </row>
    <row r="7" customFormat="false" ht="13.8" hidden="false" customHeight="false" outlineLevel="0" collapsed="false">
      <c r="A7" s="64"/>
      <c r="B7" s="298" t="s">
        <v>442</v>
      </c>
      <c r="C7" s="228" t="s">
        <v>1211</v>
      </c>
      <c r="D7" s="267" t="n">
        <v>0</v>
      </c>
      <c r="E7" s="271" t="n">
        <v>44075</v>
      </c>
      <c r="F7" s="267" t="n">
        <v>235.25</v>
      </c>
    </row>
    <row r="8" customFormat="false" ht="13.8" hidden="false" customHeight="false" outlineLevel="0" collapsed="false">
      <c r="A8" s="64"/>
      <c r="B8" s="298" t="s">
        <v>442</v>
      </c>
      <c r="C8" s="228" t="s">
        <v>1212</v>
      </c>
      <c r="D8" s="267" t="n">
        <v>0</v>
      </c>
      <c r="E8" s="271" t="n">
        <v>44075</v>
      </c>
      <c r="F8" s="267" t="n">
        <v>35.3</v>
      </c>
    </row>
    <row r="9" customFormat="false" ht="13.8" hidden="false" customHeight="false" outlineLevel="0" collapsed="false">
      <c r="A9" s="64"/>
      <c r="B9" s="298" t="s">
        <v>581</v>
      </c>
      <c r="C9" s="228" t="s">
        <v>949</v>
      </c>
      <c r="D9" s="267" t="n">
        <v>0</v>
      </c>
      <c r="E9" s="271" t="n">
        <v>44075</v>
      </c>
      <c r="F9" s="267" t="n">
        <v>85.16</v>
      </c>
    </row>
    <row r="10" customFormat="false" ht="13.8" hidden="false" customHeight="false" outlineLevel="0" collapsed="false">
      <c r="A10" s="64"/>
      <c r="B10" s="298" t="s">
        <v>624</v>
      </c>
      <c r="C10" s="228" t="s">
        <v>941</v>
      </c>
      <c r="D10" s="267" t="n">
        <v>0</v>
      </c>
      <c r="E10" s="271" t="n">
        <v>44075</v>
      </c>
      <c r="F10" s="267" t="n">
        <v>36</v>
      </c>
    </row>
    <row r="11" customFormat="false" ht="13.8" hidden="false" customHeight="false" outlineLevel="0" collapsed="false">
      <c r="A11" s="64"/>
      <c r="B11" s="298" t="s">
        <v>1213</v>
      </c>
      <c r="C11" s="228" t="s">
        <v>939</v>
      </c>
      <c r="D11" s="267" t="n">
        <v>0</v>
      </c>
      <c r="E11" s="271" t="n">
        <v>44075</v>
      </c>
      <c r="F11" s="267" t="n">
        <v>196</v>
      </c>
    </row>
    <row r="12" customFormat="false" ht="13.8" hidden="false" customHeight="false" outlineLevel="0" collapsed="false">
      <c r="A12" s="64"/>
      <c r="B12" s="298" t="s">
        <v>1213</v>
      </c>
      <c r="C12" s="228" t="s">
        <v>1078</v>
      </c>
      <c r="D12" s="267" t="n">
        <v>0</v>
      </c>
      <c r="E12" s="271" t="n">
        <v>44075</v>
      </c>
      <c r="F12" s="267" t="n">
        <v>44.9</v>
      </c>
    </row>
    <row r="13" customFormat="false" ht="13.8" hidden="false" customHeight="false" outlineLevel="0" collapsed="false">
      <c r="A13" s="64"/>
      <c r="B13" s="298" t="s">
        <v>637</v>
      </c>
      <c r="C13" s="228" t="s">
        <v>1078</v>
      </c>
      <c r="D13" s="267" t="n">
        <v>0</v>
      </c>
      <c r="E13" s="271" t="n">
        <v>44075</v>
      </c>
      <c r="F13" s="267" t="n">
        <v>12.9</v>
      </c>
    </row>
    <row r="14" customFormat="false" ht="13.8" hidden="false" customHeight="false" outlineLevel="0" collapsed="false">
      <c r="A14" s="64"/>
      <c r="B14" s="298" t="s">
        <v>642</v>
      </c>
      <c r="C14" s="228" t="s">
        <v>931</v>
      </c>
      <c r="D14" s="267" t="n">
        <v>0</v>
      </c>
      <c r="E14" s="271" t="n">
        <v>44075</v>
      </c>
      <c r="F14" s="267" t="n">
        <v>21.9</v>
      </c>
    </row>
    <row r="15" customFormat="false" ht="13.8" hidden="false" customHeight="false" outlineLevel="0" collapsed="false">
      <c r="A15" s="64"/>
      <c r="B15" s="298" t="s">
        <v>642</v>
      </c>
      <c r="C15" s="228" t="s">
        <v>1086</v>
      </c>
      <c r="D15" s="267" t="n">
        <v>0</v>
      </c>
      <c r="E15" s="271" t="n">
        <v>44075</v>
      </c>
      <c r="F15" s="267" t="n">
        <v>120</v>
      </c>
    </row>
    <row r="16" customFormat="false" ht="13.8" hidden="false" customHeight="false" outlineLevel="0" collapsed="false">
      <c r="A16" s="64"/>
      <c r="B16" s="298" t="s">
        <v>642</v>
      </c>
      <c r="C16" s="228" t="s">
        <v>1137</v>
      </c>
      <c r="D16" s="267" t="n">
        <v>0</v>
      </c>
      <c r="E16" s="271" t="n">
        <v>44075</v>
      </c>
      <c r="F16" s="267" t="n">
        <v>6.99</v>
      </c>
    </row>
    <row r="17" customFormat="false" ht="13.8" hidden="false" customHeight="false" outlineLevel="0" collapsed="false">
      <c r="A17" s="64"/>
      <c r="B17" s="298" t="s">
        <v>644</v>
      </c>
      <c r="C17" s="228" t="s">
        <v>1044</v>
      </c>
      <c r="D17" s="267" t="n">
        <v>0</v>
      </c>
      <c r="E17" s="271" t="n">
        <v>44075</v>
      </c>
      <c r="F17" s="267" t="n">
        <v>94.3</v>
      </c>
    </row>
    <row r="18" customFormat="false" ht="13.8" hidden="false" customHeight="false" outlineLevel="0" collapsed="false">
      <c r="A18" s="64"/>
      <c r="B18" s="298" t="s">
        <v>644</v>
      </c>
      <c r="C18" s="228" t="s">
        <v>1081</v>
      </c>
      <c r="D18" s="267" t="n">
        <v>0</v>
      </c>
      <c r="E18" s="271" t="n">
        <v>44075</v>
      </c>
      <c r="F18" s="267" t="n">
        <v>45.9</v>
      </c>
    </row>
    <row r="19" customFormat="false" ht="13.8" hidden="false" customHeight="false" outlineLevel="0" collapsed="false">
      <c r="A19" s="64"/>
      <c r="B19" s="298" t="s">
        <v>1125</v>
      </c>
      <c r="C19" s="228" t="s">
        <v>947</v>
      </c>
      <c r="D19" s="267" t="n">
        <v>0</v>
      </c>
      <c r="E19" s="271" t="n">
        <v>44075</v>
      </c>
      <c r="F19" s="267" t="n">
        <v>50</v>
      </c>
    </row>
    <row r="20" customFormat="false" ht="13.8" hidden="false" customHeight="false" outlineLevel="0" collapsed="false">
      <c r="A20" s="64"/>
      <c r="B20" s="298" t="s">
        <v>1125</v>
      </c>
      <c r="C20" s="228" t="s">
        <v>1214</v>
      </c>
      <c r="D20" s="267" t="n">
        <v>0</v>
      </c>
      <c r="E20" s="271" t="n">
        <v>44075</v>
      </c>
      <c r="F20" s="267" t="n">
        <v>50</v>
      </c>
    </row>
    <row r="21" customFormat="false" ht="13.8" hidden="false" customHeight="false" outlineLevel="0" collapsed="false">
      <c r="A21" s="64"/>
      <c r="B21" s="298" t="s">
        <v>1125</v>
      </c>
      <c r="C21" s="228" t="s">
        <v>1215</v>
      </c>
      <c r="D21" s="267" t="n">
        <v>0</v>
      </c>
      <c r="E21" s="271" t="n">
        <v>44075</v>
      </c>
      <c r="F21" s="267" t="n">
        <v>69.99</v>
      </c>
    </row>
    <row r="22" customFormat="false" ht="13.8" hidden="false" customHeight="false" outlineLevel="0" collapsed="false">
      <c r="A22" s="64"/>
      <c r="B22" s="298" t="s">
        <v>1125</v>
      </c>
      <c r="C22" s="228" t="s">
        <v>1105</v>
      </c>
      <c r="D22" s="267" t="n">
        <v>0</v>
      </c>
      <c r="E22" s="271" t="n">
        <v>44075</v>
      </c>
      <c r="F22" s="267" t="n">
        <v>9.9</v>
      </c>
    </row>
    <row r="23" customFormat="false" ht="13.8" hidden="false" customHeight="false" outlineLevel="0" collapsed="false">
      <c r="A23" s="64"/>
      <c r="B23" s="298" t="s">
        <v>1125</v>
      </c>
      <c r="C23" s="228" t="s">
        <v>1216</v>
      </c>
      <c r="D23" s="267" t="n">
        <v>0</v>
      </c>
      <c r="E23" s="271" t="n">
        <v>44075</v>
      </c>
      <c r="F23" s="267" t="n">
        <v>58.7</v>
      </c>
    </row>
    <row r="24" customFormat="false" ht="13.8" hidden="false" customHeight="false" outlineLevel="0" collapsed="false">
      <c r="A24" s="64"/>
      <c r="B24" s="298" t="s">
        <v>647</v>
      </c>
      <c r="C24" s="228" t="s">
        <v>1086</v>
      </c>
      <c r="D24" s="267" t="n">
        <v>0</v>
      </c>
      <c r="E24" s="271" t="n">
        <v>44075</v>
      </c>
      <c r="F24" s="267" t="n">
        <v>197.21</v>
      </c>
    </row>
    <row r="25" customFormat="false" ht="13.8" hidden="false" customHeight="false" outlineLevel="0" collapsed="false">
      <c r="A25" s="64"/>
      <c r="B25" s="298" t="s">
        <v>647</v>
      </c>
      <c r="C25" s="228" t="s">
        <v>1078</v>
      </c>
      <c r="D25" s="267" t="n">
        <v>0</v>
      </c>
      <c r="E25" s="271" t="n">
        <v>44075</v>
      </c>
      <c r="F25" s="267" t="n">
        <v>19.9</v>
      </c>
    </row>
    <row r="26" customFormat="false" ht="13.8" hidden="false" customHeight="false" outlineLevel="0" collapsed="false">
      <c r="A26" s="64"/>
      <c r="B26" s="298" t="s">
        <v>659</v>
      </c>
      <c r="C26" s="228" t="s">
        <v>944</v>
      </c>
      <c r="D26" s="267" t="n">
        <v>0</v>
      </c>
      <c r="E26" s="271" t="n">
        <v>44075</v>
      </c>
      <c r="F26" s="267" t="n">
        <v>36</v>
      </c>
    </row>
    <row r="27" customFormat="false" ht="13.8" hidden="false" customHeight="false" outlineLevel="0" collapsed="false">
      <c r="A27" s="64"/>
      <c r="B27" s="298" t="s">
        <v>659</v>
      </c>
      <c r="C27" s="228" t="s">
        <v>1217</v>
      </c>
      <c r="D27" s="267" t="n">
        <v>0</v>
      </c>
      <c r="E27" s="271" t="n">
        <v>44075</v>
      </c>
      <c r="F27" s="267" t="n">
        <v>200.03</v>
      </c>
    </row>
    <row r="28" customFormat="false" ht="13.8" hidden="false" customHeight="false" outlineLevel="0" collapsed="false">
      <c r="A28" s="64"/>
      <c r="B28" s="298" t="s">
        <v>662</v>
      </c>
      <c r="C28" s="228" t="s">
        <v>1078</v>
      </c>
      <c r="D28" s="267" t="n">
        <v>0</v>
      </c>
      <c r="E28" s="271" t="n">
        <v>44075</v>
      </c>
      <c r="F28" s="267" t="n">
        <v>19.9</v>
      </c>
    </row>
    <row r="29" customFormat="false" ht="13.8" hidden="false" customHeight="false" outlineLevel="0" collapsed="false">
      <c r="A29" s="64"/>
      <c r="B29" s="298" t="s">
        <v>1218</v>
      </c>
      <c r="C29" s="228" t="s">
        <v>1156</v>
      </c>
      <c r="D29" s="267" t="n">
        <v>0</v>
      </c>
      <c r="E29" s="271" t="n">
        <v>44075</v>
      </c>
      <c r="F29" s="267" t="n">
        <v>19.99</v>
      </c>
    </row>
    <row r="30" customFormat="false" ht="15" hidden="false" customHeight="false" outlineLevel="0" collapsed="false">
      <c r="A30" s="64"/>
      <c r="B30" s="299" t="s">
        <v>1219</v>
      </c>
      <c r="C30" s="228" t="s">
        <v>1047</v>
      </c>
      <c r="D30" s="267" t="n">
        <v>0</v>
      </c>
      <c r="E30" s="271" t="n">
        <v>44075</v>
      </c>
      <c r="F30" s="274" t="n">
        <v>94.1</v>
      </c>
    </row>
    <row r="31" customFormat="false" ht="13.8" hidden="false" customHeight="false" outlineLevel="0" collapsed="false">
      <c r="F31" s="251"/>
    </row>
    <row r="32" customFormat="false" ht="13.8" hidden="false" customHeight="false" outlineLevel="0" collapsed="false">
      <c r="F32" s="251"/>
    </row>
    <row r="33" customFormat="false" ht="13.8" hidden="false" customHeight="false" outlineLevel="0" collapsed="false">
      <c r="F33" s="251"/>
    </row>
    <row r="34" customFormat="false" ht="13.8" hidden="false" customHeight="false" outlineLevel="0" collapsed="false">
      <c r="F34" s="251"/>
    </row>
    <row r="35" customFormat="false" ht="13.8" hidden="false" customHeight="false" outlineLevel="0" collapsed="false">
      <c r="F35" s="251"/>
    </row>
    <row r="36" customFormat="false" ht="13.8" hidden="false" customHeight="false" outlineLevel="0" collapsed="false">
      <c r="F36" s="251"/>
    </row>
    <row r="37" customFormat="false" ht="13.8" hidden="false" customHeight="false" outlineLevel="0" collapsed="false">
      <c r="F37" s="251"/>
    </row>
    <row r="38" customFormat="false" ht="13.8" hidden="false" customHeight="false" outlineLevel="0" collapsed="false">
      <c r="F38" s="251"/>
    </row>
    <row r="39" customFormat="false" ht="13.8" hidden="false" customHeight="false" outlineLevel="0" collapsed="false">
      <c r="F39" s="251"/>
    </row>
    <row r="40" customFormat="false" ht="13.8" hidden="false" customHeight="false" outlineLevel="0" collapsed="false">
      <c r="F40" s="251"/>
    </row>
    <row r="41" customFormat="false" ht="13.8" hidden="false" customHeight="false" outlineLevel="0" collapsed="false">
      <c r="F41" s="251"/>
    </row>
    <row r="42" customFormat="false" ht="13.8" hidden="false" customHeight="false" outlineLevel="0" collapsed="false">
      <c r="F42" s="251"/>
    </row>
    <row r="43" customFormat="false" ht="13.8" hidden="false" customHeight="false" outlineLevel="0" collapsed="false">
      <c r="F43" s="251"/>
    </row>
    <row r="44" customFormat="false" ht="13.8" hidden="false" customHeight="false" outlineLevel="0" collapsed="false">
      <c r="F44" s="251"/>
    </row>
    <row r="45" customFormat="false" ht="13.8" hidden="false" customHeight="false" outlineLevel="0" collapsed="false">
      <c r="F45" s="251"/>
    </row>
    <row r="46" customFormat="false" ht="13.8" hidden="false" customHeight="false" outlineLevel="0" collapsed="false">
      <c r="F46" s="251"/>
    </row>
    <row r="47" customFormat="false" ht="13.8" hidden="false" customHeight="false" outlineLevel="0" collapsed="false">
      <c r="F47" s="251"/>
    </row>
    <row r="48" customFormat="false" ht="13.8" hidden="false" customHeight="false" outlineLevel="0" collapsed="false">
      <c r="F48" s="251"/>
    </row>
    <row r="49" customFormat="false" ht="13.8" hidden="false" customHeight="false" outlineLevel="0" collapsed="false">
      <c r="F49" s="251"/>
    </row>
    <row r="50" customFormat="false" ht="13.8" hidden="false" customHeight="false" outlineLevel="0" collapsed="false">
      <c r="F50" s="251"/>
    </row>
    <row r="51" customFormat="false" ht="15" hidden="false" customHeight="false" outlineLevel="0" collapsed="false">
      <c r="F51" s="294"/>
    </row>
    <row r="52" customFormat="false" ht="13.8" hidden="false" customHeight="false" outlineLevel="0" collapsed="false">
      <c r="F52" s="251"/>
    </row>
    <row r="53" customFormat="false" ht="13.8" hidden="false" customHeight="false" outlineLevel="0" collapsed="false">
      <c r="F53" s="25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26"/>
  <sheetViews>
    <sheetView showFormulas="false" showGridLines="true" showRowColHeaders="true" showZeros="true" rightToLeft="false" tabSelected="true" showOutlineSymbols="true" defaultGridColor="true" view="normal" topLeftCell="A1" colorId="64" zoomScale="84" zoomScaleNormal="84" zoomScalePageLayoutView="100" workbookViewId="0">
      <selection pane="topLeft" activeCell="H14" activeCellId="0" sqref="H14"/>
    </sheetView>
  </sheetViews>
  <sheetFormatPr defaultRowHeight="12.8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0" width="17.86"/>
    <col collapsed="false" customWidth="true" hidden="false" outlineLevel="0" max="3" min="3" style="0" width="15.46"/>
    <col collapsed="false" customWidth="true" hidden="false" outlineLevel="0" max="4" min="4" style="0" width="14.28"/>
    <col collapsed="false" customWidth="true" hidden="false" outlineLevel="0" max="8" min="5" style="0" width="14.01"/>
    <col collapsed="false" customWidth="true" hidden="false" outlineLevel="0" max="9" min="9" style="0" width="13.82"/>
    <col collapsed="false" customWidth="true" hidden="false" outlineLevel="0" max="11" min="10" style="0" width="18.92"/>
    <col collapsed="false" customWidth="true" hidden="false" outlineLevel="0" max="12" min="12" style="8" width="12.13"/>
    <col collapsed="false" customWidth="true" hidden="false" outlineLevel="0" max="13" min="13" style="8" width="14.57"/>
    <col collapsed="false" customWidth="true" hidden="false" outlineLevel="0" max="18" min="14" style="0" width="14.57"/>
    <col collapsed="false" customWidth="true" hidden="false" outlineLevel="0" max="1010" min="19" style="0" width="9.85"/>
    <col collapsed="false" customWidth="false" hidden="false" outlineLevel="0" max="1025" min="1011" style="0" width="11.52"/>
  </cols>
  <sheetData>
    <row r="1" customFormat="false" ht="12.8" hidden="false" customHeight="false" outlineLevel="0" collapsed="false">
      <c r="A1" s="300" t="s">
        <v>1220</v>
      </c>
      <c r="B1" s="301" t="s">
        <v>5</v>
      </c>
      <c r="C1" s="301" t="s">
        <v>1221</v>
      </c>
      <c r="D1" s="301" t="s">
        <v>1222</v>
      </c>
      <c r="E1" s="301" t="s">
        <v>1223</v>
      </c>
      <c r="F1" s="302" t="s">
        <v>1224</v>
      </c>
      <c r="G1" s="302" t="s">
        <v>1225</v>
      </c>
      <c r="H1" s="301" t="s">
        <v>1226</v>
      </c>
      <c r="I1" s="301" t="s">
        <v>1227</v>
      </c>
      <c r="J1" s="303" t="s">
        <v>1228</v>
      </c>
      <c r="K1" s="302" t="s">
        <v>1229</v>
      </c>
      <c r="L1" s="304" t="s">
        <v>1230</v>
      </c>
      <c r="M1" s="304" t="s">
        <v>1231</v>
      </c>
      <c r="N1" s="305" t="s">
        <v>1225</v>
      </c>
      <c r="O1" s="305" t="s">
        <v>1224</v>
      </c>
      <c r="P1" s="302" t="s">
        <v>1232</v>
      </c>
      <c r="Q1" s="302" t="s">
        <v>1233</v>
      </c>
      <c r="R1" s="305" t="s">
        <v>1234</v>
      </c>
    </row>
    <row r="2" customFormat="false" ht="12.8" hidden="false" customHeight="false" outlineLevel="0" collapsed="false">
      <c r="A2" s="306" t="n">
        <v>43831</v>
      </c>
      <c r="B2" s="307" t="n">
        <f aca="false">SUMIF(utilizacao!$A$2:A113,A2,utilizacao!$E$2:$E$122)</f>
        <v>12736.91</v>
      </c>
      <c r="C2" s="307" t="n">
        <f aca="false">SUMIF(utilizacao!$A$2:A113,A2,utilizacao!$D$2:$D$122)</f>
        <v>12736.91</v>
      </c>
      <c r="D2" s="308" t="n">
        <f aca="false">SUMIF(debito!$H$2:$H$2990,A2,debito!$F$2:$F$2990)</f>
        <v>11064.29</v>
      </c>
      <c r="E2" s="308" t="n">
        <f aca="false">SUMIF(pend_debito!$D$2:$D$738,A2,pend_debito!$C$2:$C$738)</f>
        <v>0</v>
      </c>
      <c r="F2" s="309" t="n">
        <v>12200</v>
      </c>
      <c r="G2" s="309" t="n">
        <f aca="false">H2*-1</f>
        <v>-1672.62</v>
      </c>
      <c r="H2" s="307" t="n">
        <f aca="false">B2-D2</f>
        <v>1672.62</v>
      </c>
      <c r="I2" s="307" t="n">
        <v>0</v>
      </c>
      <c r="J2" s="310" t="n">
        <f aca="false">I2+F2</f>
        <v>12200</v>
      </c>
      <c r="K2" s="311" t="n">
        <f aca="false">H2+F2</f>
        <v>13872.62</v>
      </c>
      <c r="L2" s="312" t="n">
        <f aca="false">SUMIF(credito!$D$2:$D$454,A2,credito!$C$2:$C$284)</f>
        <v>4018.57</v>
      </c>
      <c r="M2" s="313"/>
      <c r="N2" s="312" t="n">
        <v>5483.76</v>
      </c>
      <c r="O2" s="314" t="n">
        <v>6800</v>
      </c>
      <c r="P2" s="311" t="n">
        <f aca="false">O2-N2</f>
        <v>1316.24</v>
      </c>
      <c r="Q2" s="315" t="n">
        <f aca="false">DATEDIF(A2,A2+30,"d")</f>
        <v>30</v>
      </c>
      <c r="R2" s="316" t="n">
        <f aca="false">Q2-30</f>
        <v>0</v>
      </c>
    </row>
    <row r="3" customFormat="false" ht="12.8" hidden="false" customHeight="false" outlineLevel="0" collapsed="false">
      <c r="A3" s="306" t="n">
        <v>43862</v>
      </c>
      <c r="B3" s="307" t="n">
        <f aca="false">SUMIF(utilizacao!$A$2:A114,A3,utilizacao!$E$2:$E$122)+H2</f>
        <v>8851.27</v>
      </c>
      <c r="C3" s="307" t="n">
        <f aca="false">SUMIF(utilizacao!$A$2:A114,A3,utilizacao!$D$2:$D$122)+H2</f>
        <v>8851.27</v>
      </c>
      <c r="D3" s="308" t="n">
        <f aca="false">SUMIF(debito!$H$2:$H$2990,A3,debito!$F$2:$F$2990)</f>
        <v>7298.54</v>
      </c>
      <c r="E3" s="308" t="n">
        <f aca="false">SUMIF(pend_debito!$D$2:$D$738,A3,pend_debito!$C$2:$C$738)</f>
        <v>0</v>
      </c>
      <c r="F3" s="309" t="n">
        <v>12200</v>
      </c>
      <c r="G3" s="309" t="n">
        <f aca="false">H3*-1</f>
        <v>-1552.73000000001</v>
      </c>
      <c r="H3" s="307" t="n">
        <f aca="false">B3-D3</f>
        <v>1552.73000000001</v>
      </c>
      <c r="I3" s="307" t="n">
        <v>0</v>
      </c>
      <c r="J3" s="310" t="n">
        <f aca="false">I3+F3</f>
        <v>12200</v>
      </c>
      <c r="K3" s="311" t="n">
        <f aca="false">H3+F3</f>
        <v>13752.73</v>
      </c>
      <c r="L3" s="312" t="n">
        <f aca="false">SUMIF(credito!$D$2:$D$284,A3,credito!$C$2:$C$284)</f>
        <v>2912.81</v>
      </c>
      <c r="M3" s="313"/>
      <c r="N3" s="312" t="n">
        <v>5956.02</v>
      </c>
      <c r="O3" s="314" t="n">
        <v>13600</v>
      </c>
      <c r="P3" s="311" t="n">
        <f aca="false">O3-N3</f>
        <v>7643.98</v>
      </c>
      <c r="Q3" s="315" t="n">
        <f aca="false">DATEDIF(A3,A3+30,"d")</f>
        <v>30</v>
      </c>
      <c r="R3" s="316" t="n">
        <f aca="false">Q3-30</f>
        <v>0</v>
      </c>
    </row>
    <row r="4" customFormat="false" ht="12.8" hidden="false" customHeight="false" outlineLevel="0" collapsed="false">
      <c r="A4" s="306" t="n">
        <v>43891</v>
      </c>
      <c r="B4" s="307" t="n">
        <f aca="false">SUMIF(utilizacao!$A$2:A115,A4,utilizacao!$E$2:$E$122)+H3</f>
        <v>11227.99</v>
      </c>
      <c r="C4" s="307" t="n">
        <f aca="false">SUMIF(utilizacao!$A$2:A115,A4,utilizacao!$D$2:$D$122)+H3</f>
        <v>11227.99</v>
      </c>
      <c r="D4" s="308" t="n">
        <f aca="false">SUMIF(debito!$H$2:$H$2990,A4,debito!$F$2:$F$2990)</f>
        <v>9650.76</v>
      </c>
      <c r="E4" s="308" t="n">
        <f aca="false">SUMIF(pend_debito!$D$2:$D$738,A4,pend_debito!$C$2:$C$738)</f>
        <v>0</v>
      </c>
      <c r="F4" s="309" t="n">
        <v>12200</v>
      </c>
      <c r="G4" s="309" t="n">
        <f aca="false">H4*-1</f>
        <v>-1577.23000000001</v>
      </c>
      <c r="H4" s="307" t="n">
        <f aca="false">B4-D4</f>
        <v>1577.23000000001</v>
      </c>
      <c r="I4" s="307" t="n">
        <v>0</v>
      </c>
      <c r="J4" s="310" t="n">
        <f aca="false">I4+F4</f>
        <v>12200</v>
      </c>
      <c r="K4" s="311" t="n">
        <f aca="false">H4+F4</f>
        <v>13777.23</v>
      </c>
      <c r="L4" s="312" t="n">
        <f aca="false">SUMIF(credito!$D$2:$D$454,A4,credito!$C$2:$C$284)</f>
        <v>2972.19</v>
      </c>
      <c r="M4" s="313"/>
      <c r="N4" s="312" t="n">
        <v>4608.79</v>
      </c>
      <c r="O4" s="314" t="n">
        <v>13600</v>
      </c>
      <c r="P4" s="311" t="n">
        <f aca="false">O4-N4</f>
        <v>8991.21</v>
      </c>
      <c r="Q4" s="315" t="n">
        <f aca="false">DATEDIF(A4,A4+30,"d")</f>
        <v>30</v>
      </c>
      <c r="R4" s="316" t="n">
        <f aca="false">Q4-30</f>
        <v>0</v>
      </c>
    </row>
    <row r="5" customFormat="false" ht="12.8" hidden="false" customHeight="false" outlineLevel="0" collapsed="false">
      <c r="A5" s="306" t="n">
        <v>43922</v>
      </c>
      <c r="B5" s="307" t="n">
        <f aca="false">SUMIF(utilizacao!$A$2:A116,A5,utilizacao!$E$2:$E$122)+H4</f>
        <v>17643.79</v>
      </c>
      <c r="C5" s="307" t="n">
        <f aca="false">SUMIF(utilizacao!$A$2:A116,A5,utilizacao!$D$2:$D$122)+H4</f>
        <v>17643.79</v>
      </c>
      <c r="D5" s="308" t="n">
        <f aca="false">SUMIF(debito!$H$2:$H$2990,A5,debito!$F$2:$F$2990)</f>
        <v>9396.31</v>
      </c>
      <c r="E5" s="308" t="n">
        <f aca="false">SUMIF(pend_debito!$D$2:$D$738,A5,pend_debito!$C$2:$C$738)</f>
        <v>0</v>
      </c>
      <c r="F5" s="309" t="n">
        <v>12200</v>
      </c>
      <c r="G5" s="309" t="n">
        <f aca="false">H5*-1</f>
        <v>-8247.48000000001</v>
      </c>
      <c r="H5" s="307" t="n">
        <f aca="false">B5-D5</f>
        <v>8247.48000000001</v>
      </c>
      <c r="I5" s="307" t="n">
        <v>0</v>
      </c>
      <c r="J5" s="310" t="n">
        <f aca="false">I5+F5</f>
        <v>12200</v>
      </c>
      <c r="K5" s="311" t="n">
        <f aca="false">H5+F5</f>
        <v>20447.48</v>
      </c>
      <c r="L5" s="312" t="n">
        <f aca="false">SUMIF(credito!$D$2:$D$284,A5,credito!$C$2:$C$284)</f>
        <v>3860.08</v>
      </c>
      <c r="M5" s="313"/>
      <c r="N5" s="312" t="n">
        <v>4609.79</v>
      </c>
      <c r="O5" s="314" t="n">
        <v>13600</v>
      </c>
      <c r="P5" s="311" t="n">
        <f aca="false">O5-N5</f>
        <v>8990.21</v>
      </c>
      <c r="Q5" s="315" t="n">
        <f aca="false">DATEDIF(A5,A5+30,"d")</f>
        <v>30</v>
      </c>
      <c r="R5" s="316" t="n">
        <f aca="false">Q5-30</f>
        <v>0</v>
      </c>
    </row>
    <row r="6" customFormat="false" ht="12.8" hidden="false" customHeight="false" outlineLevel="0" collapsed="false">
      <c r="A6" s="306" t="n">
        <v>43952</v>
      </c>
      <c r="B6" s="307" t="n">
        <f aca="false">SUMIF(utilizacao!$A$2:A117,A6,utilizacao!$E$2:$E$122)+H5</f>
        <v>12637.53</v>
      </c>
      <c r="C6" s="307" t="n">
        <f aca="false">SUMIF(utilizacao!$A$2:A117,A6,utilizacao!$D$2:$D$122)+H5</f>
        <v>12637.53</v>
      </c>
      <c r="D6" s="308" t="n">
        <f aca="false">SUMIF(debito!$H$2:$H$2990,A6,debito!$F$2:$F$2990)</f>
        <v>12676.38</v>
      </c>
      <c r="E6" s="308" t="n">
        <f aca="false">SUMIF(pend_debito!$D$2:$D$738,A6,pend_debito!$C$2:$C$738)</f>
        <v>0</v>
      </c>
      <c r="F6" s="309" t="n">
        <v>12200</v>
      </c>
      <c r="G6" s="309" t="n">
        <f aca="false">H6*-1</f>
        <v>38.8499999999913</v>
      </c>
      <c r="H6" s="307" t="n">
        <f aca="false">B6-D6</f>
        <v>-38.8499999999913</v>
      </c>
      <c r="I6" s="307" t="n">
        <v>0</v>
      </c>
      <c r="J6" s="310" t="n">
        <f aca="false">I6+F6</f>
        <v>12200</v>
      </c>
      <c r="K6" s="311" t="n">
        <f aca="false">H6+F6</f>
        <v>12161.15</v>
      </c>
      <c r="L6" s="312" t="n">
        <f aca="false">SUMIF(credito!$D$2:$D$454,A6,credito!$C$2:$C$284)</f>
        <v>3164.78</v>
      </c>
      <c r="M6" s="313"/>
      <c r="N6" s="312" t="n">
        <v>4610.79</v>
      </c>
      <c r="O6" s="314" t="n">
        <v>13600</v>
      </c>
      <c r="P6" s="311" t="n">
        <f aca="false">O6-N6</f>
        <v>8989.21</v>
      </c>
      <c r="Q6" s="315" t="n">
        <f aca="false">DATEDIF(A6,A6+30,"d")</f>
        <v>30</v>
      </c>
      <c r="R6" s="316" t="n">
        <f aca="false">Q6-30</f>
        <v>0</v>
      </c>
    </row>
    <row r="7" customFormat="false" ht="12.8" hidden="false" customHeight="false" outlineLevel="0" collapsed="false">
      <c r="A7" s="306" t="n">
        <v>43983</v>
      </c>
      <c r="B7" s="307" t="n">
        <f aca="false">SUMIF(utilizacao!$A$2:A118,A7,utilizacao!$E$2:$E$122)+H6</f>
        <v>17009.21</v>
      </c>
      <c r="C7" s="307" t="n">
        <f aca="false">SUMIF(utilizacao!$A$2:A118,A7,utilizacao!$D$2:$D$122)+H6</f>
        <v>17009.21</v>
      </c>
      <c r="D7" s="308" t="n">
        <f aca="false">SUMIF(debito!$H$2:$H$2990,A7,debito!$F$2:$F$2990)</f>
        <v>14246.21</v>
      </c>
      <c r="E7" s="308" t="n">
        <f aca="false">SUMIF(pend_debito!$D$2:$D$738,A7,pend_debito!$C$2:$C$738)</f>
        <v>0</v>
      </c>
      <c r="F7" s="309" t="n">
        <v>12200</v>
      </c>
      <c r="G7" s="309" t="n">
        <f aca="false">H7*-1</f>
        <v>-2763.00000000001</v>
      </c>
      <c r="H7" s="307" t="n">
        <f aca="false">B7-D7</f>
        <v>2763.00000000001</v>
      </c>
      <c r="I7" s="307" t="n">
        <v>0</v>
      </c>
      <c r="J7" s="310" t="n">
        <f aca="false">I7+F7</f>
        <v>12200</v>
      </c>
      <c r="K7" s="311" t="n">
        <f aca="false">H7+F7</f>
        <v>14963</v>
      </c>
      <c r="L7" s="312" t="n">
        <f aca="false">SUMIF(credito!$D$2:$D$454,A7,credito!$C$2:$C$284)</f>
        <v>4992.46</v>
      </c>
      <c r="M7" s="313"/>
      <c r="N7" s="312" t="n">
        <v>4611.79</v>
      </c>
      <c r="O7" s="314" t="n">
        <v>13600</v>
      </c>
      <c r="P7" s="311" t="n">
        <f aca="false">O7-N7</f>
        <v>8988.21</v>
      </c>
      <c r="Q7" s="315" t="n">
        <f aca="false">DATEDIF(A7,A7+30,"d")</f>
        <v>30</v>
      </c>
      <c r="R7" s="316" t="n">
        <f aca="false">Q7-30</f>
        <v>0</v>
      </c>
    </row>
    <row r="8" customFormat="false" ht="12.8" hidden="false" customHeight="false" outlineLevel="0" collapsed="false">
      <c r="A8" s="306" t="n">
        <v>44013</v>
      </c>
      <c r="B8" s="307" t="n">
        <f aca="false">SUMIF(utilizacao!$A$2:A119,A8,utilizacao!$E$2:$E$122)+H7</f>
        <v>14227.81</v>
      </c>
      <c r="C8" s="307" t="n">
        <f aca="false">SUMIF(utilizacao!$A$2:A119,A8,utilizacao!$D$2:$D$122)+H7</f>
        <v>14227.81</v>
      </c>
      <c r="D8" s="308" t="n">
        <f aca="false">SUMIF(debito!$H$2:$H$2990,A8,debito!$F$2:$F$2990)</f>
        <v>10985.86</v>
      </c>
      <c r="E8" s="308" t="n">
        <f aca="false">SUMIFS(pend_debito!C2:C7,pend_debito!D2:D7,A8)-SUMIFS(pend_debito!C2:C7,pend_debito!D2:D7,A8,pend_debito!E2:E7,"PG")</f>
        <v>0</v>
      </c>
      <c r="F8" s="309" t="n">
        <v>12200</v>
      </c>
      <c r="G8" s="309" t="n">
        <f aca="false">H8*-1</f>
        <v>-3241.95000000001</v>
      </c>
      <c r="H8" s="307" t="n">
        <f aca="false">B8-D8</f>
        <v>3241.95000000001</v>
      </c>
      <c r="I8" s="307" t="n">
        <v>0</v>
      </c>
      <c r="J8" s="310" t="n">
        <f aca="false">I8+F8</f>
        <v>12200</v>
      </c>
      <c r="K8" s="311" t="n">
        <f aca="false">H8+F8</f>
        <v>15441.95</v>
      </c>
      <c r="L8" s="317" t="n">
        <f aca="false">SUMIF(credito!$D$2:$D$454,A8,credito!$C$2:$C$483)</f>
        <v>3009.75</v>
      </c>
      <c r="M8" s="317" t="n">
        <f aca="false">SUMIF(pend_crd!$E$2:$E$153,A8,pend_crd!$D$2:$D$182)</f>
        <v>0</v>
      </c>
      <c r="N8" s="312" t="n">
        <v>4612.79</v>
      </c>
      <c r="O8" s="314" t="n">
        <v>13600</v>
      </c>
      <c r="P8" s="311" t="n">
        <f aca="false">O8-N8</f>
        <v>8987.21</v>
      </c>
      <c r="Q8" s="315" t="n">
        <f aca="false">DATEDIF(A8,A8+30,"d")</f>
        <v>30</v>
      </c>
      <c r="R8" s="316" t="n">
        <f aca="false">Q8-30</f>
        <v>0</v>
      </c>
    </row>
    <row r="9" customFormat="false" ht="12.8" hidden="false" customHeight="false" outlineLevel="0" collapsed="false">
      <c r="A9" s="306" t="n">
        <v>44044</v>
      </c>
      <c r="B9" s="307" t="n">
        <f aca="false">SUMIF(utilizacao!$A$2:A120,A9,utilizacao!$E$2:$E$122)+H8</f>
        <v>11752.02</v>
      </c>
      <c r="C9" s="307" t="n">
        <f aca="false">SUMIF(utilizacao!$A$2:A120,A9,utilizacao!$D$2:$D$122)+H8</f>
        <v>11752.02</v>
      </c>
      <c r="D9" s="308" t="n">
        <f aca="false">SUMIF(debito!$H$2:$H$2990,A9,debito!$F$2:$F$2990)</f>
        <v>10339.25</v>
      </c>
      <c r="E9" s="308" t="n">
        <f aca="false">SUMIFS(pend_debito!C3:C107,pend_debito!D3:D107,A9)-SUMIFS(pend_debito!C3:C107,pend_debito!D3:D107,A9,pend_debito!E3:E107,"PG")+M9</f>
        <v>0</v>
      </c>
      <c r="F9" s="309" t="n">
        <v>12200</v>
      </c>
      <c r="G9" s="309" t="n">
        <f aca="false">H9*-1</f>
        <v>-1412.77</v>
      </c>
      <c r="H9" s="307" t="n">
        <f aca="false">B9-D9</f>
        <v>1412.77</v>
      </c>
      <c r="I9" s="307" t="n">
        <v>0</v>
      </c>
      <c r="J9" s="318" t="n">
        <f aca="false">I9+F9</f>
        <v>12200</v>
      </c>
      <c r="K9" s="319" t="n">
        <f aca="false">H9+F9</f>
        <v>13612.77</v>
      </c>
      <c r="L9" s="317" t="n">
        <f aca="false">SUMIF(credito!$D$2:$D$454,A9,credito!$C$2:$C$483)</f>
        <v>2239.32</v>
      </c>
      <c r="M9" s="317" t="n">
        <f aca="false">SUMIF(pend_crd!$E$2:$E$153,A9,pend_crd!$D$2:$D$182)</f>
        <v>0</v>
      </c>
      <c r="N9" s="312" t="n">
        <v>4613.79</v>
      </c>
      <c r="O9" s="312" t="n">
        <v>13600</v>
      </c>
      <c r="P9" s="319" t="n">
        <f aca="false">O9-N9</f>
        <v>8986.21</v>
      </c>
      <c r="Q9" s="315" t="n">
        <f aca="false">DATEDIF(A9,A9+30,"d")</f>
        <v>30</v>
      </c>
      <c r="R9" s="316" t="n">
        <f aca="false">Q9-30</f>
        <v>0</v>
      </c>
    </row>
    <row r="10" customFormat="false" ht="12.8" hidden="false" customHeight="false" outlineLevel="0" collapsed="false">
      <c r="A10" s="306" t="n">
        <v>44075</v>
      </c>
      <c r="B10" s="307" t="n">
        <f aca="false">SUMIF(utilizacao!$A$2:A121,A10,utilizacao!$E$2:$E$122)+H9</f>
        <v>8977.54000000001</v>
      </c>
      <c r="C10" s="307" t="n">
        <f aca="false">SUMIF(utilizacao!$A$2:A121,A10,utilizacao!$D$2:$D$122)</f>
        <v>7564.77</v>
      </c>
      <c r="D10" s="308" t="n">
        <f aca="false">SUMIF(debito!$H$2:$H$2990,A10,debito!$F$2:$F$2990)</f>
        <v>8454.64</v>
      </c>
      <c r="E10" s="308" t="n">
        <f aca="false">SUMIFS(pend_debito!C4:C108,pend_debito!D4:D108,A10)-SUMIFS(pend_debito!C4:C108,pend_debito!D4:D108,A10,pend_debito!E4:E108,"PG")+M10</f>
        <v>0</v>
      </c>
      <c r="F10" s="309" t="n">
        <v>12200</v>
      </c>
      <c r="G10" s="309" t="n">
        <f aca="false">H10*-1</f>
        <v>-522.900000000003</v>
      </c>
      <c r="H10" s="307" t="n">
        <f aca="false">B10-D10</f>
        <v>522.900000000003</v>
      </c>
      <c r="I10" s="307" t="n">
        <v>0</v>
      </c>
      <c r="J10" s="318" t="n">
        <f aca="false">I10+F10</f>
        <v>12200</v>
      </c>
      <c r="K10" s="319" t="n">
        <f aca="false">H10+F10</f>
        <v>12722.9</v>
      </c>
      <c r="L10" s="317" t="n">
        <f aca="false">SUMIF(credito!$D$2:$D$500,A10,credito!$C$2:$C$500)</f>
        <v>597.42</v>
      </c>
      <c r="M10" s="317" t="n">
        <f aca="false">SUMIF(pend_crd!$E$2:$E$153,A10,pend_crd!$D$2:$D$182)</f>
        <v>0</v>
      </c>
      <c r="N10" s="312" t="n">
        <v>5484.76</v>
      </c>
      <c r="O10" s="312" t="n">
        <v>13600</v>
      </c>
      <c r="P10" s="319" t="n">
        <f aca="false">O10-N10</f>
        <v>8115.24</v>
      </c>
      <c r="Q10" s="315" t="n">
        <f aca="false">DATEDIF(A10,A10+30,"d")</f>
        <v>30</v>
      </c>
      <c r="R10" s="316" t="n">
        <f aca="false">Q10-30</f>
        <v>0</v>
      </c>
    </row>
    <row r="11" customFormat="false" ht="12.8" hidden="false" customHeight="false" outlineLevel="0" collapsed="false">
      <c r="A11" s="306" t="n">
        <v>44105</v>
      </c>
      <c r="B11" s="307" t="n">
        <f aca="false">SUMIF(utilizacao!$A$2:A122,A11,utilizacao!$E$2:$E$122)+H10</f>
        <v>7448.1</v>
      </c>
      <c r="C11" s="307" t="n">
        <f aca="false">SUMIF(utilizacao!$A$2:A122,A11,utilizacao!$D$2:$D$122)+H10</f>
        <v>7448.1</v>
      </c>
      <c r="D11" s="308" t="n">
        <f aca="false">SUMIF(debito!$H$2:$H$2990,A11,debito!$F$2:$F$2990)</f>
        <v>8313.97</v>
      </c>
      <c r="E11" s="308" t="n">
        <f aca="false">SUMIFS(pend_debito!C5:C109,pend_debito!D5:D109,A11)-SUMIFS(pend_debito!C5:C109,pend_debito!D5:D109,A11,pend_debito!E5:E109,"PG")+M11</f>
        <v>0</v>
      </c>
      <c r="F11" s="309" t="n">
        <v>12200</v>
      </c>
      <c r="G11" s="309" t="n">
        <f aca="false">H11*-1</f>
        <v>865.869999999994</v>
      </c>
      <c r="H11" s="307" t="n">
        <f aca="false">B11-D11</f>
        <v>-865.869999999994</v>
      </c>
      <c r="I11" s="307" t="n">
        <v>0</v>
      </c>
      <c r="J11" s="318" t="n">
        <f aca="false">I11+F11</f>
        <v>12200</v>
      </c>
      <c r="K11" s="319" t="n">
        <f aca="false">H11+F11</f>
        <v>11334.13</v>
      </c>
      <c r="L11" s="317" t="n">
        <f aca="false">SUMIF(credito!$D$2:$D$500,A11,credito!$C$2:$C$500)</f>
        <v>3946.04</v>
      </c>
      <c r="M11" s="317" t="n">
        <f aca="false">SUMIF(pend_crd!$E$2:$E$153,A11,pend_crd!$D$2:$D$182)</f>
        <v>0</v>
      </c>
      <c r="N11" s="320" t="n">
        <v>4608.79</v>
      </c>
      <c r="O11" s="320" t="n">
        <v>13600</v>
      </c>
      <c r="P11" s="319" t="n">
        <f aca="false">O11-N11</f>
        <v>8991.21</v>
      </c>
      <c r="Q11" s="315" t="n">
        <f aca="false">DATEDIF(A11,A11+30,"d")</f>
        <v>30</v>
      </c>
      <c r="R11" s="316" t="n">
        <f aca="false">Q11-30</f>
        <v>0</v>
      </c>
    </row>
    <row r="12" customFormat="false" ht="12.8" hidden="false" customHeight="false" outlineLevel="0" collapsed="false">
      <c r="A12" s="306" t="n">
        <v>44136</v>
      </c>
      <c r="B12" s="307" t="n">
        <f aca="false">SUMIF(utilizacao!$A$2:A123,A12,utilizacao!$E$2:$E$122)+H11</f>
        <v>9819.40000000001</v>
      </c>
      <c r="C12" s="307" t="n">
        <f aca="false">SUMIF(utilizacao!$A$2:A123,A12,utilizacao!$D$2:$D$122)+H11</f>
        <v>9819.40000000001</v>
      </c>
      <c r="D12" s="308" t="n">
        <f aca="false">SUMIF(debito!$H$2:$H$2990,A12,debito!$F$2:$F$2990)</f>
        <v>8603.27</v>
      </c>
      <c r="E12" s="308" t="n">
        <f aca="false">SUMIFS(pend_debito!C6:C110,pend_debito!D6:D110,A12)-SUMIFS(pend_debito!C6:C110,pend_debito!D6:D110,A12,pend_debito!E6:E110,"PG")+M12</f>
        <v>0</v>
      </c>
      <c r="F12" s="309" t="n">
        <v>12200</v>
      </c>
      <c r="G12" s="309" t="n">
        <f aca="false">H12*-1</f>
        <v>-1216.13000000001</v>
      </c>
      <c r="H12" s="307" t="n">
        <f aca="false">B12-D12</f>
        <v>1216.13000000001</v>
      </c>
      <c r="I12" s="307" t="n">
        <v>0</v>
      </c>
      <c r="J12" s="318" t="n">
        <f aca="false">I12+F12</f>
        <v>12200</v>
      </c>
      <c r="K12" s="319" t="n">
        <f aca="false">H12+F12</f>
        <v>13416.13</v>
      </c>
      <c r="L12" s="317" t="n">
        <f aca="false">SUMIF(credito!$D$2:$D$500,A12,credito!$C$2:$C$500)</f>
        <v>2923.72</v>
      </c>
      <c r="M12" s="317" t="n">
        <f aca="false">SUMIF(pend_crd!$E$2:$E$153,A12,pend_crd!$D$2:$D$182)</f>
        <v>0</v>
      </c>
      <c r="N12" s="320" t="n">
        <v>4608.79</v>
      </c>
      <c r="O12" s="320" t="n">
        <v>13600</v>
      </c>
      <c r="P12" s="319" t="n">
        <f aca="false">O12-N12</f>
        <v>8991.21</v>
      </c>
      <c r="Q12" s="315" t="n">
        <f aca="false">DATEDIF(A12,A12+30,"d")</f>
        <v>30</v>
      </c>
      <c r="R12" s="316" t="n">
        <f aca="false">Q12-30</f>
        <v>0</v>
      </c>
    </row>
    <row r="13" customFormat="false" ht="12.8" hidden="false" customHeight="false" outlineLevel="0" collapsed="false">
      <c r="A13" s="321" t="n">
        <v>44166</v>
      </c>
      <c r="B13" s="322" t="n">
        <f aca="false">SUMIF(utilizacao!$A$2:A124,A13,utilizacao!$E$2:$E$122)+H12</f>
        <v>18703.04</v>
      </c>
      <c r="C13" s="322" t="n">
        <f aca="false">SUMIF(utilizacao!$A$2:A124,A13,utilizacao!$D$2:$D$122)+H12</f>
        <v>18703.04</v>
      </c>
      <c r="D13" s="323" t="n">
        <f aca="false">SUMIF(debito!$H$2:$H$1990,A13,debito!$F$2:$F$1990)</f>
        <v>19936.52</v>
      </c>
      <c r="E13" s="323" t="n">
        <f aca="false">SUMIFS(pend_debito!C7:C111,pend_debito!D7:D111,A13)-SUMIFS(pend_debito!C7:C111,pend_debito!D7:D111,A13,pend_debito!E7:E111,"PG")+M13</f>
        <v>170</v>
      </c>
      <c r="F13" s="323" t="n">
        <v>12200</v>
      </c>
      <c r="G13" s="323" t="n">
        <f aca="false">H13*-1</f>
        <v>1233.47999999999</v>
      </c>
      <c r="H13" s="322" t="n">
        <f aca="false">B13-D13</f>
        <v>-1233.47999999999</v>
      </c>
      <c r="I13" s="322" t="n">
        <f aca="false">((C13-B13)-E13)+H13</f>
        <v>-1403.47999999999</v>
      </c>
      <c r="J13" s="324" t="n">
        <f aca="false">I13+F13</f>
        <v>10796.52</v>
      </c>
      <c r="K13" s="324" t="n">
        <f aca="false">H13+F13</f>
        <v>10966.52</v>
      </c>
      <c r="L13" s="325" t="n">
        <f aca="false">SUMIF(credito!$D$2:$D$600,A13,credito!$C$2:$C$600)</f>
        <v>5558.24</v>
      </c>
      <c r="M13" s="325" t="n">
        <f aca="false">SUMIF(pend_crd!$E$2:$E$153,A13,pend_crd!$D$2:$D$182)</f>
        <v>0</v>
      </c>
      <c r="N13" s="326" t="n">
        <v>9653.16</v>
      </c>
      <c r="O13" s="326" t="n">
        <v>13600</v>
      </c>
      <c r="P13" s="324" t="n">
        <f aca="false">O13-N13</f>
        <v>3946.84</v>
      </c>
      <c r="Q13" s="327" t="n">
        <f aca="true">DATEDIF(A13,TODAY(),"d")</f>
        <v>33</v>
      </c>
      <c r="R13" s="328" t="n">
        <f aca="false">30-Q13</f>
        <v>-3</v>
      </c>
      <c r="S13" s="329"/>
    </row>
    <row r="14" customFormat="false" ht="12.8" hidden="false" customHeight="false" outlineLevel="0" collapsed="false">
      <c r="A14" s="330" t="s">
        <v>1235</v>
      </c>
      <c r="B14" s="331" t="n">
        <f aca="false">SUM(B2:B13)</f>
        <v>151034.61</v>
      </c>
      <c r="C14" s="331"/>
      <c r="D14" s="332" t="n">
        <f aca="false">SUM(D2:D13)</f>
        <v>130966</v>
      </c>
      <c r="E14" s="332"/>
      <c r="F14" s="333"/>
      <c r="G14" s="333"/>
      <c r="H14" s="332" t="n">
        <f aca="false">SUM(H2:H13)</f>
        <v>20068.6100000001</v>
      </c>
      <c r="I14" s="333"/>
      <c r="J14" s="334"/>
      <c r="K14" s="334"/>
      <c r="L14" s="334" t="n">
        <f aca="false">SUM(L2:L13)</f>
        <v>40195.38</v>
      </c>
      <c r="M14" s="334"/>
      <c r="N14" s="334"/>
      <c r="O14" s="334"/>
      <c r="P14" s="334" t="n">
        <f aca="false">SUM(P2:P13)</f>
        <v>92936.98</v>
      </c>
      <c r="Q14" s="334"/>
      <c r="R14" s="334"/>
    </row>
    <row r="15" customFormat="false" ht="12.8" hidden="false" customHeight="false" outlineLevel="0" collapsed="false">
      <c r="A15" s="335" t="s">
        <v>1236</v>
      </c>
      <c r="B15" s="336" t="n">
        <f aca="false">B14/12</f>
        <v>12586.2175</v>
      </c>
      <c r="C15" s="336"/>
      <c r="D15" s="332" t="n">
        <f aca="false">AVERAGE(D2:D13)</f>
        <v>10913.8333333333</v>
      </c>
      <c r="E15" s="332"/>
      <c r="F15" s="333"/>
      <c r="G15" s="333"/>
      <c r="H15" s="332" t="n">
        <f aca="false">AVERAGE(H2:H13)</f>
        <v>1672.38416666667</v>
      </c>
      <c r="I15" s="333"/>
      <c r="J15" s="334"/>
      <c r="K15" s="334"/>
      <c r="L15" s="334" t="n">
        <f aca="false">AVERAGE(L2:L13)</f>
        <v>3349.615</v>
      </c>
      <c r="M15" s="334"/>
      <c r="N15" s="334"/>
      <c r="O15" s="334"/>
      <c r="P15" s="334" t="n">
        <f aca="false">AVERAGE(P2:P13)</f>
        <v>7744.74833333333</v>
      </c>
      <c r="Q15" s="334"/>
      <c r="R15" s="334"/>
    </row>
    <row r="17" customFormat="false" ht="12.8" hidden="false" customHeight="false" outlineLevel="0" collapsed="false">
      <c r="D17" s="8" t="n">
        <f aca="false">D2-L2</f>
        <v>7045.72</v>
      </c>
      <c r="L17" s="337" t="e">
        <f aca="false">SUMIF(#REF!,A9,#REF!)</f>
        <v>#VALUE!</v>
      </c>
      <c r="N17" s="0" t="n">
        <v>0</v>
      </c>
    </row>
    <row r="18" customFormat="false" ht="13.8" hidden="false" customHeight="false" outlineLevel="0" collapsed="false">
      <c r="E18" s="0" t="n">
        <f aca="false">SUMIFS(pend_debito!C2:C7,pend_debito!D2:D7,A8,pend_debito!E2:E7,"PG")</f>
        <v>1190</v>
      </c>
      <c r="L18" s="251"/>
      <c r="M18" s="251"/>
      <c r="Q18" s="338"/>
    </row>
    <row r="19" customFormat="false" ht="13.8" hidden="false" customHeight="false" outlineLevel="0" collapsed="false">
      <c r="L19" s="251"/>
      <c r="M19" s="251"/>
    </row>
    <row r="20" customFormat="false" ht="13.8" hidden="false" customHeight="false" outlineLevel="0" collapsed="false">
      <c r="L20" s="251"/>
      <c r="M20" s="251"/>
    </row>
    <row r="21" customFormat="false" ht="13.8" hidden="false" customHeight="false" outlineLevel="0" collapsed="false">
      <c r="L21" s="251"/>
      <c r="M21" s="251"/>
    </row>
    <row r="22" customFormat="false" ht="13.8" hidden="false" customHeight="false" outlineLevel="0" collapsed="false">
      <c r="L22" s="251"/>
      <c r="M22" s="251"/>
    </row>
    <row r="23" customFormat="false" ht="13.8" hidden="false" customHeight="false" outlineLevel="0" collapsed="false">
      <c r="L23" s="251"/>
      <c r="M23" s="251"/>
    </row>
    <row r="24" customFormat="false" ht="13.8" hidden="false" customHeight="false" outlineLevel="0" collapsed="false">
      <c r="L24" s="251"/>
      <c r="M24" s="251"/>
    </row>
    <row r="25" customFormat="false" ht="13.8" hidden="false" customHeight="false" outlineLevel="0" collapsed="false">
      <c r="L25" s="251"/>
      <c r="M25" s="251"/>
    </row>
    <row r="26" customFormat="false" ht="13.8" hidden="false" customHeight="false" outlineLevel="0" collapsed="false">
      <c r="L26" s="339"/>
      <c r="M26" s="339"/>
    </row>
  </sheetData>
  <conditionalFormatting sqref="R3:R13 N2:O2 N5:N10">
    <cfRule type="cellIs" priority="2" operator="between" aboveAverage="0" equalAverage="0" bottom="0" percent="0" rank="0" text="" dxfId="0">
      <formula>0</formula>
      <formula>2700</formula>
    </cfRule>
  </conditionalFormatting>
  <conditionalFormatting sqref="N3:N9 N13 N11">
    <cfRule type="cellIs" priority="3" operator="between" aboveAverage="0" equalAverage="0" bottom="0" percent="0" rank="0" text="" dxfId="0">
      <formula>0</formula>
      <formula>2700</formula>
    </cfRule>
  </conditionalFormatting>
  <conditionalFormatting sqref="O3">
    <cfRule type="cellIs" priority="4" operator="between" aboveAverage="0" equalAverage="0" bottom="0" percent="0" rank="0" text="" dxfId="0">
      <formula>0</formula>
      <formula>2700</formula>
    </cfRule>
  </conditionalFormatting>
  <conditionalFormatting sqref="O4">
    <cfRule type="cellIs" priority="5" operator="between" aboveAverage="0" equalAverage="0" bottom="0" percent="0" rank="0" text="" dxfId="0">
      <formula>0</formula>
      <formula>2700</formula>
    </cfRule>
  </conditionalFormatting>
  <conditionalFormatting sqref="O5">
    <cfRule type="cellIs" priority="6" operator="between" aboveAverage="0" equalAverage="0" bottom="0" percent="0" rank="0" text="" dxfId="0">
      <formula>0</formula>
      <formula>2700</formula>
    </cfRule>
  </conditionalFormatting>
  <conditionalFormatting sqref="O6">
    <cfRule type="cellIs" priority="7" operator="between" aboveAverage="0" equalAverage="0" bottom="0" percent="0" rank="0" text="" dxfId="0">
      <formula>0</formula>
      <formula>2700</formula>
    </cfRule>
  </conditionalFormatting>
  <conditionalFormatting sqref="O7">
    <cfRule type="cellIs" priority="8" operator="between" aboveAverage="0" equalAverage="0" bottom="0" percent="0" rank="0" text="" dxfId="0">
      <formula>0</formula>
      <formula>2700</formula>
    </cfRule>
  </conditionalFormatting>
  <conditionalFormatting sqref="O8">
    <cfRule type="cellIs" priority="9" operator="between" aboveAverage="0" equalAverage="0" bottom="0" percent="0" rank="0" text="" dxfId="0">
      <formula>0</formula>
      <formula>2700</formula>
    </cfRule>
  </conditionalFormatting>
  <conditionalFormatting sqref="O9">
    <cfRule type="cellIs" priority="10" operator="between" aboveAverage="0" equalAverage="0" bottom="0" percent="0" rank="0" text="" dxfId="0">
      <formula>0</formula>
      <formula>2700</formula>
    </cfRule>
  </conditionalFormatting>
  <conditionalFormatting sqref="O10">
    <cfRule type="cellIs" priority="11" operator="between" aboveAverage="0" equalAverage="0" bottom="0" percent="0" rank="0" text="" dxfId="0">
      <formula>0</formula>
      <formula>2700</formula>
    </cfRule>
  </conditionalFormatting>
  <conditionalFormatting sqref="O11">
    <cfRule type="cellIs" priority="12" operator="between" aboveAverage="0" equalAverage="0" bottom="0" percent="0" rank="0" text="" dxfId="0">
      <formula>0</formula>
      <formula>2700</formula>
    </cfRule>
  </conditionalFormatting>
  <conditionalFormatting sqref="O12">
    <cfRule type="cellIs" priority="13" operator="between" aboveAverage="0" equalAverage="0" bottom="0" percent="0" rank="0" text="" dxfId="0">
      <formula>0</formula>
      <formula>2700</formula>
    </cfRule>
  </conditionalFormatting>
  <conditionalFormatting sqref="O13">
    <cfRule type="cellIs" priority="14" operator="between" aboveAverage="0" equalAverage="0" bottom="0" percent="0" rank="0" text="" dxfId="0">
      <formula>0</formula>
      <formula>2700</formula>
    </cfRule>
  </conditionalFormatting>
  <conditionalFormatting sqref="L2:L3 L5">
    <cfRule type="cellIs" priority="15" operator="between" aboveAverage="0" equalAverage="0" bottom="0" percent="0" rank="0" text="" dxfId="0">
      <formula>0</formula>
      <formula>2700</formula>
    </cfRule>
  </conditionalFormatting>
  <conditionalFormatting sqref="L4">
    <cfRule type="cellIs" priority="16" operator="between" aboveAverage="0" equalAverage="0" bottom="0" percent="0" rank="0" text="" dxfId="0">
      <formula>0</formula>
      <formula>2700</formula>
    </cfRule>
  </conditionalFormatting>
  <conditionalFormatting sqref="L6:L7">
    <cfRule type="cellIs" priority="17" operator="between" aboveAverage="0" equalAverage="0" bottom="0" percent="0" rank="0" text="" dxfId="0">
      <formula>0</formula>
      <formula>2700</formula>
    </cfRule>
  </conditionalFormatting>
  <conditionalFormatting sqref="M2">
    <cfRule type="cellIs" priority="18" operator="between" aboveAverage="0" equalAverage="0" bottom="0" percent="0" rank="0" text="" dxfId="0">
      <formula>0</formula>
      <formula>2700</formula>
    </cfRule>
  </conditionalFormatting>
  <conditionalFormatting sqref="M3">
    <cfRule type="cellIs" priority="19" operator="between" aboveAverage="0" equalAverage="0" bottom="0" percent="0" rank="0" text="" dxfId="0">
      <formula>0</formula>
      <formula>2700</formula>
    </cfRule>
  </conditionalFormatting>
  <conditionalFormatting sqref="M4">
    <cfRule type="cellIs" priority="20" operator="between" aboveAverage="0" equalAverage="0" bottom="0" percent="0" rank="0" text="" dxfId="0">
      <formula>0</formula>
      <formula>2700</formula>
    </cfRule>
  </conditionalFormatting>
  <conditionalFormatting sqref="M5">
    <cfRule type="cellIs" priority="21" operator="between" aboveAverage="0" equalAverage="0" bottom="0" percent="0" rank="0" text="" dxfId="0">
      <formula>0</formula>
      <formula>2700</formula>
    </cfRule>
  </conditionalFormatting>
  <conditionalFormatting sqref="M6">
    <cfRule type="cellIs" priority="22" operator="between" aboveAverage="0" equalAverage="0" bottom="0" percent="0" rank="0" text="" dxfId="0">
      <formula>0</formula>
      <formula>2700</formula>
    </cfRule>
  </conditionalFormatting>
  <conditionalFormatting sqref="M7">
    <cfRule type="cellIs" priority="23" operator="between" aboveAverage="0" equalAverage="0" bottom="0" percent="0" rank="0" text="" dxfId="0">
      <formula>0</formula>
      <formula>2700</formula>
    </cfRule>
  </conditionalFormatting>
  <conditionalFormatting sqref="N12">
    <cfRule type="cellIs" priority="24" operator="between" aboveAverage="0" equalAverage="0" bottom="0" percent="0" rank="0" text="" dxfId="0">
      <formula>0</formula>
      <formula>2700</formula>
    </cfRule>
  </conditionalFormatting>
  <conditionalFormatting sqref="R2">
    <cfRule type="cellIs" priority="25" operator="between" aboveAverage="0" equalAverage="0" bottom="0" percent="0" rank="0" text="" dxfId="0">
      <formula>0</formula>
      <formula>2700</formula>
    </cfRule>
  </conditionalFormatting>
  <conditionalFormatting sqref="R3">
    <cfRule type="cellIs" priority="26" operator="between" aboveAverage="0" equalAverage="0" bottom="0" percent="0" rank="0" text="" dxfId="0">
      <formula>0</formula>
      <formula>2700</formula>
    </cfRule>
  </conditionalFormatting>
  <conditionalFormatting sqref="R4">
    <cfRule type="cellIs" priority="27" operator="between" aboveAverage="0" equalAverage="0" bottom="0" percent="0" rank="0" text="" dxfId="0">
      <formula>0</formula>
      <formula>2700</formula>
    </cfRule>
  </conditionalFormatting>
  <conditionalFormatting sqref="R5">
    <cfRule type="cellIs" priority="28" operator="between" aboveAverage="0" equalAverage="0" bottom="0" percent="0" rank="0" text="" dxfId="0">
      <formula>0</formula>
      <formula>2700</formula>
    </cfRule>
  </conditionalFormatting>
  <conditionalFormatting sqref="R6">
    <cfRule type="cellIs" priority="29" operator="between" aboveAverage="0" equalAverage="0" bottom="0" percent="0" rank="0" text="" dxfId="0">
      <formula>0</formula>
      <formula>2700</formula>
    </cfRule>
  </conditionalFormatting>
  <conditionalFormatting sqref="R7">
    <cfRule type="cellIs" priority="30" operator="between" aboveAverage="0" equalAverage="0" bottom="0" percent="0" rank="0" text="" dxfId="0">
      <formula>0</formula>
      <formula>2700</formula>
    </cfRule>
  </conditionalFormatting>
  <conditionalFormatting sqref="R8">
    <cfRule type="cellIs" priority="31" operator="between" aboveAverage="0" equalAverage="0" bottom="0" percent="0" rank="0" text="" dxfId="0">
      <formula>0</formula>
      <formula>2700</formula>
    </cfRule>
  </conditionalFormatting>
  <conditionalFormatting sqref="R9">
    <cfRule type="cellIs" priority="32" operator="between" aboveAverage="0" equalAverage="0" bottom="0" percent="0" rank="0" text="" dxfId="0">
      <formula>0</formula>
      <formula>2700</formula>
    </cfRule>
  </conditionalFormatting>
  <conditionalFormatting sqref="R10">
    <cfRule type="cellIs" priority="33" operator="between" aboveAverage="0" equalAverage="0" bottom="0" percent="0" rank="0" text="" dxfId="0">
      <formula>0</formula>
      <formula>2700</formula>
    </cfRule>
  </conditionalFormatting>
  <conditionalFormatting sqref="R11">
    <cfRule type="cellIs" priority="34" operator="between" aboveAverage="0" equalAverage="0" bottom="0" percent="0" rank="0" text="" dxfId="0">
      <formula>0</formula>
      <formula>2700</formula>
    </cfRule>
  </conditionalFormatting>
  <conditionalFormatting sqref="R12">
    <cfRule type="cellIs" priority="35" operator="between" aboveAverage="0" equalAverage="0" bottom="0" percent="0" rank="0" text="" dxfId="0">
      <formula>0</formula>
      <formula>2700</formula>
    </cfRule>
  </conditionalFormatting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25"/>
  <sheetViews>
    <sheetView showFormulas="false" showGridLines="true" showRowColHeaders="true" showZeros="true" rightToLeft="false" tabSelected="false" showOutlineSymbols="true" defaultGridColor="true" view="normal" topLeftCell="A1" colorId="64" zoomScale="84" zoomScaleNormal="84" zoomScalePageLayoutView="100" workbookViewId="0">
      <selection pane="topLeft" activeCell="B2" activeCellId="0" sqref="B2"/>
    </sheetView>
  </sheetViews>
  <sheetFormatPr defaultRowHeight="12.8" zeroHeight="false" outlineLevelRow="0" outlineLevelCol="0"/>
  <cols>
    <col collapsed="false" customWidth="true" hidden="false" outlineLevel="0" max="1" min="1" style="0" width="10.28"/>
    <col collapsed="false" customWidth="true" hidden="false" outlineLevel="0" max="2" min="2" style="0" width="14.19"/>
    <col collapsed="false" customWidth="true" hidden="false" outlineLevel="0" max="3" min="3" style="0" width="13.12"/>
    <col collapsed="false" customWidth="true" hidden="false" outlineLevel="0" max="4" min="4" style="0" width="18.12"/>
    <col collapsed="false" customWidth="true" hidden="false" outlineLevel="0" max="5" min="5" style="0" width="13.42"/>
    <col collapsed="false" customWidth="true" hidden="false" outlineLevel="0" max="6" min="6" style="0" width="14.41"/>
    <col collapsed="false" customWidth="true" hidden="false" outlineLevel="0" max="8" min="7" style="0" width="13.09"/>
    <col collapsed="false" customWidth="false" hidden="false" outlineLevel="0" max="10" min="9" style="0" width="11.52"/>
    <col collapsed="false" customWidth="true" hidden="false" outlineLevel="0" max="11" min="11" style="7" width="20.88"/>
    <col collapsed="false" customWidth="false" hidden="false" outlineLevel="0" max="12" min="12" style="0" width="11.52"/>
    <col collapsed="false" customWidth="true" hidden="false" outlineLevel="0" max="13" min="13" style="0" width="15.08"/>
    <col collapsed="false" customWidth="false" hidden="false" outlineLevel="0" max="14" min="14" style="0" width="11.52"/>
    <col collapsed="false" customWidth="true" hidden="false" outlineLevel="0" max="15" min="15" style="0" width="14.41"/>
    <col collapsed="false" customWidth="false" hidden="false" outlineLevel="0" max="1025" min="16" style="0" width="11.52"/>
  </cols>
  <sheetData>
    <row r="1" customFormat="false" ht="12.8" hidden="false" customHeight="false" outlineLevel="0" collapsed="false">
      <c r="A1" s="340" t="s">
        <v>1220</v>
      </c>
      <c r="B1" s="341" t="s">
        <v>1226</v>
      </c>
      <c r="C1" s="341" t="s">
        <v>1227</v>
      </c>
      <c r="D1" s="342" t="s">
        <v>1237</v>
      </c>
      <c r="E1" s="343" t="s">
        <v>35</v>
      </c>
      <c r="F1" s="343" t="s">
        <v>1238</v>
      </c>
      <c r="G1" s="343" t="s">
        <v>1239</v>
      </c>
      <c r="H1" s="343" t="s">
        <v>1240</v>
      </c>
      <c r="I1" s="179" t="s">
        <v>1241</v>
      </c>
      <c r="J1" s="344" t="s">
        <v>27</v>
      </c>
      <c r="K1" s="345" t="s">
        <v>1242</v>
      </c>
      <c r="L1" s="188" t="s">
        <v>1243</v>
      </c>
      <c r="M1" s="188" t="s">
        <v>1244</v>
      </c>
      <c r="N1" s="346" t="s">
        <v>1245</v>
      </c>
      <c r="O1" s="346" t="s">
        <v>1246</v>
      </c>
    </row>
    <row r="2" customFormat="false" ht="12.8" hidden="false" customHeight="false" outlineLevel="0" collapsed="false">
      <c r="A2" s="347" t="n">
        <v>43831</v>
      </c>
      <c r="B2" s="348" t="n">
        <f aca="false">planilha!H2</f>
        <v>1672.62</v>
      </c>
      <c r="C2" s="349" t="n">
        <f aca="false">planilha!I2</f>
        <v>0</v>
      </c>
      <c r="D2" s="349" t="n">
        <f aca="true">IF(AND(MONTH(NOW())&gt;MONTH(A2) , YEAR(NOW())=YEAR(A2)),C2,C2-H2)</f>
        <v>0</v>
      </c>
      <c r="E2" s="350" t="n">
        <v>5000</v>
      </c>
      <c r="F2" s="350" t="n">
        <f aca="false">SUMIFS(utilizacao!D2:D52,utilizacao!A2:A52,A2,utilizacao!F2:F52,"POU")</f>
        <v>2000</v>
      </c>
      <c r="G2" s="350" t="n">
        <f aca="false">E2-F2</f>
        <v>3000</v>
      </c>
      <c r="H2" s="350"/>
      <c r="I2" s="351" t="n">
        <v>0.5</v>
      </c>
      <c r="J2" s="351" t="n">
        <f aca="false">(G2/100*I2)+G2</f>
        <v>3015</v>
      </c>
      <c r="K2" s="352"/>
      <c r="L2" s="353" t="n">
        <v>20000</v>
      </c>
      <c r="M2" s="353" t="n">
        <f aca="false">J13-L2</f>
        <v>-5928.48245</v>
      </c>
      <c r="N2" s="354" t="n">
        <v>13000</v>
      </c>
      <c r="O2" s="354" t="n">
        <f aca="false">J13-N2</f>
        <v>1071.51755</v>
      </c>
    </row>
    <row r="3" customFormat="false" ht="12.8" hidden="false" customHeight="false" outlineLevel="0" collapsed="false">
      <c r="A3" s="347" t="n">
        <v>43862</v>
      </c>
      <c r="B3" s="348" t="n">
        <f aca="false">planilha!H3</f>
        <v>1552.73000000001</v>
      </c>
      <c r="C3" s="349" t="n">
        <f aca="false">planilha!I3</f>
        <v>0</v>
      </c>
      <c r="D3" s="349" t="n">
        <f aca="true">IF(AND(MONTH(NOW())&gt;MONTH(A3) , YEAR(NOW())=YEAR(A3)),C3,C3-H3)</f>
        <v>0</v>
      </c>
      <c r="E3" s="350" t="n">
        <f aca="false">SUMIFS(debito!$F$2:$F$1303,debito!$H$2:$H$1303,A3,debito!$A$2:$A$1303,"poupança")</f>
        <v>0</v>
      </c>
      <c r="F3" s="350" t="n">
        <f aca="false">SUMIFS(utilizacao!D3:D53,utilizacao!A3:A53,A3,utilizacao!F3:F53,"POU")</f>
        <v>0</v>
      </c>
      <c r="G3" s="350" t="n">
        <f aca="false">E3-F3+G2</f>
        <v>3000</v>
      </c>
      <c r="H3" s="350"/>
      <c r="I3" s="351" t="n">
        <v>0.5</v>
      </c>
      <c r="J3" s="351" t="n">
        <f aca="false">(G3/100*I3)+G3</f>
        <v>3015</v>
      </c>
      <c r="K3" s="352"/>
      <c r="L3" s="353"/>
      <c r="M3" s="353"/>
      <c r="N3" s="354"/>
      <c r="O3" s="354"/>
    </row>
    <row r="4" customFormat="false" ht="12.8" hidden="false" customHeight="false" outlineLevel="0" collapsed="false">
      <c r="A4" s="347" t="n">
        <v>43891</v>
      </c>
      <c r="B4" s="348" t="n">
        <f aca="false">planilha!H4</f>
        <v>1577.23000000001</v>
      </c>
      <c r="C4" s="349" t="n">
        <f aca="false">planilha!I4</f>
        <v>0</v>
      </c>
      <c r="D4" s="349" t="n">
        <f aca="true">IF(AND(MONTH(NOW())&gt;MONTH(A4) , YEAR(NOW())=YEAR(A4)),C4,C4-H4)</f>
        <v>0</v>
      </c>
      <c r="E4" s="350" t="n">
        <f aca="false">SUMIFS(debito!$F$2:$F$1303,debito!$H$2:$H$1303,A4,debito!$A$2:$A$1303,"poupança")</f>
        <v>0</v>
      </c>
      <c r="F4" s="350" t="n">
        <f aca="false">SUMIFS(utilizacao!D4:D54,utilizacao!A4:A54,A4,utilizacao!F4:F54,"POU")</f>
        <v>2000</v>
      </c>
      <c r="G4" s="350" t="n">
        <f aca="false">E4-F4+G3</f>
        <v>1000</v>
      </c>
      <c r="H4" s="350"/>
      <c r="I4" s="351" t="n">
        <v>0.5</v>
      </c>
      <c r="J4" s="351" t="n">
        <f aca="false">(G4/100*I4)+G4</f>
        <v>1005</v>
      </c>
      <c r="K4" s="352"/>
      <c r="L4" s="353"/>
      <c r="M4" s="353"/>
      <c r="N4" s="354"/>
      <c r="O4" s="354"/>
    </row>
    <row r="5" customFormat="false" ht="12.8" hidden="false" customHeight="false" outlineLevel="0" collapsed="false">
      <c r="A5" s="347" t="n">
        <v>43922</v>
      </c>
      <c r="B5" s="348" t="n">
        <f aca="false">planilha!H5</f>
        <v>8247.48000000001</v>
      </c>
      <c r="C5" s="349" t="n">
        <f aca="false">planilha!I5</f>
        <v>0</v>
      </c>
      <c r="D5" s="349" t="n">
        <f aca="true">IF(AND(MONTH(NOW())&gt;MONTH(A5) , YEAR(NOW())=YEAR(A5)),C5,C5-H5)</f>
        <v>0</v>
      </c>
      <c r="E5" s="350" t="n">
        <f aca="false">SUMIFS(debito!$F$2:$F$1303,debito!$H$2:$H$1303,A5,debito!$A$2:$A$1303,"poupança")</f>
        <v>0</v>
      </c>
      <c r="F5" s="350" t="n">
        <f aca="false">SUMIFS(utilizacao!D5:D55,utilizacao!A5:A55,A5,utilizacao!F5:F55,"POU")</f>
        <v>0</v>
      </c>
      <c r="G5" s="350" t="n">
        <f aca="false">E5-F5+G4</f>
        <v>1000</v>
      </c>
      <c r="H5" s="350"/>
      <c r="I5" s="351" t="n">
        <v>0.5</v>
      </c>
      <c r="J5" s="351" t="n">
        <f aca="false">(G5/100*I5)+G5</f>
        <v>1005</v>
      </c>
      <c r="K5" s="352"/>
      <c r="L5" s="353"/>
      <c r="M5" s="353"/>
      <c r="N5" s="354"/>
      <c r="O5" s="354"/>
    </row>
    <row r="6" customFormat="false" ht="12.8" hidden="false" customHeight="false" outlineLevel="0" collapsed="false">
      <c r="A6" s="347" t="n">
        <v>43952</v>
      </c>
      <c r="B6" s="348" t="n">
        <f aca="false">planilha!H6</f>
        <v>-38.8499999999913</v>
      </c>
      <c r="C6" s="349" t="n">
        <f aca="false">planilha!I6</f>
        <v>0</v>
      </c>
      <c r="D6" s="349" t="n">
        <f aca="true">IF(AND(MONTH(NOW())&gt;MONTH(A6) , YEAR(NOW())=YEAR(A6)),C6,C6-H6)</f>
        <v>0</v>
      </c>
      <c r="E6" s="350" t="n">
        <f aca="false">SUMIFS(debito!$F$2:$F$1303,debito!$H$2:$H$1303,A6,debito!$A$2:$A$1303,"poupança")</f>
        <v>5000</v>
      </c>
      <c r="F6" s="350" t="n">
        <f aca="false">SUMIFS(utilizacao!D6:D56,utilizacao!A6:A56,A6,utilizacao!F6:F56,"POU")</f>
        <v>0</v>
      </c>
      <c r="G6" s="350" t="n">
        <f aca="false">E6-F6+G5</f>
        <v>6000</v>
      </c>
      <c r="H6" s="350"/>
      <c r="I6" s="351" t="n">
        <v>0.5</v>
      </c>
      <c r="J6" s="351" t="n">
        <f aca="false">(G6/100*I6)+G6</f>
        <v>6030</v>
      </c>
      <c r="K6" s="352"/>
      <c r="L6" s="353"/>
      <c r="M6" s="353"/>
      <c r="N6" s="354"/>
      <c r="O6" s="354"/>
    </row>
    <row r="7" customFormat="false" ht="12.8" hidden="false" customHeight="false" outlineLevel="0" collapsed="false">
      <c r="A7" s="347" t="n">
        <v>43983</v>
      </c>
      <c r="B7" s="348" t="n">
        <f aca="false">planilha!H7</f>
        <v>2763.00000000001</v>
      </c>
      <c r="C7" s="349" t="n">
        <f aca="false">planilha!I7</f>
        <v>0</v>
      </c>
      <c r="D7" s="349" t="n">
        <f aca="true">IF(AND(MONTH(NOW())&gt;MONTH(A7) , YEAR(NOW())=YEAR(A7)),C7,C7-H7)</f>
        <v>0</v>
      </c>
      <c r="E7" s="350" t="n">
        <f aca="false">SUMIFS(debito!$F$2:$F$1303,debito!$H$2:$H$1303,A7,debito!$A$2:$A$1303,"poupança")</f>
        <v>3000</v>
      </c>
      <c r="F7" s="350" t="n">
        <f aca="false">SUMIFS(utilizacao!D7:D57,utilizacao!A7:A57,A7,utilizacao!F7:F57,"POU")</f>
        <v>5000</v>
      </c>
      <c r="G7" s="350" t="n">
        <f aca="false">E7-F7+G6</f>
        <v>4000</v>
      </c>
      <c r="H7" s="350"/>
      <c r="I7" s="351" t="n">
        <v>0.5</v>
      </c>
      <c r="J7" s="351" t="n">
        <f aca="false">(G7/100*I7)+G7</f>
        <v>4020</v>
      </c>
      <c r="K7" s="352"/>
      <c r="L7" s="353"/>
      <c r="M7" s="353"/>
      <c r="N7" s="354"/>
      <c r="O7" s="354"/>
    </row>
    <row r="8" customFormat="false" ht="12.8" hidden="false" customHeight="false" outlineLevel="0" collapsed="false">
      <c r="A8" s="347" t="n">
        <v>44013</v>
      </c>
      <c r="B8" s="348" t="n">
        <f aca="false">planilha!H8</f>
        <v>3241.95000000001</v>
      </c>
      <c r="C8" s="349" t="n">
        <f aca="false">planilha!I8</f>
        <v>0</v>
      </c>
      <c r="D8" s="349" t="n">
        <f aca="true">IF(AND(MONTH(NOW())&gt;MONTH(A8) , YEAR(NOW())=YEAR(A8)),C8,C8-H8)</f>
        <v>0</v>
      </c>
      <c r="E8" s="350" t="n">
        <f aca="false">SUMIFS(debito!$F$2:$F$1303,debito!$H$2:$H$1303,A8,debito!$A$2:$A$1303,"poupança")</f>
        <v>3000</v>
      </c>
      <c r="F8" s="350" t="n">
        <f aca="false">SUMIFS(utilizacao!D8:D58,utilizacao!A8:A58,A8,utilizacao!F8:F58,"POU")</f>
        <v>0</v>
      </c>
      <c r="G8" s="350" t="n">
        <f aca="false">E8-F8+G7</f>
        <v>7000</v>
      </c>
      <c r="H8" s="350"/>
      <c r="I8" s="351" t="n">
        <v>0.5</v>
      </c>
      <c r="J8" s="351" t="n">
        <f aca="false">(G8/100*I8)+G8</f>
        <v>7035</v>
      </c>
      <c r="K8" s="352" t="str">
        <f aca="true">IF(DATE(YEAR(A8),MONTH(A8),30)&lt;NOW(),"POUPANÇA APLICADA","AINDA NÃO APLICADA")</f>
        <v>POUPANÇA APLICADA</v>
      </c>
      <c r="L8" s="353"/>
      <c r="M8" s="353"/>
      <c r="N8" s="354"/>
      <c r="O8" s="354"/>
    </row>
    <row r="9" customFormat="false" ht="12.8" hidden="false" customHeight="false" outlineLevel="0" collapsed="false">
      <c r="A9" s="347" t="n">
        <v>44044</v>
      </c>
      <c r="B9" s="348" t="n">
        <f aca="false">planilha!H9</f>
        <v>1412.77</v>
      </c>
      <c r="C9" s="349" t="n">
        <f aca="false">planilha!I9</f>
        <v>0</v>
      </c>
      <c r="D9" s="349" t="n">
        <f aca="true">IF(AND(MONTH(NOW())&gt;MONTH(A9) , YEAR(NOW())=YEAR(A9)),C9,C9-H9)</f>
        <v>0</v>
      </c>
      <c r="E9" s="350" t="n">
        <f aca="false">SUMIFS(debito!$F$2:$F$1303,debito!$H$2:$H$1303,A9,debito!$A$2:$A$1303,"poupança")</f>
        <v>2700</v>
      </c>
      <c r="F9" s="350" t="n">
        <f aca="false">SUMIFS(utilizacao!D9:D59,utilizacao!A9:A59,A9,utilizacao!F9:F59,"POU")</f>
        <v>1000</v>
      </c>
      <c r="G9" s="350" t="n">
        <f aca="false">E9-F9+G8</f>
        <v>8700</v>
      </c>
      <c r="H9" s="350"/>
      <c r="I9" s="351" t="n">
        <v>0.5</v>
      </c>
      <c r="J9" s="351" t="n">
        <f aca="false">(G9/100*I9)+G9</f>
        <v>8743.5</v>
      </c>
      <c r="K9" s="352" t="str">
        <f aca="true">IF(DATE(YEAR(A9),MONTH(A9),30)&lt;NOW(),"POUPANÇA APLICADA","AINDA NÃO APLICADA")</f>
        <v>POUPANÇA APLICADA</v>
      </c>
      <c r="L9" s="353"/>
      <c r="M9" s="353"/>
      <c r="N9" s="354"/>
      <c r="O9" s="354"/>
    </row>
    <row r="10" customFormat="false" ht="12.8" hidden="false" customHeight="false" outlineLevel="0" collapsed="false">
      <c r="A10" s="347" t="n">
        <v>44075</v>
      </c>
      <c r="B10" s="348" t="n">
        <f aca="false">planilha!H10</f>
        <v>522.900000000003</v>
      </c>
      <c r="C10" s="349" t="n">
        <f aca="false">planilha!I10</f>
        <v>0</v>
      </c>
      <c r="D10" s="349" t="n">
        <f aca="true">IF(AND(MONTH(NOW())&gt;MONTH(A10) , YEAR(NOW())=YEAR(A10)),C10,C10-H10)</f>
        <v>0</v>
      </c>
      <c r="E10" s="350" t="n">
        <f aca="false">SUMIFS(debito!$F$2:$F$1303,debito!$H$2:$H$1303,A10,debito!$A$2:$A$1303,"poupança")</f>
        <v>2000</v>
      </c>
      <c r="F10" s="350" t="n">
        <f aca="false">SUMIFS(utilizacao!D10:D60,utilizacao!A10:A60,A10,utilizacao!F10:F60,"POU")</f>
        <v>0</v>
      </c>
      <c r="G10" s="350" t="n">
        <f aca="false">E10-F10+G9</f>
        <v>10700</v>
      </c>
      <c r="H10" s="350"/>
      <c r="I10" s="351" t="n">
        <v>0.5</v>
      </c>
      <c r="J10" s="351" t="n">
        <f aca="false">(G10/100*I10)+G10</f>
        <v>10753.5</v>
      </c>
      <c r="K10" s="352" t="str">
        <f aca="true">IF(DATE(YEAR(A10),MONTH(A10),30)&lt;NOW(),"POUPANÇA APLICADA","AINDA NÃO APLICADA")</f>
        <v>POUPANÇA APLICADA</v>
      </c>
      <c r="L10" s="353"/>
      <c r="M10" s="353"/>
      <c r="N10" s="354"/>
      <c r="O10" s="354"/>
    </row>
    <row r="11" customFormat="false" ht="12.8" hidden="false" customHeight="false" outlineLevel="0" collapsed="false">
      <c r="A11" s="347" t="n">
        <v>44105</v>
      </c>
      <c r="B11" s="348" t="n">
        <f aca="false">planilha!H11</f>
        <v>-865.869999999994</v>
      </c>
      <c r="C11" s="349" t="n">
        <f aca="false">planilha!I11</f>
        <v>0</v>
      </c>
      <c r="D11" s="349" t="n">
        <f aca="true">IF(AND(MONTH(NOW())&gt;MONTH(A11) , YEAR(NOW())=YEAR(A11)),C11,C11-H11)</f>
        <v>0</v>
      </c>
      <c r="E11" s="350" t="n">
        <f aca="false">SUMIFS(debito!$F$2:$F$1303,debito!$H$2:$H$1303,A11,debito!$A$2:$A$1303,"poupança")</f>
        <v>0</v>
      </c>
      <c r="F11" s="350" t="n">
        <f aca="false">SUMIFS(utilizacao!D11:D61,utilizacao!A11:A61,A11,utilizacao!F11:F61,"POU")</f>
        <v>2280.2</v>
      </c>
      <c r="G11" s="350" t="n">
        <f aca="false">E11-F11+G10</f>
        <v>8419.8</v>
      </c>
      <c r="H11" s="350"/>
      <c r="I11" s="351" t="n">
        <v>0.5</v>
      </c>
      <c r="J11" s="351" t="n">
        <f aca="false">(G11/100*I11)+G11</f>
        <v>8461.899</v>
      </c>
      <c r="K11" s="352" t="s">
        <v>1247</v>
      </c>
      <c r="L11" s="353"/>
      <c r="M11" s="353"/>
      <c r="N11" s="354"/>
      <c r="O11" s="354"/>
    </row>
    <row r="12" customFormat="false" ht="12.8" hidden="false" customHeight="false" outlineLevel="0" collapsed="false">
      <c r="A12" s="347" t="n">
        <v>44136</v>
      </c>
      <c r="B12" s="348" t="n">
        <f aca="false">planilha!H12</f>
        <v>1216.13000000001</v>
      </c>
      <c r="C12" s="349" t="n">
        <f aca="false">planilha!I12</f>
        <v>0</v>
      </c>
      <c r="D12" s="349" t="n">
        <f aca="true">IF(AND(MONTH(NOW())&gt;MONTH(A12) , YEAR(NOW())=YEAR(A12)),C12,C12-H12)</f>
        <v>0</v>
      </c>
      <c r="E12" s="350" t="n">
        <f aca="false">SUMIFS(debito!$F$2:$F$1303,debito!$H$2:$H$1303,A12,debito!$A$2:$A$1303,"poupança")</f>
        <v>1000</v>
      </c>
      <c r="F12" s="350" t="n">
        <f aca="false">SUMIFS(utilizacao!D12:D62,utilizacao!A12:A62,A12,utilizacao!F12:F62,"POU")</f>
        <v>0</v>
      </c>
      <c r="G12" s="350" t="n">
        <f aca="false">E12-F12+G11</f>
        <v>9419.8</v>
      </c>
      <c r="H12" s="350"/>
      <c r="I12" s="351" t="n">
        <v>0.5</v>
      </c>
      <c r="J12" s="351" t="n">
        <f aca="false">(G12/100*I12)+G12</f>
        <v>9466.899</v>
      </c>
      <c r="K12" s="352" t="str">
        <f aca="true">IF(DATE(YEAR(A12),MONTH(A12),30)&lt;NOW(),"POUPANÇA APLICADA","AINDA NÃO APLICADA")</f>
        <v>POUPANÇA APLICADA</v>
      </c>
      <c r="L12" s="353"/>
      <c r="M12" s="353"/>
      <c r="N12" s="354"/>
      <c r="O12" s="354"/>
    </row>
    <row r="13" customFormat="false" ht="12.8" hidden="false" customHeight="false" outlineLevel="0" collapsed="false">
      <c r="A13" s="355" t="n">
        <v>44166</v>
      </c>
      <c r="B13" s="356" t="n">
        <f aca="false">planilha!H13</f>
        <v>-1233.47999999999</v>
      </c>
      <c r="C13" s="357" t="n">
        <f aca="false">planilha!I13</f>
        <v>-1403.47999999999</v>
      </c>
      <c r="D13" s="357" t="n">
        <f aca="true">IF(AND(MONTH(NOW())&gt;MONTH(A13) , YEAR(NOW())=YEAR(A13)),C13,C13-H13)</f>
        <v>-1403.47999999999</v>
      </c>
      <c r="E13" s="350" t="n">
        <f aca="false">SUMIFS(debito!$F$2:$F$1303,debito!$H$2:$H$1303,A13,debito!$A$2:$A$1303,"poupança")</f>
        <v>7000</v>
      </c>
      <c r="F13" s="350" t="n">
        <f aca="false">SUMIFS(utilizacao!D13:D63,utilizacao!A13:A63,A13,utilizacao!F13:F63,"POU")</f>
        <v>3148.16</v>
      </c>
      <c r="G13" s="350" t="n">
        <v>14001.51</v>
      </c>
      <c r="H13" s="358"/>
      <c r="I13" s="351" t="n">
        <v>0.5</v>
      </c>
      <c r="J13" s="351" t="n">
        <f aca="false">(G13/100*I13)+G13</f>
        <v>14071.51755</v>
      </c>
      <c r="K13" s="359" t="str">
        <f aca="true">IF(DATE(YEAR(A13),MONTH(A13),30)&lt;NOW(),"POUPANÇA APLICADA","AINDA NÃO APLICADA")</f>
        <v>POUPANÇA APLICADA</v>
      </c>
      <c r="L13" s="353"/>
      <c r="M13" s="353"/>
      <c r="N13" s="354"/>
      <c r="O13" s="354"/>
    </row>
    <row r="16" customFormat="false" ht="12.8" hidden="false" customHeight="false" outlineLevel="0" collapsed="false">
      <c r="G16" s="252" t="n">
        <v>43677</v>
      </c>
      <c r="H16" s="0" t="n">
        <v>3000</v>
      </c>
    </row>
    <row r="17" customFormat="false" ht="12.8" hidden="false" customHeight="false" outlineLevel="0" collapsed="false">
      <c r="G17" s="252" t="n">
        <v>43739</v>
      </c>
      <c r="H17" s="0" t="n">
        <v>1000</v>
      </c>
    </row>
    <row r="18" customFormat="false" ht="12.8" hidden="false" customHeight="false" outlineLevel="0" collapsed="false">
      <c r="G18" s="252" t="n">
        <v>43829</v>
      </c>
      <c r="H18" s="0" t="n">
        <v>1000</v>
      </c>
    </row>
    <row r="19" customFormat="false" ht="12.8" hidden="false" customHeight="false" outlineLevel="0" collapsed="false">
      <c r="G19" s="252" t="n">
        <v>43955</v>
      </c>
      <c r="H19" s="0" t="n">
        <v>5000</v>
      </c>
    </row>
    <row r="20" customFormat="false" ht="12.8" hidden="false" customHeight="false" outlineLevel="0" collapsed="false">
      <c r="G20" s="252" t="n">
        <v>44012</v>
      </c>
      <c r="H20" s="0" t="n">
        <v>3000</v>
      </c>
    </row>
    <row r="21" customFormat="false" ht="12.8" hidden="false" customHeight="false" outlineLevel="0" collapsed="false">
      <c r="G21" s="252" t="n">
        <v>44043</v>
      </c>
      <c r="H21" s="0" t="n">
        <v>3000</v>
      </c>
    </row>
    <row r="22" customFormat="false" ht="12.8" hidden="false" customHeight="false" outlineLevel="0" collapsed="false">
      <c r="G22" s="252" t="n">
        <v>44074</v>
      </c>
      <c r="H22" s="0" t="n">
        <v>2700</v>
      </c>
    </row>
    <row r="23" customFormat="false" ht="12.8" hidden="false" customHeight="false" outlineLevel="0" collapsed="false">
      <c r="G23" s="252" t="n">
        <v>44104</v>
      </c>
      <c r="H23" s="0" t="n">
        <v>2000</v>
      </c>
    </row>
    <row r="24" customFormat="false" ht="12.8" hidden="false" customHeight="false" outlineLevel="0" collapsed="false">
      <c r="G24" s="252" t="n">
        <v>44165</v>
      </c>
      <c r="H24" s="0" t="n">
        <v>1000</v>
      </c>
    </row>
    <row r="25" customFormat="false" ht="12.8" hidden="false" customHeight="false" outlineLevel="0" collapsed="false">
      <c r="G25" s="252" t="n">
        <v>44183</v>
      </c>
      <c r="H25" s="0" t="n">
        <v>7000</v>
      </c>
    </row>
  </sheetData>
  <mergeCells count="4">
    <mergeCell ref="L2:L13"/>
    <mergeCell ref="M2:M13"/>
    <mergeCell ref="N2:N13"/>
    <mergeCell ref="O2:O13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262"/>
  <sheetViews>
    <sheetView showFormulas="false" showGridLines="true" showRowColHeaders="true" showZeros="true" rightToLeft="false" tabSelected="false" showOutlineSymbols="true" defaultGridColor="true" view="normal" topLeftCell="A1243" colorId="64" zoomScale="84" zoomScaleNormal="84" zoomScalePageLayoutView="100" workbookViewId="0">
      <selection pane="topLeft" activeCell="B2" activeCellId="0" sqref="B2"/>
    </sheetView>
  </sheetViews>
  <sheetFormatPr defaultRowHeight="12.8" zeroHeight="false" outlineLevelRow="0" outlineLevelCol="0"/>
  <cols>
    <col collapsed="false" customWidth="true" hidden="false" outlineLevel="0" max="1" min="1" style="360" width="33.39"/>
    <col collapsed="false" customWidth="true" hidden="false" outlineLevel="0" max="2" min="2" style="0" width="35.33"/>
    <col collapsed="false" customWidth="true" hidden="false" outlineLevel="0" max="3" min="3" style="0" width="33.39"/>
    <col collapsed="false" customWidth="true" hidden="false" outlineLevel="0" max="4" min="4" style="0" width="9.63"/>
    <col collapsed="false" customWidth="true" hidden="false" outlineLevel="0" max="5" min="5" style="0" width="35.33"/>
    <col collapsed="false" customWidth="true" hidden="false" outlineLevel="0" max="6" min="6" style="360" width="35.33"/>
    <col collapsed="false" customWidth="true" hidden="false" outlineLevel="0" max="7" min="7" style="360" width="33.39"/>
    <col collapsed="false" customWidth="true" hidden="false" outlineLevel="0" max="8" min="8" style="0" width="33.39"/>
    <col collapsed="false" customWidth="false" hidden="false" outlineLevel="0" max="10" min="9" style="0" width="11.52"/>
    <col collapsed="false" customWidth="true" hidden="false" outlineLevel="0" max="11" min="11" style="0" width="13.63"/>
    <col collapsed="false" customWidth="true" hidden="false" outlineLevel="0" max="12" min="12" style="0" width="26.86"/>
    <col collapsed="false" customWidth="false" hidden="false" outlineLevel="0" max="1025" min="13" style="0" width="11.52"/>
  </cols>
  <sheetData>
    <row r="1" customFormat="false" ht="15" hidden="false" customHeight="false" outlineLevel="0" collapsed="false">
      <c r="A1" s="361" t="s">
        <v>1248</v>
      </c>
      <c r="B1" s="53" t="s">
        <v>7</v>
      </c>
      <c r="C1" s="362"/>
      <c r="D1" s="363"/>
      <c r="E1" s="364"/>
      <c r="F1" s="364"/>
      <c r="G1" s="364"/>
      <c r="H1" s="364"/>
      <c r="K1" s="365"/>
      <c r="L1" s="365"/>
      <c r="M1" s="365"/>
      <c r="N1" s="366"/>
    </row>
    <row r="2" customFormat="false" ht="15" hidden="false" customHeight="false" outlineLevel="0" collapsed="false">
      <c r="A2" s="367" t="s">
        <v>58</v>
      </c>
      <c r="B2" s="59" t="s">
        <v>29</v>
      </c>
      <c r="C2" s="362"/>
      <c r="D2" s="363"/>
      <c r="E2" s="364"/>
      <c r="F2" s="364"/>
      <c r="G2" s="364"/>
      <c r="H2" s="364"/>
      <c r="K2" s="365"/>
      <c r="L2" s="365"/>
      <c r="M2" s="365"/>
      <c r="N2" s="366"/>
    </row>
    <row r="3" customFormat="false" ht="15" hidden="false" customHeight="false" outlineLevel="0" collapsed="false">
      <c r="A3" s="367" t="s">
        <v>60</v>
      </c>
      <c r="B3" s="59" t="s">
        <v>59</v>
      </c>
      <c r="C3" s="362"/>
      <c r="D3" s="363"/>
      <c r="E3" s="362"/>
      <c r="F3" s="362"/>
      <c r="G3" s="362"/>
      <c r="H3" s="362"/>
      <c r="I3" s="252"/>
      <c r="K3" s="368"/>
      <c r="L3" s="369"/>
      <c r="M3" s="369"/>
      <c r="N3" s="370"/>
    </row>
    <row r="4" customFormat="false" ht="15" hidden="false" customHeight="false" outlineLevel="0" collapsed="false">
      <c r="A4" s="367" t="s">
        <v>63</v>
      </c>
      <c r="B4" s="59" t="s">
        <v>62</v>
      </c>
      <c r="C4" s="362"/>
      <c r="D4" s="363"/>
      <c r="E4" s="362"/>
      <c r="F4" s="362"/>
      <c r="G4" s="362"/>
      <c r="H4" s="362"/>
      <c r="I4" s="252"/>
      <c r="K4" s="368"/>
      <c r="L4" s="369"/>
      <c r="M4" s="369"/>
      <c r="N4" s="370"/>
    </row>
    <row r="5" customFormat="false" ht="15" hidden="false" customHeight="false" outlineLevel="0" collapsed="false">
      <c r="A5" s="367" t="s">
        <v>66</v>
      </c>
      <c r="B5" s="59" t="s">
        <v>65</v>
      </c>
      <c r="C5" s="362"/>
      <c r="D5" s="363"/>
      <c r="E5" s="362"/>
      <c r="F5" s="362"/>
      <c r="G5" s="362"/>
      <c r="H5" s="362"/>
      <c r="I5" s="252"/>
      <c r="K5" s="368"/>
      <c r="L5" s="369"/>
      <c r="M5" s="369"/>
      <c r="N5" s="370"/>
    </row>
    <row r="6" customFormat="false" ht="15" hidden="false" customHeight="false" outlineLevel="0" collapsed="false">
      <c r="A6" s="367" t="s">
        <v>68</v>
      </c>
      <c r="B6" s="59" t="s">
        <v>67</v>
      </c>
      <c r="C6" s="362"/>
      <c r="D6" s="363"/>
      <c r="E6" s="362"/>
      <c r="F6" s="362"/>
      <c r="G6" s="362"/>
      <c r="H6" s="362"/>
      <c r="I6" s="252"/>
      <c r="K6" s="368"/>
      <c r="L6" s="369"/>
      <c r="M6" s="369"/>
      <c r="N6" s="370"/>
    </row>
    <row r="7" customFormat="false" ht="15" hidden="false" customHeight="false" outlineLevel="0" collapsed="false">
      <c r="A7" s="367" t="s">
        <v>69</v>
      </c>
      <c r="B7" s="59" t="s">
        <v>67</v>
      </c>
      <c r="C7" s="362"/>
      <c r="D7" s="363"/>
      <c r="E7" s="362"/>
      <c r="F7" s="362"/>
      <c r="G7" s="362"/>
      <c r="H7" s="362"/>
      <c r="I7" s="252"/>
      <c r="K7" s="368"/>
      <c r="L7" s="369"/>
      <c r="M7" s="369"/>
      <c r="N7" s="370"/>
    </row>
    <row r="8" customFormat="false" ht="15" hidden="false" customHeight="false" outlineLevel="0" collapsed="false">
      <c r="A8" s="367" t="s">
        <v>70</v>
      </c>
      <c r="B8" s="59" t="s">
        <v>29</v>
      </c>
      <c r="C8" s="362"/>
      <c r="D8" s="363"/>
      <c r="E8" s="364"/>
      <c r="F8" s="362"/>
      <c r="G8" s="362"/>
      <c r="H8" s="362"/>
      <c r="I8" s="252"/>
      <c r="K8" s="368"/>
      <c r="L8" s="369"/>
      <c r="M8" s="369"/>
      <c r="N8" s="370"/>
    </row>
    <row r="9" customFormat="false" ht="15" hidden="false" customHeight="false" outlineLevel="0" collapsed="false">
      <c r="A9" s="367" t="s">
        <v>73</v>
      </c>
      <c r="B9" s="59" t="s">
        <v>71</v>
      </c>
      <c r="C9" s="362"/>
      <c r="D9" s="363"/>
      <c r="E9" s="362"/>
      <c r="F9" s="362"/>
      <c r="G9" s="362"/>
      <c r="H9" s="362"/>
      <c r="I9" s="252"/>
      <c r="K9" s="368"/>
      <c r="L9" s="369"/>
      <c r="M9" s="369"/>
      <c r="N9" s="370"/>
    </row>
    <row r="10" customFormat="false" ht="15" hidden="false" customHeight="false" outlineLevel="0" collapsed="false">
      <c r="A10" s="367" t="s">
        <v>75</v>
      </c>
      <c r="B10" s="59" t="s">
        <v>74</v>
      </c>
      <c r="C10" s="362"/>
      <c r="D10" s="363"/>
      <c r="E10" s="362"/>
      <c r="F10" s="362"/>
      <c r="G10" s="362"/>
      <c r="H10" s="362"/>
      <c r="I10" s="252"/>
      <c r="K10" s="368"/>
      <c r="L10" s="369"/>
      <c r="M10" s="369"/>
      <c r="N10" s="370"/>
    </row>
    <row r="11" customFormat="false" ht="15" hidden="false" customHeight="false" outlineLevel="0" collapsed="false">
      <c r="A11" s="367" t="s">
        <v>75</v>
      </c>
      <c r="B11" s="59" t="s">
        <v>74</v>
      </c>
      <c r="C11" s="362"/>
      <c r="D11" s="363"/>
      <c r="E11" s="362"/>
      <c r="F11" s="362"/>
      <c r="G11" s="362"/>
      <c r="H11" s="362"/>
      <c r="I11" s="252"/>
      <c r="K11" s="368"/>
      <c r="L11" s="369"/>
      <c r="M11" s="369"/>
      <c r="N11" s="370"/>
    </row>
    <row r="12" customFormat="false" ht="15" hidden="false" customHeight="false" outlineLevel="0" collapsed="false">
      <c r="A12" s="367" t="s">
        <v>77</v>
      </c>
      <c r="B12" s="59" t="s">
        <v>76</v>
      </c>
      <c r="C12" s="362"/>
      <c r="D12" s="363"/>
      <c r="E12" s="362"/>
      <c r="F12" s="362"/>
      <c r="G12" s="362"/>
      <c r="H12" s="362"/>
      <c r="I12" s="252"/>
      <c r="K12" s="368"/>
      <c r="L12" s="369"/>
      <c r="M12" s="369"/>
      <c r="N12" s="370"/>
    </row>
    <row r="13" customFormat="false" ht="15" hidden="false" customHeight="false" outlineLevel="0" collapsed="false">
      <c r="A13" s="367" t="s">
        <v>78</v>
      </c>
      <c r="B13" s="59" t="s">
        <v>65</v>
      </c>
      <c r="C13" s="362"/>
      <c r="D13" s="363"/>
      <c r="E13" s="362"/>
      <c r="F13" s="362"/>
      <c r="G13" s="362"/>
      <c r="H13" s="362"/>
      <c r="I13" s="252"/>
      <c r="K13" s="368"/>
      <c r="L13" s="369"/>
      <c r="M13" s="369"/>
      <c r="N13" s="370"/>
    </row>
    <row r="14" customFormat="false" ht="15" hidden="false" customHeight="false" outlineLevel="0" collapsed="false">
      <c r="A14" s="367" t="s">
        <v>79</v>
      </c>
      <c r="B14" s="59" t="s">
        <v>76</v>
      </c>
      <c r="C14" s="362"/>
      <c r="D14" s="363"/>
      <c r="E14" s="362"/>
      <c r="F14" s="362"/>
      <c r="G14" s="362"/>
      <c r="H14" s="362"/>
      <c r="I14" s="252"/>
      <c r="K14" s="368"/>
      <c r="L14" s="369"/>
      <c r="M14" s="369"/>
      <c r="N14" s="370"/>
    </row>
    <row r="15" customFormat="false" ht="15" hidden="false" customHeight="false" outlineLevel="0" collapsed="false">
      <c r="A15" s="367" t="s">
        <v>80</v>
      </c>
      <c r="B15" s="59" t="s">
        <v>65</v>
      </c>
      <c r="C15" s="362"/>
      <c r="D15" s="363"/>
      <c r="E15" s="362"/>
      <c r="F15" s="362"/>
      <c r="G15" s="362"/>
      <c r="H15" s="362"/>
      <c r="I15" s="252"/>
      <c r="K15" s="368"/>
      <c r="L15" s="369"/>
      <c r="M15" s="369"/>
      <c r="N15" s="370"/>
    </row>
    <row r="16" customFormat="false" ht="15" hidden="false" customHeight="false" outlineLevel="0" collapsed="false">
      <c r="A16" s="367" t="s">
        <v>81</v>
      </c>
      <c r="B16" s="59" t="s">
        <v>67</v>
      </c>
      <c r="C16" s="362"/>
      <c r="D16" s="363"/>
      <c r="E16" s="362"/>
      <c r="F16" s="362"/>
      <c r="G16" s="362"/>
      <c r="H16" s="362"/>
      <c r="I16" s="252"/>
      <c r="K16" s="368"/>
      <c r="L16" s="369"/>
      <c r="M16" s="369"/>
      <c r="N16" s="370"/>
    </row>
    <row r="17" customFormat="false" ht="15" hidden="false" customHeight="false" outlineLevel="0" collapsed="false">
      <c r="A17" s="367" t="s">
        <v>69</v>
      </c>
      <c r="B17" s="59" t="s">
        <v>67</v>
      </c>
      <c r="C17" s="362"/>
      <c r="D17" s="363"/>
      <c r="E17" s="362"/>
      <c r="F17" s="362"/>
      <c r="G17" s="362"/>
      <c r="H17" s="362"/>
      <c r="I17" s="252"/>
      <c r="K17" s="368"/>
      <c r="L17" s="369"/>
      <c r="M17" s="369"/>
      <c r="N17" s="370"/>
    </row>
    <row r="18" customFormat="false" ht="15" hidden="false" customHeight="false" outlineLevel="0" collapsed="false">
      <c r="A18" s="367" t="s">
        <v>70</v>
      </c>
      <c r="B18" s="59" t="s">
        <v>29</v>
      </c>
      <c r="C18" s="362"/>
      <c r="D18" s="363"/>
      <c r="E18" s="362"/>
      <c r="F18" s="362"/>
      <c r="G18" s="362"/>
      <c r="H18" s="362"/>
      <c r="I18" s="252"/>
      <c r="K18" s="368"/>
      <c r="L18" s="369"/>
      <c r="M18" s="369"/>
      <c r="N18" s="370"/>
    </row>
    <row r="19" customFormat="false" ht="15" hidden="false" customHeight="false" outlineLevel="0" collapsed="false">
      <c r="A19" s="367" t="s">
        <v>84</v>
      </c>
      <c r="B19" s="59" t="s">
        <v>59</v>
      </c>
      <c r="C19" s="362"/>
      <c r="D19" s="363"/>
      <c r="E19" s="362"/>
      <c r="F19" s="362"/>
      <c r="G19" s="362"/>
      <c r="H19" s="362"/>
      <c r="I19" s="252"/>
      <c r="K19" s="368"/>
      <c r="L19" s="369"/>
      <c r="M19" s="369"/>
      <c r="N19" s="370"/>
    </row>
    <row r="20" customFormat="false" ht="15" hidden="false" customHeight="false" outlineLevel="0" collapsed="false">
      <c r="A20" s="367" t="s">
        <v>85</v>
      </c>
      <c r="B20" s="59" t="s">
        <v>71</v>
      </c>
      <c r="C20" s="362"/>
      <c r="D20" s="363"/>
      <c r="E20" s="362"/>
      <c r="F20" s="362"/>
      <c r="G20" s="362"/>
      <c r="H20" s="362"/>
      <c r="I20" s="252"/>
      <c r="K20" s="368"/>
      <c r="L20" s="369"/>
      <c r="M20" s="369"/>
      <c r="N20" s="370"/>
    </row>
    <row r="21" customFormat="false" ht="15" hidden="false" customHeight="false" outlineLevel="0" collapsed="false">
      <c r="A21" s="367" t="s">
        <v>86</v>
      </c>
      <c r="B21" s="59" t="s">
        <v>65</v>
      </c>
      <c r="C21" s="362"/>
      <c r="D21" s="363"/>
      <c r="E21" s="362"/>
      <c r="F21" s="362"/>
      <c r="G21" s="362"/>
      <c r="H21" s="362"/>
      <c r="I21" s="252"/>
      <c r="K21" s="368"/>
      <c r="L21" s="369"/>
      <c r="M21" s="369"/>
      <c r="N21" s="370"/>
    </row>
    <row r="22" customFormat="false" ht="15" hidden="false" customHeight="false" outlineLevel="0" collapsed="false">
      <c r="A22" s="367" t="s">
        <v>88</v>
      </c>
      <c r="B22" s="59" t="s">
        <v>87</v>
      </c>
      <c r="C22" s="362"/>
      <c r="D22" s="363"/>
      <c r="E22" s="362"/>
      <c r="F22" s="362"/>
      <c r="G22" s="362"/>
      <c r="H22" s="362"/>
      <c r="I22" s="252"/>
      <c r="K22" s="368"/>
      <c r="L22" s="369"/>
      <c r="M22" s="369"/>
      <c r="N22" s="370"/>
    </row>
    <row r="23" customFormat="false" ht="15" hidden="false" customHeight="false" outlineLevel="0" collapsed="false">
      <c r="A23" s="367" t="s">
        <v>89</v>
      </c>
      <c r="B23" s="59" t="s">
        <v>65</v>
      </c>
      <c r="C23" s="362"/>
      <c r="D23" s="363"/>
      <c r="E23" s="362"/>
      <c r="F23" s="362"/>
      <c r="G23" s="362"/>
      <c r="H23" s="362"/>
      <c r="I23" s="252"/>
      <c r="K23" s="368"/>
      <c r="L23" s="369"/>
      <c r="M23" s="369"/>
      <c r="N23" s="370"/>
    </row>
    <row r="24" customFormat="false" ht="15" hidden="false" customHeight="false" outlineLevel="0" collapsed="false">
      <c r="A24" s="367" t="s">
        <v>89</v>
      </c>
      <c r="B24" s="68" t="s">
        <v>65</v>
      </c>
      <c r="C24" s="362"/>
      <c r="D24" s="363"/>
      <c r="E24" s="362"/>
      <c r="F24" s="362"/>
      <c r="G24" s="362"/>
      <c r="H24" s="362"/>
      <c r="I24" s="252"/>
      <c r="K24" s="368"/>
      <c r="L24" s="369"/>
      <c r="M24" s="369"/>
      <c r="N24" s="370"/>
    </row>
    <row r="25" customFormat="false" ht="15" hidden="false" customHeight="false" outlineLevel="0" collapsed="false">
      <c r="A25" s="367" t="s">
        <v>90</v>
      </c>
      <c r="B25" s="59" t="s">
        <v>65</v>
      </c>
      <c r="C25" s="362"/>
      <c r="D25" s="363"/>
      <c r="E25" s="362"/>
      <c r="F25" s="362"/>
      <c r="G25" s="362"/>
      <c r="H25" s="362"/>
      <c r="I25" s="252"/>
      <c r="K25" s="368"/>
      <c r="L25" s="369"/>
      <c r="M25" s="369"/>
      <c r="N25" s="370"/>
    </row>
    <row r="26" customFormat="false" ht="15" hidden="false" customHeight="false" outlineLevel="0" collapsed="false">
      <c r="A26" s="367" t="s">
        <v>91</v>
      </c>
      <c r="B26" s="59" t="s">
        <v>87</v>
      </c>
      <c r="C26" s="362"/>
      <c r="D26" s="363"/>
      <c r="E26" s="362"/>
      <c r="F26" s="362"/>
      <c r="G26" s="362"/>
      <c r="H26" s="362"/>
      <c r="I26" s="252"/>
      <c r="K26" s="368"/>
      <c r="L26" s="369"/>
      <c r="M26" s="369"/>
      <c r="N26" s="370"/>
    </row>
    <row r="27" customFormat="false" ht="15" hidden="false" customHeight="false" outlineLevel="0" collapsed="false">
      <c r="A27" s="367" t="s">
        <v>92</v>
      </c>
      <c r="B27" s="59" t="s">
        <v>76</v>
      </c>
      <c r="C27" s="362"/>
      <c r="D27" s="363"/>
      <c r="E27" s="362"/>
      <c r="F27" s="362"/>
      <c r="G27" s="362"/>
      <c r="H27" s="362"/>
      <c r="I27" s="252"/>
      <c r="K27" s="368"/>
      <c r="L27" s="369"/>
      <c r="M27" s="369"/>
      <c r="N27" s="370"/>
    </row>
    <row r="28" customFormat="false" ht="15" hidden="false" customHeight="false" outlineLevel="0" collapsed="false">
      <c r="A28" s="367" t="s">
        <v>93</v>
      </c>
      <c r="B28" s="59" t="s">
        <v>65</v>
      </c>
      <c r="C28" s="362"/>
      <c r="D28" s="363"/>
      <c r="E28" s="362"/>
      <c r="F28" s="362"/>
      <c r="G28" s="362"/>
      <c r="H28" s="362"/>
      <c r="I28" s="252"/>
      <c r="K28" s="368"/>
      <c r="L28" s="369"/>
      <c r="M28" s="369"/>
      <c r="N28" s="370"/>
    </row>
    <row r="29" customFormat="false" ht="15" hidden="false" customHeight="false" outlineLevel="0" collapsed="false">
      <c r="A29" s="367" t="s">
        <v>94</v>
      </c>
      <c r="B29" s="59" t="s">
        <v>65</v>
      </c>
      <c r="C29" s="362"/>
      <c r="D29" s="363"/>
      <c r="E29" s="362"/>
      <c r="F29" s="362"/>
      <c r="G29" s="362"/>
      <c r="H29" s="362"/>
      <c r="I29" s="252"/>
      <c r="K29" s="368"/>
      <c r="L29" s="369"/>
      <c r="M29" s="369"/>
      <c r="N29" s="370"/>
    </row>
    <row r="30" customFormat="false" ht="15" hidden="false" customHeight="false" outlineLevel="0" collapsed="false">
      <c r="A30" s="367" t="s">
        <v>95</v>
      </c>
      <c r="B30" s="59" t="s">
        <v>65</v>
      </c>
      <c r="C30" s="362"/>
      <c r="D30" s="363"/>
      <c r="E30" s="362"/>
      <c r="F30" s="362"/>
      <c r="G30" s="362"/>
      <c r="H30" s="362"/>
      <c r="I30" s="252"/>
      <c r="K30" s="368"/>
      <c r="L30" s="369"/>
      <c r="M30" s="369"/>
      <c r="N30" s="370"/>
    </row>
    <row r="31" customFormat="false" ht="15" hidden="false" customHeight="false" outlineLevel="0" collapsed="false">
      <c r="A31" s="367" t="s">
        <v>63</v>
      </c>
      <c r="B31" s="59" t="s">
        <v>62</v>
      </c>
      <c r="C31" s="362"/>
      <c r="D31" s="363"/>
      <c r="E31" s="362"/>
      <c r="F31" s="362"/>
      <c r="G31" s="362"/>
      <c r="H31" s="362"/>
      <c r="I31" s="252"/>
      <c r="K31" s="368"/>
      <c r="L31" s="369"/>
      <c r="M31" s="369"/>
      <c r="N31" s="370"/>
    </row>
    <row r="32" customFormat="false" ht="15" hidden="false" customHeight="false" outlineLevel="0" collapsed="false">
      <c r="A32" s="367" t="s">
        <v>96</v>
      </c>
      <c r="B32" s="59" t="s">
        <v>65</v>
      </c>
      <c r="C32" s="362"/>
      <c r="D32" s="363"/>
      <c r="E32" s="362"/>
      <c r="F32" s="362"/>
      <c r="G32" s="362"/>
      <c r="H32" s="362"/>
      <c r="I32" s="252"/>
      <c r="K32" s="368"/>
      <c r="L32" s="369"/>
      <c r="M32" s="369"/>
      <c r="N32" s="370"/>
    </row>
    <row r="33" customFormat="false" ht="15" hidden="false" customHeight="false" outlineLevel="0" collapsed="false">
      <c r="A33" s="367" t="s">
        <v>97</v>
      </c>
      <c r="B33" s="59" t="s">
        <v>65</v>
      </c>
      <c r="C33" s="362"/>
      <c r="D33" s="363"/>
      <c r="E33" s="362"/>
      <c r="F33" s="362"/>
      <c r="G33" s="362"/>
      <c r="H33" s="362"/>
      <c r="I33" s="252"/>
      <c r="K33" s="368"/>
      <c r="L33" s="369"/>
      <c r="M33" s="369"/>
      <c r="N33" s="370"/>
    </row>
    <row r="34" customFormat="false" ht="15" hidden="false" customHeight="false" outlineLevel="0" collapsed="false">
      <c r="A34" s="367" t="s">
        <v>99</v>
      </c>
      <c r="B34" s="59" t="s">
        <v>98</v>
      </c>
      <c r="C34" s="362"/>
      <c r="D34" s="363"/>
      <c r="E34" s="362"/>
      <c r="F34" s="362"/>
      <c r="G34" s="362"/>
      <c r="H34" s="362"/>
      <c r="I34" s="252"/>
      <c r="K34" s="368"/>
      <c r="L34" s="369"/>
      <c r="M34" s="369"/>
      <c r="N34" s="370"/>
    </row>
    <row r="35" customFormat="false" ht="15" hidden="false" customHeight="false" outlineLevel="0" collapsed="false">
      <c r="A35" s="367" t="s">
        <v>100</v>
      </c>
      <c r="B35" s="59" t="s">
        <v>65</v>
      </c>
      <c r="C35" s="362"/>
      <c r="D35" s="363"/>
      <c r="E35" s="362"/>
      <c r="F35" s="362"/>
      <c r="G35" s="362"/>
      <c r="H35" s="362"/>
      <c r="I35" s="252"/>
      <c r="K35" s="368"/>
      <c r="L35" s="369"/>
      <c r="M35" s="369"/>
      <c r="N35" s="370"/>
    </row>
    <row r="36" customFormat="false" ht="15" hidden="false" customHeight="false" outlineLevel="0" collapsed="false">
      <c r="A36" s="367" t="s">
        <v>101</v>
      </c>
      <c r="B36" s="59" t="s">
        <v>65</v>
      </c>
      <c r="C36" s="362"/>
      <c r="D36" s="363"/>
      <c r="E36" s="362"/>
      <c r="F36" s="362"/>
      <c r="G36" s="362"/>
      <c r="H36" s="362"/>
      <c r="I36" s="252"/>
      <c r="K36" s="368"/>
      <c r="L36" s="369"/>
      <c r="M36" s="369"/>
      <c r="N36" s="370"/>
    </row>
    <row r="37" customFormat="false" ht="15" hidden="false" customHeight="false" outlineLevel="0" collapsed="false">
      <c r="A37" s="367" t="s">
        <v>69</v>
      </c>
      <c r="B37" s="59" t="s">
        <v>67</v>
      </c>
      <c r="C37" s="362"/>
      <c r="D37" s="363"/>
      <c r="E37" s="362"/>
      <c r="F37" s="362"/>
      <c r="G37" s="362"/>
      <c r="H37" s="362"/>
      <c r="I37" s="252"/>
      <c r="K37" s="368"/>
      <c r="L37" s="369"/>
      <c r="M37" s="369"/>
      <c r="N37" s="370"/>
    </row>
    <row r="38" customFormat="false" ht="15" hidden="false" customHeight="false" outlineLevel="0" collapsed="false">
      <c r="A38" s="367" t="s">
        <v>70</v>
      </c>
      <c r="B38" s="59" t="s">
        <v>29</v>
      </c>
      <c r="C38" s="363"/>
      <c r="D38" s="363"/>
      <c r="E38" s="362"/>
      <c r="F38" s="362"/>
      <c r="G38" s="362"/>
      <c r="H38" s="362"/>
      <c r="I38" s="252"/>
      <c r="K38" s="368"/>
      <c r="L38" s="369"/>
      <c r="M38" s="369"/>
      <c r="N38" s="370"/>
    </row>
    <row r="39" customFormat="false" ht="15" hidden="false" customHeight="false" outlineLevel="0" collapsed="false">
      <c r="A39" s="367" t="s">
        <v>102</v>
      </c>
      <c r="B39" s="69" t="s">
        <v>76</v>
      </c>
      <c r="C39" s="362"/>
      <c r="D39" s="363"/>
      <c r="E39" s="362"/>
      <c r="F39" s="362"/>
      <c r="G39" s="362"/>
      <c r="H39" s="363"/>
      <c r="I39" s="252"/>
      <c r="K39" s="368"/>
      <c r="L39" s="369"/>
      <c r="M39" s="369"/>
      <c r="N39" s="370"/>
    </row>
    <row r="40" customFormat="false" ht="15" hidden="false" customHeight="false" outlineLevel="0" collapsed="false">
      <c r="A40" s="367" t="s">
        <v>85</v>
      </c>
      <c r="B40" s="70" t="s">
        <v>71</v>
      </c>
      <c r="C40" s="362"/>
      <c r="D40" s="363"/>
      <c r="E40" s="362"/>
      <c r="F40" s="362"/>
      <c r="G40" s="362"/>
      <c r="H40" s="362"/>
      <c r="I40" s="252"/>
      <c r="K40" s="368"/>
      <c r="L40" s="369"/>
      <c r="M40" s="369"/>
      <c r="N40" s="370"/>
    </row>
    <row r="41" customFormat="false" ht="15" hidden="false" customHeight="false" outlineLevel="0" collapsed="false">
      <c r="A41" s="367" t="s">
        <v>103</v>
      </c>
      <c r="B41" s="69" t="s">
        <v>98</v>
      </c>
      <c r="C41" s="362"/>
      <c r="D41" s="363"/>
      <c r="E41" s="362"/>
      <c r="F41" s="362"/>
      <c r="G41" s="362"/>
      <c r="H41" s="362"/>
      <c r="I41" s="252"/>
      <c r="K41" s="368"/>
      <c r="L41" s="369"/>
      <c r="M41" s="369"/>
      <c r="N41" s="370"/>
    </row>
    <row r="42" customFormat="false" ht="15" hidden="false" customHeight="false" outlineLevel="0" collapsed="false">
      <c r="A42" s="367" t="s">
        <v>104</v>
      </c>
      <c r="B42" s="70" t="s">
        <v>5</v>
      </c>
      <c r="C42" s="362"/>
      <c r="D42" s="363"/>
      <c r="E42" s="362"/>
      <c r="F42" s="362"/>
      <c r="G42" s="362"/>
      <c r="H42" s="362"/>
      <c r="I42" s="252"/>
      <c r="K42" s="368"/>
      <c r="L42" s="369"/>
      <c r="M42" s="369"/>
      <c r="N42" s="370"/>
    </row>
    <row r="43" customFormat="false" ht="15" hidden="false" customHeight="false" outlineLevel="0" collapsed="false">
      <c r="A43" s="367" t="s">
        <v>69</v>
      </c>
      <c r="B43" s="70" t="s">
        <v>67</v>
      </c>
      <c r="C43" s="362"/>
      <c r="D43" s="363"/>
      <c r="E43" s="362"/>
      <c r="F43" s="362"/>
      <c r="G43" s="362"/>
      <c r="H43" s="362"/>
      <c r="I43" s="252"/>
      <c r="K43" s="368"/>
      <c r="L43" s="369"/>
      <c r="M43" s="369"/>
      <c r="N43" s="370"/>
    </row>
    <row r="44" customFormat="false" ht="15" hidden="false" customHeight="false" outlineLevel="0" collapsed="false">
      <c r="A44" s="367" t="s">
        <v>70</v>
      </c>
      <c r="B44" s="64" t="s">
        <v>29</v>
      </c>
      <c r="C44" s="362"/>
      <c r="D44" s="363"/>
      <c r="E44" s="362"/>
      <c r="F44" s="362"/>
      <c r="G44" s="362"/>
      <c r="H44" s="362"/>
      <c r="I44" s="252"/>
      <c r="K44" s="368"/>
      <c r="L44" s="369"/>
      <c r="M44" s="369"/>
      <c r="N44" s="370"/>
    </row>
    <row r="45" customFormat="false" ht="15" hidden="false" customHeight="false" outlineLevel="0" collapsed="false">
      <c r="A45" s="367" t="s">
        <v>97</v>
      </c>
      <c r="B45" s="70" t="s">
        <v>65</v>
      </c>
      <c r="C45" s="362"/>
      <c r="D45" s="363"/>
      <c r="E45" s="362"/>
      <c r="F45" s="362"/>
      <c r="G45" s="362"/>
      <c r="H45" s="362"/>
      <c r="I45" s="252"/>
      <c r="K45" s="368"/>
      <c r="L45" s="369"/>
      <c r="M45" s="369"/>
      <c r="N45" s="370"/>
    </row>
    <row r="46" customFormat="false" ht="15" hidden="false" customHeight="false" outlineLevel="0" collapsed="false">
      <c r="A46" s="367" t="s">
        <v>69</v>
      </c>
      <c r="B46" s="70" t="s">
        <v>67</v>
      </c>
      <c r="C46" s="362"/>
      <c r="D46" s="363"/>
      <c r="E46" s="362"/>
      <c r="F46" s="362"/>
      <c r="G46" s="362"/>
      <c r="H46" s="362"/>
      <c r="I46" s="252"/>
      <c r="K46" s="368"/>
      <c r="L46" s="369"/>
      <c r="M46" s="369"/>
      <c r="N46" s="370"/>
    </row>
    <row r="47" customFormat="false" ht="15" hidden="false" customHeight="false" outlineLevel="0" collapsed="false">
      <c r="A47" s="367" t="s">
        <v>70</v>
      </c>
      <c r="B47" s="64" t="s">
        <v>29</v>
      </c>
      <c r="C47" s="362"/>
      <c r="D47" s="363"/>
      <c r="E47" s="362"/>
      <c r="F47" s="362"/>
      <c r="G47" s="362"/>
      <c r="H47" s="362"/>
      <c r="I47" s="252"/>
      <c r="K47" s="368"/>
      <c r="L47" s="369"/>
      <c r="M47" s="369"/>
      <c r="N47" s="370"/>
    </row>
    <row r="48" customFormat="false" ht="15" hidden="false" customHeight="false" outlineLevel="0" collapsed="false">
      <c r="A48" s="367" t="s">
        <v>107</v>
      </c>
      <c r="B48" s="70" t="s">
        <v>65</v>
      </c>
      <c r="C48" s="362"/>
      <c r="D48" s="363"/>
      <c r="E48" s="362"/>
      <c r="F48" s="362"/>
      <c r="G48" s="362"/>
      <c r="H48" s="362"/>
      <c r="I48" s="252"/>
      <c r="K48" s="368"/>
      <c r="L48" s="369"/>
      <c r="M48" s="369"/>
      <c r="N48" s="370"/>
    </row>
    <row r="49" customFormat="false" ht="15" hidden="false" customHeight="false" outlineLevel="0" collapsed="false">
      <c r="A49" s="367" t="s">
        <v>97</v>
      </c>
      <c r="B49" s="70" t="s">
        <v>65</v>
      </c>
      <c r="C49" s="362"/>
      <c r="D49" s="363"/>
      <c r="E49" s="362"/>
      <c r="F49" s="362"/>
      <c r="G49" s="362"/>
      <c r="H49" s="362"/>
      <c r="I49" s="252"/>
      <c r="K49" s="368"/>
      <c r="L49" s="369"/>
      <c r="M49" s="369"/>
      <c r="N49" s="370"/>
    </row>
    <row r="50" customFormat="false" ht="15" hidden="false" customHeight="false" outlineLevel="0" collapsed="false">
      <c r="A50" s="367" t="s">
        <v>69</v>
      </c>
      <c r="B50" s="70" t="s">
        <v>67</v>
      </c>
      <c r="C50" s="362"/>
      <c r="D50" s="363"/>
      <c r="E50" s="362"/>
      <c r="F50" s="362"/>
      <c r="G50" s="362"/>
      <c r="H50" s="362"/>
      <c r="I50" s="252"/>
      <c r="K50" s="368"/>
      <c r="L50" s="369"/>
      <c r="M50" s="369"/>
      <c r="N50" s="370"/>
    </row>
    <row r="51" customFormat="false" ht="15" hidden="false" customHeight="false" outlineLevel="0" collapsed="false">
      <c r="A51" s="367" t="s">
        <v>70</v>
      </c>
      <c r="B51" s="70" t="s">
        <v>29</v>
      </c>
      <c r="C51" s="362"/>
      <c r="D51" s="363"/>
      <c r="E51" s="362"/>
      <c r="F51" s="362"/>
      <c r="G51" s="362"/>
      <c r="H51" s="362"/>
      <c r="I51" s="252"/>
      <c r="K51" s="368"/>
      <c r="L51" s="369"/>
      <c r="M51" s="369"/>
      <c r="N51" s="370"/>
    </row>
    <row r="52" customFormat="false" ht="15" hidden="false" customHeight="false" outlineLevel="0" collapsed="false">
      <c r="A52" s="367" t="s">
        <v>85</v>
      </c>
      <c r="B52" s="64" t="s">
        <v>71</v>
      </c>
      <c r="C52" s="362"/>
      <c r="D52" s="363"/>
      <c r="E52" s="362"/>
      <c r="F52" s="362"/>
      <c r="G52" s="362"/>
      <c r="H52" s="362"/>
      <c r="I52" s="252"/>
      <c r="K52" s="368"/>
      <c r="L52" s="369"/>
      <c r="M52" s="369"/>
      <c r="N52" s="370"/>
    </row>
    <row r="53" customFormat="false" ht="15" hidden="false" customHeight="false" outlineLevel="0" collapsed="false">
      <c r="A53" s="367" t="s">
        <v>73</v>
      </c>
      <c r="B53" s="70" t="s">
        <v>71</v>
      </c>
      <c r="C53" s="362"/>
      <c r="D53" s="363"/>
      <c r="E53" s="362"/>
      <c r="F53" s="362"/>
      <c r="G53" s="362"/>
      <c r="H53" s="362"/>
      <c r="I53" s="252"/>
      <c r="K53" s="368"/>
      <c r="L53" s="369"/>
      <c r="M53" s="369"/>
      <c r="N53" s="370"/>
    </row>
    <row r="54" customFormat="false" ht="15" hidden="false" customHeight="false" outlineLevel="0" collapsed="false">
      <c r="A54" s="367" t="s">
        <v>97</v>
      </c>
      <c r="B54" s="64" t="s">
        <v>65</v>
      </c>
      <c r="C54" s="362"/>
      <c r="D54" s="363"/>
      <c r="E54" s="362"/>
      <c r="F54" s="362"/>
      <c r="G54" s="362"/>
      <c r="H54" s="362"/>
      <c r="I54" s="252"/>
      <c r="K54" s="368"/>
      <c r="L54" s="369"/>
      <c r="M54" s="369"/>
      <c r="N54" s="370"/>
    </row>
    <row r="55" customFormat="false" ht="15" hidden="false" customHeight="false" outlineLevel="0" collapsed="false">
      <c r="A55" s="367" t="s">
        <v>109</v>
      </c>
      <c r="B55" s="59" t="s">
        <v>67</v>
      </c>
      <c r="C55" s="362"/>
      <c r="D55" s="363"/>
      <c r="E55" s="362"/>
      <c r="F55" s="362"/>
      <c r="G55" s="362"/>
      <c r="H55" s="362"/>
      <c r="I55" s="252"/>
      <c r="K55" s="368"/>
      <c r="L55" s="369"/>
      <c r="M55" s="369"/>
      <c r="N55" s="370"/>
    </row>
    <row r="56" customFormat="false" ht="15" hidden="false" customHeight="false" outlineLevel="0" collapsed="false">
      <c r="A56" s="367" t="s">
        <v>110</v>
      </c>
      <c r="B56" s="59" t="s">
        <v>29</v>
      </c>
      <c r="C56" s="362"/>
      <c r="D56" s="363"/>
      <c r="E56" s="362"/>
      <c r="F56" s="362"/>
      <c r="G56" s="362"/>
      <c r="H56" s="362"/>
      <c r="I56" s="252"/>
      <c r="K56" s="368"/>
      <c r="L56" s="369"/>
      <c r="M56" s="369"/>
      <c r="N56" s="371"/>
    </row>
    <row r="57" customFormat="false" ht="15" hidden="false" customHeight="false" outlineLevel="0" collapsed="false">
      <c r="A57" s="372" t="s">
        <v>111</v>
      </c>
      <c r="B57" s="59" t="s">
        <v>29</v>
      </c>
      <c r="C57" s="362"/>
      <c r="D57" s="363"/>
      <c r="E57" s="362"/>
      <c r="F57" s="362"/>
      <c r="G57" s="362"/>
      <c r="H57" s="362"/>
      <c r="I57" s="252"/>
      <c r="K57" s="368"/>
      <c r="L57" s="369"/>
      <c r="M57" s="369"/>
      <c r="N57" s="371"/>
    </row>
    <row r="58" customFormat="false" ht="15" hidden="false" customHeight="false" outlineLevel="0" collapsed="false">
      <c r="A58" s="367" t="s">
        <v>69</v>
      </c>
      <c r="B58" s="59" t="s">
        <v>67</v>
      </c>
      <c r="C58" s="362"/>
      <c r="D58" s="363"/>
      <c r="E58" s="362"/>
      <c r="F58" s="363"/>
      <c r="G58" s="363"/>
      <c r="H58" s="362"/>
      <c r="I58" s="252"/>
      <c r="K58" s="368"/>
      <c r="L58" s="369"/>
      <c r="M58" s="369"/>
      <c r="N58" s="371"/>
    </row>
    <row r="59" customFormat="false" ht="15" hidden="false" customHeight="false" outlineLevel="0" collapsed="false">
      <c r="A59" s="367" t="s">
        <v>70</v>
      </c>
      <c r="B59" s="59" t="s">
        <v>29</v>
      </c>
      <c r="C59" s="362"/>
      <c r="D59" s="363"/>
      <c r="E59" s="362"/>
      <c r="F59" s="362"/>
      <c r="G59" s="362"/>
      <c r="H59" s="362"/>
      <c r="I59" s="252"/>
      <c r="K59" s="368"/>
      <c r="L59" s="369"/>
      <c r="M59" s="369"/>
      <c r="N59" s="371"/>
    </row>
    <row r="60" customFormat="false" ht="15" hidden="false" customHeight="false" outlineLevel="0" collapsed="false">
      <c r="A60" s="367" t="s">
        <v>113</v>
      </c>
      <c r="B60" s="59" t="s">
        <v>33</v>
      </c>
      <c r="C60" s="362"/>
      <c r="D60" s="363"/>
      <c r="E60" s="362"/>
      <c r="F60" s="362"/>
      <c r="G60" s="362"/>
      <c r="H60" s="362"/>
      <c r="I60" s="252"/>
      <c r="K60" s="368"/>
      <c r="L60" s="369"/>
      <c r="M60" s="369"/>
      <c r="N60" s="371"/>
    </row>
    <row r="61" customFormat="false" ht="15" hidden="false" customHeight="false" outlineLevel="0" collapsed="false">
      <c r="A61" s="367" t="s">
        <v>107</v>
      </c>
      <c r="B61" s="64" t="s">
        <v>65</v>
      </c>
      <c r="C61" s="362"/>
      <c r="D61" s="363"/>
      <c r="E61" s="362"/>
      <c r="F61" s="362"/>
      <c r="G61" s="362"/>
      <c r="H61" s="362"/>
      <c r="I61" s="252"/>
      <c r="K61" s="368"/>
      <c r="L61" s="369"/>
      <c r="M61" s="369"/>
      <c r="N61" s="371"/>
    </row>
    <row r="62" customFormat="false" ht="15" hidden="false" customHeight="false" outlineLevel="0" collapsed="false">
      <c r="A62" s="367" t="s">
        <v>114</v>
      </c>
      <c r="B62" s="59" t="s">
        <v>65</v>
      </c>
      <c r="C62" s="362"/>
      <c r="D62" s="363"/>
      <c r="E62" s="362"/>
      <c r="F62" s="362"/>
      <c r="G62" s="362"/>
      <c r="H62" s="362"/>
      <c r="I62" s="252"/>
      <c r="K62" s="368"/>
      <c r="L62" s="369"/>
      <c r="M62" s="369"/>
      <c r="N62" s="371"/>
    </row>
    <row r="63" customFormat="false" ht="15" hidden="false" customHeight="false" outlineLevel="0" collapsed="false">
      <c r="A63" s="367" t="s">
        <v>97</v>
      </c>
      <c r="B63" s="59" t="s">
        <v>65</v>
      </c>
      <c r="C63" s="362"/>
      <c r="D63" s="363"/>
      <c r="E63" s="362"/>
      <c r="F63" s="362"/>
      <c r="G63" s="362"/>
      <c r="H63" s="362"/>
      <c r="I63" s="252"/>
      <c r="K63" s="368"/>
      <c r="L63" s="369"/>
      <c r="M63" s="369"/>
      <c r="N63" s="371"/>
    </row>
    <row r="64" customFormat="false" ht="15" hidden="false" customHeight="false" outlineLevel="0" collapsed="false">
      <c r="A64" s="367" t="s">
        <v>115</v>
      </c>
      <c r="B64" s="59" t="s">
        <v>65</v>
      </c>
      <c r="C64" s="362"/>
      <c r="D64" s="363"/>
      <c r="E64" s="362"/>
      <c r="F64" s="362"/>
      <c r="G64" s="362"/>
      <c r="H64" s="362"/>
      <c r="I64" s="252"/>
      <c r="K64" s="368"/>
      <c r="L64" s="369"/>
      <c r="M64" s="369"/>
      <c r="N64" s="371"/>
    </row>
    <row r="65" customFormat="false" ht="15" hidden="false" customHeight="false" outlineLevel="0" collapsed="false">
      <c r="A65" s="367" t="s">
        <v>116</v>
      </c>
      <c r="B65" s="70" t="s">
        <v>65</v>
      </c>
      <c r="C65" s="362"/>
      <c r="D65" s="363"/>
      <c r="E65" s="362"/>
      <c r="F65" s="362"/>
      <c r="G65" s="362"/>
      <c r="H65" s="362"/>
      <c r="I65" s="252"/>
      <c r="K65" s="368"/>
      <c r="L65" s="369"/>
      <c r="M65" s="369"/>
      <c r="N65" s="371"/>
    </row>
    <row r="66" customFormat="false" ht="15" hidden="false" customHeight="false" outlineLevel="0" collapsed="false">
      <c r="A66" s="367" t="s">
        <v>69</v>
      </c>
      <c r="B66" s="64" t="s">
        <v>67</v>
      </c>
      <c r="C66" s="362"/>
      <c r="D66" s="363"/>
      <c r="E66" s="362"/>
      <c r="F66" s="362"/>
      <c r="G66" s="362"/>
      <c r="H66" s="362"/>
      <c r="I66" s="252"/>
      <c r="K66" s="368"/>
      <c r="L66" s="369"/>
      <c r="M66" s="369"/>
      <c r="N66" s="371"/>
    </row>
    <row r="67" customFormat="false" ht="15" hidden="false" customHeight="false" outlineLevel="0" collapsed="false">
      <c r="A67" s="367" t="s">
        <v>118</v>
      </c>
      <c r="B67" s="59" t="s">
        <v>76</v>
      </c>
      <c r="C67" s="362"/>
      <c r="D67" s="363"/>
      <c r="E67" s="362"/>
      <c r="F67" s="362"/>
      <c r="G67" s="362"/>
      <c r="H67" s="362"/>
      <c r="I67" s="252"/>
      <c r="K67" s="368"/>
      <c r="L67" s="369"/>
      <c r="M67" s="369"/>
      <c r="N67" s="371"/>
    </row>
    <row r="68" customFormat="false" ht="15" hidden="false" customHeight="false" outlineLevel="0" collapsed="false">
      <c r="A68" s="367" t="s">
        <v>121</v>
      </c>
      <c r="B68" s="73" t="s">
        <v>119</v>
      </c>
      <c r="C68" s="362"/>
      <c r="D68" s="363"/>
      <c r="E68" s="362"/>
      <c r="F68" s="362"/>
      <c r="G68" s="362"/>
      <c r="H68" s="362"/>
      <c r="I68" s="252"/>
      <c r="K68" s="368"/>
      <c r="L68" s="369"/>
      <c r="M68" s="369"/>
      <c r="N68" s="371"/>
    </row>
    <row r="69" customFormat="false" ht="15" hidden="false" customHeight="false" outlineLevel="0" collapsed="false">
      <c r="A69" s="367" t="s">
        <v>97</v>
      </c>
      <c r="B69" s="59" t="s">
        <v>65</v>
      </c>
      <c r="C69" s="362"/>
      <c r="D69" s="363"/>
      <c r="E69" s="362"/>
      <c r="F69" s="362"/>
      <c r="G69" s="362"/>
      <c r="H69" s="362"/>
      <c r="I69" s="252"/>
      <c r="K69" s="368"/>
      <c r="L69" s="369"/>
      <c r="M69" s="369"/>
      <c r="N69" s="371"/>
    </row>
    <row r="70" customFormat="false" ht="15" hidden="false" customHeight="false" outlineLevel="0" collapsed="false">
      <c r="A70" s="367" t="s">
        <v>123</v>
      </c>
      <c r="B70" s="64" t="s">
        <v>122</v>
      </c>
      <c r="C70" s="362"/>
      <c r="D70" s="363"/>
      <c r="E70" s="362"/>
      <c r="F70" s="362"/>
      <c r="G70" s="362"/>
      <c r="H70" s="362"/>
      <c r="I70" s="252"/>
      <c r="K70" s="368"/>
      <c r="L70" s="369"/>
      <c r="M70" s="369"/>
      <c r="N70" s="371"/>
    </row>
    <row r="71" customFormat="false" ht="15" hidden="false" customHeight="false" outlineLevel="0" collapsed="false">
      <c r="A71" s="367" t="s">
        <v>125</v>
      </c>
      <c r="B71" s="59" t="s">
        <v>124</v>
      </c>
      <c r="C71" s="362"/>
      <c r="D71" s="363"/>
      <c r="E71" s="362"/>
      <c r="F71" s="362"/>
      <c r="G71" s="362"/>
      <c r="H71" s="362"/>
      <c r="I71" s="252"/>
      <c r="K71" s="368"/>
      <c r="L71" s="369"/>
      <c r="M71" s="369"/>
      <c r="N71" s="371"/>
    </row>
    <row r="72" customFormat="false" ht="15" hidden="false" customHeight="false" outlineLevel="0" collapsed="false">
      <c r="A72" s="367" t="s">
        <v>128</v>
      </c>
      <c r="B72" s="59" t="s">
        <v>127</v>
      </c>
      <c r="C72" s="362"/>
      <c r="D72" s="363"/>
      <c r="E72" s="362"/>
      <c r="F72" s="362"/>
      <c r="G72" s="362"/>
      <c r="H72" s="362"/>
      <c r="I72" s="252"/>
      <c r="K72" s="368"/>
      <c r="L72" s="369"/>
      <c r="M72" s="369"/>
      <c r="N72" s="371"/>
    </row>
    <row r="73" customFormat="false" ht="15" hidden="false" customHeight="false" outlineLevel="0" collapsed="false">
      <c r="A73" s="367" t="s">
        <v>128</v>
      </c>
      <c r="B73" s="64" t="s">
        <v>127</v>
      </c>
      <c r="C73" s="362"/>
      <c r="D73" s="363"/>
      <c r="E73" s="362"/>
      <c r="F73" s="362"/>
      <c r="G73" s="362"/>
      <c r="H73" s="362"/>
      <c r="I73" s="252"/>
      <c r="K73" s="368"/>
      <c r="L73" s="369"/>
      <c r="M73" s="369"/>
      <c r="N73" s="371"/>
    </row>
    <row r="74" customFormat="false" ht="15" hidden="false" customHeight="false" outlineLevel="0" collapsed="false">
      <c r="A74" s="367" t="s">
        <v>129</v>
      </c>
      <c r="B74" s="59" t="s">
        <v>29</v>
      </c>
      <c r="C74" s="362"/>
      <c r="D74" s="363"/>
      <c r="E74" s="362"/>
      <c r="F74" s="362"/>
      <c r="G74" s="362"/>
      <c r="H74" s="362"/>
      <c r="I74" s="252"/>
      <c r="K74" s="368"/>
      <c r="L74" s="369"/>
      <c r="M74" s="369"/>
      <c r="N74" s="371"/>
    </row>
    <row r="75" customFormat="false" ht="15" hidden="false" customHeight="false" outlineLevel="0" collapsed="false">
      <c r="A75" s="367" t="s">
        <v>131</v>
      </c>
      <c r="B75" s="59" t="s">
        <v>130</v>
      </c>
      <c r="C75" s="362"/>
      <c r="D75" s="363"/>
      <c r="E75" s="362"/>
      <c r="F75" s="362"/>
      <c r="G75" s="362"/>
      <c r="H75" s="362"/>
      <c r="I75" s="252"/>
      <c r="K75" s="368"/>
      <c r="L75" s="369"/>
      <c r="M75" s="369"/>
      <c r="N75" s="371"/>
    </row>
    <row r="76" customFormat="false" ht="15" hidden="false" customHeight="false" outlineLevel="0" collapsed="false">
      <c r="A76" s="367" t="s">
        <v>70</v>
      </c>
      <c r="B76" s="64" t="s">
        <v>29</v>
      </c>
      <c r="C76" s="362"/>
      <c r="D76" s="363"/>
      <c r="E76" s="362"/>
      <c r="F76" s="362"/>
      <c r="G76" s="362"/>
      <c r="H76" s="362"/>
      <c r="I76" s="252"/>
      <c r="K76" s="368"/>
      <c r="L76" s="369"/>
      <c r="M76" s="369"/>
      <c r="N76" s="371"/>
    </row>
    <row r="77" customFormat="false" ht="15" hidden="false" customHeight="false" outlineLevel="0" collapsed="false">
      <c r="A77" s="367" t="s">
        <v>133</v>
      </c>
      <c r="B77" s="64" t="s">
        <v>62</v>
      </c>
      <c r="C77" s="362"/>
      <c r="D77" s="363"/>
      <c r="E77" s="362"/>
      <c r="F77" s="362"/>
      <c r="G77" s="362"/>
      <c r="H77" s="362"/>
      <c r="I77" s="252"/>
      <c r="K77" s="368"/>
      <c r="L77" s="369"/>
      <c r="M77" s="369"/>
      <c r="N77" s="371"/>
    </row>
    <row r="78" customFormat="false" ht="15" hidden="false" customHeight="false" outlineLevel="0" collapsed="false">
      <c r="A78" s="367" t="s">
        <v>97</v>
      </c>
      <c r="B78" s="59" t="s">
        <v>65</v>
      </c>
      <c r="C78" s="362"/>
      <c r="D78" s="363"/>
      <c r="E78" s="362"/>
      <c r="F78" s="362"/>
      <c r="G78" s="362"/>
      <c r="H78" s="362"/>
      <c r="I78" s="252"/>
      <c r="K78" s="368"/>
      <c r="L78" s="369"/>
      <c r="M78" s="369"/>
      <c r="N78" s="371"/>
    </row>
    <row r="79" customFormat="false" ht="15" hidden="false" customHeight="false" outlineLevel="0" collapsed="false">
      <c r="A79" s="367" t="s">
        <v>69</v>
      </c>
      <c r="B79" s="59" t="s">
        <v>67</v>
      </c>
      <c r="C79" s="362"/>
      <c r="D79" s="363"/>
      <c r="E79" s="362"/>
      <c r="F79" s="362"/>
      <c r="G79" s="362"/>
      <c r="H79" s="362"/>
      <c r="I79" s="252"/>
      <c r="K79" s="368"/>
      <c r="L79" s="369"/>
      <c r="M79" s="369"/>
      <c r="N79" s="371"/>
    </row>
    <row r="80" customFormat="false" ht="15" hidden="false" customHeight="false" outlineLevel="0" collapsed="false">
      <c r="A80" s="367" t="s">
        <v>70</v>
      </c>
      <c r="B80" s="59" t="s">
        <v>29</v>
      </c>
      <c r="C80" s="362"/>
      <c r="D80" s="363"/>
      <c r="E80" s="362"/>
      <c r="F80" s="362"/>
      <c r="G80" s="362"/>
      <c r="H80" s="362"/>
      <c r="I80" s="252"/>
      <c r="K80" s="368"/>
      <c r="L80" s="369"/>
      <c r="M80" s="369"/>
      <c r="N80" s="371"/>
    </row>
    <row r="81" customFormat="false" ht="15" hidden="false" customHeight="false" outlineLevel="0" collapsed="false">
      <c r="A81" s="367" t="s">
        <v>135</v>
      </c>
      <c r="B81" s="59" t="s">
        <v>98</v>
      </c>
      <c r="C81" s="362"/>
      <c r="D81" s="363"/>
      <c r="E81" s="362"/>
      <c r="F81" s="362"/>
      <c r="G81" s="362"/>
      <c r="H81" s="362"/>
      <c r="I81" s="252"/>
      <c r="K81" s="368"/>
      <c r="L81" s="369"/>
      <c r="M81" s="369"/>
      <c r="N81" s="371"/>
    </row>
    <row r="82" customFormat="false" ht="15" hidden="false" customHeight="false" outlineLevel="0" collapsed="false">
      <c r="A82" s="367" t="s">
        <v>136</v>
      </c>
      <c r="B82" s="59" t="s">
        <v>65</v>
      </c>
      <c r="C82" s="362"/>
      <c r="D82" s="363"/>
      <c r="E82" s="362"/>
      <c r="F82" s="362"/>
      <c r="G82" s="362"/>
      <c r="H82" s="362"/>
      <c r="I82" s="252"/>
      <c r="K82" s="368"/>
      <c r="L82" s="369"/>
      <c r="M82" s="369"/>
      <c r="N82" s="371"/>
    </row>
    <row r="83" customFormat="false" ht="15" hidden="false" customHeight="false" outlineLevel="0" collapsed="false">
      <c r="A83" s="367" t="s">
        <v>137</v>
      </c>
      <c r="B83" s="59" t="s">
        <v>76</v>
      </c>
      <c r="C83" s="362"/>
      <c r="D83" s="363"/>
      <c r="E83" s="362"/>
      <c r="F83" s="362"/>
      <c r="G83" s="362"/>
      <c r="H83" s="362"/>
      <c r="I83" s="252"/>
      <c r="K83" s="368"/>
      <c r="L83" s="369"/>
      <c r="M83" s="369"/>
      <c r="N83" s="371"/>
    </row>
    <row r="84" customFormat="false" ht="15" hidden="false" customHeight="false" outlineLevel="0" collapsed="false">
      <c r="A84" s="367" t="s">
        <v>138</v>
      </c>
      <c r="B84" s="53" t="s">
        <v>130</v>
      </c>
      <c r="C84" s="362"/>
      <c r="D84" s="363"/>
      <c r="E84" s="362"/>
      <c r="F84" s="362"/>
      <c r="G84" s="362"/>
      <c r="H84" s="362"/>
      <c r="I84" s="252"/>
      <c r="K84" s="368"/>
      <c r="L84" s="369"/>
      <c r="M84" s="369"/>
      <c r="N84" s="371"/>
      <c r="O84" s="252"/>
    </row>
    <row r="85" customFormat="false" ht="15" hidden="false" customHeight="false" outlineLevel="0" collapsed="false">
      <c r="A85" s="367" t="s">
        <v>69</v>
      </c>
      <c r="B85" s="59" t="s">
        <v>67</v>
      </c>
      <c r="C85" s="362"/>
      <c r="D85" s="363"/>
      <c r="E85" s="362"/>
      <c r="F85" s="362"/>
      <c r="G85" s="362"/>
      <c r="H85" s="362"/>
      <c r="I85" s="252"/>
      <c r="K85" s="368"/>
      <c r="L85" s="369"/>
      <c r="M85" s="369"/>
      <c r="N85" s="371"/>
      <c r="O85" s="252"/>
    </row>
    <row r="86" customFormat="false" ht="15" hidden="false" customHeight="false" outlineLevel="0" collapsed="false">
      <c r="A86" s="367" t="s">
        <v>70</v>
      </c>
      <c r="B86" s="59" t="s">
        <v>29</v>
      </c>
      <c r="C86" s="362"/>
      <c r="D86" s="363"/>
      <c r="E86" s="362"/>
      <c r="F86" s="362"/>
      <c r="G86" s="362"/>
      <c r="H86" s="362"/>
      <c r="I86" s="252"/>
      <c r="K86" s="368"/>
      <c r="L86" s="369"/>
      <c r="M86" s="369"/>
      <c r="N86" s="371"/>
      <c r="O86" s="252"/>
    </row>
    <row r="87" customFormat="false" ht="15" hidden="false" customHeight="false" outlineLevel="0" collapsed="false">
      <c r="A87" s="367" t="s">
        <v>97</v>
      </c>
      <c r="B87" s="59" t="s">
        <v>65</v>
      </c>
      <c r="C87" s="362"/>
      <c r="D87" s="363"/>
      <c r="E87" s="362"/>
      <c r="F87" s="362"/>
      <c r="G87" s="362"/>
      <c r="H87" s="362"/>
      <c r="K87" s="368"/>
      <c r="L87" s="369"/>
      <c r="M87" s="369"/>
      <c r="N87" s="371"/>
      <c r="O87" s="252"/>
    </row>
    <row r="88" customFormat="false" ht="15" hidden="false" customHeight="false" outlineLevel="0" collapsed="false">
      <c r="A88" s="367" t="s">
        <v>69</v>
      </c>
      <c r="B88" s="59" t="s">
        <v>67</v>
      </c>
      <c r="C88" s="362"/>
      <c r="D88" s="363"/>
      <c r="E88" s="362"/>
      <c r="F88" s="362"/>
      <c r="G88" s="362"/>
      <c r="H88" s="362"/>
    </row>
    <row r="89" customFormat="false" ht="15" hidden="false" customHeight="false" outlineLevel="0" collapsed="false">
      <c r="A89" s="367" t="s">
        <v>70</v>
      </c>
      <c r="B89" s="59" t="s">
        <v>29</v>
      </c>
      <c r="C89" s="362"/>
      <c r="D89" s="363"/>
      <c r="E89" s="362"/>
      <c r="F89" s="362"/>
      <c r="G89" s="362"/>
      <c r="H89" s="362"/>
    </row>
    <row r="90" customFormat="false" ht="15" hidden="false" customHeight="false" outlineLevel="0" collapsed="false">
      <c r="A90" s="367" t="s">
        <v>70</v>
      </c>
      <c r="B90" s="59" t="s">
        <v>29</v>
      </c>
      <c r="C90" s="362"/>
      <c r="D90" s="363"/>
      <c r="E90" s="362"/>
      <c r="F90" s="362"/>
      <c r="G90" s="362"/>
      <c r="H90" s="362"/>
    </row>
    <row r="91" customFormat="false" ht="15" hidden="false" customHeight="false" outlineLevel="0" collapsed="false">
      <c r="A91" s="367" t="s">
        <v>97</v>
      </c>
      <c r="B91" s="59" t="s">
        <v>65</v>
      </c>
      <c r="C91" s="362"/>
      <c r="D91" s="363"/>
      <c r="E91" s="362"/>
      <c r="F91" s="362"/>
      <c r="G91" s="362"/>
      <c r="H91" s="362"/>
    </row>
    <row r="92" customFormat="false" ht="15" hidden="false" customHeight="false" outlineLevel="0" collapsed="false">
      <c r="A92" s="367" t="s">
        <v>143</v>
      </c>
      <c r="B92" s="59" t="s">
        <v>142</v>
      </c>
      <c r="C92" s="362"/>
      <c r="D92" s="363"/>
      <c r="E92" s="362"/>
      <c r="F92" s="362"/>
      <c r="G92" s="362"/>
      <c r="H92" s="362"/>
    </row>
    <row r="93" customFormat="false" ht="15" hidden="false" customHeight="false" outlineLevel="0" collapsed="false">
      <c r="A93" s="367" t="s">
        <v>69</v>
      </c>
      <c r="B93" s="59" t="s">
        <v>67</v>
      </c>
      <c r="C93" s="362"/>
      <c r="D93" s="363"/>
      <c r="E93" s="362"/>
      <c r="F93" s="362"/>
      <c r="G93" s="362"/>
      <c r="H93" s="362"/>
    </row>
    <row r="94" customFormat="false" ht="15" hidden="false" customHeight="false" outlineLevel="0" collapsed="false">
      <c r="A94" s="367" t="s">
        <v>70</v>
      </c>
      <c r="B94" s="59" t="s">
        <v>29</v>
      </c>
      <c r="C94" s="362"/>
      <c r="D94" s="363"/>
      <c r="E94" s="362"/>
      <c r="F94" s="362"/>
      <c r="G94" s="362"/>
      <c r="H94" s="362"/>
    </row>
    <row r="95" customFormat="false" ht="15" hidden="false" customHeight="false" outlineLevel="0" collapsed="false">
      <c r="A95" s="367" t="s">
        <v>70</v>
      </c>
      <c r="B95" s="59" t="s">
        <v>29</v>
      </c>
      <c r="C95" s="362"/>
      <c r="D95" s="363"/>
      <c r="E95" s="362"/>
      <c r="F95" s="362"/>
      <c r="G95" s="362"/>
      <c r="H95" s="362"/>
      <c r="I95" s="252"/>
    </row>
    <row r="96" customFormat="false" ht="15" hidden="false" customHeight="false" outlineLevel="0" collapsed="false">
      <c r="A96" s="367" t="s">
        <v>102</v>
      </c>
      <c r="B96" s="59" t="s">
        <v>76</v>
      </c>
      <c r="C96" s="362"/>
      <c r="D96" s="363"/>
      <c r="E96" s="362"/>
      <c r="F96" s="362"/>
      <c r="G96" s="362"/>
      <c r="H96" s="362"/>
      <c r="I96" s="252"/>
    </row>
    <row r="97" customFormat="false" ht="15" hidden="false" customHeight="false" outlineLevel="0" collapsed="false">
      <c r="A97" s="367" t="s">
        <v>146</v>
      </c>
      <c r="B97" s="59" t="s">
        <v>98</v>
      </c>
      <c r="C97" s="362"/>
      <c r="D97" s="363"/>
      <c r="E97" s="362"/>
      <c r="F97" s="362"/>
      <c r="G97" s="362"/>
      <c r="H97" s="362"/>
      <c r="I97" s="252"/>
    </row>
    <row r="98" customFormat="false" ht="15" hidden="false" customHeight="false" outlineLevel="0" collapsed="false">
      <c r="A98" s="367" t="s">
        <v>69</v>
      </c>
      <c r="B98" s="59" t="s">
        <v>67</v>
      </c>
      <c r="C98" s="362"/>
      <c r="D98" s="363"/>
      <c r="E98" s="362"/>
      <c r="F98" s="362"/>
      <c r="G98" s="362"/>
      <c r="H98" s="362"/>
      <c r="I98" s="252"/>
    </row>
    <row r="99" customFormat="false" ht="15" hidden="false" customHeight="false" outlineLevel="0" collapsed="false">
      <c r="A99" s="367" t="s">
        <v>70</v>
      </c>
      <c r="B99" s="59" t="s">
        <v>29</v>
      </c>
      <c r="C99" s="362"/>
      <c r="D99" s="363"/>
      <c r="E99" s="362"/>
      <c r="F99" s="362"/>
      <c r="G99" s="362"/>
      <c r="H99" s="362"/>
      <c r="I99" s="252"/>
    </row>
    <row r="100" customFormat="false" ht="15" hidden="false" customHeight="false" outlineLevel="0" collapsed="false">
      <c r="A100" s="367" t="s">
        <v>85</v>
      </c>
      <c r="B100" s="59" t="s">
        <v>71</v>
      </c>
      <c r="C100" s="362"/>
      <c r="D100" s="363"/>
      <c r="E100" s="362"/>
      <c r="F100" s="362"/>
      <c r="G100" s="362"/>
      <c r="H100" s="362"/>
      <c r="I100" s="252"/>
    </row>
    <row r="101" customFormat="false" ht="15" hidden="false" customHeight="false" outlineLevel="0" collapsed="false">
      <c r="A101" s="367" t="s">
        <v>149</v>
      </c>
      <c r="B101" s="59" t="s">
        <v>148</v>
      </c>
      <c r="C101" s="362"/>
      <c r="D101" s="363"/>
      <c r="E101" s="362"/>
      <c r="F101" s="362"/>
      <c r="G101" s="362"/>
      <c r="H101" s="362"/>
      <c r="I101" s="252"/>
    </row>
    <row r="102" customFormat="false" ht="15" hidden="false" customHeight="false" outlineLevel="0" collapsed="false">
      <c r="A102" s="367" t="s">
        <v>150</v>
      </c>
      <c r="B102" s="59" t="s">
        <v>65</v>
      </c>
      <c r="C102" s="362"/>
      <c r="D102" s="363"/>
      <c r="E102" s="362"/>
      <c r="F102" s="362"/>
      <c r="G102" s="362"/>
      <c r="H102" s="362"/>
      <c r="I102" s="252"/>
    </row>
    <row r="103" customFormat="false" ht="15" hidden="false" customHeight="false" outlineLevel="0" collapsed="false">
      <c r="A103" s="367" t="s">
        <v>151</v>
      </c>
      <c r="B103" s="59" t="s">
        <v>65</v>
      </c>
      <c r="C103" s="362"/>
      <c r="D103" s="363"/>
      <c r="E103" s="362"/>
      <c r="F103" s="362"/>
      <c r="G103" s="362"/>
      <c r="H103" s="362"/>
      <c r="I103" s="252"/>
    </row>
    <row r="104" customFormat="false" ht="15" hidden="false" customHeight="false" outlineLevel="0" collapsed="false">
      <c r="A104" s="367" t="s">
        <v>152</v>
      </c>
      <c r="B104" s="59" t="s">
        <v>65</v>
      </c>
      <c r="C104" s="362"/>
      <c r="D104" s="363"/>
      <c r="E104" s="362"/>
      <c r="F104" s="362"/>
      <c r="G104" s="362"/>
      <c r="H104" s="362"/>
      <c r="I104" s="252"/>
    </row>
    <row r="105" customFormat="false" ht="15" hidden="false" customHeight="false" outlineLevel="0" collapsed="false">
      <c r="A105" s="367" t="s">
        <v>153</v>
      </c>
      <c r="B105" s="59" t="s">
        <v>65</v>
      </c>
      <c r="C105" s="362"/>
      <c r="D105" s="363"/>
      <c r="E105" s="362"/>
      <c r="F105" s="362"/>
      <c r="G105" s="362"/>
      <c r="H105" s="362"/>
      <c r="I105" s="252"/>
    </row>
    <row r="106" customFormat="false" ht="15" hidden="false" customHeight="false" outlineLevel="0" collapsed="false">
      <c r="A106" s="367" t="s">
        <v>154</v>
      </c>
      <c r="B106" s="59" t="s">
        <v>65</v>
      </c>
      <c r="C106" s="362"/>
      <c r="D106" s="363"/>
      <c r="E106" s="362"/>
      <c r="F106" s="362"/>
      <c r="G106" s="362"/>
      <c r="H106" s="362"/>
      <c r="I106" s="252"/>
    </row>
    <row r="107" customFormat="false" ht="15" hidden="false" customHeight="false" outlineLevel="0" collapsed="false">
      <c r="A107" s="367" t="s">
        <v>133</v>
      </c>
      <c r="B107" s="59" t="s">
        <v>62</v>
      </c>
      <c r="C107" s="362"/>
      <c r="D107" s="363"/>
      <c r="E107" s="362"/>
      <c r="F107" s="362"/>
      <c r="G107" s="362"/>
      <c r="H107" s="362"/>
      <c r="I107" s="252"/>
    </row>
    <row r="108" customFormat="false" ht="15" hidden="false" customHeight="false" outlineLevel="0" collapsed="false">
      <c r="A108" s="367" t="s">
        <v>155</v>
      </c>
      <c r="B108" s="59" t="s">
        <v>74</v>
      </c>
      <c r="C108" s="362"/>
      <c r="D108" s="363"/>
      <c r="E108" s="362"/>
      <c r="F108" s="362"/>
      <c r="G108" s="362"/>
      <c r="H108" s="362"/>
      <c r="I108" s="252"/>
    </row>
    <row r="109" customFormat="false" ht="15" hidden="false" customHeight="false" outlineLevel="0" collapsed="false">
      <c r="A109" s="367" t="s">
        <v>156</v>
      </c>
      <c r="B109" s="59" t="s">
        <v>74</v>
      </c>
      <c r="C109" s="362"/>
      <c r="D109" s="363"/>
      <c r="E109" s="362"/>
      <c r="F109" s="362"/>
      <c r="G109" s="362"/>
      <c r="H109" s="362"/>
      <c r="I109" s="252"/>
    </row>
    <row r="110" customFormat="false" ht="15" hidden="false" customHeight="false" outlineLevel="0" collapsed="false">
      <c r="A110" s="367" t="s">
        <v>156</v>
      </c>
      <c r="B110" s="59" t="s">
        <v>74</v>
      </c>
      <c r="C110" s="362"/>
      <c r="D110" s="363"/>
      <c r="E110" s="362"/>
      <c r="F110" s="362"/>
      <c r="G110" s="362"/>
      <c r="H110" s="362"/>
      <c r="I110" s="252"/>
    </row>
    <row r="111" customFormat="false" ht="15" hidden="false" customHeight="false" outlineLevel="0" collapsed="false">
      <c r="A111" s="367" t="s">
        <v>110</v>
      </c>
      <c r="B111" s="59" t="s">
        <v>29</v>
      </c>
      <c r="C111" s="362"/>
      <c r="D111" s="363"/>
      <c r="E111" s="362"/>
      <c r="F111" s="362"/>
      <c r="G111" s="362"/>
      <c r="H111" s="362"/>
      <c r="I111" s="252"/>
    </row>
    <row r="112" customFormat="false" ht="15" hidden="false" customHeight="false" outlineLevel="0" collapsed="false">
      <c r="A112" s="372" t="s">
        <v>111</v>
      </c>
      <c r="B112" s="59" t="s">
        <v>29</v>
      </c>
      <c r="C112" s="362"/>
      <c r="D112" s="363"/>
      <c r="E112" s="362"/>
      <c r="F112" s="362"/>
      <c r="G112" s="362"/>
      <c r="H112" s="362"/>
      <c r="I112" s="252"/>
    </row>
    <row r="113" customFormat="false" ht="15" hidden="false" customHeight="false" outlineLevel="0" collapsed="false">
      <c r="A113" s="367" t="s">
        <v>157</v>
      </c>
      <c r="B113" s="59" t="s">
        <v>65</v>
      </c>
      <c r="C113" s="362"/>
      <c r="D113" s="363"/>
      <c r="E113" s="362"/>
      <c r="F113" s="363"/>
      <c r="G113" s="363"/>
      <c r="H113" s="362"/>
      <c r="I113" s="252"/>
    </row>
    <row r="114" customFormat="false" ht="15" hidden="false" customHeight="false" outlineLevel="0" collapsed="false">
      <c r="A114" s="367" t="s">
        <v>99</v>
      </c>
      <c r="B114" s="59" t="s">
        <v>98</v>
      </c>
      <c r="C114" s="362"/>
      <c r="D114" s="363"/>
      <c r="E114" s="362"/>
      <c r="F114" s="362"/>
      <c r="G114" s="362"/>
      <c r="H114" s="362"/>
      <c r="I114" s="252"/>
    </row>
    <row r="115" customFormat="false" ht="15" hidden="false" customHeight="false" outlineLevel="0" collapsed="false">
      <c r="A115" s="367" t="s">
        <v>158</v>
      </c>
      <c r="B115" s="59" t="s">
        <v>119</v>
      </c>
      <c r="C115" s="362"/>
      <c r="D115" s="363"/>
      <c r="E115" s="362"/>
      <c r="F115" s="362"/>
      <c r="G115" s="362"/>
      <c r="H115" s="362"/>
      <c r="I115" s="252"/>
    </row>
    <row r="116" customFormat="false" ht="15" hidden="false" customHeight="false" outlineLevel="0" collapsed="false">
      <c r="A116" s="367" t="s">
        <v>69</v>
      </c>
      <c r="B116" s="59" t="s">
        <v>67</v>
      </c>
      <c r="C116" s="362"/>
      <c r="D116" s="363"/>
      <c r="E116" s="362"/>
      <c r="F116" s="362"/>
      <c r="G116" s="362"/>
      <c r="H116" s="362"/>
      <c r="I116" s="252"/>
    </row>
    <row r="117" customFormat="false" ht="15" hidden="false" customHeight="false" outlineLevel="0" collapsed="false">
      <c r="A117" s="367" t="s">
        <v>97</v>
      </c>
      <c r="B117" s="59" t="s">
        <v>65</v>
      </c>
      <c r="C117" s="362"/>
      <c r="D117" s="363"/>
      <c r="E117" s="362"/>
      <c r="F117" s="362"/>
      <c r="G117" s="362"/>
      <c r="H117" s="362"/>
      <c r="I117" s="252"/>
    </row>
    <row r="118" customFormat="false" ht="15" hidden="false" customHeight="false" outlineLevel="0" collapsed="false">
      <c r="A118" s="367" t="s">
        <v>161</v>
      </c>
      <c r="B118" s="59" t="s">
        <v>65</v>
      </c>
      <c r="C118" s="362"/>
      <c r="D118" s="363"/>
      <c r="E118" s="362"/>
      <c r="F118" s="362"/>
      <c r="G118" s="362"/>
      <c r="H118" s="362"/>
      <c r="I118" s="252"/>
    </row>
    <row r="119" customFormat="false" ht="15" hidden="false" customHeight="false" outlineLevel="0" collapsed="false">
      <c r="A119" s="367" t="s">
        <v>107</v>
      </c>
      <c r="B119" s="59" t="s">
        <v>65</v>
      </c>
      <c r="C119" s="362"/>
      <c r="D119" s="363"/>
      <c r="E119" s="362"/>
      <c r="F119" s="362"/>
      <c r="G119" s="362"/>
      <c r="H119" s="362"/>
      <c r="I119" s="252"/>
    </row>
    <row r="120" customFormat="false" ht="15" hidden="false" customHeight="false" outlineLevel="0" collapsed="false">
      <c r="A120" s="367" t="s">
        <v>163</v>
      </c>
      <c r="B120" s="59" t="s">
        <v>65</v>
      </c>
      <c r="C120" s="362"/>
      <c r="D120" s="363"/>
      <c r="E120" s="362"/>
      <c r="F120" s="362"/>
      <c r="G120" s="362"/>
      <c r="H120" s="362"/>
      <c r="I120" s="252"/>
    </row>
    <row r="121" customFormat="false" ht="15" hidden="false" customHeight="false" outlineLevel="0" collapsed="false">
      <c r="A121" s="367" t="s">
        <v>164</v>
      </c>
      <c r="B121" s="59" t="s">
        <v>65</v>
      </c>
      <c r="C121" s="362"/>
      <c r="D121" s="363"/>
      <c r="E121" s="362"/>
      <c r="F121" s="362"/>
      <c r="G121" s="362"/>
      <c r="H121" s="362"/>
      <c r="I121" s="252"/>
    </row>
    <row r="122" customFormat="false" ht="15" hidden="false" customHeight="false" outlineLevel="0" collapsed="false">
      <c r="A122" s="367" t="s">
        <v>164</v>
      </c>
      <c r="B122" s="59" t="s">
        <v>65</v>
      </c>
      <c r="C122" s="362"/>
      <c r="D122" s="363"/>
      <c r="E122" s="362"/>
      <c r="F122" s="362"/>
      <c r="G122" s="362"/>
      <c r="H122" s="362"/>
      <c r="I122" s="252"/>
    </row>
    <row r="123" customFormat="false" ht="15" hidden="false" customHeight="false" outlineLevel="0" collapsed="false">
      <c r="A123" s="367" t="s">
        <v>73</v>
      </c>
      <c r="B123" s="59" t="s">
        <v>71</v>
      </c>
      <c r="C123" s="362"/>
      <c r="D123" s="363"/>
      <c r="E123" s="362"/>
      <c r="F123" s="362"/>
      <c r="G123" s="362"/>
      <c r="H123" s="362"/>
      <c r="I123" s="252"/>
    </row>
    <row r="124" customFormat="false" ht="15" hidden="false" customHeight="false" outlineLevel="0" collapsed="false">
      <c r="A124" s="367" t="s">
        <v>166</v>
      </c>
      <c r="B124" s="59" t="s">
        <v>65</v>
      </c>
      <c r="C124" s="362"/>
      <c r="D124" s="363"/>
      <c r="E124" s="362"/>
      <c r="F124" s="362"/>
      <c r="G124" s="362"/>
      <c r="H124" s="362"/>
      <c r="I124" s="252"/>
    </row>
    <row r="125" customFormat="false" ht="15" hidden="false" customHeight="false" outlineLevel="0" collapsed="false">
      <c r="A125" s="367" t="s">
        <v>97</v>
      </c>
      <c r="B125" s="59" t="s">
        <v>65</v>
      </c>
      <c r="C125" s="362"/>
      <c r="D125" s="363"/>
      <c r="E125" s="362"/>
      <c r="F125" s="362"/>
      <c r="G125" s="362"/>
      <c r="H125" s="362"/>
      <c r="I125" s="252"/>
    </row>
    <row r="126" customFormat="false" ht="15" hidden="false" customHeight="false" outlineLevel="0" collapsed="false">
      <c r="A126" s="367" t="s">
        <v>168</v>
      </c>
      <c r="B126" s="59" t="s">
        <v>167</v>
      </c>
      <c r="C126" s="362"/>
      <c r="D126" s="363"/>
      <c r="E126" s="362"/>
      <c r="F126" s="362"/>
      <c r="G126" s="362"/>
      <c r="H126" s="362"/>
      <c r="I126" s="252"/>
    </row>
    <row r="127" customFormat="false" ht="15" hidden="false" customHeight="false" outlineLevel="0" collapsed="false">
      <c r="A127" s="367" t="s">
        <v>128</v>
      </c>
      <c r="B127" s="69" t="s">
        <v>127</v>
      </c>
      <c r="C127" s="362"/>
      <c r="D127" s="363"/>
      <c r="E127" s="362"/>
      <c r="F127" s="362"/>
      <c r="G127" s="362"/>
      <c r="H127" s="362"/>
      <c r="I127" s="252"/>
    </row>
    <row r="128" customFormat="false" ht="15" hidden="false" customHeight="false" outlineLevel="0" collapsed="false">
      <c r="A128" s="367" t="s">
        <v>129</v>
      </c>
      <c r="B128" s="69" t="s">
        <v>29</v>
      </c>
      <c r="C128" s="362"/>
      <c r="D128" s="363"/>
      <c r="E128" s="362"/>
      <c r="F128" s="362"/>
      <c r="G128" s="362"/>
      <c r="H128" s="362"/>
      <c r="I128" s="252"/>
    </row>
    <row r="129" customFormat="false" ht="15" hidden="false" customHeight="false" outlineLevel="0" collapsed="false">
      <c r="A129" s="367" t="s">
        <v>70</v>
      </c>
      <c r="B129" s="69" t="s">
        <v>29</v>
      </c>
      <c r="C129" s="362"/>
      <c r="D129" s="363"/>
      <c r="E129" s="362"/>
      <c r="F129" s="362"/>
      <c r="G129" s="362"/>
      <c r="H129" s="362"/>
      <c r="I129" s="252"/>
    </row>
    <row r="130" customFormat="false" ht="15" hidden="false" customHeight="false" outlineLevel="0" collapsed="false">
      <c r="A130" s="367" t="s">
        <v>169</v>
      </c>
      <c r="B130" s="69" t="s">
        <v>29</v>
      </c>
      <c r="C130" s="362"/>
      <c r="D130" s="363"/>
      <c r="E130" s="362"/>
      <c r="F130" s="362"/>
      <c r="G130" s="362"/>
      <c r="H130" s="362"/>
      <c r="I130" s="252"/>
    </row>
    <row r="131" customFormat="false" ht="15" hidden="false" customHeight="false" outlineLevel="0" collapsed="false">
      <c r="A131" s="373" t="s">
        <v>58</v>
      </c>
      <c r="B131" s="69" t="s">
        <v>29</v>
      </c>
      <c r="C131" s="362"/>
      <c r="D131" s="363"/>
      <c r="E131" s="362"/>
      <c r="F131" s="362"/>
      <c r="G131" s="362"/>
      <c r="H131" s="362"/>
      <c r="I131" s="252"/>
    </row>
    <row r="132" customFormat="false" ht="15" hidden="false" customHeight="false" outlineLevel="0" collapsed="false">
      <c r="A132" s="373" t="s">
        <v>171</v>
      </c>
      <c r="B132" s="69" t="s">
        <v>124</v>
      </c>
      <c r="C132" s="362"/>
      <c r="D132" s="363"/>
      <c r="E132" s="362"/>
      <c r="F132" s="362"/>
      <c r="G132" s="362"/>
      <c r="H132" s="362"/>
      <c r="I132" s="252"/>
    </row>
    <row r="133" customFormat="false" ht="15" hidden="false" customHeight="false" outlineLevel="0" collapsed="false">
      <c r="A133" s="373" t="s">
        <v>172</v>
      </c>
      <c r="B133" s="69" t="s">
        <v>65</v>
      </c>
      <c r="C133" s="362"/>
      <c r="D133" s="363"/>
      <c r="E133" s="362"/>
      <c r="F133" s="362"/>
      <c r="G133" s="362"/>
      <c r="H133" s="362"/>
      <c r="I133" s="252"/>
    </row>
    <row r="134" customFormat="false" ht="15" hidden="false" customHeight="false" outlineLevel="0" collapsed="false">
      <c r="A134" s="373" t="s">
        <v>173</v>
      </c>
      <c r="B134" s="69" t="s">
        <v>65</v>
      </c>
      <c r="C134" s="362"/>
      <c r="D134" s="363"/>
      <c r="E134" s="362"/>
      <c r="F134" s="362"/>
      <c r="G134" s="362"/>
      <c r="H134" s="362"/>
      <c r="I134" s="252"/>
    </row>
    <row r="135" customFormat="false" ht="15" hidden="false" customHeight="false" outlineLevel="0" collapsed="false">
      <c r="A135" s="373" t="s">
        <v>174</v>
      </c>
      <c r="B135" s="69" t="s">
        <v>65</v>
      </c>
      <c r="C135" s="362"/>
      <c r="D135" s="363"/>
      <c r="E135" s="362"/>
      <c r="F135" s="362"/>
      <c r="G135" s="362"/>
      <c r="H135" s="362"/>
      <c r="I135" s="252"/>
    </row>
    <row r="136" customFormat="false" ht="15" hidden="false" customHeight="false" outlineLevel="0" collapsed="false">
      <c r="A136" s="373" t="s">
        <v>175</v>
      </c>
      <c r="B136" s="69" t="s">
        <v>65</v>
      </c>
      <c r="C136" s="362"/>
      <c r="D136" s="363"/>
      <c r="E136" s="362"/>
      <c r="F136" s="362"/>
      <c r="G136" s="362"/>
      <c r="H136" s="362"/>
      <c r="I136" s="252"/>
    </row>
    <row r="137" customFormat="false" ht="15" hidden="false" customHeight="false" outlineLevel="0" collapsed="false">
      <c r="A137" s="373" t="s">
        <v>155</v>
      </c>
      <c r="B137" s="69" t="s">
        <v>74</v>
      </c>
      <c r="C137" s="362"/>
      <c r="D137" s="363"/>
      <c r="E137" s="362"/>
      <c r="F137" s="362"/>
      <c r="G137" s="362"/>
      <c r="H137" s="362"/>
      <c r="I137" s="252"/>
    </row>
    <row r="138" customFormat="false" ht="15" hidden="false" customHeight="false" outlineLevel="0" collapsed="false">
      <c r="A138" s="373" t="s">
        <v>97</v>
      </c>
      <c r="B138" s="69" t="s">
        <v>65</v>
      </c>
      <c r="C138" s="362"/>
      <c r="D138" s="363"/>
      <c r="E138" s="362"/>
      <c r="F138" s="362"/>
      <c r="G138" s="362"/>
      <c r="H138" s="362"/>
      <c r="I138" s="252"/>
    </row>
    <row r="139" customFormat="false" ht="15" hidden="false" customHeight="false" outlineLevel="0" collapsed="false">
      <c r="A139" s="373" t="s">
        <v>99</v>
      </c>
      <c r="B139" s="69" t="s">
        <v>98</v>
      </c>
      <c r="C139" s="362"/>
      <c r="D139" s="363"/>
      <c r="E139" s="362"/>
      <c r="F139" s="362"/>
      <c r="G139" s="362"/>
      <c r="H139" s="362"/>
      <c r="I139" s="252"/>
    </row>
    <row r="140" customFormat="false" ht="15" hidden="false" customHeight="false" outlineLevel="0" collapsed="false">
      <c r="A140" s="373" t="s">
        <v>68</v>
      </c>
      <c r="B140" s="69" t="s">
        <v>67</v>
      </c>
      <c r="C140" s="362"/>
      <c r="D140" s="363"/>
      <c r="E140" s="362"/>
      <c r="F140" s="362"/>
      <c r="G140" s="362"/>
      <c r="H140" s="362"/>
      <c r="I140" s="252"/>
    </row>
    <row r="141" customFormat="false" ht="15" hidden="false" customHeight="false" outlineLevel="0" collapsed="false">
      <c r="A141" s="373" t="s">
        <v>69</v>
      </c>
      <c r="B141" s="82" t="s">
        <v>67</v>
      </c>
      <c r="C141" s="362"/>
      <c r="D141" s="363"/>
      <c r="E141" s="362"/>
      <c r="F141" s="362"/>
      <c r="G141" s="362"/>
      <c r="H141" s="362"/>
      <c r="I141" s="252"/>
    </row>
    <row r="142" customFormat="false" ht="15" hidden="false" customHeight="false" outlineLevel="0" collapsed="false">
      <c r="A142" s="373" t="s">
        <v>70</v>
      </c>
      <c r="B142" s="69" t="s">
        <v>29</v>
      </c>
      <c r="C142" s="362"/>
      <c r="D142" s="363"/>
      <c r="E142" s="362"/>
      <c r="F142" s="362"/>
      <c r="G142" s="362"/>
      <c r="H142" s="362"/>
      <c r="I142" s="252"/>
    </row>
    <row r="143" customFormat="false" ht="15" hidden="false" customHeight="false" outlineLevel="0" collapsed="false">
      <c r="A143" s="373" t="s">
        <v>178</v>
      </c>
      <c r="B143" s="69" t="s">
        <v>176</v>
      </c>
      <c r="C143" s="362"/>
      <c r="D143" s="363"/>
      <c r="E143" s="362"/>
      <c r="F143" s="362"/>
      <c r="G143" s="362"/>
      <c r="H143" s="362"/>
      <c r="I143" s="252"/>
    </row>
    <row r="144" customFormat="false" ht="15" hidden="false" customHeight="false" outlineLevel="0" collapsed="false">
      <c r="A144" s="373" t="s">
        <v>146</v>
      </c>
      <c r="B144" s="59" t="s">
        <v>98</v>
      </c>
      <c r="C144" s="362"/>
      <c r="D144" s="363"/>
      <c r="E144" s="362"/>
      <c r="F144" s="362"/>
      <c r="G144" s="362"/>
      <c r="H144" s="362"/>
      <c r="I144" s="252"/>
    </row>
    <row r="145" customFormat="false" ht="15" hidden="false" customHeight="false" outlineLevel="0" collapsed="false">
      <c r="A145" s="373" t="s">
        <v>179</v>
      </c>
      <c r="B145" s="59" t="s">
        <v>76</v>
      </c>
      <c r="C145" s="362"/>
      <c r="D145" s="363"/>
      <c r="E145" s="362"/>
      <c r="F145" s="362"/>
      <c r="G145" s="362"/>
      <c r="H145" s="362"/>
      <c r="I145" s="252"/>
    </row>
    <row r="146" customFormat="false" ht="15" hidden="false" customHeight="false" outlineLevel="0" collapsed="false">
      <c r="A146" s="373" t="s">
        <v>155</v>
      </c>
      <c r="B146" s="59" t="s">
        <v>74</v>
      </c>
      <c r="C146" s="362"/>
      <c r="D146" s="363"/>
      <c r="E146" s="362"/>
      <c r="F146" s="362"/>
      <c r="G146" s="362"/>
      <c r="H146" s="362"/>
      <c r="I146" s="252"/>
    </row>
    <row r="147" customFormat="false" ht="15" hidden="false" customHeight="false" outlineLevel="0" collapsed="false">
      <c r="A147" s="373" t="s">
        <v>180</v>
      </c>
      <c r="B147" s="59" t="s">
        <v>98</v>
      </c>
      <c r="C147" s="362"/>
      <c r="D147" s="363"/>
      <c r="E147" s="362"/>
      <c r="F147" s="362"/>
      <c r="G147" s="362"/>
      <c r="H147" s="362"/>
      <c r="I147" s="252"/>
    </row>
    <row r="148" customFormat="false" ht="15" hidden="false" customHeight="false" outlineLevel="0" collapsed="false">
      <c r="A148" s="373" t="s">
        <v>182</v>
      </c>
      <c r="B148" s="59" t="s">
        <v>181</v>
      </c>
      <c r="C148" s="362"/>
      <c r="D148" s="363"/>
      <c r="E148" s="362"/>
      <c r="F148" s="362"/>
      <c r="G148" s="362"/>
      <c r="H148" s="362"/>
      <c r="I148" s="252"/>
    </row>
    <row r="149" customFormat="false" ht="15" hidden="false" customHeight="false" outlineLevel="0" collapsed="false">
      <c r="A149" s="373" t="s">
        <v>69</v>
      </c>
      <c r="B149" s="59" t="s">
        <v>67</v>
      </c>
      <c r="C149" s="362"/>
      <c r="D149" s="363"/>
      <c r="E149" s="362"/>
      <c r="F149" s="362"/>
      <c r="G149" s="362"/>
      <c r="H149" s="362"/>
      <c r="I149" s="252"/>
    </row>
    <row r="150" customFormat="false" ht="15" hidden="false" customHeight="false" outlineLevel="0" collapsed="false">
      <c r="A150" s="373" t="s">
        <v>70</v>
      </c>
      <c r="B150" s="59" t="s">
        <v>29</v>
      </c>
      <c r="C150" s="362"/>
      <c r="D150" s="363"/>
      <c r="E150" s="362"/>
      <c r="F150" s="362"/>
      <c r="G150" s="362"/>
      <c r="H150" s="362"/>
      <c r="I150" s="252"/>
    </row>
    <row r="151" customFormat="false" ht="15" hidden="false" customHeight="false" outlineLevel="0" collapsed="false">
      <c r="A151" s="373" t="s">
        <v>184</v>
      </c>
      <c r="B151" s="59" t="s">
        <v>176</v>
      </c>
      <c r="C151" s="362"/>
      <c r="D151" s="363"/>
      <c r="E151" s="362"/>
      <c r="F151" s="362"/>
      <c r="G151" s="362"/>
      <c r="H151" s="362"/>
      <c r="I151" s="252"/>
    </row>
    <row r="152" customFormat="false" ht="15" hidden="false" customHeight="false" outlineLevel="0" collapsed="false">
      <c r="A152" s="373" t="s">
        <v>185</v>
      </c>
      <c r="B152" s="59" t="s">
        <v>67</v>
      </c>
      <c r="C152" s="362"/>
      <c r="D152" s="363"/>
      <c r="E152" s="362"/>
      <c r="F152" s="362"/>
      <c r="G152" s="362"/>
      <c r="H152" s="362"/>
      <c r="I152" s="252"/>
    </row>
    <row r="153" customFormat="false" ht="15" hidden="false" customHeight="false" outlineLevel="0" collapsed="false">
      <c r="A153" s="373" t="s">
        <v>69</v>
      </c>
      <c r="B153" s="59" t="s">
        <v>67</v>
      </c>
      <c r="C153" s="362"/>
      <c r="D153" s="363"/>
      <c r="E153" s="362"/>
      <c r="F153" s="362"/>
      <c r="G153" s="362"/>
      <c r="H153" s="362"/>
      <c r="I153" s="252"/>
    </row>
    <row r="154" customFormat="false" ht="15" hidden="false" customHeight="false" outlineLevel="0" collapsed="false">
      <c r="A154" s="373" t="s">
        <v>70</v>
      </c>
      <c r="B154" s="59" t="s">
        <v>29</v>
      </c>
      <c r="C154" s="362"/>
      <c r="D154" s="363"/>
      <c r="E154" s="362"/>
      <c r="F154" s="362"/>
      <c r="G154" s="362"/>
      <c r="H154" s="362"/>
      <c r="I154" s="252"/>
    </row>
    <row r="155" customFormat="false" ht="15" hidden="false" customHeight="false" outlineLevel="0" collapsed="false">
      <c r="A155" s="373" t="s">
        <v>102</v>
      </c>
      <c r="B155" s="59" t="s">
        <v>76</v>
      </c>
      <c r="C155" s="362"/>
      <c r="D155" s="363"/>
      <c r="E155" s="362"/>
      <c r="F155" s="362"/>
      <c r="G155" s="362"/>
      <c r="H155" s="362"/>
      <c r="I155" s="252"/>
    </row>
    <row r="156" customFormat="false" ht="15" hidden="false" customHeight="false" outlineLevel="0" collapsed="false">
      <c r="A156" s="373" t="s">
        <v>187</v>
      </c>
      <c r="B156" s="59" t="s">
        <v>65</v>
      </c>
      <c r="C156" s="362"/>
      <c r="D156" s="363"/>
      <c r="E156" s="362"/>
      <c r="F156" s="362"/>
      <c r="G156" s="362"/>
      <c r="H156" s="362"/>
      <c r="I156" s="252"/>
    </row>
    <row r="157" customFormat="false" ht="15" hidden="false" customHeight="false" outlineLevel="0" collapsed="false">
      <c r="A157" s="373" t="s">
        <v>188</v>
      </c>
      <c r="B157" s="59" t="s">
        <v>65</v>
      </c>
      <c r="C157" s="362"/>
      <c r="D157" s="363"/>
      <c r="E157" s="362"/>
      <c r="F157" s="362"/>
      <c r="G157" s="362"/>
      <c r="H157" s="362"/>
      <c r="I157" s="252"/>
    </row>
    <row r="158" customFormat="false" ht="15" hidden="false" customHeight="false" outlineLevel="0" collapsed="false">
      <c r="A158" s="373" t="s">
        <v>189</v>
      </c>
      <c r="B158" s="59" t="s">
        <v>71</v>
      </c>
      <c r="C158" s="362"/>
      <c r="D158" s="363"/>
      <c r="E158" s="362"/>
      <c r="F158" s="362"/>
      <c r="G158" s="362"/>
      <c r="H158" s="362"/>
      <c r="I158" s="252"/>
    </row>
    <row r="159" customFormat="false" ht="15" hidden="false" customHeight="false" outlineLevel="0" collapsed="false">
      <c r="A159" s="373" t="s">
        <v>190</v>
      </c>
      <c r="B159" s="59" t="s">
        <v>65</v>
      </c>
      <c r="C159" s="362"/>
      <c r="D159" s="363"/>
      <c r="E159" s="362"/>
      <c r="F159" s="362"/>
      <c r="G159" s="362"/>
      <c r="H159" s="362"/>
      <c r="I159" s="252"/>
    </row>
    <row r="160" customFormat="false" ht="15" hidden="false" customHeight="false" outlineLevel="0" collapsed="false">
      <c r="A160" s="373" t="s">
        <v>191</v>
      </c>
      <c r="B160" s="59" t="s">
        <v>65</v>
      </c>
      <c r="C160" s="362"/>
      <c r="D160" s="363"/>
      <c r="E160" s="362"/>
      <c r="F160" s="362"/>
      <c r="G160" s="362"/>
      <c r="H160" s="362"/>
      <c r="I160" s="252"/>
    </row>
    <row r="161" customFormat="false" ht="15" hidden="false" customHeight="false" outlineLevel="0" collapsed="false">
      <c r="A161" s="373" t="s">
        <v>69</v>
      </c>
      <c r="B161" s="59" t="s">
        <v>67</v>
      </c>
      <c r="C161" s="362"/>
      <c r="D161" s="363"/>
      <c r="E161" s="362"/>
      <c r="F161" s="362"/>
      <c r="G161" s="362"/>
      <c r="H161" s="362"/>
      <c r="I161" s="252"/>
    </row>
    <row r="162" customFormat="false" ht="15" hidden="false" customHeight="false" outlineLevel="0" collapsed="false">
      <c r="A162" s="373" t="s">
        <v>70</v>
      </c>
      <c r="B162" s="59" t="s">
        <v>29</v>
      </c>
      <c r="C162" s="362"/>
      <c r="D162" s="363"/>
      <c r="E162" s="362"/>
      <c r="F162" s="362"/>
      <c r="G162" s="362"/>
      <c r="H162" s="362"/>
      <c r="I162" s="252"/>
    </row>
    <row r="163" customFormat="false" ht="15" hidden="false" customHeight="false" outlineLevel="0" collapsed="false">
      <c r="A163" s="373" t="s">
        <v>70</v>
      </c>
      <c r="B163" s="59" t="s">
        <v>29</v>
      </c>
      <c r="C163" s="362"/>
      <c r="D163" s="363"/>
      <c r="E163" s="362"/>
      <c r="F163" s="362"/>
      <c r="G163" s="362"/>
      <c r="H163" s="362"/>
      <c r="I163" s="252"/>
    </row>
    <row r="164" customFormat="false" ht="15" hidden="false" customHeight="false" outlineLevel="0" collapsed="false">
      <c r="A164" s="373" t="s">
        <v>194</v>
      </c>
      <c r="B164" s="59" t="s">
        <v>119</v>
      </c>
      <c r="C164" s="362"/>
      <c r="D164" s="363"/>
      <c r="E164" s="362"/>
      <c r="F164" s="362"/>
      <c r="G164" s="362"/>
      <c r="H164" s="362"/>
      <c r="I164" s="252"/>
    </row>
    <row r="165" customFormat="false" ht="15" hidden="false" customHeight="false" outlineLevel="0" collapsed="false">
      <c r="A165" s="373" t="s">
        <v>85</v>
      </c>
      <c r="B165" s="59" t="s">
        <v>71</v>
      </c>
      <c r="C165" s="362"/>
      <c r="D165" s="363"/>
      <c r="E165" s="362"/>
      <c r="F165" s="362"/>
      <c r="G165" s="362"/>
      <c r="H165" s="362"/>
      <c r="I165" s="252"/>
    </row>
    <row r="166" customFormat="false" ht="15" hidden="false" customHeight="false" outlineLevel="0" collapsed="false">
      <c r="A166" s="373" t="s">
        <v>195</v>
      </c>
      <c r="B166" s="59" t="s">
        <v>76</v>
      </c>
      <c r="C166" s="362"/>
      <c r="D166" s="363"/>
      <c r="E166" s="362"/>
      <c r="F166" s="362"/>
      <c r="G166" s="362"/>
      <c r="H166" s="362"/>
      <c r="I166" s="252"/>
    </row>
    <row r="167" customFormat="false" ht="15" hidden="false" customHeight="false" outlineLevel="0" collapsed="false">
      <c r="A167" s="373" t="s">
        <v>150</v>
      </c>
      <c r="B167" s="59" t="s">
        <v>65</v>
      </c>
      <c r="C167" s="362"/>
      <c r="D167" s="363"/>
      <c r="E167" s="362"/>
      <c r="F167" s="362"/>
      <c r="G167" s="362"/>
      <c r="H167" s="362"/>
      <c r="I167" s="252"/>
    </row>
    <row r="168" customFormat="false" ht="15" hidden="false" customHeight="false" outlineLevel="0" collapsed="false">
      <c r="A168" s="373" t="s">
        <v>88</v>
      </c>
      <c r="B168" s="59" t="s">
        <v>87</v>
      </c>
      <c r="C168" s="362"/>
      <c r="D168" s="363"/>
      <c r="E168" s="362"/>
      <c r="F168" s="362"/>
      <c r="G168" s="362"/>
      <c r="H168" s="362"/>
      <c r="I168" s="252"/>
    </row>
    <row r="169" customFormat="false" ht="15" hidden="false" customHeight="false" outlineLevel="0" collapsed="false">
      <c r="A169" s="373" t="s">
        <v>196</v>
      </c>
      <c r="B169" s="59" t="s">
        <v>65</v>
      </c>
      <c r="C169" s="362"/>
      <c r="D169" s="363"/>
      <c r="E169" s="362"/>
      <c r="F169" s="362"/>
      <c r="G169" s="362"/>
      <c r="H169" s="362"/>
      <c r="I169" s="252"/>
    </row>
    <row r="170" customFormat="false" ht="15" hidden="false" customHeight="false" outlineLevel="0" collapsed="false">
      <c r="A170" s="373" t="s">
        <v>197</v>
      </c>
      <c r="B170" s="59" t="s">
        <v>65</v>
      </c>
      <c r="C170" s="362"/>
      <c r="D170" s="363"/>
      <c r="E170" s="362"/>
      <c r="F170" s="362"/>
      <c r="G170" s="362"/>
      <c r="H170" s="362"/>
      <c r="I170" s="252"/>
    </row>
    <row r="171" customFormat="false" ht="15" hidden="false" customHeight="false" outlineLevel="0" collapsed="false">
      <c r="A171" s="373" t="s">
        <v>153</v>
      </c>
      <c r="B171" s="59" t="s">
        <v>65</v>
      </c>
      <c r="C171" s="362"/>
      <c r="D171" s="363"/>
      <c r="E171" s="362"/>
      <c r="F171" s="362"/>
      <c r="G171" s="362"/>
      <c r="H171" s="362"/>
      <c r="I171" s="252"/>
    </row>
    <row r="172" customFormat="false" ht="15" hidden="false" customHeight="false" outlineLevel="0" collapsed="false">
      <c r="A172" s="373" t="s">
        <v>198</v>
      </c>
      <c r="B172" s="59" t="s">
        <v>65</v>
      </c>
      <c r="C172" s="362"/>
      <c r="D172" s="363"/>
      <c r="E172" s="362"/>
      <c r="F172" s="362"/>
      <c r="G172" s="362"/>
      <c r="H172" s="362"/>
      <c r="I172" s="252"/>
    </row>
    <row r="173" customFormat="false" ht="15" hidden="false" customHeight="false" outlineLevel="0" collapsed="false">
      <c r="A173" s="373" t="s">
        <v>114</v>
      </c>
      <c r="B173" s="59" t="s">
        <v>65</v>
      </c>
      <c r="C173" s="362"/>
      <c r="D173" s="363"/>
      <c r="E173" s="362"/>
      <c r="F173" s="362"/>
      <c r="G173" s="362"/>
      <c r="H173" s="362"/>
      <c r="I173" s="252"/>
    </row>
    <row r="174" customFormat="false" ht="15" hidden="false" customHeight="false" outlineLevel="0" collapsed="false">
      <c r="A174" s="373" t="s">
        <v>199</v>
      </c>
      <c r="B174" s="59" t="s">
        <v>65</v>
      </c>
      <c r="C174" s="362"/>
      <c r="D174" s="363"/>
      <c r="E174" s="362"/>
      <c r="F174" s="362"/>
      <c r="G174" s="362"/>
      <c r="H174" s="362"/>
      <c r="I174" s="252"/>
    </row>
    <row r="175" customFormat="false" ht="15" hidden="false" customHeight="false" outlineLevel="0" collapsed="false">
      <c r="A175" s="373" t="s">
        <v>200</v>
      </c>
      <c r="B175" s="59" t="s">
        <v>65</v>
      </c>
      <c r="C175" s="362"/>
      <c r="D175" s="363"/>
      <c r="E175" s="362"/>
      <c r="F175" s="362"/>
      <c r="G175" s="362"/>
      <c r="H175" s="362"/>
    </row>
    <row r="176" customFormat="false" ht="15" hidden="false" customHeight="false" outlineLevel="0" collapsed="false">
      <c r="A176" s="373" t="s">
        <v>201</v>
      </c>
      <c r="B176" s="59" t="s">
        <v>74</v>
      </c>
      <c r="C176" s="362"/>
      <c r="D176" s="363"/>
      <c r="E176" s="362"/>
      <c r="F176" s="362"/>
      <c r="G176" s="362"/>
      <c r="H176" s="362"/>
    </row>
    <row r="177" customFormat="false" ht="15" hidden="false" customHeight="false" outlineLevel="0" collapsed="false">
      <c r="A177" s="373" t="s">
        <v>202</v>
      </c>
      <c r="B177" s="59" t="s">
        <v>76</v>
      </c>
      <c r="C177" s="362"/>
      <c r="D177" s="363"/>
      <c r="E177" s="362"/>
      <c r="F177" s="362"/>
      <c r="G177" s="362"/>
      <c r="H177" s="362"/>
    </row>
    <row r="178" customFormat="false" ht="15" hidden="false" customHeight="false" outlineLevel="0" collapsed="false">
      <c r="A178" s="373" t="s">
        <v>96</v>
      </c>
      <c r="B178" s="59" t="s">
        <v>65</v>
      </c>
      <c r="C178" s="362"/>
      <c r="D178" s="363"/>
      <c r="E178" s="362"/>
      <c r="F178" s="362"/>
      <c r="G178" s="362"/>
      <c r="H178" s="362"/>
    </row>
    <row r="179" customFormat="false" ht="15" hidden="false" customHeight="false" outlineLevel="0" collapsed="false">
      <c r="A179" s="373" t="s">
        <v>99</v>
      </c>
      <c r="B179" s="59" t="s">
        <v>98</v>
      </c>
      <c r="C179" s="362"/>
      <c r="D179" s="363"/>
      <c r="E179" s="362"/>
      <c r="F179" s="362"/>
      <c r="G179" s="362"/>
      <c r="H179" s="362"/>
    </row>
    <row r="180" customFormat="false" ht="15" hidden="false" customHeight="false" outlineLevel="0" collapsed="false">
      <c r="A180" s="373" t="s">
        <v>100</v>
      </c>
      <c r="B180" s="59" t="s">
        <v>65</v>
      </c>
      <c r="C180" s="362"/>
      <c r="D180" s="363"/>
      <c r="E180" s="362"/>
      <c r="F180" s="362"/>
      <c r="G180" s="362"/>
      <c r="H180" s="362"/>
    </row>
    <row r="181" customFormat="false" ht="15" hidden="false" customHeight="false" outlineLevel="0" collapsed="false">
      <c r="A181" s="373" t="s">
        <v>109</v>
      </c>
      <c r="B181" s="59" t="s">
        <v>67</v>
      </c>
      <c r="C181" s="362"/>
      <c r="D181" s="363"/>
      <c r="E181" s="362"/>
      <c r="F181" s="362"/>
      <c r="G181" s="362"/>
      <c r="H181" s="362"/>
    </row>
    <row r="182" customFormat="false" ht="15" hidden="false" customHeight="false" outlineLevel="0" collapsed="false">
      <c r="A182" s="373" t="s">
        <v>69</v>
      </c>
      <c r="B182" s="59" t="s">
        <v>67</v>
      </c>
      <c r="C182" s="362"/>
      <c r="D182" s="363"/>
      <c r="E182" s="362"/>
      <c r="F182" s="362"/>
      <c r="G182" s="362"/>
      <c r="H182" s="362"/>
    </row>
    <row r="183" customFormat="false" ht="15" hidden="false" customHeight="false" outlineLevel="0" collapsed="false">
      <c r="A183" s="373" t="s">
        <v>70</v>
      </c>
      <c r="B183" s="59" t="s">
        <v>29</v>
      </c>
      <c r="C183" s="362"/>
      <c r="D183" s="363"/>
      <c r="E183" s="362"/>
      <c r="F183" s="362"/>
      <c r="G183" s="362"/>
      <c r="H183" s="362"/>
    </row>
    <row r="184" customFormat="false" ht="15" hidden="false" customHeight="false" outlineLevel="0" collapsed="false">
      <c r="A184" s="373" t="s">
        <v>205</v>
      </c>
      <c r="B184" s="59" t="s">
        <v>203</v>
      </c>
      <c r="C184" s="362"/>
      <c r="D184" s="363"/>
      <c r="E184" s="362"/>
      <c r="F184" s="362"/>
      <c r="G184" s="362"/>
      <c r="H184" s="362"/>
    </row>
    <row r="185" customFormat="false" ht="15" hidden="false" customHeight="false" outlineLevel="0" collapsed="false">
      <c r="A185" s="373" t="s">
        <v>110</v>
      </c>
      <c r="B185" s="59" t="s">
        <v>29</v>
      </c>
      <c r="C185" s="362"/>
      <c r="D185" s="363"/>
      <c r="E185" s="362"/>
      <c r="F185" s="362"/>
      <c r="G185" s="362"/>
      <c r="H185" s="362"/>
    </row>
    <row r="186" customFormat="false" ht="15" hidden="false" customHeight="false" outlineLevel="0" collapsed="false">
      <c r="A186" s="374" t="s">
        <v>111</v>
      </c>
      <c r="B186" s="59" t="s">
        <v>29</v>
      </c>
      <c r="C186" s="362"/>
      <c r="D186" s="363"/>
      <c r="E186" s="362"/>
      <c r="F186" s="362"/>
      <c r="G186" s="362"/>
      <c r="H186" s="362"/>
    </row>
    <row r="187" customFormat="false" ht="15" hidden="false" customHeight="false" outlineLevel="0" collapsed="false">
      <c r="A187" s="373" t="s">
        <v>73</v>
      </c>
      <c r="B187" s="59" t="s">
        <v>71</v>
      </c>
      <c r="C187" s="362"/>
      <c r="D187" s="363"/>
      <c r="E187" s="362"/>
      <c r="F187" s="363"/>
      <c r="G187" s="363"/>
      <c r="H187" s="362"/>
    </row>
    <row r="188" customFormat="false" ht="15" hidden="false" customHeight="false" outlineLevel="0" collapsed="false">
      <c r="A188" s="373" t="s">
        <v>207</v>
      </c>
      <c r="B188" s="59" t="s">
        <v>65</v>
      </c>
      <c r="C188" s="362"/>
      <c r="D188" s="363"/>
      <c r="E188" s="362"/>
      <c r="F188" s="362"/>
      <c r="G188" s="362"/>
      <c r="H188" s="362"/>
    </row>
    <row r="189" customFormat="false" ht="15" hidden="false" customHeight="false" outlineLevel="0" collapsed="false">
      <c r="A189" s="373" t="s">
        <v>69</v>
      </c>
      <c r="B189" s="59" t="s">
        <v>67</v>
      </c>
      <c r="C189" s="362"/>
      <c r="D189" s="363"/>
      <c r="E189" s="362"/>
      <c r="F189" s="362"/>
      <c r="G189" s="362"/>
      <c r="H189" s="362"/>
    </row>
    <row r="190" customFormat="false" ht="15" hidden="false" customHeight="false" outlineLevel="0" collapsed="false">
      <c r="A190" s="373" t="s">
        <v>209</v>
      </c>
      <c r="B190" s="59" t="s">
        <v>203</v>
      </c>
      <c r="C190" s="362"/>
      <c r="D190" s="363"/>
      <c r="E190" s="362"/>
      <c r="F190" s="362"/>
      <c r="G190" s="362"/>
      <c r="H190" s="362"/>
    </row>
    <row r="191" customFormat="false" ht="15" hidden="false" customHeight="false" outlineLevel="0" collapsed="false">
      <c r="A191" s="373" t="s">
        <v>211</v>
      </c>
      <c r="B191" s="59" t="s">
        <v>203</v>
      </c>
      <c r="C191" s="362"/>
      <c r="D191" s="363"/>
      <c r="E191" s="362"/>
      <c r="F191" s="362"/>
      <c r="G191" s="362"/>
      <c r="H191" s="362"/>
    </row>
    <row r="192" customFormat="false" ht="15" hidden="false" customHeight="false" outlineLevel="0" collapsed="false">
      <c r="A192" s="373" t="s">
        <v>212</v>
      </c>
      <c r="B192" s="59" t="s">
        <v>98</v>
      </c>
      <c r="C192" s="362"/>
      <c r="D192" s="363"/>
      <c r="E192" s="362"/>
      <c r="F192" s="362"/>
      <c r="G192" s="362"/>
      <c r="H192" s="362"/>
    </row>
    <row r="193" customFormat="false" ht="15" hidden="false" customHeight="false" outlineLevel="0" collapsed="false">
      <c r="A193" s="373" t="s">
        <v>214</v>
      </c>
      <c r="B193" s="59" t="s">
        <v>65</v>
      </c>
      <c r="C193" s="362"/>
      <c r="D193" s="363"/>
      <c r="E193" s="362"/>
      <c r="F193" s="362"/>
      <c r="G193" s="362"/>
      <c r="H193" s="362"/>
    </row>
    <row r="194" customFormat="false" ht="15" hidden="false" customHeight="false" outlineLevel="0" collapsed="false">
      <c r="A194" s="373" t="s">
        <v>215</v>
      </c>
      <c r="B194" s="59" t="s">
        <v>65</v>
      </c>
      <c r="C194" s="362"/>
      <c r="D194" s="363"/>
      <c r="E194" s="362"/>
      <c r="F194" s="362"/>
      <c r="G194" s="362"/>
      <c r="H194" s="362"/>
    </row>
    <row r="195" customFormat="false" ht="15" hidden="false" customHeight="false" outlineLevel="0" collapsed="false">
      <c r="A195" s="373" t="s">
        <v>97</v>
      </c>
      <c r="B195" s="59" t="s">
        <v>65</v>
      </c>
      <c r="C195" s="362"/>
      <c r="D195" s="363"/>
      <c r="E195" s="362"/>
      <c r="F195" s="362"/>
      <c r="G195" s="362"/>
      <c r="H195" s="362"/>
    </row>
    <row r="196" customFormat="false" ht="15" hidden="false" customHeight="false" outlineLevel="0" collapsed="false">
      <c r="A196" s="373" t="s">
        <v>217</v>
      </c>
      <c r="B196" s="59" t="s">
        <v>119</v>
      </c>
      <c r="C196" s="362"/>
      <c r="D196" s="363"/>
      <c r="E196" s="362"/>
      <c r="F196" s="362"/>
      <c r="G196" s="362"/>
      <c r="H196" s="362"/>
    </row>
    <row r="197" customFormat="false" ht="15" hidden="false" customHeight="false" outlineLevel="0" collapsed="false">
      <c r="A197" s="373" t="s">
        <v>218</v>
      </c>
      <c r="B197" s="59" t="s">
        <v>65</v>
      </c>
      <c r="C197" s="362"/>
      <c r="D197" s="363"/>
      <c r="E197" s="362"/>
      <c r="F197" s="362"/>
      <c r="G197" s="362"/>
      <c r="H197" s="362"/>
    </row>
    <row r="198" customFormat="false" ht="15" hidden="false" customHeight="false" outlineLevel="0" collapsed="false">
      <c r="A198" s="373" t="s">
        <v>123</v>
      </c>
      <c r="B198" s="59" t="s">
        <v>122</v>
      </c>
      <c r="C198" s="362"/>
      <c r="D198" s="363"/>
      <c r="E198" s="362"/>
      <c r="F198" s="362"/>
      <c r="G198" s="362"/>
      <c r="H198" s="362"/>
    </row>
    <row r="199" customFormat="false" ht="15" hidden="false" customHeight="false" outlineLevel="0" collapsed="false">
      <c r="A199" s="373" t="s">
        <v>128</v>
      </c>
      <c r="B199" s="59" t="s">
        <v>127</v>
      </c>
      <c r="C199" s="362"/>
      <c r="D199" s="363"/>
      <c r="E199" s="362"/>
      <c r="F199" s="362"/>
      <c r="G199" s="362"/>
      <c r="H199" s="362"/>
    </row>
    <row r="200" customFormat="false" ht="15" hidden="false" customHeight="false" outlineLevel="0" collapsed="false">
      <c r="A200" s="373" t="s">
        <v>129</v>
      </c>
      <c r="B200" s="59" t="s">
        <v>29</v>
      </c>
      <c r="C200" s="362"/>
      <c r="D200" s="363"/>
      <c r="E200" s="362"/>
      <c r="F200" s="362"/>
      <c r="G200" s="362"/>
      <c r="H200" s="362"/>
    </row>
    <row r="201" customFormat="false" ht="15" hidden="false" customHeight="false" outlineLevel="0" collapsed="false">
      <c r="A201" s="373" t="s">
        <v>70</v>
      </c>
      <c r="B201" s="59" t="s">
        <v>29</v>
      </c>
      <c r="C201" s="362"/>
      <c r="D201" s="363"/>
      <c r="E201" s="362"/>
      <c r="F201" s="362"/>
      <c r="G201" s="362"/>
      <c r="H201" s="362"/>
    </row>
    <row r="202" customFormat="false" ht="15" hidden="false" customHeight="false" outlineLevel="0" collapsed="false">
      <c r="A202" s="373" t="s">
        <v>221</v>
      </c>
      <c r="B202" s="59" t="s">
        <v>219</v>
      </c>
      <c r="C202" s="362"/>
      <c r="D202" s="363"/>
      <c r="E202" s="362"/>
      <c r="F202" s="362"/>
      <c r="G202" s="362"/>
      <c r="H202" s="362"/>
    </row>
    <row r="203" customFormat="false" ht="15" hidden="false" customHeight="false" outlineLevel="0" collapsed="false">
      <c r="A203" s="373" t="s">
        <v>222</v>
      </c>
      <c r="B203" s="59" t="s">
        <v>98</v>
      </c>
      <c r="C203" s="362"/>
      <c r="D203" s="363"/>
      <c r="E203" s="362"/>
      <c r="F203" s="362"/>
      <c r="G203" s="362"/>
      <c r="H203" s="362"/>
    </row>
    <row r="204" customFormat="false" ht="15" hidden="false" customHeight="false" outlineLevel="0" collapsed="false">
      <c r="A204" s="373" t="s">
        <v>223</v>
      </c>
      <c r="B204" s="59" t="s">
        <v>98</v>
      </c>
      <c r="C204" s="362"/>
      <c r="D204" s="363"/>
      <c r="E204" s="362"/>
      <c r="F204" s="362"/>
      <c r="G204" s="362"/>
      <c r="H204" s="362"/>
    </row>
    <row r="205" customFormat="false" ht="15" hidden="false" customHeight="false" outlineLevel="0" collapsed="false">
      <c r="A205" s="373" t="s">
        <v>224</v>
      </c>
      <c r="B205" s="59" t="s">
        <v>65</v>
      </c>
      <c r="C205" s="362"/>
      <c r="D205" s="363"/>
      <c r="E205" s="362"/>
      <c r="F205" s="362"/>
      <c r="G205" s="362"/>
      <c r="H205" s="362"/>
    </row>
    <row r="206" customFormat="false" ht="15" hidden="false" customHeight="false" outlineLevel="0" collapsed="false">
      <c r="A206" s="373" t="s">
        <v>226</v>
      </c>
      <c r="B206" s="59" t="s">
        <v>225</v>
      </c>
      <c r="C206" s="362"/>
      <c r="D206" s="363"/>
      <c r="E206" s="362"/>
      <c r="F206" s="362"/>
      <c r="G206" s="362"/>
      <c r="H206" s="362"/>
    </row>
    <row r="207" customFormat="false" ht="15" hidden="false" customHeight="false" outlineLevel="0" collapsed="false">
      <c r="A207" s="373" t="s">
        <v>227</v>
      </c>
      <c r="B207" s="59" t="s">
        <v>65</v>
      </c>
      <c r="C207" s="362"/>
      <c r="D207" s="363"/>
      <c r="E207" s="362"/>
      <c r="F207" s="362"/>
      <c r="G207" s="362"/>
      <c r="H207" s="362"/>
    </row>
    <row r="208" customFormat="false" ht="15" hidden="false" customHeight="false" outlineLevel="0" collapsed="false">
      <c r="A208" s="373" t="s">
        <v>97</v>
      </c>
      <c r="B208" s="59" t="s">
        <v>65</v>
      </c>
      <c r="C208" s="362"/>
      <c r="D208" s="363"/>
      <c r="E208" s="362"/>
      <c r="F208" s="362"/>
      <c r="G208" s="362"/>
      <c r="H208" s="362"/>
    </row>
    <row r="209" customFormat="false" ht="15" hidden="false" customHeight="false" outlineLevel="0" collapsed="false">
      <c r="A209" s="373" t="s">
        <v>131</v>
      </c>
      <c r="B209" s="59" t="s">
        <v>130</v>
      </c>
      <c r="C209" s="362"/>
      <c r="D209" s="363"/>
      <c r="E209" s="362"/>
      <c r="F209" s="362"/>
      <c r="G209" s="362"/>
      <c r="H209" s="362"/>
    </row>
    <row r="210" customFormat="false" ht="15" hidden="false" customHeight="false" outlineLevel="0" collapsed="false">
      <c r="A210" s="373" t="s">
        <v>69</v>
      </c>
      <c r="B210" s="59" t="s">
        <v>67</v>
      </c>
      <c r="C210" s="362"/>
      <c r="D210" s="363"/>
      <c r="E210" s="362"/>
      <c r="F210" s="362"/>
      <c r="G210" s="362"/>
      <c r="H210" s="362"/>
    </row>
    <row r="211" customFormat="false" ht="15" hidden="false" customHeight="false" outlineLevel="0" collapsed="false">
      <c r="A211" s="373" t="s">
        <v>70</v>
      </c>
      <c r="B211" s="59" t="s">
        <v>29</v>
      </c>
      <c r="C211" s="362"/>
      <c r="D211" s="363"/>
      <c r="E211" s="362"/>
      <c r="F211" s="362"/>
      <c r="G211" s="362"/>
      <c r="H211" s="362"/>
    </row>
    <row r="212" customFormat="false" ht="15" hidden="false" customHeight="false" outlineLevel="0" collapsed="false">
      <c r="A212" s="373" t="s">
        <v>97</v>
      </c>
      <c r="B212" s="59" t="s">
        <v>65</v>
      </c>
      <c r="C212" s="362"/>
      <c r="D212" s="363"/>
      <c r="E212" s="362"/>
      <c r="F212" s="362"/>
      <c r="G212" s="362"/>
      <c r="H212" s="362"/>
    </row>
    <row r="213" customFormat="false" ht="15" hidden="false" customHeight="false" outlineLevel="0" collapsed="false">
      <c r="A213" s="373" t="s">
        <v>229</v>
      </c>
      <c r="B213" s="59" t="s">
        <v>181</v>
      </c>
      <c r="C213" s="362"/>
      <c r="D213" s="363"/>
      <c r="E213" s="362"/>
      <c r="F213" s="362"/>
      <c r="G213" s="362"/>
      <c r="H213" s="362"/>
    </row>
    <row r="214" customFormat="false" ht="15" hidden="false" customHeight="false" outlineLevel="0" collapsed="false">
      <c r="A214" s="373" t="s">
        <v>69</v>
      </c>
      <c r="B214" s="59" t="s">
        <v>67</v>
      </c>
      <c r="C214" s="362"/>
      <c r="D214" s="363"/>
      <c r="E214" s="362"/>
      <c r="F214" s="362"/>
      <c r="G214" s="362"/>
      <c r="H214" s="362"/>
    </row>
    <row r="215" customFormat="false" ht="15" hidden="false" customHeight="false" outlineLevel="0" collapsed="false">
      <c r="A215" s="373" t="s">
        <v>97</v>
      </c>
      <c r="B215" s="59" t="s">
        <v>65</v>
      </c>
      <c r="C215" s="362"/>
      <c r="D215" s="363"/>
      <c r="E215" s="362"/>
      <c r="F215" s="362"/>
      <c r="G215" s="362"/>
      <c r="H215" s="362"/>
    </row>
    <row r="216" customFormat="false" ht="15" hidden="false" customHeight="false" outlineLevel="0" collapsed="false">
      <c r="A216" s="373" t="s">
        <v>231</v>
      </c>
      <c r="B216" s="59" t="s">
        <v>119</v>
      </c>
      <c r="C216" s="362"/>
      <c r="D216" s="363"/>
      <c r="E216" s="362"/>
      <c r="F216" s="362"/>
      <c r="G216" s="362"/>
      <c r="H216" s="362"/>
    </row>
    <row r="217" customFormat="false" ht="15" hidden="false" customHeight="false" outlineLevel="0" collapsed="false">
      <c r="A217" s="373" t="s">
        <v>223</v>
      </c>
      <c r="B217" s="59" t="s">
        <v>98</v>
      </c>
      <c r="C217" s="362"/>
      <c r="D217" s="363"/>
      <c r="E217" s="362"/>
      <c r="F217" s="362"/>
      <c r="G217" s="362"/>
      <c r="H217" s="362"/>
    </row>
    <row r="218" customFormat="false" ht="15" hidden="false" customHeight="false" outlineLevel="0" collapsed="false">
      <c r="A218" s="373" t="s">
        <v>97</v>
      </c>
      <c r="B218" s="59" t="s">
        <v>65</v>
      </c>
      <c r="C218" s="362"/>
      <c r="D218" s="363"/>
      <c r="E218" s="362"/>
      <c r="F218" s="362"/>
      <c r="G218" s="362"/>
      <c r="H218" s="362"/>
    </row>
    <row r="219" customFormat="false" ht="15" hidden="false" customHeight="false" outlineLevel="0" collapsed="false">
      <c r="A219" s="373" t="s">
        <v>143</v>
      </c>
      <c r="B219" s="59" t="s">
        <v>142</v>
      </c>
      <c r="C219" s="362"/>
      <c r="D219" s="363"/>
      <c r="E219" s="362"/>
      <c r="F219" s="362"/>
      <c r="G219" s="362"/>
      <c r="H219" s="362"/>
    </row>
    <row r="220" customFormat="false" ht="15" hidden="false" customHeight="false" outlineLevel="0" collapsed="false">
      <c r="A220" s="373" t="s">
        <v>234</v>
      </c>
      <c r="B220" s="59" t="s">
        <v>65</v>
      </c>
      <c r="C220" s="362"/>
      <c r="D220" s="363"/>
      <c r="E220" s="362"/>
      <c r="F220" s="362"/>
      <c r="G220" s="362"/>
      <c r="H220" s="362"/>
    </row>
    <row r="221" customFormat="false" ht="15" hidden="false" customHeight="false" outlineLevel="0" collapsed="false">
      <c r="A221" s="373" t="s">
        <v>78</v>
      </c>
      <c r="B221" s="59" t="s">
        <v>65</v>
      </c>
      <c r="C221" s="362"/>
      <c r="D221" s="363"/>
      <c r="E221" s="362"/>
      <c r="F221" s="362"/>
      <c r="G221" s="362"/>
      <c r="H221" s="362"/>
    </row>
    <row r="222" customFormat="false" ht="15" hidden="false" customHeight="false" outlineLevel="0" collapsed="false">
      <c r="A222" s="373" t="s">
        <v>235</v>
      </c>
      <c r="B222" s="59" t="s">
        <v>65</v>
      </c>
      <c r="C222" s="362"/>
      <c r="D222" s="363"/>
      <c r="E222" s="362"/>
      <c r="F222" s="362"/>
      <c r="G222" s="362"/>
      <c r="H222" s="362"/>
    </row>
    <row r="223" customFormat="false" ht="15" hidden="false" customHeight="false" outlineLevel="0" collapsed="false">
      <c r="A223" s="373" t="s">
        <v>236</v>
      </c>
      <c r="B223" s="59" t="s">
        <v>74</v>
      </c>
      <c r="C223" s="362"/>
      <c r="D223" s="363"/>
      <c r="E223" s="362"/>
      <c r="F223" s="362"/>
      <c r="G223" s="362"/>
      <c r="H223" s="362"/>
    </row>
    <row r="224" customFormat="false" ht="15" hidden="false" customHeight="false" outlineLevel="0" collapsed="false">
      <c r="A224" s="373" t="s">
        <v>238</v>
      </c>
      <c r="B224" s="59" t="s">
        <v>203</v>
      </c>
      <c r="C224" s="362"/>
      <c r="D224" s="363"/>
      <c r="E224" s="362"/>
      <c r="F224" s="362"/>
      <c r="G224" s="362"/>
      <c r="H224" s="362"/>
    </row>
    <row r="225" customFormat="false" ht="15" hidden="false" customHeight="false" outlineLevel="0" collapsed="false">
      <c r="A225" s="373" t="s">
        <v>240</v>
      </c>
      <c r="B225" s="59" t="s">
        <v>225</v>
      </c>
      <c r="C225" s="362"/>
      <c r="D225" s="363"/>
      <c r="E225" s="362"/>
      <c r="F225" s="362"/>
      <c r="G225" s="362"/>
      <c r="H225" s="362"/>
    </row>
    <row r="226" customFormat="false" ht="15" hidden="false" customHeight="false" outlineLevel="0" collapsed="false">
      <c r="A226" s="373" t="s">
        <v>241</v>
      </c>
      <c r="B226" s="59" t="s">
        <v>76</v>
      </c>
      <c r="C226" s="362"/>
      <c r="D226" s="363"/>
      <c r="E226" s="362"/>
      <c r="F226" s="362"/>
      <c r="G226" s="362"/>
      <c r="H226" s="362"/>
    </row>
    <row r="227" customFormat="false" ht="15" hidden="false" customHeight="false" outlineLevel="0" collapsed="false">
      <c r="A227" s="373" t="s">
        <v>242</v>
      </c>
      <c r="B227" s="59" t="s">
        <v>76</v>
      </c>
      <c r="C227" s="362"/>
      <c r="D227" s="363"/>
      <c r="E227" s="362"/>
      <c r="F227" s="362"/>
      <c r="G227" s="362"/>
      <c r="H227" s="362"/>
    </row>
    <row r="228" customFormat="false" ht="15" hidden="false" customHeight="false" outlineLevel="0" collapsed="false">
      <c r="A228" s="373" t="s">
        <v>88</v>
      </c>
      <c r="B228" s="59" t="s">
        <v>87</v>
      </c>
      <c r="C228" s="362"/>
      <c r="D228" s="363"/>
      <c r="E228" s="362"/>
      <c r="F228" s="362"/>
      <c r="G228" s="362"/>
      <c r="H228" s="362"/>
    </row>
    <row r="229" customFormat="false" ht="15" hidden="false" customHeight="false" outlineLevel="0" collapsed="false">
      <c r="A229" s="373" t="s">
        <v>243</v>
      </c>
      <c r="B229" s="59" t="s">
        <v>65</v>
      </c>
      <c r="C229" s="362"/>
      <c r="D229" s="363"/>
      <c r="E229" s="362"/>
      <c r="F229" s="362"/>
      <c r="G229" s="362"/>
      <c r="H229" s="362"/>
    </row>
    <row r="230" customFormat="false" ht="15" hidden="false" customHeight="false" outlineLevel="0" collapsed="false">
      <c r="A230" s="373" t="s">
        <v>244</v>
      </c>
      <c r="B230" s="59" t="s">
        <v>65</v>
      </c>
      <c r="C230" s="362"/>
      <c r="D230" s="363"/>
      <c r="E230" s="362"/>
      <c r="F230" s="362"/>
      <c r="G230" s="362"/>
      <c r="H230" s="362"/>
    </row>
    <row r="231" customFormat="false" ht="15" hidden="false" customHeight="false" outlineLevel="0" collapsed="false">
      <c r="A231" s="373" t="s">
        <v>245</v>
      </c>
      <c r="B231" s="59" t="s">
        <v>65</v>
      </c>
      <c r="C231" s="362"/>
      <c r="D231" s="363"/>
      <c r="E231" s="362"/>
      <c r="F231" s="362"/>
      <c r="G231" s="362"/>
      <c r="H231" s="362"/>
    </row>
    <row r="232" customFormat="false" ht="15" hidden="false" customHeight="false" outlineLevel="0" collapsed="false">
      <c r="A232" s="373" t="s">
        <v>246</v>
      </c>
      <c r="B232" s="59" t="s">
        <v>65</v>
      </c>
      <c r="C232" s="362"/>
      <c r="D232" s="363"/>
      <c r="E232" s="362"/>
      <c r="F232" s="362"/>
      <c r="G232" s="362"/>
      <c r="H232" s="362"/>
    </row>
    <row r="233" customFormat="false" ht="15" hidden="false" customHeight="false" outlineLevel="0" collapsed="false">
      <c r="A233" s="373" t="s">
        <v>247</v>
      </c>
      <c r="B233" s="59" t="s">
        <v>98</v>
      </c>
      <c r="C233" s="362"/>
      <c r="D233" s="363"/>
      <c r="E233" s="362"/>
      <c r="F233" s="362"/>
      <c r="G233" s="362"/>
      <c r="H233" s="362"/>
    </row>
    <row r="234" customFormat="false" ht="15" hidden="false" customHeight="false" outlineLevel="0" collapsed="false">
      <c r="A234" s="373" t="s">
        <v>248</v>
      </c>
      <c r="B234" s="59" t="s">
        <v>65</v>
      </c>
      <c r="C234" s="362"/>
      <c r="D234" s="363"/>
      <c r="E234" s="362"/>
      <c r="F234" s="362"/>
      <c r="G234" s="362"/>
      <c r="H234" s="362"/>
    </row>
    <row r="235" customFormat="false" ht="15" hidden="false" customHeight="false" outlineLevel="0" collapsed="false">
      <c r="A235" s="373" t="s">
        <v>249</v>
      </c>
      <c r="B235" s="59" t="s">
        <v>65</v>
      </c>
      <c r="C235" s="362"/>
      <c r="D235" s="363"/>
      <c r="E235" s="362"/>
      <c r="F235" s="362"/>
      <c r="G235" s="362"/>
      <c r="H235" s="362"/>
    </row>
    <row r="236" customFormat="false" ht="15" hidden="false" customHeight="false" outlineLevel="0" collapsed="false">
      <c r="A236" s="373" t="s">
        <v>251</v>
      </c>
      <c r="B236" s="59" t="s">
        <v>250</v>
      </c>
      <c r="C236" s="362"/>
      <c r="D236" s="363"/>
      <c r="E236" s="362"/>
      <c r="F236" s="362"/>
      <c r="G236" s="362"/>
      <c r="H236" s="362"/>
    </row>
    <row r="237" customFormat="false" ht="15" hidden="false" customHeight="false" outlineLevel="0" collapsed="false">
      <c r="A237" s="373" t="s">
        <v>97</v>
      </c>
      <c r="B237" s="59" t="s">
        <v>65</v>
      </c>
      <c r="C237" s="362"/>
      <c r="D237" s="363"/>
      <c r="E237" s="362"/>
      <c r="F237" s="362"/>
      <c r="G237" s="362"/>
      <c r="H237" s="362"/>
    </row>
    <row r="238" customFormat="false" ht="15" hidden="false" customHeight="false" outlineLevel="0" collapsed="false">
      <c r="A238" s="373" t="s">
        <v>99</v>
      </c>
      <c r="B238" s="59" t="s">
        <v>98</v>
      </c>
      <c r="C238" s="362"/>
      <c r="D238" s="363"/>
      <c r="E238" s="362"/>
      <c r="F238" s="362"/>
      <c r="G238" s="362"/>
      <c r="H238" s="362"/>
    </row>
    <row r="239" customFormat="false" ht="15" hidden="false" customHeight="false" outlineLevel="0" collapsed="false">
      <c r="A239" s="373" t="s">
        <v>180</v>
      </c>
      <c r="B239" s="59" t="s">
        <v>98</v>
      </c>
      <c r="C239" s="362"/>
      <c r="D239" s="363"/>
      <c r="E239" s="362"/>
      <c r="F239" s="362"/>
      <c r="G239" s="362"/>
      <c r="H239" s="362"/>
    </row>
    <row r="240" customFormat="false" ht="15" hidden="false" customHeight="false" outlineLevel="0" collapsed="false">
      <c r="A240" s="373" t="s">
        <v>110</v>
      </c>
      <c r="B240" s="59" t="s">
        <v>29</v>
      </c>
      <c r="C240" s="362"/>
      <c r="D240" s="363"/>
      <c r="E240" s="362"/>
      <c r="F240" s="362"/>
      <c r="G240" s="362"/>
      <c r="H240" s="362"/>
    </row>
    <row r="241" customFormat="false" ht="15" hidden="false" customHeight="false" outlineLevel="0" collapsed="false">
      <c r="A241" s="374" t="s">
        <v>111</v>
      </c>
      <c r="B241" s="59" t="s">
        <v>29</v>
      </c>
      <c r="C241" s="362"/>
      <c r="D241" s="363"/>
      <c r="E241" s="362"/>
      <c r="F241" s="362"/>
      <c r="G241" s="362"/>
      <c r="H241" s="362"/>
    </row>
    <row r="242" customFormat="false" ht="15" hidden="false" customHeight="false" outlineLevel="0" collapsed="false">
      <c r="A242" s="373" t="s">
        <v>252</v>
      </c>
      <c r="B242" s="59" t="s">
        <v>76</v>
      </c>
      <c r="C242" s="362"/>
      <c r="D242" s="363"/>
      <c r="E242" s="362"/>
      <c r="F242" s="363"/>
      <c r="G242" s="363"/>
      <c r="H242" s="362"/>
    </row>
    <row r="243" customFormat="false" ht="15" hidden="false" customHeight="false" outlineLevel="0" collapsed="false">
      <c r="A243" s="373" t="s">
        <v>253</v>
      </c>
      <c r="B243" s="59" t="s">
        <v>5</v>
      </c>
      <c r="C243" s="362"/>
      <c r="D243" s="363"/>
      <c r="E243" s="362"/>
      <c r="F243" s="362"/>
      <c r="G243" s="362"/>
      <c r="H243" s="362"/>
    </row>
    <row r="244" customFormat="false" ht="15" hidden="false" customHeight="false" outlineLevel="0" collapsed="false">
      <c r="A244" s="373" t="s">
        <v>97</v>
      </c>
      <c r="B244" s="59" t="s">
        <v>65</v>
      </c>
      <c r="C244" s="362"/>
      <c r="D244" s="363"/>
      <c r="E244" s="362"/>
      <c r="F244" s="362"/>
      <c r="G244" s="362"/>
      <c r="H244" s="362"/>
    </row>
    <row r="245" customFormat="false" ht="15" hidden="false" customHeight="false" outlineLevel="0" collapsed="false">
      <c r="A245" s="373" t="s">
        <v>97</v>
      </c>
      <c r="B245" s="59" t="s">
        <v>65</v>
      </c>
      <c r="C245" s="362"/>
      <c r="D245" s="363"/>
      <c r="E245" s="362"/>
      <c r="F245" s="362"/>
      <c r="G245" s="362"/>
      <c r="H245" s="362"/>
    </row>
    <row r="246" customFormat="false" ht="15" hidden="false" customHeight="false" outlineLevel="0" collapsed="false">
      <c r="A246" s="373" t="s">
        <v>128</v>
      </c>
      <c r="B246" s="59" t="s">
        <v>127</v>
      </c>
      <c r="C246" s="362"/>
      <c r="D246" s="363"/>
      <c r="E246" s="362"/>
      <c r="F246" s="362"/>
      <c r="G246" s="362"/>
      <c r="H246" s="362"/>
    </row>
    <row r="247" customFormat="false" ht="15" hidden="false" customHeight="false" outlineLevel="0" collapsed="false">
      <c r="A247" s="373" t="s">
        <v>129</v>
      </c>
      <c r="B247" s="59" t="s">
        <v>29</v>
      </c>
      <c r="C247" s="362"/>
      <c r="D247" s="363"/>
      <c r="E247" s="362"/>
      <c r="F247" s="362"/>
      <c r="G247" s="362"/>
      <c r="H247" s="362"/>
    </row>
    <row r="248" customFormat="false" ht="15" hidden="false" customHeight="false" outlineLevel="0" collapsed="false">
      <c r="A248" s="373" t="s">
        <v>70</v>
      </c>
      <c r="B248" s="59" t="s">
        <v>29</v>
      </c>
      <c r="C248" s="362"/>
      <c r="D248" s="363"/>
      <c r="E248" s="362"/>
      <c r="F248" s="362"/>
      <c r="G248" s="362"/>
      <c r="H248" s="362"/>
    </row>
    <row r="249" customFormat="false" ht="15" hidden="false" customHeight="false" outlineLevel="0" collapsed="false">
      <c r="A249" s="373" t="s">
        <v>169</v>
      </c>
      <c r="B249" s="59" t="s">
        <v>29</v>
      </c>
      <c r="C249" s="362"/>
      <c r="D249" s="363"/>
      <c r="E249" s="362"/>
      <c r="F249" s="362"/>
      <c r="G249" s="362"/>
      <c r="H249" s="362"/>
    </row>
    <row r="250" customFormat="false" ht="15" hidden="false" customHeight="false" outlineLevel="0" collapsed="false">
      <c r="A250" s="375" t="s">
        <v>58</v>
      </c>
      <c r="B250" s="59" t="s">
        <v>29</v>
      </c>
      <c r="C250" s="362"/>
      <c r="D250" s="363"/>
      <c r="E250" s="362"/>
      <c r="F250" s="362"/>
      <c r="G250" s="362"/>
      <c r="H250" s="362"/>
    </row>
    <row r="251" customFormat="false" ht="15" hidden="false" customHeight="false" outlineLevel="0" collapsed="false">
      <c r="A251" s="375" t="s">
        <v>257</v>
      </c>
      <c r="B251" s="59" t="s">
        <v>203</v>
      </c>
      <c r="C251" s="362"/>
      <c r="D251" s="363"/>
      <c r="E251" s="362"/>
      <c r="F251" s="362"/>
      <c r="G251" s="362"/>
      <c r="H251" s="362"/>
    </row>
    <row r="252" customFormat="false" ht="15" hidden="false" customHeight="false" outlineLevel="0" collapsed="false">
      <c r="A252" s="375" t="s">
        <v>258</v>
      </c>
      <c r="B252" s="59" t="s">
        <v>65</v>
      </c>
      <c r="C252" s="362"/>
      <c r="D252" s="363"/>
      <c r="E252" s="362"/>
      <c r="F252" s="362"/>
      <c r="G252" s="362"/>
      <c r="H252" s="362"/>
    </row>
    <row r="253" customFormat="false" ht="15" hidden="false" customHeight="false" outlineLevel="0" collapsed="false">
      <c r="A253" s="375" t="s">
        <v>179</v>
      </c>
      <c r="B253" s="59" t="s">
        <v>76</v>
      </c>
      <c r="C253" s="362"/>
      <c r="D253" s="363"/>
      <c r="E253" s="362"/>
      <c r="F253" s="362"/>
      <c r="G253" s="362"/>
      <c r="H253" s="362"/>
    </row>
    <row r="254" customFormat="false" ht="15" hidden="false" customHeight="false" outlineLevel="0" collapsed="false">
      <c r="A254" s="375" t="s">
        <v>259</v>
      </c>
      <c r="B254" s="59" t="s">
        <v>65</v>
      </c>
      <c r="C254" s="362"/>
      <c r="D254" s="363"/>
      <c r="E254" s="362"/>
      <c r="F254" s="362"/>
      <c r="G254" s="362"/>
      <c r="H254" s="362"/>
    </row>
    <row r="255" customFormat="false" ht="15" hidden="false" customHeight="false" outlineLevel="0" collapsed="false">
      <c r="A255" s="375" t="s">
        <v>260</v>
      </c>
      <c r="B255" s="59" t="s">
        <v>65</v>
      </c>
      <c r="C255" s="362"/>
      <c r="D255" s="363"/>
      <c r="E255" s="362"/>
      <c r="F255" s="362"/>
      <c r="G255" s="362"/>
      <c r="H255" s="362"/>
    </row>
    <row r="256" customFormat="false" ht="15" hidden="false" customHeight="false" outlineLevel="0" collapsed="false">
      <c r="A256" s="375" t="s">
        <v>261</v>
      </c>
      <c r="B256" s="59" t="s">
        <v>181</v>
      </c>
      <c r="C256" s="362"/>
      <c r="D256" s="363"/>
      <c r="E256" s="362"/>
      <c r="F256" s="362"/>
      <c r="G256" s="362"/>
      <c r="H256" s="362"/>
    </row>
    <row r="257" customFormat="false" ht="15" hidden="false" customHeight="false" outlineLevel="0" collapsed="false">
      <c r="A257" s="375" t="s">
        <v>68</v>
      </c>
      <c r="B257" s="59" t="s">
        <v>67</v>
      </c>
      <c r="C257" s="362"/>
      <c r="D257" s="363"/>
      <c r="E257" s="362"/>
      <c r="F257" s="362"/>
      <c r="G257" s="362"/>
      <c r="H257" s="362"/>
    </row>
    <row r="258" customFormat="false" ht="15" hidden="false" customHeight="false" outlineLevel="0" collapsed="false">
      <c r="A258" s="375" t="s">
        <v>69</v>
      </c>
      <c r="B258" s="59" t="s">
        <v>67</v>
      </c>
      <c r="C258" s="362"/>
      <c r="D258" s="363"/>
      <c r="E258" s="362"/>
      <c r="F258" s="362"/>
      <c r="G258" s="362"/>
      <c r="H258" s="362"/>
    </row>
    <row r="259" customFormat="false" ht="15" hidden="false" customHeight="false" outlineLevel="0" collapsed="false">
      <c r="A259" s="375" t="s">
        <v>70</v>
      </c>
      <c r="B259" s="59" t="s">
        <v>29</v>
      </c>
      <c r="C259" s="362"/>
      <c r="D259" s="363"/>
      <c r="E259" s="362"/>
      <c r="F259" s="362"/>
      <c r="G259" s="362"/>
      <c r="H259" s="362"/>
    </row>
    <row r="260" customFormat="false" ht="15" hidden="false" customHeight="false" outlineLevel="0" collapsed="false">
      <c r="A260" s="375" t="s">
        <v>263</v>
      </c>
      <c r="B260" s="59" t="s">
        <v>67</v>
      </c>
      <c r="C260" s="362"/>
      <c r="D260" s="363"/>
      <c r="E260" s="362"/>
      <c r="F260" s="362"/>
      <c r="G260" s="362"/>
      <c r="H260" s="362"/>
    </row>
    <row r="261" customFormat="false" ht="15" hidden="false" customHeight="false" outlineLevel="0" collapsed="false">
      <c r="A261" s="375" t="s">
        <v>69</v>
      </c>
      <c r="B261" s="59" t="s">
        <v>67</v>
      </c>
      <c r="C261" s="362"/>
      <c r="D261" s="363"/>
      <c r="E261" s="362"/>
      <c r="F261" s="362"/>
      <c r="G261" s="362"/>
      <c r="H261" s="362"/>
    </row>
    <row r="262" customFormat="false" ht="15" hidden="false" customHeight="false" outlineLevel="0" collapsed="false">
      <c r="A262" s="375" t="s">
        <v>70</v>
      </c>
      <c r="B262" s="59" t="s">
        <v>29</v>
      </c>
      <c r="C262" s="362"/>
      <c r="D262" s="363"/>
      <c r="E262" s="362"/>
      <c r="F262" s="362"/>
      <c r="G262" s="362"/>
      <c r="H262" s="362"/>
    </row>
    <row r="263" customFormat="false" ht="15" hidden="false" customHeight="false" outlineLevel="0" collapsed="false">
      <c r="A263" s="375" t="s">
        <v>70</v>
      </c>
      <c r="B263" s="59" t="s">
        <v>29</v>
      </c>
      <c r="C263" s="362"/>
      <c r="D263" s="363"/>
      <c r="E263" s="362"/>
      <c r="F263" s="362"/>
      <c r="G263" s="362"/>
      <c r="H263" s="362"/>
    </row>
    <row r="264" customFormat="false" ht="15" hidden="false" customHeight="false" outlineLevel="0" collapsed="false">
      <c r="A264" s="375" t="s">
        <v>267</v>
      </c>
      <c r="B264" s="59" t="s">
        <v>265</v>
      </c>
      <c r="C264" s="362"/>
      <c r="D264" s="363"/>
      <c r="E264" s="362"/>
      <c r="F264" s="362"/>
      <c r="G264" s="362"/>
      <c r="H264" s="362"/>
    </row>
    <row r="265" customFormat="false" ht="15" hidden="false" customHeight="false" outlineLevel="0" collapsed="false">
      <c r="A265" s="375" t="s">
        <v>69</v>
      </c>
      <c r="B265" s="59" t="s">
        <v>67</v>
      </c>
      <c r="C265" s="362"/>
      <c r="D265" s="363"/>
      <c r="E265" s="362"/>
      <c r="F265" s="362"/>
      <c r="G265" s="362"/>
      <c r="H265" s="362"/>
    </row>
    <row r="266" customFormat="false" ht="15" hidden="false" customHeight="false" outlineLevel="0" collapsed="false">
      <c r="A266" s="375" t="s">
        <v>70</v>
      </c>
      <c r="B266" s="59" t="s">
        <v>29</v>
      </c>
      <c r="C266" s="362"/>
      <c r="D266" s="363"/>
      <c r="E266" s="362"/>
      <c r="F266" s="362"/>
      <c r="G266" s="362"/>
      <c r="H266" s="362"/>
    </row>
    <row r="267" customFormat="false" ht="15" hidden="false" customHeight="false" outlineLevel="0" collapsed="false">
      <c r="A267" s="375" t="s">
        <v>269</v>
      </c>
      <c r="B267" s="59" t="s">
        <v>203</v>
      </c>
      <c r="C267" s="362"/>
      <c r="D267" s="363"/>
      <c r="E267" s="362"/>
      <c r="F267" s="362"/>
      <c r="G267" s="362"/>
      <c r="H267" s="362"/>
    </row>
    <row r="268" customFormat="false" ht="15" hidden="false" customHeight="false" outlineLevel="0" collapsed="false">
      <c r="A268" s="375" t="s">
        <v>270</v>
      </c>
      <c r="B268" s="59" t="s">
        <v>65</v>
      </c>
      <c r="C268" s="362"/>
      <c r="D268" s="363"/>
      <c r="E268" s="362"/>
      <c r="F268" s="362"/>
      <c r="G268" s="362"/>
      <c r="H268" s="362"/>
    </row>
    <row r="269" customFormat="false" ht="15" hidden="false" customHeight="false" outlineLevel="0" collapsed="false">
      <c r="A269" s="375" t="s">
        <v>69</v>
      </c>
      <c r="B269" s="59" t="s">
        <v>67</v>
      </c>
      <c r="C269" s="362"/>
      <c r="D269" s="363"/>
      <c r="E269" s="362"/>
      <c r="F269" s="362"/>
      <c r="G269" s="362"/>
      <c r="H269" s="362"/>
    </row>
    <row r="270" customFormat="false" ht="15" hidden="false" customHeight="false" outlineLevel="0" collapsed="false">
      <c r="A270" s="375" t="s">
        <v>70</v>
      </c>
      <c r="B270" s="59" t="s">
        <v>29</v>
      </c>
      <c r="C270" s="362"/>
      <c r="D270" s="363"/>
      <c r="E270" s="362"/>
      <c r="F270" s="362"/>
      <c r="G270" s="362"/>
      <c r="H270" s="362"/>
    </row>
    <row r="271" customFormat="false" ht="15" hidden="false" customHeight="false" outlineLevel="0" collapsed="false">
      <c r="A271" s="375" t="s">
        <v>273</v>
      </c>
      <c r="B271" s="59" t="s">
        <v>203</v>
      </c>
      <c r="C271" s="362"/>
      <c r="D271" s="363"/>
      <c r="E271" s="362"/>
      <c r="F271" s="362"/>
      <c r="G271" s="362"/>
      <c r="H271" s="362"/>
    </row>
    <row r="272" customFormat="false" ht="15" hidden="false" customHeight="false" outlineLevel="0" collapsed="false">
      <c r="A272" s="375" t="s">
        <v>275</v>
      </c>
      <c r="B272" s="59" t="s">
        <v>74</v>
      </c>
      <c r="C272" s="362"/>
      <c r="D272" s="363"/>
      <c r="E272" s="362"/>
      <c r="F272" s="362"/>
      <c r="G272" s="362"/>
      <c r="H272" s="362"/>
    </row>
    <row r="273" customFormat="false" ht="15" hidden="false" customHeight="false" outlineLevel="0" collapsed="false">
      <c r="A273" s="375" t="s">
        <v>276</v>
      </c>
      <c r="B273" s="59" t="s">
        <v>65</v>
      </c>
      <c r="C273" s="362"/>
      <c r="D273" s="363"/>
      <c r="E273" s="362"/>
      <c r="F273" s="362"/>
      <c r="G273" s="362"/>
      <c r="H273" s="362"/>
    </row>
    <row r="274" customFormat="false" ht="15" hidden="false" customHeight="false" outlineLevel="0" collapsed="false">
      <c r="A274" s="375" t="s">
        <v>131</v>
      </c>
      <c r="B274" s="59" t="s">
        <v>130</v>
      </c>
      <c r="C274" s="362"/>
      <c r="D274" s="363"/>
      <c r="E274" s="362"/>
      <c r="F274" s="362"/>
      <c r="G274" s="362"/>
      <c r="H274" s="362"/>
    </row>
    <row r="275" customFormat="false" ht="15" hidden="false" customHeight="false" outlineLevel="0" collapsed="false">
      <c r="A275" s="375" t="s">
        <v>69</v>
      </c>
      <c r="B275" s="59" t="s">
        <v>67</v>
      </c>
      <c r="C275" s="362"/>
      <c r="D275" s="363"/>
      <c r="E275" s="362"/>
      <c r="F275" s="362"/>
      <c r="G275" s="362"/>
      <c r="H275" s="362"/>
    </row>
    <row r="276" customFormat="false" ht="15" hidden="false" customHeight="false" outlineLevel="0" collapsed="false">
      <c r="A276" s="375" t="s">
        <v>277</v>
      </c>
      <c r="B276" s="59" t="s">
        <v>29</v>
      </c>
      <c r="C276" s="362"/>
      <c r="D276" s="363"/>
      <c r="E276" s="362"/>
      <c r="F276" s="362"/>
      <c r="G276" s="362"/>
      <c r="H276" s="362"/>
    </row>
    <row r="277" customFormat="false" ht="15" hidden="false" customHeight="false" outlineLevel="0" collapsed="false">
      <c r="A277" s="375" t="s">
        <v>70</v>
      </c>
      <c r="B277" s="59" t="s">
        <v>29</v>
      </c>
      <c r="C277" s="362"/>
      <c r="D277" s="363"/>
      <c r="E277" s="362"/>
      <c r="F277" s="362"/>
      <c r="G277" s="362"/>
      <c r="H277" s="362"/>
    </row>
    <row r="278" customFormat="false" ht="15" hidden="false" customHeight="false" outlineLevel="0" collapsed="false">
      <c r="A278" s="375" t="s">
        <v>279</v>
      </c>
      <c r="B278" s="59" t="s">
        <v>65</v>
      </c>
      <c r="C278" s="362"/>
      <c r="D278" s="363"/>
      <c r="E278" s="362"/>
      <c r="F278" s="362"/>
      <c r="G278" s="362"/>
      <c r="H278" s="362"/>
    </row>
    <row r="279" customFormat="false" ht="15" hidden="false" customHeight="false" outlineLevel="0" collapsed="false">
      <c r="A279" s="375" t="s">
        <v>280</v>
      </c>
      <c r="B279" s="59" t="s">
        <v>65</v>
      </c>
      <c r="C279" s="362"/>
      <c r="D279" s="363"/>
      <c r="E279" s="362"/>
      <c r="F279" s="362"/>
      <c r="G279" s="362"/>
      <c r="H279" s="362"/>
    </row>
    <row r="280" customFormat="false" ht="15" hidden="false" customHeight="false" outlineLevel="0" collapsed="false">
      <c r="A280" s="375" t="s">
        <v>109</v>
      </c>
      <c r="B280" s="59" t="s">
        <v>67</v>
      </c>
      <c r="C280" s="362"/>
      <c r="D280" s="363"/>
      <c r="E280" s="362"/>
      <c r="F280" s="362"/>
      <c r="G280" s="362"/>
      <c r="H280" s="362"/>
    </row>
    <row r="281" customFormat="false" ht="15" hidden="false" customHeight="false" outlineLevel="0" collapsed="false">
      <c r="A281" s="375" t="s">
        <v>69</v>
      </c>
      <c r="B281" s="59" t="s">
        <v>67</v>
      </c>
      <c r="C281" s="362"/>
      <c r="D281" s="363"/>
      <c r="E281" s="362"/>
      <c r="F281" s="362"/>
      <c r="G281" s="362"/>
      <c r="H281" s="362"/>
    </row>
    <row r="282" customFormat="false" ht="15" hidden="false" customHeight="false" outlineLevel="0" collapsed="false">
      <c r="A282" s="375" t="s">
        <v>70</v>
      </c>
      <c r="B282" s="59" t="s">
        <v>29</v>
      </c>
      <c r="C282" s="362"/>
      <c r="D282" s="363"/>
      <c r="E282" s="362"/>
      <c r="F282" s="362"/>
      <c r="G282" s="362"/>
      <c r="H282" s="362"/>
    </row>
    <row r="283" customFormat="false" ht="15" hidden="false" customHeight="false" outlineLevel="0" collapsed="false">
      <c r="A283" s="375" t="s">
        <v>282</v>
      </c>
      <c r="B283" s="59" t="s">
        <v>65</v>
      </c>
      <c r="C283" s="362"/>
      <c r="D283" s="363"/>
      <c r="E283" s="362"/>
      <c r="F283" s="362"/>
      <c r="G283" s="362"/>
      <c r="H283" s="362"/>
    </row>
    <row r="284" customFormat="false" ht="15" hidden="false" customHeight="false" outlineLevel="0" collapsed="false">
      <c r="A284" s="375" t="s">
        <v>283</v>
      </c>
      <c r="B284" s="59" t="s">
        <v>65</v>
      </c>
      <c r="C284" s="362"/>
      <c r="D284" s="363"/>
      <c r="E284" s="362"/>
      <c r="F284" s="362"/>
      <c r="G284" s="362"/>
      <c r="H284" s="362"/>
    </row>
    <row r="285" customFormat="false" ht="15" hidden="false" customHeight="false" outlineLevel="0" collapsed="false">
      <c r="A285" s="375" t="s">
        <v>284</v>
      </c>
      <c r="B285" s="59" t="s">
        <v>65</v>
      </c>
      <c r="C285" s="362"/>
      <c r="D285" s="363"/>
      <c r="E285" s="362"/>
      <c r="F285" s="362"/>
      <c r="G285" s="362"/>
      <c r="H285" s="362"/>
    </row>
    <row r="286" customFormat="false" ht="15" hidden="false" customHeight="false" outlineLevel="0" collapsed="false">
      <c r="A286" s="375" t="s">
        <v>69</v>
      </c>
      <c r="B286" s="59" t="s">
        <v>67</v>
      </c>
      <c r="C286" s="362"/>
      <c r="D286" s="363"/>
      <c r="E286" s="362"/>
      <c r="F286" s="362"/>
      <c r="G286" s="362"/>
      <c r="H286" s="362"/>
    </row>
    <row r="287" customFormat="false" ht="15" hidden="false" customHeight="false" outlineLevel="0" collapsed="false">
      <c r="A287" s="375" t="s">
        <v>286</v>
      </c>
      <c r="B287" s="59" t="s">
        <v>76</v>
      </c>
      <c r="C287" s="362"/>
      <c r="D287" s="363"/>
      <c r="E287" s="362"/>
      <c r="F287" s="362"/>
      <c r="G287" s="362"/>
      <c r="H287" s="362"/>
    </row>
    <row r="288" customFormat="false" ht="15" hidden="false" customHeight="false" outlineLevel="0" collapsed="false">
      <c r="A288" s="375" t="s">
        <v>286</v>
      </c>
      <c r="B288" s="59" t="s">
        <v>76</v>
      </c>
      <c r="C288" s="362"/>
      <c r="D288" s="363"/>
      <c r="E288" s="362"/>
      <c r="F288" s="362"/>
      <c r="G288" s="362"/>
      <c r="H288" s="362"/>
    </row>
    <row r="289" customFormat="false" ht="15" hidden="false" customHeight="false" outlineLevel="0" collapsed="false">
      <c r="A289" s="375" t="s">
        <v>287</v>
      </c>
      <c r="B289" s="59" t="s">
        <v>98</v>
      </c>
      <c r="C289" s="362"/>
      <c r="D289" s="363"/>
      <c r="E289" s="362"/>
      <c r="F289" s="362"/>
      <c r="G289" s="362"/>
      <c r="H289" s="362"/>
    </row>
    <row r="290" customFormat="false" ht="15" hidden="false" customHeight="false" outlineLevel="0" collapsed="false">
      <c r="A290" s="375" t="s">
        <v>288</v>
      </c>
      <c r="B290" s="59" t="s">
        <v>176</v>
      </c>
      <c r="C290" s="362"/>
      <c r="D290" s="363"/>
      <c r="E290" s="362"/>
      <c r="F290" s="362"/>
      <c r="G290" s="362"/>
      <c r="H290" s="362"/>
    </row>
    <row r="291" customFormat="false" ht="15" hidden="false" customHeight="false" outlineLevel="0" collapsed="false">
      <c r="A291" s="375" t="s">
        <v>288</v>
      </c>
      <c r="B291" s="59" t="s">
        <v>176</v>
      </c>
      <c r="C291" s="362"/>
      <c r="D291" s="363"/>
      <c r="E291" s="362"/>
      <c r="F291" s="362"/>
      <c r="G291" s="362"/>
      <c r="H291" s="362"/>
    </row>
    <row r="292" customFormat="false" ht="15" hidden="false" customHeight="false" outlineLevel="0" collapsed="false">
      <c r="A292" s="375" t="s">
        <v>290</v>
      </c>
      <c r="B292" s="59" t="s">
        <v>65</v>
      </c>
      <c r="C292" s="362"/>
      <c r="D292" s="363"/>
      <c r="E292" s="362"/>
      <c r="F292" s="362"/>
      <c r="G292" s="362"/>
      <c r="H292" s="362"/>
    </row>
    <row r="293" customFormat="false" ht="15" hidden="false" customHeight="false" outlineLevel="0" collapsed="false">
      <c r="A293" s="375" t="s">
        <v>291</v>
      </c>
      <c r="B293" s="59" t="s">
        <v>65</v>
      </c>
      <c r="C293" s="362"/>
      <c r="D293" s="363"/>
      <c r="E293" s="362"/>
      <c r="F293" s="362"/>
      <c r="G293" s="362"/>
      <c r="H293" s="362"/>
    </row>
    <row r="294" customFormat="false" ht="15" hidden="false" customHeight="false" outlineLevel="0" collapsed="false">
      <c r="A294" s="375" t="s">
        <v>292</v>
      </c>
      <c r="B294" s="59" t="s">
        <v>65</v>
      </c>
      <c r="C294" s="362"/>
      <c r="D294" s="363"/>
      <c r="E294" s="362"/>
      <c r="F294" s="362"/>
      <c r="G294" s="362"/>
      <c r="H294" s="362"/>
    </row>
    <row r="295" customFormat="false" ht="15" hidden="false" customHeight="false" outlineLevel="0" collapsed="false">
      <c r="A295" s="375" t="s">
        <v>293</v>
      </c>
      <c r="B295" s="59" t="s">
        <v>65</v>
      </c>
      <c r="C295" s="362"/>
      <c r="D295" s="363"/>
      <c r="E295" s="362"/>
      <c r="F295" s="362"/>
      <c r="G295" s="362"/>
      <c r="H295" s="362"/>
    </row>
    <row r="296" customFormat="false" ht="15" hidden="false" customHeight="false" outlineLevel="0" collapsed="false">
      <c r="A296" s="375" t="s">
        <v>294</v>
      </c>
      <c r="B296" s="59" t="s">
        <v>65</v>
      </c>
      <c r="C296" s="362"/>
      <c r="D296" s="363"/>
      <c r="E296" s="362"/>
      <c r="F296" s="362"/>
      <c r="G296" s="362"/>
      <c r="H296" s="362"/>
    </row>
    <row r="297" customFormat="false" ht="15" hidden="false" customHeight="false" outlineLevel="0" collapsed="false">
      <c r="A297" s="375" t="s">
        <v>296</v>
      </c>
      <c r="B297" s="59" t="s">
        <v>295</v>
      </c>
      <c r="C297" s="362"/>
      <c r="D297" s="363"/>
      <c r="E297" s="362"/>
      <c r="F297" s="362"/>
      <c r="G297" s="362"/>
      <c r="H297" s="362"/>
    </row>
    <row r="298" customFormat="false" ht="15" hidden="false" customHeight="false" outlineLevel="0" collapsed="false">
      <c r="A298" s="375" t="s">
        <v>221</v>
      </c>
      <c r="B298" s="59" t="s">
        <v>219</v>
      </c>
      <c r="C298" s="362"/>
      <c r="D298" s="363"/>
      <c r="E298" s="362"/>
      <c r="F298" s="362"/>
      <c r="G298" s="362"/>
      <c r="H298" s="362"/>
    </row>
    <row r="299" customFormat="false" ht="15" hidden="false" customHeight="false" outlineLevel="0" collapsed="false">
      <c r="A299" s="375" t="s">
        <v>123</v>
      </c>
      <c r="B299" s="59" t="s">
        <v>122</v>
      </c>
      <c r="C299" s="363"/>
      <c r="D299" s="363"/>
      <c r="E299" s="362"/>
      <c r="F299" s="362"/>
      <c r="G299" s="362"/>
      <c r="H299" s="362"/>
    </row>
    <row r="300" customFormat="false" ht="15" hidden="false" customHeight="false" outlineLevel="0" collapsed="false">
      <c r="A300" s="375" t="s">
        <v>168</v>
      </c>
      <c r="B300" s="59" t="s">
        <v>167</v>
      </c>
      <c r="C300" s="362"/>
      <c r="D300" s="363"/>
      <c r="E300" s="363"/>
      <c r="F300" s="362"/>
      <c r="G300" s="362"/>
      <c r="H300" s="363"/>
    </row>
    <row r="301" customFormat="false" ht="15" hidden="false" customHeight="false" outlineLevel="0" collapsed="false">
      <c r="A301" s="375" t="s">
        <v>128</v>
      </c>
      <c r="B301" s="59" t="s">
        <v>127</v>
      </c>
      <c r="C301" s="362"/>
      <c r="D301" s="363"/>
      <c r="E301" s="362"/>
      <c r="F301" s="362"/>
      <c r="G301" s="362"/>
      <c r="H301" s="362"/>
    </row>
    <row r="302" customFormat="false" ht="15" hidden="false" customHeight="false" outlineLevel="0" collapsed="false">
      <c r="A302" s="375" t="s">
        <v>129</v>
      </c>
      <c r="B302" s="59" t="s">
        <v>29</v>
      </c>
      <c r="C302" s="362"/>
      <c r="D302" s="363"/>
      <c r="E302" s="362"/>
      <c r="F302" s="362"/>
      <c r="G302" s="362"/>
      <c r="H302" s="362"/>
    </row>
    <row r="303" customFormat="false" ht="15" hidden="false" customHeight="false" outlineLevel="0" collapsed="false">
      <c r="A303" s="375" t="s">
        <v>70</v>
      </c>
      <c r="B303" s="59" t="s">
        <v>29</v>
      </c>
      <c r="C303" s="362"/>
      <c r="D303" s="363"/>
      <c r="E303" s="362"/>
      <c r="F303" s="362"/>
      <c r="G303" s="362"/>
      <c r="H303" s="362"/>
    </row>
    <row r="304" customFormat="false" ht="15" hidden="false" customHeight="false" outlineLevel="0" collapsed="false">
      <c r="A304" s="375" t="s">
        <v>110</v>
      </c>
      <c r="B304" s="59" t="s">
        <v>29</v>
      </c>
      <c r="C304" s="362"/>
      <c r="D304" s="363"/>
      <c r="E304" s="362"/>
      <c r="F304" s="362"/>
      <c r="G304" s="362"/>
      <c r="H304" s="362"/>
    </row>
    <row r="305" customFormat="false" ht="15" hidden="false" customHeight="false" outlineLevel="0" collapsed="false">
      <c r="A305" s="376" t="s">
        <v>111</v>
      </c>
      <c r="B305" s="59" t="s">
        <v>29</v>
      </c>
      <c r="C305" s="362"/>
      <c r="D305" s="363"/>
      <c r="E305" s="362"/>
      <c r="F305" s="362"/>
      <c r="G305" s="362"/>
      <c r="H305" s="362"/>
    </row>
    <row r="306" customFormat="false" ht="15" hidden="false" customHeight="false" outlineLevel="0" collapsed="false">
      <c r="A306" s="375" t="s">
        <v>299</v>
      </c>
      <c r="B306" s="59" t="s">
        <v>297</v>
      </c>
      <c r="C306" s="362"/>
      <c r="D306" s="363"/>
      <c r="E306" s="362"/>
      <c r="F306" s="363"/>
      <c r="G306" s="363"/>
      <c r="H306" s="362"/>
    </row>
    <row r="307" customFormat="false" ht="15" hidden="false" customHeight="false" outlineLevel="0" collapsed="false">
      <c r="A307" s="375" t="s">
        <v>300</v>
      </c>
      <c r="B307" s="59" t="s">
        <v>297</v>
      </c>
      <c r="C307" s="362"/>
      <c r="D307" s="363"/>
      <c r="E307" s="362"/>
      <c r="F307" s="362"/>
      <c r="G307" s="362"/>
      <c r="H307" s="362"/>
    </row>
    <row r="308" customFormat="false" ht="15" hidden="false" customHeight="false" outlineLevel="0" collapsed="false">
      <c r="A308" s="375" t="s">
        <v>301</v>
      </c>
      <c r="B308" s="59" t="s">
        <v>297</v>
      </c>
      <c r="C308" s="362"/>
      <c r="D308" s="363"/>
      <c r="E308" s="362"/>
      <c r="F308" s="362"/>
      <c r="G308" s="362"/>
      <c r="H308" s="362"/>
    </row>
    <row r="309" customFormat="false" ht="15" hidden="false" customHeight="false" outlineLevel="0" collapsed="false">
      <c r="A309" s="375" t="s">
        <v>69</v>
      </c>
      <c r="B309" s="59" t="s">
        <v>67</v>
      </c>
      <c r="C309" s="362"/>
      <c r="D309" s="363"/>
      <c r="E309" s="362"/>
      <c r="F309" s="362"/>
      <c r="G309" s="362"/>
      <c r="H309" s="362"/>
    </row>
    <row r="310" customFormat="false" ht="15" hidden="false" customHeight="false" outlineLevel="0" collapsed="false">
      <c r="A310" s="375" t="s">
        <v>70</v>
      </c>
      <c r="B310" s="59" t="s">
        <v>29</v>
      </c>
      <c r="C310" s="362"/>
      <c r="D310" s="363"/>
      <c r="E310" s="362"/>
      <c r="F310" s="362"/>
      <c r="G310" s="362"/>
      <c r="H310" s="362"/>
    </row>
    <row r="311" customFormat="false" ht="15" hidden="false" customHeight="false" outlineLevel="0" collapsed="false">
      <c r="A311" s="375" t="s">
        <v>303</v>
      </c>
      <c r="B311" s="59" t="s">
        <v>297</v>
      </c>
      <c r="C311" s="362"/>
      <c r="D311" s="363"/>
      <c r="E311" s="362"/>
      <c r="F311" s="362"/>
      <c r="G311" s="362"/>
      <c r="H311" s="362"/>
    </row>
    <row r="312" customFormat="false" ht="15" hidden="false" customHeight="false" outlineLevel="0" collapsed="false">
      <c r="A312" s="375" t="s">
        <v>69</v>
      </c>
      <c r="B312" s="59" t="s">
        <v>67</v>
      </c>
      <c r="C312" s="362"/>
      <c r="D312" s="363"/>
      <c r="E312" s="362"/>
      <c r="F312" s="362"/>
      <c r="G312" s="362"/>
      <c r="H312" s="362"/>
    </row>
    <row r="313" customFormat="false" ht="15" hidden="false" customHeight="false" outlineLevel="0" collapsed="false">
      <c r="A313" s="375" t="s">
        <v>70</v>
      </c>
      <c r="B313" s="59" t="s">
        <v>29</v>
      </c>
      <c r="C313" s="362"/>
      <c r="D313" s="363"/>
      <c r="E313" s="362"/>
      <c r="F313" s="362"/>
      <c r="G313" s="362"/>
      <c r="H313" s="362"/>
    </row>
    <row r="314" customFormat="false" ht="15" hidden="false" customHeight="false" outlineLevel="0" collapsed="false">
      <c r="A314" s="375" t="s">
        <v>305</v>
      </c>
      <c r="B314" s="59" t="s">
        <v>297</v>
      </c>
      <c r="C314" s="362"/>
      <c r="D314" s="363"/>
      <c r="E314" s="362"/>
      <c r="F314" s="362"/>
      <c r="G314" s="362"/>
      <c r="H314" s="362"/>
    </row>
    <row r="315" customFormat="false" ht="15" hidden="false" customHeight="false" outlineLevel="0" collapsed="false">
      <c r="A315" s="375" t="s">
        <v>305</v>
      </c>
      <c r="B315" s="59" t="s">
        <v>297</v>
      </c>
      <c r="C315" s="362"/>
      <c r="D315" s="363"/>
      <c r="E315" s="362"/>
      <c r="F315" s="362"/>
      <c r="G315" s="362"/>
      <c r="H315" s="362"/>
    </row>
    <row r="316" customFormat="false" ht="15" hidden="false" customHeight="false" outlineLevel="0" collapsed="false">
      <c r="A316" s="375" t="s">
        <v>306</v>
      </c>
      <c r="B316" s="59" t="s">
        <v>297</v>
      </c>
      <c r="C316" s="362"/>
      <c r="D316" s="363"/>
      <c r="E316" s="362"/>
      <c r="F316" s="362"/>
      <c r="G316" s="362"/>
      <c r="H316" s="362"/>
    </row>
    <row r="317" customFormat="false" ht="15" hidden="false" customHeight="false" outlineLevel="0" collapsed="false">
      <c r="A317" s="375" t="s">
        <v>69</v>
      </c>
      <c r="B317" s="59" t="s">
        <v>67</v>
      </c>
      <c r="C317" s="362"/>
      <c r="D317" s="363"/>
      <c r="E317" s="362"/>
      <c r="F317" s="362"/>
      <c r="G317" s="362"/>
      <c r="H317" s="362"/>
    </row>
    <row r="318" customFormat="false" ht="15" hidden="false" customHeight="false" outlineLevel="0" collapsed="false">
      <c r="A318" s="375" t="s">
        <v>70</v>
      </c>
      <c r="B318" s="59" t="s">
        <v>29</v>
      </c>
      <c r="C318" s="363"/>
      <c r="D318" s="363"/>
      <c r="E318" s="362"/>
      <c r="F318" s="362"/>
      <c r="G318" s="362"/>
      <c r="H318" s="362"/>
    </row>
    <row r="319" customFormat="false" ht="15" hidden="false" customHeight="false" outlineLevel="0" collapsed="false">
      <c r="A319" s="375" t="s">
        <v>308</v>
      </c>
      <c r="B319" s="59" t="s">
        <v>297</v>
      </c>
      <c r="C319" s="362"/>
      <c r="D319" s="363"/>
      <c r="E319" s="363"/>
      <c r="F319" s="362"/>
      <c r="G319" s="362"/>
      <c r="H319" s="363"/>
    </row>
    <row r="320" customFormat="false" ht="15" hidden="false" customHeight="false" outlineLevel="0" collapsed="false">
      <c r="A320" s="375" t="s">
        <v>309</v>
      </c>
      <c r="B320" s="59" t="s">
        <v>297</v>
      </c>
      <c r="C320" s="362"/>
      <c r="D320" s="363"/>
      <c r="E320" s="362"/>
      <c r="F320" s="362"/>
      <c r="G320" s="362"/>
      <c r="H320" s="362"/>
    </row>
    <row r="321" customFormat="false" ht="15" hidden="false" customHeight="false" outlineLevel="0" collapsed="false">
      <c r="A321" s="375" t="s">
        <v>309</v>
      </c>
      <c r="B321" s="59" t="s">
        <v>297</v>
      </c>
      <c r="C321" s="362"/>
      <c r="D321" s="363"/>
      <c r="E321" s="362"/>
      <c r="F321" s="362"/>
      <c r="G321" s="362"/>
      <c r="H321" s="362"/>
    </row>
    <row r="322" customFormat="false" ht="15" hidden="false" customHeight="false" outlineLevel="0" collapsed="false">
      <c r="A322" s="375" t="s">
        <v>69</v>
      </c>
      <c r="B322" s="59" t="s">
        <v>67</v>
      </c>
      <c r="C322" s="362"/>
      <c r="D322" s="363"/>
      <c r="E322" s="362"/>
      <c r="F322" s="362"/>
      <c r="G322" s="362"/>
      <c r="H322" s="362"/>
    </row>
    <row r="323" customFormat="false" ht="15" hidden="false" customHeight="false" outlineLevel="0" collapsed="false">
      <c r="A323" s="375" t="s">
        <v>70</v>
      </c>
      <c r="B323" s="59" t="s">
        <v>29</v>
      </c>
      <c r="C323" s="362"/>
      <c r="D323" s="363"/>
      <c r="E323" s="362"/>
      <c r="F323" s="362"/>
      <c r="G323" s="362"/>
      <c r="H323" s="362"/>
    </row>
    <row r="324" customFormat="false" ht="15" hidden="false" customHeight="false" outlineLevel="0" collapsed="false">
      <c r="A324" s="375" t="s">
        <v>70</v>
      </c>
      <c r="B324" s="59" t="s">
        <v>29</v>
      </c>
      <c r="C324" s="362"/>
      <c r="D324" s="363"/>
      <c r="E324" s="362"/>
      <c r="F324" s="362"/>
      <c r="G324" s="362"/>
      <c r="H324" s="362"/>
    </row>
    <row r="325" customFormat="false" ht="15" hidden="false" customHeight="false" outlineLevel="0" collapsed="false">
      <c r="A325" s="375" t="s">
        <v>312</v>
      </c>
      <c r="B325" s="59" t="s">
        <v>297</v>
      </c>
      <c r="C325" s="362"/>
      <c r="D325" s="363"/>
      <c r="E325" s="362"/>
      <c r="F325" s="362"/>
      <c r="G325" s="362"/>
      <c r="H325" s="362"/>
    </row>
    <row r="326" customFormat="false" ht="15" hidden="false" customHeight="false" outlineLevel="0" collapsed="false">
      <c r="A326" s="375" t="s">
        <v>314</v>
      </c>
      <c r="B326" s="59" t="s">
        <v>297</v>
      </c>
      <c r="C326" s="362"/>
      <c r="D326" s="363"/>
      <c r="E326" s="362"/>
      <c r="F326" s="362"/>
      <c r="G326" s="362"/>
      <c r="H326" s="362"/>
    </row>
    <row r="327" customFormat="false" ht="15" hidden="false" customHeight="false" outlineLevel="0" collapsed="false">
      <c r="A327" s="375" t="s">
        <v>315</v>
      </c>
      <c r="B327" s="59" t="s">
        <v>74</v>
      </c>
      <c r="C327" s="362"/>
      <c r="D327" s="363"/>
      <c r="E327" s="362"/>
      <c r="F327" s="362"/>
      <c r="G327" s="362"/>
      <c r="H327" s="362"/>
    </row>
    <row r="328" customFormat="false" ht="15" hidden="false" customHeight="false" outlineLevel="0" collapsed="false">
      <c r="A328" s="375" t="s">
        <v>317</v>
      </c>
      <c r="B328" s="73" t="s">
        <v>316</v>
      </c>
      <c r="C328" s="362"/>
      <c r="D328" s="363"/>
      <c r="E328" s="362"/>
      <c r="F328" s="362"/>
      <c r="G328" s="362"/>
      <c r="H328" s="362"/>
    </row>
    <row r="329" customFormat="false" ht="15" hidden="false" customHeight="false" outlineLevel="0" collapsed="false">
      <c r="A329" s="375" t="s">
        <v>318</v>
      </c>
      <c r="B329" s="59" t="s">
        <v>98</v>
      </c>
      <c r="C329" s="362"/>
      <c r="D329" s="363"/>
      <c r="E329" s="362"/>
      <c r="F329" s="362"/>
      <c r="G329" s="362"/>
      <c r="H329" s="362"/>
    </row>
    <row r="330" customFormat="false" ht="15" hidden="false" customHeight="false" outlineLevel="0" collapsed="false">
      <c r="A330" s="375" t="s">
        <v>319</v>
      </c>
      <c r="B330" s="59" t="s">
        <v>98</v>
      </c>
      <c r="C330" s="362"/>
      <c r="D330" s="363"/>
      <c r="E330" s="362"/>
      <c r="F330" s="362"/>
      <c r="G330" s="362"/>
      <c r="H330" s="362"/>
    </row>
    <row r="331" customFormat="false" ht="15" hidden="false" customHeight="false" outlineLevel="0" collapsed="false">
      <c r="A331" s="375" t="s">
        <v>320</v>
      </c>
      <c r="B331" s="59" t="s">
        <v>98</v>
      </c>
      <c r="C331" s="362"/>
      <c r="D331" s="363"/>
      <c r="E331" s="362"/>
      <c r="F331" s="362"/>
      <c r="G331" s="362"/>
      <c r="H331" s="362"/>
    </row>
    <row r="332" customFormat="false" ht="15" hidden="false" customHeight="false" outlineLevel="0" collapsed="false">
      <c r="A332" s="375" t="s">
        <v>321</v>
      </c>
      <c r="B332" s="59" t="s">
        <v>98</v>
      </c>
      <c r="C332" s="362"/>
      <c r="D332" s="363"/>
      <c r="E332" s="362"/>
      <c r="F332" s="362"/>
      <c r="G332" s="362"/>
      <c r="H332" s="362"/>
    </row>
    <row r="333" customFormat="false" ht="15" hidden="false" customHeight="false" outlineLevel="0" collapsed="false">
      <c r="A333" s="375" t="s">
        <v>69</v>
      </c>
      <c r="B333" s="59" t="s">
        <v>67</v>
      </c>
      <c r="C333" s="362"/>
      <c r="D333" s="363"/>
      <c r="E333" s="362"/>
      <c r="F333" s="362"/>
      <c r="G333" s="362"/>
      <c r="H333" s="362"/>
    </row>
    <row r="334" customFormat="false" ht="15" hidden="false" customHeight="false" outlineLevel="0" collapsed="false">
      <c r="A334" s="375" t="s">
        <v>277</v>
      </c>
      <c r="B334" s="59" t="s">
        <v>29</v>
      </c>
      <c r="C334" s="362"/>
      <c r="D334" s="363"/>
      <c r="E334" s="362"/>
      <c r="F334" s="362"/>
      <c r="G334" s="362"/>
      <c r="H334" s="362"/>
    </row>
    <row r="335" customFormat="false" ht="15" hidden="false" customHeight="false" outlineLevel="0" collapsed="false">
      <c r="A335" s="375" t="s">
        <v>323</v>
      </c>
      <c r="B335" s="59" t="s">
        <v>74</v>
      </c>
      <c r="C335" s="362"/>
      <c r="D335" s="363"/>
      <c r="E335" s="362"/>
      <c r="F335" s="362"/>
      <c r="G335" s="362"/>
      <c r="H335" s="362"/>
    </row>
    <row r="336" customFormat="false" ht="15" hidden="false" customHeight="false" outlineLevel="0" collapsed="false">
      <c r="A336" s="375" t="s">
        <v>325</v>
      </c>
      <c r="B336" s="59" t="s">
        <v>65</v>
      </c>
      <c r="C336" s="362"/>
      <c r="D336" s="363"/>
      <c r="E336" s="362"/>
      <c r="F336" s="362"/>
      <c r="G336" s="362"/>
      <c r="H336" s="362"/>
    </row>
    <row r="337" customFormat="false" ht="15" hidden="false" customHeight="false" outlineLevel="0" collapsed="false">
      <c r="A337" s="375" t="s">
        <v>217</v>
      </c>
      <c r="B337" s="73" t="s">
        <v>119</v>
      </c>
      <c r="C337" s="362"/>
      <c r="D337" s="363"/>
      <c r="E337" s="362"/>
      <c r="F337" s="362"/>
      <c r="G337" s="362"/>
      <c r="H337" s="362"/>
    </row>
    <row r="338" customFormat="false" ht="15" hidden="false" customHeight="false" outlineLevel="0" collapsed="false">
      <c r="A338" s="375" t="s">
        <v>328</v>
      </c>
      <c r="B338" s="59" t="s">
        <v>74</v>
      </c>
      <c r="C338" s="362"/>
      <c r="D338" s="363"/>
      <c r="E338" s="362"/>
      <c r="F338" s="362"/>
      <c r="G338" s="362"/>
      <c r="H338" s="362"/>
    </row>
    <row r="339" customFormat="false" ht="15" hidden="false" customHeight="false" outlineLevel="0" collapsed="false">
      <c r="A339" s="375" t="s">
        <v>329</v>
      </c>
      <c r="B339" s="59" t="s">
        <v>87</v>
      </c>
      <c r="C339" s="362"/>
      <c r="D339" s="363"/>
      <c r="E339" s="362"/>
      <c r="F339" s="362"/>
      <c r="G339" s="362"/>
      <c r="H339" s="362"/>
    </row>
    <row r="340" customFormat="false" ht="13.8" hidden="false" customHeight="false" outlineLevel="0" collapsed="false">
      <c r="A340" s="375" t="s">
        <v>330</v>
      </c>
      <c r="B340" s="59" t="s">
        <v>65</v>
      </c>
      <c r="D340" s="362"/>
      <c r="E340" s="362"/>
      <c r="F340" s="362"/>
      <c r="G340" s="362"/>
      <c r="H340" s="362"/>
    </row>
    <row r="341" customFormat="false" ht="13.8" hidden="false" customHeight="false" outlineLevel="0" collapsed="false">
      <c r="A341" s="375" t="s">
        <v>331</v>
      </c>
      <c r="B341" s="59" t="s">
        <v>65</v>
      </c>
      <c r="F341" s="362"/>
      <c r="G341" s="362"/>
    </row>
    <row r="342" customFormat="false" ht="13.8" hidden="false" customHeight="false" outlineLevel="0" collapsed="false">
      <c r="A342" s="375" t="s">
        <v>332</v>
      </c>
      <c r="B342" s="59" t="s">
        <v>225</v>
      </c>
      <c r="F342" s="362"/>
      <c r="G342" s="362"/>
    </row>
    <row r="343" customFormat="false" ht="13.8" hidden="false" customHeight="false" outlineLevel="0" collapsed="false">
      <c r="A343" s="375" t="s">
        <v>333</v>
      </c>
      <c r="B343" s="59" t="s">
        <v>98</v>
      </c>
      <c r="F343" s="362"/>
      <c r="G343" s="362"/>
    </row>
    <row r="344" customFormat="false" ht="13.8" hidden="false" customHeight="false" outlineLevel="0" collapsed="false">
      <c r="A344" s="375" t="s">
        <v>334</v>
      </c>
      <c r="B344" s="59" t="s">
        <v>98</v>
      </c>
      <c r="F344" s="362"/>
      <c r="G344" s="362"/>
    </row>
    <row r="345" customFormat="false" ht="13.8" hidden="false" customHeight="false" outlineLevel="0" collapsed="false">
      <c r="A345" s="375" t="s">
        <v>217</v>
      </c>
      <c r="B345" s="73" t="s">
        <v>119</v>
      </c>
      <c r="F345" s="362"/>
      <c r="G345" s="362"/>
    </row>
    <row r="346" customFormat="false" ht="13.8" hidden="false" customHeight="false" outlineLevel="0" collapsed="false">
      <c r="A346" s="375" t="s">
        <v>335</v>
      </c>
      <c r="B346" s="59" t="s">
        <v>130</v>
      </c>
      <c r="F346" s="362"/>
      <c r="G346" s="362"/>
    </row>
    <row r="347" customFormat="false" ht="13.8" hidden="false" customHeight="false" outlineLevel="0" collapsed="false">
      <c r="A347" s="375" t="s">
        <v>337</v>
      </c>
      <c r="B347" s="59" t="s">
        <v>98</v>
      </c>
      <c r="F347" s="362"/>
      <c r="G347" s="362"/>
    </row>
    <row r="348" customFormat="false" ht="13.8" hidden="false" customHeight="false" outlineLevel="0" collapsed="false">
      <c r="A348" s="375" t="s">
        <v>128</v>
      </c>
      <c r="B348" s="59" t="s">
        <v>127</v>
      </c>
      <c r="F348" s="362"/>
      <c r="G348" s="362"/>
    </row>
    <row r="349" customFormat="false" ht="13.8" hidden="false" customHeight="false" outlineLevel="0" collapsed="false">
      <c r="A349" s="375" t="s">
        <v>129</v>
      </c>
      <c r="B349" s="59" t="s">
        <v>29</v>
      </c>
      <c r="F349" s="362"/>
      <c r="G349" s="362"/>
    </row>
    <row r="350" customFormat="false" ht="13.8" hidden="false" customHeight="false" outlineLevel="0" collapsed="false">
      <c r="A350" s="375" t="s">
        <v>70</v>
      </c>
      <c r="B350" s="59" t="s">
        <v>29</v>
      </c>
      <c r="F350" s="362"/>
      <c r="G350" s="362"/>
    </row>
    <row r="351" customFormat="false" ht="13.8" hidden="false" customHeight="false" outlineLevel="0" collapsed="false">
      <c r="A351" s="375" t="s">
        <v>169</v>
      </c>
      <c r="B351" s="59" t="s">
        <v>29</v>
      </c>
      <c r="F351" s="362"/>
      <c r="G351" s="362"/>
    </row>
    <row r="352" customFormat="false" ht="13.8" hidden="false" customHeight="false" outlineLevel="0" collapsed="false">
      <c r="A352" s="373" t="s">
        <v>58</v>
      </c>
      <c r="B352" s="59" t="s">
        <v>29</v>
      </c>
      <c r="F352" s="362"/>
      <c r="G352" s="362"/>
    </row>
    <row r="353" customFormat="false" ht="13.8" hidden="false" customHeight="false" outlineLevel="0" collapsed="false">
      <c r="A353" s="373" t="s">
        <v>339</v>
      </c>
      <c r="B353" s="59" t="s">
        <v>74</v>
      </c>
      <c r="F353" s="362"/>
      <c r="G353" s="362"/>
    </row>
    <row r="354" customFormat="false" ht="13.8" hidden="false" customHeight="false" outlineLevel="0" collapsed="false">
      <c r="A354" s="373" t="s">
        <v>340</v>
      </c>
      <c r="B354" s="59" t="s">
        <v>76</v>
      </c>
      <c r="F354" s="362"/>
      <c r="G354" s="362"/>
    </row>
    <row r="355" customFormat="false" ht="13.8" hidden="false" customHeight="false" outlineLevel="0" collapsed="false">
      <c r="A355" s="373" t="s">
        <v>68</v>
      </c>
      <c r="B355" s="59" t="s">
        <v>67</v>
      </c>
      <c r="F355" s="362"/>
      <c r="G355" s="362"/>
    </row>
    <row r="356" customFormat="false" ht="13.8" hidden="false" customHeight="false" outlineLevel="0" collapsed="false">
      <c r="A356" s="373" t="s">
        <v>69</v>
      </c>
      <c r="B356" s="59" t="s">
        <v>67</v>
      </c>
      <c r="F356" s="362"/>
      <c r="G356" s="362"/>
    </row>
    <row r="357" customFormat="false" ht="13.8" hidden="false" customHeight="false" outlineLevel="0" collapsed="false">
      <c r="A357" s="373" t="s">
        <v>70</v>
      </c>
      <c r="B357" s="59" t="s">
        <v>29</v>
      </c>
      <c r="F357" s="362"/>
      <c r="G357" s="362"/>
    </row>
    <row r="358" customFormat="false" ht="13.8" hidden="false" customHeight="false" outlineLevel="0" collapsed="false">
      <c r="A358" s="373" t="s">
        <v>342</v>
      </c>
      <c r="B358" s="59" t="s">
        <v>67</v>
      </c>
      <c r="F358" s="362"/>
      <c r="G358" s="362"/>
    </row>
    <row r="359" customFormat="false" ht="13.8" hidden="false" customHeight="false" outlineLevel="0" collapsed="false">
      <c r="A359" s="373" t="s">
        <v>69</v>
      </c>
      <c r="B359" s="59" t="s">
        <v>67</v>
      </c>
      <c r="F359" s="362"/>
      <c r="G359" s="362"/>
    </row>
    <row r="360" customFormat="false" ht="13.8" hidden="false" customHeight="false" outlineLevel="0" collapsed="false">
      <c r="A360" s="373" t="s">
        <v>70</v>
      </c>
      <c r="B360" s="59" t="s">
        <v>29</v>
      </c>
      <c r="F360" s="362"/>
      <c r="G360" s="362"/>
    </row>
    <row r="361" customFormat="false" ht="13.8" hidden="false" customHeight="false" outlineLevel="0" collapsed="false">
      <c r="A361" s="373" t="s">
        <v>344</v>
      </c>
      <c r="B361" s="59" t="s">
        <v>65</v>
      </c>
      <c r="F361" s="362"/>
      <c r="G361" s="362"/>
    </row>
    <row r="362" customFormat="false" ht="13.8" hidden="false" customHeight="false" outlineLevel="0" collapsed="false">
      <c r="A362" s="373" t="s">
        <v>345</v>
      </c>
      <c r="B362" s="59" t="s">
        <v>65</v>
      </c>
      <c r="F362" s="362"/>
      <c r="G362" s="362"/>
    </row>
    <row r="363" customFormat="false" ht="13.8" hidden="false" customHeight="false" outlineLevel="0" collapsed="false">
      <c r="A363" s="373" t="s">
        <v>346</v>
      </c>
      <c r="B363" s="59" t="s">
        <v>74</v>
      </c>
      <c r="F363" s="362"/>
      <c r="G363" s="362"/>
    </row>
    <row r="364" customFormat="false" ht="13.8" hidden="false" customHeight="false" outlineLevel="0" collapsed="false">
      <c r="A364" s="373" t="s">
        <v>347</v>
      </c>
      <c r="B364" s="59" t="s">
        <v>98</v>
      </c>
      <c r="F364" s="362"/>
      <c r="G364" s="362"/>
    </row>
    <row r="365" customFormat="false" ht="13.8" hidden="false" customHeight="false" outlineLevel="0" collapsed="false">
      <c r="A365" s="373" t="s">
        <v>69</v>
      </c>
      <c r="B365" s="59" t="s">
        <v>67</v>
      </c>
      <c r="F365" s="362"/>
      <c r="G365" s="362"/>
    </row>
    <row r="366" customFormat="false" ht="13.8" hidden="false" customHeight="false" outlineLevel="0" collapsed="false">
      <c r="A366" s="373" t="s">
        <v>70</v>
      </c>
      <c r="B366" s="59" t="s">
        <v>29</v>
      </c>
      <c r="F366" s="362"/>
      <c r="G366" s="362"/>
    </row>
    <row r="367" customFormat="false" ht="13.8" hidden="false" customHeight="false" outlineLevel="0" collapsed="false">
      <c r="A367" s="373" t="s">
        <v>349</v>
      </c>
      <c r="B367" s="59" t="s">
        <v>203</v>
      </c>
      <c r="F367" s="362"/>
      <c r="G367" s="362"/>
    </row>
    <row r="368" customFormat="false" ht="13.8" hidden="false" customHeight="false" outlineLevel="0" collapsed="false">
      <c r="A368" s="373" t="s">
        <v>350</v>
      </c>
      <c r="B368" s="59" t="s">
        <v>225</v>
      </c>
      <c r="F368" s="362"/>
      <c r="G368" s="362"/>
    </row>
    <row r="369" customFormat="false" ht="13.8" hidden="false" customHeight="false" outlineLevel="0" collapsed="false">
      <c r="A369" s="373" t="s">
        <v>350</v>
      </c>
      <c r="B369" s="59" t="s">
        <v>225</v>
      </c>
      <c r="F369" s="362"/>
      <c r="G369" s="362"/>
    </row>
    <row r="370" customFormat="false" ht="13.8" hidden="false" customHeight="false" outlineLevel="0" collapsed="false">
      <c r="A370" s="373" t="s">
        <v>351</v>
      </c>
      <c r="B370" s="59" t="s">
        <v>65</v>
      </c>
      <c r="F370" s="362"/>
      <c r="G370" s="362"/>
    </row>
    <row r="371" customFormat="false" ht="13.8" hidden="false" customHeight="false" outlineLevel="0" collapsed="false">
      <c r="A371" s="373" t="s">
        <v>352</v>
      </c>
      <c r="B371" s="59" t="s">
        <v>65</v>
      </c>
      <c r="F371" s="362"/>
      <c r="G371" s="362"/>
    </row>
    <row r="372" customFormat="false" ht="13.8" hidden="false" customHeight="false" outlineLevel="0" collapsed="false">
      <c r="A372" s="373" t="s">
        <v>353</v>
      </c>
      <c r="B372" s="59" t="s">
        <v>74</v>
      </c>
      <c r="F372" s="362"/>
      <c r="G372" s="362"/>
    </row>
    <row r="373" customFormat="false" ht="13.8" hidden="false" customHeight="false" outlineLevel="0" collapsed="false">
      <c r="A373" s="373" t="s">
        <v>354</v>
      </c>
      <c r="B373" s="59" t="s">
        <v>74</v>
      </c>
      <c r="F373" s="362"/>
      <c r="G373" s="362"/>
    </row>
    <row r="374" customFormat="false" ht="13.8" hidden="false" customHeight="false" outlineLevel="0" collapsed="false">
      <c r="A374" s="373" t="s">
        <v>354</v>
      </c>
      <c r="B374" s="59" t="s">
        <v>74</v>
      </c>
      <c r="F374" s="362"/>
      <c r="G374" s="362"/>
    </row>
    <row r="375" customFormat="false" ht="13.8" hidden="false" customHeight="false" outlineLevel="0" collapsed="false">
      <c r="A375" s="373" t="s">
        <v>355</v>
      </c>
      <c r="B375" s="59" t="s">
        <v>87</v>
      </c>
      <c r="F375" s="362"/>
      <c r="G375" s="362"/>
    </row>
    <row r="376" customFormat="false" ht="13.8" hidden="false" customHeight="false" outlineLevel="0" collapsed="false">
      <c r="A376" s="373" t="s">
        <v>356</v>
      </c>
      <c r="B376" s="59" t="s">
        <v>65</v>
      </c>
      <c r="F376" s="362"/>
      <c r="G376" s="362"/>
    </row>
    <row r="377" customFormat="false" ht="13.8" hidden="false" customHeight="false" outlineLevel="0" collapsed="false">
      <c r="A377" s="373" t="s">
        <v>357</v>
      </c>
      <c r="B377" s="59" t="s">
        <v>65</v>
      </c>
      <c r="F377" s="362"/>
      <c r="G377" s="362"/>
    </row>
    <row r="378" customFormat="false" ht="13.8" hidden="false" customHeight="false" outlineLevel="0" collapsed="false">
      <c r="A378" s="373" t="s">
        <v>358</v>
      </c>
      <c r="B378" s="59" t="s">
        <v>98</v>
      </c>
      <c r="F378" s="362"/>
      <c r="G378" s="362"/>
    </row>
    <row r="379" customFormat="false" ht="13.8" hidden="false" customHeight="false" outlineLevel="0" collapsed="false">
      <c r="A379" s="373" t="s">
        <v>359</v>
      </c>
      <c r="B379" s="59" t="s">
        <v>74</v>
      </c>
      <c r="F379" s="362"/>
      <c r="G379" s="362"/>
    </row>
    <row r="380" customFormat="false" ht="13.8" hidden="false" customHeight="false" outlineLevel="0" collapsed="false">
      <c r="A380" s="373" t="s">
        <v>360</v>
      </c>
      <c r="B380" s="59" t="s">
        <v>98</v>
      </c>
      <c r="F380" s="362"/>
      <c r="G380" s="362"/>
    </row>
    <row r="381" customFormat="false" ht="13.8" hidden="false" customHeight="false" outlineLevel="0" collapsed="false">
      <c r="A381" s="373" t="s">
        <v>361</v>
      </c>
      <c r="B381" s="59" t="s">
        <v>98</v>
      </c>
      <c r="F381" s="362"/>
      <c r="G381" s="362"/>
    </row>
    <row r="382" customFormat="false" ht="13.8" hidden="false" customHeight="false" outlineLevel="0" collapsed="false">
      <c r="A382" s="373" t="s">
        <v>362</v>
      </c>
      <c r="B382" s="59" t="s">
        <v>98</v>
      </c>
      <c r="F382" s="362"/>
      <c r="G382" s="362"/>
    </row>
    <row r="383" customFormat="false" ht="13.8" hidden="false" customHeight="false" outlineLevel="0" collapsed="false">
      <c r="A383" s="373" t="s">
        <v>69</v>
      </c>
      <c r="B383" s="59" t="s">
        <v>67</v>
      </c>
      <c r="F383" s="362"/>
      <c r="G383" s="362"/>
    </row>
    <row r="384" customFormat="false" ht="13.8" hidden="false" customHeight="false" outlineLevel="0" collapsed="false">
      <c r="A384" s="373" t="s">
        <v>70</v>
      </c>
      <c r="B384" s="59" t="s">
        <v>29</v>
      </c>
      <c r="F384" s="362"/>
      <c r="G384" s="362"/>
    </row>
    <row r="385" customFormat="false" ht="13.8" hidden="false" customHeight="false" outlineLevel="0" collapsed="false">
      <c r="A385" s="373" t="s">
        <v>364</v>
      </c>
      <c r="B385" s="59" t="s">
        <v>98</v>
      </c>
      <c r="F385" s="362"/>
      <c r="G385" s="362"/>
    </row>
    <row r="386" customFormat="false" ht="13.8" hidden="false" customHeight="false" outlineLevel="0" collapsed="false">
      <c r="A386" s="373" t="s">
        <v>365</v>
      </c>
      <c r="B386" s="59" t="s">
        <v>176</v>
      </c>
      <c r="F386" s="362"/>
      <c r="G386" s="362"/>
    </row>
    <row r="387" customFormat="false" ht="13.8" hidden="false" customHeight="false" outlineLevel="0" collapsed="false">
      <c r="A387" s="373" t="s">
        <v>366</v>
      </c>
      <c r="B387" s="59" t="s">
        <v>176</v>
      </c>
      <c r="F387" s="362"/>
      <c r="G387" s="362"/>
    </row>
    <row r="388" customFormat="false" ht="13.8" hidden="false" customHeight="false" outlineLevel="0" collapsed="false">
      <c r="A388" s="373" t="s">
        <v>69</v>
      </c>
      <c r="B388" s="59" t="s">
        <v>67</v>
      </c>
      <c r="F388" s="362"/>
      <c r="G388" s="362"/>
    </row>
    <row r="389" customFormat="false" ht="13.8" hidden="false" customHeight="false" outlineLevel="0" collapsed="false">
      <c r="A389" s="373" t="s">
        <v>70</v>
      </c>
      <c r="B389" s="59" t="s">
        <v>29</v>
      </c>
      <c r="F389" s="362"/>
      <c r="G389" s="362"/>
    </row>
    <row r="390" customFormat="false" ht="13.8" hidden="false" customHeight="false" outlineLevel="0" collapsed="false">
      <c r="A390" s="373" t="s">
        <v>131</v>
      </c>
      <c r="B390" s="59" t="s">
        <v>130</v>
      </c>
      <c r="F390" s="362"/>
      <c r="G390" s="362"/>
    </row>
    <row r="391" customFormat="false" ht="13.8" hidden="false" customHeight="false" outlineLevel="0" collapsed="false">
      <c r="A391" s="373" t="s">
        <v>69</v>
      </c>
      <c r="B391" s="59" t="s">
        <v>67</v>
      </c>
      <c r="F391" s="362"/>
      <c r="G391" s="362"/>
    </row>
    <row r="392" customFormat="false" ht="13.8" hidden="false" customHeight="false" outlineLevel="0" collapsed="false">
      <c r="A392" s="373" t="s">
        <v>70</v>
      </c>
      <c r="B392" s="59" t="s">
        <v>29</v>
      </c>
      <c r="F392" s="362"/>
      <c r="G392" s="362"/>
    </row>
    <row r="393" customFormat="false" ht="13.8" hidden="false" customHeight="false" outlineLevel="0" collapsed="false">
      <c r="A393" s="373" t="s">
        <v>209</v>
      </c>
      <c r="B393" s="59" t="s">
        <v>203</v>
      </c>
      <c r="F393" s="362"/>
      <c r="G393" s="362"/>
    </row>
    <row r="394" customFormat="false" ht="13.8" hidden="false" customHeight="false" outlineLevel="0" collapsed="false">
      <c r="A394" s="373" t="s">
        <v>369</v>
      </c>
      <c r="B394" s="59" t="s">
        <v>225</v>
      </c>
      <c r="F394" s="362"/>
      <c r="G394" s="362"/>
    </row>
    <row r="395" customFormat="false" ht="13.8" hidden="false" customHeight="false" outlineLevel="0" collapsed="false">
      <c r="A395" s="373" t="s">
        <v>69</v>
      </c>
      <c r="B395" s="59" t="s">
        <v>67</v>
      </c>
      <c r="F395" s="362"/>
      <c r="G395" s="362"/>
    </row>
    <row r="396" customFormat="false" ht="13.8" hidden="false" customHeight="false" outlineLevel="0" collapsed="false">
      <c r="A396" s="373" t="s">
        <v>70</v>
      </c>
      <c r="B396" s="59" t="s">
        <v>29</v>
      </c>
      <c r="F396" s="362"/>
      <c r="G396" s="362"/>
    </row>
    <row r="397" customFormat="false" ht="13.8" hidden="false" customHeight="false" outlineLevel="0" collapsed="false">
      <c r="A397" s="373" t="s">
        <v>371</v>
      </c>
      <c r="B397" s="59" t="s">
        <v>71</v>
      </c>
      <c r="F397" s="362"/>
      <c r="G397" s="362"/>
    </row>
    <row r="398" customFormat="false" ht="13.8" hidden="false" customHeight="false" outlineLevel="0" collapsed="false">
      <c r="A398" s="373" t="s">
        <v>372</v>
      </c>
      <c r="B398" s="59" t="s">
        <v>76</v>
      </c>
      <c r="F398" s="362"/>
      <c r="G398" s="362"/>
    </row>
    <row r="399" customFormat="false" ht="13.8" hidden="false" customHeight="false" outlineLevel="0" collapsed="false">
      <c r="A399" s="373" t="s">
        <v>373</v>
      </c>
      <c r="B399" s="59" t="s">
        <v>74</v>
      </c>
      <c r="F399" s="362"/>
      <c r="G399" s="362"/>
    </row>
    <row r="400" customFormat="false" ht="13.8" hidden="false" customHeight="false" outlineLevel="0" collapsed="false">
      <c r="A400" s="373" t="s">
        <v>374</v>
      </c>
      <c r="B400" s="59" t="s">
        <v>76</v>
      </c>
      <c r="F400" s="362"/>
      <c r="G400" s="362"/>
    </row>
    <row r="401" customFormat="false" ht="13.8" hidden="false" customHeight="false" outlineLevel="0" collapsed="false">
      <c r="A401" s="373" t="s">
        <v>375</v>
      </c>
      <c r="B401" s="59" t="s">
        <v>71</v>
      </c>
      <c r="F401" s="362"/>
      <c r="G401" s="362"/>
    </row>
    <row r="402" customFormat="false" ht="13.8" hidden="false" customHeight="false" outlineLevel="0" collapsed="false">
      <c r="A402" s="373" t="s">
        <v>376</v>
      </c>
      <c r="B402" s="59" t="s">
        <v>65</v>
      </c>
      <c r="F402" s="362"/>
      <c r="G402" s="362"/>
    </row>
    <row r="403" customFormat="false" ht="13.8" hidden="false" customHeight="false" outlineLevel="0" collapsed="false">
      <c r="A403" s="373" t="s">
        <v>377</v>
      </c>
      <c r="B403" s="59" t="s">
        <v>98</v>
      </c>
      <c r="F403" s="362"/>
      <c r="G403" s="362"/>
    </row>
    <row r="404" customFormat="false" ht="13.8" hidden="false" customHeight="false" outlineLevel="0" collapsed="false">
      <c r="A404" s="373" t="s">
        <v>378</v>
      </c>
      <c r="B404" s="59" t="s">
        <v>65</v>
      </c>
      <c r="F404" s="362"/>
      <c r="G404" s="362"/>
    </row>
    <row r="405" customFormat="false" ht="13.8" hidden="false" customHeight="false" outlineLevel="0" collapsed="false">
      <c r="A405" s="373" t="s">
        <v>109</v>
      </c>
      <c r="B405" s="59" t="s">
        <v>67</v>
      </c>
      <c r="F405" s="362"/>
      <c r="G405" s="362"/>
    </row>
    <row r="406" customFormat="false" ht="13.8" hidden="false" customHeight="false" outlineLevel="0" collapsed="false">
      <c r="A406" s="373" t="s">
        <v>110</v>
      </c>
      <c r="B406" s="59" t="s">
        <v>29</v>
      </c>
      <c r="F406" s="362"/>
      <c r="G406" s="362"/>
    </row>
    <row r="407" customFormat="false" ht="15" hidden="false" customHeight="false" outlineLevel="0" collapsed="false">
      <c r="A407" s="374" t="s">
        <v>111</v>
      </c>
      <c r="B407" s="59" t="s">
        <v>29</v>
      </c>
      <c r="F407" s="362"/>
      <c r="G407" s="362"/>
    </row>
    <row r="408" customFormat="false" ht="15" hidden="false" customHeight="false" outlineLevel="0" collapsed="false">
      <c r="A408" s="373" t="s">
        <v>69</v>
      </c>
      <c r="B408" s="59" t="s">
        <v>67</v>
      </c>
      <c r="F408" s="363"/>
      <c r="G408" s="363"/>
    </row>
    <row r="409" customFormat="false" ht="13.8" hidden="false" customHeight="false" outlineLevel="0" collapsed="false">
      <c r="A409" s="373" t="s">
        <v>380</v>
      </c>
      <c r="B409" s="59" t="s">
        <v>76</v>
      </c>
      <c r="F409" s="362"/>
      <c r="G409" s="362"/>
    </row>
    <row r="410" customFormat="false" ht="13.8" hidden="false" customHeight="false" outlineLevel="0" collapsed="false">
      <c r="A410" s="373" t="s">
        <v>381</v>
      </c>
      <c r="B410" s="59" t="s">
        <v>98</v>
      </c>
      <c r="F410" s="362"/>
      <c r="G410" s="362"/>
    </row>
    <row r="411" customFormat="false" ht="13.8" hidden="false" customHeight="false" outlineLevel="0" collapsed="false">
      <c r="A411" s="373" t="s">
        <v>383</v>
      </c>
      <c r="B411" s="59" t="s">
        <v>71</v>
      </c>
      <c r="F411" s="362"/>
      <c r="G411" s="362"/>
    </row>
    <row r="412" customFormat="false" ht="13.8" hidden="false" customHeight="false" outlineLevel="0" collapsed="false">
      <c r="A412" s="373" t="s">
        <v>384</v>
      </c>
      <c r="B412" s="59" t="s">
        <v>74</v>
      </c>
      <c r="F412" s="362"/>
      <c r="G412" s="362"/>
    </row>
    <row r="413" customFormat="false" ht="13.8" hidden="false" customHeight="false" outlineLevel="0" collapsed="false">
      <c r="A413" s="373" t="s">
        <v>384</v>
      </c>
      <c r="B413" s="59" t="s">
        <v>74</v>
      </c>
      <c r="F413" s="362"/>
      <c r="G413" s="362"/>
    </row>
    <row r="414" customFormat="false" ht="13.8" hidden="false" customHeight="false" outlineLevel="0" collapsed="false">
      <c r="A414" s="373" t="s">
        <v>385</v>
      </c>
      <c r="B414" s="59" t="s">
        <v>124</v>
      </c>
      <c r="F414" s="362"/>
      <c r="G414" s="362"/>
    </row>
    <row r="415" customFormat="false" ht="13.8" hidden="false" customHeight="false" outlineLevel="0" collapsed="false">
      <c r="A415" s="373" t="s">
        <v>123</v>
      </c>
      <c r="B415" s="59" t="s">
        <v>122</v>
      </c>
      <c r="F415" s="362"/>
      <c r="G415" s="362"/>
    </row>
    <row r="416" customFormat="false" ht="13.8" hidden="false" customHeight="false" outlineLevel="0" collapsed="false">
      <c r="A416" s="373" t="s">
        <v>168</v>
      </c>
      <c r="B416" s="59" t="s">
        <v>167</v>
      </c>
      <c r="F416" s="362"/>
      <c r="G416" s="362"/>
    </row>
    <row r="417" customFormat="false" ht="13.8" hidden="false" customHeight="false" outlineLevel="0" collapsed="false">
      <c r="A417" s="373" t="s">
        <v>128</v>
      </c>
      <c r="B417" s="59" t="s">
        <v>127</v>
      </c>
      <c r="F417" s="362"/>
      <c r="G417" s="362"/>
    </row>
    <row r="418" customFormat="false" ht="13.8" hidden="false" customHeight="false" outlineLevel="0" collapsed="false">
      <c r="A418" s="373" t="s">
        <v>129</v>
      </c>
      <c r="B418" s="59" t="s">
        <v>29</v>
      </c>
      <c r="F418" s="362"/>
      <c r="G418" s="362"/>
    </row>
    <row r="419" customFormat="false" ht="13.8" hidden="false" customHeight="false" outlineLevel="0" collapsed="false">
      <c r="A419" s="373" t="s">
        <v>70</v>
      </c>
      <c r="B419" s="59" t="s">
        <v>29</v>
      </c>
      <c r="F419" s="362"/>
      <c r="G419" s="362"/>
    </row>
    <row r="420" customFormat="false" ht="13.8" hidden="false" customHeight="false" outlineLevel="0" collapsed="false">
      <c r="A420" s="373" t="s">
        <v>387</v>
      </c>
      <c r="B420" s="59" t="s">
        <v>65</v>
      </c>
      <c r="F420" s="362"/>
      <c r="G420" s="362"/>
    </row>
    <row r="421" customFormat="false" ht="13.8" hidden="false" customHeight="false" outlineLevel="0" collapsed="false">
      <c r="A421" s="373" t="s">
        <v>388</v>
      </c>
      <c r="B421" s="59" t="s">
        <v>65</v>
      </c>
      <c r="F421" s="362"/>
      <c r="G421" s="362"/>
    </row>
    <row r="422" customFormat="false" ht="13.8" hidden="false" customHeight="false" outlineLevel="0" collapsed="false">
      <c r="A422" s="373" t="s">
        <v>389</v>
      </c>
      <c r="B422" s="59" t="s">
        <v>65</v>
      </c>
      <c r="F422" s="362"/>
      <c r="G422" s="362"/>
    </row>
    <row r="423" customFormat="false" ht="13.8" hidden="false" customHeight="false" outlineLevel="0" collapsed="false">
      <c r="A423" s="373" t="s">
        <v>390</v>
      </c>
      <c r="B423" s="59" t="s">
        <v>65</v>
      </c>
      <c r="F423" s="362"/>
      <c r="G423" s="362"/>
    </row>
    <row r="424" customFormat="false" ht="13.8" hidden="false" customHeight="false" outlineLevel="0" collapsed="false">
      <c r="A424" s="373" t="s">
        <v>391</v>
      </c>
      <c r="B424" s="59" t="s">
        <v>65</v>
      </c>
      <c r="F424" s="362"/>
      <c r="G424" s="362"/>
    </row>
    <row r="425" customFormat="false" ht="13.8" hidden="false" customHeight="false" outlineLevel="0" collapsed="false">
      <c r="A425" s="373" t="s">
        <v>69</v>
      </c>
      <c r="B425" s="59" t="s">
        <v>67</v>
      </c>
      <c r="F425" s="362"/>
      <c r="G425" s="362"/>
    </row>
    <row r="426" customFormat="false" ht="13.8" hidden="false" customHeight="false" outlineLevel="0" collapsed="false">
      <c r="A426" s="373" t="s">
        <v>70</v>
      </c>
      <c r="B426" s="59" t="s">
        <v>29</v>
      </c>
      <c r="F426" s="362"/>
      <c r="G426" s="362"/>
    </row>
    <row r="427" customFormat="false" ht="13.8" hidden="false" customHeight="false" outlineLevel="0" collapsed="false">
      <c r="A427" s="373" t="s">
        <v>393</v>
      </c>
      <c r="B427" s="59" t="s">
        <v>74</v>
      </c>
      <c r="F427" s="362"/>
      <c r="G427" s="362"/>
    </row>
    <row r="428" customFormat="false" ht="13.8" hidden="false" customHeight="false" outlineLevel="0" collapsed="false">
      <c r="A428" s="373" t="s">
        <v>69</v>
      </c>
      <c r="B428" s="59" t="s">
        <v>67</v>
      </c>
      <c r="F428" s="362"/>
      <c r="G428" s="362"/>
    </row>
    <row r="429" customFormat="false" ht="13.8" hidden="false" customHeight="false" outlineLevel="0" collapsed="false">
      <c r="A429" s="373" t="s">
        <v>70</v>
      </c>
      <c r="B429" s="59" t="s">
        <v>29</v>
      </c>
      <c r="F429" s="362"/>
      <c r="G429" s="362"/>
    </row>
    <row r="430" customFormat="false" ht="13.8" hidden="false" customHeight="false" outlineLevel="0" collapsed="false">
      <c r="A430" s="373" t="s">
        <v>395</v>
      </c>
      <c r="B430" s="59" t="s">
        <v>76</v>
      </c>
      <c r="F430" s="362"/>
      <c r="G430" s="362"/>
    </row>
    <row r="431" customFormat="false" ht="13.8" hidden="false" customHeight="false" outlineLevel="0" collapsed="false">
      <c r="A431" s="373" t="s">
        <v>396</v>
      </c>
      <c r="B431" s="59" t="s">
        <v>71</v>
      </c>
      <c r="F431" s="362"/>
      <c r="G431" s="362"/>
    </row>
    <row r="432" customFormat="false" ht="13.8" hidden="false" customHeight="false" outlineLevel="0" collapsed="false">
      <c r="A432" s="373" t="s">
        <v>397</v>
      </c>
      <c r="B432" s="59" t="s">
        <v>74</v>
      </c>
      <c r="F432" s="362"/>
      <c r="G432" s="362"/>
    </row>
    <row r="433" customFormat="false" ht="13.8" hidden="false" customHeight="false" outlineLevel="0" collapsed="false">
      <c r="A433" s="373" t="s">
        <v>398</v>
      </c>
      <c r="B433" s="59" t="s">
        <v>65</v>
      </c>
      <c r="F433" s="362"/>
      <c r="G433" s="362"/>
    </row>
    <row r="434" customFormat="false" ht="13.8" hidden="false" customHeight="false" outlineLevel="0" collapsed="false">
      <c r="A434" s="373" t="s">
        <v>399</v>
      </c>
      <c r="B434" s="59" t="s">
        <v>74</v>
      </c>
      <c r="F434" s="362"/>
      <c r="G434" s="362"/>
    </row>
    <row r="435" customFormat="false" ht="13.8" hidden="false" customHeight="false" outlineLevel="0" collapsed="false">
      <c r="A435" s="373" t="s">
        <v>400</v>
      </c>
      <c r="B435" s="59" t="s">
        <v>98</v>
      </c>
      <c r="F435" s="362"/>
      <c r="G435" s="362"/>
    </row>
    <row r="436" customFormat="false" ht="13.8" hidden="false" customHeight="false" outlineLevel="0" collapsed="false">
      <c r="A436" s="373" t="s">
        <v>401</v>
      </c>
      <c r="B436" s="59" t="s">
        <v>98</v>
      </c>
      <c r="F436" s="362"/>
      <c r="G436" s="362"/>
    </row>
    <row r="437" customFormat="false" ht="13.8" hidden="false" customHeight="false" outlineLevel="0" collapsed="false">
      <c r="A437" s="373" t="s">
        <v>69</v>
      </c>
      <c r="B437" s="59" t="s">
        <v>67</v>
      </c>
      <c r="F437" s="362"/>
      <c r="G437" s="362"/>
    </row>
    <row r="438" customFormat="false" ht="13.8" hidden="false" customHeight="false" outlineLevel="0" collapsed="false">
      <c r="A438" s="373" t="s">
        <v>70</v>
      </c>
      <c r="B438" s="59" t="s">
        <v>29</v>
      </c>
      <c r="F438" s="362"/>
      <c r="G438" s="362"/>
    </row>
    <row r="439" customFormat="false" ht="13.8" hidden="false" customHeight="false" outlineLevel="0" collapsed="false">
      <c r="A439" s="373" t="s">
        <v>403</v>
      </c>
      <c r="B439" s="59" t="s">
        <v>71</v>
      </c>
      <c r="F439" s="362"/>
      <c r="G439" s="362"/>
    </row>
    <row r="440" customFormat="false" ht="13.8" hidden="false" customHeight="false" outlineLevel="0" collapsed="false">
      <c r="A440" s="373" t="s">
        <v>404</v>
      </c>
      <c r="B440" s="59" t="s">
        <v>119</v>
      </c>
      <c r="F440" s="362"/>
      <c r="G440" s="362"/>
    </row>
    <row r="441" customFormat="false" ht="13.8" hidden="false" customHeight="false" outlineLevel="0" collapsed="false">
      <c r="A441" s="373" t="s">
        <v>69</v>
      </c>
      <c r="B441" s="59" t="s">
        <v>67</v>
      </c>
      <c r="F441" s="362"/>
      <c r="G441" s="362"/>
    </row>
    <row r="442" customFormat="false" ht="13.8" hidden="false" customHeight="false" outlineLevel="0" collapsed="false">
      <c r="A442" s="373" t="s">
        <v>70</v>
      </c>
      <c r="B442" s="59" t="s">
        <v>29</v>
      </c>
      <c r="F442" s="362"/>
      <c r="G442" s="362"/>
    </row>
    <row r="443" customFormat="false" ht="13.8" hidden="false" customHeight="false" outlineLevel="0" collapsed="false">
      <c r="A443" s="373" t="s">
        <v>406</v>
      </c>
      <c r="B443" s="59" t="s">
        <v>203</v>
      </c>
      <c r="F443" s="362"/>
      <c r="G443" s="362"/>
    </row>
    <row r="444" customFormat="false" ht="13.8" hidden="false" customHeight="false" outlineLevel="0" collapsed="false">
      <c r="A444" s="373" t="s">
        <v>407</v>
      </c>
      <c r="B444" s="59" t="s">
        <v>71</v>
      </c>
      <c r="F444" s="362"/>
      <c r="G444" s="362"/>
    </row>
    <row r="445" customFormat="false" ht="13.8" hidden="false" customHeight="false" outlineLevel="0" collapsed="false">
      <c r="A445" s="373" t="s">
        <v>69</v>
      </c>
      <c r="B445" s="59" t="s">
        <v>67</v>
      </c>
      <c r="F445" s="362"/>
      <c r="G445" s="362"/>
    </row>
    <row r="446" customFormat="false" ht="13.8" hidden="false" customHeight="false" outlineLevel="0" collapsed="false">
      <c r="A446" s="373" t="s">
        <v>409</v>
      </c>
      <c r="B446" s="59" t="s">
        <v>225</v>
      </c>
      <c r="F446" s="362"/>
      <c r="G446" s="362"/>
    </row>
    <row r="447" customFormat="false" ht="13.8" hidden="false" customHeight="false" outlineLevel="0" collapsed="false">
      <c r="A447" s="373" t="s">
        <v>410</v>
      </c>
      <c r="B447" s="59" t="s">
        <v>98</v>
      </c>
      <c r="F447" s="362"/>
      <c r="G447" s="362"/>
    </row>
    <row r="448" customFormat="false" ht="13.8" hidden="false" customHeight="false" outlineLevel="0" collapsed="false">
      <c r="A448" s="373" t="s">
        <v>412</v>
      </c>
      <c r="B448" s="59" t="s">
        <v>65</v>
      </c>
      <c r="F448" s="362"/>
      <c r="G448" s="362"/>
    </row>
    <row r="449" customFormat="false" ht="13.8" hidden="false" customHeight="false" outlineLevel="0" collapsed="false">
      <c r="A449" s="373" t="s">
        <v>413</v>
      </c>
      <c r="B449" s="59" t="s">
        <v>71</v>
      </c>
      <c r="F449" s="362"/>
      <c r="G449" s="362"/>
    </row>
    <row r="450" customFormat="false" ht="13.8" hidden="false" customHeight="false" outlineLevel="0" collapsed="false">
      <c r="A450" s="373" t="s">
        <v>414</v>
      </c>
      <c r="B450" s="59" t="s">
        <v>225</v>
      </c>
      <c r="F450" s="362"/>
      <c r="G450" s="362"/>
    </row>
    <row r="451" customFormat="false" ht="13.8" hidden="false" customHeight="false" outlineLevel="0" collapsed="false">
      <c r="A451" s="373" t="s">
        <v>415</v>
      </c>
      <c r="B451" s="59" t="s">
        <v>74</v>
      </c>
      <c r="F451" s="362"/>
      <c r="G451" s="362"/>
    </row>
    <row r="452" customFormat="false" ht="13.8" hidden="false" customHeight="false" outlineLevel="0" collapsed="false">
      <c r="A452" s="373" t="s">
        <v>416</v>
      </c>
      <c r="B452" s="59" t="s">
        <v>65</v>
      </c>
      <c r="F452" s="362"/>
      <c r="G452" s="362"/>
    </row>
    <row r="453" customFormat="false" ht="13.8" hidden="false" customHeight="false" outlineLevel="0" collapsed="false">
      <c r="A453" s="373" t="s">
        <v>417</v>
      </c>
      <c r="B453" s="59" t="s">
        <v>76</v>
      </c>
      <c r="F453" s="362"/>
      <c r="G453" s="362"/>
    </row>
    <row r="454" customFormat="false" ht="13.8" hidden="false" customHeight="false" outlineLevel="0" collapsed="false">
      <c r="A454" s="373" t="s">
        <v>418</v>
      </c>
      <c r="B454" s="59" t="s">
        <v>65</v>
      </c>
      <c r="F454" s="362"/>
      <c r="G454" s="362"/>
    </row>
    <row r="455" customFormat="false" ht="13.8" hidden="false" customHeight="false" outlineLevel="0" collapsed="false">
      <c r="A455" s="373" t="s">
        <v>419</v>
      </c>
      <c r="B455" s="59" t="s">
        <v>74</v>
      </c>
      <c r="F455" s="362"/>
      <c r="G455" s="362"/>
    </row>
    <row r="456" customFormat="false" ht="13.8" hidden="false" customHeight="false" outlineLevel="0" collapsed="false">
      <c r="A456" s="373" t="s">
        <v>420</v>
      </c>
      <c r="B456" s="59" t="s">
        <v>98</v>
      </c>
      <c r="F456" s="362"/>
      <c r="G456" s="362"/>
    </row>
    <row r="457" customFormat="false" ht="13.8" hidden="false" customHeight="false" outlineLevel="0" collapsed="false">
      <c r="A457" s="373" t="s">
        <v>420</v>
      </c>
      <c r="B457" s="59" t="s">
        <v>98</v>
      </c>
      <c r="F457" s="362"/>
      <c r="G457" s="362"/>
    </row>
    <row r="458" customFormat="false" ht="13.8" hidden="false" customHeight="false" outlineLevel="0" collapsed="false">
      <c r="A458" s="373" t="s">
        <v>422</v>
      </c>
      <c r="B458" s="59" t="s">
        <v>65</v>
      </c>
      <c r="F458" s="362"/>
      <c r="G458" s="362"/>
    </row>
    <row r="459" customFormat="false" ht="13.8" hidden="false" customHeight="false" outlineLevel="0" collapsed="false">
      <c r="A459" s="373" t="s">
        <v>424</v>
      </c>
      <c r="B459" s="59" t="s">
        <v>203</v>
      </c>
      <c r="F459" s="362"/>
      <c r="G459" s="362"/>
    </row>
    <row r="460" customFormat="false" ht="13.8" hidden="false" customHeight="false" outlineLevel="0" collapsed="false">
      <c r="A460" s="373" t="s">
        <v>425</v>
      </c>
      <c r="B460" s="59" t="s">
        <v>98</v>
      </c>
      <c r="F460" s="362"/>
      <c r="G460" s="362"/>
    </row>
    <row r="461" customFormat="false" ht="13.8" hidden="false" customHeight="false" outlineLevel="0" collapsed="false">
      <c r="A461" s="373" t="s">
        <v>110</v>
      </c>
      <c r="B461" s="59" t="s">
        <v>29</v>
      </c>
      <c r="F461" s="362"/>
      <c r="G461" s="362"/>
    </row>
    <row r="462" customFormat="false" ht="15" hidden="false" customHeight="false" outlineLevel="0" collapsed="false">
      <c r="A462" s="374" t="s">
        <v>111</v>
      </c>
      <c r="B462" s="59" t="s">
        <v>29</v>
      </c>
      <c r="F462" s="362"/>
      <c r="G462" s="362"/>
    </row>
    <row r="463" customFormat="false" ht="15" hidden="false" customHeight="false" outlineLevel="0" collapsed="false">
      <c r="A463" s="373" t="s">
        <v>426</v>
      </c>
      <c r="B463" s="59" t="s">
        <v>76</v>
      </c>
      <c r="F463" s="363"/>
      <c r="G463" s="363"/>
    </row>
    <row r="464" customFormat="false" ht="13.8" hidden="false" customHeight="false" outlineLevel="0" collapsed="false">
      <c r="A464" s="373" t="s">
        <v>427</v>
      </c>
      <c r="B464" s="59" t="s">
        <v>76</v>
      </c>
      <c r="F464" s="362"/>
      <c r="G464" s="362"/>
    </row>
    <row r="465" customFormat="false" ht="13.8" hidden="false" customHeight="false" outlineLevel="0" collapsed="false">
      <c r="A465" s="373" t="s">
        <v>428</v>
      </c>
      <c r="B465" s="59" t="s">
        <v>119</v>
      </c>
      <c r="F465" s="362"/>
      <c r="G465" s="362"/>
    </row>
    <row r="466" customFormat="false" ht="13.8" hidden="false" customHeight="false" outlineLevel="0" collapsed="false">
      <c r="A466" s="373" t="s">
        <v>429</v>
      </c>
      <c r="B466" s="59" t="s">
        <v>181</v>
      </c>
      <c r="F466" s="362"/>
      <c r="G466" s="362"/>
    </row>
    <row r="467" customFormat="false" ht="13.8" hidden="false" customHeight="false" outlineLevel="0" collapsed="false">
      <c r="A467" s="373" t="s">
        <v>128</v>
      </c>
      <c r="B467" s="59" t="s">
        <v>127</v>
      </c>
      <c r="F467" s="362"/>
      <c r="G467" s="362"/>
    </row>
    <row r="468" customFormat="false" ht="13.8" hidden="false" customHeight="false" outlineLevel="0" collapsed="false">
      <c r="A468" s="373" t="s">
        <v>129</v>
      </c>
      <c r="B468" s="59" t="s">
        <v>29</v>
      </c>
      <c r="F468" s="362"/>
      <c r="G468" s="362"/>
    </row>
    <row r="469" customFormat="false" ht="13.8" hidden="false" customHeight="false" outlineLevel="0" collapsed="false">
      <c r="A469" s="373" t="s">
        <v>70</v>
      </c>
      <c r="B469" s="59" t="s">
        <v>29</v>
      </c>
      <c r="F469" s="362"/>
      <c r="G469" s="362"/>
    </row>
    <row r="470" customFormat="false" ht="13.8" hidden="false" customHeight="false" outlineLevel="0" collapsed="false">
      <c r="A470" s="373" t="s">
        <v>169</v>
      </c>
      <c r="B470" s="59" t="s">
        <v>29</v>
      </c>
      <c r="F470" s="362"/>
      <c r="G470" s="362"/>
    </row>
    <row r="471" customFormat="false" ht="13.8" hidden="false" customHeight="false" outlineLevel="0" collapsed="false">
      <c r="A471" s="375" t="s">
        <v>58</v>
      </c>
      <c r="B471" s="59" t="s">
        <v>29</v>
      </c>
      <c r="F471" s="362"/>
      <c r="G471" s="362"/>
    </row>
    <row r="472" customFormat="false" ht="13.8" hidden="false" customHeight="false" outlineLevel="0" collapsed="false">
      <c r="A472" s="375" t="s">
        <v>431</v>
      </c>
      <c r="B472" s="59" t="s">
        <v>65</v>
      </c>
      <c r="F472" s="362"/>
      <c r="G472" s="362"/>
    </row>
    <row r="473" customFormat="false" ht="13.8" hidden="false" customHeight="false" outlineLevel="0" collapsed="false">
      <c r="A473" s="375" t="s">
        <v>432</v>
      </c>
      <c r="B473" s="59" t="s">
        <v>98</v>
      </c>
      <c r="F473" s="362"/>
      <c r="G473" s="362"/>
    </row>
    <row r="474" customFormat="false" ht="13.8" hidden="false" customHeight="false" outlineLevel="0" collapsed="false">
      <c r="A474" s="375" t="s">
        <v>433</v>
      </c>
      <c r="B474" s="59" t="s">
        <v>65</v>
      </c>
      <c r="F474" s="362"/>
      <c r="G474" s="362"/>
    </row>
    <row r="475" customFormat="false" ht="13.8" hidden="false" customHeight="false" outlineLevel="0" collapsed="false">
      <c r="A475" s="375" t="s">
        <v>434</v>
      </c>
      <c r="B475" s="59" t="s">
        <v>225</v>
      </c>
      <c r="F475" s="362"/>
      <c r="G475" s="362"/>
    </row>
    <row r="476" customFormat="false" ht="13.8" hidden="false" customHeight="false" outlineLevel="0" collapsed="false">
      <c r="A476" s="375" t="s">
        <v>435</v>
      </c>
      <c r="B476" s="59" t="s">
        <v>65</v>
      </c>
      <c r="F476" s="362"/>
      <c r="G476" s="362"/>
    </row>
    <row r="477" customFormat="false" ht="13.8" hidden="false" customHeight="false" outlineLevel="0" collapsed="false">
      <c r="A477" s="375" t="s">
        <v>168</v>
      </c>
      <c r="B477" s="59" t="s">
        <v>35</v>
      </c>
      <c r="F477" s="362"/>
      <c r="G477" s="362"/>
    </row>
    <row r="478" customFormat="false" ht="13.8" hidden="false" customHeight="false" outlineLevel="0" collapsed="false">
      <c r="A478" s="375" t="s">
        <v>69</v>
      </c>
      <c r="B478" s="59" t="s">
        <v>67</v>
      </c>
      <c r="F478" s="362"/>
      <c r="G478" s="362"/>
    </row>
    <row r="479" customFormat="false" ht="13.8" hidden="false" customHeight="false" outlineLevel="0" collapsed="false">
      <c r="A479" s="375" t="s">
        <v>277</v>
      </c>
      <c r="B479" s="59" t="s">
        <v>29</v>
      </c>
      <c r="F479" s="362"/>
      <c r="G479" s="362"/>
    </row>
    <row r="480" customFormat="false" ht="13.8" hidden="false" customHeight="false" outlineLevel="0" collapsed="false">
      <c r="A480" s="375" t="s">
        <v>70</v>
      </c>
      <c r="B480" s="59" t="s">
        <v>29</v>
      </c>
      <c r="F480" s="362"/>
      <c r="G480" s="362"/>
    </row>
    <row r="481" customFormat="false" ht="13.8" hidden="false" customHeight="false" outlineLevel="0" collapsed="false">
      <c r="A481" s="375" t="s">
        <v>437</v>
      </c>
      <c r="B481" s="59" t="s">
        <v>119</v>
      </c>
      <c r="F481" s="362"/>
      <c r="G481" s="362"/>
    </row>
    <row r="482" customFormat="false" ht="13.8" hidden="false" customHeight="false" outlineLevel="0" collapsed="false">
      <c r="A482" s="375" t="s">
        <v>438</v>
      </c>
      <c r="B482" s="59" t="s">
        <v>67</v>
      </c>
      <c r="F482" s="362"/>
      <c r="G482" s="362"/>
    </row>
    <row r="483" customFormat="false" ht="13.8" hidden="false" customHeight="false" outlineLevel="0" collapsed="false">
      <c r="A483" s="375" t="s">
        <v>69</v>
      </c>
      <c r="B483" s="59" t="s">
        <v>67</v>
      </c>
      <c r="F483" s="362"/>
      <c r="G483" s="362"/>
    </row>
    <row r="484" customFormat="false" ht="13.8" hidden="false" customHeight="false" outlineLevel="0" collapsed="false">
      <c r="A484" s="375" t="s">
        <v>70</v>
      </c>
      <c r="B484" s="59" t="s">
        <v>29</v>
      </c>
      <c r="F484" s="362"/>
      <c r="G484" s="362"/>
    </row>
    <row r="485" customFormat="false" ht="13.8" hidden="false" customHeight="false" outlineLevel="0" collapsed="false">
      <c r="A485" s="375" t="s">
        <v>70</v>
      </c>
      <c r="B485" s="59" t="s">
        <v>29</v>
      </c>
      <c r="F485" s="362"/>
      <c r="G485" s="362"/>
    </row>
    <row r="486" customFormat="false" ht="13.8" hidden="false" customHeight="false" outlineLevel="0" collapsed="false">
      <c r="A486" s="375" t="s">
        <v>441</v>
      </c>
      <c r="B486" s="59" t="s">
        <v>203</v>
      </c>
      <c r="F486" s="362"/>
      <c r="G486" s="362"/>
    </row>
    <row r="487" customFormat="false" ht="13.8" hidden="false" customHeight="false" outlineLevel="0" collapsed="false">
      <c r="A487" s="375" t="s">
        <v>69</v>
      </c>
      <c r="B487" s="59" t="s">
        <v>67</v>
      </c>
      <c r="F487" s="362"/>
      <c r="G487" s="362"/>
    </row>
    <row r="488" customFormat="false" ht="13.8" hidden="false" customHeight="false" outlineLevel="0" collapsed="false">
      <c r="A488" s="375" t="s">
        <v>70</v>
      </c>
      <c r="B488" s="59" t="s">
        <v>29</v>
      </c>
      <c r="F488" s="362"/>
      <c r="G488" s="362"/>
    </row>
    <row r="489" customFormat="false" ht="13.8" hidden="false" customHeight="false" outlineLevel="0" collapsed="false">
      <c r="A489" s="375" t="s">
        <v>99</v>
      </c>
      <c r="B489" s="59" t="s">
        <v>98</v>
      </c>
      <c r="F489" s="362"/>
      <c r="G489" s="362"/>
    </row>
    <row r="490" customFormat="false" ht="13.8" hidden="false" customHeight="false" outlineLevel="0" collapsed="false">
      <c r="A490" s="375" t="s">
        <v>69</v>
      </c>
      <c r="B490" s="59" t="s">
        <v>67</v>
      </c>
      <c r="F490" s="362"/>
      <c r="G490" s="362"/>
    </row>
    <row r="491" customFormat="false" ht="13.8" hidden="false" customHeight="false" outlineLevel="0" collapsed="false">
      <c r="A491" s="375" t="s">
        <v>70</v>
      </c>
      <c r="B491" s="59" t="s">
        <v>29</v>
      </c>
      <c r="F491" s="362"/>
      <c r="G491" s="362"/>
    </row>
    <row r="492" customFormat="false" ht="13.8" hidden="false" customHeight="false" outlineLevel="0" collapsed="false">
      <c r="A492" s="375" t="s">
        <v>102</v>
      </c>
      <c r="B492" s="59" t="s">
        <v>76</v>
      </c>
      <c r="F492" s="362"/>
      <c r="G492" s="362"/>
    </row>
    <row r="493" customFormat="false" ht="13.8" hidden="false" customHeight="false" outlineLevel="0" collapsed="false">
      <c r="A493" s="375" t="s">
        <v>444</v>
      </c>
      <c r="B493" s="59" t="s">
        <v>65</v>
      </c>
      <c r="F493" s="362"/>
      <c r="G493" s="362"/>
    </row>
    <row r="494" customFormat="false" ht="13.8" hidden="false" customHeight="false" outlineLevel="0" collapsed="false">
      <c r="A494" s="375" t="s">
        <v>85</v>
      </c>
      <c r="B494" s="59" t="s">
        <v>71</v>
      </c>
      <c r="F494" s="362"/>
      <c r="G494" s="362"/>
    </row>
    <row r="495" customFormat="false" ht="13.8" hidden="false" customHeight="false" outlineLevel="0" collapsed="false">
      <c r="A495" s="375" t="s">
        <v>85</v>
      </c>
      <c r="B495" s="59" t="s">
        <v>71</v>
      </c>
      <c r="F495" s="362"/>
      <c r="G495" s="362"/>
    </row>
    <row r="496" customFormat="false" ht="13.8" hidden="false" customHeight="false" outlineLevel="0" collapsed="false">
      <c r="A496" s="375" t="s">
        <v>258</v>
      </c>
      <c r="B496" s="59" t="s">
        <v>65</v>
      </c>
      <c r="F496" s="362"/>
      <c r="G496" s="362"/>
    </row>
    <row r="497" customFormat="false" ht="13.8" hidden="false" customHeight="false" outlineLevel="0" collapsed="false">
      <c r="A497" s="375" t="s">
        <v>445</v>
      </c>
      <c r="B497" s="59" t="s">
        <v>65</v>
      </c>
      <c r="F497" s="362"/>
      <c r="G497" s="362"/>
    </row>
    <row r="498" customFormat="false" ht="13.8" hidden="false" customHeight="false" outlineLevel="0" collapsed="false">
      <c r="A498" s="375" t="s">
        <v>188</v>
      </c>
      <c r="B498" s="59" t="s">
        <v>65</v>
      </c>
      <c r="F498" s="362"/>
      <c r="G498" s="362"/>
    </row>
    <row r="499" customFormat="false" ht="13.8" hidden="false" customHeight="false" outlineLevel="0" collapsed="false">
      <c r="A499" s="375" t="s">
        <v>446</v>
      </c>
      <c r="B499" s="59" t="s">
        <v>76</v>
      </c>
      <c r="F499" s="362"/>
      <c r="G499" s="362"/>
    </row>
    <row r="500" customFormat="false" ht="13.8" hidden="false" customHeight="false" outlineLevel="0" collapsed="false">
      <c r="A500" s="375" t="s">
        <v>180</v>
      </c>
      <c r="B500" s="59" t="s">
        <v>98</v>
      </c>
      <c r="F500" s="362"/>
      <c r="G500" s="362"/>
    </row>
    <row r="501" customFormat="false" ht="13.8" hidden="false" customHeight="false" outlineLevel="0" collapsed="false">
      <c r="A501" s="375" t="s">
        <v>180</v>
      </c>
      <c r="B501" s="59" t="s">
        <v>98</v>
      </c>
      <c r="F501" s="362"/>
      <c r="G501" s="362"/>
    </row>
    <row r="502" customFormat="false" ht="13.8" hidden="false" customHeight="false" outlineLevel="0" collapsed="false">
      <c r="A502" s="375" t="s">
        <v>109</v>
      </c>
      <c r="B502" s="59" t="s">
        <v>67</v>
      </c>
      <c r="F502" s="362"/>
      <c r="G502" s="362"/>
    </row>
    <row r="503" customFormat="false" ht="13.8" hidden="false" customHeight="false" outlineLevel="0" collapsed="false">
      <c r="A503" s="375" t="s">
        <v>131</v>
      </c>
      <c r="B503" s="59" t="s">
        <v>130</v>
      </c>
      <c r="F503" s="362"/>
      <c r="G503" s="362"/>
    </row>
    <row r="504" customFormat="false" ht="13.8" hidden="false" customHeight="false" outlineLevel="0" collapsed="false">
      <c r="A504" s="375" t="s">
        <v>69</v>
      </c>
      <c r="B504" s="59" t="s">
        <v>67</v>
      </c>
      <c r="F504" s="362"/>
      <c r="G504" s="362"/>
    </row>
    <row r="505" customFormat="false" ht="13.8" hidden="false" customHeight="false" outlineLevel="0" collapsed="false">
      <c r="A505" s="375" t="s">
        <v>277</v>
      </c>
      <c r="B505" s="59" t="s">
        <v>29</v>
      </c>
      <c r="F505" s="362"/>
      <c r="G505" s="362"/>
    </row>
    <row r="506" customFormat="false" ht="13.8" hidden="false" customHeight="false" outlineLevel="0" collapsed="false">
      <c r="A506" s="375" t="s">
        <v>70</v>
      </c>
      <c r="B506" s="59" t="s">
        <v>29</v>
      </c>
      <c r="F506" s="362"/>
      <c r="G506" s="362"/>
    </row>
    <row r="507" customFormat="false" ht="13.8" hidden="false" customHeight="false" outlineLevel="0" collapsed="false">
      <c r="A507" s="375" t="s">
        <v>240</v>
      </c>
      <c r="B507" s="59" t="s">
        <v>225</v>
      </c>
      <c r="F507" s="362"/>
      <c r="G507" s="362"/>
    </row>
    <row r="508" customFormat="false" ht="13.8" hidden="false" customHeight="false" outlineLevel="0" collapsed="false">
      <c r="A508" s="375" t="s">
        <v>69</v>
      </c>
      <c r="B508" s="59" t="s">
        <v>67</v>
      </c>
      <c r="F508" s="362"/>
      <c r="G508" s="362"/>
    </row>
    <row r="509" customFormat="false" ht="13.8" hidden="false" customHeight="false" outlineLevel="0" collapsed="false">
      <c r="A509" s="375" t="s">
        <v>70</v>
      </c>
      <c r="B509" s="59" t="s">
        <v>29</v>
      </c>
      <c r="F509" s="362"/>
      <c r="G509" s="362"/>
    </row>
    <row r="510" customFormat="false" ht="13.8" hidden="false" customHeight="false" outlineLevel="0" collapsed="false">
      <c r="A510" s="375" t="s">
        <v>449</v>
      </c>
      <c r="B510" s="59" t="s">
        <v>203</v>
      </c>
      <c r="F510" s="362"/>
      <c r="G510" s="362"/>
    </row>
    <row r="511" customFormat="false" ht="13.8" hidden="false" customHeight="false" outlineLevel="0" collapsed="false">
      <c r="A511" s="375" t="s">
        <v>180</v>
      </c>
      <c r="B511" s="59" t="s">
        <v>98</v>
      </c>
      <c r="F511" s="362"/>
      <c r="G511" s="362"/>
    </row>
    <row r="512" customFormat="false" ht="13.8" hidden="false" customHeight="false" outlineLevel="0" collapsed="false">
      <c r="A512" s="375" t="s">
        <v>69</v>
      </c>
      <c r="B512" s="59" t="s">
        <v>67</v>
      </c>
      <c r="F512" s="362"/>
      <c r="G512" s="362"/>
    </row>
    <row r="513" customFormat="false" ht="13.8" hidden="false" customHeight="false" outlineLevel="0" collapsed="false">
      <c r="A513" s="375" t="s">
        <v>70</v>
      </c>
      <c r="B513" s="59" t="s">
        <v>29</v>
      </c>
      <c r="F513" s="362"/>
      <c r="G513" s="362"/>
    </row>
    <row r="514" customFormat="false" ht="13.8" hidden="false" customHeight="false" outlineLevel="0" collapsed="false">
      <c r="A514" s="375" t="s">
        <v>452</v>
      </c>
      <c r="B514" s="59" t="s">
        <v>176</v>
      </c>
      <c r="F514" s="362"/>
      <c r="G514" s="362"/>
    </row>
    <row r="515" customFormat="false" ht="13.8" hidden="false" customHeight="false" outlineLevel="0" collapsed="false">
      <c r="A515" s="375" t="s">
        <v>453</v>
      </c>
      <c r="B515" s="59" t="s">
        <v>176</v>
      </c>
      <c r="F515" s="362"/>
      <c r="G515" s="362"/>
    </row>
    <row r="516" customFormat="false" ht="13.8" hidden="false" customHeight="false" outlineLevel="0" collapsed="false">
      <c r="A516" s="375" t="s">
        <v>454</v>
      </c>
      <c r="B516" s="59" t="s">
        <v>65</v>
      </c>
      <c r="F516" s="362"/>
      <c r="G516" s="362"/>
    </row>
    <row r="517" customFormat="false" ht="13.8" hidden="false" customHeight="false" outlineLevel="0" collapsed="false">
      <c r="A517" s="375" t="s">
        <v>180</v>
      </c>
      <c r="B517" s="59" t="s">
        <v>98</v>
      </c>
      <c r="F517" s="362"/>
      <c r="G517" s="362"/>
    </row>
    <row r="518" customFormat="false" ht="13.8" hidden="false" customHeight="false" outlineLevel="0" collapsed="false">
      <c r="A518" s="375" t="s">
        <v>455</v>
      </c>
      <c r="B518" s="59" t="s">
        <v>176</v>
      </c>
      <c r="F518" s="362"/>
      <c r="G518" s="362"/>
    </row>
    <row r="519" customFormat="false" ht="13.8" hidden="false" customHeight="false" outlineLevel="0" collapsed="false">
      <c r="A519" s="375" t="s">
        <v>69</v>
      </c>
      <c r="B519" s="59" t="s">
        <v>67</v>
      </c>
      <c r="F519" s="362"/>
      <c r="G519" s="362"/>
    </row>
    <row r="520" customFormat="false" ht="13.8" hidden="false" customHeight="false" outlineLevel="0" collapsed="false">
      <c r="A520" s="375" t="s">
        <v>277</v>
      </c>
      <c r="B520" s="59" t="s">
        <v>29</v>
      </c>
      <c r="F520" s="362"/>
      <c r="G520" s="362"/>
    </row>
    <row r="521" customFormat="false" ht="13.8" hidden="false" customHeight="false" outlineLevel="0" collapsed="false">
      <c r="A521" s="375" t="s">
        <v>70</v>
      </c>
      <c r="B521" s="59" t="s">
        <v>29</v>
      </c>
      <c r="F521" s="362"/>
      <c r="G521" s="362"/>
    </row>
    <row r="522" customFormat="false" ht="13.8" hidden="false" customHeight="false" outlineLevel="0" collapsed="false">
      <c r="A522" s="375" t="s">
        <v>102</v>
      </c>
      <c r="B522" s="59" t="s">
        <v>76</v>
      </c>
      <c r="F522" s="362"/>
      <c r="G522" s="362"/>
    </row>
    <row r="523" customFormat="false" ht="13.8" hidden="false" customHeight="false" outlineLevel="0" collapsed="false">
      <c r="A523" s="375" t="s">
        <v>85</v>
      </c>
      <c r="B523" s="59" t="s">
        <v>71</v>
      </c>
      <c r="F523" s="362"/>
      <c r="G523" s="362"/>
    </row>
    <row r="524" customFormat="false" ht="13.8" hidden="false" customHeight="false" outlineLevel="0" collapsed="false">
      <c r="A524" s="375" t="s">
        <v>457</v>
      </c>
      <c r="B524" s="59" t="s">
        <v>74</v>
      </c>
      <c r="F524" s="362"/>
      <c r="G524" s="362"/>
    </row>
    <row r="525" customFormat="false" ht="13.8" hidden="false" customHeight="false" outlineLevel="0" collapsed="false">
      <c r="A525" s="375" t="s">
        <v>110</v>
      </c>
      <c r="B525" s="59" t="s">
        <v>29</v>
      </c>
      <c r="F525" s="362"/>
      <c r="G525" s="362"/>
    </row>
    <row r="526" customFormat="false" ht="15" hidden="false" customHeight="false" outlineLevel="0" collapsed="false">
      <c r="A526" s="376" t="s">
        <v>111</v>
      </c>
      <c r="B526" s="59" t="s">
        <v>29</v>
      </c>
      <c r="F526" s="362"/>
      <c r="G526" s="362"/>
    </row>
    <row r="527" customFormat="false" ht="15" hidden="false" customHeight="false" outlineLevel="0" collapsed="false">
      <c r="A527" s="375" t="s">
        <v>458</v>
      </c>
      <c r="B527" s="59" t="s">
        <v>76</v>
      </c>
      <c r="F527" s="363"/>
      <c r="G527" s="363"/>
    </row>
    <row r="528" customFormat="false" ht="13.8" hidden="false" customHeight="false" outlineLevel="0" collapsed="false">
      <c r="A528" s="375" t="s">
        <v>459</v>
      </c>
      <c r="B528" s="59" t="s">
        <v>65</v>
      </c>
      <c r="F528" s="362"/>
      <c r="G528" s="362"/>
    </row>
    <row r="529" customFormat="false" ht="13.8" hidden="false" customHeight="false" outlineLevel="0" collapsed="false">
      <c r="A529" s="375" t="s">
        <v>123</v>
      </c>
      <c r="B529" s="59" t="s">
        <v>122</v>
      </c>
      <c r="F529" s="362"/>
      <c r="G529" s="362"/>
    </row>
    <row r="530" customFormat="false" ht="13.8" hidden="false" customHeight="false" outlineLevel="0" collapsed="false">
      <c r="A530" s="375" t="s">
        <v>128</v>
      </c>
      <c r="B530" s="59" t="s">
        <v>127</v>
      </c>
      <c r="F530" s="362"/>
      <c r="G530" s="362"/>
    </row>
    <row r="531" customFormat="false" ht="13.8" hidden="false" customHeight="false" outlineLevel="0" collapsed="false">
      <c r="A531" s="375" t="s">
        <v>129</v>
      </c>
      <c r="B531" s="59" t="s">
        <v>29</v>
      </c>
      <c r="F531" s="362"/>
      <c r="G531" s="362"/>
    </row>
    <row r="532" customFormat="false" ht="13.8" hidden="false" customHeight="false" outlineLevel="0" collapsed="false">
      <c r="A532" s="375" t="s">
        <v>70</v>
      </c>
      <c r="B532" s="59" t="s">
        <v>29</v>
      </c>
      <c r="F532" s="362"/>
      <c r="G532" s="362"/>
    </row>
    <row r="533" customFormat="false" ht="13.8" hidden="false" customHeight="false" outlineLevel="0" collapsed="false">
      <c r="A533" s="375" t="s">
        <v>461</v>
      </c>
      <c r="B533" s="59" t="s">
        <v>203</v>
      </c>
      <c r="F533" s="362"/>
      <c r="G533" s="362"/>
    </row>
    <row r="534" customFormat="false" ht="13.8" hidden="false" customHeight="false" outlineLevel="0" collapsed="false">
      <c r="A534" s="375" t="s">
        <v>85</v>
      </c>
      <c r="B534" s="59" t="s">
        <v>71</v>
      </c>
      <c r="F534" s="362"/>
      <c r="G534" s="362"/>
    </row>
    <row r="535" customFormat="false" ht="13.8" hidden="false" customHeight="false" outlineLevel="0" collapsed="false">
      <c r="A535" s="375" t="s">
        <v>457</v>
      </c>
      <c r="B535" s="59" t="s">
        <v>74</v>
      </c>
      <c r="F535" s="362"/>
      <c r="G535" s="362"/>
    </row>
    <row r="536" customFormat="false" ht="13.8" hidden="false" customHeight="false" outlineLevel="0" collapsed="false">
      <c r="A536" s="375" t="s">
        <v>462</v>
      </c>
      <c r="B536" s="59" t="s">
        <v>65</v>
      </c>
      <c r="F536" s="362"/>
      <c r="G536" s="362"/>
    </row>
    <row r="537" customFormat="false" ht="13.8" hidden="false" customHeight="false" outlineLevel="0" collapsed="false">
      <c r="A537" s="375" t="s">
        <v>463</v>
      </c>
      <c r="B537" s="59" t="s">
        <v>76</v>
      </c>
      <c r="F537" s="362"/>
      <c r="G537" s="362"/>
    </row>
    <row r="538" customFormat="false" ht="13.8" hidden="false" customHeight="false" outlineLevel="0" collapsed="false">
      <c r="A538" s="375" t="s">
        <v>91</v>
      </c>
      <c r="B538" s="59" t="s">
        <v>87</v>
      </c>
      <c r="F538" s="362"/>
      <c r="G538" s="362"/>
    </row>
    <row r="539" customFormat="false" ht="13.8" hidden="false" customHeight="false" outlineLevel="0" collapsed="false">
      <c r="A539" s="375" t="s">
        <v>188</v>
      </c>
      <c r="B539" s="59" t="s">
        <v>65</v>
      </c>
      <c r="F539" s="362"/>
      <c r="G539" s="362"/>
    </row>
    <row r="540" customFormat="false" ht="13.8" hidden="false" customHeight="false" outlineLevel="0" collapsed="false">
      <c r="A540" s="375" t="s">
        <v>464</v>
      </c>
      <c r="B540" s="59" t="s">
        <v>65</v>
      </c>
      <c r="F540" s="362"/>
      <c r="G540" s="362"/>
    </row>
    <row r="541" customFormat="false" ht="13.8" hidden="false" customHeight="false" outlineLevel="0" collapsed="false">
      <c r="A541" s="375" t="s">
        <v>190</v>
      </c>
      <c r="B541" s="59" t="s">
        <v>65</v>
      </c>
      <c r="F541" s="362"/>
      <c r="G541" s="362"/>
    </row>
    <row r="542" customFormat="false" ht="13.8" hidden="false" customHeight="false" outlineLevel="0" collapsed="false">
      <c r="A542" s="375" t="s">
        <v>465</v>
      </c>
      <c r="B542" s="59" t="s">
        <v>65</v>
      </c>
      <c r="F542" s="362"/>
      <c r="G542" s="362"/>
    </row>
    <row r="543" customFormat="false" ht="13.8" hidden="false" customHeight="false" outlineLevel="0" collapsed="false">
      <c r="A543" s="375" t="s">
        <v>459</v>
      </c>
      <c r="B543" s="59" t="s">
        <v>65</v>
      </c>
      <c r="F543" s="362"/>
      <c r="G543" s="362"/>
    </row>
    <row r="544" customFormat="false" ht="13.8" hidden="false" customHeight="false" outlineLevel="0" collapsed="false">
      <c r="A544" s="375" t="s">
        <v>99</v>
      </c>
      <c r="B544" s="59" t="s">
        <v>98</v>
      </c>
      <c r="F544" s="362"/>
      <c r="G544" s="362"/>
    </row>
    <row r="545" customFormat="false" ht="13.8" hidden="false" customHeight="false" outlineLevel="0" collapsed="false">
      <c r="A545" s="375" t="s">
        <v>69</v>
      </c>
      <c r="B545" s="59" t="s">
        <v>67</v>
      </c>
      <c r="F545" s="362"/>
      <c r="G545" s="362"/>
    </row>
    <row r="546" customFormat="false" ht="13.8" hidden="false" customHeight="false" outlineLevel="0" collapsed="false">
      <c r="A546" s="375" t="s">
        <v>70</v>
      </c>
      <c r="B546" s="59" t="s">
        <v>29</v>
      </c>
      <c r="F546" s="362"/>
      <c r="G546" s="362"/>
    </row>
    <row r="547" customFormat="false" ht="13.8" hidden="false" customHeight="false" outlineLevel="0" collapsed="false">
      <c r="A547" s="375" t="s">
        <v>85</v>
      </c>
      <c r="B547" s="59" t="s">
        <v>71</v>
      </c>
      <c r="F547" s="362"/>
      <c r="G547" s="362"/>
    </row>
    <row r="548" customFormat="false" ht="13.8" hidden="false" customHeight="false" outlineLevel="0" collapsed="false">
      <c r="A548" s="375" t="s">
        <v>240</v>
      </c>
      <c r="B548" s="59" t="s">
        <v>225</v>
      </c>
      <c r="F548" s="362"/>
      <c r="G548" s="362"/>
    </row>
    <row r="549" customFormat="false" ht="13.8" hidden="false" customHeight="false" outlineLevel="0" collapsed="false">
      <c r="A549" s="375" t="s">
        <v>467</v>
      </c>
      <c r="B549" s="59" t="s">
        <v>65</v>
      </c>
      <c r="F549" s="362"/>
      <c r="G549" s="362"/>
    </row>
    <row r="550" customFormat="false" ht="13.8" hidden="false" customHeight="false" outlineLevel="0" collapsed="false">
      <c r="A550" s="375" t="s">
        <v>467</v>
      </c>
      <c r="B550" s="59" t="s">
        <v>65</v>
      </c>
      <c r="F550" s="362"/>
      <c r="G550" s="362"/>
    </row>
    <row r="551" customFormat="false" ht="13.8" hidden="false" customHeight="false" outlineLevel="0" collapsed="false">
      <c r="A551" s="375" t="s">
        <v>468</v>
      </c>
      <c r="B551" s="59" t="s">
        <v>65</v>
      </c>
      <c r="F551" s="362"/>
      <c r="G551" s="362"/>
    </row>
    <row r="552" customFormat="false" ht="13.8" hidden="false" customHeight="false" outlineLevel="0" collapsed="false">
      <c r="A552" s="375" t="s">
        <v>69</v>
      </c>
      <c r="B552" s="59" t="s">
        <v>67</v>
      </c>
      <c r="F552" s="362"/>
      <c r="G552" s="362"/>
    </row>
    <row r="553" customFormat="false" ht="13.8" hidden="false" customHeight="false" outlineLevel="0" collapsed="false">
      <c r="A553" s="375" t="s">
        <v>70</v>
      </c>
      <c r="B553" s="59" t="s">
        <v>29</v>
      </c>
      <c r="F553" s="362"/>
      <c r="G553" s="362"/>
    </row>
    <row r="554" customFormat="false" ht="13.8" hidden="false" customHeight="false" outlineLevel="0" collapsed="false">
      <c r="A554" s="375" t="s">
        <v>470</v>
      </c>
      <c r="B554" s="59" t="s">
        <v>98</v>
      </c>
      <c r="F554" s="362"/>
      <c r="G554" s="362"/>
    </row>
    <row r="555" customFormat="false" ht="13.8" hidden="false" customHeight="false" outlineLevel="0" collapsed="false">
      <c r="A555" s="375" t="s">
        <v>470</v>
      </c>
      <c r="B555" s="59" t="s">
        <v>98</v>
      </c>
      <c r="F555" s="362"/>
      <c r="G555" s="362"/>
    </row>
    <row r="556" customFormat="false" ht="13.8" hidden="false" customHeight="false" outlineLevel="0" collapsed="false">
      <c r="A556" s="375" t="s">
        <v>69</v>
      </c>
      <c r="B556" s="59" t="s">
        <v>67</v>
      </c>
      <c r="F556" s="362"/>
      <c r="G556" s="362"/>
    </row>
    <row r="557" customFormat="false" ht="13.8" hidden="false" customHeight="false" outlineLevel="0" collapsed="false">
      <c r="A557" s="375" t="s">
        <v>70</v>
      </c>
      <c r="B557" s="59" t="s">
        <v>29</v>
      </c>
      <c r="F557" s="362"/>
      <c r="G557" s="362"/>
    </row>
    <row r="558" customFormat="false" ht="13.8" hidden="false" customHeight="false" outlineLevel="0" collapsed="false">
      <c r="A558" s="375" t="s">
        <v>70</v>
      </c>
      <c r="B558" s="59" t="s">
        <v>29</v>
      </c>
      <c r="F558" s="362"/>
      <c r="G558" s="362"/>
    </row>
    <row r="559" customFormat="false" ht="13.8" hidden="false" customHeight="false" outlineLevel="0" collapsed="false">
      <c r="A559" s="375" t="s">
        <v>473</v>
      </c>
      <c r="B559" s="59" t="s">
        <v>65</v>
      </c>
      <c r="F559" s="362"/>
      <c r="G559" s="362"/>
    </row>
    <row r="560" customFormat="false" ht="13.8" hidden="false" customHeight="false" outlineLevel="0" collapsed="false">
      <c r="A560" s="375" t="s">
        <v>475</v>
      </c>
      <c r="B560" s="59" t="s">
        <v>474</v>
      </c>
      <c r="F560" s="362"/>
      <c r="G560" s="362"/>
    </row>
    <row r="561" customFormat="false" ht="13.8" hidden="false" customHeight="false" outlineLevel="0" collapsed="false">
      <c r="A561" s="375" t="s">
        <v>69</v>
      </c>
      <c r="B561" s="59" t="s">
        <v>67</v>
      </c>
      <c r="F561" s="362"/>
      <c r="G561" s="362"/>
    </row>
    <row r="562" customFormat="false" ht="13.8" hidden="false" customHeight="false" outlineLevel="0" collapsed="false">
      <c r="A562" s="375" t="s">
        <v>70</v>
      </c>
      <c r="B562" s="59" t="s">
        <v>29</v>
      </c>
      <c r="F562" s="362"/>
      <c r="G562" s="362"/>
    </row>
    <row r="563" customFormat="false" ht="13.8" hidden="false" customHeight="false" outlineLevel="0" collapsed="false">
      <c r="A563" s="375" t="s">
        <v>477</v>
      </c>
      <c r="B563" s="59" t="s">
        <v>203</v>
      </c>
      <c r="F563" s="362"/>
      <c r="G563" s="362"/>
    </row>
    <row r="564" customFormat="false" ht="13.8" hidden="false" customHeight="false" outlineLevel="0" collapsed="false">
      <c r="A564" s="375" t="s">
        <v>85</v>
      </c>
      <c r="B564" s="59" t="s">
        <v>71</v>
      </c>
      <c r="F564" s="362"/>
      <c r="G564" s="362"/>
    </row>
    <row r="565" customFormat="false" ht="13.8" hidden="false" customHeight="false" outlineLevel="0" collapsed="false">
      <c r="A565" s="375" t="s">
        <v>85</v>
      </c>
      <c r="B565" s="59" t="s">
        <v>71</v>
      </c>
      <c r="F565" s="362"/>
      <c r="G565" s="362"/>
    </row>
    <row r="566" customFormat="false" ht="13.8" hidden="false" customHeight="false" outlineLevel="0" collapsed="false">
      <c r="A566" s="375" t="s">
        <v>457</v>
      </c>
      <c r="B566" s="59" t="s">
        <v>74</v>
      </c>
      <c r="F566" s="362"/>
      <c r="G566" s="362"/>
    </row>
    <row r="567" customFormat="false" ht="13.8" hidden="false" customHeight="false" outlineLevel="0" collapsed="false">
      <c r="A567" s="375" t="s">
        <v>479</v>
      </c>
      <c r="B567" s="73" t="s">
        <v>316</v>
      </c>
      <c r="F567" s="362"/>
      <c r="G567" s="362"/>
    </row>
    <row r="568" customFormat="false" ht="13.8" hidden="false" customHeight="false" outlineLevel="0" collapsed="false">
      <c r="A568" s="375" t="s">
        <v>480</v>
      </c>
      <c r="B568" s="59" t="s">
        <v>65</v>
      </c>
      <c r="F568" s="362"/>
      <c r="G568" s="362"/>
    </row>
    <row r="569" customFormat="false" ht="13.8" hidden="false" customHeight="false" outlineLevel="0" collapsed="false">
      <c r="A569" s="375" t="s">
        <v>69</v>
      </c>
      <c r="B569" s="59" t="s">
        <v>67</v>
      </c>
      <c r="F569" s="362"/>
      <c r="G569" s="362"/>
    </row>
    <row r="570" customFormat="false" ht="13.8" hidden="false" customHeight="false" outlineLevel="0" collapsed="false">
      <c r="A570" s="375" t="s">
        <v>70</v>
      </c>
      <c r="B570" s="59" t="s">
        <v>29</v>
      </c>
      <c r="F570" s="362"/>
      <c r="G570" s="362"/>
    </row>
    <row r="571" customFormat="false" ht="13.8" hidden="false" customHeight="false" outlineLevel="0" collapsed="false">
      <c r="A571" s="375" t="s">
        <v>70</v>
      </c>
      <c r="B571" s="59" t="s">
        <v>29</v>
      </c>
      <c r="F571" s="362"/>
      <c r="G571" s="362"/>
    </row>
    <row r="572" customFormat="false" ht="13.8" hidden="false" customHeight="false" outlineLevel="0" collapsed="false">
      <c r="A572" s="375" t="s">
        <v>70</v>
      </c>
      <c r="B572" s="59" t="s">
        <v>29</v>
      </c>
      <c r="F572" s="362"/>
      <c r="G572" s="362"/>
    </row>
    <row r="573" customFormat="false" ht="13.8" hidden="false" customHeight="false" outlineLevel="0" collapsed="false">
      <c r="A573" s="375" t="s">
        <v>85</v>
      </c>
      <c r="B573" s="59" t="s">
        <v>71</v>
      </c>
      <c r="F573" s="362"/>
      <c r="G573" s="362"/>
    </row>
    <row r="574" customFormat="false" ht="13.8" hidden="false" customHeight="false" outlineLevel="0" collapsed="false">
      <c r="A574" s="375" t="s">
        <v>457</v>
      </c>
      <c r="B574" s="59" t="s">
        <v>74</v>
      </c>
      <c r="F574" s="362"/>
      <c r="G574" s="362"/>
    </row>
    <row r="575" customFormat="false" ht="13.8" hidden="false" customHeight="false" outlineLevel="0" collapsed="false">
      <c r="A575" s="375" t="s">
        <v>69</v>
      </c>
      <c r="B575" s="59" t="s">
        <v>67</v>
      </c>
      <c r="F575" s="362"/>
      <c r="G575" s="362"/>
    </row>
    <row r="576" customFormat="false" ht="13.8" hidden="false" customHeight="false" outlineLevel="0" collapsed="false">
      <c r="A576" s="375" t="s">
        <v>70</v>
      </c>
      <c r="B576" s="59" t="s">
        <v>29</v>
      </c>
      <c r="F576" s="362"/>
      <c r="G576" s="362"/>
    </row>
    <row r="577" customFormat="false" ht="13.8" hidden="false" customHeight="false" outlineLevel="0" collapsed="false">
      <c r="A577" s="375" t="s">
        <v>102</v>
      </c>
      <c r="B577" s="59" t="s">
        <v>76</v>
      </c>
      <c r="F577" s="362"/>
      <c r="G577" s="362"/>
    </row>
    <row r="578" customFormat="false" ht="13.8" hidden="false" customHeight="false" outlineLevel="0" collapsed="false">
      <c r="A578" s="375" t="s">
        <v>85</v>
      </c>
      <c r="B578" s="59" t="s">
        <v>71</v>
      </c>
      <c r="F578" s="362"/>
      <c r="G578" s="362"/>
    </row>
    <row r="579" customFormat="false" ht="13.8" hidden="false" customHeight="false" outlineLevel="0" collapsed="false">
      <c r="A579" s="375" t="s">
        <v>179</v>
      </c>
      <c r="B579" s="59" t="s">
        <v>76</v>
      </c>
      <c r="F579" s="362"/>
      <c r="G579" s="362"/>
    </row>
    <row r="580" customFormat="false" ht="13.8" hidden="false" customHeight="false" outlineLevel="0" collapsed="false">
      <c r="A580" s="375" t="s">
        <v>110</v>
      </c>
      <c r="B580" s="59" t="s">
        <v>29</v>
      </c>
      <c r="F580" s="362"/>
      <c r="G580" s="362"/>
    </row>
    <row r="581" customFormat="false" ht="15" hidden="false" customHeight="false" outlineLevel="0" collapsed="false">
      <c r="A581" s="376" t="s">
        <v>111</v>
      </c>
      <c r="B581" s="59" t="s">
        <v>29</v>
      </c>
      <c r="F581" s="362"/>
      <c r="G581" s="362"/>
    </row>
    <row r="582" customFormat="false" ht="15" hidden="false" customHeight="false" outlineLevel="0" collapsed="false">
      <c r="A582" s="375" t="s">
        <v>485</v>
      </c>
      <c r="B582" s="59" t="s">
        <v>65</v>
      </c>
      <c r="F582" s="363"/>
      <c r="G582" s="363"/>
    </row>
    <row r="583" customFormat="false" ht="13.8" hidden="false" customHeight="false" outlineLevel="0" collapsed="false">
      <c r="A583" s="375" t="s">
        <v>486</v>
      </c>
      <c r="B583" s="59" t="s">
        <v>65</v>
      </c>
      <c r="F583" s="362"/>
      <c r="G583" s="362"/>
    </row>
    <row r="584" customFormat="false" ht="13.8" hidden="false" customHeight="false" outlineLevel="0" collapsed="false">
      <c r="A584" s="375" t="s">
        <v>487</v>
      </c>
      <c r="B584" s="59" t="s">
        <v>65</v>
      </c>
      <c r="F584" s="362"/>
      <c r="G584" s="362"/>
    </row>
    <row r="585" customFormat="false" ht="13.8" hidden="false" customHeight="false" outlineLevel="0" collapsed="false">
      <c r="A585" s="375" t="s">
        <v>69</v>
      </c>
      <c r="B585" s="59" t="s">
        <v>67</v>
      </c>
      <c r="F585" s="362"/>
      <c r="G585" s="362"/>
    </row>
    <row r="586" customFormat="false" ht="13.8" hidden="false" customHeight="false" outlineLevel="0" collapsed="false">
      <c r="A586" s="375" t="s">
        <v>169</v>
      </c>
      <c r="B586" s="59" t="s">
        <v>29</v>
      </c>
      <c r="F586" s="362"/>
      <c r="G586" s="362"/>
    </row>
    <row r="587" customFormat="false" ht="15" hidden="false" customHeight="false" outlineLevel="0" collapsed="false">
      <c r="A587" s="374" t="s">
        <v>111</v>
      </c>
      <c r="B587" s="59" t="s">
        <v>29</v>
      </c>
      <c r="F587" s="362"/>
      <c r="G587" s="362"/>
    </row>
    <row r="588" customFormat="false" ht="15" hidden="false" customHeight="false" outlineLevel="0" collapsed="false">
      <c r="A588" s="373" t="s">
        <v>489</v>
      </c>
      <c r="B588" s="59" t="s">
        <v>74</v>
      </c>
      <c r="F588" s="363"/>
      <c r="G588" s="363"/>
    </row>
    <row r="589" customFormat="false" ht="13.8" hidden="false" customHeight="false" outlineLevel="0" collapsed="false">
      <c r="A589" s="373" t="s">
        <v>490</v>
      </c>
      <c r="B589" s="59" t="s">
        <v>65</v>
      </c>
      <c r="F589" s="362"/>
      <c r="G589" s="362"/>
    </row>
    <row r="590" customFormat="false" ht="13.8" hidden="false" customHeight="false" outlineLevel="0" collapsed="false">
      <c r="A590" s="373" t="s">
        <v>88</v>
      </c>
      <c r="B590" s="59" t="s">
        <v>87</v>
      </c>
      <c r="F590" s="362"/>
      <c r="G590" s="362"/>
    </row>
    <row r="591" customFormat="false" ht="13.8" hidden="false" customHeight="false" outlineLevel="0" collapsed="false">
      <c r="A591" s="373" t="s">
        <v>491</v>
      </c>
      <c r="B591" s="59" t="s">
        <v>65</v>
      </c>
      <c r="F591" s="362"/>
      <c r="G591" s="362"/>
    </row>
    <row r="592" customFormat="false" ht="13.8" hidden="false" customHeight="false" outlineLevel="0" collapsed="false">
      <c r="A592" s="373" t="s">
        <v>492</v>
      </c>
      <c r="B592" s="59" t="s">
        <v>65</v>
      </c>
      <c r="F592" s="362"/>
      <c r="G592" s="362"/>
    </row>
    <row r="593" customFormat="false" ht="13.8" hidden="false" customHeight="false" outlineLevel="0" collapsed="false">
      <c r="A593" s="373" t="s">
        <v>94</v>
      </c>
      <c r="B593" s="59" t="s">
        <v>65</v>
      </c>
      <c r="F593" s="362"/>
      <c r="G593" s="362"/>
    </row>
    <row r="594" customFormat="false" ht="13.8" hidden="false" customHeight="false" outlineLevel="0" collapsed="false">
      <c r="A594" s="373" t="s">
        <v>493</v>
      </c>
      <c r="B594" s="59" t="s">
        <v>65</v>
      </c>
      <c r="F594" s="362"/>
      <c r="G594" s="362"/>
    </row>
    <row r="595" customFormat="false" ht="13.8" hidden="false" customHeight="false" outlineLevel="0" collapsed="false">
      <c r="A595" s="373" t="s">
        <v>199</v>
      </c>
      <c r="B595" s="59" t="s">
        <v>65</v>
      </c>
      <c r="F595" s="362"/>
      <c r="G595" s="362"/>
    </row>
    <row r="596" customFormat="false" ht="13.8" hidden="false" customHeight="false" outlineLevel="0" collapsed="false">
      <c r="A596" s="373" t="s">
        <v>99</v>
      </c>
      <c r="B596" s="59" t="s">
        <v>98</v>
      </c>
      <c r="F596" s="362"/>
      <c r="G596" s="362"/>
    </row>
    <row r="597" customFormat="false" ht="15" hidden="false" customHeight="false" outlineLevel="0" collapsed="false">
      <c r="A597" s="374" t="s">
        <v>494</v>
      </c>
      <c r="B597" s="59" t="s">
        <v>29</v>
      </c>
      <c r="F597" s="362"/>
      <c r="G597" s="362"/>
    </row>
    <row r="598" customFormat="false" ht="15" hidden="false" customHeight="false" outlineLevel="0" collapsed="false">
      <c r="A598" s="373" t="s">
        <v>85</v>
      </c>
      <c r="B598" s="59" t="s">
        <v>71</v>
      </c>
      <c r="F598" s="363"/>
      <c r="G598" s="363"/>
    </row>
    <row r="599" customFormat="false" ht="13.8" hidden="false" customHeight="false" outlineLevel="0" collapsed="false">
      <c r="A599" s="373" t="s">
        <v>496</v>
      </c>
      <c r="B599" s="59" t="s">
        <v>67</v>
      </c>
      <c r="F599" s="362"/>
      <c r="G599" s="362"/>
    </row>
    <row r="600" customFormat="false" ht="15" hidden="false" customHeight="false" outlineLevel="0" collapsed="false">
      <c r="A600" s="374" t="s">
        <v>494</v>
      </c>
      <c r="B600" s="59" t="s">
        <v>29</v>
      </c>
      <c r="F600" s="362"/>
      <c r="G600" s="362"/>
    </row>
    <row r="601" customFormat="false" ht="15" hidden="false" customHeight="false" outlineLevel="0" collapsed="false">
      <c r="A601" s="373" t="s">
        <v>102</v>
      </c>
      <c r="B601" s="59" t="s">
        <v>76</v>
      </c>
      <c r="F601" s="363"/>
      <c r="G601" s="363"/>
    </row>
    <row r="602" customFormat="false" ht="13.8" hidden="false" customHeight="false" outlineLevel="0" collapsed="false">
      <c r="A602" s="373" t="s">
        <v>146</v>
      </c>
      <c r="B602" s="59" t="s">
        <v>98</v>
      </c>
      <c r="F602" s="362"/>
      <c r="G602" s="362"/>
    </row>
    <row r="603" customFormat="false" ht="13.8" hidden="false" customHeight="false" outlineLevel="0" collapsed="false">
      <c r="A603" s="373" t="s">
        <v>457</v>
      </c>
      <c r="B603" s="59" t="s">
        <v>74</v>
      </c>
      <c r="F603" s="362"/>
      <c r="G603" s="362"/>
    </row>
    <row r="604" customFormat="false" ht="15" hidden="false" customHeight="false" outlineLevel="0" collapsed="false">
      <c r="A604" s="374" t="s">
        <v>494</v>
      </c>
      <c r="B604" s="59" t="s">
        <v>29</v>
      </c>
      <c r="F604" s="362"/>
      <c r="G604" s="362"/>
    </row>
    <row r="605" customFormat="false" ht="15" hidden="false" customHeight="false" outlineLevel="0" collapsed="false">
      <c r="A605" s="373" t="s">
        <v>85</v>
      </c>
      <c r="B605" s="59" t="s">
        <v>71</v>
      </c>
      <c r="F605" s="363"/>
      <c r="G605" s="363"/>
    </row>
    <row r="606" customFormat="false" ht="13.8" hidden="false" customHeight="false" outlineLevel="0" collapsed="false">
      <c r="A606" s="373" t="s">
        <v>499</v>
      </c>
      <c r="B606" s="59" t="s">
        <v>65</v>
      </c>
      <c r="F606" s="362"/>
      <c r="G606" s="362"/>
    </row>
    <row r="607" customFormat="false" ht="13.8" hidden="false" customHeight="false" outlineLevel="0" collapsed="false">
      <c r="A607" s="373" t="s">
        <v>457</v>
      </c>
      <c r="B607" s="59" t="s">
        <v>74</v>
      </c>
      <c r="F607" s="362"/>
      <c r="G607" s="362"/>
    </row>
    <row r="608" customFormat="false" ht="15" hidden="false" customHeight="false" outlineLevel="0" collapsed="false">
      <c r="A608" s="374" t="s">
        <v>494</v>
      </c>
      <c r="B608" s="59" t="s">
        <v>29</v>
      </c>
      <c r="F608" s="362"/>
      <c r="G608" s="362"/>
    </row>
    <row r="609" customFormat="false" ht="15" hidden="false" customHeight="false" outlineLevel="0" collapsed="false">
      <c r="A609" s="373" t="s">
        <v>501</v>
      </c>
      <c r="B609" s="59" t="s">
        <v>203</v>
      </c>
      <c r="F609" s="363"/>
      <c r="G609" s="363"/>
    </row>
    <row r="610" customFormat="false" ht="13.8" hidden="false" customHeight="false" outlineLevel="0" collapsed="false">
      <c r="A610" s="373" t="s">
        <v>85</v>
      </c>
      <c r="B610" s="59" t="s">
        <v>71</v>
      </c>
      <c r="F610" s="362"/>
      <c r="G610" s="362"/>
    </row>
    <row r="611" customFormat="false" ht="13.8" hidden="false" customHeight="false" outlineLevel="0" collapsed="false">
      <c r="A611" s="373" t="s">
        <v>502</v>
      </c>
      <c r="B611" s="59" t="s">
        <v>98</v>
      </c>
      <c r="F611" s="362"/>
      <c r="G611" s="362"/>
    </row>
    <row r="612" customFormat="false" ht="13.8" hidden="false" customHeight="false" outlineLevel="0" collapsed="false">
      <c r="A612" s="373" t="s">
        <v>503</v>
      </c>
      <c r="B612" s="59" t="s">
        <v>65</v>
      </c>
      <c r="F612" s="362"/>
      <c r="G612" s="362"/>
    </row>
    <row r="613" customFormat="false" ht="13.8" hidden="false" customHeight="false" outlineLevel="0" collapsed="false">
      <c r="A613" s="373" t="s">
        <v>505</v>
      </c>
      <c r="B613" s="49" t="s">
        <v>504</v>
      </c>
      <c r="F613" s="362"/>
      <c r="G613" s="362"/>
    </row>
    <row r="614" customFormat="false" ht="13.8" hidden="false" customHeight="false" outlineLevel="0" collapsed="false">
      <c r="A614" s="373" t="s">
        <v>489</v>
      </c>
      <c r="B614" s="59" t="s">
        <v>74</v>
      </c>
      <c r="F614" s="362"/>
      <c r="G614" s="362"/>
    </row>
    <row r="615" customFormat="false" ht="13.8" hidden="false" customHeight="false" outlineLevel="0" collapsed="false">
      <c r="A615" s="373" t="s">
        <v>247</v>
      </c>
      <c r="B615" s="59" t="s">
        <v>98</v>
      </c>
      <c r="F615" s="362"/>
      <c r="G615" s="362"/>
    </row>
    <row r="616" customFormat="false" ht="13.8" hidden="false" customHeight="false" outlineLevel="0" collapsed="false">
      <c r="A616" s="373" t="s">
        <v>492</v>
      </c>
      <c r="B616" s="59" t="s">
        <v>65</v>
      </c>
      <c r="F616" s="362"/>
      <c r="G616" s="362"/>
    </row>
    <row r="617" customFormat="false" ht="13.8" hidden="false" customHeight="false" outlineLevel="0" collapsed="false">
      <c r="A617" s="373" t="s">
        <v>506</v>
      </c>
      <c r="B617" s="59" t="s">
        <v>76</v>
      </c>
      <c r="F617" s="362"/>
      <c r="G617" s="362"/>
    </row>
    <row r="618" customFormat="false" ht="13.8" hidden="false" customHeight="false" outlineLevel="0" collapsed="false">
      <c r="A618" s="373" t="s">
        <v>507</v>
      </c>
      <c r="B618" s="59" t="s">
        <v>65</v>
      </c>
      <c r="F618" s="362"/>
      <c r="G618" s="362"/>
    </row>
    <row r="619" customFormat="false" ht="13.8" hidden="false" customHeight="false" outlineLevel="0" collapsed="false">
      <c r="A619" s="373" t="s">
        <v>507</v>
      </c>
      <c r="B619" s="59" t="s">
        <v>65</v>
      </c>
      <c r="F619" s="362"/>
      <c r="G619" s="362"/>
    </row>
    <row r="620" customFormat="false" ht="13.8" hidden="false" customHeight="false" outlineLevel="0" collapsed="false">
      <c r="A620" s="373" t="s">
        <v>507</v>
      </c>
      <c r="B620" s="59" t="s">
        <v>65</v>
      </c>
      <c r="F620" s="362"/>
      <c r="G620" s="362"/>
    </row>
    <row r="621" customFormat="false" ht="13.8" hidden="false" customHeight="false" outlineLevel="0" collapsed="false">
      <c r="A621" s="373" t="s">
        <v>180</v>
      </c>
      <c r="B621" s="59" t="s">
        <v>98</v>
      </c>
      <c r="F621" s="362"/>
      <c r="G621" s="362"/>
    </row>
    <row r="622" customFormat="false" ht="15" hidden="false" customHeight="false" outlineLevel="0" collapsed="false">
      <c r="A622" s="374" t="s">
        <v>494</v>
      </c>
      <c r="B622" s="59" t="s">
        <v>29</v>
      </c>
      <c r="F622" s="362"/>
      <c r="G622" s="362"/>
    </row>
    <row r="623" customFormat="false" ht="15" hidden="false" customHeight="false" outlineLevel="0" collapsed="false">
      <c r="A623" s="373" t="s">
        <v>509</v>
      </c>
      <c r="B623" s="59" t="s">
        <v>176</v>
      </c>
      <c r="F623" s="363"/>
      <c r="G623" s="363"/>
    </row>
    <row r="624" customFormat="false" ht="13.8" hidden="false" customHeight="false" outlineLevel="0" collapsed="false">
      <c r="A624" s="373" t="s">
        <v>510</v>
      </c>
      <c r="B624" s="59" t="s">
        <v>176</v>
      </c>
      <c r="F624" s="362"/>
      <c r="G624" s="362"/>
    </row>
    <row r="625" customFormat="false" ht="13.8" hidden="false" customHeight="false" outlineLevel="0" collapsed="false">
      <c r="A625" s="373" t="s">
        <v>163</v>
      </c>
      <c r="B625" s="59" t="s">
        <v>65</v>
      </c>
      <c r="F625" s="362"/>
      <c r="G625" s="362"/>
    </row>
    <row r="626" customFormat="false" ht="13.8" hidden="false" customHeight="false" outlineLevel="0" collapsed="false">
      <c r="A626" s="373" t="s">
        <v>247</v>
      </c>
      <c r="B626" s="59" t="s">
        <v>98</v>
      </c>
      <c r="F626" s="362"/>
      <c r="G626" s="362"/>
    </row>
    <row r="627" customFormat="false" ht="13.8" hidden="false" customHeight="false" outlineLevel="0" collapsed="false">
      <c r="A627" s="373" t="s">
        <v>507</v>
      </c>
      <c r="B627" s="59" t="s">
        <v>65</v>
      </c>
      <c r="F627" s="362"/>
      <c r="G627" s="362"/>
    </row>
    <row r="628" customFormat="false" ht="13.8" hidden="false" customHeight="false" outlineLevel="0" collapsed="false">
      <c r="A628" s="373" t="s">
        <v>109</v>
      </c>
      <c r="B628" s="59" t="s">
        <v>67</v>
      </c>
      <c r="F628" s="362"/>
      <c r="G628" s="362"/>
    </row>
    <row r="629" customFormat="false" ht="15" hidden="false" customHeight="false" outlineLevel="0" collapsed="false">
      <c r="A629" s="374" t="s">
        <v>494</v>
      </c>
      <c r="B629" s="59" t="s">
        <v>29</v>
      </c>
      <c r="F629" s="362"/>
      <c r="G629" s="362"/>
    </row>
    <row r="630" customFormat="false" ht="15" hidden="false" customHeight="false" outlineLevel="0" collapsed="false">
      <c r="A630" s="373" t="s">
        <v>512</v>
      </c>
      <c r="B630" s="59" t="s">
        <v>119</v>
      </c>
      <c r="F630" s="363"/>
      <c r="G630" s="363"/>
    </row>
    <row r="631" customFormat="false" ht="13.8" hidden="false" customHeight="false" outlineLevel="0" collapsed="false">
      <c r="A631" s="373" t="s">
        <v>217</v>
      </c>
      <c r="B631" s="59" t="s">
        <v>119</v>
      </c>
      <c r="F631" s="362"/>
      <c r="G631" s="362"/>
    </row>
    <row r="632" customFormat="false" ht="13.8" hidden="false" customHeight="false" outlineLevel="0" collapsed="false">
      <c r="A632" s="373" t="s">
        <v>179</v>
      </c>
      <c r="B632" s="59" t="s">
        <v>76</v>
      </c>
      <c r="F632" s="362"/>
      <c r="G632" s="362"/>
    </row>
    <row r="633" customFormat="false" ht="13.8" hidden="false" customHeight="false" outlineLevel="0" collapsed="false">
      <c r="A633" s="373" t="s">
        <v>513</v>
      </c>
      <c r="B633" s="59" t="s">
        <v>65</v>
      </c>
      <c r="F633" s="362"/>
      <c r="G633" s="362"/>
    </row>
    <row r="634" customFormat="false" ht="13.8" hidden="false" customHeight="false" outlineLevel="0" collapsed="false">
      <c r="A634" s="373" t="s">
        <v>514</v>
      </c>
      <c r="B634" s="59" t="s">
        <v>65</v>
      </c>
      <c r="F634" s="362"/>
      <c r="G634" s="362"/>
    </row>
    <row r="635" customFormat="false" ht="13.8" hidden="false" customHeight="false" outlineLevel="0" collapsed="false">
      <c r="A635" s="373" t="s">
        <v>515</v>
      </c>
      <c r="B635" s="59" t="s">
        <v>65</v>
      </c>
      <c r="F635" s="362"/>
      <c r="G635" s="362"/>
    </row>
    <row r="636" customFormat="false" ht="13.8" hidden="false" customHeight="false" outlineLevel="0" collapsed="false">
      <c r="A636" s="373" t="s">
        <v>516</v>
      </c>
      <c r="B636" s="59" t="s">
        <v>65</v>
      </c>
      <c r="F636" s="362"/>
      <c r="G636" s="362"/>
    </row>
    <row r="637" customFormat="false" ht="13.8" hidden="false" customHeight="false" outlineLevel="0" collapsed="false">
      <c r="A637" s="373" t="s">
        <v>486</v>
      </c>
      <c r="B637" s="59" t="s">
        <v>65</v>
      </c>
      <c r="F637" s="362"/>
      <c r="G637" s="362"/>
    </row>
    <row r="638" customFormat="false" ht="13.8" hidden="false" customHeight="false" outlineLevel="0" collapsed="false">
      <c r="A638" s="373" t="s">
        <v>131</v>
      </c>
      <c r="B638" s="59" t="s">
        <v>130</v>
      </c>
      <c r="F638" s="362"/>
      <c r="G638" s="362"/>
    </row>
    <row r="639" customFormat="false" ht="15" hidden="false" customHeight="false" outlineLevel="0" collapsed="false">
      <c r="A639" s="374" t="s">
        <v>494</v>
      </c>
      <c r="B639" s="59" t="s">
        <v>29</v>
      </c>
      <c r="F639" s="362"/>
      <c r="G639" s="362"/>
    </row>
    <row r="640" customFormat="false" ht="15" hidden="false" customHeight="false" outlineLevel="0" collapsed="false">
      <c r="A640" s="373" t="s">
        <v>518</v>
      </c>
      <c r="B640" s="59" t="s">
        <v>203</v>
      </c>
      <c r="F640" s="363"/>
      <c r="G640" s="363"/>
    </row>
    <row r="641" customFormat="false" ht="13.8" hidden="false" customHeight="false" outlineLevel="0" collapsed="false">
      <c r="A641" s="373" t="s">
        <v>85</v>
      </c>
      <c r="B641" s="59" t="s">
        <v>71</v>
      </c>
      <c r="F641" s="362"/>
      <c r="G641" s="362"/>
    </row>
    <row r="642" customFormat="false" ht="13.8" hidden="false" customHeight="false" outlineLevel="0" collapsed="false">
      <c r="A642" s="373" t="s">
        <v>85</v>
      </c>
      <c r="B642" s="59" t="s">
        <v>71</v>
      </c>
      <c r="F642" s="362"/>
      <c r="G642" s="362"/>
    </row>
    <row r="643" customFormat="false" ht="13.8" hidden="false" customHeight="false" outlineLevel="0" collapsed="false">
      <c r="A643" s="373" t="s">
        <v>457</v>
      </c>
      <c r="B643" s="59" t="s">
        <v>74</v>
      </c>
      <c r="F643" s="362"/>
      <c r="G643" s="362"/>
    </row>
    <row r="644" customFormat="false" ht="13.8" hidden="false" customHeight="false" outlineLevel="0" collapsed="false">
      <c r="A644" s="373" t="s">
        <v>519</v>
      </c>
      <c r="B644" s="59" t="s">
        <v>65</v>
      </c>
      <c r="F644" s="362"/>
      <c r="G644" s="362"/>
    </row>
    <row r="645" customFormat="false" ht="13.8" hidden="false" customHeight="false" outlineLevel="0" collapsed="false">
      <c r="A645" s="373" t="s">
        <v>520</v>
      </c>
      <c r="B645" s="59" t="s">
        <v>65</v>
      </c>
      <c r="F645" s="362"/>
      <c r="G645" s="362"/>
    </row>
    <row r="646" customFormat="false" ht="13.8" hidden="false" customHeight="false" outlineLevel="0" collapsed="false">
      <c r="A646" s="373" t="s">
        <v>180</v>
      </c>
      <c r="B646" s="59" t="s">
        <v>98</v>
      </c>
      <c r="F646" s="362"/>
      <c r="G646" s="362"/>
    </row>
    <row r="647" customFormat="false" ht="13.8" hidden="false" customHeight="false" outlineLevel="0" collapsed="false">
      <c r="A647" s="373" t="s">
        <v>115</v>
      </c>
      <c r="B647" s="59" t="s">
        <v>65</v>
      </c>
      <c r="F647" s="362"/>
      <c r="G647" s="362"/>
    </row>
    <row r="648" customFormat="false" ht="13.8" hidden="false" customHeight="false" outlineLevel="0" collapsed="false">
      <c r="A648" s="373" t="s">
        <v>123</v>
      </c>
      <c r="B648" s="59" t="s">
        <v>122</v>
      </c>
      <c r="F648" s="362"/>
      <c r="G648" s="362"/>
    </row>
    <row r="649" customFormat="false" ht="13.8" hidden="false" customHeight="false" outlineLevel="0" collapsed="false">
      <c r="A649" s="373" t="s">
        <v>168</v>
      </c>
      <c r="B649" s="59" t="s">
        <v>167</v>
      </c>
      <c r="F649" s="362"/>
      <c r="G649" s="362"/>
    </row>
    <row r="650" customFormat="false" ht="13.8" hidden="false" customHeight="false" outlineLevel="0" collapsed="false">
      <c r="A650" s="373" t="s">
        <v>128</v>
      </c>
      <c r="B650" s="59" t="s">
        <v>127</v>
      </c>
      <c r="F650" s="362"/>
      <c r="G650" s="362"/>
    </row>
    <row r="651" customFormat="false" ht="15" hidden="false" customHeight="false" outlineLevel="0" collapsed="false">
      <c r="A651" s="374" t="s">
        <v>521</v>
      </c>
      <c r="B651" s="59" t="s">
        <v>29</v>
      </c>
      <c r="F651" s="362"/>
      <c r="G651" s="362"/>
    </row>
    <row r="652" customFormat="false" ht="15" hidden="false" customHeight="false" outlineLevel="0" collapsed="false">
      <c r="A652" s="373" t="s">
        <v>240</v>
      </c>
      <c r="B652" s="59" t="s">
        <v>225</v>
      </c>
      <c r="F652" s="363"/>
      <c r="G652" s="363"/>
    </row>
    <row r="653" customFormat="false" ht="13.8" hidden="false" customHeight="false" outlineLevel="0" collapsed="false">
      <c r="A653" s="373" t="s">
        <v>506</v>
      </c>
      <c r="B653" s="59" t="s">
        <v>76</v>
      </c>
      <c r="F653" s="362"/>
      <c r="G653" s="362"/>
    </row>
    <row r="654" customFormat="false" ht="15" hidden="false" customHeight="false" outlineLevel="0" collapsed="false">
      <c r="A654" s="374" t="s">
        <v>521</v>
      </c>
      <c r="B654" s="59" t="s">
        <v>29</v>
      </c>
      <c r="F654" s="362"/>
      <c r="G654" s="362"/>
    </row>
    <row r="655" customFormat="false" ht="15" hidden="false" customHeight="false" outlineLevel="0" collapsed="false">
      <c r="A655" s="373" t="s">
        <v>470</v>
      </c>
      <c r="B655" s="59" t="s">
        <v>98</v>
      </c>
      <c r="F655" s="363"/>
      <c r="G655" s="363"/>
    </row>
    <row r="656" customFormat="false" ht="13.8" hidden="false" customHeight="false" outlineLevel="0" collapsed="false">
      <c r="A656" s="373" t="s">
        <v>85</v>
      </c>
      <c r="B656" s="59" t="s">
        <v>71</v>
      </c>
      <c r="F656" s="362"/>
      <c r="G656" s="362"/>
    </row>
    <row r="657" customFormat="false" ht="15" hidden="false" customHeight="false" outlineLevel="0" collapsed="false">
      <c r="A657" s="374" t="s">
        <v>521</v>
      </c>
      <c r="B657" s="59" t="s">
        <v>29</v>
      </c>
      <c r="F657" s="362"/>
      <c r="G657" s="362"/>
    </row>
    <row r="658" customFormat="false" ht="15" hidden="false" customHeight="false" outlineLevel="0" collapsed="false">
      <c r="A658" s="373" t="s">
        <v>457</v>
      </c>
      <c r="B658" s="59" t="s">
        <v>74</v>
      </c>
      <c r="F658" s="363"/>
      <c r="G658" s="363"/>
    </row>
    <row r="659" customFormat="false" ht="15" hidden="false" customHeight="false" outlineLevel="0" collapsed="false">
      <c r="A659" s="374" t="s">
        <v>521</v>
      </c>
      <c r="B659" s="59" t="s">
        <v>29</v>
      </c>
      <c r="F659" s="362"/>
      <c r="G659" s="362"/>
    </row>
    <row r="660" customFormat="false" ht="15" hidden="false" customHeight="false" outlineLevel="0" collapsed="false">
      <c r="A660" s="373" t="s">
        <v>526</v>
      </c>
      <c r="B660" s="59" t="s">
        <v>65</v>
      </c>
      <c r="F660" s="363"/>
      <c r="G660" s="363"/>
    </row>
    <row r="661" customFormat="false" ht="13.8" hidden="false" customHeight="false" outlineLevel="0" collapsed="false">
      <c r="A661" s="373" t="s">
        <v>528</v>
      </c>
      <c r="B661" s="59" t="s">
        <v>527</v>
      </c>
      <c r="F661" s="362"/>
      <c r="G661" s="362"/>
    </row>
    <row r="662" customFormat="false" ht="13.8" hidden="false" customHeight="false" outlineLevel="0" collapsed="false">
      <c r="A662" s="373" t="s">
        <v>115</v>
      </c>
      <c r="B662" s="59" t="s">
        <v>65</v>
      </c>
      <c r="F662" s="362"/>
      <c r="G662" s="362"/>
    </row>
    <row r="663" customFormat="false" ht="15" hidden="false" customHeight="false" outlineLevel="0" collapsed="false">
      <c r="A663" s="374" t="s">
        <v>521</v>
      </c>
      <c r="B663" s="59" t="s">
        <v>29</v>
      </c>
      <c r="F663" s="362"/>
      <c r="G663" s="362"/>
    </row>
    <row r="664" customFormat="false" ht="15" hidden="false" customHeight="false" outlineLevel="0" collapsed="false">
      <c r="A664" s="373" t="s">
        <v>530</v>
      </c>
      <c r="B664" s="59" t="s">
        <v>119</v>
      </c>
      <c r="F664" s="363"/>
      <c r="G664" s="363"/>
    </row>
    <row r="665" customFormat="false" ht="13.8" hidden="false" customHeight="false" outlineLevel="0" collapsed="false">
      <c r="A665" s="373" t="s">
        <v>531</v>
      </c>
      <c r="B665" s="59" t="s">
        <v>203</v>
      </c>
      <c r="F665" s="362"/>
      <c r="G665" s="362"/>
    </row>
    <row r="666" customFormat="false" ht="13.8" hidden="false" customHeight="false" outlineLevel="0" collapsed="false">
      <c r="A666" s="373" t="s">
        <v>85</v>
      </c>
      <c r="B666" s="59" t="s">
        <v>71</v>
      </c>
      <c r="F666" s="362"/>
      <c r="G666" s="362"/>
    </row>
    <row r="667" customFormat="false" ht="13.8" hidden="false" customHeight="false" outlineLevel="0" collapsed="false">
      <c r="A667" s="373" t="s">
        <v>533</v>
      </c>
      <c r="B667" s="59" t="s">
        <v>532</v>
      </c>
      <c r="F667" s="362"/>
      <c r="G667" s="362"/>
    </row>
    <row r="668" customFormat="false" ht="13.8" hidden="false" customHeight="false" outlineLevel="0" collapsed="false">
      <c r="A668" s="373" t="s">
        <v>189</v>
      </c>
      <c r="B668" s="59" t="s">
        <v>71</v>
      </c>
      <c r="F668" s="362"/>
      <c r="G668" s="362"/>
    </row>
    <row r="669" customFormat="false" ht="13.8" hidden="false" customHeight="false" outlineLevel="0" collapsed="false">
      <c r="A669" s="373" t="s">
        <v>534</v>
      </c>
      <c r="B669" s="59" t="s">
        <v>65</v>
      </c>
      <c r="F669" s="362"/>
      <c r="G669" s="362"/>
    </row>
    <row r="670" customFormat="false" ht="13.8" hidden="false" customHeight="false" outlineLevel="0" collapsed="false">
      <c r="A670" s="373" t="s">
        <v>475</v>
      </c>
      <c r="B670" s="59" t="s">
        <v>474</v>
      </c>
      <c r="F670" s="362"/>
      <c r="G670" s="362"/>
    </row>
    <row r="671" customFormat="false" ht="15" hidden="false" customHeight="false" outlineLevel="0" collapsed="false">
      <c r="A671" s="374" t="s">
        <v>521</v>
      </c>
      <c r="B671" s="59" t="s">
        <v>29</v>
      </c>
      <c r="F671" s="362"/>
      <c r="G671" s="362"/>
    </row>
    <row r="672" customFormat="false" ht="15" hidden="false" customHeight="false" outlineLevel="0" collapsed="false">
      <c r="A672" s="373" t="s">
        <v>85</v>
      </c>
      <c r="B672" s="59" t="s">
        <v>71</v>
      </c>
      <c r="F672" s="363"/>
      <c r="G672" s="363"/>
    </row>
    <row r="673" customFormat="false" ht="13.8" hidden="false" customHeight="false" outlineLevel="0" collapsed="false">
      <c r="A673" s="373" t="s">
        <v>457</v>
      </c>
      <c r="B673" s="59" t="s">
        <v>74</v>
      </c>
      <c r="F673" s="362"/>
      <c r="G673" s="362"/>
    </row>
    <row r="674" customFormat="false" ht="13.8" hidden="false" customHeight="false" outlineLevel="0" collapsed="false">
      <c r="A674" s="373" t="s">
        <v>247</v>
      </c>
      <c r="B674" s="59" t="s">
        <v>98</v>
      </c>
      <c r="F674" s="362"/>
      <c r="G674" s="362"/>
    </row>
    <row r="675" customFormat="false" ht="15" hidden="false" customHeight="false" outlineLevel="0" collapsed="false">
      <c r="A675" s="374" t="s">
        <v>521</v>
      </c>
      <c r="B675" s="59" t="s">
        <v>29</v>
      </c>
      <c r="F675" s="362"/>
      <c r="G675" s="362"/>
    </row>
    <row r="676" customFormat="false" ht="15" hidden="false" customHeight="false" outlineLevel="0" collapsed="false">
      <c r="A676" s="373" t="s">
        <v>85</v>
      </c>
      <c r="B676" s="59" t="s">
        <v>71</v>
      </c>
      <c r="F676" s="363"/>
      <c r="G676" s="363"/>
    </row>
    <row r="677" customFormat="false" ht="13.8" hidden="false" customHeight="false" outlineLevel="0" collapsed="false">
      <c r="A677" s="373" t="s">
        <v>457</v>
      </c>
      <c r="B677" s="59" t="s">
        <v>74</v>
      </c>
      <c r="F677" s="362"/>
      <c r="G677" s="362"/>
    </row>
    <row r="678" customFormat="false" ht="13.8" hidden="false" customHeight="false" outlineLevel="0" collapsed="false">
      <c r="A678" s="373" t="s">
        <v>489</v>
      </c>
      <c r="B678" s="59" t="s">
        <v>74</v>
      </c>
      <c r="F678" s="362"/>
      <c r="G678" s="362"/>
    </row>
    <row r="679" customFormat="false" ht="15" hidden="false" customHeight="false" outlineLevel="0" collapsed="false">
      <c r="A679" s="374" t="s">
        <v>521</v>
      </c>
      <c r="B679" s="59" t="s">
        <v>29</v>
      </c>
      <c r="F679" s="362"/>
      <c r="G679" s="362"/>
    </row>
    <row r="680" customFormat="false" ht="15" hidden="false" customHeight="false" outlineLevel="0" collapsed="false">
      <c r="A680" s="373" t="s">
        <v>85</v>
      </c>
      <c r="B680" s="59" t="s">
        <v>71</v>
      </c>
      <c r="F680" s="363"/>
      <c r="G680" s="363"/>
    </row>
    <row r="681" customFormat="false" ht="13.8" hidden="false" customHeight="false" outlineLevel="0" collapsed="false">
      <c r="A681" s="373" t="s">
        <v>538</v>
      </c>
      <c r="B681" s="59" t="s">
        <v>65</v>
      </c>
      <c r="F681" s="362"/>
      <c r="G681" s="362"/>
    </row>
    <row r="682" customFormat="false" ht="13.8" hidden="false" customHeight="false" outlineLevel="0" collapsed="false">
      <c r="A682" s="373" t="s">
        <v>539</v>
      </c>
      <c r="B682" s="59" t="s">
        <v>65</v>
      </c>
      <c r="F682" s="362"/>
      <c r="G682" s="362"/>
    </row>
    <row r="683" customFormat="false" ht="13.8" hidden="false" customHeight="false" outlineLevel="0" collapsed="false">
      <c r="A683" s="373" t="s">
        <v>92</v>
      </c>
      <c r="B683" s="59" t="s">
        <v>76</v>
      </c>
      <c r="F683" s="362"/>
      <c r="G683" s="362"/>
    </row>
    <row r="684" customFormat="false" ht="15" hidden="false" customHeight="false" outlineLevel="0" collapsed="false">
      <c r="A684" s="374" t="s">
        <v>494</v>
      </c>
      <c r="B684" s="59" t="s">
        <v>29</v>
      </c>
      <c r="F684" s="362"/>
      <c r="G684" s="362"/>
    </row>
    <row r="685" customFormat="false" ht="15" hidden="false" customHeight="false" outlineLevel="0" collapsed="false">
      <c r="A685" s="373" t="s">
        <v>85</v>
      </c>
      <c r="B685" s="59" t="s">
        <v>71</v>
      </c>
      <c r="F685" s="363"/>
      <c r="G685" s="363"/>
    </row>
    <row r="686" customFormat="false" ht="13.8" hidden="false" customHeight="false" outlineLevel="0" collapsed="false">
      <c r="A686" s="373" t="s">
        <v>179</v>
      </c>
      <c r="B686" s="59" t="s">
        <v>76</v>
      </c>
      <c r="F686" s="362"/>
      <c r="G686" s="362"/>
    </row>
    <row r="687" customFormat="false" ht="13.8" hidden="false" customHeight="false" outlineLevel="0" collapsed="false">
      <c r="A687" s="373" t="s">
        <v>541</v>
      </c>
      <c r="B687" s="59" t="s">
        <v>65</v>
      </c>
      <c r="F687" s="362"/>
      <c r="G687" s="362"/>
    </row>
    <row r="688" customFormat="false" ht="13.8" hidden="false" customHeight="false" outlineLevel="0" collapsed="false">
      <c r="A688" s="373" t="s">
        <v>156</v>
      </c>
      <c r="B688" s="59" t="s">
        <v>74</v>
      </c>
      <c r="F688" s="362"/>
      <c r="G688" s="362"/>
    </row>
    <row r="689" customFormat="false" ht="15" hidden="false" customHeight="false" outlineLevel="0" collapsed="false">
      <c r="A689" s="374" t="s">
        <v>494</v>
      </c>
      <c r="B689" s="59" t="s">
        <v>29</v>
      </c>
      <c r="F689" s="362"/>
      <c r="G689" s="362"/>
    </row>
    <row r="690" customFormat="false" ht="15" hidden="false" customHeight="false" outlineLevel="0" collapsed="false">
      <c r="A690" s="373" t="s">
        <v>543</v>
      </c>
      <c r="B690" s="59" t="s">
        <v>119</v>
      </c>
      <c r="F690" s="363"/>
      <c r="G690" s="363"/>
    </row>
    <row r="691" customFormat="false" ht="13.8" hidden="false" customHeight="false" outlineLevel="0" collapsed="false">
      <c r="A691" s="373" t="s">
        <v>512</v>
      </c>
      <c r="B691" s="59" t="s">
        <v>119</v>
      </c>
      <c r="F691" s="362"/>
      <c r="G691" s="362"/>
    </row>
    <row r="692" customFormat="false" ht="13.8" hidden="false" customHeight="false" outlineLevel="0" collapsed="false">
      <c r="A692" s="373" t="s">
        <v>512</v>
      </c>
      <c r="B692" s="59" t="s">
        <v>119</v>
      </c>
      <c r="F692" s="362"/>
      <c r="G692" s="362"/>
    </row>
    <row r="693" customFormat="false" ht="13.8" hidden="false" customHeight="false" outlineLevel="0" collapsed="false">
      <c r="A693" s="373" t="s">
        <v>544</v>
      </c>
      <c r="B693" s="59" t="s">
        <v>203</v>
      </c>
      <c r="F693" s="362"/>
      <c r="G693" s="362"/>
    </row>
    <row r="694" customFormat="false" ht="13.8" hidden="false" customHeight="false" outlineLevel="0" collapsed="false">
      <c r="A694" s="373" t="s">
        <v>546</v>
      </c>
      <c r="B694" s="59" t="s">
        <v>545</v>
      </c>
      <c r="F694" s="362"/>
      <c r="G694" s="362"/>
    </row>
    <row r="695" customFormat="false" ht="13.8" hidden="false" customHeight="false" outlineLevel="0" collapsed="false">
      <c r="A695" s="373" t="s">
        <v>546</v>
      </c>
      <c r="B695" s="59" t="s">
        <v>545</v>
      </c>
      <c r="F695" s="362"/>
      <c r="G695" s="362"/>
    </row>
    <row r="696" customFormat="false" ht="13.8" hidden="false" customHeight="false" outlineLevel="0" collapsed="false">
      <c r="A696" s="373" t="s">
        <v>546</v>
      </c>
      <c r="B696" s="59" t="s">
        <v>545</v>
      </c>
      <c r="F696" s="362"/>
      <c r="G696" s="362"/>
    </row>
    <row r="697" customFormat="false" ht="13.8" hidden="false" customHeight="false" outlineLevel="0" collapsed="false">
      <c r="A697" s="373" t="s">
        <v>470</v>
      </c>
      <c r="B697" s="59" t="s">
        <v>98</v>
      </c>
      <c r="F697" s="362"/>
      <c r="G697" s="362"/>
    </row>
    <row r="698" customFormat="false" ht="13.8" hidden="false" customHeight="false" outlineLevel="0" collapsed="false">
      <c r="A698" s="373" t="s">
        <v>547</v>
      </c>
      <c r="B698" s="59" t="s">
        <v>65</v>
      </c>
      <c r="F698" s="362"/>
      <c r="G698" s="362"/>
    </row>
    <row r="699" customFormat="false" ht="13.8" hidden="false" customHeight="false" outlineLevel="0" collapsed="false">
      <c r="A699" s="373" t="s">
        <v>247</v>
      </c>
      <c r="B699" s="59" t="s">
        <v>98</v>
      </c>
      <c r="F699" s="362"/>
      <c r="G699" s="362"/>
    </row>
    <row r="700" customFormat="false" ht="13.8" hidden="false" customHeight="false" outlineLevel="0" collapsed="false">
      <c r="A700" s="373" t="s">
        <v>464</v>
      </c>
      <c r="B700" s="59" t="s">
        <v>65</v>
      </c>
      <c r="F700" s="362"/>
      <c r="G700" s="362"/>
    </row>
    <row r="701" customFormat="false" ht="13.8" hidden="false" customHeight="false" outlineLevel="0" collapsed="false">
      <c r="A701" s="373" t="s">
        <v>464</v>
      </c>
      <c r="B701" s="59" t="s">
        <v>65</v>
      </c>
      <c r="F701" s="362"/>
      <c r="G701" s="362"/>
    </row>
    <row r="702" customFormat="false" ht="13.8" hidden="false" customHeight="false" outlineLevel="0" collapsed="false">
      <c r="A702" s="373" t="s">
        <v>479</v>
      </c>
      <c r="B702" s="59" t="s">
        <v>316</v>
      </c>
      <c r="F702" s="362"/>
      <c r="G702" s="362"/>
    </row>
    <row r="703" customFormat="false" ht="13.8" hidden="false" customHeight="false" outlineLevel="0" collapsed="false">
      <c r="A703" s="373" t="s">
        <v>180</v>
      </c>
      <c r="B703" s="59" t="s">
        <v>98</v>
      </c>
      <c r="F703" s="362"/>
      <c r="G703" s="362"/>
    </row>
    <row r="704" customFormat="false" ht="15" hidden="false" customHeight="false" outlineLevel="0" collapsed="false">
      <c r="A704" s="374" t="s">
        <v>494</v>
      </c>
      <c r="B704" s="59" t="s">
        <v>29</v>
      </c>
      <c r="F704" s="362"/>
      <c r="G704" s="362"/>
    </row>
    <row r="705" customFormat="false" ht="15" hidden="false" customHeight="false" outlineLevel="0" collapsed="false">
      <c r="A705" s="373" t="s">
        <v>168</v>
      </c>
      <c r="B705" s="59" t="s">
        <v>35</v>
      </c>
      <c r="F705" s="363"/>
      <c r="G705" s="363"/>
    </row>
    <row r="706" customFormat="false" ht="13.8" hidden="false" customHeight="false" outlineLevel="0" collapsed="false">
      <c r="A706" s="373" t="s">
        <v>128</v>
      </c>
      <c r="B706" s="59" t="s">
        <v>127</v>
      </c>
      <c r="F706" s="362"/>
      <c r="G706" s="362"/>
    </row>
    <row r="707" customFormat="false" ht="15" hidden="false" customHeight="false" outlineLevel="0" collapsed="false">
      <c r="A707" s="374" t="s">
        <v>521</v>
      </c>
      <c r="B707" s="59" t="s">
        <v>29</v>
      </c>
      <c r="F707" s="362"/>
      <c r="G707" s="362"/>
    </row>
    <row r="708" customFormat="false" ht="15" hidden="false" customHeight="false" outlineLevel="0" collapsed="false">
      <c r="A708" s="372" t="s">
        <v>111</v>
      </c>
      <c r="B708" s="59" t="s">
        <v>29</v>
      </c>
      <c r="F708" s="363"/>
      <c r="G708" s="363"/>
    </row>
    <row r="709" customFormat="false" ht="15" hidden="false" customHeight="false" outlineLevel="0" collapsed="false">
      <c r="A709" s="372" t="s">
        <v>111</v>
      </c>
      <c r="B709" s="59" t="s">
        <v>29</v>
      </c>
      <c r="F709" s="363"/>
      <c r="G709" s="363"/>
    </row>
    <row r="710" customFormat="false" ht="15" hidden="false" customHeight="false" outlineLevel="0" collapsed="false">
      <c r="A710" s="367" t="s">
        <v>470</v>
      </c>
      <c r="B710" s="59" t="s">
        <v>98</v>
      </c>
      <c r="F710" s="363"/>
      <c r="G710" s="363"/>
    </row>
    <row r="711" customFormat="false" ht="13.8" hidden="false" customHeight="false" outlineLevel="0" collapsed="false">
      <c r="A711" s="367" t="s">
        <v>85</v>
      </c>
      <c r="B711" s="59" t="s">
        <v>71</v>
      </c>
      <c r="F711" s="362"/>
      <c r="G711" s="362"/>
    </row>
    <row r="712" customFormat="false" ht="13.8" hidden="false" customHeight="false" outlineLevel="0" collapsed="false">
      <c r="A712" s="367" t="s">
        <v>551</v>
      </c>
      <c r="B712" s="59" t="s">
        <v>65</v>
      </c>
      <c r="F712" s="362"/>
      <c r="G712" s="362"/>
    </row>
    <row r="713" customFormat="false" ht="13.8" hidden="false" customHeight="false" outlineLevel="0" collapsed="false">
      <c r="A713" s="367" t="s">
        <v>552</v>
      </c>
      <c r="B713" s="59" t="s">
        <v>65</v>
      </c>
      <c r="F713" s="362"/>
      <c r="G713" s="362"/>
    </row>
    <row r="714" customFormat="false" ht="13.8" hidden="false" customHeight="false" outlineLevel="0" collapsed="false">
      <c r="A714" s="367" t="s">
        <v>553</v>
      </c>
      <c r="B714" s="59" t="s">
        <v>67</v>
      </c>
      <c r="F714" s="362"/>
      <c r="G714" s="362"/>
    </row>
    <row r="715" customFormat="false" ht="15" hidden="false" customHeight="false" outlineLevel="0" collapsed="false">
      <c r="A715" s="372" t="s">
        <v>521</v>
      </c>
      <c r="B715" s="59" t="s">
        <v>29</v>
      </c>
      <c r="F715" s="362"/>
      <c r="G715" s="362"/>
    </row>
    <row r="716" customFormat="false" ht="15" hidden="false" customHeight="false" outlineLevel="0" collapsed="false">
      <c r="A716" s="372" t="s">
        <v>521</v>
      </c>
      <c r="B716" s="59" t="s">
        <v>29</v>
      </c>
      <c r="F716" s="363"/>
      <c r="G716" s="363"/>
    </row>
    <row r="717" customFormat="false" ht="15" hidden="false" customHeight="false" outlineLevel="0" collapsed="false">
      <c r="A717" s="367" t="s">
        <v>556</v>
      </c>
      <c r="B717" s="73" t="s">
        <v>119</v>
      </c>
      <c r="F717" s="363"/>
      <c r="G717" s="363"/>
    </row>
    <row r="718" customFormat="false" ht="13.8" hidden="false" customHeight="false" outlineLevel="0" collapsed="false">
      <c r="A718" s="367" t="s">
        <v>557</v>
      </c>
      <c r="B718" s="59" t="s">
        <v>203</v>
      </c>
      <c r="F718" s="362"/>
      <c r="G718" s="362"/>
    </row>
    <row r="719" customFormat="false" ht="13.8" hidden="false" customHeight="false" outlineLevel="0" collapsed="false">
      <c r="A719" s="367" t="s">
        <v>559</v>
      </c>
      <c r="B719" s="59" t="s">
        <v>558</v>
      </c>
      <c r="F719" s="362"/>
      <c r="G719" s="362"/>
    </row>
    <row r="720" customFormat="false" ht="13.8" hidden="false" customHeight="false" outlineLevel="0" collapsed="false">
      <c r="A720" s="367" t="s">
        <v>85</v>
      </c>
      <c r="B720" s="59" t="s">
        <v>71</v>
      </c>
      <c r="F720" s="362"/>
      <c r="G720" s="362"/>
    </row>
    <row r="721" customFormat="false" ht="13.8" hidden="false" customHeight="false" outlineLevel="0" collapsed="false">
      <c r="A721" s="367" t="s">
        <v>92</v>
      </c>
      <c r="B721" s="59" t="s">
        <v>76</v>
      </c>
      <c r="F721" s="362"/>
      <c r="G721" s="362"/>
    </row>
    <row r="722" customFormat="false" ht="13.8" hidden="false" customHeight="false" outlineLevel="0" collapsed="false">
      <c r="A722" s="367" t="s">
        <v>479</v>
      </c>
      <c r="B722" s="73" t="s">
        <v>316</v>
      </c>
      <c r="F722" s="362"/>
      <c r="G722" s="362"/>
    </row>
    <row r="723" customFormat="false" ht="13.8" hidden="false" customHeight="false" outlineLevel="0" collapsed="false">
      <c r="A723" s="367" t="s">
        <v>560</v>
      </c>
      <c r="B723" s="59" t="s">
        <v>65</v>
      </c>
      <c r="F723" s="362"/>
      <c r="G723" s="362"/>
    </row>
    <row r="724" customFormat="false" ht="13.8" hidden="false" customHeight="false" outlineLevel="0" collapsed="false">
      <c r="A724" s="367" t="s">
        <v>561</v>
      </c>
      <c r="B724" s="59" t="s">
        <v>265</v>
      </c>
      <c r="F724" s="362"/>
      <c r="G724" s="362"/>
    </row>
    <row r="725" customFormat="false" ht="15" hidden="false" customHeight="false" outlineLevel="0" collapsed="false">
      <c r="A725" s="372" t="s">
        <v>521</v>
      </c>
      <c r="B725" s="59" t="s">
        <v>29</v>
      </c>
      <c r="F725" s="362"/>
      <c r="G725" s="362"/>
    </row>
    <row r="726" customFormat="false" ht="15" hidden="false" customHeight="false" outlineLevel="0" collapsed="false">
      <c r="A726" s="367" t="s">
        <v>240</v>
      </c>
      <c r="B726" s="59" t="s">
        <v>225</v>
      </c>
      <c r="F726" s="363"/>
      <c r="G726" s="363"/>
    </row>
    <row r="727" customFormat="false" ht="13.8" hidden="false" customHeight="false" outlineLevel="0" collapsed="false">
      <c r="A727" s="367" t="s">
        <v>179</v>
      </c>
      <c r="B727" s="59" t="s">
        <v>76</v>
      </c>
      <c r="F727" s="362"/>
      <c r="G727" s="362"/>
    </row>
    <row r="728" customFormat="false" ht="13.8" hidden="false" customHeight="false" outlineLevel="0" collapsed="false">
      <c r="A728" s="367" t="s">
        <v>247</v>
      </c>
      <c r="B728" s="59" t="s">
        <v>98</v>
      </c>
      <c r="F728" s="362"/>
      <c r="G728" s="362"/>
    </row>
    <row r="729" customFormat="false" ht="13.8" hidden="false" customHeight="false" outlineLevel="0" collapsed="false">
      <c r="A729" s="367" t="s">
        <v>507</v>
      </c>
      <c r="B729" s="59" t="s">
        <v>65</v>
      </c>
      <c r="F729" s="362"/>
      <c r="G729" s="362"/>
    </row>
    <row r="730" customFormat="false" ht="15" hidden="false" customHeight="false" outlineLevel="0" collapsed="false">
      <c r="A730" s="372" t="s">
        <v>521</v>
      </c>
      <c r="B730" s="59" t="s">
        <v>29</v>
      </c>
      <c r="F730" s="362"/>
      <c r="G730" s="362"/>
    </row>
    <row r="731" customFormat="false" ht="15" hidden="false" customHeight="false" outlineLevel="0" collapsed="false">
      <c r="A731" s="367" t="s">
        <v>564</v>
      </c>
      <c r="B731" s="59" t="s">
        <v>176</v>
      </c>
      <c r="F731" s="363"/>
      <c r="G731" s="363"/>
    </row>
    <row r="732" customFormat="false" ht="15" hidden="false" customHeight="false" outlineLevel="0" collapsed="false">
      <c r="A732" s="372" t="s">
        <v>521</v>
      </c>
      <c r="B732" s="59" t="s">
        <v>29</v>
      </c>
    </row>
    <row r="733" customFormat="false" ht="13.8" hidden="false" customHeight="false" outlineLevel="0" collapsed="false">
      <c r="A733" s="367" t="s">
        <v>85</v>
      </c>
      <c r="B733" s="59" t="s">
        <v>71</v>
      </c>
    </row>
    <row r="734" customFormat="false" ht="13.8" hidden="false" customHeight="false" outlineLevel="0" collapsed="false">
      <c r="A734" s="367" t="s">
        <v>180</v>
      </c>
      <c r="B734" s="59" t="s">
        <v>98</v>
      </c>
    </row>
    <row r="735" customFormat="false" ht="15" hidden="false" customHeight="false" outlineLevel="0" collapsed="false">
      <c r="A735" s="372" t="s">
        <v>521</v>
      </c>
      <c r="B735" s="59" t="s">
        <v>29</v>
      </c>
    </row>
    <row r="736" customFormat="false" ht="13.8" hidden="false" customHeight="false" outlineLevel="0" collapsed="false">
      <c r="A736" s="367" t="s">
        <v>567</v>
      </c>
      <c r="B736" s="59" t="s">
        <v>65</v>
      </c>
    </row>
    <row r="737" customFormat="false" ht="13.8" hidden="false" customHeight="false" outlineLevel="0" collapsed="false">
      <c r="A737" s="367" t="s">
        <v>568</v>
      </c>
      <c r="B737" s="59" t="s">
        <v>65</v>
      </c>
    </row>
    <row r="738" customFormat="false" ht="13.8" hidden="false" customHeight="false" outlineLevel="0" collapsed="false">
      <c r="A738" s="367" t="s">
        <v>569</v>
      </c>
      <c r="B738" s="59" t="s">
        <v>65</v>
      </c>
    </row>
    <row r="739" customFormat="false" ht="13.8" hidden="false" customHeight="false" outlineLevel="0" collapsed="false">
      <c r="A739" s="367" t="s">
        <v>109</v>
      </c>
      <c r="B739" s="59" t="s">
        <v>67</v>
      </c>
    </row>
    <row r="740" customFormat="false" ht="13.8" hidden="false" customHeight="false" outlineLevel="0" collapsed="false">
      <c r="A740" s="367" t="s">
        <v>131</v>
      </c>
      <c r="B740" s="59" t="s">
        <v>130</v>
      </c>
    </row>
    <row r="741" customFormat="false" ht="15" hidden="false" customHeight="false" outlineLevel="0" collapsed="false">
      <c r="A741" s="372" t="s">
        <v>521</v>
      </c>
      <c r="B741" s="59" t="s">
        <v>29</v>
      </c>
    </row>
    <row r="742" customFormat="false" ht="13.8" hidden="false" customHeight="false" outlineLevel="0" collapsed="false">
      <c r="A742" s="367" t="s">
        <v>571</v>
      </c>
      <c r="B742" s="59" t="s">
        <v>203</v>
      </c>
    </row>
    <row r="743" customFormat="false" ht="13.8" hidden="false" customHeight="false" outlineLevel="0" collapsed="false">
      <c r="A743" s="367" t="s">
        <v>572</v>
      </c>
      <c r="B743" s="59" t="s">
        <v>176</v>
      </c>
    </row>
    <row r="744" customFormat="false" ht="13.8" hidden="false" customHeight="false" outlineLevel="0" collapsed="false">
      <c r="A744" s="367" t="s">
        <v>573</v>
      </c>
      <c r="B744" s="59" t="s">
        <v>65</v>
      </c>
    </row>
    <row r="745" customFormat="false" ht="13.8" hidden="false" customHeight="false" outlineLevel="0" collapsed="false">
      <c r="A745" s="367" t="s">
        <v>491</v>
      </c>
      <c r="B745" s="59" t="s">
        <v>65</v>
      </c>
    </row>
    <row r="746" customFormat="false" ht="13.8" hidden="false" customHeight="false" outlineLevel="0" collapsed="false">
      <c r="A746" s="367" t="s">
        <v>574</v>
      </c>
      <c r="B746" s="59" t="s">
        <v>65</v>
      </c>
    </row>
    <row r="747" customFormat="false" ht="13.8" hidden="false" customHeight="false" outlineLevel="0" collapsed="false">
      <c r="A747" s="367" t="s">
        <v>560</v>
      </c>
      <c r="B747" s="59" t="s">
        <v>65</v>
      </c>
    </row>
    <row r="748" customFormat="false" ht="13.8" hidden="false" customHeight="false" outlineLevel="0" collapsed="false">
      <c r="A748" s="367" t="s">
        <v>99</v>
      </c>
      <c r="B748" s="59" t="s">
        <v>98</v>
      </c>
    </row>
    <row r="749" customFormat="false" ht="13.8" hidden="false" customHeight="false" outlineLevel="0" collapsed="false">
      <c r="A749" s="367" t="s">
        <v>180</v>
      </c>
      <c r="B749" s="59" t="s">
        <v>98</v>
      </c>
    </row>
    <row r="750" customFormat="false" ht="13.8" hidden="false" customHeight="false" outlineLevel="0" collapsed="false">
      <c r="A750" s="367" t="s">
        <v>576</v>
      </c>
      <c r="B750" s="59" t="s">
        <v>575</v>
      </c>
    </row>
    <row r="751" customFormat="false" ht="15" hidden="false" customHeight="false" outlineLevel="0" collapsed="false">
      <c r="A751" s="372" t="s">
        <v>521</v>
      </c>
      <c r="B751" s="59" t="s">
        <v>29</v>
      </c>
    </row>
    <row r="752" customFormat="false" ht="13.8" hidden="false" customHeight="false" outlineLevel="0" collapsed="false">
      <c r="A752" s="367" t="s">
        <v>579</v>
      </c>
      <c r="B752" s="59" t="s">
        <v>577</v>
      </c>
    </row>
    <row r="753" customFormat="false" ht="13.8" hidden="false" customHeight="false" outlineLevel="0" collapsed="false">
      <c r="A753" s="367" t="s">
        <v>99</v>
      </c>
      <c r="B753" s="59" t="s">
        <v>98</v>
      </c>
    </row>
    <row r="754" customFormat="false" ht="15" hidden="false" customHeight="false" outlineLevel="0" collapsed="false">
      <c r="A754" s="372" t="s">
        <v>494</v>
      </c>
      <c r="B754" s="59" t="s">
        <v>29</v>
      </c>
    </row>
    <row r="755" customFormat="false" ht="13.8" hidden="false" customHeight="false" outlineLevel="0" collapsed="false">
      <c r="A755" s="367" t="s">
        <v>533</v>
      </c>
      <c r="B755" s="59" t="s">
        <v>532</v>
      </c>
    </row>
    <row r="756" customFormat="false" ht="13.8" hidden="false" customHeight="false" outlineLevel="0" collapsed="false">
      <c r="A756" s="367" t="s">
        <v>123</v>
      </c>
      <c r="B756" s="59" t="s">
        <v>122</v>
      </c>
    </row>
    <row r="757" customFormat="false" ht="13.8" hidden="false" customHeight="false" outlineLevel="0" collapsed="false">
      <c r="A757" s="367" t="s">
        <v>579</v>
      </c>
      <c r="B757" s="59" t="s">
        <v>577</v>
      </c>
    </row>
    <row r="758" customFormat="false" ht="13.8" hidden="false" customHeight="false" outlineLevel="0" collapsed="false">
      <c r="A758" s="367" t="s">
        <v>128</v>
      </c>
      <c r="B758" s="59" t="s">
        <v>127</v>
      </c>
    </row>
    <row r="759" customFormat="false" ht="15" hidden="false" customHeight="false" outlineLevel="0" collapsed="false">
      <c r="A759" s="372" t="s">
        <v>521</v>
      </c>
      <c r="B759" s="59" t="s">
        <v>29</v>
      </c>
    </row>
    <row r="760" customFormat="false" ht="15" hidden="false" customHeight="false" outlineLevel="0" collapsed="false">
      <c r="A760" s="372" t="s">
        <v>521</v>
      </c>
      <c r="B760" s="59" t="s">
        <v>29</v>
      </c>
    </row>
    <row r="761" customFormat="false" ht="13.8" hidden="false" customHeight="false" outlineLevel="0" collapsed="false">
      <c r="A761" s="367" t="s">
        <v>85</v>
      </c>
      <c r="B761" s="59" t="s">
        <v>71</v>
      </c>
    </row>
    <row r="762" customFormat="false" ht="13.8" hidden="false" customHeight="false" outlineLevel="0" collapsed="false">
      <c r="A762" s="367" t="s">
        <v>585</v>
      </c>
      <c r="B762" s="59" t="s">
        <v>74</v>
      </c>
    </row>
    <row r="763" customFormat="false" ht="13.8" hidden="false" customHeight="false" outlineLevel="0" collapsed="false">
      <c r="A763" s="367" t="s">
        <v>586</v>
      </c>
      <c r="B763" s="59" t="s">
        <v>65</v>
      </c>
    </row>
    <row r="764" customFormat="false" ht="13.8" hidden="false" customHeight="false" outlineLevel="0" collapsed="false">
      <c r="A764" s="367" t="s">
        <v>586</v>
      </c>
      <c r="B764" s="59" t="s">
        <v>65</v>
      </c>
    </row>
    <row r="765" customFormat="false" ht="15" hidden="false" customHeight="false" outlineLevel="0" collapsed="false">
      <c r="A765" s="372" t="s">
        <v>521</v>
      </c>
      <c r="B765" s="59" t="s">
        <v>29</v>
      </c>
    </row>
    <row r="766" customFormat="false" ht="13.8" hidden="false" customHeight="false" outlineLevel="0" collapsed="false">
      <c r="A766" s="367" t="s">
        <v>85</v>
      </c>
      <c r="B766" s="59" t="s">
        <v>71</v>
      </c>
    </row>
    <row r="767" customFormat="false" ht="13.8" hidden="false" customHeight="false" outlineLevel="0" collapsed="false">
      <c r="A767" s="367" t="s">
        <v>479</v>
      </c>
      <c r="B767" s="73" t="s">
        <v>316</v>
      </c>
    </row>
    <row r="768" customFormat="false" ht="13.8" hidden="false" customHeight="false" outlineLevel="0" collapsed="false">
      <c r="A768" s="367" t="s">
        <v>588</v>
      </c>
      <c r="B768" s="59" t="s">
        <v>65</v>
      </c>
    </row>
    <row r="769" customFormat="false" ht="13.8" hidden="false" customHeight="false" outlineLevel="0" collapsed="false">
      <c r="A769" s="367" t="s">
        <v>589</v>
      </c>
      <c r="B769" s="59" t="s">
        <v>65</v>
      </c>
    </row>
    <row r="770" customFormat="false" ht="13.8" hidden="false" customHeight="false" outlineLevel="0" collapsed="false">
      <c r="A770" s="367" t="s">
        <v>103</v>
      </c>
      <c r="B770" s="59" t="s">
        <v>98</v>
      </c>
    </row>
    <row r="771" customFormat="false" ht="15" hidden="false" customHeight="false" outlineLevel="0" collapsed="false">
      <c r="A771" s="372" t="s">
        <v>521</v>
      </c>
      <c r="B771" s="59" t="s">
        <v>29</v>
      </c>
    </row>
    <row r="772" customFormat="false" ht="13.8" hidden="false" customHeight="false" outlineLevel="0" collapsed="false">
      <c r="A772" s="367" t="s">
        <v>591</v>
      </c>
      <c r="B772" s="59" t="s">
        <v>181</v>
      </c>
    </row>
    <row r="773" customFormat="false" ht="15" hidden="false" customHeight="false" outlineLevel="0" collapsed="false">
      <c r="A773" s="372" t="s">
        <v>521</v>
      </c>
      <c r="B773" s="59" t="s">
        <v>29</v>
      </c>
    </row>
    <row r="774" customFormat="false" ht="13.8" hidden="false" customHeight="false" outlineLevel="0" collapsed="false">
      <c r="A774" s="367" t="s">
        <v>85</v>
      </c>
      <c r="B774" s="59" t="s">
        <v>71</v>
      </c>
    </row>
    <row r="775" customFormat="false" ht="13.8" hidden="false" customHeight="false" outlineLevel="0" collapsed="false">
      <c r="A775" s="367" t="s">
        <v>475</v>
      </c>
      <c r="B775" s="59" t="s">
        <v>474</v>
      </c>
    </row>
    <row r="776" customFormat="false" ht="15" hidden="false" customHeight="false" outlineLevel="0" collapsed="false">
      <c r="A776" s="372" t="s">
        <v>521</v>
      </c>
      <c r="B776" s="59" t="s">
        <v>29</v>
      </c>
    </row>
    <row r="777" customFormat="false" ht="13.8" hidden="false" customHeight="false" outlineLevel="0" collapsed="false">
      <c r="A777" s="367" t="s">
        <v>240</v>
      </c>
      <c r="B777" s="59" t="s">
        <v>225</v>
      </c>
    </row>
    <row r="778" customFormat="false" ht="13.8" hidden="false" customHeight="false" outlineLevel="0" collapsed="false">
      <c r="A778" s="367" t="s">
        <v>180</v>
      </c>
      <c r="B778" s="59" t="s">
        <v>98</v>
      </c>
    </row>
    <row r="779" customFormat="false" ht="13.8" hidden="false" customHeight="false" outlineLevel="0" collapsed="false">
      <c r="A779" s="367" t="s">
        <v>180</v>
      </c>
      <c r="B779" s="59" t="s">
        <v>98</v>
      </c>
    </row>
    <row r="780" customFormat="false" ht="15" hidden="false" customHeight="false" outlineLevel="0" collapsed="false">
      <c r="A780" s="372" t="s">
        <v>494</v>
      </c>
      <c r="B780" s="59" t="s">
        <v>29</v>
      </c>
    </row>
    <row r="781" customFormat="false" ht="13.8" hidden="false" customHeight="false" outlineLevel="0" collapsed="false">
      <c r="A781" s="367" t="s">
        <v>92</v>
      </c>
      <c r="B781" s="59" t="s">
        <v>76</v>
      </c>
    </row>
    <row r="782" customFormat="false" ht="13.8" hidden="false" customHeight="false" outlineLevel="0" collapsed="false">
      <c r="A782" s="367" t="s">
        <v>115</v>
      </c>
      <c r="B782" s="59" t="s">
        <v>65</v>
      </c>
    </row>
    <row r="783" customFormat="false" ht="13.8" hidden="false" customHeight="false" outlineLevel="0" collapsed="false">
      <c r="A783" s="367" t="s">
        <v>595</v>
      </c>
      <c r="B783" s="59" t="s">
        <v>65</v>
      </c>
    </row>
    <row r="784" customFormat="false" ht="15" hidden="false" customHeight="false" outlineLevel="0" collapsed="false">
      <c r="A784" s="372" t="s">
        <v>494</v>
      </c>
      <c r="B784" s="59" t="s">
        <v>29</v>
      </c>
    </row>
    <row r="785" customFormat="false" ht="13.8" hidden="false" customHeight="false" outlineLevel="0" collapsed="false">
      <c r="A785" s="367" t="s">
        <v>597</v>
      </c>
      <c r="B785" s="59" t="s">
        <v>203</v>
      </c>
    </row>
    <row r="786" customFormat="false" ht="13.8" hidden="false" customHeight="false" outlineLevel="0" collapsed="false">
      <c r="A786" s="367" t="s">
        <v>598</v>
      </c>
      <c r="B786" s="59" t="s">
        <v>33</v>
      </c>
    </row>
    <row r="787" customFormat="false" ht="13.8" hidden="false" customHeight="false" outlineLevel="0" collapsed="false">
      <c r="A787" s="367" t="s">
        <v>600</v>
      </c>
      <c r="B787" s="59" t="s">
        <v>65</v>
      </c>
    </row>
    <row r="788" customFormat="false" ht="13.8" hidden="false" customHeight="false" outlineLevel="0" collapsed="false">
      <c r="A788" s="367" t="s">
        <v>601</v>
      </c>
      <c r="B788" s="59" t="s">
        <v>65</v>
      </c>
    </row>
    <row r="789" customFormat="false" ht="13.8" hidden="false" customHeight="false" outlineLevel="0" collapsed="false">
      <c r="A789" s="367" t="s">
        <v>479</v>
      </c>
      <c r="B789" s="73" t="s">
        <v>316</v>
      </c>
    </row>
    <row r="790" customFormat="false" ht="13.8" hidden="false" customHeight="false" outlineLevel="0" collapsed="false">
      <c r="A790" s="367" t="s">
        <v>602</v>
      </c>
      <c r="B790" s="59" t="s">
        <v>65</v>
      </c>
    </row>
    <row r="791" customFormat="false" ht="13.8" hidden="false" customHeight="false" outlineLevel="0" collapsed="false">
      <c r="A791" s="367" t="s">
        <v>603</v>
      </c>
      <c r="B791" s="59" t="s">
        <v>74</v>
      </c>
    </row>
    <row r="792" customFormat="false" ht="13.8" hidden="false" customHeight="false" outlineLevel="0" collapsed="false">
      <c r="A792" s="367" t="s">
        <v>603</v>
      </c>
      <c r="B792" s="59" t="s">
        <v>74</v>
      </c>
    </row>
    <row r="793" customFormat="false" ht="13.8" hidden="false" customHeight="false" outlineLevel="0" collapsed="false">
      <c r="A793" s="367" t="s">
        <v>99</v>
      </c>
      <c r="B793" s="59" t="s">
        <v>98</v>
      </c>
    </row>
    <row r="794" customFormat="false" ht="13.8" hidden="false" customHeight="false" outlineLevel="0" collapsed="false">
      <c r="A794" s="367" t="s">
        <v>99</v>
      </c>
      <c r="B794" s="59" t="s">
        <v>98</v>
      </c>
    </row>
    <row r="795" customFormat="false" ht="15" hidden="false" customHeight="false" outlineLevel="0" collapsed="false">
      <c r="A795" s="372" t="s">
        <v>494</v>
      </c>
      <c r="B795" s="59" t="s">
        <v>29</v>
      </c>
    </row>
    <row r="796" customFormat="false" ht="13.8" hidden="false" customHeight="false" outlineLevel="0" collapsed="false">
      <c r="A796" s="367" t="s">
        <v>146</v>
      </c>
      <c r="B796" s="59" t="s">
        <v>98</v>
      </c>
    </row>
    <row r="797" customFormat="false" ht="15" hidden="false" customHeight="false" outlineLevel="0" collapsed="false">
      <c r="A797" s="372" t="s">
        <v>494</v>
      </c>
      <c r="B797" s="59" t="s">
        <v>29</v>
      </c>
    </row>
    <row r="798" customFormat="false" ht="13.8" hidden="false" customHeight="false" outlineLevel="0" collapsed="false">
      <c r="A798" s="367" t="s">
        <v>85</v>
      </c>
      <c r="B798" s="59" t="s">
        <v>71</v>
      </c>
    </row>
    <row r="799" customFormat="false" ht="15" hidden="false" customHeight="false" outlineLevel="0" collapsed="false">
      <c r="A799" s="372" t="s">
        <v>494</v>
      </c>
      <c r="B799" s="59" t="s">
        <v>29</v>
      </c>
    </row>
    <row r="800" customFormat="false" ht="13.8" hidden="false" customHeight="false" outlineLevel="0" collapsed="false">
      <c r="A800" s="367" t="s">
        <v>607</v>
      </c>
      <c r="B800" s="59" t="s">
        <v>74</v>
      </c>
    </row>
    <row r="801" customFormat="false" ht="13.8" hidden="false" customHeight="false" outlineLevel="0" collapsed="false">
      <c r="A801" s="367" t="s">
        <v>609</v>
      </c>
      <c r="B801" s="59" t="s">
        <v>608</v>
      </c>
    </row>
    <row r="802" customFormat="false" ht="15" hidden="false" customHeight="false" outlineLevel="0" collapsed="false">
      <c r="A802" s="372" t="s">
        <v>494</v>
      </c>
      <c r="B802" s="59" t="s">
        <v>29</v>
      </c>
    </row>
    <row r="803" customFormat="false" ht="15" hidden="false" customHeight="false" outlineLevel="0" collapsed="false">
      <c r="A803" s="372" t="s">
        <v>610</v>
      </c>
      <c r="B803" s="59" t="s">
        <v>29</v>
      </c>
    </row>
    <row r="804" customFormat="false" ht="15" hidden="false" customHeight="false" outlineLevel="0" collapsed="false">
      <c r="A804" s="372" t="s">
        <v>611</v>
      </c>
      <c r="B804" s="59" t="s">
        <v>29</v>
      </c>
    </row>
    <row r="805" customFormat="false" ht="13.8" hidden="false" customHeight="false" outlineLevel="0" collapsed="false">
      <c r="A805" s="367" t="s">
        <v>168</v>
      </c>
      <c r="B805" s="59" t="s">
        <v>35</v>
      </c>
    </row>
    <row r="806" customFormat="false" ht="13.8" hidden="false" customHeight="false" outlineLevel="0" collapsed="false">
      <c r="A806" s="367" t="s">
        <v>85</v>
      </c>
      <c r="B806" s="59" t="s">
        <v>71</v>
      </c>
    </row>
    <row r="807" customFormat="false" ht="13.8" hidden="false" customHeight="false" outlineLevel="0" collapsed="false">
      <c r="A807" s="367" t="s">
        <v>128</v>
      </c>
      <c r="B807" s="59" t="s">
        <v>127</v>
      </c>
    </row>
    <row r="808" customFormat="false" ht="15" hidden="false" customHeight="false" outlineLevel="0" collapsed="false">
      <c r="A808" s="372" t="s">
        <v>521</v>
      </c>
      <c r="B808" s="59" t="s">
        <v>29</v>
      </c>
    </row>
    <row r="809" customFormat="false" ht="15" hidden="false" customHeight="false" outlineLevel="0" collapsed="false">
      <c r="A809" s="372" t="s">
        <v>494</v>
      </c>
      <c r="B809" s="59" t="s">
        <v>29</v>
      </c>
    </row>
    <row r="810" customFormat="false" ht="15" hidden="false" customHeight="false" outlineLevel="0" collapsed="false">
      <c r="A810" s="374" t="s">
        <v>111</v>
      </c>
      <c r="B810" s="59" t="s">
        <v>29</v>
      </c>
    </row>
    <row r="811" customFormat="false" ht="13.8" hidden="false" customHeight="false" outlineLevel="0" collapsed="false">
      <c r="A811" s="373" t="s">
        <v>614</v>
      </c>
      <c r="B811" s="59" t="s">
        <v>65</v>
      </c>
    </row>
    <row r="812" customFormat="false" ht="13.8" hidden="false" customHeight="false" outlineLevel="0" collapsed="false">
      <c r="A812" s="373" t="s">
        <v>85</v>
      </c>
      <c r="B812" s="59" t="s">
        <v>71</v>
      </c>
    </row>
    <row r="813" customFormat="false" ht="13.8" hidden="false" customHeight="false" outlineLevel="0" collapsed="false">
      <c r="A813" s="373" t="s">
        <v>240</v>
      </c>
      <c r="B813" s="59" t="s">
        <v>225</v>
      </c>
    </row>
    <row r="814" customFormat="false" ht="13.8" hidden="false" customHeight="false" outlineLevel="0" collapsed="false">
      <c r="A814" s="373" t="s">
        <v>615</v>
      </c>
      <c r="B814" s="59" t="s">
        <v>74</v>
      </c>
    </row>
    <row r="815" customFormat="false" ht="13.8" hidden="false" customHeight="false" outlineLevel="0" collapsed="false">
      <c r="A815" s="373" t="s">
        <v>616</v>
      </c>
      <c r="B815" s="59" t="s">
        <v>76</v>
      </c>
    </row>
    <row r="816" customFormat="false" ht="13.8" hidden="false" customHeight="false" outlineLevel="0" collapsed="false">
      <c r="A816" s="373" t="s">
        <v>180</v>
      </c>
      <c r="B816" s="59" t="s">
        <v>98</v>
      </c>
    </row>
    <row r="817" customFormat="false" ht="15" hidden="false" customHeight="false" outlineLevel="0" collapsed="false">
      <c r="A817" s="374" t="s">
        <v>521</v>
      </c>
      <c r="B817" s="59" t="s">
        <v>29</v>
      </c>
    </row>
    <row r="818" customFormat="false" ht="13.8" hidden="false" customHeight="false" outlineLevel="0" collapsed="false">
      <c r="A818" s="373" t="s">
        <v>217</v>
      </c>
      <c r="B818" s="59" t="s">
        <v>119</v>
      </c>
    </row>
    <row r="819" customFormat="false" ht="13.8" hidden="false" customHeight="false" outlineLevel="0" collapsed="false">
      <c r="A819" s="373" t="s">
        <v>85</v>
      </c>
      <c r="B819" s="59" t="s">
        <v>71</v>
      </c>
    </row>
    <row r="820" customFormat="false" ht="13.8" hidden="false" customHeight="false" outlineLevel="0" collapsed="false">
      <c r="A820" s="373" t="s">
        <v>487</v>
      </c>
      <c r="B820" s="59" t="s">
        <v>65</v>
      </c>
    </row>
    <row r="821" customFormat="false" ht="13.8" hidden="false" customHeight="false" outlineLevel="0" collapsed="false">
      <c r="A821" s="373" t="s">
        <v>618</v>
      </c>
      <c r="B821" s="59" t="s">
        <v>67</v>
      </c>
    </row>
    <row r="822" customFormat="false" ht="15" hidden="false" customHeight="false" outlineLevel="0" collapsed="false">
      <c r="A822" s="374" t="s">
        <v>521</v>
      </c>
      <c r="B822" s="59" t="s">
        <v>29</v>
      </c>
    </row>
    <row r="823" customFormat="false" ht="13.8" hidden="false" customHeight="false" outlineLevel="0" collapsed="false">
      <c r="A823" s="373" t="s">
        <v>620</v>
      </c>
      <c r="B823" s="59" t="s">
        <v>176</v>
      </c>
    </row>
    <row r="824" customFormat="false" ht="13.8" hidden="false" customHeight="false" outlineLevel="0" collapsed="false">
      <c r="A824" s="373" t="s">
        <v>621</v>
      </c>
      <c r="B824" s="59" t="s">
        <v>176</v>
      </c>
    </row>
    <row r="825" customFormat="false" ht="13.8" hidden="false" customHeight="false" outlineLevel="0" collapsed="false">
      <c r="A825" s="373" t="s">
        <v>85</v>
      </c>
      <c r="B825" s="59" t="s">
        <v>71</v>
      </c>
    </row>
    <row r="826" customFormat="false" ht="13.8" hidden="false" customHeight="false" outlineLevel="0" collapsed="false">
      <c r="A826" s="373" t="s">
        <v>622</v>
      </c>
      <c r="B826" s="59" t="s">
        <v>181</v>
      </c>
    </row>
    <row r="827" customFormat="false" ht="15" hidden="false" customHeight="false" outlineLevel="0" collapsed="false">
      <c r="A827" s="374" t="s">
        <v>521</v>
      </c>
      <c r="B827" s="59" t="s">
        <v>29</v>
      </c>
    </row>
    <row r="828" customFormat="false" ht="13.8" hidden="false" customHeight="false" outlineLevel="0" collapsed="false">
      <c r="A828" s="373" t="s">
        <v>180</v>
      </c>
      <c r="B828" s="59" t="s">
        <v>98</v>
      </c>
    </row>
    <row r="829" customFormat="false" ht="15" hidden="false" customHeight="false" outlineLevel="0" collapsed="false">
      <c r="A829" s="374" t="s">
        <v>521</v>
      </c>
      <c r="B829" s="59" t="s">
        <v>29</v>
      </c>
    </row>
    <row r="830" customFormat="false" ht="13.8" hidden="false" customHeight="false" outlineLevel="0" collapsed="false">
      <c r="A830" s="373" t="s">
        <v>625</v>
      </c>
      <c r="B830" s="59" t="s">
        <v>65</v>
      </c>
    </row>
    <row r="831" customFormat="false" ht="13.8" hidden="false" customHeight="false" outlineLevel="0" collapsed="false">
      <c r="A831" s="373" t="s">
        <v>626</v>
      </c>
      <c r="B831" s="59" t="s">
        <v>65</v>
      </c>
    </row>
    <row r="832" customFormat="false" ht="13.8" hidden="false" customHeight="false" outlineLevel="0" collapsed="false">
      <c r="A832" s="373" t="s">
        <v>247</v>
      </c>
      <c r="B832" s="59" t="s">
        <v>98</v>
      </c>
    </row>
    <row r="833" customFormat="false" ht="13.8" hidden="false" customHeight="false" outlineLevel="0" collapsed="false">
      <c r="A833" s="373" t="s">
        <v>247</v>
      </c>
      <c r="B833" s="59" t="s">
        <v>98</v>
      </c>
    </row>
    <row r="834" customFormat="false" ht="13.8" hidden="false" customHeight="false" outlineLevel="0" collapsed="false">
      <c r="A834" s="373" t="s">
        <v>507</v>
      </c>
      <c r="B834" s="59" t="s">
        <v>65</v>
      </c>
    </row>
    <row r="835" customFormat="false" ht="13.8" hidden="false" customHeight="false" outlineLevel="0" collapsed="false">
      <c r="A835" s="373" t="s">
        <v>627</v>
      </c>
      <c r="B835" s="59" t="s">
        <v>65</v>
      </c>
    </row>
    <row r="836" customFormat="false" ht="15" hidden="false" customHeight="false" outlineLevel="0" collapsed="false">
      <c r="A836" s="374" t="s">
        <v>521</v>
      </c>
      <c r="B836" s="59" t="s">
        <v>29</v>
      </c>
    </row>
    <row r="837" customFormat="false" ht="13.8" hidden="false" customHeight="false" outlineLevel="0" collapsed="false">
      <c r="A837" s="373" t="s">
        <v>629</v>
      </c>
      <c r="B837" s="59" t="s">
        <v>119</v>
      </c>
    </row>
    <row r="838" customFormat="false" ht="13.8" hidden="false" customHeight="false" outlineLevel="0" collapsed="false">
      <c r="A838" s="373" t="s">
        <v>85</v>
      </c>
      <c r="B838" s="59" t="s">
        <v>71</v>
      </c>
    </row>
    <row r="839" customFormat="false" ht="13.8" hidden="false" customHeight="false" outlineLevel="0" collapsed="false">
      <c r="A839" s="373" t="s">
        <v>457</v>
      </c>
      <c r="B839" s="59" t="s">
        <v>74</v>
      </c>
    </row>
    <row r="840" customFormat="false" ht="13.8" hidden="false" customHeight="false" outlineLevel="0" collapsed="false">
      <c r="A840" s="373" t="s">
        <v>457</v>
      </c>
      <c r="B840" s="59" t="s">
        <v>74</v>
      </c>
    </row>
    <row r="841" customFormat="false" ht="13.8" hidden="false" customHeight="false" outlineLevel="0" collapsed="false">
      <c r="A841" s="373" t="s">
        <v>630</v>
      </c>
      <c r="B841" s="59" t="s">
        <v>65</v>
      </c>
    </row>
    <row r="842" customFormat="false" ht="13.8" hidden="false" customHeight="false" outlineLevel="0" collapsed="false">
      <c r="A842" s="373" t="s">
        <v>632</v>
      </c>
      <c r="B842" s="59" t="s">
        <v>631</v>
      </c>
    </row>
    <row r="843" customFormat="false" ht="13.8" hidden="false" customHeight="false" outlineLevel="0" collapsed="false">
      <c r="A843" s="373" t="s">
        <v>109</v>
      </c>
      <c r="B843" s="59" t="s">
        <v>67</v>
      </c>
    </row>
    <row r="844" customFormat="false" ht="13.8" hidden="false" customHeight="false" outlineLevel="0" collapsed="false">
      <c r="A844" s="373" t="s">
        <v>131</v>
      </c>
      <c r="B844" s="59" t="s">
        <v>130</v>
      </c>
    </row>
    <row r="845" customFormat="false" ht="13.8" hidden="false" customHeight="false" outlineLevel="0" collapsed="false">
      <c r="A845" s="373" t="s">
        <v>277</v>
      </c>
      <c r="B845" s="59" t="s">
        <v>29</v>
      </c>
    </row>
    <row r="846" customFormat="false" ht="15" hidden="false" customHeight="false" outlineLevel="0" collapsed="false">
      <c r="A846" s="374" t="s">
        <v>521</v>
      </c>
      <c r="B846" s="59" t="s">
        <v>29</v>
      </c>
    </row>
    <row r="847" customFormat="false" ht="15" hidden="false" customHeight="false" outlineLevel="0" collapsed="false">
      <c r="A847" s="374" t="s">
        <v>521</v>
      </c>
      <c r="B847" s="59" t="s">
        <v>29</v>
      </c>
    </row>
    <row r="848" customFormat="false" ht="13.8" hidden="false" customHeight="false" outlineLevel="0" collapsed="false">
      <c r="A848" s="373" t="s">
        <v>470</v>
      </c>
      <c r="B848" s="59" t="s">
        <v>98</v>
      </c>
    </row>
    <row r="849" customFormat="false" ht="13.8" hidden="false" customHeight="false" outlineLevel="0" collapsed="false">
      <c r="A849" s="373" t="s">
        <v>470</v>
      </c>
      <c r="B849" s="59" t="s">
        <v>98</v>
      </c>
    </row>
    <row r="850" customFormat="false" ht="13.8" hidden="false" customHeight="false" outlineLevel="0" collapsed="false">
      <c r="A850" s="373" t="s">
        <v>635</v>
      </c>
      <c r="B850" s="59" t="s">
        <v>98</v>
      </c>
    </row>
    <row r="851" customFormat="false" ht="15" hidden="false" customHeight="false" outlineLevel="0" collapsed="false">
      <c r="A851" s="374" t="s">
        <v>521</v>
      </c>
      <c r="B851" s="59" t="s">
        <v>29</v>
      </c>
    </row>
    <row r="852" customFormat="false" ht="15" hidden="false" customHeight="false" outlineLevel="0" collapsed="false">
      <c r="A852" s="374" t="s">
        <v>521</v>
      </c>
      <c r="B852" s="59" t="s">
        <v>29</v>
      </c>
    </row>
    <row r="853" customFormat="false" ht="13.8" hidden="false" customHeight="false" outlineLevel="0" collapsed="false">
      <c r="A853" s="373" t="s">
        <v>85</v>
      </c>
      <c r="B853" s="59" t="s">
        <v>71</v>
      </c>
    </row>
    <row r="854" customFormat="false" ht="13.8" hidden="false" customHeight="false" outlineLevel="0" collapsed="false">
      <c r="A854" s="373" t="s">
        <v>85</v>
      </c>
      <c r="B854" s="59" t="s">
        <v>71</v>
      </c>
    </row>
    <row r="855" customFormat="false" ht="13.8" hidden="false" customHeight="false" outlineLevel="0" collapsed="false">
      <c r="A855" s="373" t="s">
        <v>457</v>
      </c>
      <c r="B855" s="59" t="s">
        <v>74</v>
      </c>
    </row>
    <row r="856" customFormat="false" ht="13.8" hidden="false" customHeight="false" outlineLevel="0" collapsed="false">
      <c r="A856" s="373" t="s">
        <v>180</v>
      </c>
      <c r="B856" s="59" t="s">
        <v>98</v>
      </c>
    </row>
    <row r="857" customFormat="false" ht="15" hidden="false" customHeight="false" outlineLevel="0" collapsed="false">
      <c r="A857" s="374" t="s">
        <v>521</v>
      </c>
      <c r="B857" s="59" t="s">
        <v>29</v>
      </c>
    </row>
    <row r="858" customFormat="false" ht="13.8" hidden="false" customHeight="false" outlineLevel="0" collapsed="false">
      <c r="A858" s="373" t="s">
        <v>639</v>
      </c>
      <c r="B858" s="59" t="s">
        <v>203</v>
      </c>
    </row>
    <row r="859" customFormat="false" ht="13.8" hidden="false" customHeight="false" outlineLevel="0" collapsed="false">
      <c r="A859" s="373" t="s">
        <v>533</v>
      </c>
      <c r="B859" s="59" t="s">
        <v>532</v>
      </c>
    </row>
    <row r="860" customFormat="false" ht="13.8" hidden="false" customHeight="false" outlineLevel="0" collapsed="false">
      <c r="A860" s="373" t="s">
        <v>503</v>
      </c>
      <c r="B860" s="59" t="s">
        <v>640</v>
      </c>
    </row>
    <row r="861" customFormat="false" ht="13.8" hidden="false" customHeight="false" outlineLevel="0" collapsed="false">
      <c r="A861" s="373" t="s">
        <v>503</v>
      </c>
      <c r="B861" s="59" t="s">
        <v>640</v>
      </c>
    </row>
    <row r="862" customFormat="false" ht="13.8" hidden="false" customHeight="false" outlineLevel="0" collapsed="false">
      <c r="A862" s="373" t="s">
        <v>616</v>
      </c>
      <c r="B862" s="59" t="s">
        <v>76</v>
      </c>
    </row>
    <row r="863" customFormat="false" ht="13.8" hidden="false" customHeight="false" outlineLevel="0" collapsed="false">
      <c r="A863" s="373" t="s">
        <v>479</v>
      </c>
      <c r="B863" s="59" t="s">
        <v>316</v>
      </c>
    </row>
    <row r="864" customFormat="false" ht="13.8" hidden="false" customHeight="false" outlineLevel="0" collapsed="false">
      <c r="A864" s="373" t="s">
        <v>99</v>
      </c>
      <c r="B864" s="59" t="s">
        <v>98</v>
      </c>
    </row>
    <row r="865" customFormat="false" ht="13.8" hidden="false" customHeight="false" outlineLevel="0" collapsed="false">
      <c r="A865" s="373" t="s">
        <v>123</v>
      </c>
      <c r="B865" s="59" t="s">
        <v>122</v>
      </c>
    </row>
    <row r="866" customFormat="false" ht="13.8" hidden="false" customHeight="false" outlineLevel="0" collapsed="false">
      <c r="A866" s="373" t="s">
        <v>128</v>
      </c>
      <c r="B866" s="59" t="s">
        <v>127</v>
      </c>
    </row>
    <row r="867" customFormat="false" ht="15" hidden="false" customHeight="false" outlineLevel="0" collapsed="false">
      <c r="A867" s="374" t="s">
        <v>521</v>
      </c>
      <c r="B867" s="59" t="s">
        <v>29</v>
      </c>
    </row>
    <row r="868" customFormat="false" ht="15" hidden="false" customHeight="false" outlineLevel="0" collapsed="false">
      <c r="A868" s="374" t="s">
        <v>521</v>
      </c>
      <c r="B868" s="59" t="s">
        <v>29</v>
      </c>
    </row>
    <row r="869" customFormat="false" ht="13.8" hidden="false" customHeight="false" outlineLevel="0" collapsed="false">
      <c r="A869" s="373" t="s">
        <v>489</v>
      </c>
      <c r="B869" s="59" t="s">
        <v>74</v>
      </c>
    </row>
    <row r="870" customFormat="false" ht="13.8" hidden="false" customHeight="false" outlineLevel="0" collapsed="false">
      <c r="A870" s="373" t="s">
        <v>180</v>
      </c>
      <c r="B870" s="59" t="s">
        <v>98</v>
      </c>
    </row>
    <row r="871" customFormat="false" ht="15" hidden="false" customHeight="false" outlineLevel="0" collapsed="false">
      <c r="A871" s="374" t="s">
        <v>521</v>
      </c>
      <c r="B871" s="59" t="s">
        <v>29</v>
      </c>
    </row>
    <row r="872" customFormat="false" ht="13.8" hidden="false" customHeight="false" outlineLevel="0" collapsed="false">
      <c r="A872" s="373" t="s">
        <v>244</v>
      </c>
      <c r="B872" s="59" t="s">
        <v>65</v>
      </c>
    </row>
    <row r="873" customFormat="false" ht="15" hidden="false" customHeight="false" outlineLevel="0" collapsed="false">
      <c r="A873" s="374" t="s">
        <v>521</v>
      </c>
      <c r="B873" s="59" t="s">
        <v>29</v>
      </c>
    </row>
    <row r="874" customFormat="false" ht="13.8" hidden="false" customHeight="false" outlineLevel="0" collapsed="false">
      <c r="A874" s="373" t="s">
        <v>85</v>
      </c>
      <c r="B874" s="59" t="s">
        <v>71</v>
      </c>
    </row>
    <row r="875" customFormat="false" ht="13.8" hidden="false" customHeight="false" outlineLevel="0" collapsed="false">
      <c r="A875" s="373" t="s">
        <v>85</v>
      </c>
      <c r="B875" s="59" t="s">
        <v>71</v>
      </c>
    </row>
    <row r="876" customFormat="false" ht="13.8" hidden="false" customHeight="false" outlineLevel="0" collapsed="false">
      <c r="A876" s="373" t="s">
        <v>645</v>
      </c>
      <c r="B876" s="59" t="s">
        <v>65</v>
      </c>
    </row>
    <row r="877" customFormat="false" ht="13.8" hidden="false" customHeight="false" outlineLevel="0" collapsed="false">
      <c r="A877" s="373" t="s">
        <v>646</v>
      </c>
      <c r="B877" s="59" t="s">
        <v>71</v>
      </c>
    </row>
    <row r="878" customFormat="false" ht="15" hidden="false" customHeight="false" outlineLevel="0" collapsed="false">
      <c r="A878" s="374" t="s">
        <v>521</v>
      </c>
      <c r="B878" s="59" t="s">
        <v>29</v>
      </c>
    </row>
    <row r="879" customFormat="false" ht="13.8" hidden="false" customHeight="false" outlineLevel="0" collapsed="false">
      <c r="A879" s="373" t="s">
        <v>648</v>
      </c>
      <c r="B879" s="59" t="s">
        <v>203</v>
      </c>
    </row>
    <row r="880" customFormat="false" ht="13.8" hidden="false" customHeight="false" outlineLevel="0" collapsed="false">
      <c r="A880" s="373" t="s">
        <v>85</v>
      </c>
      <c r="B880" s="59" t="s">
        <v>71</v>
      </c>
    </row>
    <row r="881" customFormat="false" ht="13.8" hidden="false" customHeight="false" outlineLevel="0" collapsed="false">
      <c r="A881" s="373" t="s">
        <v>649</v>
      </c>
      <c r="B881" s="59" t="s">
        <v>76</v>
      </c>
    </row>
    <row r="882" customFormat="false" ht="13.8" hidden="false" customHeight="false" outlineLevel="0" collapsed="false">
      <c r="A882" s="373" t="s">
        <v>649</v>
      </c>
      <c r="B882" s="59" t="s">
        <v>76</v>
      </c>
    </row>
    <row r="883" customFormat="false" ht="13.8" hidden="false" customHeight="false" outlineLevel="0" collapsed="false">
      <c r="A883" s="373" t="s">
        <v>650</v>
      </c>
      <c r="B883" s="59" t="s">
        <v>76</v>
      </c>
    </row>
    <row r="884" customFormat="false" ht="13.8" hidden="false" customHeight="false" outlineLevel="0" collapsed="false">
      <c r="A884" s="373" t="s">
        <v>446</v>
      </c>
      <c r="B884" s="59" t="s">
        <v>76</v>
      </c>
    </row>
    <row r="885" customFormat="false" ht="13.8" hidden="false" customHeight="false" outlineLevel="0" collapsed="false">
      <c r="A885" s="373" t="s">
        <v>652</v>
      </c>
      <c r="B885" s="59" t="s">
        <v>651</v>
      </c>
    </row>
    <row r="886" customFormat="false" ht="13.8" hidden="false" customHeight="false" outlineLevel="0" collapsed="false">
      <c r="A886" s="373" t="s">
        <v>479</v>
      </c>
      <c r="B886" s="59" t="s">
        <v>316</v>
      </c>
    </row>
    <row r="887" customFormat="false" ht="13.8" hidden="false" customHeight="false" outlineLevel="0" collapsed="false">
      <c r="A887" s="373" t="s">
        <v>99</v>
      </c>
      <c r="B887" s="59" t="s">
        <v>98</v>
      </c>
    </row>
    <row r="888" customFormat="false" ht="13.8" hidden="false" customHeight="false" outlineLevel="0" collapsed="false">
      <c r="A888" s="373" t="s">
        <v>180</v>
      </c>
      <c r="B888" s="59" t="s">
        <v>98</v>
      </c>
    </row>
    <row r="889" customFormat="false" ht="13.8" hidden="false" customHeight="false" outlineLevel="0" collapsed="false">
      <c r="A889" s="373" t="s">
        <v>143</v>
      </c>
      <c r="B889" s="59" t="s">
        <v>142</v>
      </c>
    </row>
    <row r="890" customFormat="false" ht="15" hidden="false" customHeight="false" outlineLevel="0" collapsed="false">
      <c r="A890" s="374" t="s">
        <v>521</v>
      </c>
      <c r="B890" s="59" t="s">
        <v>29</v>
      </c>
    </row>
    <row r="891" customFormat="false" ht="13.8" hidden="false" customHeight="false" outlineLevel="0" collapsed="false">
      <c r="A891" s="373" t="s">
        <v>533</v>
      </c>
      <c r="B891" s="59" t="s">
        <v>532</v>
      </c>
    </row>
    <row r="892" customFormat="false" ht="13.8" hidden="false" customHeight="false" outlineLevel="0" collapsed="false">
      <c r="A892" s="373" t="s">
        <v>180</v>
      </c>
      <c r="B892" s="59" t="s">
        <v>98</v>
      </c>
    </row>
    <row r="893" customFormat="false" ht="15" hidden="false" customHeight="false" outlineLevel="0" collapsed="false">
      <c r="A893" s="374" t="s">
        <v>521</v>
      </c>
      <c r="B893" s="59" t="s">
        <v>29</v>
      </c>
    </row>
    <row r="894" customFormat="false" ht="15" hidden="false" customHeight="false" outlineLevel="0" collapsed="false">
      <c r="A894" s="374" t="s">
        <v>521</v>
      </c>
      <c r="B894" s="59" t="s">
        <v>29</v>
      </c>
    </row>
    <row r="895" customFormat="false" ht="13.8" hidden="false" customHeight="false" outlineLevel="0" collapsed="false">
      <c r="A895" s="373" t="s">
        <v>180</v>
      </c>
      <c r="B895" s="59" t="s">
        <v>98</v>
      </c>
    </row>
    <row r="896" customFormat="false" ht="13.8" hidden="false" customHeight="false" outlineLevel="0" collapsed="false">
      <c r="A896" s="373" t="s">
        <v>180</v>
      </c>
      <c r="B896" s="59" t="s">
        <v>98</v>
      </c>
    </row>
    <row r="897" customFormat="false" ht="15" hidden="false" customHeight="false" outlineLevel="0" collapsed="false">
      <c r="A897" s="374" t="s">
        <v>521</v>
      </c>
      <c r="B897" s="59" t="s">
        <v>29</v>
      </c>
    </row>
    <row r="898" customFormat="false" ht="13.8" hidden="false" customHeight="false" outlineLevel="0" collapsed="false">
      <c r="A898" s="373" t="s">
        <v>180</v>
      </c>
      <c r="B898" s="59" t="s">
        <v>98</v>
      </c>
    </row>
    <row r="899" customFormat="false" ht="15" hidden="false" customHeight="false" outlineLevel="0" collapsed="false">
      <c r="A899" s="374" t="s">
        <v>521</v>
      </c>
      <c r="B899" s="59" t="s">
        <v>29</v>
      </c>
    </row>
    <row r="900" customFormat="false" ht="13.8" hidden="false" customHeight="false" outlineLevel="0" collapsed="false">
      <c r="A900" s="373" t="s">
        <v>658</v>
      </c>
      <c r="B900" s="59" t="s">
        <v>203</v>
      </c>
    </row>
    <row r="901" customFormat="false" ht="13.8" hidden="false" customHeight="false" outlineLevel="0" collapsed="false">
      <c r="A901" s="373" t="s">
        <v>168</v>
      </c>
      <c r="B901" s="59" t="s">
        <v>35</v>
      </c>
    </row>
    <row r="902" customFormat="false" ht="13.8" hidden="false" customHeight="false" outlineLevel="0" collapsed="false">
      <c r="A902" s="373" t="s">
        <v>244</v>
      </c>
      <c r="B902" s="59" t="s">
        <v>65</v>
      </c>
    </row>
    <row r="903" customFormat="false" ht="13.8" hidden="false" customHeight="false" outlineLevel="0" collapsed="false">
      <c r="A903" s="373" t="s">
        <v>92</v>
      </c>
      <c r="B903" s="59" t="s">
        <v>76</v>
      </c>
    </row>
    <row r="904" customFormat="false" ht="13.8" hidden="false" customHeight="false" outlineLevel="0" collapsed="false">
      <c r="A904" s="373" t="s">
        <v>479</v>
      </c>
      <c r="B904" s="59" t="s">
        <v>316</v>
      </c>
    </row>
    <row r="905" customFormat="false" ht="13.8" hidden="false" customHeight="false" outlineLevel="0" collapsed="false">
      <c r="A905" s="373" t="s">
        <v>479</v>
      </c>
      <c r="B905" s="59" t="s">
        <v>316</v>
      </c>
    </row>
    <row r="906" customFormat="false" ht="13.8" hidden="false" customHeight="false" outlineLevel="0" collapsed="false">
      <c r="A906" s="373" t="s">
        <v>155</v>
      </c>
      <c r="B906" s="59" t="s">
        <v>74</v>
      </c>
    </row>
    <row r="907" customFormat="false" ht="13.8" hidden="false" customHeight="false" outlineLevel="0" collapsed="false">
      <c r="A907" s="373" t="s">
        <v>128</v>
      </c>
      <c r="B907" s="59" t="s">
        <v>127</v>
      </c>
    </row>
    <row r="908" customFormat="false" ht="15" hidden="false" customHeight="false" outlineLevel="0" collapsed="false">
      <c r="A908" s="374" t="s">
        <v>521</v>
      </c>
      <c r="B908" s="59" t="s">
        <v>29</v>
      </c>
    </row>
    <row r="909" customFormat="false" ht="15" hidden="false" customHeight="false" outlineLevel="0" collapsed="false">
      <c r="A909" s="374" t="s">
        <v>494</v>
      </c>
      <c r="B909" s="59" t="s">
        <v>29</v>
      </c>
    </row>
    <row r="910" customFormat="false" ht="15" hidden="false" customHeight="false" outlineLevel="0" collapsed="false">
      <c r="A910" s="376" t="s">
        <v>111</v>
      </c>
      <c r="B910" s="59" t="s">
        <v>29</v>
      </c>
    </row>
    <row r="911" customFormat="false" ht="13.8" hidden="false" customHeight="false" outlineLevel="0" collapsed="false">
      <c r="A911" s="375" t="s">
        <v>457</v>
      </c>
      <c r="B911" s="59" t="s">
        <v>74</v>
      </c>
    </row>
    <row r="912" customFormat="false" ht="15" hidden="false" customHeight="false" outlineLevel="0" collapsed="false">
      <c r="A912" s="376" t="s">
        <v>521</v>
      </c>
      <c r="B912" s="59" t="s">
        <v>29</v>
      </c>
    </row>
    <row r="913" customFormat="false" ht="13.8" hidden="false" customHeight="false" outlineLevel="0" collapsed="false">
      <c r="A913" s="375" t="s">
        <v>661</v>
      </c>
      <c r="B913" s="59" t="s">
        <v>67</v>
      </c>
    </row>
    <row r="914" customFormat="false" ht="15" hidden="false" customHeight="false" outlineLevel="0" collapsed="false">
      <c r="A914" s="376" t="s">
        <v>521</v>
      </c>
      <c r="B914" s="59" t="s">
        <v>29</v>
      </c>
    </row>
    <row r="915" customFormat="false" ht="13.8" hidden="false" customHeight="false" outlineLevel="0" collapsed="false">
      <c r="A915" s="375" t="s">
        <v>180</v>
      </c>
      <c r="B915" s="59" t="s">
        <v>98</v>
      </c>
    </row>
    <row r="916" customFormat="false" ht="15" hidden="false" customHeight="false" outlineLevel="0" collapsed="false">
      <c r="A916" s="376" t="s">
        <v>521</v>
      </c>
      <c r="B916" s="59" t="s">
        <v>29</v>
      </c>
    </row>
    <row r="917" customFormat="false" ht="13.8" hidden="false" customHeight="false" outlineLevel="0" collapsed="false">
      <c r="A917" s="375" t="s">
        <v>236</v>
      </c>
      <c r="B917" s="59" t="s">
        <v>74</v>
      </c>
    </row>
    <row r="918" customFormat="false" ht="15" hidden="false" customHeight="false" outlineLevel="0" collapsed="false">
      <c r="A918" s="376" t="s">
        <v>521</v>
      </c>
      <c r="B918" s="59" t="s">
        <v>29</v>
      </c>
    </row>
    <row r="919" customFormat="false" ht="13.8" hidden="false" customHeight="false" outlineLevel="0" collapsed="false">
      <c r="A919" s="375" t="s">
        <v>665</v>
      </c>
      <c r="B919" s="59" t="s">
        <v>203</v>
      </c>
    </row>
    <row r="920" customFormat="false" ht="13.8" hidden="false" customHeight="false" outlineLevel="0" collapsed="false">
      <c r="A920" s="375" t="s">
        <v>85</v>
      </c>
      <c r="B920" s="59" t="s">
        <v>71</v>
      </c>
    </row>
    <row r="921" customFormat="false" ht="13.8" hidden="false" customHeight="false" outlineLevel="0" collapsed="false">
      <c r="A921" s="375" t="s">
        <v>85</v>
      </c>
      <c r="B921" s="59" t="s">
        <v>71</v>
      </c>
    </row>
    <row r="922" customFormat="false" ht="13.8" hidden="false" customHeight="false" outlineLevel="0" collapsed="false">
      <c r="A922" s="375" t="s">
        <v>601</v>
      </c>
      <c r="B922" s="59" t="s">
        <v>65</v>
      </c>
    </row>
    <row r="923" customFormat="false" ht="13.8" hidden="false" customHeight="false" outlineLevel="0" collapsed="false">
      <c r="A923" s="375" t="s">
        <v>189</v>
      </c>
      <c r="B923" s="59" t="s">
        <v>71</v>
      </c>
    </row>
    <row r="924" customFormat="false" ht="13.8" hidden="false" customHeight="false" outlineLevel="0" collapsed="false">
      <c r="A924" s="375" t="s">
        <v>479</v>
      </c>
      <c r="B924" s="73" t="s">
        <v>316</v>
      </c>
    </row>
    <row r="925" customFormat="false" ht="13.8" hidden="false" customHeight="false" outlineLevel="0" collapsed="false">
      <c r="A925" s="375" t="s">
        <v>666</v>
      </c>
      <c r="B925" s="59" t="s">
        <v>148</v>
      </c>
    </row>
    <row r="926" customFormat="false" ht="13.8" hidden="false" customHeight="false" outlineLevel="0" collapsed="false">
      <c r="A926" s="375" t="s">
        <v>99</v>
      </c>
      <c r="B926" s="59" t="s">
        <v>98</v>
      </c>
    </row>
    <row r="927" customFormat="false" ht="13.8" hidden="false" customHeight="false" outlineLevel="0" collapsed="false">
      <c r="A927" s="375" t="s">
        <v>180</v>
      </c>
      <c r="B927" s="59" t="s">
        <v>98</v>
      </c>
    </row>
    <row r="928" customFormat="false" ht="13.8" hidden="false" customHeight="false" outlineLevel="0" collapsed="false">
      <c r="A928" s="375" t="s">
        <v>180</v>
      </c>
      <c r="B928" s="59" t="s">
        <v>98</v>
      </c>
    </row>
    <row r="929" customFormat="false" ht="13.8" hidden="false" customHeight="false" outlineLevel="0" collapsed="false">
      <c r="A929" s="375" t="s">
        <v>115</v>
      </c>
      <c r="B929" s="59" t="s">
        <v>65</v>
      </c>
    </row>
    <row r="930" customFormat="false" ht="15" hidden="false" customHeight="false" outlineLevel="0" collapsed="false">
      <c r="A930" s="376" t="s">
        <v>494</v>
      </c>
      <c r="B930" s="59" t="s">
        <v>29</v>
      </c>
    </row>
    <row r="931" customFormat="false" ht="13.8" hidden="false" customHeight="false" outlineLevel="0" collapsed="false">
      <c r="A931" s="375" t="s">
        <v>668</v>
      </c>
      <c r="B931" s="59" t="s">
        <v>176</v>
      </c>
    </row>
    <row r="932" customFormat="false" ht="13.8" hidden="false" customHeight="false" outlineLevel="0" collapsed="false">
      <c r="A932" s="375" t="s">
        <v>180</v>
      </c>
      <c r="B932" s="59" t="s">
        <v>98</v>
      </c>
    </row>
    <row r="933" customFormat="false" ht="15" hidden="false" customHeight="false" outlineLevel="0" collapsed="false">
      <c r="A933" s="376" t="s">
        <v>494</v>
      </c>
      <c r="B933" s="59" t="s">
        <v>29</v>
      </c>
    </row>
    <row r="934" customFormat="false" ht="13.8" hidden="false" customHeight="false" outlineLevel="0" collapsed="false">
      <c r="A934" s="375" t="s">
        <v>670</v>
      </c>
      <c r="B934" s="59" t="s">
        <v>119</v>
      </c>
    </row>
    <row r="935" customFormat="false" ht="13.8" hidden="false" customHeight="false" outlineLevel="0" collapsed="false">
      <c r="A935" s="375" t="s">
        <v>244</v>
      </c>
      <c r="B935" s="59" t="s">
        <v>65</v>
      </c>
    </row>
    <row r="936" customFormat="false" ht="13.8" hidden="false" customHeight="false" outlineLevel="0" collapsed="false">
      <c r="A936" s="375" t="s">
        <v>671</v>
      </c>
      <c r="B936" s="59" t="s">
        <v>65</v>
      </c>
    </row>
    <row r="937" customFormat="false" ht="13.8" hidden="false" customHeight="false" outlineLevel="0" collapsed="false">
      <c r="A937" s="375" t="s">
        <v>236</v>
      </c>
      <c r="B937" s="59" t="s">
        <v>74</v>
      </c>
    </row>
    <row r="938" customFormat="false" ht="13.8" hidden="false" customHeight="false" outlineLevel="0" collapsed="false">
      <c r="A938" s="375" t="s">
        <v>115</v>
      </c>
      <c r="B938" s="59" t="s">
        <v>65</v>
      </c>
    </row>
    <row r="939" customFormat="false" ht="13.8" hidden="false" customHeight="false" outlineLevel="0" collapsed="false">
      <c r="A939" s="375" t="s">
        <v>109</v>
      </c>
      <c r="B939" s="59" t="s">
        <v>67</v>
      </c>
    </row>
    <row r="940" customFormat="false" ht="15" hidden="false" customHeight="false" outlineLevel="0" collapsed="false">
      <c r="A940" s="376" t="s">
        <v>494</v>
      </c>
      <c r="B940" s="59" t="s">
        <v>29</v>
      </c>
    </row>
    <row r="941" customFormat="false" ht="13.8" hidden="false" customHeight="false" outlineLevel="0" collapsed="false">
      <c r="A941" s="375" t="s">
        <v>217</v>
      </c>
      <c r="B941" s="59" t="s">
        <v>119</v>
      </c>
    </row>
    <row r="942" customFormat="false" ht="13.8" hidden="false" customHeight="false" outlineLevel="0" collapsed="false">
      <c r="A942" s="375" t="s">
        <v>131</v>
      </c>
      <c r="B942" s="59" t="s">
        <v>130</v>
      </c>
    </row>
    <row r="943" customFormat="false" ht="15" hidden="false" customHeight="false" outlineLevel="0" collapsed="false">
      <c r="A943" s="376" t="s">
        <v>494</v>
      </c>
      <c r="B943" s="59" t="s">
        <v>29</v>
      </c>
    </row>
    <row r="944" customFormat="false" ht="13.8" hidden="false" customHeight="false" outlineLevel="0" collapsed="false">
      <c r="A944" s="375" t="s">
        <v>674</v>
      </c>
      <c r="B944" s="59" t="s">
        <v>203</v>
      </c>
    </row>
    <row r="945" customFormat="false" ht="13.8" hidden="false" customHeight="false" outlineLevel="0" collapsed="false">
      <c r="A945" s="375" t="s">
        <v>675</v>
      </c>
      <c r="B945" s="59" t="s">
        <v>203</v>
      </c>
    </row>
    <row r="946" customFormat="false" ht="13.8" hidden="false" customHeight="false" outlineLevel="0" collapsed="false">
      <c r="A946" s="375" t="s">
        <v>676</v>
      </c>
      <c r="B946" s="59" t="s">
        <v>176</v>
      </c>
    </row>
    <row r="947" customFormat="false" ht="13.8" hidden="false" customHeight="false" outlineLevel="0" collapsed="false">
      <c r="A947" s="375" t="s">
        <v>677</v>
      </c>
      <c r="B947" s="59" t="s">
        <v>65</v>
      </c>
    </row>
    <row r="948" customFormat="false" ht="13.8" hidden="false" customHeight="false" outlineLevel="0" collapsed="false">
      <c r="A948" s="375" t="s">
        <v>470</v>
      </c>
      <c r="B948" s="59" t="s">
        <v>98</v>
      </c>
    </row>
    <row r="949" customFormat="false" ht="13.8" hidden="false" customHeight="false" outlineLevel="0" collapsed="false">
      <c r="A949" s="375" t="s">
        <v>244</v>
      </c>
      <c r="B949" s="59" t="s">
        <v>65</v>
      </c>
    </row>
    <row r="950" customFormat="false" ht="13.8" hidden="false" customHeight="false" outlineLevel="0" collapsed="false">
      <c r="A950" s="375" t="s">
        <v>454</v>
      </c>
      <c r="B950" s="59" t="s">
        <v>65</v>
      </c>
    </row>
    <row r="951" customFormat="false" ht="13.8" hidden="false" customHeight="false" outlineLevel="0" collapsed="false">
      <c r="A951" s="375" t="s">
        <v>479</v>
      </c>
      <c r="B951" s="73" t="s">
        <v>316</v>
      </c>
    </row>
    <row r="952" customFormat="false" ht="13.8" hidden="false" customHeight="false" outlineLevel="0" collapsed="false">
      <c r="A952" s="375" t="s">
        <v>560</v>
      </c>
      <c r="B952" s="59" t="s">
        <v>65</v>
      </c>
    </row>
    <row r="953" customFormat="false" ht="13.8" hidden="false" customHeight="false" outlineLevel="0" collapsed="false">
      <c r="A953" s="375" t="s">
        <v>99</v>
      </c>
      <c r="B953" s="59" t="s">
        <v>98</v>
      </c>
    </row>
    <row r="954" customFormat="false" ht="15" hidden="false" customHeight="false" outlineLevel="0" collapsed="false">
      <c r="A954" s="376" t="s">
        <v>494</v>
      </c>
      <c r="B954" s="59" t="s">
        <v>29</v>
      </c>
    </row>
    <row r="955" customFormat="false" ht="13.8" hidden="false" customHeight="false" outlineLevel="0" collapsed="false">
      <c r="A955" s="375" t="s">
        <v>470</v>
      </c>
      <c r="B955" s="59" t="s">
        <v>98</v>
      </c>
    </row>
    <row r="956" customFormat="false" ht="13.8" hidden="false" customHeight="false" outlineLevel="0" collapsed="false">
      <c r="A956" s="375" t="s">
        <v>650</v>
      </c>
      <c r="B956" s="59" t="s">
        <v>98</v>
      </c>
    </row>
    <row r="957" customFormat="false" ht="13.8" hidden="false" customHeight="false" outlineLevel="0" collapsed="false">
      <c r="A957" s="375" t="s">
        <v>679</v>
      </c>
      <c r="B957" s="59" t="s">
        <v>98</v>
      </c>
    </row>
    <row r="958" customFormat="false" ht="13.8" hidden="false" customHeight="false" outlineLevel="0" collapsed="false">
      <c r="A958" s="375" t="s">
        <v>236</v>
      </c>
      <c r="B958" s="59" t="s">
        <v>74</v>
      </c>
    </row>
    <row r="959" customFormat="false" ht="13.8" hidden="false" customHeight="false" outlineLevel="0" collapsed="false">
      <c r="A959" s="375" t="s">
        <v>123</v>
      </c>
      <c r="B959" s="59" t="s">
        <v>122</v>
      </c>
    </row>
    <row r="960" customFormat="false" ht="13.8" hidden="false" customHeight="false" outlineLevel="0" collapsed="false">
      <c r="A960" s="375" t="s">
        <v>128</v>
      </c>
      <c r="B960" s="59" t="s">
        <v>127</v>
      </c>
    </row>
    <row r="961" customFormat="false" ht="15" hidden="false" customHeight="false" outlineLevel="0" collapsed="false">
      <c r="A961" s="376" t="s">
        <v>521</v>
      </c>
      <c r="B961" s="59" t="s">
        <v>29</v>
      </c>
    </row>
    <row r="962" customFormat="false" ht="13.8" hidden="false" customHeight="false" outlineLevel="0" collapsed="false">
      <c r="A962" s="375" t="s">
        <v>180</v>
      </c>
      <c r="B962" s="59" t="s">
        <v>98</v>
      </c>
    </row>
    <row r="963" customFormat="false" ht="15" hidden="false" customHeight="false" outlineLevel="0" collapsed="false">
      <c r="A963" s="376" t="s">
        <v>521</v>
      </c>
      <c r="B963" s="59" t="s">
        <v>29</v>
      </c>
    </row>
    <row r="964" customFormat="false" ht="13.8" hidden="false" customHeight="false" outlineLevel="0" collapsed="false">
      <c r="A964" s="375" t="s">
        <v>682</v>
      </c>
      <c r="B964" s="59" t="s">
        <v>65</v>
      </c>
    </row>
    <row r="965" customFormat="false" ht="13.8" hidden="false" customHeight="false" outlineLevel="0" collapsed="false">
      <c r="A965" s="375" t="s">
        <v>683</v>
      </c>
      <c r="B965" s="59" t="s">
        <v>65</v>
      </c>
    </row>
    <row r="966" customFormat="false" ht="13.8" hidden="false" customHeight="false" outlineLevel="0" collapsed="false">
      <c r="A966" s="375" t="s">
        <v>180</v>
      </c>
      <c r="B966" s="59" t="s">
        <v>98</v>
      </c>
    </row>
    <row r="967" customFormat="false" ht="15" hidden="false" customHeight="false" outlineLevel="0" collapsed="false">
      <c r="A967" s="376" t="s">
        <v>521</v>
      </c>
      <c r="B967" s="59" t="s">
        <v>29</v>
      </c>
    </row>
    <row r="968" customFormat="false" ht="13.8" hidden="false" customHeight="false" outlineLevel="0" collapsed="false">
      <c r="A968" s="375" t="s">
        <v>244</v>
      </c>
      <c r="B968" s="59" t="s">
        <v>65</v>
      </c>
    </row>
    <row r="969" customFormat="false" ht="13.8" hidden="false" customHeight="false" outlineLevel="0" collapsed="false">
      <c r="A969" s="375" t="s">
        <v>247</v>
      </c>
      <c r="B969" s="59" t="s">
        <v>98</v>
      </c>
    </row>
    <row r="970" customFormat="false" ht="15" hidden="false" customHeight="false" outlineLevel="0" collapsed="false">
      <c r="A970" s="376" t="s">
        <v>521</v>
      </c>
      <c r="B970" s="59" t="s">
        <v>29</v>
      </c>
    </row>
    <row r="971" customFormat="false" ht="13.8" hidden="false" customHeight="false" outlineLevel="0" collapsed="false">
      <c r="A971" s="375" t="s">
        <v>687</v>
      </c>
      <c r="B971" s="59" t="s">
        <v>685</v>
      </c>
    </row>
    <row r="972" customFormat="false" ht="13.8" hidden="false" customHeight="false" outlineLevel="0" collapsed="false">
      <c r="A972" s="375" t="s">
        <v>470</v>
      </c>
      <c r="B972" s="59" t="s">
        <v>98</v>
      </c>
    </row>
    <row r="973" customFormat="false" ht="13.8" hidden="false" customHeight="false" outlineLevel="0" collapsed="false">
      <c r="A973" s="375" t="s">
        <v>470</v>
      </c>
      <c r="B973" s="59" t="s">
        <v>98</v>
      </c>
    </row>
    <row r="974" customFormat="false" ht="13.8" hidden="false" customHeight="false" outlineLevel="0" collapsed="false">
      <c r="A974" s="375" t="s">
        <v>179</v>
      </c>
      <c r="B974" s="59" t="s">
        <v>76</v>
      </c>
    </row>
    <row r="975" customFormat="false" ht="13.8" hidden="false" customHeight="false" outlineLevel="0" collapsed="false">
      <c r="A975" s="375" t="s">
        <v>458</v>
      </c>
      <c r="B975" s="59" t="s">
        <v>76</v>
      </c>
    </row>
    <row r="976" customFormat="false" ht="13.8" hidden="false" customHeight="false" outlineLevel="0" collapsed="false">
      <c r="A976" s="375" t="s">
        <v>666</v>
      </c>
      <c r="B976" s="59" t="s">
        <v>76</v>
      </c>
    </row>
    <row r="977" customFormat="false" ht="13.8" hidden="false" customHeight="false" outlineLevel="0" collapsed="false">
      <c r="A977" s="375" t="s">
        <v>236</v>
      </c>
      <c r="B977" s="59" t="s">
        <v>74</v>
      </c>
    </row>
    <row r="978" customFormat="false" ht="13.8" hidden="false" customHeight="false" outlineLevel="0" collapsed="false">
      <c r="A978" s="375" t="s">
        <v>180</v>
      </c>
      <c r="B978" s="59" t="s">
        <v>98</v>
      </c>
    </row>
    <row r="979" customFormat="false" ht="13.8" hidden="false" customHeight="false" outlineLevel="0" collapsed="false">
      <c r="A979" s="375" t="s">
        <v>180</v>
      </c>
      <c r="B979" s="59" t="s">
        <v>98</v>
      </c>
    </row>
    <row r="980" customFormat="false" ht="13.8" hidden="false" customHeight="false" outlineLevel="0" collapsed="false">
      <c r="A980" s="375" t="s">
        <v>115</v>
      </c>
      <c r="B980" s="59" t="s">
        <v>65</v>
      </c>
    </row>
    <row r="981" customFormat="false" ht="15" hidden="false" customHeight="false" outlineLevel="0" collapsed="false">
      <c r="A981" s="376" t="s">
        <v>494</v>
      </c>
      <c r="B981" s="59" t="s">
        <v>29</v>
      </c>
    </row>
    <row r="982" customFormat="false" ht="13.8" hidden="false" customHeight="false" outlineLevel="0" collapsed="false">
      <c r="A982" s="375" t="s">
        <v>533</v>
      </c>
      <c r="B982" s="59" t="s">
        <v>532</v>
      </c>
    </row>
    <row r="983" customFormat="false" ht="13.8" hidden="false" customHeight="false" outlineLevel="0" collapsed="false">
      <c r="A983" s="375" t="s">
        <v>247</v>
      </c>
      <c r="B983" s="59" t="s">
        <v>98</v>
      </c>
    </row>
    <row r="984" customFormat="false" ht="15" hidden="false" customHeight="false" outlineLevel="0" collapsed="false">
      <c r="A984" s="376" t="s">
        <v>494</v>
      </c>
      <c r="B984" s="59" t="s">
        <v>29</v>
      </c>
    </row>
    <row r="985" customFormat="false" ht="13.8" hidden="false" customHeight="false" outlineLevel="0" collapsed="false">
      <c r="A985" s="375" t="s">
        <v>194</v>
      </c>
      <c r="B985" s="59" t="s">
        <v>119</v>
      </c>
    </row>
    <row r="986" customFormat="false" ht="13.8" hidden="false" customHeight="false" outlineLevel="0" collapsed="false">
      <c r="A986" s="375" t="s">
        <v>650</v>
      </c>
      <c r="B986" s="59" t="s">
        <v>98</v>
      </c>
    </row>
    <row r="987" customFormat="false" ht="13.8" hidden="false" customHeight="false" outlineLevel="0" collapsed="false">
      <c r="A987" s="375" t="s">
        <v>690</v>
      </c>
      <c r="B987" s="59" t="s">
        <v>119</v>
      </c>
    </row>
    <row r="988" customFormat="false" ht="13.8" hidden="false" customHeight="false" outlineLevel="0" collapsed="false">
      <c r="A988" s="375" t="s">
        <v>180</v>
      </c>
      <c r="B988" s="59" t="s">
        <v>98</v>
      </c>
    </row>
    <row r="989" customFormat="false" ht="13.8" hidden="false" customHeight="false" outlineLevel="0" collapsed="false">
      <c r="A989" s="375" t="s">
        <v>691</v>
      </c>
      <c r="B989" s="59" t="s">
        <v>181</v>
      </c>
    </row>
    <row r="990" customFormat="false" ht="13.8" hidden="false" customHeight="false" outlineLevel="0" collapsed="false">
      <c r="A990" s="375" t="s">
        <v>168</v>
      </c>
      <c r="B990" s="59" t="s">
        <v>167</v>
      </c>
    </row>
    <row r="991" customFormat="false" ht="15" hidden="false" customHeight="false" outlineLevel="0" collapsed="false">
      <c r="A991" s="376" t="s">
        <v>521</v>
      </c>
      <c r="B991" s="59" t="s">
        <v>29</v>
      </c>
    </row>
    <row r="992" customFormat="false" ht="13.8" hidden="false" customHeight="false" outlineLevel="0" collapsed="false">
      <c r="A992" s="375" t="s">
        <v>693</v>
      </c>
      <c r="B992" s="59" t="s">
        <v>65</v>
      </c>
    </row>
    <row r="993" customFormat="false" ht="13.8" hidden="false" customHeight="false" outlineLevel="0" collapsed="false">
      <c r="A993" s="375" t="s">
        <v>694</v>
      </c>
      <c r="B993" s="59" t="s">
        <v>65</v>
      </c>
    </row>
    <row r="994" customFormat="false" ht="13.8" hidden="false" customHeight="false" outlineLevel="0" collapsed="false">
      <c r="A994" s="375" t="s">
        <v>454</v>
      </c>
      <c r="B994" s="59" t="s">
        <v>65</v>
      </c>
    </row>
    <row r="995" customFormat="false" ht="13.8" hidden="false" customHeight="false" outlineLevel="0" collapsed="false">
      <c r="A995" s="375" t="s">
        <v>454</v>
      </c>
      <c r="B995" s="59" t="s">
        <v>65</v>
      </c>
    </row>
    <row r="996" customFormat="false" ht="13.8" hidden="false" customHeight="false" outlineLevel="0" collapsed="false">
      <c r="A996" s="375" t="s">
        <v>695</v>
      </c>
      <c r="B996" s="59" t="s">
        <v>65</v>
      </c>
    </row>
    <row r="997" customFormat="false" ht="13.8" hidden="false" customHeight="false" outlineLevel="0" collapsed="false">
      <c r="A997" s="375" t="s">
        <v>189</v>
      </c>
      <c r="B997" s="59" t="s">
        <v>71</v>
      </c>
    </row>
    <row r="998" customFormat="false" ht="13.8" hidden="false" customHeight="false" outlineLevel="0" collapsed="false">
      <c r="A998" s="375" t="s">
        <v>696</v>
      </c>
      <c r="B998" s="59" t="s">
        <v>65</v>
      </c>
    </row>
    <row r="999" customFormat="false" ht="13.8" hidden="false" customHeight="false" outlineLevel="0" collapsed="false">
      <c r="A999" s="375" t="s">
        <v>697</v>
      </c>
      <c r="B999" s="59" t="s">
        <v>65</v>
      </c>
    </row>
    <row r="1000" customFormat="false" ht="13.8" hidden="false" customHeight="false" outlineLevel="0" collapsed="false">
      <c r="A1000" s="375" t="s">
        <v>698</v>
      </c>
      <c r="B1000" s="59" t="s">
        <v>65</v>
      </c>
    </row>
    <row r="1001" customFormat="false" ht="13.8" hidden="false" customHeight="false" outlineLevel="0" collapsed="false">
      <c r="A1001" s="375" t="s">
        <v>699</v>
      </c>
      <c r="B1001" s="59" t="s">
        <v>65</v>
      </c>
    </row>
    <row r="1002" customFormat="false" ht="13.8" hidden="false" customHeight="false" outlineLevel="0" collapsed="false">
      <c r="A1002" s="375" t="s">
        <v>700</v>
      </c>
      <c r="B1002" s="59" t="s">
        <v>76</v>
      </c>
    </row>
    <row r="1003" customFormat="false" ht="13.8" hidden="false" customHeight="false" outlineLevel="0" collapsed="false">
      <c r="A1003" s="375" t="s">
        <v>701</v>
      </c>
      <c r="B1003" s="59" t="s">
        <v>65</v>
      </c>
    </row>
    <row r="1004" customFormat="false" ht="15" hidden="false" customHeight="false" outlineLevel="0" collapsed="false">
      <c r="A1004" s="376" t="s">
        <v>521</v>
      </c>
      <c r="B1004" s="59" t="s">
        <v>29</v>
      </c>
    </row>
    <row r="1005" customFormat="false" ht="13.8" hidden="false" customHeight="false" outlineLevel="0" collapsed="false">
      <c r="A1005" s="375" t="s">
        <v>240</v>
      </c>
      <c r="B1005" s="59" t="s">
        <v>225</v>
      </c>
    </row>
    <row r="1006" customFormat="false" ht="13.8" hidden="false" customHeight="false" outlineLevel="0" collapsed="false">
      <c r="A1006" s="375" t="s">
        <v>703</v>
      </c>
      <c r="B1006" s="59" t="s">
        <v>65</v>
      </c>
    </row>
    <row r="1007" customFormat="false" ht="13.8" hidden="false" customHeight="false" outlineLevel="0" collapsed="false">
      <c r="A1007" s="375" t="s">
        <v>704</v>
      </c>
      <c r="B1007" s="59" t="s">
        <v>65</v>
      </c>
    </row>
    <row r="1008" customFormat="false" ht="13.8" hidden="false" customHeight="false" outlineLevel="0" collapsed="false">
      <c r="A1008" s="375" t="s">
        <v>705</v>
      </c>
      <c r="B1008" s="59" t="s">
        <v>65</v>
      </c>
    </row>
    <row r="1009" customFormat="false" ht="13.8" hidden="false" customHeight="false" outlineLevel="0" collapsed="false">
      <c r="A1009" s="375" t="s">
        <v>645</v>
      </c>
      <c r="B1009" s="59" t="s">
        <v>65</v>
      </c>
    </row>
    <row r="1010" customFormat="false" ht="13.8" hidden="false" customHeight="false" outlineLevel="0" collapsed="false">
      <c r="A1010" s="375" t="s">
        <v>180</v>
      </c>
      <c r="B1010" s="59" t="s">
        <v>98</v>
      </c>
    </row>
    <row r="1011" customFormat="false" ht="13.8" hidden="false" customHeight="false" outlineLevel="0" collapsed="false">
      <c r="A1011" s="375" t="s">
        <v>180</v>
      </c>
      <c r="B1011" s="59" t="s">
        <v>98</v>
      </c>
    </row>
    <row r="1012" customFormat="false" ht="15" hidden="false" customHeight="false" outlineLevel="0" collapsed="false">
      <c r="A1012" s="376" t="s">
        <v>494</v>
      </c>
      <c r="B1012" s="59" t="s">
        <v>29</v>
      </c>
    </row>
    <row r="1013" customFormat="false" ht="13.8" hidden="false" customHeight="false" outlineLevel="0" collapsed="false">
      <c r="A1013" s="375" t="s">
        <v>707</v>
      </c>
      <c r="B1013" s="59" t="s">
        <v>203</v>
      </c>
    </row>
    <row r="1014" customFormat="false" ht="13.8" hidden="false" customHeight="false" outlineLevel="0" collapsed="false">
      <c r="A1014" s="375" t="s">
        <v>454</v>
      </c>
      <c r="B1014" s="59" t="s">
        <v>65</v>
      </c>
    </row>
    <row r="1015" customFormat="false" ht="13.8" hidden="false" customHeight="false" outlineLevel="0" collapsed="false">
      <c r="A1015" s="375" t="s">
        <v>92</v>
      </c>
      <c r="B1015" s="59" t="s">
        <v>76</v>
      </c>
    </row>
    <row r="1016" customFormat="false" ht="13.8" hidden="false" customHeight="false" outlineLevel="0" collapsed="false">
      <c r="A1016" s="375" t="s">
        <v>479</v>
      </c>
      <c r="B1016" s="59" t="s">
        <v>316</v>
      </c>
    </row>
    <row r="1017" customFormat="false" ht="13.8" hidden="false" customHeight="false" outlineLevel="0" collapsed="false">
      <c r="A1017" s="375" t="s">
        <v>99</v>
      </c>
      <c r="B1017" s="59" t="s">
        <v>98</v>
      </c>
    </row>
    <row r="1018" customFormat="false" ht="13.8" hidden="false" customHeight="false" outlineLevel="0" collapsed="false">
      <c r="A1018" s="375" t="s">
        <v>180</v>
      </c>
      <c r="B1018" s="59" t="s">
        <v>98</v>
      </c>
    </row>
    <row r="1019" customFormat="false" ht="13.8" hidden="false" customHeight="false" outlineLevel="0" collapsed="false">
      <c r="A1019" s="375" t="s">
        <v>180</v>
      </c>
      <c r="B1019" s="59" t="s">
        <v>98</v>
      </c>
    </row>
    <row r="1020" customFormat="false" ht="15" hidden="false" customHeight="false" outlineLevel="0" collapsed="false">
      <c r="A1020" s="376" t="s">
        <v>494</v>
      </c>
      <c r="B1020" s="59" t="s">
        <v>29</v>
      </c>
    </row>
    <row r="1021" customFormat="false" ht="13.8" hidden="false" customHeight="false" outlineLevel="0" collapsed="false">
      <c r="A1021" s="375" t="s">
        <v>168</v>
      </c>
      <c r="B1021" s="59" t="s">
        <v>35</v>
      </c>
    </row>
    <row r="1022" customFormat="false" ht="13.8" hidden="false" customHeight="false" outlineLevel="0" collapsed="false">
      <c r="A1022" s="375" t="s">
        <v>709</v>
      </c>
      <c r="B1022" s="59" t="s">
        <v>76</v>
      </c>
    </row>
    <row r="1023" customFormat="false" ht="13.8" hidden="false" customHeight="false" outlineLevel="0" collapsed="false">
      <c r="A1023" s="375" t="s">
        <v>709</v>
      </c>
      <c r="B1023" s="59" t="s">
        <v>76</v>
      </c>
    </row>
    <row r="1024" customFormat="false" ht="13.8" hidden="false" customHeight="false" outlineLevel="0" collapsed="false">
      <c r="A1024" s="375" t="s">
        <v>156</v>
      </c>
      <c r="B1024" s="59" t="s">
        <v>74</v>
      </c>
    </row>
    <row r="1025" customFormat="false" ht="13.8" hidden="false" customHeight="false" outlineLevel="0" collapsed="false">
      <c r="A1025" s="375" t="s">
        <v>710</v>
      </c>
      <c r="B1025" s="59" t="s">
        <v>474</v>
      </c>
    </row>
    <row r="1026" customFormat="false" ht="13.8" hidden="false" customHeight="false" outlineLevel="0" collapsed="false">
      <c r="A1026" s="375" t="s">
        <v>128</v>
      </c>
      <c r="B1026" s="59" t="s">
        <v>127</v>
      </c>
    </row>
    <row r="1027" customFormat="false" ht="15" hidden="false" customHeight="false" outlineLevel="0" collapsed="false">
      <c r="A1027" s="376" t="s">
        <v>521</v>
      </c>
      <c r="B1027" s="59" t="s">
        <v>29</v>
      </c>
    </row>
    <row r="1028" customFormat="false" ht="15" hidden="false" customHeight="false" outlineLevel="0" collapsed="false">
      <c r="A1028" s="376" t="s">
        <v>494</v>
      </c>
      <c r="B1028" s="59" t="s">
        <v>29</v>
      </c>
    </row>
    <row r="1029" customFormat="false" ht="15" hidden="false" customHeight="false" outlineLevel="0" collapsed="false">
      <c r="A1029" s="374" t="s">
        <v>111</v>
      </c>
      <c r="B1029" s="59" t="s">
        <v>29</v>
      </c>
    </row>
    <row r="1030" customFormat="false" ht="15" hidden="false" customHeight="false" outlineLevel="0" collapsed="false">
      <c r="A1030" s="374" t="s">
        <v>521</v>
      </c>
      <c r="B1030" s="59" t="s">
        <v>29</v>
      </c>
    </row>
    <row r="1031" customFormat="false" ht="13.8" hidden="false" customHeight="false" outlineLevel="0" collapsed="false">
      <c r="A1031" s="373" t="s">
        <v>713</v>
      </c>
      <c r="B1031" s="59" t="s">
        <v>67</v>
      </c>
    </row>
    <row r="1032" customFormat="false" ht="15" hidden="false" customHeight="false" outlineLevel="0" collapsed="false">
      <c r="A1032" s="374" t="s">
        <v>521</v>
      </c>
      <c r="B1032" s="59" t="s">
        <v>29</v>
      </c>
    </row>
    <row r="1033" customFormat="false" ht="13.8" hidden="false" customHeight="false" outlineLevel="0" collapsed="false">
      <c r="A1033" s="373" t="s">
        <v>715</v>
      </c>
      <c r="B1033" s="59" t="s">
        <v>203</v>
      </c>
    </row>
    <row r="1034" customFormat="false" ht="13.8" hidden="false" customHeight="false" outlineLevel="0" collapsed="false">
      <c r="A1034" s="373" t="s">
        <v>716</v>
      </c>
      <c r="B1034" s="59" t="s">
        <v>76</v>
      </c>
    </row>
    <row r="1035" customFormat="false" ht="13.8" hidden="false" customHeight="false" outlineLevel="0" collapsed="false">
      <c r="A1035" s="373" t="s">
        <v>479</v>
      </c>
      <c r="B1035" s="59" t="s">
        <v>316</v>
      </c>
    </row>
    <row r="1036" customFormat="false" ht="13.8" hidden="false" customHeight="false" outlineLevel="0" collapsed="false">
      <c r="A1036" s="373" t="s">
        <v>561</v>
      </c>
      <c r="B1036" s="59" t="s">
        <v>265</v>
      </c>
    </row>
    <row r="1037" customFormat="false" ht="15" hidden="false" customHeight="false" outlineLevel="0" collapsed="false">
      <c r="A1037" s="374" t="s">
        <v>521</v>
      </c>
      <c r="B1037" s="59" t="s">
        <v>29</v>
      </c>
    </row>
    <row r="1038" customFormat="false" ht="13.8" hidden="false" customHeight="false" outlineLevel="0" collapsed="false">
      <c r="A1038" s="373" t="s">
        <v>718</v>
      </c>
      <c r="B1038" s="59" t="s">
        <v>176</v>
      </c>
    </row>
    <row r="1039" customFormat="false" ht="15" hidden="false" customHeight="false" outlineLevel="0" collapsed="false">
      <c r="A1039" s="374" t="s">
        <v>521</v>
      </c>
      <c r="B1039" s="59" t="s">
        <v>29</v>
      </c>
    </row>
    <row r="1040" customFormat="false" ht="13.8" hidden="false" customHeight="false" outlineLevel="0" collapsed="false">
      <c r="A1040" s="373" t="s">
        <v>720</v>
      </c>
      <c r="B1040" s="59" t="s">
        <v>176</v>
      </c>
    </row>
    <row r="1041" customFormat="false" ht="15" hidden="false" customHeight="false" outlineLevel="0" collapsed="false">
      <c r="A1041" s="374" t="s">
        <v>521</v>
      </c>
      <c r="B1041" s="59" t="s">
        <v>29</v>
      </c>
    </row>
    <row r="1042" customFormat="false" ht="13.8" hidden="false" customHeight="false" outlineLevel="0" collapsed="false">
      <c r="A1042" s="373" t="s">
        <v>240</v>
      </c>
      <c r="B1042" s="59" t="s">
        <v>225</v>
      </c>
    </row>
    <row r="1043" customFormat="false" ht="13.8" hidden="false" customHeight="false" outlineLevel="0" collapsed="false">
      <c r="A1043" s="373" t="s">
        <v>457</v>
      </c>
      <c r="B1043" s="59" t="s">
        <v>74</v>
      </c>
    </row>
    <row r="1044" customFormat="false" ht="15" hidden="false" customHeight="false" outlineLevel="0" collapsed="false">
      <c r="A1044" s="374" t="s">
        <v>521</v>
      </c>
      <c r="B1044" s="59" t="s">
        <v>29</v>
      </c>
    </row>
    <row r="1045" customFormat="false" ht="13.8" hidden="false" customHeight="false" outlineLevel="0" collapsed="false">
      <c r="A1045" s="373" t="s">
        <v>723</v>
      </c>
      <c r="B1045" s="59" t="s">
        <v>65</v>
      </c>
    </row>
    <row r="1046" customFormat="false" ht="13.8" hidden="false" customHeight="false" outlineLevel="0" collapsed="false">
      <c r="A1046" s="373" t="s">
        <v>180</v>
      </c>
      <c r="B1046" s="59" t="s">
        <v>98</v>
      </c>
    </row>
    <row r="1047" customFormat="false" ht="13.8" hidden="false" customHeight="false" outlineLevel="0" collapsed="false">
      <c r="A1047" s="373" t="s">
        <v>180</v>
      </c>
      <c r="B1047" s="59" t="s">
        <v>98</v>
      </c>
    </row>
    <row r="1048" customFormat="false" ht="13.8" hidden="false" customHeight="false" outlineLevel="0" collapsed="false">
      <c r="A1048" s="373" t="s">
        <v>725</v>
      </c>
      <c r="B1048" s="59" t="s">
        <v>724</v>
      </c>
    </row>
    <row r="1049" customFormat="false" ht="15" hidden="false" customHeight="false" outlineLevel="0" collapsed="false">
      <c r="A1049" s="374" t="s">
        <v>521</v>
      </c>
      <c r="B1049" s="59" t="s">
        <v>29</v>
      </c>
    </row>
    <row r="1050" customFormat="false" ht="13.8" hidden="false" customHeight="false" outlineLevel="0" collapsed="false">
      <c r="A1050" s="373" t="s">
        <v>727</v>
      </c>
      <c r="B1050" s="59" t="s">
        <v>119</v>
      </c>
    </row>
    <row r="1051" customFormat="false" ht="13.8" hidden="false" customHeight="false" outlineLevel="0" collapsed="false">
      <c r="A1051" s="373" t="s">
        <v>728</v>
      </c>
      <c r="B1051" s="59" t="s">
        <v>203</v>
      </c>
    </row>
    <row r="1052" customFormat="false" ht="13.8" hidden="false" customHeight="false" outlineLevel="0" collapsed="false">
      <c r="A1052" s="373" t="s">
        <v>579</v>
      </c>
      <c r="B1052" s="59" t="s">
        <v>577</v>
      </c>
    </row>
    <row r="1053" customFormat="false" ht="13.8" hidden="false" customHeight="false" outlineLevel="0" collapsed="false">
      <c r="A1053" s="373" t="s">
        <v>85</v>
      </c>
      <c r="B1053" s="59" t="s">
        <v>71</v>
      </c>
    </row>
    <row r="1054" customFormat="false" ht="13.8" hidden="false" customHeight="false" outlineLevel="0" collapsed="false">
      <c r="A1054" s="373" t="s">
        <v>533</v>
      </c>
      <c r="B1054" s="59" t="s">
        <v>532</v>
      </c>
    </row>
    <row r="1055" customFormat="false" ht="13.8" hidden="false" customHeight="false" outlineLevel="0" collapsed="false">
      <c r="A1055" s="373" t="s">
        <v>690</v>
      </c>
      <c r="B1055" s="59" t="s">
        <v>119</v>
      </c>
    </row>
    <row r="1056" customFormat="false" ht="13.8" hidden="false" customHeight="false" outlineLevel="0" collapsed="false">
      <c r="A1056" s="373" t="s">
        <v>156</v>
      </c>
      <c r="B1056" s="59" t="s">
        <v>74</v>
      </c>
    </row>
    <row r="1057" customFormat="false" ht="13.8" hidden="false" customHeight="false" outlineLevel="0" collapsed="false">
      <c r="A1057" s="373" t="s">
        <v>99</v>
      </c>
      <c r="B1057" s="59" t="s">
        <v>98</v>
      </c>
    </row>
    <row r="1058" customFormat="false" ht="13.8" hidden="false" customHeight="false" outlineLevel="0" collapsed="false">
      <c r="A1058" s="373" t="s">
        <v>180</v>
      </c>
      <c r="B1058" s="59" t="s">
        <v>98</v>
      </c>
    </row>
    <row r="1059" customFormat="false" ht="13.8" hidden="false" customHeight="false" outlineLevel="0" collapsed="false">
      <c r="A1059" s="373" t="s">
        <v>109</v>
      </c>
      <c r="B1059" s="59" t="s">
        <v>67</v>
      </c>
    </row>
    <row r="1060" customFormat="false" ht="13.8" hidden="false" customHeight="false" outlineLevel="0" collapsed="false">
      <c r="A1060" s="373" t="s">
        <v>131</v>
      </c>
      <c r="B1060" s="59" t="s">
        <v>130</v>
      </c>
    </row>
    <row r="1061" customFormat="false" ht="15" hidden="false" customHeight="false" outlineLevel="0" collapsed="false">
      <c r="A1061" s="374" t="s">
        <v>494</v>
      </c>
      <c r="B1061" s="59" t="s">
        <v>29</v>
      </c>
    </row>
    <row r="1062" customFormat="false" ht="13.8" hidden="false" customHeight="false" outlineLevel="0" collapsed="false">
      <c r="A1062" s="373" t="s">
        <v>458</v>
      </c>
      <c r="B1062" s="59" t="s">
        <v>76</v>
      </c>
    </row>
    <row r="1063" customFormat="false" ht="13.8" hidden="false" customHeight="false" outlineLevel="0" collapsed="false">
      <c r="A1063" s="373" t="s">
        <v>731</v>
      </c>
      <c r="B1063" s="59" t="s">
        <v>76</v>
      </c>
    </row>
    <row r="1064" customFormat="false" ht="13.8" hidden="false" customHeight="false" outlineLevel="0" collapsed="false">
      <c r="A1064" s="373" t="s">
        <v>731</v>
      </c>
      <c r="B1064" s="59" t="s">
        <v>76</v>
      </c>
    </row>
    <row r="1065" customFormat="false" ht="13.8" hidden="false" customHeight="false" outlineLevel="0" collapsed="false">
      <c r="A1065" s="373" t="s">
        <v>579</v>
      </c>
      <c r="B1065" s="59" t="s">
        <v>42</v>
      </c>
    </row>
    <row r="1066" customFormat="false" ht="15" hidden="false" customHeight="false" outlineLevel="0" collapsed="false">
      <c r="A1066" s="374" t="s">
        <v>494</v>
      </c>
      <c r="B1066" s="59" t="s">
        <v>29</v>
      </c>
    </row>
    <row r="1067" customFormat="false" ht="13.8" hidden="false" customHeight="false" outlineLevel="0" collapsed="false">
      <c r="A1067" s="373" t="s">
        <v>734</v>
      </c>
      <c r="B1067" s="59" t="s">
        <v>42</v>
      </c>
    </row>
    <row r="1068" customFormat="false" ht="13.8" hidden="false" customHeight="false" outlineLevel="0" collapsed="false">
      <c r="A1068" s="373" t="s">
        <v>128</v>
      </c>
      <c r="B1068" s="59" t="s">
        <v>127</v>
      </c>
    </row>
    <row r="1069" customFormat="false" ht="15" hidden="false" customHeight="false" outlineLevel="0" collapsed="false">
      <c r="A1069" s="374" t="s">
        <v>521</v>
      </c>
      <c r="B1069" s="59" t="s">
        <v>29</v>
      </c>
    </row>
    <row r="1070" customFormat="false" ht="13.8" hidden="false" customHeight="false" outlineLevel="0" collapsed="false">
      <c r="A1070" s="373" t="s">
        <v>240</v>
      </c>
      <c r="B1070" s="59" t="s">
        <v>225</v>
      </c>
    </row>
    <row r="1071" customFormat="false" ht="13.8" hidden="false" customHeight="false" outlineLevel="0" collapsed="false">
      <c r="A1071" s="373" t="s">
        <v>123</v>
      </c>
      <c r="B1071" s="59" t="s">
        <v>122</v>
      </c>
    </row>
    <row r="1072" customFormat="false" ht="13.8" hidden="false" customHeight="false" outlineLevel="0" collapsed="false">
      <c r="A1072" s="373" t="s">
        <v>168</v>
      </c>
      <c r="B1072" s="59" t="s">
        <v>167</v>
      </c>
    </row>
    <row r="1073" customFormat="false" ht="15" hidden="false" customHeight="false" outlineLevel="0" collapsed="false">
      <c r="A1073" s="374" t="s">
        <v>521</v>
      </c>
      <c r="B1073" s="59" t="s">
        <v>29</v>
      </c>
    </row>
    <row r="1074" customFormat="false" ht="13.8" hidden="false" customHeight="false" outlineLevel="0" collapsed="false">
      <c r="A1074" s="373" t="s">
        <v>457</v>
      </c>
      <c r="B1074" s="59" t="s">
        <v>74</v>
      </c>
    </row>
    <row r="1075" customFormat="false" ht="13.8" hidden="false" customHeight="false" outlineLevel="0" collapsed="false">
      <c r="A1075" s="373" t="s">
        <v>485</v>
      </c>
      <c r="B1075" s="59" t="s">
        <v>65</v>
      </c>
    </row>
    <row r="1076" customFormat="false" ht="13.8" hidden="false" customHeight="false" outlineLevel="0" collapsed="false">
      <c r="A1076" s="373" t="s">
        <v>454</v>
      </c>
      <c r="B1076" s="59" t="s">
        <v>65</v>
      </c>
    </row>
    <row r="1077" customFormat="false" ht="13.8" hidden="false" customHeight="false" outlineLevel="0" collapsed="false">
      <c r="A1077" s="373" t="s">
        <v>92</v>
      </c>
      <c r="B1077" s="59" t="s">
        <v>76</v>
      </c>
    </row>
    <row r="1078" customFormat="false" ht="13.8" hidden="false" customHeight="false" outlineLevel="0" collapsed="false">
      <c r="A1078" s="373" t="s">
        <v>737</v>
      </c>
      <c r="B1078" s="59" t="s">
        <v>76</v>
      </c>
    </row>
    <row r="1079" customFormat="false" ht="13.8" hidden="false" customHeight="false" outlineLevel="0" collapsed="false">
      <c r="A1079" s="373" t="s">
        <v>479</v>
      </c>
      <c r="B1079" s="59" t="s">
        <v>316</v>
      </c>
    </row>
    <row r="1080" customFormat="false" ht="13.8" hidden="false" customHeight="false" outlineLevel="0" collapsed="false">
      <c r="A1080" s="373" t="s">
        <v>99</v>
      </c>
      <c r="B1080" s="59" t="s">
        <v>98</v>
      </c>
    </row>
    <row r="1081" customFormat="false" ht="13.8" hidden="false" customHeight="false" outlineLevel="0" collapsed="false">
      <c r="A1081" s="373" t="s">
        <v>180</v>
      </c>
      <c r="B1081" s="59" t="s">
        <v>98</v>
      </c>
    </row>
    <row r="1082" customFormat="false" ht="13.8" hidden="false" customHeight="false" outlineLevel="0" collapsed="false">
      <c r="A1082" s="373" t="s">
        <v>738</v>
      </c>
      <c r="B1082" s="59" t="s">
        <v>203</v>
      </c>
    </row>
    <row r="1083" customFormat="false" ht="15" hidden="false" customHeight="false" outlineLevel="0" collapsed="false">
      <c r="A1083" s="374" t="s">
        <v>494</v>
      </c>
      <c r="B1083" s="59" t="s">
        <v>29</v>
      </c>
    </row>
    <row r="1084" customFormat="false" ht="13.8" hidden="false" customHeight="false" outlineLevel="0" collapsed="false">
      <c r="A1084" s="373" t="s">
        <v>723</v>
      </c>
      <c r="B1084" s="59" t="s">
        <v>76</v>
      </c>
    </row>
    <row r="1085" customFormat="false" ht="13.8" hidden="false" customHeight="false" outlineLevel="0" collapsed="false">
      <c r="A1085" s="373" t="s">
        <v>180</v>
      </c>
      <c r="B1085" s="59" t="s">
        <v>98</v>
      </c>
    </row>
    <row r="1086" customFormat="false" ht="15" hidden="false" customHeight="false" outlineLevel="0" collapsed="false">
      <c r="A1086" s="374" t="s">
        <v>494</v>
      </c>
      <c r="B1086" s="59" t="s">
        <v>29</v>
      </c>
    </row>
    <row r="1087" customFormat="false" ht="13.8" hidden="false" customHeight="false" outlineLevel="0" collapsed="false">
      <c r="A1087" s="373" t="s">
        <v>512</v>
      </c>
      <c r="B1087" s="59" t="s">
        <v>119</v>
      </c>
    </row>
    <row r="1088" customFormat="false" ht="13.8" hidden="false" customHeight="false" outlineLevel="0" collapsed="false">
      <c r="A1088" s="373" t="s">
        <v>217</v>
      </c>
      <c r="B1088" s="59" t="s">
        <v>474</v>
      </c>
    </row>
    <row r="1089" customFormat="false" ht="13.8" hidden="false" customHeight="false" outlineLevel="0" collapsed="false">
      <c r="A1089" s="373" t="s">
        <v>741</v>
      </c>
      <c r="B1089" s="59" t="s">
        <v>65</v>
      </c>
    </row>
    <row r="1090" customFormat="false" ht="15" hidden="false" customHeight="false" outlineLevel="0" collapsed="false">
      <c r="A1090" s="374" t="s">
        <v>494</v>
      </c>
      <c r="B1090" s="59" t="s">
        <v>29</v>
      </c>
    </row>
    <row r="1091" customFormat="false" ht="13.8" hidden="false" customHeight="false" outlineLevel="0" collapsed="false">
      <c r="A1091" s="373" t="s">
        <v>743</v>
      </c>
      <c r="B1091" s="59" t="s">
        <v>98</v>
      </c>
    </row>
    <row r="1092" customFormat="false" ht="15" hidden="false" customHeight="false" outlineLevel="0" collapsed="false">
      <c r="A1092" s="374" t="s">
        <v>494</v>
      </c>
      <c r="B1092" s="59" t="s">
        <v>29</v>
      </c>
    </row>
    <row r="1093" customFormat="false" ht="13.8" hidden="false" customHeight="false" outlineLevel="0" collapsed="false">
      <c r="A1093" s="373" t="s">
        <v>746</v>
      </c>
      <c r="B1093" s="59" t="s">
        <v>744</v>
      </c>
    </row>
    <row r="1094" customFormat="false" ht="15" hidden="false" customHeight="false" outlineLevel="0" collapsed="false">
      <c r="A1094" s="374" t="s">
        <v>494</v>
      </c>
      <c r="B1094" s="59" t="s">
        <v>29</v>
      </c>
    </row>
    <row r="1095" customFormat="false" ht="13.8" hidden="false" customHeight="false" outlineLevel="0" collapsed="false">
      <c r="A1095" s="373" t="s">
        <v>748</v>
      </c>
      <c r="B1095" s="59" t="s">
        <v>203</v>
      </c>
    </row>
    <row r="1096" customFormat="false" ht="13.8" hidden="false" customHeight="false" outlineLevel="0" collapsed="false">
      <c r="A1096" s="373" t="s">
        <v>533</v>
      </c>
      <c r="B1096" s="59" t="s">
        <v>532</v>
      </c>
    </row>
    <row r="1097" customFormat="false" ht="13.8" hidden="false" customHeight="false" outlineLevel="0" collapsed="false">
      <c r="A1097" s="373" t="s">
        <v>454</v>
      </c>
      <c r="B1097" s="59" t="s">
        <v>65</v>
      </c>
    </row>
    <row r="1098" customFormat="false" ht="13.8" hidden="false" customHeight="false" outlineLevel="0" collapsed="false">
      <c r="A1098" s="373" t="s">
        <v>446</v>
      </c>
      <c r="B1098" s="59" t="s">
        <v>76</v>
      </c>
    </row>
    <row r="1099" customFormat="false" ht="15" hidden="false" customHeight="false" outlineLevel="0" collapsed="false">
      <c r="A1099" s="374" t="s">
        <v>494</v>
      </c>
      <c r="B1099" s="59" t="s">
        <v>29</v>
      </c>
    </row>
    <row r="1100" customFormat="false" ht="13.8" hidden="false" customHeight="false" outlineLevel="0" collapsed="false">
      <c r="A1100" s="373" t="s">
        <v>751</v>
      </c>
      <c r="B1100" s="59" t="s">
        <v>749</v>
      </c>
    </row>
    <row r="1101" customFormat="false" ht="13.8" hidden="false" customHeight="false" outlineLevel="0" collapsed="false">
      <c r="A1101" s="373" t="s">
        <v>752</v>
      </c>
      <c r="B1101" s="49" t="s">
        <v>29</v>
      </c>
    </row>
    <row r="1102" customFormat="false" ht="13.8" hidden="false" customHeight="false" outlineLevel="0" collapsed="false">
      <c r="A1102" s="373" t="s">
        <v>168</v>
      </c>
      <c r="B1102" s="59" t="s">
        <v>167</v>
      </c>
    </row>
    <row r="1103" customFormat="false" ht="13.8" hidden="false" customHeight="false" outlineLevel="0" collapsed="false">
      <c r="A1103" s="373" t="s">
        <v>168</v>
      </c>
      <c r="B1103" s="59" t="s">
        <v>167</v>
      </c>
    </row>
    <row r="1104" customFormat="false" ht="15" hidden="false" customHeight="false" outlineLevel="0" collapsed="false">
      <c r="A1104" s="374" t="s">
        <v>494</v>
      </c>
      <c r="B1104" s="59" t="s">
        <v>29</v>
      </c>
    </row>
    <row r="1105" customFormat="false" ht="13.8" hidden="false" customHeight="false" outlineLevel="0" collapsed="false">
      <c r="A1105" s="373" t="s">
        <v>754</v>
      </c>
      <c r="B1105" s="59" t="s">
        <v>29</v>
      </c>
    </row>
    <row r="1106" customFormat="false" ht="13.8" hidden="false" customHeight="false" outlineLevel="0" collapsed="false">
      <c r="A1106" s="373" t="s">
        <v>723</v>
      </c>
      <c r="B1106" s="59" t="s">
        <v>65</v>
      </c>
    </row>
    <row r="1107" customFormat="false" ht="15" hidden="false" customHeight="false" outlineLevel="0" collapsed="false">
      <c r="A1107" s="374" t="s">
        <v>494</v>
      </c>
      <c r="B1107" s="59" t="s">
        <v>29</v>
      </c>
    </row>
    <row r="1108" customFormat="false" ht="15" hidden="false" customHeight="false" outlineLevel="0" collapsed="false">
      <c r="A1108" s="377" t="s">
        <v>111</v>
      </c>
      <c r="B1108" s="59" t="s">
        <v>29</v>
      </c>
    </row>
    <row r="1109" customFormat="false" ht="13.8" hidden="false" customHeight="false" outlineLevel="0" collapsed="false">
      <c r="A1109" s="41" t="s">
        <v>756</v>
      </c>
      <c r="B1109" s="59" t="s">
        <v>203</v>
      </c>
    </row>
    <row r="1110" customFormat="false" ht="13.8" hidden="false" customHeight="false" outlineLevel="0" collapsed="false">
      <c r="A1110" s="41" t="s">
        <v>88</v>
      </c>
      <c r="B1110" s="59" t="s">
        <v>87</v>
      </c>
    </row>
    <row r="1111" customFormat="false" ht="13.8" hidden="false" customHeight="false" outlineLevel="0" collapsed="false">
      <c r="A1111" s="41" t="s">
        <v>247</v>
      </c>
      <c r="B1111" s="59" t="s">
        <v>98</v>
      </c>
    </row>
    <row r="1112" customFormat="false" ht="13.8" hidden="false" customHeight="false" outlineLevel="0" collapsed="false">
      <c r="A1112" s="41" t="s">
        <v>247</v>
      </c>
      <c r="B1112" s="59" t="s">
        <v>98</v>
      </c>
    </row>
    <row r="1113" customFormat="false" ht="13.8" hidden="false" customHeight="false" outlineLevel="0" collapsed="false">
      <c r="A1113" s="41" t="s">
        <v>574</v>
      </c>
      <c r="B1113" s="59" t="s">
        <v>65</v>
      </c>
    </row>
    <row r="1114" customFormat="false" ht="13.8" hidden="false" customHeight="false" outlineLevel="0" collapsed="false">
      <c r="A1114" s="41" t="s">
        <v>479</v>
      </c>
      <c r="B1114" s="59" t="s">
        <v>316</v>
      </c>
    </row>
    <row r="1115" customFormat="false" ht="13.8" hidden="false" customHeight="false" outlineLevel="0" collapsed="false">
      <c r="A1115" s="41" t="s">
        <v>758</v>
      </c>
      <c r="B1115" s="59" t="s">
        <v>757</v>
      </c>
    </row>
    <row r="1116" customFormat="false" ht="13.8" hidden="false" customHeight="false" outlineLevel="0" collapsed="false">
      <c r="A1116" s="41" t="s">
        <v>758</v>
      </c>
      <c r="B1116" s="59" t="s">
        <v>757</v>
      </c>
    </row>
    <row r="1117" customFormat="false" ht="13.8" hidden="false" customHeight="false" outlineLevel="0" collapsed="false">
      <c r="A1117" s="41" t="s">
        <v>99</v>
      </c>
      <c r="B1117" s="59" t="s">
        <v>98</v>
      </c>
    </row>
    <row r="1118" customFormat="false" ht="13.8" hidden="false" customHeight="false" outlineLevel="0" collapsed="false">
      <c r="A1118" s="41" t="s">
        <v>180</v>
      </c>
      <c r="B1118" s="59" t="s">
        <v>98</v>
      </c>
    </row>
    <row r="1119" customFormat="false" ht="13.8" hidden="false" customHeight="false" outlineLevel="0" collapsed="false">
      <c r="A1119" s="41" t="s">
        <v>743</v>
      </c>
      <c r="B1119" s="59" t="s">
        <v>98</v>
      </c>
    </row>
    <row r="1120" customFormat="false" ht="13.8" hidden="false" customHeight="false" outlineLevel="0" collapsed="false">
      <c r="A1120" s="41" t="s">
        <v>128</v>
      </c>
      <c r="B1120" s="59" t="s">
        <v>127</v>
      </c>
    </row>
    <row r="1121" customFormat="false" ht="15" hidden="false" customHeight="false" outlineLevel="0" collapsed="false">
      <c r="A1121" s="377" t="s">
        <v>521</v>
      </c>
      <c r="B1121" s="59" t="s">
        <v>29</v>
      </c>
    </row>
    <row r="1122" customFormat="false" ht="13.8" hidden="false" customHeight="false" outlineLevel="0" collapsed="false">
      <c r="A1122" s="41" t="s">
        <v>457</v>
      </c>
      <c r="B1122" s="59" t="s">
        <v>74</v>
      </c>
    </row>
    <row r="1123" customFormat="false" ht="13.8" hidden="false" customHeight="false" outlineLevel="0" collapsed="false">
      <c r="A1123" s="41" t="s">
        <v>760</v>
      </c>
      <c r="B1123" s="59" t="s">
        <v>67</v>
      </c>
    </row>
    <row r="1124" customFormat="false" ht="15" hidden="false" customHeight="false" outlineLevel="0" collapsed="false">
      <c r="A1124" s="377" t="s">
        <v>521</v>
      </c>
      <c r="B1124" s="59" t="s">
        <v>29</v>
      </c>
    </row>
    <row r="1125" customFormat="false" ht="13.8" hidden="false" customHeight="false" outlineLevel="0" collapsed="false">
      <c r="A1125" s="41" t="s">
        <v>762</v>
      </c>
      <c r="B1125" s="59" t="s">
        <v>203</v>
      </c>
    </row>
    <row r="1126" customFormat="false" ht="13.8" hidden="false" customHeight="false" outlineLevel="0" collapsed="false">
      <c r="A1126" s="41" t="s">
        <v>163</v>
      </c>
      <c r="B1126" s="59" t="s">
        <v>65</v>
      </c>
    </row>
    <row r="1127" customFormat="false" ht="13.8" hidden="false" customHeight="false" outlineLevel="0" collapsed="false">
      <c r="A1127" s="41" t="s">
        <v>156</v>
      </c>
      <c r="B1127" s="59" t="s">
        <v>74</v>
      </c>
    </row>
    <row r="1128" customFormat="false" ht="13.8" hidden="false" customHeight="false" outlineLevel="0" collapsed="false">
      <c r="A1128" s="41" t="s">
        <v>743</v>
      </c>
      <c r="B1128" s="59" t="s">
        <v>98</v>
      </c>
    </row>
    <row r="1129" customFormat="false" ht="13.8" hidden="false" customHeight="false" outlineLevel="0" collapsed="false">
      <c r="A1129" s="41" t="s">
        <v>743</v>
      </c>
      <c r="B1129" s="59" t="s">
        <v>98</v>
      </c>
    </row>
    <row r="1130" customFormat="false" ht="13.8" hidden="false" customHeight="false" outlineLevel="0" collapsed="false">
      <c r="A1130" s="41" t="s">
        <v>763</v>
      </c>
      <c r="B1130" s="59" t="s">
        <v>265</v>
      </c>
    </row>
    <row r="1131" customFormat="false" ht="15" hidden="false" customHeight="false" outlineLevel="0" collapsed="false">
      <c r="A1131" s="377" t="s">
        <v>521</v>
      </c>
      <c r="B1131" s="59" t="s">
        <v>29</v>
      </c>
    </row>
    <row r="1132" customFormat="false" ht="13.8" hidden="false" customHeight="false" outlineLevel="0" collapsed="false">
      <c r="A1132" s="41" t="s">
        <v>765</v>
      </c>
      <c r="B1132" s="59" t="s">
        <v>65</v>
      </c>
    </row>
    <row r="1133" customFormat="false" ht="15" hidden="false" customHeight="false" outlineLevel="0" collapsed="false">
      <c r="A1133" s="377" t="s">
        <v>521</v>
      </c>
      <c r="B1133" s="59" t="s">
        <v>29</v>
      </c>
    </row>
    <row r="1134" customFormat="false" ht="13.8" hidden="false" customHeight="false" outlineLevel="0" collapsed="false">
      <c r="A1134" s="41" t="s">
        <v>767</v>
      </c>
      <c r="B1134" s="59" t="s">
        <v>119</v>
      </c>
    </row>
    <row r="1135" customFormat="false" ht="13.8" hidden="false" customHeight="false" outlineLevel="0" collapsed="false">
      <c r="A1135" s="41" t="s">
        <v>768</v>
      </c>
      <c r="B1135" s="59" t="s">
        <v>203</v>
      </c>
    </row>
    <row r="1136" customFormat="false" ht="13.8" hidden="false" customHeight="false" outlineLevel="0" collapsed="false">
      <c r="A1136" s="41" t="s">
        <v>85</v>
      </c>
      <c r="B1136" s="59" t="s">
        <v>71</v>
      </c>
    </row>
    <row r="1137" customFormat="false" ht="13.8" hidden="false" customHeight="false" outlineLevel="0" collapsed="false">
      <c r="A1137" s="41" t="s">
        <v>533</v>
      </c>
      <c r="B1137" s="59" t="s">
        <v>532</v>
      </c>
    </row>
    <row r="1138" customFormat="false" ht="13.8" hidden="false" customHeight="false" outlineLevel="0" collapsed="false">
      <c r="A1138" s="41" t="s">
        <v>769</v>
      </c>
      <c r="B1138" s="59" t="s">
        <v>316</v>
      </c>
    </row>
    <row r="1139" customFormat="false" ht="13.8" hidden="false" customHeight="false" outlineLevel="0" collapsed="false">
      <c r="A1139" s="41" t="s">
        <v>770</v>
      </c>
      <c r="B1139" s="59" t="s">
        <v>65</v>
      </c>
    </row>
    <row r="1140" customFormat="false" ht="13.8" hidden="false" customHeight="false" outlineLevel="0" collapsed="false">
      <c r="A1140" s="41" t="s">
        <v>457</v>
      </c>
      <c r="B1140" s="59" t="s">
        <v>74</v>
      </c>
    </row>
    <row r="1141" customFormat="false" ht="13.8" hidden="false" customHeight="false" outlineLevel="0" collapsed="false">
      <c r="A1141" s="41" t="s">
        <v>458</v>
      </c>
      <c r="B1141" s="59" t="s">
        <v>76</v>
      </c>
    </row>
    <row r="1142" customFormat="false" ht="13.8" hidden="false" customHeight="false" outlineLevel="0" collapsed="false">
      <c r="A1142" s="41" t="s">
        <v>616</v>
      </c>
      <c r="B1142" s="59" t="s">
        <v>76</v>
      </c>
    </row>
    <row r="1143" customFormat="false" ht="13.8" hidden="false" customHeight="false" outlineLevel="0" collapsed="false">
      <c r="A1143" s="41" t="s">
        <v>743</v>
      </c>
      <c r="B1143" s="59" t="s">
        <v>98</v>
      </c>
    </row>
    <row r="1144" customFormat="false" ht="13.8" hidden="false" customHeight="false" outlineLevel="0" collapsed="false">
      <c r="A1144" s="41" t="s">
        <v>771</v>
      </c>
      <c r="B1144" s="59" t="s">
        <v>65</v>
      </c>
    </row>
    <row r="1145" customFormat="false" ht="15" hidden="false" customHeight="false" outlineLevel="0" collapsed="false">
      <c r="A1145" s="377" t="s">
        <v>521</v>
      </c>
      <c r="B1145" s="59" t="s">
        <v>29</v>
      </c>
    </row>
    <row r="1146" customFormat="false" ht="13.8" hidden="false" customHeight="false" outlineLevel="0" collapsed="false">
      <c r="A1146" s="41" t="s">
        <v>109</v>
      </c>
      <c r="B1146" s="59" t="s">
        <v>67</v>
      </c>
    </row>
    <row r="1147" customFormat="false" ht="15" hidden="false" customHeight="false" outlineLevel="0" collapsed="false">
      <c r="A1147" s="377" t="s">
        <v>521</v>
      </c>
      <c r="B1147" s="59" t="s">
        <v>29</v>
      </c>
    </row>
    <row r="1148" customFormat="false" ht="13.8" hidden="false" customHeight="false" outlineLevel="0" collapsed="false">
      <c r="A1148" s="41" t="s">
        <v>774</v>
      </c>
      <c r="B1148" s="59" t="s">
        <v>176</v>
      </c>
    </row>
    <row r="1149" customFormat="false" ht="13.8" hidden="false" customHeight="false" outlineLevel="0" collapsed="false">
      <c r="A1149" s="41" t="s">
        <v>775</v>
      </c>
      <c r="B1149" s="59" t="s">
        <v>71</v>
      </c>
    </row>
    <row r="1150" customFormat="false" ht="13.8" hidden="false" customHeight="false" outlineLevel="0" collapsed="false">
      <c r="A1150" s="41" t="s">
        <v>457</v>
      </c>
      <c r="B1150" s="59" t="s">
        <v>74</v>
      </c>
    </row>
    <row r="1151" customFormat="false" ht="13.8" hidden="false" customHeight="false" outlineLevel="0" collapsed="false">
      <c r="A1151" s="41" t="s">
        <v>616</v>
      </c>
      <c r="B1151" s="59" t="s">
        <v>76</v>
      </c>
    </row>
    <row r="1152" customFormat="false" ht="13.8" hidden="false" customHeight="false" outlineLevel="0" collapsed="false">
      <c r="A1152" s="41" t="s">
        <v>776</v>
      </c>
      <c r="B1152" s="59" t="s">
        <v>65</v>
      </c>
    </row>
    <row r="1153" customFormat="false" ht="15" hidden="false" customHeight="false" outlineLevel="0" collapsed="false">
      <c r="A1153" s="377" t="s">
        <v>494</v>
      </c>
      <c r="B1153" s="59" t="s">
        <v>29</v>
      </c>
    </row>
    <row r="1154" customFormat="false" ht="13.8" hidden="false" customHeight="false" outlineLevel="0" collapsed="false">
      <c r="A1154" s="41" t="s">
        <v>690</v>
      </c>
      <c r="B1154" s="59" t="s">
        <v>119</v>
      </c>
    </row>
    <row r="1155" customFormat="false" ht="13.8" hidden="false" customHeight="false" outlineLevel="0" collapsed="false">
      <c r="A1155" s="41" t="s">
        <v>743</v>
      </c>
      <c r="B1155" s="59" t="s">
        <v>98</v>
      </c>
    </row>
    <row r="1156" customFormat="false" ht="13.8" hidden="false" customHeight="false" outlineLevel="0" collapsed="false">
      <c r="A1156" s="41" t="s">
        <v>131</v>
      </c>
      <c r="B1156" s="59" t="s">
        <v>130</v>
      </c>
    </row>
    <row r="1157" customFormat="false" ht="15" hidden="false" customHeight="false" outlineLevel="0" collapsed="false">
      <c r="A1157" s="377" t="s">
        <v>494</v>
      </c>
      <c r="B1157" s="59" t="s">
        <v>29</v>
      </c>
    </row>
    <row r="1158" customFormat="false" ht="13.8" hidden="false" customHeight="false" outlineLevel="0" collapsed="false">
      <c r="A1158" s="41" t="s">
        <v>457</v>
      </c>
      <c r="B1158" s="59" t="s">
        <v>74</v>
      </c>
    </row>
    <row r="1159" customFormat="false" ht="13.8" hidden="false" customHeight="false" outlineLevel="0" collapsed="false">
      <c r="A1159" s="41" t="s">
        <v>457</v>
      </c>
      <c r="B1159" s="59" t="s">
        <v>74</v>
      </c>
    </row>
    <row r="1160" customFormat="false" ht="13.8" hidden="false" customHeight="false" outlineLevel="0" collapsed="false">
      <c r="A1160" s="41" t="s">
        <v>743</v>
      </c>
      <c r="B1160" s="59" t="s">
        <v>98</v>
      </c>
    </row>
    <row r="1161" customFormat="false" ht="15" hidden="false" customHeight="false" outlineLevel="0" collapsed="false">
      <c r="A1161" s="377" t="s">
        <v>494</v>
      </c>
      <c r="B1161" s="59" t="s">
        <v>29</v>
      </c>
    </row>
    <row r="1162" customFormat="false" ht="13.8" hidden="false" customHeight="false" outlineLevel="0" collapsed="false">
      <c r="A1162" s="41" t="s">
        <v>780</v>
      </c>
      <c r="B1162" s="59" t="s">
        <v>203</v>
      </c>
    </row>
    <row r="1163" customFormat="false" ht="13.8" hidden="false" customHeight="false" outlineLevel="0" collapsed="false">
      <c r="A1163" s="41" t="s">
        <v>505</v>
      </c>
      <c r="B1163" s="49" t="s">
        <v>504</v>
      </c>
    </row>
    <row r="1164" customFormat="false" ht="13.8" hidden="false" customHeight="false" outlineLevel="0" collapsed="false">
      <c r="A1164" s="41" t="s">
        <v>458</v>
      </c>
      <c r="B1164" s="59" t="s">
        <v>76</v>
      </c>
    </row>
    <row r="1165" customFormat="false" ht="13.8" hidden="false" customHeight="false" outlineLevel="0" collapsed="false">
      <c r="A1165" s="41" t="s">
        <v>781</v>
      </c>
      <c r="B1165" s="59" t="s">
        <v>65</v>
      </c>
    </row>
    <row r="1166" customFormat="false" ht="13.8" hidden="false" customHeight="false" outlineLevel="0" collapsed="false">
      <c r="A1166" s="41" t="s">
        <v>454</v>
      </c>
      <c r="B1166" s="59" t="s">
        <v>65</v>
      </c>
    </row>
    <row r="1167" customFormat="false" ht="13.8" hidden="false" customHeight="false" outlineLevel="0" collapsed="false">
      <c r="A1167" s="41" t="s">
        <v>479</v>
      </c>
      <c r="B1167" s="59" t="s">
        <v>316</v>
      </c>
    </row>
    <row r="1168" customFormat="false" ht="13.8" hidden="false" customHeight="false" outlineLevel="0" collapsed="false">
      <c r="A1168" s="41" t="s">
        <v>782</v>
      </c>
      <c r="B1168" s="59" t="s">
        <v>74</v>
      </c>
    </row>
    <row r="1169" customFormat="false" ht="13.8" hidden="false" customHeight="false" outlineLevel="0" collapsed="false">
      <c r="A1169" s="41" t="s">
        <v>783</v>
      </c>
      <c r="B1169" s="59" t="s">
        <v>76</v>
      </c>
    </row>
    <row r="1170" customFormat="false" ht="13.8" hidden="false" customHeight="false" outlineLevel="0" collapsed="false">
      <c r="A1170" s="41" t="s">
        <v>156</v>
      </c>
      <c r="B1170" s="59" t="s">
        <v>74</v>
      </c>
    </row>
    <row r="1171" customFormat="false" ht="13.8" hidden="false" customHeight="false" outlineLevel="0" collapsed="false">
      <c r="A1171" s="41" t="s">
        <v>743</v>
      </c>
      <c r="B1171" s="59" t="s">
        <v>98</v>
      </c>
    </row>
    <row r="1172" customFormat="false" ht="13.8" hidden="false" customHeight="false" outlineLevel="0" collapsed="false">
      <c r="A1172" s="41" t="s">
        <v>123</v>
      </c>
      <c r="B1172" s="59" t="s">
        <v>122</v>
      </c>
    </row>
    <row r="1173" customFormat="false" ht="13.8" hidden="false" customHeight="false" outlineLevel="0" collapsed="false">
      <c r="A1173" s="41" t="s">
        <v>128</v>
      </c>
      <c r="B1173" s="59" t="s">
        <v>127</v>
      </c>
    </row>
    <row r="1174" customFormat="false" ht="15" hidden="false" customHeight="false" outlineLevel="0" collapsed="false">
      <c r="A1174" s="377" t="s">
        <v>521</v>
      </c>
      <c r="B1174" s="59" t="s">
        <v>29</v>
      </c>
    </row>
    <row r="1175" customFormat="false" ht="13.8" hidden="false" customHeight="false" outlineLevel="0" collapsed="false">
      <c r="A1175" s="41" t="s">
        <v>743</v>
      </c>
      <c r="B1175" s="59" t="s">
        <v>98</v>
      </c>
    </row>
    <row r="1176" customFormat="false" ht="15" hidden="false" customHeight="false" outlineLevel="0" collapsed="false">
      <c r="A1176" s="377" t="s">
        <v>521</v>
      </c>
      <c r="B1176" s="59" t="s">
        <v>29</v>
      </c>
    </row>
    <row r="1177" customFormat="false" ht="13.8" hidden="false" customHeight="false" outlineLevel="0" collapsed="false">
      <c r="A1177" s="41" t="s">
        <v>601</v>
      </c>
      <c r="B1177" s="59" t="s">
        <v>65</v>
      </c>
    </row>
    <row r="1178" customFormat="false" ht="13.8" hidden="false" customHeight="false" outlineLevel="0" collapsed="false">
      <c r="A1178" s="41" t="s">
        <v>690</v>
      </c>
      <c r="B1178" s="59" t="s">
        <v>119</v>
      </c>
    </row>
    <row r="1179" customFormat="false" ht="13.8" hidden="false" customHeight="false" outlineLevel="0" collapsed="false">
      <c r="A1179" s="41" t="s">
        <v>786</v>
      </c>
      <c r="B1179" s="59" t="s">
        <v>119</v>
      </c>
    </row>
    <row r="1180" customFormat="false" ht="13.8" hidden="false" customHeight="false" outlineLevel="0" collapsed="false">
      <c r="A1180" s="41" t="s">
        <v>743</v>
      </c>
      <c r="B1180" s="59" t="s">
        <v>98</v>
      </c>
    </row>
    <row r="1181" customFormat="false" ht="13.8" hidden="false" customHeight="false" outlineLevel="0" collapsed="false">
      <c r="A1181" s="41" t="s">
        <v>743</v>
      </c>
      <c r="B1181" s="59" t="s">
        <v>98</v>
      </c>
    </row>
    <row r="1182" customFormat="false" ht="15" hidden="false" customHeight="false" outlineLevel="0" collapsed="false">
      <c r="A1182" s="377" t="s">
        <v>521</v>
      </c>
      <c r="B1182" s="59" t="s">
        <v>29</v>
      </c>
    </row>
    <row r="1183" customFormat="false" ht="13.8" hidden="false" customHeight="false" outlineLevel="0" collapsed="false">
      <c r="A1183" s="41" t="s">
        <v>743</v>
      </c>
      <c r="B1183" s="59" t="s">
        <v>98</v>
      </c>
    </row>
    <row r="1184" customFormat="false" ht="13.8" hidden="false" customHeight="false" outlineLevel="0" collapsed="false">
      <c r="A1184" s="41" t="s">
        <v>788</v>
      </c>
      <c r="B1184" s="59" t="s">
        <v>5</v>
      </c>
    </row>
    <row r="1185" customFormat="false" ht="15" hidden="false" customHeight="false" outlineLevel="0" collapsed="false">
      <c r="A1185" s="377" t="s">
        <v>521</v>
      </c>
      <c r="B1185" s="59" t="s">
        <v>29</v>
      </c>
    </row>
    <row r="1186" customFormat="false" ht="13.8" hidden="false" customHeight="false" outlineLevel="0" collapsed="false">
      <c r="A1186" s="41" t="s">
        <v>171</v>
      </c>
      <c r="B1186" s="59" t="s">
        <v>124</v>
      </c>
    </row>
    <row r="1187" customFormat="false" ht="15" hidden="false" customHeight="false" outlineLevel="0" collapsed="false">
      <c r="A1187" s="377" t="s">
        <v>521</v>
      </c>
      <c r="B1187" s="59" t="s">
        <v>29</v>
      </c>
    </row>
    <row r="1188" customFormat="false" ht="13.8" hidden="false" customHeight="false" outlineLevel="0" collapsed="false">
      <c r="A1188" s="41" t="s">
        <v>533</v>
      </c>
      <c r="B1188" s="59" t="s">
        <v>532</v>
      </c>
    </row>
    <row r="1189" customFormat="false" ht="15" hidden="false" customHeight="false" outlineLevel="0" collapsed="false">
      <c r="A1189" s="377" t="s">
        <v>521</v>
      </c>
      <c r="B1189" s="59" t="s">
        <v>29</v>
      </c>
    </row>
    <row r="1190" customFormat="false" ht="13.8" hidden="false" customHeight="false" outlineLevel="0" collapsed="false">
      <c r="A1190" s="41" t="s">
        <v>743</v>
      </c>
      <c r="B1190" s="59" t="s">
        <v>98</v>
      </c>
    </row>
    <row r="1191" customFormat="false" ht="13.8" hidden="false" customHeight="false" outlineLevel="0" collapsed="false">
      <c r="A1191" s="41" t="s">
        <v>171</v>
      </c>
      <c r="B1191" s="59" t="s">
        <v>124</v>
      </c>
    </row>
    <row r="1192" customFormat="false" ht="15" hidden="false" customHeight="false" outlineLevel="0" collapsed="false">
      <c r="A1192" s="377" t="s">
        <v>521</v>
      </c>
      <c r="B1192" s="59" t="s">
        <v>29</v>
      </c>
    </row>
    <row r="1193" customFormat="false" ht="13.8" hidden="false" customHeight="false" outlineLevel="0" collapsed="false">
      <c r="A1193" s="41" t="s">
        <v>217</v>
      </c>
      <c r="B1193" s="59" t="s">
        <v>119</v>
      </c>
    </row>
    <row r="1194" customFormat="false" ht="13.8" hidden="false" customHeight="false" outlineLevel="0" collapsed="false">
      <c r="A1194" s="41" t="s">
        <v>793</v>
      </c>
      <c r="B1194" s="59" t="s">
        <v>119</v>
      </c>
    </row>
    <row r="1195" customFormat="false" ht="13.8" hidden="false" customHeight="false" outlineLevel="0" collapsed="false">
      <c r="A1195" s="41" t="s">
        <v>794</v>
      </c>
      <c r="B1195" s="59" t="s">
        <v>65</v>
      </c>
    </row>
    <row r="1196" customFormat="false" ht="13.8" hidden="false" customHeight="false" outlineLevel="0" collapsed="false">
      <c r="A1196" s="41" t="s">
        <v>795</v>
      </c>
      <c r="B1196" s="59" t="s">
        <v>65</v>
      </c>
    </row>
    <row r="1197" customFormat="false" ht="13.8" hidden="false" customHeight="false" outlineLevel="0" collapsed="false">
      <c r="A1197" s="41" t="s">
        <v>92</v>
      </c>
      <c r="B1197" s="59" t="s">
        <v>76</v>
      </c>
    </row>
    <row r="1198" customFormat="false" ht="13.8" hidden="false" customHeight="false" outlineLevel="0" collapsed="false">
      <c r="A1198" s="41" t="s">
        <v>737</v>
      </c>
      <c r="B1198" s="59" t="s">
        <v>76</v>
      </c>
    </row>
    <row r="1199" customFormat="false" ht="13.8" hidden="false" customHeight="false" outlineLevel="0" collapsed="false">
      <c r="A1199" s="41" t="s">
        <v>737</v>
      </c>
      <c r="B1199" s="59" t="s">
        <v>76</v>
      </c>
    </row>
    <row r="1200" customFormat="false" ht="13.8" hidden="false" customHeight="false" outlineLevel="0" collapsed="false">
      <c r="A1200" s="41" t="s">
        <v>796</v>
      </c>
      <c r="B1200" s="59" t="s">
        <v>65</v>
      </c>
    </row>
    <row r="1201" customFormat="false" ht="13.8" hidden="false" customHeight="false" outlineLevel="0" collapsed="false">
      <c r="A1201" s="41" t="s">
        <v>797</v>
      </c>
      <c r="B1201" s="59" t="s">
        <v>65</v>
      </c>
    </row>
    <row r="1202" customFormat="false" ht="13.8" hidden="false" customHeight="false" outlineLevel="0" collapsed="false">
      <c r="A1202" s="41" t="s">
        <v>798</v>
      </c>
      <c r="B1202" s="59" t="s">
        <v>65</v>
      </c>
    </row>
    <row r="1203" customFormat="false" ht="15" hidden="false" customHeight="false" outlineLevel="0" collapsed="false">
      <c r="A1203" s="377" t="s">
        <v>521</v>
      </c>
      <c r="B1203" s="59" t="s">
        <v>29</v>
      </c>
    </row>
    <row r="1204" customFormat="false" ht="13.8" hidden="false" customHeight="false" outlineLevel="0" collapsed="false">
      <c r="A1204" s="41" t="s">
        <v>800</v>
      </c>
      <c r="B1204" s="59" t="s">
        <v>65</v>
      </c>
    </row>
    <row r="1205" customFormat="false" ht="13.8" hidden="false" customHeight="false" outlineLevel="0" collapsed="false">
      <c r="A1205" s="41" t="s">
        <v>801</v>
      </c>
      <c r="B1205" s="59" t="s">
        <v>59</v>
      </c>
    </row>
    <row r="1206" customFormat="false" ht="13.8" hidden="false" customHeight="false" outlineLevel="0" collapsed="false">
      <c r="A1206" s="41" t="s">
        <v>801</v>
      </c>
      <c r="B1206" s="59" t="s">
        <v>59</v>
      </c>
    </row>
    <row r="1207" customFormat="false" ht="13.8" hidden="false" customHeight="false" outlineLevel="0" collapsed="false">
      <c r="A1207" s="41" t="s">
        <v>803</v>
      </c>
      <c r="B1207" s="59" t="s">
        <v>45</v>
      </c>
    </row>
    <row r="1208" customFormat="false" ht="13.8" hidden="false" customHeight="false" outlineLevel="0" collapsed="false">
      <c r="A1208" s="41" t="s">
        <v>803</v>
      </c>
      <c r="B1208" s="59" t="s">
        <v>45</v>
      </c>
    </row>
    <row r="1209" customFormat="false" ht="15" hidden="false" customHeight="false" outlineLevel="0" collapsed="false">
      <c r="A1209" s="377" t="s">
        <v>521</v>
      </c>
      <c r="B1209" s="59" t="s">
        <v>29</v>
      </c>
    </row>
    <row r="1210" customFormat="false" ht="13.8" hidden="false" customHeight="false" outlineLevel="0" collapsed="false">
      <c r="A1210" s="41" t="s">
        <v>806</v>
      </c>
      <c r="B1210" s="59" t="s">
        <v>59</v>
      </c>
    </row>
    <row r="1211" customFormat="false" ht="13.8" hidden="false" customHeight="false" outlineLevel="0" collapsed="false">
      <c r="A1211" s="41" t="s">
        <v>533</v>
      </c>
      <c r="B1211" s="59" t="s">
        <v>532</v>
      </c>
    </row>
    <row r="1212" customFormat="false" ht="13.8" hidden="false" customHeight="false" outlineLevel="0" collapsed="false">
      <c r="A1212" s="41" t="s">
        <v>743</v>
      </c>
      <c r="B1212" s="59" t="s">
        <v>98</v>
      </c>
    </row>
    <row r="1213" customFormat="false" ht="13.8" hidden="false" customHeight="false" outlineLevel="0" collapsed="false">
      <c r="A1213" s="41" t="s">
        <v>46</v>
      </c>
      <c r="B1213" s="59" t="s">
        <v>5</v>
      </c>
    </row>
    <row r="1214" customFormat="false" ht="15" hidden="false" customHeight="false" outlineLevel="0" collapsed="false">
      <c r="A1214" s="377" t="s">
        <v>521</v>
      </c>
      <c r="B1214" s="59" t="s">
        <v>29</v>
      </c>
    </row>
    <row r="1215" customFormat="false" ht="13.8" hidden="false" customHeight="false" outlineLevel="0" collapsed="false">
      <c r="A1215" s="41" t="s">
        <v>808</v>
      </c>
      <c r="B1215" s="59" t="s">
        <v>203</v>
      </c>
    </row>
    <row r="1216" customFormat="false" ht="13.8" hidden="false" customHeight="false" outlineLevel="0" collapsed="false">
      <c r="A1216" s="41" t="s">
        <v>168</v>
      </c>
      <c r="B1216" s="59" t="s">
        <v>35</v>
      </c>
    </row>
    <row r="1217" customFormat="false" ht="13.8" hidden="false" customHeight="false" outlineLevel="0" collapsed="false">
      <c r="A1217" s="41" t="s">
        <v>240</v>
      </c>
      <c r="B1217" s="59" t="s">
        <v>76</v>
      </c>
    </row>
    <row r="1218" customFormat="false" ht="13.8" hidden="false" customHeight="false" outlineLevel="0" collapsed="false">
      <c r="A1218" s="41" t="s">
        <v>809</v>
      </c>
      <c r="B1218" s="59" t="s">
        <v>76</v>
      </c>
    </row>
    <row r="1219" customFormat="false" ht="13.8" hidden="false" customHeight="false" outlineLevel="0" collapsed="false">
      <c r="A1219" s="41" t="s">
        <v>454</v>
      </c>
      <c r="B1219" s="59" t="s">
        <v>65</v>
      </c>
    </row>
    <row r="1220" customFormat="false" ht="13.8" hidden="false" customHeight="false" outlineLevel="0" collapsed="false">
      <c r="A1220" s="41" t="s">
        <v>479</v>
      </c>
      <c r="B1220" s="59" t="s">
        <v>316</v>
      </c>
    </row>
    <row r="1221" customFormat="false" ht="13.8" hidden="false" customHeight="false" outlineLevel="0" collapsed="false">
      <c r="A1221" s="41" t="s">
        <v>811</v>
      </c>
      <c r="B1221" s="59" t="s">
        <v>810</v>
      </c>
    </row>
    <row r="1222" customFormat="false" ht="13.8" hidden="false" customHeight="false" outlineLevel="0" collapsed="false">
      <c r="A1222" s="41" t="s">
        <v>812</v>
      </c>
      <c r="B1222" s="59" t="s">
        <v>181</v>
      </c>
    </row>
    <row r="1223" customFormat="false" ht="13.8" hidden="false" customHeight="false" outlineLevel="0" collapsed="false">
      <c r="A1223" s="41" t="s">
        <v>814</v>
      </c>
      <c r="B1223" s="59" t="s">
        <v>813</v>
      </c>
    </row>
    <row r="1224" customFormat="false" ht="13.8" hidden="false" customHeight="false" outlineLevel="0" collapsed="false">
      <c r="A1224" s="41" t="s">
        <v>128</v>
      </c>
      <c r="B1224" s="59" t="s">
        <v>127</v>
      </c>
    </row>
    <row r="1225" customFormat="false" ht="15" hidden="false" customHeight="false" outlineLevel="0" collapsed="false">
      <c r="A1225" s="377" t="s">
        <v>521</v>
      </c>
      <c r="B1225" s="59" t="s">
        <v>29</v>
      </c>
    </row>
    <row r="1226" customFormat="false" ht="15" hidden="false" customHeight="false" outlineLevel="0" collapsed="false">
      <c r="A1226" s="377" t="s">
        <v>494</v>
      </c>
      <c r="B1226" s="59" t="s">
        <v>29</v>
      </c>
    </row>
    <row r="1227" customFormat="false" ht="17" hidden="false" customHeight="false" outlineLevel="0" collapsed="false">
      <c r="A1227" s="108" t="s">
        <v>111</v>
      </c>
      <c r="B1227" s="59" t="s">
        <v>29</v>
      </c>
    </row>
    <row r="1228" customFormat="false" ht="17" hidden="false" customHeight="false" outlineLevel="0" collapsed="false">
      <c r="A1228" s="108" t="s">
        <v>521</v>
      </c>
      <c r="B1228" s="59" t="s">
        <v>29</v>
      </c>
    </row>
    <row r="1229" customFormat="false" ht="15.8" hidden="false" customHeight="false" outlineLevel="0" collapsed="false">
      <c r="A1229" s="74" t="s">
        <v>817</v>
      </c>
      <c r="B1229" s="59" t="s">
        <v>67</v>
      </c>
    </row>
    <row r="1230" customFormat="false" ht="17" hidden="false" customHeight="false" outlineLevel="0" collapsed="false">
      <c r="A1230" s="108" t="s">
        <v>521</v>
      </c>
      <c r="B1230" s="59" t="s">
        <v>29</v>
      </c>
    </row>
    <row r="1231" customFormat="false" ht="15.8" hidden="false" customHeight="false" outlineLevel="0" collapsed="false">
      <c r="A1231" s="74" t="s">
        <v>819</v>
      </c>
      <c r="B1231" s="59" t="s">
        <v>203</v>
      </c>
    </row>
    <row r="1232" customFormat="false" ht="15.8" hidden="false" customHeight="false" outlineLevel="0" collapsed="false">
      <c r="A1232" s="74" t="s">
        <v>723</v>
      </c>
      <c r="B1232" s="59" t="s">
        <v>76</v>
      </c>
    </row>
    <row r="1233" customFormat="false" ht="15.8" hidden="false" customHeight="false" outlineLevel="0" collapsed="false">
      <c r="A1233" s="74" t="s">
        <v>725</v>
      </c>
      <c r="B1233" s="59" t="s">
        <v>749</v>
      </c>
    </row>
    <row r="1234" customFormat="false" ht="17" hidden="false" customHeight="false" outlineLevel="0" collapsed="false">
      <c r="A1234" s="108" t="s">
        <v>521</v>
      </c>
      <c r="B1234" s="59" t="s">
        <v>29</v>
      </c>
    </row>
    <row r="1235" customFormat="false" ht="15.8" hidden="false" customHeight="false" outlineLevel="0" collapsed="false">
      <c r="A1235" s="74" t="s">
        <v>758</v>
      </c>
      <c r="B1235" s="59" t="s">
        <v>757</v>
      </c>
    </row>
    <row r="1236" customFormat="false" ht="17" hidden="false" customHeight="false" outlineLevel="0" collapsed="false">
      <c r="A1236" s="108" t="s">
        <v>521</v>
      </c>
      <c r="B1236" s="59" t="s">
        <v>29</v>
      </c>
    </row>
    <row r="1237" customFormat="false" ht="15.8" hidden="false" customHeight="false" outlineLevel="0" collapsed="false">
      <c r="A1237" s="74" t="s">
        <v>822</v>
      </c>
      <c r="B1237" s="59" t="s">
        <v>203</v>
      </c>
    </row>
    <row r="1238" customFormat="false" ht="15.8" hidden="false" customHeight="false" outlineLevel="0" collapsed="false">
      <c r="A1238" s="74" t="s">
        <v>823</v>
      </c>
      <c r="B1238" s="59" t="s">
        <v>127</v>
      </c>
    </row>
    <row r="1239" customFormat="false" ht="15.8" hidden="false" customHeight="false" outlineLevel="0" collapsed="false">
      <c r="A1239" s="74" t="s">
        <v>825</v>
      </c>
      <c r="B1239" s="59" t="s">
        <v>824</v>
      </c>
    </row>
    <row r="1240" customFormat="false" ht="15.8" hidden="false" customHeight="false" outlineLevel="0" collapsed="false">
      <c r="A1240" s="74" t="s">
        <v>85</v>
      </c>
      <c r="B1240" s="59" t="s">
        <v>71</v>
      </c>
    </row>
    <row r="1241" customFormat="false" ht="15.8" hidden="false" customHeight="false" outlineLevel="0" collapsed="false">
      <c r="A1241" s="74" t="s">
        <v>505</v>
      </c>
      <c r="B1241" s="59" t="s">
        <v>824</v>
      </c>
    </row>
    <row r="1242" customFormat="false" ht="15.8" hidden="false" customHeight="false" outlineLevel="0" collapsed="false">
      <c r="A1242" s="74" t="s">
        <v>826</v>
      </c>
      <c r="B1242" s="59" t="s">
        <v>824</v>
      </c>
    </row>
    <row r="1243" customFormat="false" ht="15.8" hidden="false" customHeight="false" outlineLevel="0" collapsed="false">
      <c r="A1243" s="74" t="s">
        <v>479</v>
      </c>
      <c r="B1243" s="59" t="s">
        <v>316</v>
      </c>
    </row>
    <row r="1244" customFormat="false" ht="15.8" hidden="false" customHeight="false" outlineLevel="0" collapsed="false">
      <c r="A1244" s="74" t="s">
        <v>743</v>
      </c>
      <c r="B1244" s="59" t="s">
        <v>98</v>
      </c>
    </row>
    <row r="1245" customFormat="false" ht="15.8" hidden="false" customHeight="false" outlineLevel="0" collapsed="false">
      <c r="A1245" s="74" t="s">
        <v>827</v>
      </c>
      <c r="B1245" s="59" t="s">
        <v>824</v>
      </c>
    </row>
    <row r="1246" customFormat="false" ht="17" hidden="false" customHeight="false" outlineLevel="0" collapsed="false">
      <c r="A1246" s="108" t="s">
        <v>521</v>
      </c>
      <c r="B1246" s="59" t="s">
        <v>29</v>
      </c>
    </row>
    <row r="1247" customFormat="false" ht="17" hidden="false" customHeight="false" outlineLevel="0" collapsed="false">
      <c r="A1247" s="108" t="s">
        <v>521</v>
      </c>
      <c r="B1247" s="59" t="s">
        <v>29</v>
      </c>
    </row>
    <row r="1248" customFormat="false" ht="15.8" hidden="false" customHeight="false" outlineLevel="0" collapsed="false">
      <c r="A1248" s="74" t="s">
        <v>831</v>
      </c>
      <c r="B1248" s="59" t="s">
        <v>829</v>
      </c>
    </row>
    <row r="1249" customFormat="false" ht="15.8" hidden="false" customHeight="false" outlineLevel="0" collapsed="false">
      <c r="A1249" s="74" t="s">
        <v>833</v>
      </c>
      <c r="B1249" s="59" t="s">
        <v>832</v>
      </c>
    </row>
    <row r="1250" customFormat="false" ht="17" hidden="false" customHeight="false" outlineLevel="0" collapsed="false">
      <c r="A1250" s="108" t="s">
        <v>494</v>
      </c>
      <c r="B1250" s="59" t="s">
        <v>29</v>
      </c>
    </row>
    <row r="1251" customFormat="false" ht="15.8" hidden="false" customHeight="false" outlineLevel="0" collapsed="false">
      <c r="A1251" s="74" t="s">
        <v>835</v>
      </c>
      <c r="B1251" s="59" t="s">
        <v>119</v>
      </c>
    </row>
    <row r="1252" customFormat="false" ht="15.8" hidden="false" customHeight="false" outlineLevel="0" collapsed="false">
      <c r="A1252" s="74" t="s">
        <v>836</v>
      </c>
      <c r="B1252" s="59" t="s">
        <v>749</v>
      </c>
    </row>
    <row r="1253" customFormat="false" ht="15.8" hidden="false" customHeight="false" outlineLevel="0" collapsed="false">
      <c r="A1253" s="74" t="s">
        <v>837</v>
      </c>
      <c r="B1253" s="59" t="s">
        <v>176</v>
      </c>
    </row>
    <row r="1254" customFormat="false" ht="15.8" hidden="false" customHeight="false" outlineLevel="0" collapsed="false">
      <c r="A1254" s="74" t="s">
        <v>838</v>
      </c>
      <c r="B1254" s="59" t="s">
        <v>176</v>
      </c>
    </row>
    <row r="1255" customFormat="false" ht="15.8" hidden="false" customHeight="false" outlineLevel="0" collapsed="false">
      <c r="A1255" s="74" t="s">
        <v>109</v>
      </c>
      <c r="B1255" s="59" t="s">
        <v>67</v>
      </c>
    </row>
    <row r="1256" customFormat="false" ht="17" hidden="false" customHeight="false" outlineLevel="0" collapsed="false">
      <c r="A1256" s="108" t="s">
        <v>494</v>
      </c>
      <c r="B1256" s="59" t="s">
        <v>29</v>
      </c>
    </row>
    <row r="1257" customFormat="false" ht="15.8" hidden="false" customHeight="false" outlineLevel="0" collapsed="false">
      <c r="A1257" s="74" t="s">
        <v>131</v>
      </c>
      <c r="B1257" s="59" t="s">
        <v>130</v>
      </c>
    </row>
    <row r="1258" customFormat="false" ht="17" hidden="false" customHeight="false" outlineLevel="0" collapsed="false">
      <c r="A1258" s="108" t="s">
        <v>494</v>
      </c>
      <c r="B1258" s="59" t="s">
        <v>29</v>
      </c>
    </row>
    <row r="1259" customFormat="false" ht="15.8" hidden="false" customHeight="false" outlineLevel="0" collapsed="false">
      <c r="A1259" s="74" t="s">
        <v>163</v>
      </c>
      <c r="B1259" s="59" t="s">
        <v>65</v>
      </c>
    </row>
    <row r="1260" customFormat="false" ht="15.8" hidden="false" customHeight="false" outlineLevel="0" collapsed="false">
      <c r="A1260" s="74" t="s">
        <v>247</v>
      </c>
      <c r="B1260" s="59" t="s">
        <v>98</v>
      </c>
    </row>
    <row r="1261" customFormat="false" ht="15.8" hidden="false" customHeight="false" outlineLevel="0" collapsed="false">
      <c r="A1261" s="74" t="s">
        <v>533</v>
      </c>
      <c r="B1261" s="59" t="s">
        <v>532</v>
      </c>
    </row>
    <row r="1262" customFormat="false" ht="17" hidden="false" customHeight="false" outlineLevel="0" collapsed="false">
      <c r="A1262" s="108" t="s">
        <v>494</v>
      </c>
      <c r="B1262" s="59" t="s">
        <v>127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15859</TotalTime>
  <Application>LibreOffice/6.0.7.3$Linux_X86_64 LibreOffice_project/00m0$Build-3</Application>
  <Company>IBM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2011-04-26T13:46:03Z</dcterms:created>
  <dc:creator>Administrator</dc:creator>
  <dc:description/>
  <dc:language>pt-BR</dc:language>
  <cp:lastModifiedBy/>
  <cp:lastPrinted>2019-01-13T03:49:06Z</cp:lastPrinted>
  <dcterms:modified xsi:type="dcterms:W3CDTF">2021-01-03T13:21:21Z</dcterms:modified>
  <cp:revision>374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IBM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
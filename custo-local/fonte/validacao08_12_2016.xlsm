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re\Documents\custo\parametros\csv\validacao\"/>
    </mc:Choice>
  </mc:AlternateContent>
  <bookViews>
    <workbookView xWindow="0" yWindow="0" windowWidth="16380" windowHeight="8190" tabRatio="990" activeTab="1"/>
  </bookViews>
  <sheets>
    <sheet name="entrada" sheetId="1" r:id="rId1"/>
    <sheet name="debito" sheetId="2" r:id="rId2"/>
    <sheet name="credito" sheetId="3" r:id="rId3"/>
    <sheet name="mercado" sheetId="4" r:id="rId4"/>
    <sheet name="planilha" sheetId="5" r:id="rId5"/>
    <sheet name="terceiro" sheetId="6" r:id="rId6"/>
    <sheet name="pendente" sheetId="7" r:id="rId7"/>
    <sheet name="gasto" sheetId="8" r:id="rId8"/>
    <sheet name="Plan1" sheetId="9" r:id="rId9"/>
    <sheet name="old" sheetId="10" r:id="rId10"/>
    <sheet name="divida empresa" sheetId="11" r:id="rId11"/>
    <sheet name="divida carro" sheetId="12" r:id="rId12"/>
    <sheet name="divida moto" sheetId="13" r:id="rId13"/>
    <sheet name="Plan2" sheetId="14" r:id="rId14"/>
    <sheet name="Plan3" sheetId="15" r:id="rId15"/>
    <sheet name="Plan5" sheetId="16" r:id="rId16"/>
    <sheet name="Plan4" sheetId="17" r:id="rId17"/>
    <sheet name="Plan6" sheetId="18" r:id="rId18"/>
  </sheets>
  <definedNames>
    <definedName name="_FilterDatabase_0" localSheetId="2">credito!$A$1:$K$252</definedName>
    <definedName name="_FilterDatabase_0" localSheetId="7">gasto!$A$1:$K$74</definedName>
    <definedName name="_FilterDatabase_0_0" localSheetId="2">credito!$A$1:$K$252</definedName>
    <definedName name="_FilterDatabase_0_0" localSheetId="7">gasto!$A$1:$K$74</definedName>
    <definedName name="_xlnm._FilterDatabase" localSheetId="2" hidden="1">credito!$A$1:$K$237</definedName>
    <definedName name="_xlnm._FilterDatabase" localSheetId="1" hidden="1">debito!$A$1:$M$636</definedName>
    <definedName name="_xlnm._FilterDatabase" localSheetId="7">gasto!$A$1:$K$74</definedName>
    <definedName name="_xlnm._FilterDatabase" localSheetId="3">mercado!$A$1:$J$1118</definedName>
    <definedName name="_xlnm._FilterDatabase" localSheetId="6">pendente!$A$1:$E$46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4" i="17" l="1"/>
  <c r="D4" i="17" s="1"/>
  <c r="D3" i="17"/>
  <c r="B3" i="14"/>
  <c r="B1" i="14"/>
  <c r="C11" i="13"/>
  <c r="C14" i="12"/>
  <c r="C6" i="12"/>
  <c r="B2" i="14" s="1"/>
  <c r="C3" i="12"/>
  <c r="D23" i="11"/>
  <c r="D2" i="10"/>
  <c r="E2" i="10" s="1"/>
  <c r="F2" i="10" s="1"/>
  <c r="B41" i="9"/>
  <c r="A41" i="9"/>
  <c r="D31" i="9"/>
  <c r="A31" i="9"/>
  <c r="E30" i="9"/>
  <c r="F30" i="9" s="1"/>
  <c r="E29" i="9"/>
  <c r="F29" i="9" s="1"/>
  <c r="E28" i="9"/>
  <c r="F28" i="9" s="1"/>
  <c r="E27" i="9"/>
  <c r="F27" i="9" s="1"/>
  <c r="I16" i="9"/>
  <c r="E16" i="9"/>
  <c r="B19" i="9" s="1"/>
  <c r="B16" i="9"/>
  <c r="B17" i="9" s="1"/>
  <c r="F9" i="9"/>
  <c r="D9" i="9"/>
  <c r="G8" i="9"/>
  <c r="F8" i="9"/>
  <c r="D8" i="9"/>
  <c r="G7" i="9"/>
  <c r="F7" i="9"/>
  <c r="D7" i="9"/>
  <c r="G6" i="9"/>
  <c r="F6" i="9"/>
  <c r="D6" i="9"/>
  <c r="G5" i="9"/>
  <c r="F5" i="9"/>
  <c r="D5" i="9"/>
  <c r="G4" i="9"/>
  <c r="F4" i="9"/>
  <c r="D4" i="9"/>
  <c r="G3" i="9"/>
  <c r="F3" i="9"/>
  <c r="D3" i="9"/>
  <c r="G2" i="9"/>
  <c r="G16" i="9" s="1"/>
  <c r="F2" i="9"/>
  <c r="F16" i="9" s="1"/>
  <c r="D2" i="9"/>
  <c r="D16" i="9" s="1"/>
  <c r="B18" i="9" s="1"/>
  <c r="B23" i="9" s="1"/>
  <c r="G119" i="8"/>
  <c r="D119" i="8"/>
  <c r="G118" i="8"/>
  <c r="D118" i="8"/>
  <c r="G117" i="8"/>
  <c r="D117" i="8"/>
  <c r="G116" i="8"/>
  <c r="D116" i="8"/>
  <c r="G115" i="8"/>
  <c r="D115" i="8"/>
  <c r="G114" i="8"/>
  <c r="D114" i="8"/>
  <c r="G113" i="8"/>
  <c r="D113" i="8"/>
  <c r="G112" i="8"/>
  <c r="D112" i="8"/>
  <c r="G111" i="8"/>
  <c r="D111" i="8"/>
  <c r="G110" i="8"/>
  <c r="D110" i="8"/>
  <c r="G109" i="8"/>
  <c r="D109" i="8"/>
  <c r="G108" i="8"/>
  <c r="D108" i="8"/>
  <c r="G107" i="8"/>
  <c r="D107" i="8"/>
  <c r="G106" i="8"/>
  <c r="D106" i="8"/>
  <c r="G105" i="8"/>
  <c r="D105" i="8"/>
  <c r="G104" i="8"/>
  <c r="D104" i="8"/>
  <c r="G103" i="8"/>
  <c r="D103" i="8"/>
  <c r="G102" i="8"/>
  <c r="D102" i="8"/>
  <c r="G101" i="8"/>
  <c r="D101" i="8"/>
  <c r="G100" i="8"/>
  <c r="D100" i="8"/>
  <c r="G99" i="8"/>
  <c r="D99" i="8"/>
  <c r="G98" i="8"/>
  <c r="D98" i="8"/>
  <c r="G97" i="8"/>
  <c r="D97" i="8"/>
  <c r="G96" i="8"/>
  <c r="D96" i="8"/>
  <c r="G95" i="8"/>
  <c r="D95" i="8"/>
  <c r="G94" i="8"/>
  <c r="D94" i="8"/>
  <c r="G93" i="8"/>
  <c r="D93" i="8"/>
  <c r="G92" i="8"/>
  <c r="D92" i="8"/>
  <c r="G91" i="8"/>
  <c r="D91" i="8"/>
  <c r="G90" i="8"/>
  <c r="D90" i="8"/>
  <c r="G89" i="8"/>
  <c r="D89" i="8"/>
  <c r="G88" i="8"/>
  <c r="D88" i="8"/>
  <c r="G87" i="8"/>
  <c r="D87" i="8"/>
  <c r="G86" i="8"/>
  <c r="D86" i="8"/>
  <c r="G85" i="8"/>
  <c r="D85" i="8"/>
  <c r="G84" i="8"/>
  <c r="D84" i="8"/>
  <c r="G83" i="8"/>
  <c r="D83" i="8"/>
  <c r="G82" i="8"/>
  <c r="D82" i="8"/>
  <c r="G81" i="8"/>
  <c r="D81" i="8"/>
  <c r="G80" i="8"/>
  <c r="D80" i="8"/>
  <c r="G79" i="8"/>
  <c r="D79" i="8"/>
  <c r="G78" i="8"/>
  <c r="D78" i="8"/>
  <c r="G74" i="8"/>
  <c r="D74" i="8"/>
  <c r="G73" i="8"/>
  <c r="D73" i="8"/>
  <c r="G72" i="8"/>
  <c r="D72" i="8"/>
  <c r="G71" i="8"/>
  <c r="D71" i="8"/>
  <c r="G70" i="8"/>
  <c r="D70" i="8"/>
  <c r="G69" i="8"/>
  <c r="G68" i="8"/>
  <c r="G67" i="8"/>
  <c r="G66" i="8"/>
  <c r="G65" i="8"/>
  <c r="G64" i="8"/>
  <c r="G63" i="8"/>
  <c r="G62" i="8"/>
  <c r="G61" i="8"/>
  <c r="H10" i="7"/>
  <c r="H9" i="7"/>
  <c r="H8" i="7"/>
  <c r="H7" i="7"/>
  <c r="H6" i="7"/>
  <c r="H5" i="7"/>
  <c r="H4" i="7"/>
  <c r="H3" i="7"/>
  <c r="D6" i="6"/>
  <c r="G9" i="5"/>
  <c r="G8" i="5"/>
  <c r="G7" i="5"/>
  <c r="G6" i="5"/>
  <c r="G5" i="5"/>
  <c r="G4" i="5"/>
  <c r="G3" i="5"/>
  <c r="G2" i="5"/>
  <c r="H2" i="5" s="1"/>
  <c r="B237" i="3"/>
  <c r="B228" i="3"/>
  <c r="B563" i="2" s="1"/>
  <c r="B180" i="3"/>
  <c r="G12" i="5"/>
  <c r="G11" i="5"/>
  <c r="G10" i="5"/>
  <c r="B461" i="2"/>
  <c r="M426" i="2"/>
  <c r="B404" i="2"/>
  <c r="J372" i="2"/>
  <c r="L372" i="2" s="1"/>
  <c r="B372" i="2"/>
  <c r="B301" i="2"/>
  <c r="B262" i="2"/>
  <c r="B243" i="2"/>
  <c r="B242" i="2"/>
  <c r="B241" i="2"/>
  <c r="B240" i="2"/>
  <c r="B238" i="2"/>
  <c r="B192" i="2"/>
  <c r="J118" i="2"/>
  <c r="J117" i="2"/>
  <c r="B107" i="2"/>
  <c r="B14" i="2"/>
  <c r="E20" i="1"/>
  <c r="F20" i="1" s="1"/>
  <c r="H20" i="1" s="1"/>
  <c r="F14" i="1"/>
  <c r="F16" i="1" s="1"/>
  <c r="E14" i="1"/>
  <c r="E16" i="1" s="1"/>
  <c r="M13" i="1"/>
  <c r="H13" i="1"/>
  <c r="J13" i="1" s="1"/>
  <c r="L13" i="1" s="1"/>
  <c r="G13" i="1"/>
  <c r="H6" i="1"/>
  <c r="J6" i="1" s="1"/>
  <c r="L6" i="1" s="1"/>
  <c r="G6" i="1"/>
  <c r="H3" i="5" l="1"/>
  <c r="H4" i="5" s="1"/>
  <c r="H5" i="5" s="1"/>
  <c r="H6" i="5" s="1"/>
  <c r="H7" i="5" s="1"/>
  <c r="H8" i="5" s="1"/>
  <c r="H9" i="5" s="1"/>
  <c r="H10" i="5" s="1"/>
  <c r="H11" i="5" s="1"/>
  <c r="H12" i="5" s="1"/>
  <c r="J12" i="5" s="1"/>
  <c r="B22" i="9"/>
  <c r="B20" i="9"/>
  <c r="B24" i="9" s="1"/>
  <c r="B21" i="9"/>
  <c r="C5" i="17"/>
  <c r="D5" i="17" s="1"/>
  <c r="D6" i="17" s="1"/>
  <c r="E6" i="17" s="1"/>
  <c r="E31" i="9"/>
  <c r="E32" i="9" s="1"/>
  <c r="K8" i="9" l="1"/>
  <c r="K7" i="9"/>
  <c r="K6" i="9"/>
  <c r="K5" i="9"/>
  <c r="K4" i="9"/>
  <c r="K3" i="9"/>
  <c r="K2" i="9"/>
</calcChain>
</file>

<file path=xl/sharedStrings.xml><?xml version="1.0" encoding="utf-8"?>
<sst xmlns="http://schemas.openxmlformats.org/spreadsheetml/2006/main" count="2991" uniqueCount="618">
  <si>
    <t>entrada</t>
  </si>
  <si>
    <t>data referencia</t>
  </si>
  <si>
    <t>origem</t>
  </si>
  <si>
    <t>data entrada</t>
  </si>
  <si>
    <t>dep</t>
  </si>
  <si>
    <t>inss</t>
  </si>
  <si>
    <t>tx irrpf</t>
  </si>
  <si>
    <t>valor reduzir</t>
  </si>
  <si>
    <t>salario</t>
  </si>
  <si>
    <t>salario cadmus</t>
  </si>
  <si>
    <t>salario b2w</t>
  </si>
  <si>
    <t>receita 2015</t>
  </si>
  <si>
    <t>credito</t>
  </si>
  <si>
    <t>michelle</t>
  </si>
  <si>
    <t>hein</t>
  </si>
  <si>
    <t>pag cartao</t>
  </si>
  <si>
    <t>ajuda jocum</t>
  </si>
  <si>
    <t>custo</t>
  </si>
  <si>
    <t>valor debito</t>
  </si>
  <si>
    <t>custo fixo</t>
  </si>
  <si>
    <t>custo variavel</t>
  </si>
  <si>
    <t>pendente</t>
  </si>
  <si>
    <t>data pagto</t>
  </si>
  <si>
    <t>semana</t>
  </si>
  <si>
    <t>data pagamento</t>
  </si>
  <si>
    <t>tipo</t>
  </si>
  <si>
    <t>SEGURO CARTÃO</t>
  </si>
  <si>
    <t>1ª semana</t>
  </si>
  <si>
    <t>banco</t>
  </si>
  <si>
    <t>UNICEF</t>
  </si>
  <si>
    <t>TAXA CONTA JURIDICA</t>
  </si>
  <si>
    <t>SEGURO RESIDENCIA</t>
  </si>
  <si>
    <t>net</t>
  </si>
  <si>
    <t>fim de semana</t>
  </si>
  <si>
    <t>casa</t>
  </si>
  <si>
    <t>consorcio</t>
  </si>
  <si>
    <t>investimento</t>
  </si>
  <si>
    <t>contador</t>
  </si>
  <si>
    <t>csll tri - boleto - 1,88</t>
  </si>
  <si>
    <t>imposto</t>
  </si>
  <si>
    <t>irpj - boleto - 0,90</t>
  </si>
  <si>
    <t>sptransp</t>
  </si>
  <si>
    <t>2ª semana</t>
  </si>
  <si>
    <t>transporte</t>
  </si>
  <si>
    <t>custo total aluguel</t>
  </si>
  <si>
    <t>luz</t>
  </si>
  <si>
    <t>cartão</t>
  </si>
  <si>
    <t>cartão credito</t>
  </si>
  <si>
    <t>TAXA CONTA FISICA</t>
  </si>
  <si>
    <t>5ª semana</t>
  </si>
  <si>
    <t>pis - 0,650% - folha pg</t>
  </si>
  <si>
    <t>folha_pagamento</t>
  </si>
  <si>
    <t>cofins - 3% - folha pg</t>
  </si>
  <si>
    <t>ir - 1,5 % - folha pg</t>
  </si>
  <si>
    <t>csll - 1% - folha pg</t>
  </si>
  <si>
    <t>boleto moçambique</t>
  </si>
  <si>
    <t>benção</t>
  </si>
  <si>
    <t>dizimo</t>
  </si>
  <si>
    <t>padaria</t>
  </si>
  <si>
    <t>feira</t>
  </si>
  <si>
    <t>mercado</t>
  </si>
  <si>
    <t>açougue</t>
  </si>
  <si>
    <t>chocolate</t>
  </si>
  <si>
    <t>alimentação</t>
  </si>
  <si>
    <t>café</t>
  </si>
  <si>
    <t>agua</t>
  </si>
  <si>
    <t>café/salgado</t>
  </si>
  <si>
    <t>acentona</t>
  </si>
  <si>
    <t>pessoal</t>
  </si>
  <si>
    <t>bolacha metro</t>
  </si>
  <si>
    <t>salgado</t>
  </si>
  <si>
    <t>cabelereiro</t>
  </si>
  <si>
    <t>hipogloss/sabonete</t>
  </si>
  <si>
    <t>farmacia</t>
  </si>
  <si>
    <t>sorvete</t>
  </si>
  <si>
    <t>bala hortela</t>
  </si>
  <si>
    <t>consorcio lance contemplado</t>
  </si>
  <si>
    <t>tarifa consorcio</t>
  </si>
  <si>
    <t>toalha de mesa</t>
  </si>
  <si>
    <t>bacon</t>
  </si>
  <si>
    <t>agua / café</t>
  </si>
  <si>
    <t>3ª semana</t>
  </si>
  <si>
    <t>almoço</t>
  </si>
  <si>
    <t>portas abertas</t>
  </si>
  <si>
    <t>agua / chocolate</t>
  </si>
  <si>
    <t>convenio caio</t>
  </si>
  <si>
    <t>seminario weslyana</t>
  </si>
  <si>
    <t>convenio samuel</t>
  </si>
  <si>
    <t>4ª semana</t>
  </si>
  <si>
    <t>saque</t>
  </si>
  <si>
    <t>suco</t>
  </si>
  <si>
    <t>cartao da michelle</t>
  </si>
  <si>
    <t>panetone</t>
  </si>
  <si>
    <t>manicure</t>
  </si>
  <si>
    <t>pastel/caldo cana</t>
  </si>
  <si>
    <t>praia</t>
  </si>
  <si>
    <t>lazer</t>
  </si>
  <si>
    <t>cds</t>
  </si>
  <si>
    <t>pedagio</t>
  </si>
  <si>
    <t>convenio</t>
  </si>
  <si>
    <t>futebol</t>
  </si>
  <si>
    <t>ajuda campanha</t>
  </si>
  <si>
    <t>emprestimo</t>
  </si>
  <si>
    <t>celular</t>
  </si>
  <si>
    <t>chocolatado</t>
  </si>
  <si>
    <t>coxinha</t>
  </si>
  <si>
    <t>agua futebol</t>
  </si>
  <si>
    <t>café salgado</t>
  </si>
  <si>
    <t>salgado trampo</t>
  </si>
  <si>
    <t>agua / bala</t>
  </si>
  <si>
    <t>taxi domingo</t>
  </si>
  <si>
    <t>comgas</t>
  </si>
  <si>
    <t>canelone</t>
  </si>
  <si>
    <t>carne - acem picadinho</t>
  </si>
  <si>
    <t>carnes - hamburgao 1k</t>
  </si>
  <si>
    <t>alcool</t>
  </si>
  <si>
    <t>combustivel</t>
  </si>
  <si>
    <t>drogaria mamadeira/leite</t>
  </si>
  <si>
    <t>bebe</t>
  </si>
  <si>
    <t>lanche / chocolate / agua</t>
  </si>
  <si>
    <t>pizzaria</t>
  </si>
  <si>
    <t>dicico</t>
  </si>
  <si>
    <t>chocolate / agua</t>
  </si>
  <si>
    <t>farmacia camisinha</t>
  </si>
  <si>
    <t>agua / amemdoim</t>
  </si>
  <si>
    <t>estacionamento</t>
  </si>
  <si>
    <t>talao azul</t>
  </si>
  <si>
    <t>seguro</t>
  </si>
  <si>
    <t>mc donalds</t>
  </si>
  <si>
    <t>desconhecido</t>
  </si>
  <si>
    <t>dizimo michelle</t>
  </si>
  <si>
    <t>oferta</t>
  </si>
  <si>
    <t>ajuda rua</t>
  </si>
  <si>
    <t>iof</t>
  </si>
  <si>
    <t>lis/juros</t>
  </si>
  <si>
    <t>biblia evangelismo</t>
  </si>
  <si>
    <t>ajuda universitario</t>
  </si>
  <si>
    <t>papel de embrulho evangelismo</t>
  </si>
  <si>
    <t>jocum</t>
  </si>
  <si>
    <t>agua / biscoito</t>
  </si>
  <si>
    <t>conta juridica</t>
  </si>
  <si>
    <t>refrigerante/sucos</t>
  </si>
  <si>
    <t xml:space="preserve">SEGURO VIDA GRUPO </t>
  </si>
  <si>
    <t>CONTRIB. SINDICAL</t>
  </si>
  <si>
    <t>Part. Vale Alimenta</t>
  </si>
  <si>
    <t>Contr. INSS Remuner</t>
  </si>
  <si>
    <t>Tributo IRRF</t>
  </si>
  <si>
    <t>habibs</t>
  </si>
  <si>
    <t>agua / bolacha</t>
  </si>
  <si>
    <t>lava carro</t>
  </si>
  <si>
    <t>carro</t>
  </si>
  <si>
    <t>cd seara urbana</t>
  </si>
  <si>
    <t>pagar mae</t>
  </si>
  <si>
    <t>café padaria</t>
  </si>
  <si>
    <t>feijoada - jocum</t>
  </si>
  <si>
    <t>café capsula</t>
  </si>
  <si>
    <t>café starbucks</t>
  </si>
  <si>
    <t>livro</t>
  </si>
  <si>
    <t>lanche</t>
  </si>
  <si>
    <t xml:space="preserve">TAR PACOTEIU3 MENS ABR16 </t>
  </si>
  <si>
    <t>Assist. Medica Fixa</t>
  </si>
  <si>
    <t xml:space="preserve"> Assist. Medica Dept</t>
  </si>
  <si>
    <t>CONT. CONFEDERATIVA</t>
  </si>
  <si>
    <t>salada de fruta</t>
  </si>
  <si>
    <t>custo desconhecido</t>
  </si>
  <si>
    <t>divergente</t>
  </si>
  <si>
    <t>agua bolacha</t>
  </si>
  <si>
    <t>lanche padaria</t>
  </si>
  <si>
    <t>pastel</t>
  </si>
  <si>
    <t>caldo de cana</t>
  </si>
  <si>
    <t>almoço - dia das maes</t>
  </si>
  <si>
    <t>agua / salada de furta</t>
  </si>
  <si>
    <t>boleto predio ipesp</t>
  </si>
  <si>
    <t>pao</t>
  </si>
  <si>
    <t>pao/queijo</t>
  </si>
  <si>
    <t>diferença</t>
  </si>
  <si>
    <t>feirainha da madrugada</t>
  </si>
  <si>
    <t>socio torcedor - sp</t>
  </si>
  <si>
    <t>socio torcedor</t>
  </si>
  <si>
    <t>taxa conta corrente</t>
  </si>
  <si>
    <t>pedagio campinas</t>
  </si>
  <si>
    <t>agua/chocolate</t>
  </si>
  <si>
    <t>frango</t>
  </si>
  <si>
    <t>chocolate quente</t>
  </si>
  <si>
    <t>chocolate em barra</t>
  </si>
  <si>
    <t>café da manha</t>
  </si>
  <si>
    <t>acaraje metro</t>
  </si>
  <si>
    <t>chocolate metro</t>
  </si>
  <si>
    <t>mocoto</t>
  </si>
  <si>
    <t>chocolate/agua</t>
  </si>
  <si>
    <t>café a tarde</t>
  </si>
  <si>
    <t>gasolina</t>
  </si>
  <si>
    <t>jantar dia dos namorados</t>
  </si>
  <si>
    <t>roupa samuel</t>
  </si>
  <si>
    <t>agua/café</t>
  </si>
  <si>
    <t>agua/bolacha</t>
  </si>
  <si>
    <t>lanche natural</t>
  </si>
  <si>
    <t>frios</t>
  </si>
  <si>
    <t>agua / paozinho croassaint</t>
  </si>
  <si>
    <t>jocum - formatura</t>
  </si>
  <si>
    <t>farmacia - gravidez</t>
  </si>
  <si>
    <t>almoço - aniversario</t>
  </si>
  <si>
    <t>petisco japones</t>
  </si>
  <si>
    <t>kids - tenis samuel</t>
  </si>
  <si>
    <t>yoggi - yogrt</t>
  </si>
  <si>
    <t>sorvete chiquinho</t>
  </si>
  <si>
    <t>biscoito - iwm</t>
  </si>
  <si>
    <t>metro</t>
  </si>
  <si>
    <t>farmacia - samuel remedio</t>
  </si>
  <si>
    <t>lanche tarde</t>
  </si>
  <si>
    <t>Assist. Medica Dept</t>
  </si>
  <si>
    <t>Uti Medica Assoc.</t>
  </si>
  <si>
    <t>bolacha</t>
  </si>
  <si>
    <t>lamapadas carro</t>
  </si>
  <si>
    <t>mac donalds- milk shake</t>
  </si>
  <si>
    <t>cinema</t>
  </si>
  <si>
    <t>pipoca/suco</t>
  </si>
  <si>
    <t>mistura - alcatra/acem</t>
  </si>
  <si>
    <t>boticario</t>
  </si>
  <si>
    <t>centauro tenis</t>
  </si>
  <si>
    <t>lanche subway</t>
  </si>
  <si>
    <t>farmacia - lencinho/ky</t>
  </si>
  <si>
    <t>sobremesa</t>
  </si>
  <si>
    <t>mercado sonda</t>
  </si>
  <si>
    <t>posto gasolina</t>
  </si>
  <si>
    <t>arizona paes</t>
  </si>
  <si>
    <t>multa sp</t>
  </si>
  <si>
    <t>mercado andorinha</t>
  </si>
  <si>
    <t>agua galão</t>
  </si>
  <si>
    <t>livro bebe</t>
  </si>
  <si>
    <t>divergencia</t>
  </si>
  <si>
    <t>camiseta jovens</t>
  </si>
  <si>
    <t>credito celular</t>
  </si>
  <si>
    <t>acessorios celular</t>
  </si>
  <si>
    <t>tatu bola</t>
  </si>
  <si>
    <t>doces</t>
  </si>
  <si>
    <t>costela</t>
  </si>
  <si>
    <t>wendys almoço</t>
  </si>
  <si>
    <t>controle remoto</t>
  </si>
  <si>
    <t>passeio casal</t>
  </si>
  <si>
    <t>bolo</t>
  </si>
  <si>
    <t>parcela celular 1/2</t>
  </si>
  <si>
    <t>almoço paranapiacaba</t>
  </si>
  <si>
    <t>café expresso</t>
  </si>
  <si>
    <t>espeto vila aurora</t>
  </si>
  <si>
    <t>roupa bebe fabio</t>
  </si>
  <si>
    <t>pamonha</t>
  </si>
  <si>
    <t>suco de laranja</t>
  </si>
  <si>
    <t>caldo verde / acareja</t>
  </si>
  <si>
    <t>burger king sorvete</t>
  </si>
  <si>
    <t>lanche ourinhos</t>
  </si>
  <si>
    <t>sorvete / agua</t>
  </si>
  <si>
    <t>bilhete único</t>
  </si>
  <si>
    <t>café/pao na chapa</t>
  </si>
  <si>
    <t>café metro</t>
  </si>
  <si>
    <t>desodorante</t>
  </si>
  <si>
    <t>café wendys</t>
  </si>
  <si>
    <t>lanche wendys</t>
  </si>
  <si>
    <t>lojas americanas</t>
  </si>
  <si>
    <t>bolinho chocolate</t>
  </si>
  <si>
    <t>caldo verde</t>
  </si>
  <si>
    <t>café no metro</t>
  </si>
  <si>
    <t>choclate quente vila olimpia</t>
  </si>
  <si>
    <t>sorvete metro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</si>
  <si>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</si>
  <si>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</si>
  <si>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</si>
  <si>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</si>
  <si>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</si>
  <si>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</si>
  <si>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valor_parcelado</t>
  </si>
  <si>
    <t>semana_credito</t>
  </si>
  <si>
    <t>data_pagamento_credito</t>
  </si>
  <si>
    <t>tipo_credito</t>
  </si>
  <si>
    <t>CAMISAS BREDA</t>
  </si>
  <si>
    <t>PATRICIA PERREIRA 01/03</t>
  </si>
  <si>
    <t>LOJAO DO BRAS 01/02</t>
  </si>
  <si>
    <t>CEA SCN 160</t>
  </si>
  <si>
    <t>PERFUMARIA MALIZIA</t>
  </si>
  <si>
    <t>AUTO ESTIMA</t>
  </si>
  <si>
    <t>K 12</t>
  </si>
  <si>
    <t>WARDY</t>
  </si>
  <si>
    <t>CARMELO SP COMERCIAL L</t>
  </si>
  <si>
    <t>DARIANA MODAS</t>
  </si>
  <si>
    <t>LETICIA ESTHETIC CENTE</t>
  </si>
  <si>
    <t>ANDORINHA SUPERMERCADO</t>
  </si>
  <si>
    <t>LOCALIZA RENT A CAR</t>
  </si>
  <si>
    <t>AUTO POSTO CINCINATTI - localiza</t>
  </si>
  <si>
    <t>PATRICIA PERREIRA 02/03</t>
  </si>
  <si>
    <t>LOJAO DO BRAS 02/02</t>
  </si>
  <si>
    <t>PATRICIA PERREIRA 03/03</t>
  </si>
  <si>
    <t>TIM LIBERTY EXPRESS*2v5</t>
  </si>
  <si>
    <t>PIZZARIA LUAR</t>
  </si>
  <si>
    <t>AUTO POSTO PRAIAS</t>
  </si>
  <si>
    <t>ARIZONA PAES</t>
  </si>
  <si>
    <t>AUTO POSTO CINCINATTI</t>
  </si>
  <si>
    <t>ADAIR BISPO MIRANDA</t>
  </si>
  <si>
    <t>RESTAURANTE ZININ</t>
  </si>
  <si>
    <t>CARREFOUR BTU</t>
  </si>
  <si>
    <t>P DOCES NOBRE PAULISTA</t>
  </si>
  <si>
    <t>BURO S BOMBONIERE</t>
  </si>
  <si>
    <t>DROGASIL 038</t>
  </si>
  <si>
    <t>VARANDA FRUTAS V OLIMP</t>
  </si>
  <si>
    <t>PADARIA NOBRE PAULISTA</t>
  </si>
  <si>
    <t>AMERICANAS.COM</t>
  </si>
  <si>
    <t>BEBE MIX</t>
  </si>
  <si>
    <t>SHOW DE CALCADOS INFAN</t>
  </si>
  <si>
    <t>MARTELO FERRAGENS</t>
  </si>
  <si>
    <t>RV COMERCIO E ASSISTEN</t>
  </si>
  <si>
    <t>LINHEIRA</t>
  </si>
  <si>
    <t>NIAZI CHOHFI</t>
  </si>
  <si>
    <t>GENEBRA COMERCIO E01/02</t>
  </si>
  <si>
    <t>GENEBRA COMERCIO E02/02</t>
  </si>
  <si>
    <t>CONFECCOES CAEDU</t>
  </si>
  <si>
    <t>NETFLIX.COM</t>
  </si>
  <si>
    <t>PARADA OBRIGATORIA</t>
  </si>
  <si>
    <t>POSTO ALCATRAZES</t>
  </si>
  <si>
    <t>ARIZONA PAES E DOCES</t>
  </si>
  <si>
    <t>ARBYS SUPER LANCHES - habibs</t>
  </si>
  <si>
    <t>RAGAZZO</t>
  </si>
  <si>
    <t>THE FIFTIES VL OLIMPIA</t>
  </si>
  <si>
    <t>AUTO ESCOLA ROGERI01/03</t>
  </si>
  <si>
    <t>auto escola</t>
  </si>
  <si>
    <t>Academia 1/12</t>
  </si>
  <si>
    <t>Academia 2/12</t>
  </si>
  <si>
    <t>Academia 3/12</t>
  </si>
  <si>
    <t>Academia 4/12</t>
  </si>
  <si>
    <t>Academia 5/12</t>
  </si>
  <si>
    <t>Academia 6/12</t>
  </si>
  <si>
    <t>KID STOKE-TATUAPE</t>
  </si>
  <si>
    <t>FLUOR 01/02</t>
  </si>
  <si>
    <t>AUTO ESCOLA ROGERI02/03</t>
  </si>
  <si>
    <t>AUTO ESCOLA ROGERI03/03</t>
  </si>
  <si>
    <t>FLUOR 02/02</t>
  </si>
  <si>
    <t>AUTO POSTO LUTAIF</t>
  </si>
  <si>
    <t>FUNDACAO ABRINQ PELOS</t>
  </si>
  <si>
    <t>ITAU SEGUROS AUTO</t>
  </si>
  <si>
    <t>POSTO DE SERVICOS AVAN</t>
  </si>
  <si>
    <t>SUPER TROCA DE OLEO</t>
  </si>
  <si>
    <t>Parcelamento 1/4</t>
  </si>
  <si>
    <t>parcelamento</t>
  </si>
  <si>
    <t>Parcelamento 2/4</t>
  </si>
  <si>
    <t>Parcelamento 3/4</t>
  </si>
  <si>
    <t>Parcelamento 4/4</t>
  </si>
  <si>
    <t>previsao de consumo credito</t>
  </si>
  <si>
    <t>previsao</t>
  </si>
  <si>
    <t>CENTRO AUTOMOTIVO AGUA</t>
  </si>
  <si>
    <t>LOJAS AMERICANAS 73</t>
  </si>
  <si>
    <t>RESTAURANTE JUNN</t>
  </si>
  <si>
    <t>CHUR BELA RIO</t>
  </si>
  <si>
    <t>PEDRO ANTONIO PEREIRA</t>
  </si>
  <si>
    <t>MARCOS TONOUTI ME</t>
  </si>
  <si>
    <t>PLAY BALL</t>
  </si>
  <si>
    <t>UNIDOS DA VILA</t>
  </si>
  <si>
    <t>HORTIFRUT ERA VEGETAL</t>
  </si>
  <si>
    <t>EMPORIO BAGACA</t>
  </si>
  <si>
    <t>PEIXARIA IRMAOS HAMADA</t>
  </si>
  <si>
    <t>NINA MODAS</t>
  </si>
  <si>
    <t>FAMILIA CHOCO OLIVEIRA</t>
  </si>
  <si>
    <t>KI GRACINHA</t>
  </si>
  <si>
    <t>CELERO DA FAZENDA</t>
  </si>
  <si>
    <t>BAR DO CARDOSO</t>
  </si>
  <si>
    <t>ZAZZA ROTISSERIE</t>
  </si>
  <si>
    <t>JOSE A DE GOUVEIA</t>
  </si>
  <si>
    <t>ANTONIO M S RODRIGUES</t>
  </si>
  <si>
    <t>DROGASIL 581</t>
  </si>
  <si>
    <t>DELICIAS FEFE</t>
  </si>
  <si>
    <t>TATU BOLA BAR</t>
  </si>
  <si>
    <t>ALIMAND</t>
  </si>
  <si>
    <t>SUELI MAEDA</t>
  </si>
  <si>
    <t>LELU LANC E SORVETES</t>
  </si>
  <si>
    <t>BISCOLLA COM MATERIAIS</t>
  </si>
  <si>
    <t>MERCADOPAGO</t>
  </si>
  <si>
    <t>PICATTA AREPERIA SP</t>
  </si>
  <si>
    <t>MARCOS LUIS PEREIRA</t>
  </si>
  <si>
    <t>JOSE EDUARDO GALVAO BU</t>
  </si>
  <si>
    <t>PAGSEGUROUOL*DASEIS</t>
  </si>
  <si>
    <t>ISABELA TODA AMERICANO</t>
  </si>
  <si>
    <t>KS FOODS IND E COM</t>
  </si>
  <si>
    <t>LCH CONVENIENCIA</t>
  </si>
  <si>
    <t>CANTINA PRIETO</t>
  </si>
  <si>
    <t>SONDA SUPERMERCADOS</t>
  </si>
  <si>
    <t>LA FLORESTA</t>
  </si>
  <si>
    <t>HAAGEN-DAZS VILA OLIMP</t>
  </si>
  <si>
    <t>FARMAIS DROGARIA</t>
  </si>
  <si>
    <t>FAST SHOP 01/03</t>
  </si>
  <si>
    <t>FAST SHOP 02/03</t>
  </si>
  <si>
    <t>FAST SHOP 03/03</t>
  </si>
  <si>
    <t>OFNER</t>
  </si>
  <si>
    <t>ALO BEBE</t>
  </si>
  <si>
    <t>ESTACIONAMENTO LAR CEN</t>
  </si>
  <si>
    <t>RICARDO ISSAMU IZUMI</t>
  </si>
  <si>
    <t>FRYS CENTER NORTE</t>
  </si>
  <si>
    <t>STILO KARIA PIZZA</t>
  </si>
  <si>
    <t>AGOSTINI CENTRO AU01/02 bateria</t>
  </si>
  <si>
    <t>PROMOFARMA TUCURUVI</t>
  </si>
  <si>
    <t>AGOSTINI CENTRO AU02/02</t>
  </si>
  <si>
    <t>CREMA ITALIANA COMERCI</t>
  </si>
  <si>
    <t>BELLA ATALIBA P DOCES</t>
  </si>
  <si>
    <t>POSTO TUPAN</t>
  </si>
  <si>
    <t>KI GRACINHA 01/02</t>
  </si>
  <si>
    <t>KI GRACINHA 02/02</t>
  </si>
  <si>
    <t>aluguel de casa</t>
  </si>
  <si>
    <t>TAKA TAKA CALCADOS</t>
  </si>
  <si>
    <t>AUTOMOTIVO TANGERINAS</t>
  </si>
  <si>
    <t>CENTURY PAES E DOCES L</t>
  </si>
  <si>
    <t>SKALA PARKING</t>
  </si>
  <si>
    <t>PAD CONF JD BRASIL</t>
  </si>
  <si>
    <t>CENTRO AUTOMOTIVO AGUA - refri</t>
  </si>
  <si>
    <t>ESTRELA DA OLIMPIA</t>
  </si>
  <si>
    <t>SONDA TREMEMBE</t>
  </si>
  <si>
    <t>FERNANDA PAULA RODRIGU - almoço</t>
  </si>
  <si>
    <t>STARBUCKS BRASIL COMER</t>
  </si>
  <si>
    <t>ALIMAND - lanche</t>
  </si>
  <si>
    <t>MC DONALDS SHOPP VILA</t>
  </si>
  <si>
    <t>PIZZA HUT 6</t>
  </si>
  <si>
    <t>JUROS PAGAMENTO CONTAS</t>
  </si>
  <si>
    <t>HERKOLS ACADEMIA</t>
  </si>
  <si>
    <t>parcelamento 1/4</t>
  </si>
  <si>
    <t>parcelamento 2/4</t>
  </si>
  <si>
    <t>IOF PARCELAMENTO FATURA</t>
  </si>
  <si>
    <t>descricao</t>
  </si>
  <si>
    <t>qtde</t>
  </si>
  <si>
    <t>data_compra</t>
  </si>
  <si>
    <t>valor unitarioa</t>
  </si>
  <si>
    <t>valor</t>
  </si>
  <si>
    <t>departamento</t>
  </si>
  <si>
    <t>fator_calculo</t>
  </si>
  <si>
    <t>data_pagamento</t>
  </si>
  <si>
    <t>forma_pagto</t>
  </si>
  <si>
    <t>mês</t>
  </si>
  <si>
    <t>saldo inicial</t>
  </si>
  <si>
    <t>custo realizado</t>
  </si>
  <si>
    <t>custo pendente</t>
  </si>
  <si>
    <t>imposto da folha pg</t>
  </si>
  <si>
    <t>custo total</t>
  </si>
  <si>
    <t>saldo</t>
  </si>
  <si>
    <t>previsão economia</t>
  </si>
  <si>
    <t>descricao custo</t>
  </si>
  <si>
    <t>valor custo</t>
  </si>
  <si>
    <t>data custo</t>
  </si>
  <si>
    <t>data salario</t>
  </si>
  <si>
    <t>-</t>
  </si>
  <si>
    <t>perua</t>
  </si>
  <si>
    <t>natacao</t>
  </si>
  <si>
    <t>rexona</t>
  </si>
  <si>
    <t>imposto IRPJ 10/2013</t>
  </si>
  <si>
    <t>percentual</t>
  </si>
  <si>
    <t>imposto IRPJ 01/2014</t>
  </si>
  <si>
    <t>csll</t>
  </si>
  <si>
    <t>imposto IRPJ 04/2014</t>
  </si>
  <si>
    <t>irpj</t>
  </si>
  <si>
    <t>imposto CSLL 10/2013</t>
  </si>
  <si>
    <t>contribuicao previdencia fatura brut</t>
  </si>
  <si>
    <t>imposto CSLL 01/2014</t>
  </si>
  <si>
    <t>iss</t>
  </si>
  <si>
    <t>imposto CSLL 04/2014</t>
  </si>
  <si>
    <t>pis</t>
  </si>
  <si>
    <t>imposto CONTRIB 10/2013</t>
  </si>
  <si>
    <t>confis</t>
  </si>
  <si>
    <t>imposto CONTRIB 12/2013</t>
  </si>
  <si>
    <t>IR</t>
  </si>
  <si>
    <t>imposto CONTRIB 04/2014</t>
  </si>
  <si>
    <t>imposto CONTRIB 05/2014</t>
  </si>
  <si>
    <t>iss 03/2014</t>
  </si>
  <si>
    <t>csll tri 03/2014</t>
  </si>
  <si>
    <t>irpj 03/2014</t>
  </si>
  <si>
    <t>iss 04/2014</t>
  </si>
  <si>
    <t>csll tri 04/2014</t>
  </si>
  <si>
    <t>irpj 04/2014</t>
  </si>
  <si>
    <t>iss 05/2014</t>
  </si>
  <si>
    <t>csll tri 05/2014</t>
  </si>
  <si>
    <t>irpj 05/2014</t>
  </si>
  <si>
    <t>iss 06/2014</t>
  </si>
  <si>
    <t>csll tri 06/2014</t>
  </si>
  <si>
    <t>irpj 06/2014</t>
  </si>
  <si>
    <t>iss 07/2014</t>
  </si>
  <si>
    <t>csll tri 07/2014</t>
  </si>
  <si>
    <t>irpj 07/2014</t>
  </si>
  <si>
    <t>iss 08/2014</t>
  </si>
  <si>
    <t>csll tri 08/2014</t>
  </si>
  <si>
    <t>irpj 08/2014</t>
  </si>
  <si>
    <t>iss 09/2014</t>
  </si>
  <si>
    <t>csll tri 09/2014</t>
  </si>
  <si>
    <t>irpj 09/2014</t>
  </si>
  <si>
    <t>iss 10/2014</t>
  </si>
  <si>
    <t>csll tri 10/2014</t>
  </si>
  <si>
    <t>irpj 10/2014</t>
  </si>
  <si>
    <t>multas municipal</t>
  </si>
  <si>
    <t>multas DER</t>
  </si>
  <si>
    <t>Multas DETRAN</t>
  </si>
  <si>
    <t>LICENCIAMENTO</t>
  </si>
  <si>
    <t>ipva 2010</t>
  </si>
  <si>
    <t>moto</t>
  </si>
  <si>
    <t>ipva 2011</t>
  </si>
  <si>
    <t>ipva 2012</t>
  </si>
  <si>
    <t>ipva 2013</t>
  </si>
  <si>
    <t>ipva 2014</t>
  </si>
  <si>
    <t>dpvat 2013</t>
  </si>
  <si>
    <t>dpvat 2014</t>
  </si>
  <si>
    <t>debito</t>
  </si>
  <si>
    <t>importante</t>
  </si>
  <si>
    <t>juros</t>
  </si>
  <si>
    <t>sptrasnp</t>
  </si>
  <si>
    <t>tx conta</t>
  </si>
  <si>
    <t>cafézinho - vl olimpia</t>
  </si>
  <si>
    <t>mercado vl olimpia</t>
  </si>
  <si>
    <t>padaria - mandaqui</t>
  </si>
  <si>
    <t>doceria metro</t>
  </si>
  <si>
    <t>almoço - quinta</t>
  </si>
  <si>
    <t>almoço - sexta</t>
  </si>
  <si>
    <t>suco bagaço - tatuape</t>
  </si>
  <si>
    <t>padaria - arizona</t>
  </si>
  <si>
    <t>sorvete - noite</t>
  </si>
  <si>
    <t>pizza</t>
  </si>
  <si>
    <t>farmacia - nebaciti</t>
  </si>
  <si>
    <t>doces saida do trampo</t>
  </si>
  <si>
    <t>padaria - noite</t>
  </si>
  <si>
    <t>padaria manha</t>
  </si>
  <si>
    <t>farmacia - noite</t>
  </si>
  <si>
    <t>farmacia - manha</t>
  </si>
  <si>
    <t>farmacia - celular</t>
  </si>
  <si>
    <t>almoço - mocoto</t>
  </si>
  <si>
    <t>mc donalds - noite</t>
  </si>
  <si>
    <t>doces tucuruvi</t>
  </si>
  <si>
    <t>cond</t>
  </si>
  <si>
    <t>urgente</t>
  </si>
  <si>
    <t>limite usado</t>
  </si>
  <si>
    <t>emprestimo1</t>
  </si>
  <si>
    <t>emprestimo2</t>
  </si>
  <si>
    <t>emprestimo3</t>
  </si>
  <si>
    <t>cond atrso</t>
  </si>
  <si>
    <t>pao de queijo</t>
  </si>
  <si>
    <t>bezerra(2x380)</t>
  </si>
  <si>
    <t>padaria arizona</t>
  </si>
  <si>
    <t>agua padaria</t>
  </si>
  <si>
    <t>CASA DAS ALIANCAS 02/02</t>
  </si>
  <si>
    <t>WORLD TENIS 02/02</t>
  </si>
  <si>
    <t>CENTRO AUTOMOTIVO 02/02</t>
  </si>
  <si>
    <t>SONDA SUPERMERCADO02/02</t>
  </si>
  <si>
    <t>km</t>
  </si>
  <si>
    <t>litro</t>
  </si>
  <si>
    <t>preço/litro</t>
  </si>
  <si>
    <t>litro real</t>
  </si>
  <si>
    <t>kmpercorrido</t>
  </si>
  <si>
    <t>data</t>
  </si>
  <si>
    <t>valida</t>
  </si>
  <si>
    <t>preço dif</t>
  </si>
  <si>
    <t>s</t>
  </si>
  <si>
    <t>total</t>
  </si>
  <si>
    <t>media / custo</t>
  </si>
  <si>
    <t>media / litro</t>
  </si>
  <si>
    <t>media / pr litro</t>
  </si>
  <si>
    <t>media / km</t>
  </si>
  <si>
    <t>cada litro faz(km)</t>
  </si>
  <si>
    <t>cada km percorrido custa($)</t>
  </si>
  <si>
    <t>valor pago</t>
  </si>
  <si>
    <t>para percorrer min são ltrs</t>
  </si>
  <si>
    <t>km iniciado</t>
  </si>
  <si>
    <t>km abastecido</t>
  </si>
  <si>
    <t>pedagio volta</t>
  </si>
  <si>
    <t>pedagio ida</t>
  </si>
  <si>
    <t>descrição</t>
  </si>
  <si>
    <t>dia</t>
  </si>
  <si>
    <t>valor bruto</t>
  </si>
  <si>
    <t>valor desconto</t>
  </si>
  <si>
    <t>valor liquido</t>
  </si>
  <si>
    <t>valor disponivel</t>
  </si>
  <si>
    <t>DRE9087</t>
  </si>
  <si>
    <t>DETRAN-SP</t>
  </si>
  <si>
    <t>IPVA</t>
  </si>
  <si>
    <t>MULTAS</t>
  </si>
  <si>
    <t>IPVA SP</t>
  </si>
  <si>
    <t>TAXA 2015</t>
  </si>
  <si>
    <t>TAXA 2014</t>
  </si>
  <si>
    <t>DPVAT</t>
  </si>
  <si>
    <t>multas munici</t>
  </si>
  <si>
    <t>multas der</t>
  </si>
  <si>
    <t>multas detran</t>
  </si>
  <si>
    <t>PREFEITURA SP</t>
  </si>
  <si>
    <t>renavam</t>
  </si>
  <si>
    <t>divida ativa</t>
  </si>
  <si>
    <t>ipva</t>
  </si>
  <si>
    <t>dpvat</t>
  </si>
  <si>
    <t>taxas</t>
  </si>
  <si>
    <t>empresa</t>
  </si>
  <si>
    <t>TIM LIBERTY EXPRESS*2hh</t>
  </si>
  <si>
    <t>bebe magazine 02/02</t>
  </si>
  <si>
    <t>dariana modas roupa intima 2/2</t>
  </si>
  <si>
    <t>CIRURGICA MARTINELLI</t>
  </si>
  <si>
    <t>nova bebe enxoval 2/2</t>
  </si>
  <si>
    <t>enxovais torre 2/2</t>
  </si>
  <si>
    <t>perfumaria 200 lj 01/02</t>
  </si>
  <si>
    <t>podologoa - cuidar dos pes</t>
  </si>
  <si>
    <t>J CERQUEIRA</t>
  </si>
  <si>
    <t>CENTURY</t>
  </si>
  <si>
    <t>ADIDAS-SHOP.D 01/03</t>
  </si>
  <si>
    <t>MANDRAKE COM.DE CHOCOL</t>
  </si>
  <si>
    <t>iss - boleto - 2%</t>
  </si>
  <si>
    <t>prev social - inss 08/2012</t>
  </si>
  <si>
    <t>RFB - Darf - 2089 31/12/2014</t>
  </si>
  <si>
    <t>RFB - Darf - 2089 30/09/2013</t>
  </si>
  <si>
    <t>RFB - Darf - 2372 30/09/2013</t>
  </si>
  <si>
    <t>RFB - Darf - 2372 31/12/2013</t>
  </si>
  <si>
    <t>RFB - Darf - 2985 30/11/2013</t>
  </si>
  <si>
    <t>RFB - Darf - 2985 30/09/2013</t>
  </si>
  <si>
    <t>Evento</t>
  </si>
  <si>
    <t>Ref.</t>
  </si>
  <si>
    <t>Proventos</t>
  </si>
  <si>
    <t>Descontos</t>
  </si>
  <si>
    <t>Salário Bruto</t>
  </si>
  <si>
    <t>INSS</t>
  </si>
  <si>
    <t>dependetes</t>
  </si>
  <si>
    <t>IRRF</t>
  </si>
  <si>
    <t>Totais</t>
  </si>
  <si>
    <t>doação</t>
  </si>
  <si>
    <t>saude</t>
  </si>
  <si>
    <t>roupa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</si>
</sst>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/m/yyyy"/>
    <numFmt numFmtId="165" formatCode="d/mmm"/>
    <numFmt numFmtId="166" formatCode="_(&quot;R$ &quot;* #,##0.00_);_(&quot;R$ &quot;* \(#,##0.00\);_(&quot;R$ &quot;* \-??_);_(@_)"/>
    <numFmt numFmtId="167" formatCode="_-* #,##0.00_-;\-* #,##0.00_-;_-* \-??_-;_-@_-"/>
    <numFmt numFmtId="168" formatCode="&quot;R$ &quot;#,##0.00;[Red]&quot;-R$ &quot;#,##0.00"/>
  </numFmts>
  <fonts count="14" x14ac:knownFonts="1"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10"/>
      <color rgb="FF333333"/>
      <name val="Arial"/>
      <family val="2"/>
      <charset val="1"/>
    </font>
    <font>
      <sz val="8"/>
      <name val="Arial"/>
      <family val="2"/>
      <charset val="1"/>
    </font>
    <font>
      <sz val="8"/>
      <color rgb="FF333333"/>
      <name val="Arial"/>
      <family val="2"/>
      <charset val="1"/>
    </font>
    <font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002060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1"/>
      <color rgb="FF333333"/>
      <name val="Arial"/>
      <family val="2"/>
      <charset val="1"/>
    </font>
    <font>
      <sz val="11"/>
      <color rgb="FF333333"/>
      <name val="Arial"/>
      <family val="2"/>
      <charset val="1"/>
    </font>
    <font>
      <sz val="9"/>
      <color rgb="FF333333"/>
      <name val="Arial"/>
      <family val="2"/>
      <charset val="1"/>
    </font>
    <font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DDDDDD"/>
      </patternFill>
    </fill>
    <fill>
      <patternFill patternType="solid">
        <fgColor rgb="FFFFFF00"/>
        <bgColor rgb="FFFFFF00"/>
      </patternFill>
    </fill>
    <fill>
      <patternFill patternType="solid">
        <fgColor rgb="FFBFBFBF"/>
        <bgColor rgb="FFA6A6A6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FFFFFF"/>
        <bgColor rgb="FFF2F2F2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2">
    <xf numFmtId="0" fontId="0" fillId="0" borderId="0"/>
    <xf numFmtId="166" fontId="13" fillId="0" borderId="0" applyBorder="0" applyProtection="0"/>
  </cellStyleXfs>
  <cellXfs count="139">
    <xf numFmtId="0" fontId="0" fillId="0" borderId="0" xfId="0"/>
    <xf numFmtId="164" fontId="0" fillId="0" borderId="0" xfId="0" applyNumberFormat="1"/>
    <xf numFmtId="164" fontId="0" fillId="0" borderId="0" xfId="0" applyNumberFormat="1" applyFont="1"/>
    <xf numFmtId="0" fontId="0" fillId="0" borderId="0" xfId="0" applyFont="1"/>
    <xf numFmtId="2" fontId="0" fillId="0" borderId="0" xfId="0" applyNumberFormat="1" applyFont="1"/>
    <xf numFmtId="2" fontId="0" fillId="0" borderId="0" xfId="0" applyNumberFormat="1"/>
    <xf numFmtId="0" fontId="0" fillId="2" borderId="0" xfId="0" applyFont="1" applyFill="1"/>
    <xf numFmtId="0" fontId="0" fillId="2" borderId="0" xfId="0" applyFill="1"/>
    <xf numFmtId="164" fontId="0" fillId="2" borderId="0" xfId="0" applyNumberFormat="1" applyFill="1"/>
    <xf numFmtId="0" fontId="1" fillId="3" borderId="0" xfId="0" applyFont="1" applyFill="1"/>
    <xf numFmtId="164" fontId="0" fillId="3" borderId="0" xfId="0" applyNumberFormat="1" applyFill="1"/>
    <xf numFmtId="164" fontId="1" fillId="3" borderId="0" xfId="0" applyNumberFormat="1" applyFont="1" applyFill="1"/>
    <xf numFmtId="0" fontId="0" fillId="3" borderId="0" xfId="0" applyFont="1" applyFill="1"/>
    <xf numFmtId="0" fontId="0" fillId="3" borderId="0" xfId="0" applyFill="1"/>
    <xf numFmtId="2" fontId="0" fillId="2" borderId="0" xfId="0" applyNumberFormat="1" applyFill="1"/>
    <xf numFmtId="0" fontId="2" fillId="0" borderId="0" xfId="0" applyFont="1"/>
    <xf numFmtId="0" fontId="1" fillId="0" borderId="0" xfId="0" applyFont="1"/>
    <xf numFmtId="164" fontId="1" fillId="0" borderId="0" xfId="0" applyNumberFormat="1" applyFont="1"/>
    <xf numFmtId="0" fontId="0" fillId="4" borderId="0" xfId="0" applyFont="1" applyFill="1"/>
    <xf numFmtId="164" fontId="0" fillId="4" borderId="0" xfId="0" applyNumberFormat="1" applyFont="1" applyFill="1"/>
    <xf numFmtId="0" fontId="1" fillId="4" borderId="0" xfId="0" applyFont="1" applyFill="1"/>
    <xf numFmtId="164" fontId="1" fillId="4" borderId="0" xfId="0" applyNumberFormat="1" applyFont="1" applyFill="1"/>
    <xf numFmtId="164" fontId="0" fillId="3" borderId="0" xfId="0" applyNumberFormat="1" applyFont="1" applyFill="1"/>
    <xf numFmtId="0" fontId="1" fillId="2" borderId="0" xfId="0" applyFont="1" applyFill="1"/>
    <xf numFmtId="164" fontId="1" fillId="2" borderId="0" xfId="0" applyNumberFormat="1" applyFont="1" applyFill="1"/>
    <xf numFmtId="164" fontId="1" fillId="5" borderId="0" xfId="0" applyNumberFormat="1" applyFont="1" applyFill="1"/>
    <xf numFmtId="0" fontId="0" fillId="5" borderId="0" xfId="0" applyFont="1" applyFill="1"/>
    <xf numFmtId="0" fontId="1" fillId="5" borderId="0" xfId="0" applyFont="1" applyFill="1"/>
    <xf numFmtId="0" fontId="0" fillId="0" borderId="0" xfId="0" applyFont="1" applyBorder="1"/>
    <xf numFmtId="164" fontId="0" fillId="0" borderId="0" xfId="0" applyNumberFormat="1" applyFont="1" applyBorder="1"/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right" vertical="center" wrapText="1"/>
    </xf>
    <xf numFmtId="164" fontId="3" fillId="0" borderId="0" xfId="0" applyNumberFormat="1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right" vertical="center" wrapText="1"/>
    </xf>
    <xf numFmtId="0" fontId="0" fillId="0" borderId="0" xfId="0" applyBorder="1"/>
    <xf numFmtId="164" fontId="4" fillId="0" borderId="0" xfId="0" applyNumberFormat="1" applyFont="1" applyBorder="1" applyAlignment="1">
      <alignment horizontal="left" vertical="center" wrapText="1"/>
    </xf>
    <xf numFmtId="164" fontId="0" fillId="0" borderId="0" xfId="0" applyNumberFormat="1" applyFont="1" applyBorder="1" applyAlignment="1">
      <alignment horizontal="right"/>
    </xf>
    <xf numFmtId="164" fontId="0" fillId="0" borderId="0" xfId="0" applyNumberFormat="1" applyBorder="1"/>
    <xf numFmtId="0" fontId="4" fillId="0" borderId="0" xfId="0" applyFont="1" applyBorder="1"/>
    <xf numFmtId="164" fontId="0" fillId="0" borderId="0" xfId="0" applyNumberFormat="1" applyFont="1" applyBorder="1" applyAlignment="1">
      <alignment horizontal="left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right" vertical="center" wrapText="1"/>
    </xf>
    <xf numFmtId="0" fontId="6" fillId="0" borderId="0" xfId="0" applyFont="1" applyBorder="1"/>
    <xf numFmtId="164" fontId="6" fillId="0" borderId="0" xfId="0" applyNumberFormat="1" applyFont="1" applyBorder="1"/>
    <xf numFmtId="164" fontId="5" fillId="0" borderId="0" xfId="0" applyNumberFormat="1" applyFont="1" applyBorder="1" applyAlignment="1">
      <alignment horizontal="left" vertical="center" wrapText="1"/>
    </xf>
    <xf numFmtId="4" fontId="3" fillId="0" borderId="0" xfId="0" applyNumberFormat="1" applyFont="1" applyBorder="1" applyAlignment="1">
      <alignment horizontal="right" vertical="center" wrapText="1"/>
    </xf>
    <xf numFmtId="165" fontId="3" fillId="0" borderId="0" xfId="0" applyNumberFormat="1" applyFont="1" applyBorder="1" applyAlignment="1">
      <alignment horizontal="left" vertical="center" wrapText="1"/>
    </xf>
    <xf numFmtId="2" fontId="3" fillId="0" borderId="0" xfId="0" applyNumberFormat="1" applyFont="1" applyBorder="1" applyAlignment="1">
      <alignment horizontal="right" vertical="center" wrapText="1"/>
    </xf>
    <xf numFmtId="0" fontId="7" fillId="0" borderId="0" xfId="0" applyFont="1" applyBorder="1"/>
    <xf numFmtId="0" fontId="1" fillId="0" borderId="0" xfId="0" applyFont="1" applyBorder="1"/>
    <xf numFmtId="165" fontId="4" fillId="0" borderId="0" xfId="0" applyNumberFormat="1" applyFont="1" applyBorder="1" applyAlignment="1">
      <alignment horizontal="left" vertical="center" wrapText="1"/>
    </xf>
    <xf numFmtId="166" fontId="0" fillId="0" borderId="0" xfId="1" applyFont="1" applyBorder="1" applyAlignment="1" applyProtection="1"/>
    <xf numFmtId="166" fontId="1" fillId="0" borderId="0" xfId="1" applyFont="1" applyBorder="1" applyAlignment="1" applyProtection="1"/>
    <xf numFmtId="166" fontId="0" fillId="0" borderId="0" xfId="0" applyNumberFormat="1"/>
    <xf numFmtId="166" fontId="1" fillId="0" borderId="0" xfId="0" applyNumberFormat="1" applyFont="1"/>
    <xf numFmtId="167" fontId="1" fillId="0" borderId="0" xfId="0" applyNumberFormat="1" applyFont="1"/>
    <xf numFmtId="167" fontId="0" fillId="0" borderId="0" xfId="0" applyNumberFormat="1"/>
    <xf numFmtId="0" fontId="8" fillId="0" borderId="1" xfId="0" applyFont="1" applyBorder="1"/>
    <xf numFmtId="0" fontId="0" fillId="0" borderId="1" xfId="0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166" fontId="0" fillId="0" borderId="5" xfId="1" applyFont="1" applyBorder="1" applyAlignment="1" applyProtection="1"/>
    <xf numFmtId="2" fontId="0" fillId="0" borderId="6" xfId="0" applyNumberFormat="1" applyBorder="1"/>
    <xf numFmtId="166" fontId="0" fillId="0" borderId="1" xfId="1" applyFont="1" applyBorder="1" applyAlignment="1" applyProtection="1"/>
    <xf numFmtId="2" fontId="0" fillId="0" borderId="7" xfId="0" applyNumberFormat="1" applyBorder="1"/>
    <xf numFmtId="166" fontId="0" fillId="0" borderId="8" xfId="1" applyFont="1" applyBorder="1" applyAlignment="1" applyProtection="1"/>
    <xf numFmtId="2" fontId="0" fillId="0" borderId="9" xfId="0" applyNumberFormat="1" applyBorder="1"/>
    <xf numFmtId="0" fontId="9" fillId="0" borderId="0" xfId="0" applyFont="1"/>
    <xf numFmtId="0" fontId="0" fillId="5" borderId="0" xfId="0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6" borderId="1" xfId="0" applyFont="1" applyFill="1" applyBorder="1" applyAlignment="1">
      <alignment horizontal="left"/>
    </xf>
    <xf numFmtId="0" fontId="0" fillId="6" borderId="1" xfId="0" applyFont="1" applyFill="1" applyBorder="1" applyAlignment="1">
      <alignment horizontal="center"/>
    </xf>
    <xf numFmtId="0" fontId="0" fillId="6" borderId="1" xfId="0" applyFont="1" applyFill="1" applyBorder="1"/>
    <xf numFmtId="0" fontId="0" fillId="6" borderId="1" xfId="1" applyNumberFormat="1" applyFont="1" applyFill="1" applyBorder="1" applyAlignment="1" applyProtection="1">
      <alignment horizontal="center"/>
    </xf>
    <xf numFmtId="0" fontId="6" fillId="0" borderId="1" xfId="0" applyFont="1" applyBorder="1" applyAlignment="1">
      <alignment horizontal="left"/>
    </xf>
    <xf numFmtId="166" fontId="9" fillId="0" borderId="1" xfId="1" applyFont="1" applyBorder="1" applyAlignment="1" applyProtection="1">
      <alignment horizontal="center"/>
    </xf>
    <xf numFmtId="0" fontId="0" fillId="5" borderId="1" xfId="1" applyNumberFormat="1" applyFont="1" applyFill="1" applyBorder="1" applyAlignment="1" applyProtection="1">
      <alignment horizontal="center"/>
    </xf>
    <xf numFmtId="0" fontId="6" fillId="5" borderId="1" xfId="1" applyNumberFormat="1" applyFont="1" applyFill="1" applyBorder="1" applyAlignment="1" applyProtection="1">
      <alignment horizontal="center"/>
    </xf>
    <xf numFmtId="0" fontId="0" fillId="5" borderId="1" xfId="0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166" fontId="9" fillId="0" borderId="1" xfId="1" applyFont="1" applyBorder="1" applyAlignment="1" applyProtection="1"/>
    <xf numFmtId="0" fontId="0" fillId="0" borderId="1" xfId="0" applyFont="1" applyBorder="1"/>
    <xf numFmtId="0" fontId="0" fillId="7" borderId="1" xfId="0" applyFont="1" applyFill="1" applyBorder="1" applyAlignment="1">
      <alignment horizontal="left"/>
    </xf>
    <xf numFmtId="166" fontId="9" fillId="7" borderId="1" xfId="1" applyFont="1" applyFill="1" applyBorder="1" applyAlignment="1" applyProtection="1">
      <alignment horizontal="center"/>
    </xf>
    <xf numFmtId="0" fontId="0" fillId="5" borderId="1" xfId="0" applyFont="1" applyFill="1" applyBorder="1" applyAlignment="1">
      <alignment horizontal="center"/>
    </xf>
    <xf numFmtId="165" fontId="0" fillId="7" borderId="1" xfId="0" applyNumberFormat="1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166" fontId="1" fillId="7" borderId="1" xfId="1" applyFont="1" applyFill="1" applyBorder="1" applyAlignment="1" applyProtection="1">
      <alignment horizontal="center"/>
    </xf>
    <xf numFmtId="0" fontId="0" fillId="7" borderId="1" xfId="0" applyFont="1" applyFill="1" applyBorder="1"/>
    <xf numFmtId="166" fontId="9" fillId="7" borderId="1" xfId="1" applyFont="1" applyFill="1" applyBorder="1" applyAlignment="1" applyProtection="1"/>
    <xf numFmtId="166" fontId="9" fillId="7" borderId="1" xfId="1" applyFont="1" applyFill="1" applyBorder="1" applyAlignment="1" applyProtection="1">
      <alignment horizontal="left" vertical="center" wrapText="1"/>
    </xf>
    <xf numFmtId="166" fontId="9" fillId="7" borderId="1" xfId="1" applyFont="1" applyFill="1" applyBorder="1" applyAlignment="1" applyProtection="1">
      <alignment horizontal="left"/>
    </xf>
    <xf numFmtId="0" fontId="3" fillId="7" borderId="1" xfId="0" applyFont="1" applyFill="1" applyBorder="1" applyAlignment="1">
      <alignment horizontal="left"/>
    </xf>
    <xf numFmtId="166" fontId="9" fillId="7" borderId="1" xfId="1" applyFont="1" applyFill="1" applyBorder="1" applyAlignment="1" applyProtection="1">
      <alignment horizontal="left" wrapText="1"/>
    </xf>
    <xf numFmtId="0" fontId="0" fillId="5" borderId="1" xfId="0" applyFont="1" applyFill="1" applyBorder="1"/>
    <xf numFmtId="0" fontId="0" fillId="5" borderId="1" xfId="0" applyFill="1" applyBorder="1"/>
    <xf numFmtId="0" fontId="0" fillId="0" borderId="1" xfId="0" applyBorder="1" applyAlignment="1">
      <alignment horizontal="center"/>
    </xf>
    <xf numFmtId="0" fontId="3" fillId="7" borderId="1" xfId="0" applyFont="1" applyFill="1" applyBorder="1" applyAlignment="1">
      <alignment horizontal="left" vertical="center"/>
    </xf>
    <xf numFmtId="166" fontId="9" fillId="7" borderId="1" xfId="1" applyFont="1" applyFill="1" applyBorder="1" applyAlignment="1" applyProtection="1">
      <alignment horizontal="righ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/>
    </xf>
    <xf numFmtId="166" fontId="1" fillId="0" borderId="1" xfId="1" applyFont="1" applyBorder="1" applyAlignment="1" applyProtection="1">
      <alignment horizontal="center"/>
    </xf>
    <xf numFmtId="0" fontId="6" fillId="0" borderId="0" xfId="0" applyFont="1" applyBorder="1" applyAlignment="1">
      <alignment horizontal="left"/>
    </xf>
    <xf numFmtId="166" fontId="6" fillId="0" borderId="0" xfId="1" applyFont="1" applyBorder="1" applyAlignment="1" applyProtection="1">
      <alignment horizontal="center"/>
    </xf>
    <xf numFmtId="165" fontId="0" fillId="0" borderId="0" xfId="0" applyNumberFormat="1"/>
    <xf numFmtId="166" fontId="6" fillId="0" borderId="1" xfId="1" applyFont="1" applyBorder="1" applyAlignment="1" applyProtection="1">
      <alignment horizontal="center"/>
    </xf>
    <xf numFmtId="166" fontId="1" fillId="3" borderId="0" xfId="0" applyNumberFormat="1" applyFont="1" applyFill="1"/>
    <xf numFmtId="0" fontId="1" fillId="6" borderId="0" xfId="0" applyFont="1" applyFill="1"/>
    <xf numFmtId="2" fontId="1" fillId="3" borderId="0" xfId="0" applyNumberFormat="1" applyFont="1" applyFill="1"/>
    <xf numFmtId="0" fontId="0" fillId="6" borderId="0" xfId="0" applyFill="1"/>
    <xf numFmtId="167" fontId="1" fillId="3" borderId="0" xfId="0" applyNumberFormat="1" applyFont="1" applyFill="1"/>
    <xf numFmtId="167" fontId="1" fillId="6" borderId="0" xfId="0" applyNumberFormat="1" applyFont="1" applyFill="1"/>
    <xf numFmtId="1" fontId="0" fillId="0" borderId="0" xfId="0" applyNumberFormat="1" applyFont="1"/>
    <xf numFmtId="0" fontId="8" fillId="0" borderId="0" xfId="0" applyFont="1" applyBorder="1" applyAlignment="1">
      <alignment horizontal="left"/>
    </xf>
    <xf numFmtId="0" fontId="8" fillId="0" borderId="0" xfId="0" applyFont="1"/>
    <xf numFmtId="165" fontId="0" fillId="0" borderId="0" xfId="0" applyNumberFormat="1" applyAlignment="1">
      <alignment vertical="center" wrapText="1"/>
    </xf>
    <xf numFmtId="0" fontId="0" fillId="0" borderId="0" xfId="0" applyFont="1" applyAlignment="1">
      <alignment vertical="center"/>
    </xf>
    <xf numFmtId="0" fontId="0" fillId="0" borderId="0" xfId="0" applyAlignment="1">
      <alignment vertical="center" wrapText="1"/>
    </xf>
    <xf numFmtId="2" fontId="4" fillId="0" borderId="0" xfId="0" applyNumberFormat="1" applyFont="1" applyBorder="1" applyAlignment="1">
      <alignment horizontal="right" vertical="center" wrapText="1"/>
    </xf>
    <xf numFmtId="0" fontId="10" fillId="7" borderId="10" xfId="0" applyFont="1" applyFill="1" applyBorder="1" applyAlignment="1">
      <alignment horizontal="left" wrapText="1"/>
    </xf>
    <xf numFmtId="0" fontId="11" fillId="7" borderId="11" xfId="0" applyFont="1" applyFill="1" applyBorder="1" applyAlignment="1">
      <alignment vertical="top" wrapText="1"/>
    </xf>
    <xf numFmtId="0" fontId="11" fillId="7" borderId="11" xfId="0" applyFont="1" applyFill="1" applyBorder="1" applyAlignment="1">
      <alignment horizontal="center" vertical="top" wrapText="1"/>
    </xf>
    <xf numFmtId="168" fontId="11" fillId="7" borderId="11" xfId="0" applyNumberFormat="1" applyFont="1" applyFill="1" applyBorder="1" applyAlignment="1">
      <alignment horizontal="right" vertical="top" wrapText="1"/>
    </xf>
    <xf numFmtId="0" fontId="11" fillId="7" borderId="11" xfId="0" applyFont="1" applyFill="1" applyBorder="1" applyAlignment="1">
      <alignment horizontal="right" vertical="top" wrapText="1"/>
    </xf>
    <xf numFmtId="2" fontId="11" fillId="7" borderId="11" xfId="0" applyNumberFormat="1" applyFont="1" applyFill="1" applyBorder="1" applyAlignment="1">
      <alignment horizontal="center" vertical="top" wrapText="1"/>
    </xf>
    <xf numFmtId="168" fontId="12" fillId="0" borderId="0" xfId="0" applyNumberFormat="1" applyFont="1"/>
    <xf numFmtId="168" fontId="0" fillId="0" borderId="0" xfId="0" applyNumberFormat="1"/>
    <xf numFmtId="1" fontId="0" fillId="0" borderId="0" xfId="0" applyNumberFormat="1"/>
    <xf numFmtId="0" fontId="1" fillId="8" borderId="0" xfId="0" applyFont="1" applyFill="1"/>
    <xf numFmtId="0" fontId="0" fillId="8" borderId="0" xfId="0" applyFont="1" applyFill="1"/>
    <xf numFmtId="164" fontId="1" fillId="8" borderId="0" xfId="0" applyNumberFormat="1" applyFont="1" applyFill="1"/>
    <xf numFmtId="166" fontId="0" fillId="0" borderId="2" xfId="1" applyFont="1" applyBorder="1" applyAlignment="1" applyProtection="1">
      <alignment horizontal="center" vertical="distributed" wrapText="1"/>
    </xf>
    <xf numFmtId="0" fontId="11" fillId="7" borderId="11" xfId="0" applyFont="1" applyFill="1" applyBorder="1" applyAlignment="1">
      <alignment vertical="top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DD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2060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zoomScaleNormal="100" workbookViewId="0">
      <selection activeCell="F20" sqref="F20"/>
    </sheetView>
  </sheetViews>
  <sheetFormatPr defaultRowHeight="12.75" x14ac:dyDescent="0.2"/>
  <cols>
    <col min="1" max="1" width="14.7109375"/>
    <col min="2" max="2" width="19.140625" style="1"/>
    <col min="3" max="3" width="12.42578125"/>
    <col min="4" max="4" width="16.140625"/>
    <col min="5" max="5" width="12.42578125"/>
    <col min="6" max="6" width="14.42578125"/>
    <col min="7" max="1025" width="12.42578125"/>
  </cols>
  <sheetData>
    <row r="1" spans="1:13" x14ac:dyDescent="0.2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4</v>
      </c>
      <c r="G1" t="s">
        <v>5</v>
      </c>
      <c r="I1" t="s">
        <v>6</v>
      </c>
      <c r="K1" t="s">
        <v>7</v>
      </c>
    </row>
    <row r="2" spans="1:13" x14ac:dyDescent="0.2">
      <c r="A2">
        <v>7700</v>
      </c>
      <c r="B2" s="2">
        <v>42379</v>
      </c>
      <c r="C2" t="s">
        <v>8</v>
      </c>
      <c r="D2" s="2">
        <v>42379</v>
      </c>
    </row>
    <row r="3" spans="1:13" x14ac:dyDescent="0.2">
      <c r="A3">
        <v>7700</v>
      </c>
      <c r="B3" s="2">
        <v>42410</v>
      </c>
      <c r="C3" t="s">
        <v>8</v>
      </c>
      <c r="D3" s="2">
        <v>42410</v>
      </c>
    </row>
    <row r="4" spans="1:13" x14ac:dyDescent="0.2">
      <c r="A4">
        <v>7700</v>
      </c>
      <c r="B4" s="2">
        <v>42439</v>
      </c>
      <c r="C4" t="s">
        <v>8</v>
      </c>
      <c r="D4" s="2">
        <v>42439</v>
      </c>
    </row>
    <row r="5" spans="1:13" x14ac:dyDescent="0.2">
      <c r="A5">
        <v>10567.16</v>
      </c>
      <c r="B5" s="2">
        <v>42470</v>
      </c>
      <c r="C5" t="s">
        <v>9</v>
      </c>
      <c r="D5" s="2">
        <v>42470</v>
      </c>
    </row>
    <row r="6" spans="1:13" x14ac:dyDescent="0.2">
      <c r="A6">
        <v>2918.3</v>
      </c>
      <c r="B6" s="2">
        <v>42470</v>
      </c>
      <c r="C6" t="s">
        <v>10</v>
      </c>
      <c r="D6" s="2">
        <v>42460</v>
      </c>
      <c r="E6">
        <v>189.59</v>
      </c>
      <c r="F6">
        <v>189.59</v>
      </c>
      <c r="G6">
        <f>(A6*11)/100</f>
        <v>321.01300000000003</v>
      </c>
      <c r="H6">
        <f>A6-SUM(E6:G6)</f>
        <v>2218.107</v>
      </c>
      <c r="I6">
        <v>7.5</v>
      </c>
      <c r="J6">
        <f>(H6*I6)/100</f>
        <v>166.35802499999997</v>
      </c>
      <c r="K6">
        <v>142.80000000000001</v>
      </c>
      <c r="L6">
        <f>J6-K6</f>
        <v>23.558024999999958</v>
      </c>
    </row>
    <row r="7" spans="1:13" x14ac:dyDescent="0.2">
      <c r="A7">
        <v>404.32</v>
      </c>
      <c r="B7" s="2">
        <v>42379</v>
      </c>
      <c r="C7" t="s">
        <v>11</v>
      </c>
      <c r="D7" s="2">
        <v>42377</v>
      </c>
    </row>
    <row r="8" spans="1:13" x14ac:dyDescent="0.2">
      <c r="A8">
        <v>3000</v>
      </c>
      <c r="B8" s="2">
        <v>42379</v>
      </c>
      <c r="C8" t="s">
        <v>11</v>
      </c>
      <c r="D8" s="2">
        <v>42391</v>
      </c>
    </row>
    <row r="9" spans="1:13" x14ac:dyDescent="0.2">
      <c r="A9">
        <v>4</v>
      </c>
      <c r="B9" s="2">
        <v>42410</v>
      </c>
      <c r="C9" t="s">
        <v>12</v>
      </c>
      <c r="D9" s="2">
        <v>42410</v>
      </c>
    </row>
    <row r="10" spans="1:13" x14ac:dyDescent="0.2">
      <c r="A10">
        <v>300</v>
      </c>
      <c r="B10" s="2">
        <v>42439</v>
      </c>
      <c r="C10" t="s">
        <v>13</v>
      </c>
      <c r="D10" s="2">
        <v>42439</v>
      </c>
    </row>
    <row r="11" spans="1:13" x14ac:dyDescent="0.2">
      <c r="A11">
        <v>300</v>
      </c>
      <c r="B11" s="2">
        <v>42439</v>
      </c>
      <c r="C11" t="s">
        <v>13</v>
      </c>
      <c r="D11" s="2">
        <v>42450</v>
      </c>
    </row>
    <row r="12" spans="1:13" x14ac:dyDescent="0.2">
      <c r="A12">
        <v>180</v>
      </c>
      <c r="B12" s="2">
        <v>42439</v>
      </c>
      <c r="C12" t="s">
        <v>13</v>
      </c>
      <c r="D12" s="2">
        <v>42465</v>
      </c>
    </row>
    <row r="13" spans="1:13" x14ac:dyDescent="0.2">
      <c r="A13">
        <v>7959</v>
      </c>
      <c r="B13" s="2">
        <v>42491</v>
      </c>
      <c r="C13" t="s">
        <v>8</v>
      </c>
      <c r="D13" s="2">
        <v>42490</v>
      </c>
      <c r="E13">
        <v>189.59</v>
      </c>
      <c r="F13">
        <v>189.59</v>
      </c>
      <c r="G13">
        <f>(A13*11)/100</f>
        <v>875.49</v>
      </c>
      <c r="H13">
        <f>A13-SUM(E13:G13)</f>
        <v>6704.33</v>
      </c>
      <c r="I13">
        <v>27.5</v>
      </c>
      <c r="J13">
        <f>(H13*I13)/100</f>
        <v>1843.6907500000002</v>
      </c>
      <c r="K13">
        <v>869.36</v>
      </c>
      <c r="L13">
        <f>J13-K13</f>
        <v>974.33075000000019</v>
      </c>
      <c r="M13">
        <f>(A13*2)/100</f>
        <v>159.18</v>
      </c>
    </row>
    <row r="14" spans="1:13" x14ac:dyDescent="0.2">
      <c r="A14">
        <v>7959</v>
      </c>
      <c r="B14" s="2">
        <v>42522</v>
      </c>
      <c r="C14" t="s">
        <v>8</v>
      </c>
      <c r="D14" s="2">
        <v>42521</v>
      </c>
      <c r="E14">
        <f>A14-SUM(debito!B360:B366)</f>
        <v>6115.17</v>
      </c>
      <c r="F14">
        <f>6035.47-551.56</f>
        <v>5483.91</v>
      </c>
    </row>
    <row r="15" spans="1:13" x14ac:dyDescent="0.2">
      <c r="A15">
        <v>35</v>
      </c>
      <c r="B15" s="2">
        <v>42491</v>
      </c>
      <c r="C15" s="3" t="s">
        <v>14</v>
      </c>
      <c r="D15" s="2">
        <v>42508</v>
      </c>
      <c r="E15">
        <v>6035.47</v>
      </c>
      <c r="F15" s="4">
        <v>5478.91</v>
      </c>
    </row>
    <row r="16" spans="1:13" x14ac:dyDescent="0.2">
      <c r="A16">
        <v>100</v>
      </c>
      <c r="B16" s="2">
        <v>42491</v>
      </c>
      <c r="C16" s="3" t="s">
        <v>13</v>
      </c>
      <c r="D16" s="2">
        <v>42517</v>
      </c>
      <c r="E16">
        <f>E14-E15</f>
        <v>79.699999999999818</v>
      </c>
      <c r="F16" s="5">
        <f>F14-F15</f>
        <v>5</v>
      </c>
    </row>
    <row r="17" spans="1:8" x14ac:dyDescent="0.2">
      <c r="A17">
        <v>133</v>
      </c>
      <c r="B17" s="2">
        <v>42491</v>
      </c>
      <c r="C17" s="3" t="s">
        <v>15</v>
      </c>
      <c r="D17" s="2">
        <v>42519</v>
      </c>
    </row>
    <row r="18" spans="1:8" x14ac:dyDescent="0.2">
      <c r="A18">
        <v>120</v>
      </c>
      <c r="B18" s="2">
        <v>42522</v>
      </c>
      <c r="C18" s="3" t="s">
        <v>16</v>
      </c>
      <c r="D18" s="2">
        <v>42525</v>
      </c>
    </row>
    <row r="19" spans="1:8" x14ac:dyDescent="0.2">
      <c r="A19">
        <v>7959</v>
      </c>
      <c r="B19" s="2">
        <v>42552</v>
      </c>
      <c r="C19" t="s">
        <v>8</v>
      </c>
      <c r="D19" s="2">
        <v>42551</v>
      </c>
    </row>
    <row r="20" spans="1:8" x14ac:dyDescent="0.2">
      <c r="A20">
        <v>7959</v>
      </c>
      <c r="B20" s="2">
        <v>42583</v>
      </c>
      <c r="C20" t="s">
        <v>8</v>
      </c>
      <c r="D20" s="2">
        <v>42581</v>
      </c>
      <c r="E20">
        <f>SUM(debito!B550:B557)</f>
        <v>1917.6499999999999</v>
      </c>
      <c r="F20">
        <f>A20-E20</f>
        <v>6041.35</v>
      </c>
      <c r="G20">
        <v>6041</v>
      </c>
      <c r="H20">
        <f>F20-G20</f>
        <v>0.3500000000003638</v>
      </c>
    </row>
    <row r="21" spans="1:8" x14ac:dyDescent="0.2">
      <c r="A21">
        <v>7959</v>
      </c>
      <c r="B21" s="2">
        <v>42614</v>
      </c>
      <c r="C21" t="s">
        <v>8</v>
      </c>
      <c r="D21" s="2">
        <v>42613</v>
      </c>
    </row>
    <row r="22" spans="1:8" x14ac:dyDescent="0.2">
      <c r="A22">
        <v>7959</v>
      </c>
      <c r="B22" s="2">
        <v>42644</v>
      </c>
      <c r="C22" t="s">
        <v>8</v>
      </c>
      <c r="D22" s="2">
        <v>42643</v>
      </c>
    </row>
    <row r="23" spans="1:8" x14ac:dyDescent="0.2">
      <c r="A23">
        <v>7959</v>
      </c>
      <c r="B23" s="2">
        <v>42675</v>
      </c>
      <c r="C23" t="s">
        <v>8</v>
      </c>
      <c r="D23" s="2">
        <v>42673</v>
      </c>
    </row>
    <row r="24" spans="1:8" x14ac:dyDescent="0.2">
      <c r="A24">
        <v>3000</v>
      </c>
      <c r="B24" s="2">
        <v>42675</v>
      </c>
      <c r="C24">
        <v>13</v>
      </c>
      <c r="D24" s="2">
        <v>42673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04"/>
  <sheetViews>
    <sheetView tabSelected="1" topLeftCell="A595" zoomScaleNormal="100" workbookViewId="0">
      <selection activeCell="F636" sqref="F636"/>
    </sheetView>
  </sheetViews>
  <sheetFormatPr defaultRowHeight="12.75" x14ac:dyDescent="0.2"/>
  <cols>
    <col min="1" max="1" width="46.85546875"/>
    <col min="2" max="2" width="14.7109375"/>
    <col min="3" max="3" width="12.42578125"/>
    <col min="4" max="4" width="17.140625"/>
    <col min="5" max="5" width="14.42578125"/>
    <col min="6" max="6" width="14.42578125" style="1"/>
    <col min="7" max="7" width="12.42578125"/>
    <col min="8" max="8" width="14.42578125" style="1"/>
    <col min="9" max="9" width="21.7109375"/>
    <col min="10" max="10" width="14.42578125"/>
    <col min="11" max="1025" width="12.42578125"/>
  </cols>
  <sheetData>
    <row r="1" spans="1:9" x14ac:dyDescent="0.2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</row>
    <row r="2" spans="1:9" x14ac:dyDescent="0.2">
      <c r="A2" s="6" t="s">
        <v>26</v>
      </c>
      <c r="B2" s="7">
        <v>5.32</v>
      </c>
      <c r="C2" s="6">
        <v>1</v>
      </c>
      <c r="D2" s="6">
        <v>0</v>
      </c>
      <c r="E2" s="6">
        <v>0</v>
      </c>
      <c r="F2" s="8">
        <v>42379</v>
      </c>
      <c r="G2" s="6" t="s">
        <v>27</v>
      </c>
      <c r="H2" s="8">
        <v>42380</v>
      </c>
      <c r="I2" s="6" t="s">
        <v>28</v>
      </c>
    </row>
    <row r="3" spans="1:9" x14ac:dyDescent="0.2">
      <c r="A3" s="6" t="s">
        <v>29</v>
      </c>
      <c r="B3" s="7">
        <v>50</v>
      </c>
      <c r="C3" s="6">
        <v>1</v>
      </c>
      <c r="D3" s="6">
        <v>0</v>
      </c>
      <c r="E3" s="6">
        <v>0</v>
      </c>
      <c r="F3" s="8">
        <v>42379</v>
      </c>
      <c r="G3" s="6" t="s">
        <v>27</v>
      </c>
      <c r="H3" s="8">
        <v>42384</v>
      </c>
      <c r="I3" s="6" t="s">
        <v>615</v>
      </c>
    </row>
    <row r="4" spans="1:9" x14ac:dyDescent="0.2">
      <c r="A4" s="6" t="s">
        <v>30</v>
      </c>
      <c r="B4" s="7">
        <v>60</v>
      </c>
      <c r="C4" s="6">
        <v>1</v>
      </c>
      <c r="D4" s="6">
        <v>0</v>
      </c>
      <c r="E4" s="6">
        <v>0</v>
      </c>
      <c r="F4" s="8">
        <v>42379</v>
      </c>
      <c r="G4" s="6" t="s">
        <v>27</v>
      </c>
      <c r="H4" s="8">
        <v>42379</v>
      </c>
      <c r="I4" s="6" t="s">
        <v>28</v>
      </c>
    </row>
    <row r="5" spans="1:9" x14ac:dyDescent="0.2">
      <c r="A5" s="6" t="s">
        <v>31</v>
      </c>
      <c r="B5" s="7">
        <v>45.74</v>
      </c>
      <c r="C5" s="6">
        <v>1</v>
      </c>
      <c r="D5" s="6">
        <v>0</v>
      </c>
      <c r="E5" s="6">
        <v>0</v>
      </c>
      <c r="F5" s="8">
        <v>42379</v>
      </c>
      <c r="G5" s="6" t="s">
        <v>27</v>
      </c>
      <c r="H5" s="8">
        <v>42380</v>
      </c>
      <c r="I5" s="6" t="s">
        <v>28</v>
      </c>
    </row>
    <row r="6" spans="1:9" x14ac:dyDescent="0.2">
      <c r="A6" s="6" t="s">
        <v>32</v>
      </c>
      <c r="B6" s="6">
        <v>302.58</v>
      </c>
      <c r="C6" s="6">
        <v>1</v>
      </c>
      <c r="D6" s="6">
        <v>0</v>
      </c>
      <c r="E6" s="6">
        <v>0</v>
      </c>
      <c r="F6" s="8">
        <v>42379</v>
      </c>
      <c r="G6" s="6" t="s">
        <v>33</v>
      </c>
      <c r="H6" s="8">
        <v>42379</v>
      </c>
      <c r="I6" s="6" t="s">
        <v>34</v>
      </c>
    </row>
    <row r="7" spans="1:9" x14ac:dyDescent="0.2">
      <c r="A7" s="6" t="s">
        <v>35</v>
      </c>
      <c r="B7" s="7">
        <v>575.36</v>
      </c>
      <c r="C7" s="6">
        <v>1</v>
      </c>
      <c r="D7" s="6">
        <v>0</v>
      </c>
      <c r="E7" s="6">
        <v>0</v>
      </c>
      <c r="F7" s="8">
        <v>42379</v>
      </c>
      <c r="G7" s="6" t="s">
        <v>27</v>
      </c>
      <c r="H7" s="8">
        <v>42384</v>
      </c>
      <c r="I7" s="6" t="s">
        <v>36</v>
      </c>
    </row>
    <row r="8" spans="1:9" x14ac:dyDescent="0.2">
      <c r="A8" s="6" t="s">
        <v>37</v>
      </c>
      <c r="B8" s="7">
        <v>130</v>
      </c>
      <c r="C8" s="6">
        <v>1</v>
      </c>
      <c r="D8" s="6">
        <v>0</v>
      </c>
      <c r="E8" s="6">
        <v>0</v>
      </c>
      <c r="F8" s="8">
        <v>42379</v>
      </c>
      <c r="G8" s="6" t="s">
        <v>27</v>
      </c>
      <c r="H8" s="8">
        <v>42382</v>
      </c>
      <c r="I8" s="6" t="s">
        <v>37</v>
      </c>
    </row>
    <row r="9" spans="1:9" x14ac:dyDescent="0.2">
      <c r="A9" s="6" t="s">
        <v>38</v>
      </c>
      <c r="B9" s="7">
        <v>139.13999999999999</v>
      </c>
      <c r="C9" s="6">
        <v>1</v>
      </c>
      <c r="D9" s="6">
        <v>0</v>
      </c>
      <c r="E9" s="6">
        <v>0</v>
      </c>
      <c r="F9" s="8">
        <v>42379</v>
      </c>
      <c r="G9" s="6" t="s">
        <v>27</v>
      </c>
      <c r="H9" s="8">
        <v>42382</v>
      </c>
      <c r="I9" s="6" t="s">
        <v>39</v>
      </c>
    </row>
    <row r="10" spans="1:9" x14ac:dyDescent="0.2">
      <c r="A10" s="6" t="s">
        <v>40</v>
      </c>
      <c r="B10" s="7">
        <v>66.61</v>
      </c>
      <c r="C10" s="6">
        <v>1</v>
      </c>
      <c r="D10" s="6">
        <v>0</v>
      </c>
      <c r="E10" s="6">
        <v>0</v>
      </c>
      <c r="F10" s="8">
        <v>42379</v>
      </c>
      <c r="G10" s="6" t="s">
        <v>27</v>
      </c>
      <c r="H10" s="8">
        <v>42382</v>
      </c>
      <c r="I10" s="6" t="s">
        <v>39</v>
      </c>
    </row>
    <row r="11" spans="1:9" x14ac:dyDescent="0.2">
      <c r="A11" s="6" t="s">
        <v>41</v>
      </c>
      <c r="B11" s="7">
        <v>230</v>
      </c>
      <c r="C11" s="6">
        <v>1</v>
      </c>
      <c r="D11" s="6">
        <v>0</v>
      </c>
      <c r="E11" s="6">
        <v>0</v>
      </c>
      <c r="F11" s="8">
        <v>42379</v>
      </c>
      <c r="G11" s="6" t="s">
        <v>42</v>
      </c>
      <c r="H11" s="8">
        <v>42398</v>
      </c>
      <c r="I11" s="6" t="s">
        <v>43</v>
      </c>
    </row>
    <row r="12" spans="1:9" x14ac:dyDescent="0.2">
      <c r="A12" s="6" t="s">
        <v>44</v>
      </c>
      <c r="B12" s="7">
        <v>1327.41</v>
      </c>
      <c r="C12" s="6">
        <v>1</v>
      </c>
      <c r="D12" s="6">
        <v>0</v>
      </c>
      <c r="E12" s="6">
        <v>0</v>
      </c>
      <c r="F12" s="8">
        <v>42379</v>
      </c>
      <c r="G12" s="6" t="s">
        <v>33</v>
      </c>
      <c r="H12" s="8">
        <v>42379</v>
      </c>
      <c r="I12" s="6" t="s">
        <v>34</v>
      </c>
    </row>
    <row r="13" spans="1:9" x14ac:dyDescent="0.2">
      <c r="A13" s="6" t="s">
        <v>45</v>
      </c>
      <c r="B13" s="7">
        <v>94.74</v>
      </c>
      <c r="C13" s="6">
        <v>1</v>
      </c>
      <c r="D13" s="6">
        <v>0</v>
      </c>
      <c r="E13" s="6">
        <v>0</v>
      </c>
      <c r="F13" s="8">
        <v>42379</v>
      </c>
      <c r="G13" s="6" t="s">
        <v>27</v>
      </c>
      <c r="H13" s="8">
        <v>42380</v>
      </c>
      <c r="I13" s="6" t="s">
        <v>34</v>
      </c>
    </row>
    <row r="14" spans="1:9" x14ac:dyDescent="0.2">
      <c r="A14" s="9" t="s">
        <v>46</v>
      </c>
      <c r="B14" s="9">
        <f>SUMIFS(credito!$B$2:$B$80,credito!$F$2:$F$80,F14,credito!$G$2:$G$80,0)</f>
        <v>3242.88</v>
      </c>
      <c r="C14" s="9">
        <v>1</v>
      </c>
      <c r="D14" s="9">
        <v>0</v>
      </c>
      <c r="E14" s="6">
        <v>0</v>
      </c>
      <c r="F14" s="10">
        <v>42379</v>
      </c>
      <c r="G14" s="6" t="s">
        <v>27</v>
      </c>
      <c r="H14" s="11">
        <v>42380</v>
      </c>
      <c r="I14" s="9" t="s">
        <v>47</v>
      </c>
    </row>
    <row r="15" spans="1:9" x14ac:dyDescent="0.2">
      <c r="A15" s="6" t="s">
        <v>48</v>
      </c>
      <c r="B15" s="7">
        <v>45</v>
      </c>
      <c r="C15" s="6">
        <v>1</v>
      </c>
      <c r="D15" s="6">
        <v>0</v>
      </c>
      <c r="E15" s="6">
        <v>0</v>
      </c>
      <c r="F15" s="8">
        <v>42379</v>
      </c>
      <c r="G15" s="6" t="s">
        <v>49</v>
      </c>
      <c r="H15" s="8">
        <v>42404</v>
      </c>
      <c r="I15" s="6" t="s">
        <v>28</v>
      </c>
    </row>
    <row r="16" spans="1:9" x14ac:dyDescent="0.2">
      <c r="A16" s="6" t="s">
        <v>50</v>
      </c>
      <c r="B16" s="7">
        <v>50.05</v>
      </c>
      <c r="C16" s="6">
        <v>1</v>
      </c>
      <c r="D16" s="6">
        <v>0</v>
      </c>
      <c r="E16" s="6">
        <v>0</v>
      </c>
      <c r="F16" s="8">
        <v>42379</v>
      </c>
      <c r="G16" s="6" t="s">
        <v>33</v>
      </c>
      <c r="H16" s="8">
        <v>42379</v>
      </c>
      <c r="I16" s="6" t="s">
        <v>51</v>
      </c>
    </row>
    <row r="17" spans="1:9" x14ac:dyDescent="0.2">
      <c r="A17" s="6" t="s">
        <v>52</v>
      </c>
      <c r="B17" s="7">
        <v>231</v>
      </c>
      <c r="C17" s="6">
        <v>1</v>
      </c>
      <c r="D17" s="6">
        <v>0</v>
      </c>
      <c r="E17" s="6">
        <v>0</v>
      </c>
      <c r="F17" s="8">
        <v>42379</v>
      </c>
      <c r="G17" s="6" t="s">
        <v>33</v>
      </c>
      <c r="H17" s="8">
        <v>42379</v>
      </c>
      <c r="I17" s="6" t="s">
        <v>51</v>
      </c>
    </row>
    <row r="18" spans="1:9" x14ac:dyDescent="0.2">
      <c r="A18" s="6" t="s">
        <v>53</v>
      </c>
      <c r="B18" s="7">
        <v>115.5</v>
      </c>
      <c r="C18" s="6">
        <v>1</v>
      </c>
      <c r="D18" s="6">
        <v>0</v>
      </c>
      <c r="E18" s="6">
        <v>0</v>
      </c>
      <c r="F18" s="8">
        <v>42379</v>
      </c>
      <c r="G18" s="6" t="s">
        <v>33</v>
      </c>
      <c r="H18" s="8">
        <v>42379</v>
      </c>
      <c r="I18" s="6" t="s">
        <v>51</v>
      </c>
    </row>
    <row r="19" spans="1:9" x14ac:dyDescent="0.2">
      <c r="A19" s="6" t="s">
        <v>54</v>
      </c>
      <c r="B19" s="7">
        <v>77</v>
      </c>
      <c r="C19" s="6">
        <v>1</v>
      </c>
      <c r="D19" s="6">
        <v>0</v>
      </c>
      <c r="E19" s="6">
        <v>0</v>
      </c>
      <c r="F19" s="8">
        <v>42379</v>
      </c>
      <c r="G19" s="6" t="s">
        <v>33</v>
      </c>
      <c r="H19" s="8">
        <v>42379</v>
      </c>
      <c r="I19" s="6" t="s">
        <v>51</v>
      </c>
    </row>
    <row r="20" spans="1:9" x14ac:dyDescent="0.2">
      <c r="A20" s="6" t="s">
        <v>55</v>
      </c>
      <c r="B20" s="7">
        <v>50</v>
      </c>
      <c r="C20" s="6">
        <v>1</v>
      </c>
      <c r="D20" s="6">
        <v>0</v>
      </c>
      <c r="E20" s="6">
        <v>0</v>
      </c>
      <c r="F20" s="8">
        <v>42379</v>
      </c>
      <c r="G20" s="6" t="s">
        <v>27</v>
      </c>
      <c r="H20" s="8">
        <v>42379</v>
      </c>
      <c r="I20" s="6" t="s">
        <v>56</v>
      </c>
    </row>
    <row r="21" spans="1:9" x14ac:dyDescent="0.2">
      <c r="A21" s="6" t="s">
        <v>57</v>
      </c>
      <c r="B21" s="7">
        <v>0</v>
      </c>
      <c r="C21" s="6">
        <v>1</v>
      </c>
      <c r="D21" s="6">
        <v>0</v>
      </c>
      <c r="E21" s="6">
        <v>0</v>
      </c>
      <c r="F21" s="8">
        <v>42379</v>
      </c>
      <c r="G21" s="6" t="s">
        <v>27</v>
      </c>
      <c r="H21" s="8">
        <v>42379</v>
      </c>
      <c r="I21" s="6" t="s">
        <v>56</v>
      </c>
    </row>
    <row r="22" spans="1:9" x14ac:dyDescent="0.2">
      <c r="A22" s="6" t="s">
        <v>56</v>
      </c>
      <c r="B22" s="7">
        <v>100</v>
      </c>
      <c r="C22" s="6">
        <v>1</v>
      </c>
      <c r="D22" s="6">
        <v>0</v>
      </c>
      <c r="E22" s="6">
        <v>0</v>
      </c>
      <c r="F22" s="8">
        <v>42379</v>
      </c>
      <c r="G22" s="6" t="s">
        <v>27</v>
      </c>
      <c r="H22" s="8">
        <v>42377</v>
      </c>
      <c r="I22" s="6" t="s">
        <v>56</v>
      </c>
    </row>
    <row r="23" spans="1:9" x14ac:dyDescent="0.2">
      <c r="A23" s="6" t="s">
        <v>58</v>
      </c>
      <c r="B23" s="7">
        <v>20.5</v>
      </c>
      <c r="C23" s="6">
        <v>1</v>
      </c>
      <c r="D23" s="6">
        <v>0</v>
      </c>
      <c r="E23" s="6">
        <v>0</v>
      </c>
      <c r="F23" s="8">
        <v>42379</v>
      </c>
      <c r="G23" s="6" t="s">
        <v>33</v>
      </c>
      <c r="H23" s="8">
        <v>42379</v>
      </c>
      <c r="I23" s="6" t="s">
        <v>58</v>
      </c>
    </row>
    <row r="24" spans="1:9" x14ac:dyDescent="0.2">
      <c r="A24" s="6" t="s">
        <v>59</v>
      </c>
      <c r="B24" s="7">
        <v>75</v>
      </c>
      <c r="C24" s="6">
        <v>1</v>
      </c>
      <c r="D24" s="6">
        <v>0</v>
      </c>
      <c r="E24" s="6">
        <v>0</v>
      </c>
      <c r="F24" s="8">
        <v>42379</v>
      </c>
      <c r="G24" s="6" t="s">
        <v>33</v>
      </c>
      <c r="H24" s="8">
        <v>42379</v>
      </c>
      <c r="I24" s="6" t="s">
        <v>59</v>
      </c>
    </row>
    <row r="25" spans="1:9" x14ac:dyDescent="0.2">
      <c r="A25" s="6" t="s">
        <v>60</v>
      </c>
      <c r="B25" s="7">
        <v>25</v>
      </c>
      <c r="C25" s="6">
        <v>1</v>
      </c>
      <c r="D25" s="6">
        <v>0</v>
      </c>
      <c r="E25" s="6">
        <v>0</v>
      </c>
      <c r="F25" s="8">
        <v>42379</v>
      </c>
      <c r="G25" s="6" t="s">
        <v>33</v>
      </c>
      <c r="H25" s="8">
        <v>42379</v>
      </c>
      <c r="I25" s="6" t="s">
        <v>60</v>
      </c>
    </row>
    <row r="26" spans="1:9" x14ac:dyDescent="0.2">
      <c r="A26" s="6" t="s">
        <v>61</v>
      </c>
      <c r="B26" s="7">
        <v>66.12</v>
      </c>
      <c r="C26" s="6">
        <v>1</v>
      </c>
      <c r="D26" s="6">
        <v>0</v>
      </c>
      <c r="E26" s="6">
        <v>0</v>
      </c>
      <c r="F26" s="8">
        <v>42379</v>
      </c>
      <c r="G26" s="6" t="s">
        <v>33</v>
      </c>
      <c r="H26" s="8">
        <v>42379</v>
      </c>
      <c r="I26" s="6" t="s">
        <v>63</v>
      </c>
    </row>
    <row r="27" spans="1:9" x14ac:dyDescent="0.2">
      <c r="A27" s="6" t="s">
        <v>60</v>
      </c>
      <c r="B27" s="7">
        <v>38.6</v>
      </c>
      <c r="C27" s="6">
        <v>1</v>
      </c>
      <c r="D27" s="6">
        <v>0</v>
      </c>
      <c r="E27" s="6">
        <v>0</v>
      </c>
      <c r="F27" s="8">
        <v>42379</v>
      </c>
      <c r="G27" s="6" t="s">
        <v>27</v>
      </c>
      <c r="H27" s="8">
        <v>42380</v>
      </c>
      <c r="I27" s="6" t="s">
        <v>60</v>
      </c>
    </row>
    <row r="28" spans="1:9" x14ac:dyDescent="0.2">
      <c r="A28" s="6" t="s">
        <v>62</v>
      </c>
      <c r="B28" s="7">
        <v>17.8</v>
      </c>
      <c r="C28" s="6">
        <v>1</v>
      </c>
      <c r="D28" s="6">
        <v>0</v>
      </c>
      <c r="E28" s="6">
        <v>0</v>
      </c>
      <c r="F28" s="8">
        <v>42379</v>
      </c>
      <c r="G28" s="6" t="s">
        <v>27</v>
      </c>
      <c r="H28" s="8">
        <v>42380</v>
      </c>
      <c r="I28" s="6" t="s">
        <v>63</v>
      </c>
    </row>
    <row r="29" spans="1:9" x14ac:dyDescent="0.2">
      <c r="A29" s="6" t="s">
        <v>64</v>
      </c>
      <c r="B29" s="7">
        <v>6.5</v>
      </c>
      <c r="C29" s="6">
        <v>1</v>
      </c>
      <c r="D29" s="6">
        <v>0</v>
      </c>
      <c r="E29" s="6">
        <v>0</v>
      </c>
      <c r="F29" s="8">
        <v>42379</v>
      </c>
      <c r="G29" s="6" t="s">
        <v>27</v>
      </c>
      <c r="H29" s="8">
        <v>42380</v>
      </c>
      <c r="I29" s="6" t="s">
        <v>63</v>
      </c>
    </row>
    <row r="30" spans="1:9" x14ac:dyDescent="0.2">
      <c r="A30" s="6" t="s">
        <v>65</v>
      </c>
      <c r="B30" s="7">
        <v>2.99</v>
      </c>
      <c r="C30" s="6">
        <v>1</v>
      </c>
      <c r="D30" s="6">
        <v>0</v>
      </c>
      <c r="E30" s="6">
        <v>0</v>
      </c>
      <c r="F30" s="8">
        <v>42379</v>
      </c>
      <c r="G30" s="6" t="s">
        <v>27</v>
      </c>
      <c r="H30" s="8">
        <v>42381</v>
      </c>
      <c r="I30" s="6" t="s">
        <v>63</v>
      </c>
    </row>
    <row r="31" spans="1:9" x14ac:dyDescent="0.2">
      <c r="A31" s="6" t="s">
        <v>66</v>
      </c>
      <c r="B31" s="7">
        <v>7</v>
      </c>
      <c r="C31" s="6">
        <v>1</v>
      </c>
      <c r="D31" s="6">
        <v>0</v>
      </c>
      <c r="E31" s="6">
        <v>0</v>
      </c>
      <c r="F31" s="8">
        <v>42379</v>
      </c>
      <c r="G31" s="6" t="s">
        <v>27</v>
      </c>
      <c r="H31" s="8">
        <v>42381</v>
      </c>
      <c r="I31" s="6" t="s">
        <v>63</v>
      </c>
    </row>
    <row r="32" spans="1:9" x14ac:dyDescent="0.2">
      <c r="A32" s="6" t="s">
        <v>60</v>
      </c>
      <c r="B32" s="7">
        <v>32.68</v>
      </c>
      <c r="C32" s="6">
        <v>1</v>
      </c>
      <c r="D32" s="6">
        <v>0</v>
      </c>
      <c r="E32" s="6">
        <v>0</v>
      </c>
      <c r="F32" s="8">
        <v>42379</v>
      </c>
      <c r="G32" s="6" t="s">
        <v>27</v>
      </c>
      <c r="H32" s="8">
        <v>42381</v>
      </c>
      <c r="I32" s="6" t="s">
        <v>60</v>
      </c>
    </row>
    <row r="33" spans="1:9" x14ac:dyDescent="0.2">
      <c r="A33" s="6" t="s">
        <v>66</v>
      </c>
      <c r="B33" s="7">
        <v>3</v>
      </c>
      <c r="C33" s="6">
        <v>1</v>
      </c>
      <c r="D33" s="6">
        <v>0</v>
      </c>
      <c r="E33" s="6">
        <v>0</v>
      </c>
      <c r="F33" s="8">
        <v>42379</v>
      </c>
      <c r="G33" s="6" t="s">
        <v>27</v>
      </c>
      <c r="H33" s="8">
        <v>42381</v>
      </c>
      <c r="I33" s="6" t="s">
        <v>63</v>
      </c>
    </row>
    <row r="34" spans="1:9" x14ac:dyDescent="0.2">
      <c r="A34" s="6" t="s">
        <v>67</v>
      </c>
      <c r="B34" s="7">
        <v>3.5</v>
      </c>
      <c r="C34" s="6">
        <v>1</v>
      </c>
      <c r="D34" s="6">
        <v>0</v>
      </c>
      <c r="E34" s="6">
        <v>0</v>
      </c>
      <c r="F34" s="8">
        <v>42379</v>
      </c>
      <c r="G34" s="6" t="s">
        <v>27</v>
      </c>
      <c r="H34" s="8">
        <v>42381</v>
      </c>
      <c r="I34" s="6" t="s">
        <v>68</v>
      </c>
    </row>
    <row r="35" spans="1:9" x14ac:dyDescent="0.2">
      <c r="A35" s="6" t="s">
        <v>62</v>
      </c>
      <c r="B35" s="7">
        <v>6.8</v>
      </c>
      <c r="C35" s="6">
        <v>1</v>
      </c>
      <c r="D35" s="6">
        <v>0</v>
      </c>
      <c r="E35" s="6">
        <v>0</v>
      </c>
      <c r="F35" s="8">
        <v>42379</v>
      </c>
      <c r="G35" s="6" t="s">
        <v>27</v>
      </c>
      <c r="H35" s="8">
        <v>42382</v>
      </c>
      <c r="I35" s="6" t="s">
        <v>63</v>
      </c>
    </row>
    <row r="36" spans="1:9" x14ac:dyDescent="0.2">
      <c r="A36" s="6" t="s">
        <v>69</v>
      </c>
      <c r="B36" s="7">
        <v>7.88</v>
      </c>
      <c r="C36" s="6">
        <v>1</v>
      </c>
      <c r="D36" s="6">
        <v>0</v>
      </c>
      <c r="E36" s="6">
        <v>0</v>
      </c>
      <c r="F36" s="8">
        <v>42379</v>
      </c>
      <c r="G36" s="6" t="s">
        <v>27</v>
      </c>
      <c r="H36" s="8">
        <v>42383</v>
      </c>
      <c r="I36" s="6" t="s">
        <v>63</v>
      </c>
    </row>
    <row r="37" spans="1:9" x14ac:dyDescent="0.2">
      <c r="A37" s="6" t="s">
        <v>70</v>
      </c>
      <c r="B37" s="7">
        <v>3</v>
      </c>
      <c r="C37" s="6">
        <v>1</v>
      </c>
      <c r="D37" s="6">
        <v>0</v>
      </c>
      <c r="E37" s="6">
        <v>0</v>
      </c>
      <c r="F37" s="8">
        <v>42379</v>
      </c>
      <c r="G37" s="6" t="s">
        <v>27</v>
      </c>
      <c r="H37" s="8">
        <v>42384</v>
      </c>
      <c r="I37" s="6" t="s">
        <v>63</v>
      </c>
    </row>
    <row r="38" spans="1:9" x14ac:dyDescent="0.2">
      <c r="A38" s="6" t="s">
        <v>60</v>
      </c>
      <c r="B38" s="7">
        <v>25.79</v>
      </c>
      <c r="C38" s="6">
        <v>1</v>
      </c>
      <c r="D38" s="6">
        <v>0</v>
      </c>
      <c r="E38" s="6">
        <v>0</v>
      </c>
      <c r="F38" s="8">
        <v>42379</v>
      </c>
      <c r="G38" s="6" t="s">
        <v>27</v>
      </c>
      <c r="H38" s="8">
        <v>42384</v>
      </c>
      <c r="I38" s="6" t="s">
        <v>60</v>
      </c>
    </row>
    <row r="39" spans="1:9" x14ac:dyDescent="0.2">
      <c r="A39" s="6" t="s">
        <v>60</v>
      </c>
      <c r="B39" s="7">
        <v>30</v>
      </c>
      <c r="C39" s="6">
        <v>1</v>
      </c>
      <c r="D39" s="6">
        <v>0</v>
      </c>
      <c r="E39" s="6">
        <v>0</v>
      </c>
      <c r="F39" s="8">
        <v>42379</v>
      </c>
      <c r="G39" s="6" t="s">
        <v>33</v>
      </c>
      <c r="H39" s="8">
        <v>42385</v>
      </c>
      <c r="I39" s="6" t="s">
        <v>60</v>
      </c>
    </row>
    <row r="40" spans="1:9" x14ac:dyDescent="0.2">
      <c r="A40" s="6" t="s">
        <v>71</v>
      </c>
      <c r="B40" s="7">
        <v>20</v>
      </c>
      <c r="C40" s="6">
        <v>1</v>
      </c>
      <c r="D40" s="6">
        <v>0</v>
      </c>
      <c r="E40" s="6">
        <v>0</v>
      </c>
      <c r="F40" s="8">
        <v>42379</v>
      </c>
      <c r="G40" s="6" t="s">
        <v>33</v>
      </c>
      <c r="H40" s="8">
        <v>42385</v>
      </c>
      <c r="I40" s="6" t="s">
        <v>68</v>
      </c>
    </row>
    <row r="41" spans="1:9" x14ac:dyDescent="0.2">
      <c r="A41" s="6" t="s">
        <v>62</v>
      </c>
      <c r="B41" s="7">
        <v>26</v>
      </c>
      <c r="C41" s="6">
        <v>1</v>
      </c>
      <c r="D41" s="6">
        <v>0</v>
      </c>
      <c r="E41" s="6">
        <v>0</v>
      </c>
      <c r="F41" s="8">
        <v>42379</v>
      </c>
      <c r="G41" s="6" t="s">
        <v>27</v>
      </c>
      <c r="H41" s="8">
        <v>42384</v>
      </c>
      <c r="I41" s="6" t="s">
        <v>63</v>
      </c>
    </row>
    <row r="42" spans="1:9" x14ac:dyDescent="0.2">
      <c r="A42" s="6" t="s">
        <v>56</v>
      </c>
      <c r="B42" s="7">
        <v>50</v>
      </c>
      <c r="C42" s="6">
        <v>1</v>
      </c>
      <c r="D42" s="6">
        <v>0</v>
      </c>
      <c r="E42" s="6">
        <v>0</v>
      </c>
      <c r="F42" s="8">
        <v>42379</v>
      </c>
      <c r="G42" s="6" t="s">
        <v>27</v>
      </c>
      <c r="H42" s="8">
        <v>42384</v>
      </c>
      <c r="I42" s="6" t="s">
        <v>56</v>
      </c>
    </row>
    <row r="43" spans="1:9" x14ac:dyDescent="0.2">
      <c r="A43" s="6" t="s">
        <v>59</v>
      </c>
      <c r="B43" s="7">
        <v>80</v>
      </c>
      <c r="C43" s="6">
        <v>1</v>
      </c>
      <c r="D43" s="6">
        <v>0</v>
      </c>
      <c r="E43" s="6">
        <v>0</v>
      </c>
      <c r="F43" s="8">
        <v>42379</v>
      </c>
      <c r="G43" s="6" t="s">
        <v>33</v>
      </c>
      <c r="H43" s="8">
        <v>42386</v>
      </c>
      <c r="I43" s="6" t="s">
        <v>59</v>
      </c>
    </row>
    <row r="44" spans="1:9" x14ac:dyDescent="0.2">
      <c r="A44" s="6" t="s">
        <v>56</v>
      </c>
      <c r="B44" s="7">
        <v>20</v>
      </c>
      <c r="C44" s="6">
        <v>1</v>
      </c>
      <c r="D44" s="6">
        <v>0</v>
      </c>
      <c r="E44" s="6">
        <v>0</v>
      </c>
      <c r="F44" s="8">
        <v>42379</v>
      </c>
      <c r="G44" s="6" t="s">
        <v>33</v>
      </c>
      <c r="H44" s="8">
        <v>42386</v>
      </c>
      <c r="I44" s="6" t="s">
        <v>56</v>
      </c>
    </row>
    <row r="45" spans="1:9" x14ac:dyDescent="0.2">
      <c r="A45" s="6" t="s">
        <v>72</v>
      </c>
      <c r="B45" s="7">
        <v>38.64</v>
      </c>
      <c r="C45" s="6">
        <v>1</v>
      </c>
      <c r="D45" s="6">
        <v>0</v>
      </c>
      <c r="E45" s="6">
        <v>0</v>
      </c>
      <c r="F45" s="8">
        <v>42379</v>
      </c>
      <c r="G45" s="6" t="s">
        <v>33</v>
      </c>
      <c r="H45" s="8">
        <v>42386</v>
      </c>
      <c r="I45" s="6" t="s">
        <v>73</v>
      </c>
    </row>
    <row r="46" spans="1:9" x14ac:dyDescent="0.2">
      <c r="A46" s="6" t="s">
        <v>65</v>
      </c>
      <c r="B46" s="7">
        <v>4.18</v>
      </c>
      <c r="C46" s="6">
        <v>1</v>
      </c>
      <c r="D46" s="6">
        <v>0</v>
      </c>
      <c r="E46" s="6">
        <v>0</v>
      </c>
      <c r="F46" s="8">
        <v>42379</v>
      </c>
      <c r="G46" s="6" t="s">
        <v>42</v>
      </c>
      <c r="H46" s="8">
        <v>42388</v>
      </c>
      <c r="I46" s="6" t="s">
        <v>63</v>
      </c>
    </row>
    <row r="47" spans="1:9" x14ac:dyDescent="0.2">
      <c r="A47" s="6" t="s">
        <v>60</v>
      </c>
      <c r="B47" s="7">
        <v>126.3</v>
      </c>
      <c r="C47" s="6">
        <v>1</v>
      </c>
      <c r="D47" s="6">
        <v>0</v>
      </c>
      <c r="E47" s="6">
        <v>0</v>
      </c>
      <c r="F47" s="8">
        <v>42379</v>
      </c>
      <c r="G47" s="6" t="s">
        <v>42</v>
      </c>
      <c r="H47" s="8">
        <v>42388</v>
      </c>
      <c r="I47" s="6" t="s">
        <v>60</v>
      </c>
    </row>
    <row r="48" spans="1:9" x14ac:dyDescent="0.2">
      <c r="A48" s="6" t="s">
        <v>74</v>
      </c>
      <c r="B48" s="7">
        <v>9</v>
      </c>
      <c r="C48" s="6">
        <v>1</v>
      </c>
      <c r="D48" s="6">
        <v>0</v>
      </c>
      <c r="E48" s="6">
        <v>0</v>
      </c>
      <c r="F48" s="8">
        <v>42379</v>
      </c>
      <c r="G48" s="6" t="s">
        <v>42</v>
      </c>
      <c r="H48" s="8">
        <v>42389</v>
      </c>
      <c r="I48" s="6" t="s">
        <v>63</v>
      </c>
    </row>
    <row r="49" spans="1:9" x14ac:dyDescent="0.2">
      <c r="A49" s="6" t="s">
        <v>62</v>
      </c>
      <c r="B49" s="7">
        <v>15.25</v>
      </c>
      <c r="C49" s="6">
        <v>1</v>
      </c>
      <c r="D49" s="6">
        <v>0</v>
      </c>
      <c r="E49" s="6">
        <v>0</v>
      </c>
      <c r="F49" s="8">
        <v>42379</v>
      </c>
      <c r="G49" s="6" t="s">
        <v>42</v>
      </c>
      <c r="H49" s="8">
        <v>42389</v>
      </c>
      <c r="I49" s="6" t="s">
        <v>63</v>
      </c>
    </row>
    <row r="50" spans="1:9" x14ac:dyDescent="0.2">
      <c r="A50" s="6" t="s">
        <v>75</v>
      </c>
      <c r="B50" s="7">
        <v>11</v>
      </c>
      <c r="C50" s="6">
        <v>1</v>
      </c>
      <c r="D50" s="6">
        <v>0</v>
      </c>
      <c r="E50" s="6">
        <v>0</v>
      </c>
      <c r="F50" s="8">
        <v>42379</v>
      </c>
      <c r="G50" s="6" t="s">
        <v>42</v>
      </c>
      <c r="H50" s="8">
        <v>42389</v>
      </c>
      <c r="I50" s="6" t="s">
        <v>63</v>
      </c>
    </row>
    <row r="51" spans="1:9" x14ac:dyDescent="0.2">
      <c r="A51" s="6" t="s">
        <v>58</v>
      </c>
      <c r="B51" s="7">
        <v>43.78</v>
      </c>
      <c r="C51" s="6">
        <v>1</v>
      </c>
      <c r="D51" s="6">
        <v>0</v>
      </c>
      <c r="E51" s="6">
        <v>0</v>
      </c>
      <c r="F51" s="8">
        <v>42379</v>
      </c>
      <c r="G51" s="6" t="s">
        <v>42</v>
      </c>
      <c r="H51" s="8">
        <v>42391</v>
      </c>
      <c r="I51" s="6" t="s">
        <v>58</v>
      </c>
    </row>
    <row r="52" spans="1:9" x14ac:dyDescent="0.2">
      <c r="A52" s="12" t="s">
        <v>76</v>
      </c>
      <c r="B52" s="13">
        <v>1000</v>
      </c>
      <c r="C52" s="12">
        <v>1</v>
      </c>
      <c r="D52" s="12">
        <v>0</v>
      </c>
      <c r="E52" s="12">
        <v>0</v>
      </c>
      <c r="F52" s="10">
        <v>42379</v>
      </c>
      <c r="G52" s="12" t="s">
        <v>42</v>
      </c>
      <c r="H52" s="10">
        <v>42391</v>
      </c>
      <c r="I52" s="12" t="s">
        <v>36</v>
      </c>
    </row>
    <row r="53" spans="1:9" x14ac:dyDescent="0.2">
      <c r="A53" s="12" t="s">
        <v>77</v>
      </c>
      <c r="B53" s="13">
        <v>53.24</v>
      </c>
      <c r="C53" s="12">
        <v>1</v>
      </c>
      <c r="D53" s="12">
        <v>0</v>
      </c>
      <c r="E53" s="12">
        <v>0</v>
      </c>
      <c r="F53" s="10">
        <v>42379</v>
      </c>
      <c r="G53" s="12" t="s">
        <v>42</v>
      </c>
      <c r="H53" s="10">
        <v>42391</v>
      </c>
      <c r="I53" s="12" t="s">
        <v>28</v>
      </c>
    </row>
    <row r="54" spans="1:9" x14ac:dyDescent="0.2">
      <c r="A54" s="12" t="s">
        <v>77</v>
      </c>
      <c r="B54" s="13">
        <v>330</v>
      </c>
      <c r="C54" s="12">
        <v>1</v>
      </c>
      <c r="D54" s="12">
        <v>0</v>
      </c>
      <c r="E54" s="12">
        <v>0</v>
      </c>
      <c r="F54" s="10">
        <v>42379</v>
      </c>
      <c r="G54" s="12" t="s">
        <v>42</v>
      </c>
      <c r="H54" s="10">
        <v>42391</v>
      </c>
      <c r="I54" s="12" t="s">
        <v>28</v>
      </c>
    </row>
    <row r="55" spans="1:9" x14ac:dyDescent="0.2">
      <c r="A55" s="6" t="s">
        <v>78</v>
      </c>
      <c r="B55" s="7">
        <v>3.9</v>
      </c>
      <c r="C55" s="6">
        <v>1</v>
      </c>
      <c r="D55" s="6">
        <v>0</v>
      </c>
      <c r="E55" s="6">
        <v>0</v>
      </c>
      <c r="F55" s="8">
        <v>42379</v>
      </c>
      <c r="G55" s="6" t="s">
        <v>33</v>
      </c>
      <c r="H55" s="8">
        <v>42392</v>
      </c>
      <c r="I55" s="6" t="s">
        <v>68</v>
      </c>
    </row>
    <row r="56" spans="1:9" x14ac:dyDescent="0.2">
      <c r="A56" s="6" t="s">
        <v>74</v>
      </c>
      <c r="B56" s="7">
        <v>10</v>
      </c>
      <c r="C56" s="6">
        <v>1</v>
      </c>
      <c r="D56" s="6">
        <v>0</v>
      </c>
      <c r="E56" s="6">
        <v>0</v>
      </c>
      <c r="F56" s="8">
        <v>42379</v>
      </c>
      <c r="G56" s="6" t="s">
        <v>33</v>
      </c>
      <c r="H56" s="8">
        <v>42392</v>
      </c>
      <c r="I56" s="6" t="s">
        <v>63</v>
      </c>
    </row>
    <row r="57" spans="1:9" x14ac:dyDescent="0.2">
      <c r="A57" s="6" t="s">
        <v>59</v>
      </c>
      <c r="B57" s="7">
        <v>74</v>
      </c>
      <c r="C57" s="6">
        <v>1</v>
      </c>
      <c r="D57" s="6">
        <v>0</v>
      </c>
      <c r="E57" s="6">
        <v>0</v>
      </c>
      <c r="F57" s="8">
        <v>42379</v>
      </c>
      <c r="G57" s="6" t="s">
        <v>33</v>
      </c>
      <c r="H57" s="8">
        <v>42393</v>
      </c>
      <c r="I57" s="6" t="s">
        <v>59</v>
      </c>
    </row>
    <row r="58" spans="1:9" x14ac:dyDescent="0.2">
      <c r="A58" s="6" t="s">
        <v>79</v>
      </c>
      <c r="B58" s="7">
        <v>6</v>
      </c>
      <c r="C58" s="6">
        <v>1</v>
      </c>
      <c r="D58" s="6">
        <v>0</v>
      </c>
      <c r="E58" s="6">
        <v>0</v>
      </c>
      <c r="F58" s="8">
        <v>42379</v>
      </c>
      <c r="G58" s="6" t="s">
        <v>33</v>
      </c>
      <c r="H58" s="8">
        <v>42393</v>
      </c>
      <c r="I58" s="6" t="s">
        <v>63</v>
      </c>
    </row>
    <row r="59" spans="1:9" x14ac:dyDescent="0.2">
      <c r="A59" s="6" t="s">
        <v>60</v>
      </c>
      <c r="B59" s="7">
        <v>7</v>
      </c>
      <c r="C59" s="6">
        <v>1</v>
      </c>
      <c r="D59" s="6">
        <v>0</v>
      </c>
      <c r="E59" s="6">
        <v>0</v>
      </c>
      <c r="F59" s="8">
        <v>42379</v>
      </c>
      <c r="G59" s="6" t="s">
        <v>33</v>
      </c>
      <c r="H59" s="8">
        <v>42393</v>
      </c>
      <c r="I59" s="6" t="s">
        <v>60</v>
      </c>
    </row>
    <row r="60" spans="1:9" x14ac:dyDescent="0.2">
      <c r="A60" s="6" t="s">
        <v>80</v>
      </c>
      <c r="B60" s="7">
        <v>4</v>
      </c>
      <c r="C60" s="6">
        <v>1</v>
      </c>
      <c r="D60" s="6">
        <v>0</v>
      </c>
      <c r="E60" s="6">
        <v>0</v>
      </c>
      <c r="F60" s="8">
        <v>42379</v>
      </c>
      <c r="G60" s="6" t="s">
        <v>81</v>
      </c>
      <c r="H60" s="8">
        <v>42394</v>
      </c>
      <c r="I60" s="6" t="s">
        <v>63</v>
      </c>
    </row>
    <row r="61" spans="1:9" x14ac:dyDescent="0.2">
      <c r="A61" s="6" t="s">
        <v>80</v>
      </c>
      <c r="B61" s="7">
        <v>3.9</v>
      </c>
      <c r="C61" s="6">
        <v>1</v>
      </c>
      <c r="D61" s="6">
        <v>0</v>
      </c>
      <c r="E61" s="6">
        <v>0</v>
      </c>
      <c r="F61" s="8">
        <v>42379</v>
      </c>
      <c r="G61" s="6" t="s">
        <v>81</v>
      </c>
      <c r="H61" s="8">
        <v>42394</v>
      </c>
      <c r="I61" s="6" t="s">
        <v>63</v>
      </c>
    </row>
    <row r="62" spans="1:9" x14ac:dyDescent="0.2">
      <c r="A62" s="6" t="s">
        <v>74</v>
      </c>
      <c r="B62" s="7">
        <v>10</v>
      </c>
      <c r="C62" s="6">
        <v>1</v>
      </c>
      <c r="D62" s="6">
        <v>0</v>
      </c>
      <c r="E62" s="6">
        <v>0</v>
      </c>
      <c r="F62" s="8">
        <v>42379</v>
      </c>
      <c r="G62" s="6" t="s">
        <v>81</v>
      </c>
      <c r="H62" s="8">
        <v>42394</v>
      </c>
      <c r="I62" s="6" t="s">
        <v>63</v>
      </c>
    </row>
    <row r="63" spans="1:9" x14ac:dyDescent="0.2">
      <c r="A63" s="6" t="s">
        <v>41</v>
      </c>
      <c r="B63" s="7">
        <v>100</v>
      </c>
      <c r="C63" s="6">
        <v>1</v>
      </c>
      <c r="D63" s="6">
        <v>0</v>
      </c>
      <c r="E63" s="6">
        <v>0</v>
      </c>
      <c r="F63" s="8">
        <v>42379</v>
      </c>
      <c r="G63" s="6" t="s">
        <v>81</v>
      </c>
      <c r="H63" s="8">
        <v>42394</v>
      </c>
      <c r="I63" s="6" t="s">
        <v>43</v>
      </c>
    </row>
    <row r="64" spans="1:9" x14ac:dyDescent="0.2">
      <c r="A64" s="6" t="s">
        <v>82</v>
      </c>
      <c r="B64" s="7">
        <v>23.03</v>
      </c>
      <c r="C64" s="6">
        <v>1</v>
      </c>
      <c r="D64" s="6">
        <v>0</v>
      </c>
      <c r="E64" s="6">
        <v>0</v>
      </c>
      <c r="F64" s="8">
        <v>42379</v>
      </c>
      <c r="G64" s="6" t="s">
        <v>81</v>
      </c>
      <c r="H64" s="8">
        <v>42395</v>
      </c>
      <c r="I64" s="6" t="s">
        <v>82</v>
      </c>
    </row>
    <row r="65" spans="1:9" x14ac:dyDescent="0.2">
      <c r="A65" s="6" t="s">
        <v>70</v>
      </c>
      <c r="B65" s="7">
        <v>9.9</v>
      </c>
      <c r="C65" s="6">
        <v>1</v>
      </c>
      <c r="D65" s="6">
        <v>0</v>
      </c>
      <c r="E65" s="6">
        <v>0</v>
      </c>
      <c r="F65" s="8">
        <v>42379</v>
      </c>
      <c r="G65" s="6" t="s">
        <v>81</v>
      </c>
      <c r="H65" s="8">
        <v>42395</v>
      </c>
      <c r="I65" s="6" t="s">
        <v>63</v>
      </c>
    </row>
    <row r="66" spans="1:9" x14ac:dyDescent="0.2">
      <c r="A66" s="6" t="s">
        <v>58</v>
      </c>
      <c r="B66" s="7">
        <v>13.45</v>
      </c>
      <c r="C66" s="6">
        <v>1</v>
      </c>
      <c r="D66" s="6">
        <v>0</v>
      </c>
      <c r="E66" s="6">
        <v>0</v>
      </c>
      <c r="F66" s="8">
        <v>42379</v>
      </c>
      <c r="G66" s="6" t="s">
        <v>81</v>
      </c>
      <c r="H66" s="8">
        <v>42396</v>
      </c>
      <c r="I66" s="6" t="s">
        <v>58</v>
      </c>
    </row>
    <row r="67" spans="1:9" x14ac:dyDescent="0.2">
      <c r="A67" s="6" t="s">
        <v>83</v>
      </c>
      <c r="B67" s="7">
        <v>92</v>
      </c>
      <c r="C67" s="6">
        <v>1</v>
      </c>
      <c r="D67" s="6">
        <v>0</v>
      </c>
      <c r="E67" s="6">
        <v>0</v>
      </c>
      <c r="F67" s="8">
        <v>42379</v>
      </c>
      <c r="G67" s="6" t="s">
        <v>81</v>
      </c>
      <c r="H67" s="8">
        <v>42396</v>
      </c>
      <c r="I67" s="6" t="s">
        <v>56</v>
      </c>
    </row>
    <row r="68" spans="1:9" x14ac:dyDescent="0.2">
      <c r="A68" s="6" t="s">
        <v>84</v>
      </c>
      <c r="B68" s="7">
        <v>7</v>
      </c>
      <c r="C68" s="6">
        <v>1</v>
      </c>
      <c r="D68" s="6">
        <v>0</v>
      </c>
      <c r="E68" s="6">
        <v>0</v>
      </c>
      <c r="F68" s="8">
        <v>42379</v>
      </c>
      <c r="G68" s="6" t="s">
        <v>81</v>
      </c>
      <c r="H68" s="8">
        <v>42396</v>
      </c>
      <c r="I68" s="6" t="s">
        <v>63</v>
      </c>
    </row>
    <row r="69" spans="1:9" x14ac:dyDescent="0.2">
      <c r="A69" s="6" t="s">
        <v>85</v>
      </c>
      <c r="B69" s="7">
        <v>352.66</v>
      </c>
      <c r="C69" s="6">
        <v>1</v>
      </c>
      <c r="D69" s="6">
        <v>0</v>
      </c>
      <c r="E69" s="6">
        <v>0</v>
      </c>
      <c r="F69" s="8">
        <v>42379</v>
      </c>
      <c r="G69" s="6" t="s">
        <v>81</v>
      </c>
      <c r="H69" s="8">
        <v>42397</v>
      </c>
      <c r="I69" s="6" t="s">
        <v>616</v>
      </c>
    </row>
    <row r="70" spans="1:9" x14ac:dyDescent="0.2">
      <c r="A70" s="6" t="s">
        <v>58</v>
      </c>
      <c r="B70" s="7">
        <v>56.83</v>
      </c>
      <c r="C70" s="6">
        <v>1</v>
      </c>
      <c r="D70" s="6">
        <v>0</v>
      </c>
      <c r="E70" s="6">
        <v>0</v>
      </c>
      <c r="F70" s="8">
        <v>42379</v>
      </c>
      <c r="G70" s="6" t="s">
        <v>81</v>
      </c>
      <c r="H70" s="8">
        <v>42398</v>
      </c>
      <c r="I70" s="6" t="s">
        <v>58</v>
      </c>
    </row>
    <row r="71" spans="1:9" x14ac:dyDescent="0.2">
      <c r="A71" s="6" t="s">
        <v>62</v>
      </c>
      <c r="B71" s="7">
        <v>6.75</v>
      </c>
      <c r="C71" s="6">
        <v>1</v>
      </c>
      <c r="D71" s="6">
        <v>0</v>
      </c>
      <c r="E71" s="6">
        <v>0</v>
      </c>
      <c r="F71" s="8">
        <v>42379</v>
      </c>
      <c r="G71" s="6" t="s">
        <v>81</v>
      </c>
      <c r="H71" s="8">
        <v>42398</v>
      </c>
      <c r="I71" s="6" t="s">
        <v>63</v>
      </c>
    </row>
    <row r="72" spans="1:9" x14ac:dyDescent="0.2">
      <c r="A72" s="6" t="s">
        <v>86</v>
      </c>
      <c r="B72" s="7">
        <v>25</v>
      </c>
      <c r="C72" s="6">
        <v>1</v>
      </c>
      <c r="D72" s="6">
        <v>0</v>
      </c>
      <c r="E72" s="6">
        <v>0</v>
      </c>
      <c r="F72" s="8">
        <v>42379</v>
      </c>
      <c r="G72" s="6" t="s">
        <v>33</v>
      </c>
      <c r="H72" s="8">
        <v>42399</v>
      </c>
      <c r="I72" s="6" t="s">
        <v>56</v>
      </c>
    </row>
    <row r="73" spans="1:9" x14ac:dyDescent="0.2">
      <c r="A73" s="6" t="s">
        <v>59</v>
      </c>
      <c r="B73" s="7">
        <v>63</v>
      </c>
      <c r="C73" s="6">
        <v>1</v>
      </c>
      <c r="D73" s="6">
        <v>0</v>
      </c>
      <c r="E73" s="6">
        <v>0</v>
      </c>
      <c r="F73" s="8">
        <v>42379</v>
      </c>
      <c r="G73" s="6" t="s">
        <v>33</v>
      </c>
      <c r="H73" s="8">
        <v>42400</v>
      </c>
      <c r="I73" s="6" t="s">
        <v>59</v>
      </c>
    </row>
    <row r="74" spans="1:9" x14ac:dyDescent="0.2">
      <c r="A74" s="6" t="s">
        <v>87</v>
      </c>
      <c r="B74" s="7">
        <v>140</v>
      </c>
      <c r="C74" s="6">
        <v>1</v>
      </c>
      <c r="D74" s="6">
        <v>0</v>
      </c>
      <c r="E74" s="6">
        <v>0</v>
      </c>
      <c r="F74" s="8">
        <v>42379</v>
      </c>
      <c r="G74" s="6" t="s">
        <v>88</v>
      </c>
      <c r="H74" s="8">
        <v>42401</v>
      </c>
      <c r="I74" s="6" t="s">
        <v>616</v>
      </c>
    </row>
    <row r="75" spans="1:9" x14ac:dyDescent="0.2">
      <c r="A75" s="6" t="s">
        <v>65</v>
      </c>
      <c r="B75" s="7">
        <v>3</v>
      </c>
      <c r="C75" s="6">
        <v>1</v>
      </c>
      <c r="D75" s="6">
        <v>0</v>
      </c>
      <c r="E75" s="6">
        <v>0</v>
      </c>
      <c r="F75" s="8">
        <v>42379</v>
      </c>
      <c r="G75" s="6" t="s">
        <v>88</v>
      </c>
      <c r="H75" s="8">
        <v>42401</v>
      </c>
      <c r="I75" s="6" t="s">
        <v>63</v>
      </c>
    </row>
    <row r="76" spans="1:9" x14ac:dyDescent="0.2">
      <c r="A76" s="6" t="s">
        <v>70</v>
      </c>
      <c r="B76" s="7">
        <v>4</v>
      </c>
      <c r="C76" s="6">
        <v>1</v>
      </c>
      <c r="D76" s="6">
        <v>0</v>
      </c>
      <c r="E76" s="6">
        <v>0</v>
      </c>
      <c r="F76" s="8">
        <v>42379</v>
      </c>
      <c r="G76" s="6" t="s">
        <v>88</v>
      </c>
      <c r="H76" s="8">
        <v>42402</v>
      </c>
      <c r="I76" s="6" t="s">
        <v>63</v>
      </c>
    </row>
    <row r="77" spans="1:9" x14ac:dyDescent="0.2">
      <c r="A77" s="6" t="s">
        <v>89</v>
      </c>
      <c r="B77" s="7">
        <v>15</v>
      </c>
      <c r="C77" s="6">
        <v>1</v>
      </c>
      <c r="D77" s="6">
        <v>0</v>
      </c>
      <c r="E77" s="6">
        <v>0</v>
      </c>
      <c r="F77" s="8">
        <v>42379</v>
      </c>
      <c r="G77" s="6" t="s">
        <v>88</v>
      </c>
      <c r="H77" s="8">
        <v>42401</v>
      </c>
      <c r="I77" s="6" t="s">
        <v>89</v>
      </c>
    </row>
    <row r="78" spans="1:9" x14ac:dyDescent="0.2">
      <c r="A78" s="6" t="s">
        <v>89</v>
      </c>
      <c r="B78" s="7">
        <v>50</v>
      </c>
      <c r="C78" s="6">
        <v>1</v>
      </c>
      <c r="D78" s="6">
        <v>0</v>
      </c>
      <c r="E78" s="6">
        <v>0</v>
      </c>
      <c r="F78" s="8">
        <v>42379</v>
      </c>
      <c r="G78" s="6" t="s">
        <v>88</v>
      </c>
      <c r="H78" s="8">
        <v>42401</v>
      </c>
      <c r="I78" s="6" t="s">
        <v>89</v>
      </c>
    </row>
    <row r="79" spans="1:9" x14ac:dyDescent="0.2">
      <c r="A79" s="6" t="s">
        <v>90</v>
      </c>
      <c r="B79" s="7">
        <v>3</v>
      </c>
      <c r="C79" s="6">
        <v>1</v>
      </c>
      <c r="D79" s="6">
        <v>0</v>
      </c>
      <c r="E79" s="6">
        <v>0</v>
      </c>
      <c r="F79" s="8">
        <v>42379</v>
      </c>
      <c r="G79" s="6" t="s">
        <v>88</v>
      </c>
      <c r="H79" s="8">
        <v>42402</v>
      </c>
      <c r="I79" s="6" t="s">
        <v>63</v>
      </c>
    </row>
    <row r="80" spans="1:9" x14ac:dyDescent="0.2">
      <c r="A80" s="6" t="s">
        <v>91</v>
      </c>
      <c r="B80" s="7">
        <v>68.12</v>
      </c>
      <c r="C80" s="6">
        <v>1</v>
      </c>
      <c r="D80" s="6">
        <v>0</v>
      </c>
      <c r="E80" s="6">
        <v>0</v>
      </c>
      <c r="F80" s="8">
        <v>42379</v>
      </c>
      <c r="G80" s="6" t="s">
        <v>88</v>
      </c>
      <c r="H80" s="8">
        <v>42402</v>
      </c>
      <c r="I80" s="6" t="s">
        <v>13</v>
      </c>
    </row>
    <row r="81" spans="1:9" x14ac:dyDescent="0.2">
      <c r="A81" s="6" t="s">
        <v>70</v>
      </c>
      <c r="B81" s="7">
        <v>3.8</v>
      </c>
      <c r="C81" s="6">
        <v>1</v>
      </c>
      <c r="D81" s="6">
        <v>0</v>
      </c>
      <c r="E81" s="6">
        <v>0</v>
      </c>
      <c r="F81" s="8">
        <v>42379</v>
      </c>
      <c r="G81" s="6" t="s">
        <v>88</v>
      </c>
      <c r="H81" s="8">
        <v>42402</v>
      </c>
      <c r="I81" s="6" t="s">
        <v>63</v>
      </c>
    </row>
    <row r="82" spans="1:9" x14ac:dyDescent="0.2">
      <c r="A82" s="6" t="s">
        <v>82</v>
      </c>
      <c r="B82" s="7">
        <v>28</v>
      </c>
      <c r="C82" s="6">
        <v>1</v>
      </c>
      <c r="D82" s="6">
        <v>0</v>
      </c>
      <c r="E82" s="6">
        <v>0</v>
      </c>
      <c r="F82" s="8">
        <v>42379</v>
      </c>
      <c r="G82" s="6" t="s">
        <v>88</v>
      </c>
      <c r="H82" s="8">
        <v>42404</v>
      </c>
      <c r="I82" s="6" t="s">
        <v>82</v>
      </c>
    </row>
    <row r="83" spans="1:9" x14ac:dyDescent="0.2">
      <c r="A83" s="6" t="s">
        <v>58</v>
      </c>
      <c r="B83" s="7">
        <v>29.07</v>
      </c>
      <c r="C83" s="6">
        <v>1</v>
      </c>
      <c r="D83" s="6">
        <v>0</v>
      </c>
      <c r="E83" s="6">
        <v>0</v>
      </c>
      <c r="F83" s="8">
        <v>42379</v>
      </c>
      <c r="G83" s="6" t="s">
        <v>88</v>
      </c>
      <c r="H83" s="8">
        <v>42405</v>
      </c>
      <c r="I83" s="6" t="s">
        <v>58</v>
      </c>
    </row>
    <row r="84" spans="1:9" x14ac:dyDescent="0.2">
      <c r="A84" s="6" t="s">
        <v>65</v>
      </c>
      <c r="B84" s="7">
        <v>6</v>
      </c>
      <c r="C84" s="6">
        <v>1</v>
      </c>
      <c r="D84" s="6">
        <v>0</v>
      </c>
      <c r="E84" s="6">
        <v>0</v>
      </c>
      <c r="F84" s="8">
        <v>42379</v>
      </c>
      <c r="G84" s="6" t="s">
        <v>88</v>
      </c>
      <c r="H84" s="8">
        <v>42405</v>
      </c>
      <c r="I84" s="6" t="s">
        <v>63</v>
      </c>
    </row>
    <row r="85" spans="1:9" x14ac:dyDescent="0.2">
      <c r="A85" s="6" t="s">
        <v>92</v>
      </c>
      <c r="B85" s="7">
        <v>24.99</v>
      </c>
      <c r="C85" s="6">
        <v>1</v>
      </c>
      <c r="D85" s="6">
        <v>0</v>
      </c>
      <c r="E85" s="6">
        <v>0</v>
      </c>
      <c r="F85" s="8">
        <v>42379</v>
      </c>
      <c r="G85" s="6" t="s">
        <v>88</v>
      </c>
      <c r="H85" s="8">
        <v>42405</v>
      </c>
      <c r="I85" s="6" t="s">
        <v>63</v>
      </c>
    </row>
    <row r="86" spans="1:9" x14ac:dyDescent="0.2">
      <c r="A86" s="6" t="s">
        <v>59</v>
      </c>
      <c r="B86" s="7">
        <v>63</v>
      </c>
      <c r="C86" s="6">
        <v>1</v>
      </c>
      <c r="D86" s="6">
        <v>0</v>
      </c>
      <c r="E86" s="6">
        <v>0</v>
      </c>
      <c r="F86" s="8">
        <v>42379</v>
      </c>
      <c r="G86" s="6" t="s">
        <v>33</v>
      </c>
      <c r="H86" s="8">
        <v>42406</v>
      </c>
      <c r="I86" s="6" t="s">
        <v>59</v>
      </c>
    </row>
    <row r="87" spans="1:9" x14ac:dyDescent="0.2">
      <c r="A87" s="6" t="s">
        <v>93</v>
      </c>
      <c r="B87" s="7">
        <v>65</v>
      </c>
      <c r="C87" s="6">
        <v>1</v>
      </c>
      <c r="D87" s="6">
        <v>0</v>
      </c>
      <c r="E87" s="6">
        <v>0</v>
      </c>
      <c r="F87" s="8">
        <v>42379</v>
      </c>
      <c r="G87" s="6" t="s">
        <v>33</v>
      </c>
      <c r="H87" s="8">
        <v>42406</v>
      </c>
      <c r="I87" s="6" t="s">
        <v>68</v>
      </c>
    </row>
    <row r="88" spans="1:9" x14ac:dyDescent="0.2">
      <c r="A88" s="6" t="s">
        <v>94</v>
      </c>
      <c r="B88" s="7">
        <v>24</v>
      </c>
      <c r="C88" s="6">
        <v>1</v>
      </c>
      <c r="D88" s="6">
        <v>0</v>
      </c>
      <c r="E88" s="6">
        <v>0</v>
      </c>
      <c r="F88" s="8">
        <v>42379</v>
      </c>
      <c r="G88" s="6" t="s">
        <v>33</v>
      </c>
      <c r="H88" s="8">
        <v>42406</v>
      </c>
      <c r="I88" s="6" t="s">
        <v>63</v>
      </c>
    </row>
    <row r="89" spans="1:9" x14ac:dyDescent="0.2">
      <c r="A89" s="6" t="s">
        <v>58</v>
      </c>
      <c r="B89" s="7">
        <v>38</v>
      </c>
      <c r="C89" s="6">
        <v>1</v>
      </c>
      <c r="D89" s="6">
        <v>0</v>
      </c>
      <c r="E89" s="6">
        <v>0</v>
      </c>
      <c r="F89" s="8">
        <v>42379</v>
      </c>
      <c r="G89" s="6" t="s">
        <v>33</v>
      </c>
      <c r="H89" s="8">
        <v>42407</v>
      </c>
      <c r="I89" s="6" t="s">
        <v>58</v>
      </c>
    </row>
    <row r="90" spans="1:9" x14ac:dyDescent="0.2">
      <c r="A90" s="6" t="s">
        <v>95</v>
      </c>
      <c r="B90" s="7">
        <v>96</v>
      </c>
      <c r="C90" s="6">
        <v>1</v>
      </c>
      <c r="D90" s="6">
        <v>0</v>
      </c>
      <c r="E90" s="6">
        <v>0</v>
      </c>
      <c r="F90" s="8">
        <v>42379</v>
      </c>
      <c r="G90" s="6" t="s">
        <v>49</v>
      </c>
      <c r="H90" s="8">
        <v>42408</v>
      </c>
      <c r="I90" s="6" t="s">
        <v>96</v>
      </c>
    </row>
    <row r="91" spans="1:9" x14ac:dyDescent="0.2">
      <c r="A91" s="6" t="s">
        <v>56</v>
      </c>
      <c r="B91" s="7">
        <v>50</v>
      </c>
      <c r="C91" s="6">
        <v>1</v>
      </c>
      <c r="D91" s="6">
        <v>0</v>
      </c>
      <c r="E91" s="6">
        <v>0</v>
      </c>
      <c r="F91" s="8">
        <v>42379</v>
      </c>
      <c r="G91" s="6" t="s">
        <v>33</v>
      </c>
      <c r="H91" s="8">
        <v>42407</v>
      </c>
      <c r="I91" s="6" t="s">
        <v>56</v>
      </c>
    </row>
    <row r="92" spans="1:9" x14ac:dyDescent="0.2">
      <c r="A92" s="6" t="s">
        <v>58</v>
      </c>
      <c r="B92" s="7">
        <v>20</v>
      </c>
      <c r="C92" s="6">
        <v>1</v>
      </c>
      <c r="D92" s="6">
        <v>0</v>
      </c>
      <c r="E92" s="6">
        <v>0</v>
      </c>
      <c r="F92" s="8">
        <v>42379</v>
      </c>
      <c r="G92" s="6" t="s">
        <v>33</v>
      </c>
      <c r="H92" s="8">
        <v>42407</v>
      </c>
      <c r="I92" s="6" t="s">
        <v>58</v>
      </c>
    </row>
    <row r="93" spans="1:9" x14ac:dyDescent="0.2">
      <c r="A93" s="6" t="s">
        <v>97</v>
      </c>
      <c r="B93" s="7">
        <v>10</v>
      </c>
      <c r="C93" s="6">
        <v>1</v>
      </c>
      <c r="D93" s="6">
        <v>0</v>
      </c>
      <c r="E93" s="6">
        <v>0</v>
      </c>
      <c r="F93" s="8">
        <v>42379</v>
      </c>
      <c r="G93" s="6" t="s">
        <v>33</v>
      </c>
      <c r="H93" s="8">
        <v>42407</v>
      </c>
      <c r="I93" s="6" t="s">
        <v>68</v>
      </c>
    </row>
    <row r="94" spans="1:9" x14ac:dyDescent="0.2">
      <c r="A94" s="6" t="s">
        <v>98</v>
      </c>
      <c r="B94" s="7">
        <v>35</v>
      </c>
      <c r="C94" s="6">
        <v>1</v>
      </c>
      <c r="D94" s="6">
        <v>0</v>
      </c>
      <c r="E94" s="6">
        <v>0</v>
      </c>
      <c r="F94" s="8">
        <v>42379</v>
      </c>
      <c r="G94" s="6" t="s">
        <v>49</v>
      </c>
      <c r="H94" s="8">
        <v>42408</v>
      </c>
      <c r="I94" s="6" t="s">
        <v>150</v>
      </c>
    </row>
    <row r="95" spans="1:9" x14ac:dyDescent="0.2">
      <c r="A95" s="3" t="s">
        <v>26</v>
      </c>
      <c r="B95">
        <v>5.32</v>
      </c>
      <c r="C95" s="3">
        <v>1</v>
      </c>
      <c r="D95" s="3">
        <v>0</v>
      </c>
      <c r="E95" s="3">
        <v>0</v>
      </c>
      <c r="F95" s="1">
        <v>42410</v>
      </c>
      <c r="G95" s="3" t="s">
        <v>27</v>
      </c>
      <c r="H95" s="1">
        <v>42410</v>
      </c>
      <c r="I95" s="3" t="s">
        <v>28</v>
      </c>
    </row>
    <row r="96" spans="1:9" x14ac:dyDescent="0.2">
      <c r="A96" s="3" t="s">
        <v>29</v>
      </c>
      <c r="B96">
        <v>50</v>
      </c>
      <c r="C96" s="3">
        <v>1</v>
      </c>
      <c r="D96" s="3">
        <v>0</v>
      </c>
      <c r="E96" s="3">
        <v>0</v>
      </c>
      <c r="F96" s="1">
        <v>42410</v>
      </c>
      <c r="G96" s="3" t="s">
        <v>27</v>
      </c>
      <c r="H96" s="1">
        <v>42410</v>
      </c>
      <c r="I96" s="6" t="s">
        <v>615</v>
      </c>
    </row>
    <row r="97" spans="1:9" x14ac:dyDescent="0.2">
      <c r="A97" s="3" t="s">
        <v>30</v>
      </c>
      <c r="B97">
        <v>64</v>
      </c>
      <c r="C97" s="3">
        <v>1</v>
      </c>
      <c r="D97" s="3">
        <v>0</v>
      </c>
      <c r="E97" s="3">
        <v>0</v>
      </c>
      <c r="F97" s="1">
        <v>42410</v>
      </c>
      <c r="G97" s="3" t="s">
        <v>27</v>
      </c>
      <c r="H97" s="1">
        <v>42410</v>
      </c>
      <c r="I97" s="3" t="s">
        <v>28</v>
      </c>
    </row>
    <row r="98" spans="1:9" x14ac:dyDescent="0.2">
      <c r="A98" s="3" t="s">
        <v>31</v>
      </c>
      <c r="B98">
        <v>45.74</v>
      </c>
      <c r="C98" s="3">
        <v>1</v>
      </c>
      <c r="D98" s="3">
        <v>0</v>
      </c>
      <c r="E98" s="3">
        <v>0</v>
      </c>
      <c r="F98" s="1">
        <v>42410</v>
      </c>
      <c r="G98" s="3" t="s">
        <v>27</v>
      </c>
      <c r="H98" s="1">
        <v>42410</v>
      </c>
      <c r="I98" s="3" t="s">
        <v>28</v>
      </c>
    </row>
    <row r="99" spans="1:9" x14ac:dyDescent="0.2">
      <c r="A99" s="3" t="s">
        <v>32</v>
      </c>
      <c r="B99" s="3">
        <v>325.52</v>
      </c>
      <c r="C99" s="3">
        <v>1</v>
      </c>
      <c r="D99" s="3">
        <v>0</v>
      </c>
      <c r="E99" s="3">
        <v>0</v>
      </c>
      <c r="F99" s="1">
        <v>42410</v>
      </c>
      <c r="G99" s="3" t="s">
        <v>27</v>
      </c>
      <c r="H99" s="1">
        <v>42410</v>
      </c>
      <c r="I99" s="3" t="s">
        <v>34</v>
      </c>
    </row>
    <row r="100" spans="1:9" x14ac:dyDescent="0.2">
      <c r="A100" s="3" t="s">
        <v>35</v>
      </c>
      <c r="B100">
        <v>575.36</v>
      </c>
      <c r="C100" s="3">
        <v>1</v>
      </c>
      <c r="D100" s="3">
        <v>0</v>
      </c>
      <c r="E100" s="3">
        <v>0</v>
      </c>
      <c r="F100" s="1">
        <v>42410</v>
      </c>
      <c r="G100" s="3" t="s">
        <v>81</v>
      </c>
      <c r="H100" s="1">
        <v>42415</v>
      </c>
      <c r="I100" s="3" t="s">
        <v>36</v>
      </c>
    </row>
    <row r="101" spans="1:9" x14ac:dyDescent="0.2">
      <c r="A101" s="3" t="s">
        <v>37</v>
      </c>
      <c r="B101">
        <v>145</v>
      </c>
      <c r="C101" s="3">
        <v>1</v>
      </c>
      <c r="D101" s="3">
        <v>0</v>
      </c>
      <c r="E101" s="3">
        <v>0</v>
      </c>
      <c r="F101" s="1">
        <v>42410</v>
      </c>
      <c r="G101" s="3" t="s">
        <v>27</v>
      </c>
      <c r="H101" s="1">
        <v>42410</v>
      </c>
      <c r="I101" s="3" t="s">
        <v>37</v>
      </c>
    </row>
    <row r="102" spans="1:9" x14ac:dyDescent="0.2">
      <c r="A102" s="3" t="s">
        <v>38</v>
      </c>
      <c r="B102">
        <v>144.76</v>
      </c>
      <c r="C102" s="3">
        <v>1</v>
      </c>
      <c r="D102" s="3">
        <v>0</v>
      </c>
      <c r="E102" s="3">
        <v>0</v>
      </c>
      <c r="F102" s="1">
        <v>42410</v>
      </c>
      <c r="G102" s="3" t="s">
        <v>81</v>
      </c>
      <c r="H102" s="1">
        <v>42418</v>
      </c>
      <c r="I102" s="3" t="s">
        <v>39</v>
      </c>
    </row>
    <row r="103" spans="1:9" x14ac:dyDescent="0.2">
      <c r="A103" s="3" t="s">
        <v>40</v>
      </c>
      <c r="B103">
        <v>69.3</v>
      </c>
      <c r="C103" s="3">
        <v>1</v>
      </c>
      <c r="D103" s="3">
        <v>0</v>
      </c>
      <c r="E103" s="3">
        <v>0</v>
      </c>
      <c r="F103" s="1">
        <v>42410</v>
      </c>
      <c r="G103" s="3" t="s">
        <v>81</v>
      </c>
      <c r="H103" s="1">
        <v>42418</v>
      </c>
      <c r="I103" s="3" t="s">
        <v>39</v>
      </c>
    </row>
    <row r="104" spans="1:9" x14ac:dyDescent="0.2">
      <c r="A104" s="3" t="s">
        <v>41</v>
      </c>
      <c r="B104">
        <v>120</v>
      </c>
      <c r="C104" s="3">
        <v>1</v>
      </c>
      <c r="D104" s="3">
        <v>0</v>
      </c>
      <c r="E104" s="3">
        <v>0</v>
      </c>
      <c r="F104" s="1">
        <v>42410</v>
      </c>
      <c r="G104" s="3" t="s">
        <v>27</v>
      </c>
      <c r="H104" s="1">
        <v>42429</v>
      </c>
      <c r="I104" s="3" t="s">
        <v>43</v>
      </c>
    </row>
    <row r="105" spans="1:9" x14ac:dyDescent="0.2">
      <c r="A105" s="3" t="s">
        <v>44</v>
      </c>
      <c r="B105">
        <v>1344.23</v>
      </c>
      <c r="C105" s="3">
        <v>1</v>
      </c>
      <c r="D105" s="3">
        <v>0</v>
      </c>
      <c r="E105" s="3">
        <v>0</v>
      </c>
      <c r="F105" s="1">
        <v>42410</v>
      </c>
      <c r="G105" s="3" t="s">
        <v>27</v>
      </c>
      <c r="H105" s="1">
        <v>42410</v>
      </c>
      <c r="I105" s="3" t="s">
        <v>34</v>
      </c>
    </row>
    <row r="106" spans="1:9" x14ac:dyDescent="0.2">
      <c r="A106" s="3" t="s">
        <v>45</v>
      </c>
      <c r="B106">
        <v>81.31</v>
      </c>
      <c r="C106" s="3">
        <v>1</v>
      </c>
      <c r="D106" s="3">
        <v>0</v>
      </c>
      <c r="E106" s="3">
        <v>0</v>
      </c>
      <c r="F106" s="1">
        <v>42410</v>
      </c>
      <c r="G106" s="3" t="s">
        <v>27</v>
      </c>
      <c r="H106" s="1">
        <v>42410</v>
      </c>
      <c r="I106" s="3" t="s">
        <v>34</v>
      </c>
    </row>
    <row r="107" spans="1:9" x14ac:dyDescent="0.2">
      <c r="A107" s="9" t="s">
        <v>46</v>
      </c>
      <c r="B107" s="9">
        <f>SUMIFS(credito!$B$2:$B$80,credito!$F$2:$F$80,F107,credito!$G$2:$G$80,0)</f>
        <v>1752.99</v>
      </c>
      <c r="C107" s="9">
        <v>1</v>
      </c>
      <c r="D107" s="9">
        <v>0</v>
      </c>
      <c r="E107" s="12">
        <v>0</v>
      </c>
      <c r="F107" s="10">
        <v>42410</v>
      </c>
      <c r="G107" s="9" t="s">
        <v>42</v>
      </c>
      <c r="H107" s="10">
        <v>42412</v>
      </c>
      <c r="I107" s="9" t="s">
        <v>47</v>
      </c>
    </row>
    <row r="108" spans="1:9" x14ac:dyDescent="0.2">
      <c r="A108" s="3" t="s">
        <v>48</v>
      </c>
      <c r="B108">
        <v>48</v>
      </c>
      <c r="C108" s="3">
        <v>1</v>
      </c>
      <c r="D108" s="3">
        <v>0</v>
      </c>
      <c r="E108" s="3">
        <v>0</v>
      </c>
      <c r="F108" s="1">
        <v>42410</v>
      </c>
      <c r="G108" s="3" t="s">
        <v>88</v>
      </c>
      <c r="H108" s="1">
        <v>42431</v>
      </c>
      <c r="I108" s="3" t="s">
        <v>28</v>
      </c>
    </row>
    <row r="109" spans="1:9" x14ac:dyDescent="0.2">
      <c r="A109" s="3" t="s">
        <v>50</v>
      </c>
      <c r="B109">
        <v>50.05</v>
      </c>
      <c r="C109" s="3">
        <v>1</v>
      </c>
      <c r="D109" s="3">
        <v>0</v>
      </c>
      <c r="E109" s="3">
        <v>0</v>
      </c>
      <c r="F109" s="1">
        <v>42410</v>
      </c>
      <c r="G109" s="3" t="s">
        <v>27</v>
      </c>
      <c r="H109" s="1">
        <v>42410</v>
      </c>
      <c r="I109" s="3" t="s">
        <v>51</v>
      </c>
    </row>
    <row r="110" spans="1:9" x14ac:dyDescent="0.2">
      <c r="A110" s="3" t="s">
        <v>52</v>
      </c>
      <c r="B110">
        <v>231</v>
      </c>
      <c r="C110" s="3">
        <v>1</v>
      </c>
      <c r="D110" s="3">
        <v>0</v>
      </c>
      <c r="E110" s="3">
        <v>0</v>
      </c>
      <c r="F110" s="1">
        <v>42410</v>
      </c>
      <c r="G110" s="3" t="s">
        <v>27</v>
      </c>
      <c r="H110" s="1">
        <v>42410</v>
      </c>
      <c r="I110" s="3" t="s">
        <v>51</v>
      </c>
    </row>
    <row r="111" spans="1:9" x14ac:dyDescent="0.2">
      <c r="A111" s="3" t="s">
        <v>53</v>
      </c>
      <c r="B111">
        <v>115.5</v>
      </c>
      <c r="C111" s="3">
        <v>1</v>
      </c>
      <c r="D111" s="3">
        <v>0</v>
      </c>
      <c r="E111" s="3">
        <v>0</v>
      </c>
      <c r="F111" s="1">
        <v>42410</v>
      </c>
      <c r="G111" s="3" t="s">
        <v>27</v>
      </c>
      <c r="H111" s="1">
        <v>42410</v>
      </c>
      <c r="I111" s="3" t="s">
        <v>51</v>
      </c>
    </row>
    <row r="112" spans="1:9" x14ac:dyDescent="0.2">
      <c r="A112" s="3" t="s">
        <v>54</v>
      </c>
      <c r="B112">
        <v>77</v>
      </c>
      <c r="C112" s="3">
        <v>1</v>
      </c>
      <c r="D112" s="3">
        <v>0</v>
      </c>
      <c r="E112" s="3">
        <v>0</v>
      </c>
      <c r="F112" s="1">
        <v>42410</v>
      </c>
      <c r="G112" s="3" t="s">
        <v>27</v>
      </c>
      <c r="H112" s="1">
        <v>42410</v>
      </c>
      <c r="I112" s="3" t="s">
        <v>51</v>
      </c>
    </row>
    <row r="113" spans="1:10" x14ac:dyDescent="0.2">
      <c r="A113" s="3" t="s">
        <v>55</v>
      </c>
      <c r="B113">
        <v>0</v>
      </c>
      <c r="C113" s="3">
        <v>1</v>
      </c>
      <c r="D113" s="3">
        <v>0</v>
      </c>
      <c r="E113" s="3">
        <v>1</v>
      </c>
      <c r="F113" s="1">
        <v>42410</v>
      </c>
      <c r="G113" s="3" t="s">
        <v>42</v>
      </c>
      <c r="H113" s="1">
        <v>42410</v>
      </c>
      <c r="I113" s="3" t="s">
        <v>56</v>
      </c>
    </row>
    <row r="114" spans="1:10" x14ac:dyDescent="0.2">
      <c r="A114" s="3" t="s">
        <v>57</v>
      </c>
      <c r="B114">
        <v>0</v>
      </c>
      <c r="C114" s="3">
        <v>1</v>
      </c>
      <c r="D114" s="3">
        <v>0</v>
      </c>
      <c r="E114" s="3">
        <v>1</v>
      </c>
      <c r="F114" s="1">
        <v>42410</v>
      </c>
      <c r="G114" s="3" t="s">
        <v>42</v>
      </c>
      <c r="H114" s="1">
        <v>42410</v>
      </c>
      <c r="I114" s="3" t="s">
        <v>56</v>
      </c>
    </row>
    <row r="115" spans="1:10" x14ac:dyDescent="0.2">
      <c r="A115" s="3" t="s">
        <v>82</v>
      </c>
      <c r="B115">
        <v>20</v>
      </c>
      <c r="C115" s="3">
        <v>0</v>
      </c>
      <c r="D115" s="3">
        <v>1</v>
      </c>
      <c r="E115" s="3">
        <v>0</v>
      </c>
      <c r="F115" s="1">
        <v>42410</v>
      </c>
      <c r="G115" s="3" t="s">
        <v>42</v>
      </c>
      <c r="H115" s="1">
        <v>42410</v>
      </c>
      <c r="I115" s="6" t="s">
        <v>82</v>
      </c>
      <c r="J115">
        <v>100</v>
      </c>
    </row>
    <row r="116" spans="1:10" x14ac:dyDescent="0.2">
      <c r="A116" s="3" t="s">
        <v>82</v>
      </c>
      <c r="B116">
        <v>26</v>
      </c>
      <c r="C116" s="3">
        <v>0</v>
      </c>
      <c r="D116" s="3">
        <v>1</v>
      </c>
      <c r="E116" s="3">
        <v>0</v>
      </c>
      <c r="F116" s="1">
        <v>42410</v>
      </c>
      <c r="G116" s="3" t="s">
        <v>42</v>
      </c>
      <c r="H116" s="1">
        <v>42411</v>
      </c>
      <c r="I116" s="6" t="s">
        <v>82</v>
      </c>
    </row>
    <row r="117" spans="1:10" x14ac:dyDescent="0.2">
      <c r="A117" s="3" t="s">
        <v>60</v>
      </c>
      <c r="B117">
        <v>270.18</v>
      </c>
      <c r="C117" s="3">
        <v>0</v>
      </c>
      <c r="D117" s="3">
        <v>1</v>
      </c>
      <c r="E117" s="3">
        <v>0</v>
      </c>
      <c r="F117" s="1">
        <v>42410</v>
      </c>
      <c r="G117" s="3" t="s">
        <v>42</v>
      </c>
      <c r="H117" s="1">
        <v>42409</v>
      </c>
      <c r="I117" s="3" t="s">
        <v>60</v>
      </c>
      <c r="J117">
        <f>400-B117</f>
        <v>129.82</v>
      </c>
    </row>
    <row r="118" spans="1:10" x14ac:dyDescent="0.2">
      <c r="A118" s="3" t="s">
        <v>60</v>
      </c>
      <c r="B118">
        <v>38.25</v>
      </c>
      <c r="C118" s="3">
        <v>0</v>
      </c>
      <c r="D118" s="3">
        <v>1</v>
      </c>
      <c r="E118" s="3">
        <v>0</v>
      </c>
      <c r="F118" s="1">
        <v>42410</v>
      </c>
      <c r="G118" s="3" t="s">
        <v>42</v>
      </c>
      <c r="H118" s="1">
        <v>42412</v>
      </c>
      <c r="I118" s="3" t="s">
        <v>60</v>
      </c>
      <c r="J118">
        <f>400-B118</f>
        <v>361.75</v>
      </c>
    </row>
    <row r="119" spans="1:10" x14ac:dyDescent="0.2">
      <c r="A119" s="3" t="s">
        <v>59</v>
      </c>
      <c r="B119">
        <v>0</v>
      </c>
      <c r="C119" s="3">
        <v>0</v>
      </c>
      <c r="D119" s="3">
        <v>1</v>
      </c>
      <c r="E119" s="3">
        <v>1</v>
      </c>
      <c r="F119" s="1">
        <v>42410</v>
      </c>
      <c r="G119" s="3" t="s">
        <v>42</v>
      </c>
      <c r="H119" s="1">
        <v>42410</v>
      </c>
      <c r="I119" s="3" t="s">
        <v>59</v>
      </c>
      <c r="J119">
        <v>200</v>
      </c>
    </row>
    <row r="120" spans="1:10" x14ac:dyDescent="0.2">
      <c r="A120" s="3" t="s">
        <v>99</v>
      </c>
      <c r="B120">
        <v>0</v>
      </c>
      <c r="C120" s="3">
        <v>0</v>
      </c>
      <c r="D120" s="3">
        <v>1</v>
      </c>
      <c r="E120" s="3">
        <v>1</v>
      </c>
      <c r="F120" s="1">
        <v>42410</v>
      </c>
      <c r="G120" s="3" t="s">
        <v>42</v>
      </c>
      <c r="H120" s="1">
        <v>42410</v>
      </c>
      <c r="I120" s="3" t="s">
        <v>616</v>
      </c>
      <c r="J120">
        <v>130</v>
      </c>
    </row>
    <row r="121" spans="1:10" x14ac:dyDescent="0.2">
      <c r="A121" s="3" t="s">
        <v>61</v>
      </c>
      <c r="B121">
        <v>0</v>
      </c>
      <c r="C121" s="3">
        <v>0</v>
      </c>
      <c r="D121" s="3">
        <v>1</v>
      </c>
      <c r="E121" s="3">
        <v>1</v>
      </c>
      <c r="F121" s="1">
        <v>42410</v>
      </c>
      <c r="G121" s="3" t="s">
        <v>42</v>
      </c>
      <c r="H121" s="1">
        <v>42410</v>
      </c>
      <c r="I121" s="6" t="s">
        <v>63</v>
      </c>
      <c r="J121">
        <v>100</v>
      </c>
    </row>
    <row r="122" spans="1:10" x14ac:dyDescent="0.2">
      <c r="A122" s="3" t="s">
        <v>58</v>
      </c>
      <c r="B122">
        <v>0</v>
      </c>
      <c r="C122" s="3">
        <v>0</v>
      </c>
      <c r="D122" s="3">
        <v>1</v>
      </c>
      <c r="E122" s="3">
        <v>1</v>
      </c>
      <c r="F122" s="1">
        <v>42410</v>
      </c>
      <c r="G122" s="3" t="s">
        <v>42</v>
      </c>
      <c r="H122" s="1">
        <v>42410</v>
      </c>
      <c r="I122" s="3" t="s">
        <v>58</v>
      </c>
      <c r="J122">
        <v>100</v>
      </c>
    </row>
    <row r="123" spans="1:10" x14ac:dyDescent="0.2">
      <c r="A123" s="3" t="s">
        <v>100</v>
      </c>
      <c r="B123">
        <v>125.31</v>
      </c>
      <c r="C123" s="3">
        <v>0</v>
      </c>
      <c r="D123" s="3">
        <v>1</v>
      </c>
      <c r="E123" s="3">
        <v>0</v>
      </c>
      <c r="F123" s="1">
        <v>42410</v>
      </c>
      <c r="G123" s="3" t="s">
        <v>33</v>
      </c>
      <c r="H123" s="1">
        <v>42414</v>
      </c>
      <c r="I123" s="3" t="s">
        <v>96</v>
      </c>
    </row>
    <row r="124" spans="1:10" x14ac:dyDescent="0.2">
      <c r="A124" s="3" t="s">
        <v>71</v>
      </c>
      <c r="B124">
        <v>20</v>
      </c>
      <c r="C124" s="3">
        <v>0</v>
      </c>
      <c r="D124" s="3">
        <v>1</v>
      </c>
      <c r="E124" s="3">
        <v>0</v>
      </c>
      <c r="F124" s="1">
        <v>42410</v>
      </c>
      <c r="G124" s="3" t="s">
        <v>33</v>
      </c>
      <c r="H124" s="1">
        <v>42413</v>
      </c>
      <c r="I124" s="3" t="s">
        <v>68</v>
      </c>
    </row>
    <row r="125" spans="1:10" x14ac:dyDescent="0.2">
      <c r="A125" s="3" t="s">
        <v>65</v>
      </c>
      <c r="B125">
        <v>21</v>
      </c>
      <c r="C125" s="3">
        <v>0</v>
      </c>
      <c r="D125" s="3">
        <v>1</v>
      </c>
      <c r="E125" s="3">
        <v>0</v>
      </c>
      <c r="F125" s="1">
        <v>42410</v>
      </c>
      <c r="G125" s="3" t="s">
        <v>33</v>
      </c>
      <c r="H125" s="1">
        <v>42413</v>
      </c>
      <c r="I125" s="3" t="s">
        <v>63</v>
      </c>
    </row>
    <row r="126" spans="1:10" x14ac:dyDescent="0.2">
      <c r="A126" s="3" t="s">
        <v>101</v>
      </c>
      <c r="B126">
        <v>4</v>
      </c>
      <c r="C126" s="3">
        <v>0</v>
      </c>
      <c r="D126" s="3">
        <v>1</v>
      </c>
      <c r="E126" s="3">
        <v>0</v>
      </c>
      <c r="F126" s="1">
        <v>42410</v>
      </c>
      <c r="G126" s="3" t="s">
        <v>33</v>
      </c>
      <c r="H126" s="1">
        <v>42413</v>
      </c>
      <c r="I126" s="3" t="s">
        <v>615</v>
      </c>
    </row>
    <row r="127" spans="1:10" x14ac:dyDescent="0.2">
      <c r="A127" s="3" t="s">
        <v>59</v>
      </c>
      <c r="B127">
        <v>60</v>
      </c>
      <c r="C127" s="3">
        <v>0</v>
      </c>
      <c r="D127" s="3">
        <v>1</v>
      </c>
      <c r="E127" s="3">
        <v>0</v>
      </c>
      <c r="F127" s="1">
        <v>42410</v>
      </c>
      <c r="G127" s="3" t="s">
        <v>33</v>
      </c>
      <c r="H127" s="1">
        <v>42414</v>
      </c>
      <c r="I127" s="3" t="s">
        <v>59</v>
      </c>
    </row>
    <row r="128" spans="1:10" x14ac:dyDescent="0.2">
      <c r="A128" s="3" t="s">
        <v>102</v>
      </c>
      <c r="B128">
        <v>0</v>
      </c>
      <c r="C128" s="3">
        <v>0</v>
      </c>
      <c r="D128" s="3">
        <v>1</v>
      </c>
      <c r="E128" s="3">
        <v>0</v>
      </c>
      <c r="F128" s="1">
        <v>42410</v>
      </c>
      <c r="G128" s="3" t="s">
        <v>33</v>
      </c>
      <c r="H128" s="1">
        <v>42413</v>
      </c>
      <c r="I128" s="3" t="s">
        <v>68</v>
      </c>
    </row>
    <row r="129" spans="1:9" x14ac:dyDescent="0.2">
      <c r="A129" s="3" t="s">
        <v>103</v>
      </c>
      <c r="B129">
        <v>30</v>
      </c>
      <c r="C129" s="3">
        <v>0</v>
      </c>
      <c r="D129" s="3">
        <v>1</v>
      </c>
      <c r="E129" s="3">
        <v>0</v>
      </c>
      <c r="F129" s="1">
        <v>42410</v>
      </c>
      <c r="G129" s="3" t="s">
        <v>81</v>
      </c>
      <c r="H129" s="1">
        <v>42415</v>
      </c>
      <c r="I129" s="3" t="s">
        <v>103</v>
      </c>
    </row>
    <row r="130" spans="1:9" x14ac:dyDescent="0.2">
      <c r="A130" s="3" t="s">
        <v>104</v>
      </c>
      <c r="B130">
        <v>3.9</v>
      </c>
      <c r="C130" s="3">
        <v>0</v>
      </c>
      <c r="D130" s="3">
        <v>1</v>
      </c>
      <c r="E130" s="3">
        <v>0</v>
      </c>
      <c r="F130" s="1">
        <v>42410</v>
      </c>
      <c r="G130" s="3" t="s">
        <v>81</v>
      </c>
      <c r="H130" s="1">
        <v>42415</v>
      </c>
      <c r="I130" s="3" t="s">
        <v>63</v>
      </c>
    </row>
    <row r="131" spans="1:9" x14ac:dyDescent="0.2">
      <c r="A131" s="3" t="s">
        <v>105</v>
      </c>
      <c r="B131">
        <v>4.5</v>
      </c>
      <c r="C131" s="3">
        <v>0</v>
      </c>
      <c r="D131" s="3">
        <v>1</v>
      </c>
      <c r="E131" s="3">
        <v>0</v>
      </c>
      <c r="F131" s="1">
        <v>42410</v>
      </c>
      <c r="G131" s="3" t="s">
        <v>81</v>
      </c>
      <c r="H131" s="1">
        <v>42415</v>
      </c>
      <c r="I131" s="3" t="s">
        <v>63</v>
      </c>
    </row>
    <row r="132" spans="1:9" x14ac:dyDescent="0.2">
      <c r="A132" s="3" t="s">
        <v>106</v>
      </c>
      <c r="B132">
        <v>5</v>
      </c>
      <c r="C132" s="3">
        <v>0</v>
      </c>
      <c r="D132" s="3">
        <v>1</v>
      </c>
      <c r="E132" s="3">
        <v>0</v>
      </c>
      <c r="F132" s="1">
        <v>42410</v>
      </c>
      <c r="G132" s="3" t="s">
        <v>33</v>
      </c>
      <c r="H132" s="1">
        <v>42413</v>
      </c>
      <c r="I132" s="3" t="s">
        <v>63</v>
      </c>
    </row>
    <row r="133" spans="1:9" x14ac:dyDescent="0.2">
      <c r="A133" s="3" t="s">
        <v>107</v>
      </c>
      <c r="B133">
        <v>5</v>
      </c>
      <c r="C133" s="3">
        <v>0</v>
      </c>
      <c r="D133" s="3">
        <v>1</v>
      </c>
      <c r="E133" s="3">
        <v>0</v>
      </c>
      <c r="F133" s="1">
        <v>42410</v>
      </c>
      <c r="G133" s="3" t="s">
        <v>81</v>
      </c>
      <c r="H133" s="1">
        <v>42416</v>
      </c>
      <c r="I133" s="3" t="s">
        <v>63</v>
      </c>
    </row>
    <row r="134" spans="1:9" x14ac:dyDescent="0.2">
      <c r="A134" s="3" t="s">
        <v>62</v>
      </c>
      <c r="B134">
        <v>11.98</v>
      </c>
      <c r="C134" s="3">
        <v>0</v>
      </c>
      <c r="D134" s="3">
        <v>1</v>
      </c>
      <c r="E134" s="3">
        <v>0</v>
      </c>
      <c r="F134" s="1">
        <v>42410</v>
      </c>
      <c r="G134" s="3" t="s">
        <v>81</v>
      </c>
      <c r="H134" s="1">
        <v>42416</v>
      </c>
      <c r="I134" s="3" t="s">
        <v>63</v>
      </c>
    </row>
    <row r="135" spans="1:9" x14ac:dyDescent="0.2">
      <c r="A135" s="3" t="s">
        <v>108</v>
      </c>
      <c r="B135">
        <v>5.7</v>
      </c>
      <c r="C135" s="3">
        <v>0</v>
      </c>
      <c r="D135" s="3">
        <v>1</v>
      </c>
      <c r="E135" s="3">
        <v>0</v>
      </c>
      <c r="F135" s="1">
        <v>42410</v>
      </c>
      <c r="G135" s="3" t="s">
        <v>81</v>
      </c>
      <c r="H135" s="1">
        <v>42417</v>
      </c>
      <c r="I135" s="3" t="s">
        <v>63</v>
      </c>
    </row>
    <row r="136" spans="1:9" x14ac:dyDescent="0.2">
      <c r="A136" s="3" t="s">
        <v>109</v>
      </c>
      <c r="B136">
        <v>14.67</v>
      </c>
      <c r="C136" s="3">
        <v>0</v>
      </c>
      <c r="D136" s="3">
        <v>1</v>
      </c>
      <c r="E136" s="3">
        <v>0</v>
      </c>
      <c r="F136" s="1">
        <v>42410</v>
      </c>
      <c r="G136" s="3" t="s">
        <v>81</v>
      </c>
      <c r="H136" s="1">
        <v>42417</v>
      </c>
      <c r="I136" s="3" t="s">
        <v>63</v>
      </c>
    </row>
    <row r="137" spans="1:9" x14ac:dyDescent="0.2">
      <c r="A137" s="3" t="s">
        <v>99</v>
      </c>
      <c r="B137">
        <v>137.16</v>
      </c>
      <c r="C137" s="3">
        <v>0</v>
      </c>
      <c r="D137" s="3">
        <v>1</v>
      </c>
      <c r="E137" s="3">
        <v>0</v>
      </c>
      <c r="F137" s="1">
        <v>42410</v>
      </c>
      <c r="G137" s="3" t="s">
        <v>81</v>
      </c>
      <c r="H137" s="1">
        <v>42416</v>
      </c>
      <c r="I137" s="3" t="s">
        <v>99</v>
      </c>
    </row>
    <row r="138" spans="1:9" x14ac:dyDescent="0.2">
      <c r="A138" s="3" t="s">
        <v>60</v>
      </c>
      <c r="B138">
        <v>50</v>
      </c>
      <c r="C138" s="3">
        <v>0</v>
      </c>
      <c r="D138" s="3">
        <v>1</v>
      </c>
      <c r="E138" s="3">
        <v>0</v>
      </c>
      <c r="F138" s="1">
        <v>42410</v>
      </c>
      <c r="G138" s="3" t="s">
        <v>33</v>
      </c>
      <c r="H138" s="1">
        <v>42414</v>
      </c>
      <c r="I138" s="3" t="s">
        <v>60</v>
      </c>
    </row>
    <row r="139" spans="1:9" x14ac:dyDescent="0.2">
      <c r="A139" s="3" t="s">
        <v>62</v>
      </c>
      <c r="B139">
        <v>9.9</v>
      </c>
      <c r="C139" s="3">
        <v>0</v>
      </c>
      <c r="D139" s="3">
        <v>1</v>
      </c>
      <c r="E139" s="3">
        <v>0</v>
      </c>
      <c r="F139" s="1">
        <v>42410</v>
      </c>
      <c r="G139" s="3" t="s">
        <v>81</v>
      </c>
      <c r="H139" s="1">
        <v>42418</v>
      </c>
      <c r="I139" s="3" t="s">
        <v>63</v>
      </c>
    </row>
    <row r="140" spans="1:9" x14ac:dyDescent="0.2">
      <c r="A140" s="3" t="s">
        <v>60</v>
      </c>
      <c r="B140">
        <v>46.9</v>
      </c>
      <c r="C140" s="3">
        <v>0</v>
      </c>
      <c r="D140" s="3">
        <v>1</v>
      </c>
      <c r="E140" s="3">
        <v>0</v>
      </c>
      <c r="F140" s="1">
        <v>42410</v>
      </c>
      <c r="G140" s="3" t="s">
        <v>81</v>
      </c>
      <c r="H140" s="1">
        <v>42418</v>
      </c>
      <c r="I140" s="3" t="s">
        <v>60</v>
      </c>
    </row>
    <row r="141" spans="1:9" x14ac:dyDescent="0.2">
      <c r="A141" s="3" t="s">
        <v>58</v>
      </c>
      <c r="B141">
        <v>25.75</v>
      </c>
      <c r="C141" s="3">
        <v>0</v>
      </c>
      <c r="D141" s="3">
        <v>1</v>
      </c>
      <c r="E141" s="3">
        <v>0</v>
      </c>
      <c r="F141" s="1">
        <v>42410</v>
      </c>
      <c r="G141" s="3" t="s">
        <v>81</v>
      </c>
      <c r="H141" s="1">
        <v>42419</v>
      </c>
      <c r="I141" s="3" t="s">
        <v>58</v>
      </c>
    </row>
    <row r="142" spans="1:9" x14ac:dyDescent="0.2">
      <c r="A142" s="3" t="s">
        <v>62</v>
      </c>
      <c r="B142">
        <v>11.98</v>
      </c>
      <c r="C142" s="3">
        <v>0</v>
      </c>
      <c r="D142" s="3">
        <v>1</v>
      </c>
      <c r="E142" s="3">
        <v>0</v>
      </c>
      <c r="F142" s="1">
        <v>42410</v>
      </c>
      <c r="G142" s="3" t="s">
        <v>81</v>
      </c>
      <c r="H142" s="1">
        <v>42419</v>
      </c>
      <c r="I142" s="3" t="s">
        <v>63</v>
      </c>
    </row>
    <row r="143" spans="1:9" x14ac:dyDescent="0.2">
      <c r="A143" s="3" t="s">
        <v>56</v>
      </c>
      <c r="B143">
        <v>100</v>
      </c>
      <c r="C143" s="3">
        <v>0</v>
      </c>
      <c r="D143" s="3">
        <v>1</v>
      </c>
      <c r="E143" s="3">
        <v>0</v>
      </c>
      <c r="F143" s="1">
        <v>42410</v>
      </c>
      <c r="G143" s="3" t="s">
        <v>33</v>
      </c>
      <c r="H143" s="1">
        <v>42421</v>
      </c>
      <c r="I143" s="3" t="s">
        <v>56</v>
      </c>
    </row>
    <row r="144" spans="1:9" x14ac:dyDescent="0.2">
      <c r="A144" s="3" t="s">
        <v>59</v>
      </c>
      <c r="B144">
        <v>70</v>
      </c>
      <c r="C144" s="3">
        <v>0</v>
      </c>
      <c r="D144" s="3">
        <v>1</v>
      </c>
      <c r="E144" s="3">
        <v>0</v>
      </c>
      <c r="F144" s="1">
        <v>42410</v>
      </c>
      <c r="G144" s="3" t="s">
        <v>33</v>
      </c>
      <c r="H144" s="1">
        <v>42420</v>
      </c>
      <c r="I144" s="3" t="s">
        <v>59</v>
      </c>
    </row>
    <row r="145" spans="1:9" x14ac:dyDescent="0.2">
      <c r="A145" s="3" t="s">
        <v>110</v>
      </c>
      <c r="B145">
        <v>50</v>
      </c>
      <c r="C145" s="3">
        <v>0</v>
      </c>
      <c r="D145" s="3">
        <v>1</v>
      </c>
      <c r="E145" s="3">
        <v>0</v>
      </c>
      <c r="F145" s="1">
        <v>42410</v>
      </c>
      <c r="G145" s="3" t="s">
        <v>33</v>
      </c>
      <c r="H145" s="1">
        <v>42421</v>
      </c>
      <c r="I145" s="3" t="s">
        <v>43</v>
      </c>
    </row>
    <row r="146" spans="1:9" x14ac:dyDescent="0.2">
      <c r="A146" s="3" t="s">
        <v>111</v>
      </c>
      <c r="B146">
        <v>20.05</v>
      </c>
      <c r="C146" s="3">
        <v>1</v>
      </c>
      <c r="D146" s="3">
        <v>0</v>
      </c>
      <c r="E146" s="3">
        <v>0</v>
      </c>
      <c r="F146" s="1">
        <v>42410</v>
      </c>
      <c r="G146" s="3" t="s">
        <v>33</v>
      </c>
      <c r="H146" s="1">
        <v>42420</v>
      </c>
      <c r="I146" s="3" t="s">
        <v>34</v>
      </c>
    </row>
    <row r="147" spans="1:9" x14ac:dyDescent="0.2">
      <c r="A147" s="3" t="s">
        <v>89</v>
      </c>
      <c r="B147">
        <v>75</v>
      </c>
      <c r="C147" s="3">
        <v>0</v>
      </c>
      <c r="D147" s="3">
        <v>1</v>
      </c>
      <c r="E147" s="3">
        <v>0</v>
      </c>
      <c r="F147" s="1">
        <v>42410</v>
      </c>
      <c r="G147" s="3" t="s">
        <v>33</v>
      </c>
      <c r="H147" s="1">
        <v>42420</v>
      </c>
      <c r="I147" s="3" t="s">
        <v>89</v>
      </c>
    </row>
    <row r="148" spans="1:9" x14ac:dyDescent="0.2">
      <c r="A148" s="3" t="s">
        <v>58</v>
      </c>
      <c r="B148">
        <v>34.64</v>
      </c>
      <c r="C148" s="3">
        <v>0</v>
      </c>
      <c r="D148" s="3">
        <v>1</v>
      </c>
      <c r="E148" s="3">
        <v>0</v>
      </c>
      <c r="F148" s="1">
        <v>42410</v>
      </c>
      <c r="G148" s="3" t="s">
        <v>33</v>
      </c>
      <c r="H148" s="1">
        <v>42420</v>
      </c>
      <c r="I148" s="3" t="s">
        <v>58</v>
      </c>
    </row>
    <row r="149" spans="1:9" x14ac:dyDescent="0.2">
      <c r="A149" s="3" t="s">
        <v>112</v>
      </c>
      <c r="B149">
        <v>25.8</v>
      </c>
      <c r="C149" s="3">
        <v>0</v>
      </c>
      <c r="D149" s="3">
        <v>1</v>
      </c>
      <c r="E149" s="3">
        <v>0</v>
      </c>
      <c r="F149" s="1">
        <v>42410</v>
      </c>
      <c r="G149" s="3" t="s">
        <v>33</v>
      </c>
      <c r="H149" s="1">
        <v>42421</v>
      </c>
      <c r="I149" s="6" t="s">
        <v>63</v>
      </c>
    </row>
    <row r="150" spans="1:9" x14ac:dyDescent="0.2">
      <c r="A150" s="3" t="s">
        <v>113</v>
      </c>
      <c r="B150">
        <v>40.35</v>
      </c>
      <c r="C150" s="3">
        <v>0</v>
      </c>
      <c r="D150" s="3">
        <v>1</v>
      </c>
      <c r="E150" s="3">
        <v>0</v>
      </c>
      <c r="F150" s="1">
        <v>42410</v>
      </c>
      <c r="G150" s="3" t="s">
        <v>33</v>
      </c>
      <c r="H150" s="1">
        <v>42421</v>
      </c>
      <c r="I150" s="6" t="s">
        <v>63</v>
      </c>
    </row>
    <row r="151" spans="1:9" x14ac:dyDescent="0.2">
      <c r="A151" s="3" t="s">
        <v>70</v>
      </c>
      <c r="B151">
        <v>5.7</v>
      </c>
      <c r="C151" s="3">
        <v>0</v>
      </c>
      <c r="D151" s="3">
        <v>1</v>
      </c>
      <c r="E151" s="3">
        <v>0</v>
      </c>
      <c r="F151" s="1">
        <v>42410</v>
      </c>
      <c r="G151" s="3" t="s">
        <v>88</v>
      </c>
      <c r="H151" s="1">
        <v>42424</v>
      </c>
      <c r="I151" s="3" t="s">
        <v>63</v>
      </c>
    </row>
    <row r="152" spans="1:9" x14ac:dyDescent="0.2">
      <c r="A152" s="3" t="s">
        <v>62</v>
      </c>
      <c r="B152">
        <v>2.5</v>
      </c>
      <c r="C152" s="3">
        <v>0</v>
      </c>
      <c r="D152" s="3">
        <v>1</v>
      </c>
      <c r="E152" s="3">
        <v>0</v>
      </c>
      <c r="F152" s="1">
        <v>42410</v>
      </c>
      <c r="G152" s="3" t="s">
        <v>88</v>
      </c>
      <c r="H152" s="1">
        <v>42425</v>
      </c>
      <c r="I152" s="3" t="s">
        <v>63</v>
      </c>
    </row>
    <row r="153" spans="1:9" x14ac:dyDescent="0.2">
      <c r="A153" s="3" t="s">
        <v>62</v>
      </c>
      <c r="B153">
        <v>23.9</v>
      </c>
      <c r="C153" s="3">
        <v>0</v>
      </c>
      <c r="D153" s="3">
        <v>1</v>
      </c>
      <c r="E153" s="3">
        <v>0</v>
      </c>
      <c r="F153" s="1">
        <v>42410</v>
      </c>
      <c r="G153" s="3" t="s">
        <v>88</v>
      </c>
      <c r="H153" s="1">
        <v>42425</v>
      </c>
      <c r="I153" s="3" t="s">
        <v>63</v>
      </c>
    </row>
    <row r="154" spans="1:9" x14ac:dyDescent="0.2">
      <c r="A154" s="3" t="s">
        <v>89</v>
      </c>
      <c r="B154">
        <v>70</v>
      </c>
      <c r="C154" s="3">
        <v>0</v>
      </c>
      <c r="D154" s="3">
        <v>1</v>
      </c>
      <c r="E154" s="3">
        <v>0</v>
      </c>
      <c r="F154" s="1">
        <v>42410</v>
      </c>
      <c r="G154" s="3" t="s">
        <v>33</v>
      </c>
      <c r="H154" s="1">
        <v>42427</v>
      </c>
      <c r="I154" s="3" t="s">
        <v>89</v>
      </c>
    </row>
    <row r="155" spans="1:9" x14ac:dyDescent="0.2">
      <c r="A155" s="3" t="s">
        <v>59</v>
      </c>
      <c r="B155">
        <v>100</v>
      </c>
      <c r="C155" s="3">
        <v>0</v>
      </c>
      <c r="D155" s="3">
        <v>1</v>
      </c>
      <c r="E155" s="3">
        <v>0</v>
      </c>
      <c r="F155" s="1">
        <v>42410</v>
      </c>
      <c r="G155" s="3" t="s">
        <v>33</v>
      </c>
      <c r="H155" s="1">
        <v>42427</v>
      </c>
      <c r="I155" s="3" t="s">
        <v>59</v>
      </c>
    </row>
    <row r="156" spans="1:9" x14ac:dyDescent="0.2">
      <c r="A156" s="3" t="s">
        <v>114</v>
      </c>
      <c r="B156">
        <v>57.7</v>
      </c>
      <c r="C156" s="3">
        <v>0</v>
      </c>
      <c r="D156" s="3">
        <v>1</v>
      </c>
      <c r="E156" s="3">
        <v>0</v>
      </c>
      <c r="F156" s="1">
        <v>42410</v>
      </c>
      <c r="G156" s="3" t="s">
        <v>33</v>
      </c>
      <c r="H156" s="1">
        <v>42427</v>
      </c>
      <c r="I156" s="6" t="s">
        <v>63</v>
      </c>
    </row>
    <row r="157" spans="1:9" x14ac:dyDescent="0.2">
      <c r="A157" s="3" t="s">
        <v>115</v>
      </c>
      <c r="B157">
        <v>50</v>
      </c>
      <c r="C157" s="3">
        <v>0</v>
      </c>
      <c r="D157" s="3">
        <v>1</v>
      </c>
      <c r="E157" s="3">
        <v>0</v>
      </c>
      <c r="F157" s="1">
        <v>42410</v>
      </c>
      <c r="G157" s="3" t="s">
        <v>88</v>
      </c>
      <c r="H157" s="1">
        <v>42426</v>
      </c>
      <c r="I157" s="3" t="s">
        <v>150</v>
      </c>
    </row>
    <row r="158" spans="1:9" x14ac:dyDescent="0.2">
      <c r="A158" s="3" t="s">
        <v>41</v>
      </c>
      <c r="B158">
        <v>120</v>
      </c>
      <c r="C158" s="3">
        <v>1</v>
      </c>
      <c r="D158" s="3">
        <v>0</v>
      </c>
      <c r="E158" s="3">
        <v>0</v>
      </c>
      <c r="F158" s="1">
        <v>42410</v>
      </c>
      <c r="G158" s="3" t="s">
        <v>88</v>
      </c>
      <c r="H158" s="1">
        <v>42429</v>
      </c>
      <c r="I158" s="3" t="s">
        <v>43</v>
      </c>
    </row>
    <row r="159" spans="1:9" x14ac:dyDescent="0.2">
      <c r="A159" s="3" t="s">
        <v>117</v>
      </c>
      <c r="B159">
        <v>44.94</v>
      </c>
      <c r="C159" s="3">
        <v>0</v>
      </c>
      <c r="D159" s="3">
        <v>1</v>
      </c>
      <c r="E159" s="3">
        <v>0</v>
      </c>
      <c r="F159" s="1">
        <v>42410</v>
      </c>
      <c r="G159" s="3" t="s">
        <v>88</v>
      </c>
      <c r="H159" s="1">
        <v>42430</v>
      </c>
      <c r="I159" s="3" t="s">
        <v>118</v>
      </c>
    </row>
    <row r="160" spans="1:9" x14ac:dyDescent="0.2">
      <c r="A160" s="3" t="s">
        <v>70</v>
      </c>
      <c r="B160">
        <v>3.1</v>
      </c>
      <c r="C160" s="3">
        <v>0</v>
      </c>
      <c r="D160" s="3">
        <v>1</v>
      </c>
      <c r="E160" s="3">
        <v>0</v>
      </c>
      <c r="F160" s="1">
        <v>42410</v>
      </c>
      <c r="G160" s="3" t="s">
        <v>88</v>
      </c>
      <c r="H160" s="1">
        <v>42431</v>
      </c>
      <c r="I160" s="3" t="s">
        <v>63</v>
      </c>
    </row>
    <row r="161" spans="1:9" x14ac:dyDescent="0.2">
      <c r="A161" s="3" t="s">
        <v>70</v>
      </c>
      <c r="B161">
        <v>7.6</v>
      </c>
      <c r="C161" s="3">
        <v>0</v>
      </c>
      <c r="D161" s="3">
        <v>1</v>
      </c>
      <c r="E161" s="3">
        <v>0</v>
      </c>
      <c r="F161" s="1">
        <v>42410</v>
      </c>
      <c r="G161" s="3" t="s">
        <v>88</v>
      </c>
      <c r="H161" s="1">
        <v>42431</v>
      </c>
      <c r="I161" s="3" t="s">
        <v>63</v>
      </c>
    </row>
    <row r="162" spans="1:9" x14ac:dyDescent="0.2">
      <c r="A162" s="3" t="s">
        <v>70</v>
      </c>
      <c r="B162">
        <v>9.4</v>
      </c>
      <c r="C162" s="3">
        <v>0</v>
      </c>
      <c r="D162" s="3">
        <v>1</v>
      </c>
      <c r="E162" s="3">
        <v>0</v>
      </c>
      <c r="F162" s="1">
        <v>42410</v>
      </c>
      <c r="G162" s="3" t="s">
        <v>88</v>
      </c>
      <c r="H162" s="1">
        <v>42431</v>
      </c>
      <c r="I162" s="3" t="s">
        <v>63</v>
      </c>
    </row>
    <row r="163" spans="1:9" x14ac:dyDescent="0.2">
      <c r="A163" s="3" t="s">
        <v>119</v>
      </c>
      <c r="B163">
        <v>20.37</v>
      </c>
      <c r="C163" s="3">
        <v>0</v>
      </c>
      <c r="D163" s="3">
        <v>1</v>
      </c>
      <c r="E163" s="3">
        <v>0</v>
      </c>
      <c r="F163" s="1">
        <v>42410</v>
      </c>
      <c r="G163" s="3" t="s">
        <v>88</v>
      </c>
      <c r="H163" s="1">
        <v>42433</v>
      </c>
      <c r="I163" s="3" t="s">
        <v>63</v>
      </c>
    </row>
    <row r="164" spans="1:9" x14ac:dyDescent="0.2">
      <c r="A164" s="3" t="s">
        <v>75</v>
      </c>
      <c r="B164">
        <v>9.5</v>
      </c>
      <c r="C164" s="3">
        <v>0</v>
      </c>
      <c r="D164" s="3">
        <v>1</v>
      </c>
      <c r="E164" s="3">
        <v>0</v>
      </c>
      <c r="F164" s="1">
        <v>42410</v>
      </c>
      <c r="G164" s="3" t="s">
        <v>88</v>
      </c>
      <c r="H164" s="1">
        <v>42433</v>
      </c>
      <c r="I164" s="3" t="s">
        <v>63</v>
      </c>
    </row>
    <row r="165" spans="1:9" x14ac:dyDescent="0.2">
      <c r="A165" s="3" t="s">
        <v>120</v>
      </c>
      <c r="B165">
        <v>63.86</v>
      </c>
      <c r="C165" s="3">
        <v>0</v>
      </c>
      <c r="D165" s="3">
        <v>1</v>
      </c>
      <c r="E165" s="3">
        <v>0</v>
      </c>
      <c r="F165" s="1">
        <v>42410</v>
      </c>
      <c r="G165" s="3" t="s">
        <v>88</v>
      </c>
      <c r="H165" s="1">
        <v>42433</v>
      </c>
      <c r="I165" s="3" t="s">
        <v>63</v>
      </c>
    </row>
    <row r="166" spans="1:9" x14ac:dyDescent="0.2">
      <c r="A166" s="3" t="s">
        <v>121</v>
      </c>
      <c r="B166">
        <v>15.72</v>
      </c>
      <c r="C166" s="3">
        <v>0</v>
      </c>
      <c r="D166" s="3">
        <v>1</v>
      </c>
      <c r="E166" s="3">
        <v>0</v>
      </c>
      <c r="F166" s="1">
        <v>42410</v>
      </c>
      <c r="G166" s="3" t="s">
        <v>33</v>
      </c>
      <c r="H166" s="1">
        <v>42434</v>
      </c>
      <c r="I166" s="6" t="s">
        <v>68</v>
      </c>
    </row>
    <row r="167" spans="1:9" x14ac:dyDescent="0.2">
      <c r="A167" s="3" t="s">
        <v>89</v>
      </c>
      <c r="B167">
        <v>20</v>
      </c>
      <c r="C167" s="3">
        <v>0</v>
      </c>
      <c r="D167" s="3">
        <v>1</v>
      </c>
      <c r="E167" s="3">
        <v>0</v>
      </c>
      <c r="F167" s="1">
        <v>42410</v>
      </c>
      <c r="G167" s="3" t="s">
        <v>33</v>
      </c>
      <c r="H167" s="1">
        <v>42434</v>
      </c>
      <c r="I167" s="3" t="s">
        <v>89</v>
      </c>
    </row>
    <row r="168" spans="1:9" x14ac:dyDescent="0.2">
      <c r="A168" s="3" t="s">
        <v>71</v>
      </c>
      <c r="B168">
        <v>20</v>
      </c>
      <c r="C168" s="3">
        <v>0</v>
      </c>
      <c r="D168" s="3">
        <v>1</v>
      </c>
      <c r="E168" s="3">
        <v>0</v>
      </c>
      <c r="F168" s="1">
        <v>42410</v>
      </c>
      <c r="G168" s="3" t="s">
        <v>33</v>
      </c>
      <c r="H168" s="1">
        <v>42434</v>
      </c>
      <c r="I168" s="3" t="s">
        <v>68</v>
      </c>
    </row>
    <row r="169" spans="1:9" x14ac:dyDescent="0.2">
      <c r="A169" s="3" t="s">
        <v>56</v>
      </c>
      <c r="B169">
        <v>50</v>
      </c>
      <c r="C169" s="3">
        <v>0</v>
      </c>
      <c r="D169" s="3">
        <v>1</v>
      </c>
      <c r="E169" s="3">
        <v>0</v>
      </c>
      <c r="F169" s="1">
        <v>42410</v>
      </c>
      <c r="G169" s="3" t="s">
        <v>33</v>
      </c>
      <c r="H169" s="1">
        <v>42427</v>
      </c>
      <c r="I169" s="3" t="s">
        <v>56</v>
      </c>
    </row>
    <row r="170" spans="1:9" x14ac:dyDescent="0.2">
      <c r="A170" s="3" t="s">
        <v>13</v>
      </c>
      <c r="B170">
        <v>50</v>
      </c>
      <c r="C170" s="3">
        <v>0</v>
      </c>
      <c r="D170" s="3">
        <v>1</v>
      </c>
      <c r="E170" s="3">
        <v>0</v>
      </c>
      <c r="F170" s="1">
        <v>42410</v>
      </c>
      <c r="G170" s="3" t="s">
        <v>33</v>
      </c>
      <c r="H170" s="1">
        <v>42427</v>
      </c>
      <c r="I170" s="6" t="s">
        <v>13</v>
      </c>
    </row>
    <row r="171" spans="1:9" x14ac:dyDescent="0.2">
      <c r="A171" s="3" t="s">
        <v>122</v>
      </c>
      <c r="B171">
        <v>11.77</v>
      </c>
      <c r="C171" s="3">
        <v>0</v>
      </c>
      <c r="D171" s="3">
        <v>1</v>
      </c>
      <c r="E171" s="3">
        <v>0</v>
      </c>
      <c r="F171" s="1">
        <v>42410</v>
      </c>
      <c r="G171" s="3" t="s">
        <v>49</v>
      </c>
      <c r="H171" s="1">
        <v>42437</v>
      </c>
      <c r="I171" s="3" t="s">
        <v>63</v>
      </c>
    </row>
    <row r="172" spans="1:9" x14ac:dyDescent="0.2">
      <c r="A172" s="3" t="s">
        <v>123</v>
      </c>
      <c r="B172">
        <v>23.96</v>
      </c>
      <c r="C172" s="3">
        <v>0</v>
      </c>
      <c r="D172" s="3">
        <v>1</v>
      </c>
      <c r="E172" s="3">
        <v>0</v>
      </c>
      <c r="F172" s="1">
        <v>42410</v>
      </c>
      <c r="G172" s="3" t="s">
        <v>49</v>
      </c>
      <c r="H172" s="1">
        <v>42437</v>
      </c>
      <c r="I172" s="6" t="s">
        <v>73</v>
      </c>
    </row>
    <row r="173" spans="1:9" x14ac:dyDescent="0.2">
      <c r="A173" s="3" t="s">
        <v>60</v>
      </c>
      <c r="B173">
        <v>43.36</v>
      </c>
      <c r="C173" s="3">
        <v>0</v>
      </c>
      <c r="D173" s="3">
        <v>1</v>
      </c>
      <c r="E173" s="3">
        <v>0</v>
      </c>
      <c r="F173" s="1">
        <v>42410</v>
      </c>
      <c r="G173" s="3" t="s">
        <v>49</v>
      </c>
      <c r="H173" s="1">
        <v>42438</v>
      </c>
      <c r="I173" s="3" t="s">
        <v>60</v>
      </c>
    </row>
    <row r="174" spans="1:9" x14ac:dyDescent="0.2">
      <c r="A174" s="3" t="s">
        <v>64</v>
      </c>
      <c r="B174">
        <v>11.22</v>
      </c>
      <c r="C174" s="3">
        <v>0</v>
      </c>
      <c r="D174" s="3">
        <v>1</v>
      </c>
      <c r="E174" s="3">
        <v>0</v>
      </c>
      <c r="F174" s="1">
        <v>42410</v>
      </c>
      <c r="G174" s="3" t="s">
        <v>49</v>
      </c>
      <c r="H174" s="1">
        <v>42438</v>
      </c>
      <c r="I174" s="3" t="s">
        <v>63</v>
      </c>
    </row>
    <row r="175" spans="1:9" x14ac:dyDescent="0.2">
      <c r="A175" s="3" t="s">
        <v>124</v>
      </c>
      <c r="B175">
        <v>11.98</v>
      </c>
      <c r="C175" s="3">
        <v>0</v>
      </c>
      <c r="D175" s="3">
        <v>1</v>
      </c>
      <c r="E175" s="3">
        <v>0</v>
      </c>
      <c r="F175" s="1">
        <v>42410</v>
      </c>
      <c r="G175" s="3" t="s">
        <v>49</v>
      </c>
      <c r="H175" s="1">
        <v>42438</v>
      </c>
      <c r="I175" s="3" t="s">
        <v>63</v>
      </c>
    </row>
    <row r="176" spans="1:9" x14ac:dyDescent="0.2">
      <c r="A176" s="3" t="s">
        <v>125</v>
      </c>
      <c r="B176">
        <v>200</v>
      </c>
      <c r="C176" s="3">
        <v>0</v>
      </c>
      <c r="D176" s="3">
        <v>1</v>
      </c>
      <c r="E176" s="3">
        <v>0</v>
      </c>
      <c r="F176" s="1">
        <v>42410</v>
      </c>
      <c r="G176" s="3" t="s">
        <v>88</v>
      </c>
      <c r="H176" s="1">
        <v>42428</v>
      </c>
      <c r="I176" s="3" t="s">
        <v>150</v>
      </c>
    </row>
    <row r="177" spans="1:10" x14ac:dyDescent="0.2">
      <c r="A177" s="3" t="s">
        <v>89</v>
      </c>
      <c r="B177">
        <v>20</v>
      </c>
      <c r="C177" s="3">
        <v>0</v>
      </c>
      <c r="D177" s="3">
        <v>1</v>
      </c>
      <c r="E177" s="3">
        <v>0</v>
      </c>
      <c r="F177" s="1">
        <v>42410</v>
      </c>
      <c r="G177" s="3" t="s">
        <v>49</v>
      </c>
      <c r="H177" s="1">
        <v>42439</v>
      </c>
      <c r="I177" s="3" t="s">
        <v>89</v>
      </c>
    </row>
    <row r="178" spans="1:10" x14ac:dyDescent="0.2">
      <c r="A178" s="3" t="s">
        <v>126</v>
      </c>
      <c r="B178">
        <v>7</v>
      </c>
      <c r="C178" s="3">
        <v>0</v>
      </c>
      <c r="D178" s="3">
        <v>1</v>
      </c>
      <c r="E178" s="3">
        <v>0</v>
      </c>
      <c r="F178" s="1">
        <v>42410</v>
      </c>
      <c r="G178" s="3" t="s">
        <v>49</v>
      </c>
      <c r="H178" s="1">
        <v>42439</v>
      </c>
      <c r="I178" s="3" t="s">
        <v>43</v>
      </c>
    </row>
    <row r="179" spans="1:10" x14ac:dyDescent="0.2">
      <c r="A179" s="6" t="s">
        <v>26</v>
      </c>
      <c r="B179" s="7">
        <v>5.32</v>
      </c>
      <c r="C179" s="6">
        <v>1</v>
      </c>
      <c r="D179" s="6">
        <v>0</v>
      </c>
      <c r="E179" s="6">
        <v>0</v>
      </c>
      <c r="F179" s="8">
        <v>42439</v>
      </c>
      <c r="G179" s="6" t="s">
        <v>27</v>
      </c>
      <c r="H179" s="8">
        <v>42439</v>
      </c>
      <c r="I179" s="6" t="s">
        <v>28</v>
      </c>
    </row>
    <row r="180" spans="1:10" x14ac:dyDescent="0.2">
      <c r="A180" s="6" t="s">
        <v>29</v>
      </c>
      <c r="B180" s="7">
        <v>50</v>
      </c>
      <c r="C180" s="6">
        <v>1</v>
      </c>
      <c r="D180" s="6">
        <v>0</v>
      </c>
      <c r="E180" s="6">
        <v>0</v>
      </c>
      <c r="F180" s="8">
        <v>42439</v>
      </c>
      <c r="G180" s="6" t="s">
        <v>27</v>
      </c>
      <c r="H180" s="8">
        <v>42439</v>
      </c>
      <c r="I180" s="6" t="s">
        <v>615</v>
      </c>
      <c r="J180" s="5"/>
    </row>
    <row r="181" spans="1:10" x14ac:dyDescent="0.2">
      <c r="A181" s="6" t="s">
        <v>30</v>
      </c>
      <c r="B181" s="7">
        <v>57</v>
      </c>
      <c r="C181" s="6">
        <v>1</v>
      </c>
      <c r="D181" s="6">
        <v>0</v>
      </c>
      <c r="E181" s="6">
        <v>0</v>
      </c>
      <c r="F181" s="8">
        <v>42439</v>
      </c>
      <c r="G181" s="6" t="s">
        <v>27</v>
      </c>
      <c r="H181" s="8">
        <v>42439</v>
      </c>
      <c r="I181" s="6" t="s">
        <v>28</v>
      </c>
    </row>
    <row r="182" spans="1:10" x14ac:dyDescent="0.2">
      <c r="A182" s="6" t="s">
        <v>31</v>
      </c>
      <c r="B182" s="7">
        <v>45.74</v>
      </c>
      <c r="C182" s="6">
        <v>1</v>
      </c>
      <c r="D182" s="6">
        <v>0</v>
      </c>
      <c r="E182" s="6">
        <v>0</v>
      </c>
      <c r="F182" s="8">
        <v>42439</v>
      </c>
      <c r="G182" s="6" t="s">
        <v>27</v>
      </c>
      <c r="H182" s="8">
        <v>42439</v>
      </c>
      <c r="I182" s="6" t="s">
        <v>28</v>
      </c>
    </row>
    <row r="183" spans="1:10" x14ac:dyDescent="0.2">
      <c r="A183" s="6" t="s">
        <v>32</v>
      </c>
      <c r="B183" s="6">
        <v>328.85</v>
      </c>
      <c r="C183" s="6">
        <v>1</v>
      </c>
      <c r="D183" s="6">
        <v>0</v>
      </c>
      <c r="E183" s="6">
        <v>0</v>
      </c>
      <c r="F183" s="8">
        <v>42439</v>
      </c>
      <c r="G183" s="6" t="s">
        <v>27</v>
      </c>
      <c r="H183" s="8">
        <v>42439</v>
      </c>
      <c r="I183" s="6" t="s">
        <v>34</v>
      </c>
    </row>
    <row r="184" spans="1:10" x14ac:dyDescent="0.2">
      <c r="A184" s="6" t="s">
        <v>35</v>
      </c>
      <c r="B184" s="7">
        <v>575.36</v>
      </c>
      <c r="C184" s="6">
        <v>1</v>
      </c>
      <c r="D184" s="6">
        <v>0</v>
      </c>
      <c r="E184" s="6">
        <v>0</v>
      </c>
      <c r="F184" s="8">
        <v>42439</v>
      </c>
      <c r="G184" s="6" t="s">
        <v>27</v>
      </c>
      <c r="H184" s="8">
        <v>42439</v>
      </c>
      <c r="I184" s="6" t="s">
        <v>36</v>
      </c>
      <c r="J184" s="5"/>
    </row>
    <row r="185" spans="1:10" x14ac:dyDescent="0.2">
      <c r="A185" s="6" t="s">
        <v>37</v>
      </c>
      <c r="B185" s="7">
        <v>190.2</v>
      </c>
      <c r="C185" s="6">
        <v>1</v>
      </c>
      <c r="D185" s="6">
        <v>0</v>
      </c>
      <c r="E185" s="6">
        <v>0</v>
      </c>
      <c r="F185" s="8">
        <v>42439</v>
      </c>
      <c r="G185" s="6" t="s">
        <v>27</v>
      </c>
      <c r="H185" s="8">
        <v>42439</v>
      </c>
      <c r="I185" s="6" t="s">
        <v>37</v>
      </c>
    </row>
    <row r="186" spans="1:10" x14ac:dyDescent="0.2">
      <c r="A186" s="6" t="s">
        <v>38</v>
      </c>
      <c r="B186" s="7">
        <v>144.76</v>
      </c>
      <c r="C186" s="6">
        <v>1</v>
      </c>
      <c r="D186" s="6">
        <v>0</v>
      </c>
      <c r="E186" s="6">
        <v>0</v>
      </c>
      <c r="F186" s="8">
        <v>42439</v>
      </c>
      <c r="G186" s="6" t="s">
        <v>27</v>
      </c>
      <c r="H186" s="8">
        <v>42439</v>
      </c>
      <c r="I186" s="6" t="s">
        <v>39</v>
      </c>
    </row>
    <row r="187" spans="1:10" x14ac:dyDescent="0.2">
      <c r="A187" s="6" t="s">
        <v>40</v>
      </c>
      <c r="B187" s="7">
        <v>69.3</v>
      </c>
      <c r="C187" s="6">
        <v>1</v>
      </c>
      <c r="D187" s="6">
        <v>0</v>
      </c>
      <c r="E187" s="6">
        <v>0</v>
      </c>
      <c r="F187" s="8">
        <v>42439</v>
      </c>
      <c r="G187" s="6" t="s">
        <v>27</v>
      </c>
      <c r="H187" s="8">
        <v>42439</v>
      </c>
      <c r="I187" s="6" t="s">
        <v>39</v>
      </c>
    </row>
    <row r="188" spans="1:10" x14ac:dyDescent="0.2">
      <c r="A188" s="6" t="s">
        <v>41</v>
      </c>
      <c r="B188" s="7">
        <v>120</v>
      </c>
      <c r="C188" s="6">
        <v>1</v>
      </c>
      <c r="D188" s="6">
        <v>0</v>
      </c>
      <c r="E188" s="6">
        <v>0</v>
      </c>
      <c r="F188" s="8">
        <v>42439</v>
      </c>
      <c r="G188" s="6" t="s">
        <v>88</v>
      </c>
      <c r="H188" s="8">
        <v>42443</v>
      </c>
      <c r="I188" s="6" t="s">
        <v>43</v>
      </c>
      <c r="J188" s="14">
        <v>230</v>
      </c>
    </row>
    <row r="189" spans="1:10" x14ac:dyDescent="0.2">
      <c r="A189" s="6" t="s">
        <v>44</v>
      </c>
      <c r="B189" s="7">
        <v>1355.15</v>
      </c>
      <c r="C189" s="6">
        <v>1</v>
      </c>
      <c r="D189" s="6">
        <v>0</v>
      </c>
      <c r="E189" s="6">
        <v>0</v>
      </c>
      <c r="F189" s="8">
        <v>42439</v>
      </c>
      <c r="G189" s="6" t="s">
        <v>27</v>
      </c>
      <c r="H189" s="8">
        <v>42439</v>
      </c>
      <c r="I189" s="6" t="s">
        <v>34</v>
      </c>
    </row>
    <row r="190" spans="1:10" x14ac:dyDescent="0.2">
      <c r="A190" s="6" t="s">
        <v>45</v>
      </c>
      <c r="B190" s="7">
        <v>66.239999999999995</v>
      </c>
      <c r="C190" s="6">
        <v>1</v>
      </c>
      <c r="D190" s="6">
        <v>0</v>
      </c>
      <c r="E190" s="6">
        <v>0</v>
      </c>
      <c r="F190" s="8">
        <v>42439</v>
      </c>
      <c r="G190" s="6" t="s">
        <v>27</v>
      </c>
      <c r="H190" s="8">
        <v>42439</v>
      </c>
      <c r="I190" s="6" t="s">
        <v>34</v>
      </c>
    </row>
    <row r="191" spans="1:10" x14ac:dyDescent="0.2">
      <c r="A191" s="6" t="s">
        <v>111</v>
      </c>
      <c r="B191" s="7">
        <v>32.049999999999997</v>
      </c>
      <c r="C191" s="6">
        <v>1</v>
      </c>
      <c r="D191" s="6">
        <v>0</v>
      </c>
      <c r="E191" s="6">
        <v>0</v>
      </c>
      <c r="F191" s="8">
        <v>42439</v>
      </c>
      <c r="G191" s="6" t="s">
        <v>27</v>
      </c>
      <c r="H191" s="8">
        <v>42443</v>
      </c>
      <c r="I191" s="6" t="s">
        <v>34</v>
      </c>
    </row>
    <row r="192" spans="1:10" x14ac:dyDescent="0.2">
      <c r="A192" s="9" t="s">
        <v>46</v>
      </c>
      <c r="B192" s="9">
        <f>SUMIFS(credito!$B$2:$B$280,credito!$F$2:$F$280,F192,credito!$G$2:$G$280,0)</f>
        <v>3526.2599999999998</v>
      </c>
      <c r="C192" s="9">
        <v>1</v>
      </c>
      <c r="D192" s="9">
        <v>0</v>
      </c>
      <c r="E192" s="9">
        <v>0</v>
      </c>
      <c r="F192" s="11">
        <v>42439</v>
      </c>
      <c r="G192" s="9" t="s">
        <v>42</v>
      </c>
      <c r="H192" s="11">
        <v>42446</v>
      </c>
      <c r="I192" s="9" t="s">
        <v>47</v>
      </c>
    </row>
    <row r="193" spans="1:10" x14ac:dyDescent="0.2">
      <c r="A193" s="6" t="s">
        <v>48</v>
      </c>
      <c r="B193" s="7">
        <v>51</v>
      </c>
      <c r="C193" s="6">
        <v>1</v>
      </c>
      <c r="D193" s="6">
        <v>0</v>
      </c>
      <c r="E193" s="6">
        <v>0</v>
      </c>
      <c r="F193" s="8">
        <v>42439</v>
      </c>
      <c r="G193" s="6" t="s">
        <v>88</v>
      </c>
      <c r="H193" s="8">
        <v>42464</v>
      </c>
      <c r="I193" s="6" t="s">
        <v>28</v>
      </c>
      <c r="J193" s="5"/>
    </row>
    <row r="194" spans="1:10" x14ac:dyDescent="0.2">
      <c r="A194" s="6" t="s">
        <v>50</v>
      </c>
      <c r="B194" s="7">
        <v>50.05</v>
      </c>
      <c r="C194" s="6">
        <v>1</v>
      </c>
      <c r="D194" s="6">
        <v>0</v>
      </c>
      <c r="E194" s="6">
        <v>0</v>
      </c>
      <c r="F194" s="8">
        <v>42439</v>
      </c>
      <c r="G194" s="6" t="s">
        <v>27</v>
      </c>
      <c r="H194" s="8">
        <v>42439</v>
      </c>
      <c r="I194" s="6" t="s">
        <v>51</v>
      </c>
    </row>
    <row r="195" spans="1:10" x14ac:dyDescent="0.2">
      <c r="A195" s="6" t="s">
        <v>52</v>
      </c>
      <c r="B195" s="7">
        <v>231</v>
      </c>
      <c r="C195" s="6">
        <v>1</v>
      </c>
      <c r="D195" s="6">
        <v>0</v>
      </c>
      <c r="E195" s="6">
        <v>0</v>
      </c>
      <c r="F195" s="8">
        <v>42439</v>
      </c>
      <c r="G195" s="6" t="s">
        <v>27</v>
      </c>
      <c r="H195" s="8">
        <v>42439</v>
      </c>
      <c r="I195" s="6" t="s">
        <v>51</v>
      </c>
    </row>
    <row r="196" spans="1:10" x14ac:dyDescent="0.2">
      <c r="A196" s="6" t="s">
        <v>53</v>
      </c>
      <c r="B196" s="7">
        <v>115.5</v>
      </c>
      <c r="C196" s="6">
        <v>1</v>
      </c>
      <c r="D196" s="6">
        <v>0</v>
      </c>
      <c r="E196" s="6">
        <v>0</v>
      </c>
      <c r="F196" s="8">
        <v>42439</v>
      </c>
      <c r="G196" s="6" t="s">
        <v>27</v>
      </c>
      <c r="H196" s="8">
        <v>42439</v>
      </c>
      <c r="I196" s="6" t="s">
        <v>51</v>
      </c>
    </row>
    <row r="197" spans="1:10" x14ac:dyDescent="0.2">
      <c r="A197" s="6" t="s">
        <v>54</v>
      </c>
      <c r="B197" s="7">
        <v>77</v>
      </c>
      <c r="C197" s="6">
        <v>1</v>
      </c>
      <c r="D197" s="6">
        <v>0</v>
      </c>
      <c r="E197" s="6">
        <v>0</v>
      </c>
      <c r="F197" s="8">
        <v>42439</v>
      </c>
      <c r="G197" s="6" t="s">
        <v>27</v>
      </c>
      <c r="H197" s="8">
        <v>42439</v>
      </c>
      <c r="I197" s="6" t="s">
        <v>51</v>
      </c>
    </row>
    <row r="198" spans="1:10" x14ac:dyDescent="0.2">
      <c r="A198" s="6" t="s">
        <v>55</v>
      </c>
      <c r="B198" s="7">
        <v>0</v>
      </c>
      <c r="C198" s="6">
        <v>1</v>
      </c>
      <c r="D198" s="6">
        <v>0</v>
      </c>
      <c r="E198" s="6">
        <v>1</v>
      </c>
      <c r="F198" s="8">
        <v>42439</v>
      </c>
      <c r="G198" s="6" t="s">
        <v>27</v>
      </c>
      <c r="H198" s="8">
        <v>42439</v>
      </c>
      <c r="I198" s="6" t="s">
        <v>56</v>
      </c>
      <c r="J198" s="5">
        <v>100</v>
      </c>
    </row>
    <row r="199" spans="1:10" x14ac:dyDescent="0.2">
      <c r="A199" s="9" t="s">
        <v>57</v>
      </c>
      <c r="B199" s="9">
        <v>0</v>
      </c>
      <c r="C199" s="9">
        <v>1</v>
      </c>
      <c r="D199" s="9">
        <v>0</v>
      </c>
      <c r="E199" s="9">
        <v>1</v>
      </c>
      <c r="F199" s="11">
        <v>42439</v>
      </c>
      <c r="G199" s="9" t="s">
        <v>27</v>
      </c>
      <c r="H199" s="11">
        <v>42439</v>
      </c>
      <c r="I199" s="9" t="s">
        <v>56</v>
      </c>
      <c r="J199" s="5">
        <v>770</v>
      </c>
    </row>
    <row r="200" spans="1:10" x14ac:dyDescent="0.2">
      <c r="A200" s="6" t="s">
        <v>127</v>
      </c>
      <c r="B200" s="7">
        <v>521.75</v>
      </c>
      <c r="C200" s="6">
        <v>1</v>
      </c>
      <c r="D200" s="6">
        <v>0</v>
      </c>
      <c r="E200" s="6">
        <v>0</v>
      </c>
      <c r="F200" s="8">
        <v>42439</v>
      </c>
      <c r="G200" s="6" t="s">
        <v>88</v>
      </c>
      <c r="H200" s="8">
        <v>42457</v>
      </c>
      <c r="I200" s="6" t="s">
        <v>34</v>
      </c>
      <c r="J200" s="5"/>
    </row>
    <row r="201" spans="1:10" x14ac:dyDescent="0.2">
      <c r="A201" s="6" t="s">
        <v>70</v>
      </c>
      <c r="B201" s="7">
        <v>8.6</v>
      </c>
      <c r="C201" s="6">
        <v>0</v>
      </c>
      <c r="D201" s="6">
        <v>1</v>
      </c>
      <c r="E201" s="6">
        <v>0</v>
      </c>
      <c r="F201" s="8">
        <v>42439</v>
      </c>
      <c r="G201" s="6" t="s">
        <v>27</v>
      </c>
      <c r="H201" s="8">
        <v>42439</v>
      </c>
      <c r="I201" s="6" t="s">
        <v>63</v>
      </c>
      <c r="J201" s="7"/>
    </row>
    <row r="202" spans="1:10" x14ac:dyDescent="0.2">
      <c r="A202" s="6" t="s">
        <v>128</v>
      </c>
      <c r="B202" s="7">
        <v>32.5</v>
      </c>
      <c r="C202" s="6">
        <v>0</v>
      </c>
      <c r="D202" s="6">
        <v>1</v>
      </c>
      <c r="E202" s="6">
        <v>0</v>
      </c>
      <c r="F202" s="8">
        <v>42439</v>
      </c>
      <c r="G202" s="6" t="s">
        <v>27</v>
      </c>
      <c r="H202" s="8">
        <v>42439</v>
      </c>
      <c r="I202" s="6" t="s">
        <v>63</v>
      </c>
      <c r="J202" s="7"/>
    </row>
    <row r="203" spans="1:10" x14ac:dyDescent="0.2">
      <c r="A203" s="6" t="s">
        <v>58</v>
      </c>
      <c r="B203" s="7">
        <v>9.19</v>
      </c>
      <c r="C203" s="6">
        <v>0</v>
      </c>
      <c r="D203" s="6">
        <v>1</v>
      </c>
      <c r="E203" s="6">
        <v>0</v>
      </c>
      <c r="F203" s="8">
        <v>42439</v>
      </c>
      <c r="G203" s="6" t="s">
        <v>27</v>
      </c>
      <c r="H203" s="8">
        <v>42440</v>
      </c>
      <c r="I203" s="6" t="s">
        <v>58</v>
      </c>
      <c r="J203" s="7"/>
    </row>
    <row r="204" spans="1:10" x14ac:dyDescent="0.2">
      <c r="A204" s="6" t="s">
        <v>58</v>
      </c>
      <c r="B204" s="7">
        <v>21.63</v>
      </c>
      <c r="C204" s="6">
        <v>0</v>
      </c>
      <c r="D204" s="6">
        <v>1</v>
      </c>
      <c r="E204" s="6">
        <v>0</v>
      </c>
      <c r="F204" s="8">
        <v>42439</v>
      </c>
      <c r="G204" s="6" t="s">
        <v>33</v>
      </c>
      <c r="H204" s="8">
        <v>42441</v>
      </c>
      <c r="I204" s="6" t="s">
        <v>58</v>
      </c>
      <c r="J204" s="7"/>
    </row>
    <row r="205" spans="1:10" x14ac:dyDescent="0.2">
      <c r="A205" s="6" t="s">
        <v>82</v>
      </c>
      <c r="B205" s="7">
        <v>32</v>
      </c>
      <c r="C205" s="6">
        <v>0</v>
      </c>
      <c r="D205" s="6">
        <v>1</v>
      </c>
      <c r="E205" s="6">
        <v>0</v>
      </c>
      <c r="F205" s="8">
        <v>42439</v>
      </c>
      <c r="G205" s="6" t="s">
        <v>27</v>
      </c>
      <c r="H205" s="8">
        <v>42440</v>
      </c>
      <c r="I205" s="6" t="s">
        <v>82</v>
      </c>
      <c r="J205" s="7"/>
    </row>
    <row r="206" spans="1:10" x14ac:dyDescent="0.2">
      <c r="A206" s="6" t="s">
        <v>100</v>
      </c>
      <c r="B206" s="7">
        <v>26.5</v>
      </c>
      <c r="C206" s="6">
        <v>0</v>
      </c>
      <c r="D206" s="6">
        <v>1</v>
      </c>
      <c r="E206" s="6">
        <v>0</v>
      </c>
      <c r="F206" s="8">
        <v>42439</v>
      </c>
      <c r="G206" s="6" t="s">
        <v>33</v>
      </c>
      <c r="H206" s="8">
        <v>42441</v>
      </c>
      <c r="I206" s="6" t="s">
        <v>96</v>
      </c>
      <c r="J206" s="7"/>
    </row>
    <row r="207" spans="1:10" x14ac:dyDescent="0.2">
      <c r="A207" s="6" t="s">
        <v>120</v>
      </c>
      <c r="B207" s="7">
        <v>27</v>
      </c>
      <c r="C207" s="6">
        <v>0</v>
      </c>
      <c r="D207" s="6">
        <v>1</v>
      </c>
      <c r="E207" s="6">
        <v>0</v>
      </c>
      <c r="F207" s="8">
        <v>42439</v>
      </c>
      <c r="G207" s="6" t="s">
        <v>33</v>
      </c>
      <c r="H207" s="8">
        <v>42441</v>
      </c>
      <c r="I207" s="6" t="s">
        <v>63</v>
      </c>
      <c r="J207" s="7"/>
    </row>
    <row r="208" spans="1:10" x14ac:dyDescent="0.2">
      <c r="A208" s="6" t="s">
        <v>60</v>
      </c>
      <c r="B208" s="7">
        <v>109.81</v>
      </c>
      <c r="C208" s="6">
        <v>0</v>
      </c>
      <c r="D208" s="6">
        <v>1</v>
      </c>
      <c r="E208" s="6">
        <v>0</v>
      </c>
      <c r="F208" s="8">
        <v>42439</v>
      </c>
      <c r="G208" s="6" t="s">
        <v>33</v>
      </c>
      <c r="H208" s="8">
        <v>42442</v>
      </c>
      <c r="I208" s="6" t="s">
        <v>60</v>
      </c>
      <c r="J208" s="7"/>
    </row>
    <row r="209" spans="1:10" x14ac:dyDescent="0.2">
      <c r="A209" s="6" t="s">
        <v>59</v>
      </c>
      <c r="B209" s="7">
        <v>60</v>
      </c>
      <c r="C209" s="6">
        <v>0</v>
      </c>
      <c r="D209" s="6">
        <v>1</v>
      </c>
      <c r="E209" s="6">
        <v>0</v>
      </c>
      <c r="F209" s="8">
        <v>42439</v>
      </c>
      <c r="G209" s="6" t="s">
        <v>33</v>
      </c>
      <c r="H209" s="8">
        <v>42442</v>
      </c>
      <c r="I209" s="6" t="s">
        <v>59</v>
      </c>
      <c r="J209" s="7"/>
    </row>
    <row r="210" spans="1:10" x14ac:dyDescent="0.2">
      <c r="A210" s="6" t="s">
        <v>56</v>
      </c>
      <c r="B210" s="7">
        <v>100</v>
      </c>
      <c r="C210" s="6">
        <v>0</v>
      </c>
      <c r="D210" s="6">
        <v>1</v>
      </c>
      <c r="E210" s="6">
        <v>0</v>
      </c>
      <c r="F210" s="8">
        <v>42439</v>
      </c>
      <c r="G210" s="6" t="s">
        <v>33</v>
      </c>
      <c r="H210" s="8">
        <v>42442</v>
      </c>
      <c r="I210" s="6" t="s">
        <v>56</v>
      </c>
      <c r="J210" s="7"/>
    </row>
    <row r="211" spans="1:10" x14ac:dyDescent="0.2">
      <c r="A211" s="6" t="s">
        <v>65</v>
      </c>
      <c r="B211" s="7">
        <v>1</v>
      </c>
      <c r="C211" s="6">
        <v>0</v>
      </c>
      <c r="D211" s="6">
        <v>1</v>
      </c>
      <c r="E211" s="6">
        <v>0</v>
      </c>
      <c r="F211" s="8">
        <v>42439</v>
      </c>
      <c r="G211" s="6" t="s">
        <v>42</v>
      </c>
      <c r="H211" s="8">
        <v>42445</v>
      </c>
      <c r="I211" s="6" t="s">
        <v>63</v>
      </c>
      <c r="J211" s="7"/>
    </row>
    <row r="212" spans="1:10" x14ac:dyDescent="0.2">
      <c r="A212" s="6" t="s">
        <v>125</v>
      </c>
      <c r="B212" s="7">
        <v>200</v>
      </c>
      <c r="C212" s="6">
        <v>0</v>
      </c>
      <c r="D212" s="6">
        <v>1</v>
      </c>
      <c r="E212" s="6">
        <v>0</v>
      </c>
      <c r="F212" s="8">
        <v>42439</v>
      </c>
      <c r="G212" s="6" t="s">
        <v>88</v>
      </c>
      <c r="H212" s="8">
        <v>42457</v>
      </c>
      <c r="I212" s="3" t="s">
        <v>150</v>
      </c>
      <c r="J212" s="7"/>
    </row>
    <row r="213" spans="1:10" x14ac:dyDescent="0.2">
      <c r="A213" s="6" t="s">
        <v>129</v>
      </c>
      <c r="B213" s="7">
        <v>91</v>
      </c>
      <c r="C213" s="6">
        <v>0</v>
      </c>
      <c r="D213" s="6">
        <v>1</v>
      </c>
      <c r="E213" s="6">
        <v>0</v>
      </c>
      <c r="F213" s="8">
        <v>42439</v>
      </c>
      <c r="G213" s="6" t="s">
        <v>42</v>
      </c>
      <c r="H213" s="8">
        <v>42445</v>
      </c>
      <c r="I213" s="6" t="s">
        <v>165</v>
      </c>
      <c r="J213" s="7"/>
    </row>
    <row r="214" spans="1:10" x14ac:dyDescent="0.2">
      <c r="A214" s="6" t="s">
        <v>13</v>
      </c>
      <c r="B214" s="7">
        <v>50</v>
      </c>
      <c r="C214" s="6">
        <v>0</v>
      </c>
      <c r="D214" s="6">
        <v>1</v>
      </c>
      <c r="E214" s="6">
        <v>0</v>
      </c>
      <c r="F214" s="8">
        <v>42439</v>
      </c>
      <c r="G214" s="6" t="s">
        <v>42</v>
      </c>
      <c r="H214" s="8">
        <v>42446</v>
      </c>
      <c r="I214" s="6" t="s">
        <v>13</v>
      </c>
      <c r="J214" s="7"/>
    </row>
    <row r="215" spans="1:10" x14ac:dyDescent="0.2">
      <c r="A215" s="6" t="s">
        <v>59</v>
      </c>
      <c r="B215" s="7">
        <v>75</v>
      </c>
      <c r="C215" s="6">
        <v>0</v>
      </c>
      <c r="D215" s="6">
        <v>1</v>
      </c>
      <c r="E215" s="6">
        <v>0</v>
      </c>
      <c r="F215" s="8">
        <v>42439</v>
      </c>
      <c r="G215" s="6" t="s">
        <v>33</v>
      </c>
      <c r="H215" s="8">
        <v>42448</v>
      </c>
      <c r="I215" s="6" t="s">
        <v>59</v>
      </c>
      <c r="J215" s="7"/>
    </row>
    <row r="216" spans="1:10" x14ac:dyDescent="0.2">
      <c r="A216" s="6" t="s">
        <v>130</v>
      </c>
      <c r="B216" s="7">
        <v>100</v>
      </c>
      <c r="C216" s="6">
        <v>0</v>
      </c>
      <c r="D216" s="6">
        <v>1</v>
      </c>
      <c r="E216" s="6">
        <v>0</v>
      </c>
      <c r="F216" s="8">
        <v>42439</v>
      </c>
      <c r="G216" s="6" t="s">
        <v>33</v>
      </c>
      <c r="H216" s="8">
        <v>42449</v>
      </c>
      <c r="I216" s="6" t="s">
        <v>56</v>
      </c>
      <c r="J216" s="7"/>
    </row>
    <row r="217" spans="1:10" x14ac:dyDescent="0.2">
      <c r="A217" s="6" t="s">
        <v>131</v>
      </c>
      <c r="B217" s="7">
        <v>20</v>
      </c>
      <c r="C217" s="6">
        <v>0</v>
      </c>
      <c r="D217" s="6">
        <v>1</v>
      </c>
      <c r="E217" s="6">
        <v>0</v>
      </c>
      <c r="F217" s="8">
        <v>42439</v>
      </c>
      <c r="G217" s="6" t="s">
        <v>33</v>
      </c>
      <c r="H217" s="8">
        <v>42449</v>
      </c>
      <c r="I217" s="6" t="s">
        <v>56</v>
      </c>
      <c r="J217" s="7"/>
    </row>
    <row r="218" spans="1:10" x14ac:dyDescent="0.2">
      <c r="A218" s="6" t="s">
        <v>125</v>
      </c>
      <c r="B218" s="7">
        <v>12</v>
      </c>
      <c r="C218" s="6">
        <v>0</v>
      </c>
      <c r="D218" s="6">
        <v>1</v>
      </c>
      <c r="E218" s="6">
        <v>0</v>
      </c>
      <c r="F218" s="8">
        <v>42439</v>
      </c>
      <c r="G218" s="6" t="s">
        <v>33</v>
      </c>
      <c r="H218" s="8">
        <v>42462</v>
      </c>
      <c r="I218" s="3" t="s">
        <v>150</v>
      </c>
      <c r="J218" s="7"/>
    </row>
    <row r="219" spans="1:10" x14ac:dyDescent="0.2">
      <c r="A219" s="6" t="s">
        <v>132</v>
      </c>
      <c r="B219" s="7">
        <v>8</v>
      </c>
      <c r="C219" s="6">
        <v>0</v>
      </c>
      <c r="D219" s="6">
        <v>1</v>
      </c>
      <c r="E219" s="6">
        <v>0</v>
      </c>
      <c r="F219" s="8">
        <v>42439</v>
      </c>
      <c r="G219" s="6" t="s">
        <v>33</v>
      </c>
      <c r="H219" s="8">
        <v>42462</v>
      </c>
      <c r="I219" s="6" t="s">
        <v>615</v>
      </c>
      <c r="J219" s="7"/>
    </row>
    <row r="220" spans="1:10" x14ac:dyDescent="0.2">
      <c r="A220" s="6" t="s">
        <v>132</v>
      </c>
      <c r="B220" s="7">
        <v>6</v>
      </c>
      <c r="C220" s="6">
        <v>0</v>
      </c>
      <c r="D220" s="6">
        <v>1</v>
      </c>
      <c r="E220" s="6">
        <v>0</v>
      </c>
      <c r="F220" s="8">
        <v>42439</v>
      </c>
      <c r="G220" s="6" t="s">
        <v>81</v>
      </c>
      <c r="H220" s="8">
        <v>42450</v>
      </c>
      <c r="I220" s="6" t="s">
        <v>615</v>
      </c>
      <c r="J220" s="7"/>
    </row>
    <row r="221" spans="1:10" x14ac:dyDescent="0.2">
      <c r="A221" s="6" t="s">
        <v>41</v>
      </c>
      <c r="B221" s="7">
        <v>60</v>
      </c>
      <c r="C221" s="6">
        <v>0</v>
      </c>
      <c r="D221" s="6">
        <v>1</v>
      </c>
      <c r="E221" s="6">
        <v>0</v>
      </c>
      <c r="F221" s="8">
        <v>42439</v>
      </c>
      <c r="G221" s="6" t="s">
        <v>81</v>
      </c>
      <c r="H221" s="8">
        <v>42458</v>
      </c>
      <c r="I221" s="6" t="s">
        <v>43</v>
      </c>
      <c r="J221" s="7"/>
    </row>
    <row r="222" spans="1:10" x14ac:dyDescent="0.2">
      <c r="A222" s="6" t="s">
        <v>41</v>
      </c>
      <c r="B222" s="7">
        <v>60</v>
      </c>
      <c r="C222" s="6">
        <v>0</v>
      </c>
      <c r="D222" s="6">
        <v>1</v>
      </c>
      <c r="E222" s="6">
        <v>0</v>
      </c>
      <c r="F222" s="8">
        <v>42439</v>
      </c>
      <c r="G222" s="6" t="s">
        <v>88</v>
      </c>
      <c r="H222" s="8">
        <v>42465</v>
      </c>
      <c r="I222" s="6" t="s">
        <v>43</v>
      </c>
      <c r="J222" s="7"/>
    </row>
    <row r="223" spans="1:10" x14ac:dyDescent="0.2">
      <c r="A223" s="6" t="s">
        <v>133</v>
      </c>
      <c r="B223" s="7">
        <v>0.82</v>
      </c>
      <c r="C223" s="6">
        <v>0</v>
      </c>
      <c r="D223" s="6">
        <v>1</v>
      </c>
      <c r="E223" s="6">
        <v>0</v>
      </c>
      <c r="F223" s="8">
        <v>42439</v>
      </c>
      <c r="G223" s="6" t="s">
        <v>81</v>
      </c>
      <c r="H223" s="8">
        <v>42461</v>
      </c>
      <c r="I223" s="6" t="s">
        <v>28</v>
      </c>
      <c r="J223" s="7"/>
    </row>
    <row r="224" spans="1:10" x14ac:dyDescent="0.2">
      <c r="A224" s="6" t="s">
        <v>134</v>
      </c>
      <c r="B224" s="7">
        <v>1.52</v>
      </c>
      <c r="C224" s="6">
        <v>0</v>
      </c>
      <c r="D224" s="6">
        <v>1</v>
      </c>
      <c r="E224" s="6">
        <v>0</v>
      </c>
      <c r="F224" s="8">
        <v>42439</v>
      </c>
      <c r="G224" s="6" t="s">
        <v>88</v>
      </c>
      <c r="H224" s="8">
        <v>42465</v>
      </c>
      <c r="I224" s="6" t="s">
        <v>28</v>
      </c>
      <c r="J224" s="7"/>
    </row>
    <row r="225" spans="1:10" x14ac:dyDescent="0.2">
      <c r="A225" s="3" t="s">
        <v>26</v>
      </c>
      <c r="B225">
        <v>5.32</v>
      </c>
      <c r="C225" s="3">
        <v>1</v>
      </c>
      <c r="D225" s="3">
        <v>0</v>
      </c>
      <c r="E225" s="3">
        <v>0</v>
      </c>
      <c r="F225" s="1">
        <v>42470</v>
      </c>
      <c r="G225" s="3" t="s">
        <v>27</v>
      </c>
      <c r="H225" s="1">
        <v>42470</v>
      </c>
      <c r="I225" s="3" t="s">
        <v>28</v>
      </c>
    </row>
    <row r="226" spans="1:10" x14ac:dyDescent="0.2">
      <c r="A226" s="3" t="s">
        <v>29</v>
      </c>
      <c r="B226">
        <v>50</v>
      </c>
      <c r="C226" s="3">
        <v>1</v>
      </c>
      <c r="D226" s="3">
        <v>0</v>
      </c>
      <c r="E226" s="3">
        <v>0</v>
      </c>
      <c r="F226" s="1">
        <v>42470</v>
      </c>
      <c r="G226" s="3" t="s">
        <v>27</v>
      </c>
      <c r="H226" s="1">
        <v>42470</v>
      </c>
      <c r="I226" s="6" t="s">
        <v>615</v>
      </c>
    </row>
    <row r="227" spans="1:10" x14ac:dyDescent="0.2">
      <c r="A227" s="3" t="s">
        <v>30</v>
      </c>
      <c r="B227">
        <v>64</v>
      </c>
      <c r="C227" s="3">
        <v>1</v>
      </c>
      <c r="D227" s="3">
        <v>0</v>
      </c>
      <c r="E227" s="3">
        <v>0</v>
      </c>
      <c r="F227" s="1">
        <v>42470</v>
      </c>
      <c r="G227" s="3" t="s">
        <v>27</v>
      </c>
      <c r="H227" s="1">
        <v>42470</v>
      </c>
      <c r="I227" s="3" t="s">
        <v>28</v>
      </c>
    </row>
    <row r="228" spans="1:10" x14ac:dyDescent="0.2">
      <c r="A228" s="3" t="s">
        <v>31</v>
      </c>
      <c r="B228">
        <v>45.74</v>
      </c>
      <c r="C228" s="3">
        <v>1</v>
      </c>
      <c r="D228" s="3">
        <v>0</v>
      </c>
      <c r="E228" s="3">
        <v>0</v>
      </c>
      <c r="F228" s="1">
        <v>42470</v>
      </c>
      <c r="G228" s="3" t="s">
        <v>27</v>
      </c>
      <c r="H228" s="1">
        <v>42470</v>
      </c>
      <c r="I228" s="3" t="s">
        <v>28</v>
      </c>
    </row>
    <row r="229" spans="1:10" x14ac:dyDescent="0.2">
      <c r="A229" s="3" t="s">
        <v>32</v>
      </c>
      <c r="B229" s="15">
        <v>455.79</v>
      </c>
      <c r="C229" s="3">
        <v>1</v>
      </c>
      <c r="D229" s="3">
        <v>0</v>
      </c>
      <c r="E229" s="3">
        <v>0</v>
      </c>
      <c r="F229" s="1">
        <v>42470</v>
      </c>
      <c r="G229" s="3" t="s">
        <v>27</v>
      </c>
      <c r="H229" s="1">
        <v>42470</v>
      </c>
      <c r="I229" s="3" t="s">
        <v>34</v>
      </c>
    </row>
    <row r="230" spans="1:10" x14ac:dyDescent="0.2">
      <c r="A230" s="3" t="s">
        <v>35</v>
      </c>
      <c r="B230">
        <v>600.21</v>
      </c>
      <c r="C230" s="3">
        <v>1</v>
      </c>
      <c r="D230" s="3">
        <v>0</v>
      </c>
      <c r="E230" s="3">
        <v>0</v>
      </c>
      <c r="F230" s="1">
        <v>42470</v>
      </c>
      <c r="G230" s="3" t="s">
        <v>27</v>
      </c>
      <c r="H230" s="1">
        <v>42470</v>
      </c>
      <c r="I230" s="3" t="s">
        <v>36</v>
      </c>
    </row>
    <row r="231" spans="1:10" x14ac:dyDescent="0.2">
      <c r="A231" s="3" t="s">
        <v>37</v>
      </c>
      <c r="B231">
        <v>145</v>
      </c>
      <c r="C231" s="3">
        <v>1</v>
      </c>
      <c r="D231" s="3">
        <v>0</v>
      </c>
      <c r="E231" s="3">
        <v>0</v>
      </c>
      <c r="F231" s="1">
        <v>42470</v>
      </c>
      <c r="G231" s="3" t="s">
        <v>27</v>
      </c>
      <c r="H231" s="1">
        <v>42470</v>
      </c>
      <c r="I231" s="3" t="s">
        <v>37</v>
      </c>
    </row>
    <row r="232" spans="1:10" x14ac:dyDescent="0.2">
      <c r="A232" s="3" t="s">
        <v>38</v>
      </c>
      <c r="B232">
        <v>144.76</v>
      </c>
      <c r="C232" s="3">
        <v>1</v>
      </c>
      <c r="D232" s="3">
        <v>0</v>
      </c>
      <c r="E232" s="3">
        <v>0</v>
      </c>
      <c r="F232" s="1">
        <v>42470</v>
      </c>
      <c r="G232" s="3" t="s">
        <v>27</v>
      </c>
      <c r="H232" s="1">
        <v>42470</v>
      </c>
      <c r="I232" s="3" t="s">
        <v>39</v>
      </c>
      <c r="J232">
        <v>198</v>
      </c>
    </row>
    <row r="233" spans="1:10" x14ac:dyDescent="0.2">
      <c r="A233" s="3" t="s">
        <v>40</v>
      </c>
      <c r="B233">
        <v>69.3</v>
      </c>
      <c r="C233" s="3">
        <v>1</v>
      </c>
      <c r="D233" s="3">
        <v>0</v>
      </c>
      <c r="E233" s="3">
        <v>0</v>
      </c>
      <c r="F233" s="1">
        <v>42470</v>
      </c>
      <c r="G233" s="3" t="s">
        <v>27</v>
      </c>
      <c r="H233" s="1">
        <v>42470</v>
      </c>
      <c r="I233" s="3" t="s">
        <v>39</v>
      </c>
      <c r="J233" s="5">
        <v>95</v>
      </c>
    </row>
    <row r="234" spans="1:10" x14ac:dyDescent="0.2">
      <c r="A234" s="3" t="s">
        <v>41</v>
      </c>
      <c r="B234">
        <v>230</v>
      </c>
      <c r="C234" s="3">
        <v>1</v>
      </c>
      <c r="D234" s="3">
        <v>0</v>
      </c>
      <c r="E234" s="3">
        <v>0</v>
      </c>
      <c r="F234" s="1">
        <v>42470</v>
      </c>
      <c r="G234" s="3" t="s">
        <v>27</v>
      </c>
      <c r="H234" s="1">
        <v>42472</v>
      </c>
      <c r="I234" s="3" t="s">
        <v>43</v>
      </c>
    </row>
    <row r="235" spans="1:10" x14ac:dyDescent="0.2">
      <c r="A235" s="3" t="s">
        <v>44</v>
      </c>
      <c r="B235">
        <v>1404.66</v>
      </c>
      <c r="C235" s="3">
        <v>1</v>
      </c>
      <c r="D235" s="3">
        <v>0</v>
      </c>
      <c r="E235" s="3">
        <v>0</v>
      </c>
      <c r="F235" s="1">
        <v>42470</v>
      </c>
      <c r="G235" s="3" t="s">
        <v>27</v>
      </c>
      <c r="H235" s="1">
        <v>42471</v>
      </c>
      <c r="I235" s="3" t="s">
        <v>34</v>
      </c>
    </row>
    <row r="236" spans="1:10" x14ac:dyDescent="0.2">
      <c r="A236" s="3" t="s">
        <v>45</v>
      </c>
      <c r="B236">
        <v>79.040000000000006</v>
      </c>
      <c r="C236" s="3">
        <v>1</v>
      </c>
      <c r="D236" s="3">
        <v>0</v>
      </c>
      <c r="E236" s="3">
        <v>0</v>
      </c>
      <c r="F236" s="1">
        <v>42470</v>
      </c>
      <c r="G236" s="3" t="s">
        <v>27</v>
      </c>
      <c r="H236" s="1">
        <v>42474</v>
      </c>
      <c r="I236" s="3" t="s">
        <v>34</v>
      </c>
    </row>
    <row r="237" spans="1:10" x14ac:dyDescent="0.2">
      <c r="A237" s="3" t="s">
        <v>111</v>
      </c>
      <c r="B237">
        <v>32.200000000000003</v>
      </c>
      <c r="C237" s="3">
        <v>1</v>
      </c>
      <c r="D237" s="3">
        <v>0</v>
      </c>
      <c r="E237" s="3">
        <v>0</v>
      </c>
      <c r="F237" s="1">
        <v>42470</v>
      </c>
      <c r="G237" s="3" t="s">
        <v>27</v>
      </c>
      <c r="H237" s="1">
        <v>42482</v>
      </c>
      <c r="I237" s="3" t="s">
        <v>34</v>
      </c>
    </row>
    <row r="238" spans="1:10" x14ac:dyDescent="0.2">
      <c r="A238" s="9" t="s">
        <v>46</v>
      </c>
      <c r="B238" s="9">
        <f>SUMIFS(credito!$B$2:$B$280,credito!$F$2:$F$280,F238,credito!$G$2:$G$280,0)</f>
        <v>2370.59</v>
      </c>
      <c r="C238" s="9">
        <v>1</v>
      </c>
      <c r="D238" s="9">
        <v>0</v>
      </c>
      <c r="E238" s="9">
        <v>0</v>
      </c>
      <c r="F238" s="11">
        <v>42470</v>
      </c>
      <c r="G238" s="9" t="s">
        <v>42</v>
      </c>
      <c r="H238" s="11">
        <v>42470</v>
      </c>
      <c r="I238" s="9" t="s">
        <v>47</v>
      </c>
    </row>
    <row r="239" spans="1:10" x14ac:dyDescent="0.2">
      <c r="A239" s="3" t="s">
        <v>48</v>
      </c>
      <c r="B239">
        <v>0</v>
      </c>
      <c r="C239" s="3">
        <v>1</v>
      </c>
      <c r="D239" s="3">
        <v>0</v>
      </c>
      <c r="E239" s="3">
        <v>0</v>
      </c>
      <c r="F239" s="1">
        <v>42470</v>
      </c>
      <c r="G239" s="3" t="s">
        <v>88</v>
      </c>
      <c r="H239" s="1">
        <v>42470</v>
      </c>
      <c r="I239" s="3" t="s">
        <v>28</v>
      </c>
    </row>
    <row r="240" spans="1:10" x14ac:dyDescent="0.2">
      <c r="A240" s="3" t="s">
        <v>50</v>
      </c>
      <c r="B240" s="5">
        <f>(entrada!A5*0.65)/100</f>
        <v>68.686540000000008</v>
      </c>
      <c r="C240" s="3">
        <v>1</v>
      </c>
      <c r="D240" s="3">
        <v>0</v>
      </c>
      <c r="E240" s="3">
        <v>0</v>
      </c>
      <c r="F240" s="1">
        <v>42470</v>
      </c>
      <c r="G240" s="3" t="s">
        <v>27</v>
      </c>
      <c r="H240" s="1">
        <v>42470</v>
      </c>
      <c r="I240" s="3" t="s">
        <v>51</v>
      </c>
    </row>
    <row r="241" spans="1:10" x14ac:dyDescent="0.2">
      <c r="A241" s="3" t="s">
        <v>52</v>
      </c>
      <c r="B241" s="5">
        <f>(entrada!A5*3)/100</f>
        <v>317.01479999999998</v>
      </c>
      <c r="C241" s="3">
        <v>1</v>
      </c>
      <c r="D241" s="3">
        <v>0</v>
      </c>
      <c r="E241" s="3">
        <v>0</v>
      </c>
      <c r="F241" s="1">
        <v>42470</v>
      </c>
      <c r="G241" s="3" t="s">
        <v>27</v>
      </c>
      <c r="H241" s="1">
        <v>42470</v>
      </c>
      <c r="I241" s="3" t="s">
        <v>51</v>
      </c>
    </row>
    <row r="242" spans="1:10" x14ac:dyDescent="0.2">
      <c r="A242" s="3" t="s">
        <v>53</v>
      </c>
      <c r="B242" s="5">
        <f>(entrada!A5*1.5)/100</f>
        <v>158.50739999999999</v>
      </c>
      <c r="C242" s="3">
        <v>1</v>
      </c>
      <c r="D242" s="3">
        <v>0</v>
      </c>
      <c r="E242" s="3">
        <v>0</v>
      </c>
      <c r="F242" s="1">
        <v>42470</v>
      </c>
      <c r="G242" s="3" t="s">
        <v>27</v>
      </c>
      <c r="H242" s="1">
        <v>42470</v>
      </c>
      <c r="I242" s="3" t="s">
        <v>51</v>
      </c>
    </row>
    <row r="243" spans="1:10" x14ac:dyDescent="0.2">
      <c r="A243" s="3" t="s">
        <v>54</v>
      </c>
      <c r="B243" s="5">
        <f>(entrada!A5*1)/100</f>
        <v>105.6716</v>
      </c>
      <c r="C243" s="3">
        <v>1</v>
      </c>
      <c r="D243" s="3">
        <v>0</v>
      </c>
      <c r="E243" s="3">
        <v>0</v>
      </c>
      <c r="F243" s="1">
        <v>42470</v>
      </c>
      <c r="G243" s="3" t="s">
        <v>27</v>
      </c>
      <c r="H243" s="1">
        <v>42470</v>
      </c>
      <c r="I243" s="3" t="s">
        <v>51</v>
      </c>
    </row>
    <row r="244" spans="1:10" x14ac:dyDescent="0.2">
      <c r="A244" s="9" t="s">
        <v>57</v>
      </c>
      <c r="B244" s="9">
        <v>1350</v>
      </c>
      <c r="C244" s="9">
        <v>1</v>
      </c>
      <c r="D244" s="9">
        <v>0</v>
      </c>
      <c r="E244" s="9">
        <v>0</v>
      </c>
      <c r="F244" s="11">
        <v>42470</v>
      </c>
      <c r="G244" s="9" t="s">
        <v>42</v>
      </c>
      <c r="H244" s="11">
        <v>42477</v>
      </c>
      <c r="I244" s="9" t="s">
        <v>56</v>
      </c>
    </row>
    <row r="245" spans="1:10" x14ac:dyDescent="0.2">
      <c r="A245" s="3" t="s">
        <v>127</v>
      </c>
      <c r="B245" s="3">
        <v>521.75</v>
      </c>
      <c r="C245" s="3">
        <v>1</v>
      </c>
      <c r="D245" s="3">
        <v>0</v>
      </c>
      <c r="E245" s="3">
        <v>0</v>
      </c>
      <c r="F245" s="2">
        <v>42470</v>
      </c>
      <c r="G245" s="3" t="s">
        <v>42</v>
      </c>
      <c r="H245" s="2">
        <v>42470</v>
      </c>
      <c r="I245" s="3" t="s">
        <v>34</v>
      </c>
      <c r="J245" s="3"/>
    </row>
    <row r="246" spans="1:10" x14ac:dyDescent="0.2">
      <c r="A246" s="3" t="s">
        <v>125</v>
      </c>
      <c r="B246" s="3">
        <v>200</v>
      </c>
      <c r="C246" s="3">
        <v>1</v>
      </c>
      <c r="D246" s="3">
        <v>0</v>
      </c>
      <c r="E246" s="3">
        <v>0</v>
      </c>
      <c r="F246" s="2">
        <v>42470</v>
      </c>
      <c r="G246" s="3" t="s">
        <v>42</v>
      </c>
      <c r="H246" s="2">
        <v>42457</v>
      </c>
      <c r="I246" s="3" t="s">
        <v>150</v>
      </c>
      <c r="J246" s="3"/>
    </row>
    <row r="247" spans="1:10" x14ac:dyDescent="0.2">
      <c r="A247" s="16" t="s">
        <v>135</v>
      </c>
      <c r="B247" s="16">
        <v>79</v>
      </c>
      <c r="C247" s="16">
        <v>1</v>
      </c>
      <c r="D247" s="16">
        <v>0</v>
      </c>
      <c r="E247" s="16">
        <v>0</v>
      </c>
      <c r="F247" s="17">
        <v>42470</v>
      </c>
      <c r="G247" s="16" t="s">
        <v>27</v>
      </c>
      <c r="H247" s="17">
        <v>42468</v>
      </c>
      <c r="I247" s="16" t="s">
        <v>56</v>
      </c>
    </row>
    <row r="248" spans="1:10" x14ac:dyDescent="0.2">
      <c r="A248" s="16" t="s">
        <v>65</v>
      </c>
      <c r="B248" s="16">
        <v>4</v>
      </c>
      <c r="C248" s="16">
        <v>1</v>
      </c>
      <c r="D248" s="16">
        <v>0</v>
      </c>
      <c r="E248" s="16">
        <v>0</v>
      </c>
      <c r="F248" s="17">
        <v>42470</v>
      </c>
      <c r="G248" s="16" t="s">
        <v>27</v>
      </c>
      <c r="H248" s="17">
        <v>42468</v>
      </c>
      <c r="I248" s="16" t="s">
        <v>63</v>
      </c>
    </row>
    <row r="249" spans="1:10" x14ac:dyDescent="0.2">
      <c r="A249" s="16" t="s">
        <v>136</v>
      </c>
      <c r="B249" s="16">
        <v>4</v>
      </c>
      <c r="C249" s="16">
        <v>1</v>
      </c>
      <c r="D249" s="16">
        <v>0</v>
      </c>
      <c r="E249" s="16">
        <v>0</v>
      </c>
      <c r="F249" s="17">
        <v>42470</v>
      </c>
      <c r="G249" s="16" t="s">
        <v>27</v>
      </c>
      <c r="H249" s="17">
        <v>42468</v>
      </c>
      <c r="I249" s="6" t="s">
        <v>615</v>
      </c>
    </row>
    <row r="250" spans="1:10" x14ac:dyDescent="0.2">
      <c r="A250" s="16" t="s">
        <v>137</v>
      </c>
      <c r="B250" s="16">
        <v>7</v>
      </c>
      <c r="C250" s="16">
        <v>1</v>
      </c>
      <c r="D250" s="16">
        <v>0</v>
      </c>
      <c r="E250" s="16">
        <v>0</v>
      </c>
      <c r="F250" s="17">
        <v>42470</v>
      </c>
      <c r="G250" s="16" t="s">
        <v>27</v>
      </c>
      <c r="H250" s="17">
        <v>42468</v>
      </c>
      <c r="I250" s="16" t="s">
        <v>56</v>
      </c>
    </row>
    <row r="251" spans="1:10" x14ac:dyDescent="0.2">
      <c r="A251" s="16" t="s">
        <v>138</v>
      </c>
      <c r="B251" s="16">
        <v>250</v>
      </c>
      <c r="C251" s="16">
        <v>1</v>
      </c>
      <c r="D251" s="16">
        <v>0</v>
      </c>
      <c r="E251" s="16">
        <v>0</v>
      </c>
      <c r="F251" s="17">
        <v>42470</v>
      </c>
      <c r="G251" s="16" t="s">
        <v>33</v>
      </c>
      <c r="H251" s="17">
        <v>42469</v>
      </c>
      <c r="I251" s="16" t="s">
        <v>56</v>
      </c>
    </row>
    <row r="252" spans="1:10" x14ac:dyDescent="0.2">
      <c r="A252" s="3" t="s">
        <v>139</v>
      </c>
      <c r="B252" s="3">
        <v>8.98</v>
      </c>
      <c r="C252" s="3">
        <v>1</v>
      </c>
      <c r="D252" s="3">
        <v>0</v>
      </c>
      <c r="E252" s="3">
        <v>0</v>
      </c>
      <c r="F252" s="2">
        <v>42470</v>
      </c>
      <c r="G252" s="3" t="s">
        <v>42</v>
      </c>
      <c r="H252" s="2">
        <v>42471</v>
      </c>
      <c r="I252" s="3" t="s">
        <v>63</v>
      </c>
    </row>
    <row r="253" spans="1:10" x14ac:dyDescent="0.2">
      <c r="A253" s="3" t="s">
        <v>140</v>
      </c>
      <c r="B253" s="3">
        <v>3</v>
      </c>
      <c r="C253" s="3">
        <v>1</v>
      </c>
      <c r="D253" s="3">
        <v>0</v>
      </c>
      <c r="E253" s="3">
        <v>0</v>
      </c>
      <c r="F253" s="1">
        <v>42470</v>
      </c>
      <c r="G253" s="3" t="s">
        <v>27</v>
      </c>
      <c r="H253" s="1">
        <v>42470</v>
      </c>
      <c r="I253" s="3" t="s">
        <v>28</v>
      </c>
      <c r="J253" s="16"/>
    </row>
    <row r="254" spans="1:10" x14ac:dyDescent="0.2">
      <c r="A254" s="16" t="s">
        <v>59</v>
      </c>
      <c r="B254" s="16">
        <v>70</v>
      </c>
      <c r="C254" s="16">
        <v>1</v>
      </c>
      <c r="D254" s="16">
        <v>0</v>
      </c>
      <c r="E254" s="16">
        <v>0</v>
      </c>
      <c r="F254" s="17">
        <v>42470</v>
      </c>
      <c r="G254" s="16" t="s">
        <v>33</v>
      </c>
      <c r="H254" s="17">
        <v>42470</v>
      </c>
      <c r="I254" s="16" t="s">
        <v>59</v>
      </c>
    </row>
    <row r="255" spans="1:10" x14ac:dyDescent="0.2">
      <c r="A255" s="16" t="s">
        <v>65</v>
      </c>
      <c r="B255" s="16">
        <v>5</v>
      </c>
      <c r="C255" s="16">
        <v>1</v>
      </c>
      <c r="D255" s="16">
        <v>0</v>
      </c>
      <c r="E255" s="16">
        <v>0</v>
      </c>
      <c r="F255" s="17">
        <v>42470</v>
      </c>
      <c r="G255" s="16" t="s">
        <v>33</v>
      </c>
      <c r="H255" s="17">
        <v>42469</v>
      </c>
      <c r="I255" s="16" t="s">
        <v>63</v>
      </c>
    </row>
    <row r="256" spans="1:10" x14ac:dyDescent="0.2">
      <c r="A256" s="16" t="s">
        <v>141</v>
      </c>
      <c r="B256" s="16">
        <v>30</v>
      </c>
      <c r="C256" s="16">
        <v>1</v>
      </c>
      <c r="D256" s="16">
        <v>0</v>
      </c>
      <c r="E256" s="16">
        <v>0</v>
      </c>
      <c r="F256" s="17">
        <v>42470</v>
      </c>
      <c r="G256" s="16" t="s">
        <v>33</v>
      </c>
      <c r="H256" s="17">
        <v>42469</v>
      </c>
      <c r="I256" s="16" t="s">
        <v>63</v>
      </c>
    </row>
    <row r="257" spans="1:9" x14ac:dyDescent="0.2">
      <c r="A257" s="16" t="s">
        <v>125</v>
      </c>
      <c r="B257" s="16">
        <v>7</v>
      </c>
      <c r="C257" s="16">
        <v>1</v>
      </c>
      <c r="D257" s="16">
        <v>0</v>
      </c>
      <c r="E257" s="16">
        <v>0</v>
      </c>
      <c r="F257" s="17">
        <v>42470</v>
      </c>
      <c r="G257" s="16" t="s">
        <v>33</v>
      </c>
      <c r="H257" s="17">
        <v>42470</v>
      </c>
      <c r="I257" s="3" t="s">
        <v>150</v>
      </c>
    </row>
    <row r="258" spans="1:9" x14ac:dyDescent="0.2">
      <c r="A258" s="16" t="s">
        <v>141</v>
      </c>
      <c r="B258" s="16">
        <v>23</v>
      </c>
      <c r="C258" s="16">
        <v>1</v>
      </c>
      <c r="D258" s="16">
        <v>0</v>
      </c>
      <c r="E258" s="16">
        <v>0</v>
      </c>
      <c r="F258" s="17">
        <v>42470</v>
      </c>
      <c r="G258" s="16" t="s">
        <v>33</v>
      </c>
      <c r="H258" s="17">
        <v>42470</v>
      </c>
      <c r="I258" s="16" t="s">
        <v>63</v>
      </c>
    </row>
    <row r="259" spans="1:9" x14ac:dyDescent="0.2">
      <c r="A259" s="16" t="s">
        <v>142</v>
      </c>
      <c r="B259" s="16">
        <v>10.5</v>
      </c>
      <c r="C259" s="16">
        <v>1</v>
      </c>
      <c r="D259" s="16">
        <v>0</v>
      </c>
      <c r="E259" s="16">
        <v>0</v>
      </c>
      <c r="F259" s="17">
        <v>42470</v>
      </c>
      <c r="G259" s="16" t="s">
        <v>27</v>
      </c>
      <c r="H259" s="17">
        <v>42460</v>
      </c>
      <c r="I259" s="3" t="s">
        <v>51</v>
      </c>
    </row>
    <row r="260" spans="1:9" x14ac:dyDescent="0.2">
      <c r="A260" s="16" t="s">
        <v>143</v>
      </c>
      <c r="B260" s="16">
        <v>265.3</v>
      </c>
      <c r="C260" s="16">
        <v>1</v>
      </c>
      <c r="D260" s="16">
        <v>0</v>
      </c>
      <c r="E260" s="16">
        <v>0</v>
      </c>
      <c r="F260" s="17">
        <v>42470</v>
      </c>
      <c r="G260" s="16" t="s">
        <v>27</v>
      </c>
      <c r="H260" s="17">
        <v>42460</v>
      </c>
      <c r="I260" s="3" t="s">
        <v>51</v>
      </c>
    </row>
    <row r="261" spans="1:9" x14ac:dyDescent="0.2">
      <c r="A261" s="16" t="s">
        <v>144</v>
      </c>
      <c r="B261" s="16">
        <v>18.7</v>
      </c>
      <c r="C261" s="16">
        <v>1</v>
      </c>
      <c r="D261" s="16">
        <v>0</v>
      </c>
      <c r="E261" s="16">
        <v>0</v>
      </c>
      <c r="F261" s="17">
        <v>42470</v>
      </c>
      <c r="G261" s="16" t="s">
        <v>27</v>
      </c>
      <c r="H261" s="17">
        <v>42460</v>
      </c>
      <c r="I261" s="3" t="s">
        <v>51</v>
      </c>
    </row>
    <row r="262" spans="1:9" x14ac:dyDescent="0.2">
      <c r="A262" s="16" t="s">
        <v>145</v>
      </c>
      <c r="B262" s="16">
        <f>(entrada!A6*11)/100</f>
        <v>321.01300000000003</v>
      </c>
      <c r="C262" s="16">
        <v>1</v>
      </c>
      <c r="D262" s="16">
        <v>0</v>
      </c>
      <c r="E262" s="16">
        <v>0</v>
      </c>
      <c r="F262" s="17">
        <v>42470</v>
      </c>
      <c r="G262" s="16" t="s">
        <v>27</v>
      </c>
      <c r="H262" s="17">
        <v>42460</v>
      </c>
      <c r="I262" s="3" t="s">
        <v>51</v>
      </c>
    </row>
    <row r="263" spans="1:9" x14ac:dyDescent="0.2">
      <c r="A263" s="16" t="s">
        <v>146</v>
      </c>
      <c r="B263" s="16">
        <v>23.56</v>
      </c>
      <c r="C263" s="16">
        <v>1</v>
      </c>
      <c r="D263" s="16">
        <v>0</v>
      </c>
      <c r="E263" s="16">
        <v>0</v>
      </c>
      <c r="F263" s="17">
        <v>42470</v>
      </c>
      <c r="G263" s="16" t="s">
        <v>27</v>
      </c>
      <c r="H263" s="17">
        <v>42460</v>
      </c>
      <c r="I263" s="3" t="s">
        <v>51</v>
      </c>
    </row>
    <row r="264" spans="1:9" x14ac:dyDescent="0.2">
      <c r="A264" s="3" t="s">
        <v>89</v>
      </c>
      <c r="B264" s="3">
        <v>10</v>
      </c>
      <c r="C264" s="3">
        <v>1</v>
      </c>
      <c r="D264" s="3">
        <v>0</v>
      </c>
      <c r="E264" s="3">
        <v>0</v>
      </c>
      <c r="F264" s="2">
        <v>42470</v>
      </c>
      <c r="G264" s="3" t="s">
        <v>42</v>
      </c>
      <c r="H264" s="2">
        <v>42472</v>
      </c>
      <c r="I264" s="3" t="s">
        <v>89</v>
      </c>
    </row>
    <row r="265" spans="1:9" x14ac:dyDescent="0.2">
      <c r="A265" s="3" t="s">
        <v>64</v>
      </c>
      <c r="B265" s="3">
        <v>6.45</v>
      </c>
      <c r="C265" s="3">
        <v>1</v>
      </c>
      <c r="D265" s="3">
        <v>0</v>
      </c>
      <c r="E265" s="3">
        <v>0</v>
      </c>
      <c r="F265" s="2">
        <v>42470</v>
      </c>
      <c r="G265" s="3" t="s">
        <v>42</v>
      </c>
      <c r="H265" s="2">
        <v>42472</v>
      </c>
      <c r="I265" s="3" t="s">
        <v>63</v>
      </c>
    </row>
    <row r="266" spans="1:9" x14ac:dyDescent="0.2">
      <c r="A266" s="3" t="s">
        <v>147</v>
      </c>
      <c r="B266" s="3">
        <v>55.4</v>
      </c>
      <c r="C266" s="3">
        <v>1</v>
      </c>
      <c r="D266" s="3">
        <v>0</v>
      </c>
      <c r="E266" s="3">
        <v>0</v>
      </c>
      <c r="F266" s="2">
        <v>42470</v>
      </c>
      <c r="G266" s="3" t="s">
        <v>42</v>
      </c>
      <c r="H266" s="2">
        <v>42473</v>
      </c>
      <c r="I266" s="3" t="s">
        <v>63</v>
      </c>
    </row>
    <row r="267" spans="1:9" x14ac:dyDescent="0.2">
      <c r="A267" s="3" t="s">
        <v>64</v>
      </c>
      <c r="B267" s="3">
        <v>7.5</v>
      </c>
      <c r="C267" s="3">
        <v>1</v>
      </c>
      <c r="D267" s="3">
        <v>0</v>
      </c>
      <c r="E267" s="3">
        <v>0</v>
      </c>
      <c r="F267" s="2">
        <v>42470</v>
      </c>
      <c r="G267" s="3" t="s">
        <v>42</v>
      </c>
      <c r="H267" s="2">
        <v>42473</v>
      </c>
      <c r="I267" s="3" t="s">
        <v>63</v>
      </c>
    </row>
    <row r="268" spans="1:9" x14ac:dyDescent="0.2">
      <c r="A268" s="3" t="s">
        <v>74</v>
      </c>
      <c r="B268" s="3">
        <v>11.75</v>
      </c>
      <c r="C268" s="3">
        <v>1</v>
      </c>
      <c r="D268" s="3">
        <v>0</v>
      </c>
      <c r="E268" s="3">
        <v>0</v>
      </c>
      <c r="F268" s="2">
        <v>42470</v>
      </c>
      <c r="G268" s="3" t="s">
        <v>42</v>
      </c>
      <c r="H268" s="2">
        <v>42473</v>
      </c>
      <c r="I268" s="3" t="s">
        <v>63</v>
      </c>
    </row>
    <row r="269" spans="1:9" x14ac:dyDescent="0.2">
      <c r="A269" s="3" t="s">
        <v>148</v>
      </c>
      <c r="B269" s="3">
        <v>7.55</v>
      </c>
      <c r="C269" s="3">
        <v>1</v>
      </c>
      <c r="D269" s="3">
        <v>0</v>
      </c>
      <c r="E269" s="3">
        <v>0</v>
      </c>
      <c r="F269" s="2">
        <v>42470</v>
      </c>
      <c r="G269" s="3" t="s">
        <v>42</v>
      </c>
      <c r="H269" s="2">
        <v>42474</v>
      </c>
      <c r="I269" s="3" t="s">
        <v>63</v>
      </c>
    </row>
    <row r="270" spans="1:9" x14ac:dyDescent="0.2">
      <c r="A270" s="3" t="s">
        <v>149</v>
      </c>
      <c r="B270" s="3">
        <v>50</v>
      </c>
      <c r="C270" s="3">
        <v>1</v>
      </c>
      <c r="D270" s="3">
        <v>0</v>
      </c>
      <c r="E270" s="3">
        <v>0</v>
      </c>
      <c r="F270" s="2">
        <v>42470</v>
      </c>
      <c r="G270" s="3" t="s">
        <v>42</v>
      </c>
      <c r="H270" s="2">
        <v>42475</v>
      </c>
      <c r="I270" s="3" t="s">
        <v>150</v>
      </c>
    </row>
    <row r="271" spans="1:9" x14ac:dyDescent="0.2">
      <c r="A271" s="3" t="s">
        <v>102</v>
      </c>
      <c r="B271" s="3">
        <v>0</v>
      </c>
      <c r="C271" s="3">
        <v>1</v>
      </c>
      <c r="D271" s="3">
        <v>0</v>
      </c>
      <c r="E271" s="3">
        <v>0</v>
      </c>
      <c r="F271" s="2">
        <v>42470</v>
      </c>
      <c r="G271" s="3" t="s">
        <v>42</v>
      </c>
      <c r="H271" s="2">
        <v>42474</v>
      </c>
      <c r="I271" s="3" t="s">
        <v>68</v>
      </c>
    </row>
    <row r="272" spans="1:9" x14ac:dyDescent="0.2">
      <c r="A272" s="3" t="s">
        <v>59</v>
      </c>
      <c r="B272" s="3">
        <v>113</v>
      </c>
      <c r="C272" s="3">
        <v>1</v>
      </c>
      <c r="D272" s="3">
        <v>0</v>
      </c>
      <c r="E272" s="3">
        <v>0</v>
      </c>
      <c r="F272" s="2">
        <v>42470</v>
      </c>
      <c r="G272" s="3" t="s">
        <v>33</v>
      </c>
      <c r="H272" s="2">
        <v>42476</v>
      </c>
      <c r="I272" s="3" t="s">
        <v>59</v>
      </c>
    </row>
    <row r="273" spans="1:9" x14ac:dyDescent="0.2">
      <c r="A273" s="3" t="s">
        <v>125</v>
      </c>
      <c r="B273" s="3">
        <v>15</v>
      </c>
      <c r="C273" s="3">
        <v>1</v>
      </c>
      <c r="D273" s="3">
        <v>0</v>
      </c>
      <c r="E273" s="3">
        <v>0</v>
      </c>
      <c r="F273" s="2">
        <v>42470</v>
      </c>
      <c r="G273" s="3" t="s">
        <v>42</v>
      </c>
      <c r="H273" s="2">
        <v>42474</v>
      </c>
      <c r="I273" s="3" t="s">
        <v>150</v>
      </c>
    </row>
    <row r="274" spans="1:9" x14ac:dyDescent="0.2">
      <c r="A274" s="3" t="s">
        <v>71</v>
      </c>
      <c r="B274" s="3">
        <v>20</v>
      </c>
      <c r="C274" s="3">
        <v>1</v>
      </c>
      <c r="D274" s="3">
        <v>0</v>
      </c>
      <c r="E274" s="3">
        <v>0</v>
      </c>
      <c r="F274" s="2">
        <v>42470</v>
      </c>
      <c r="G274" s="3" t="s">
        <v>33</v>
      </c>
      <c r="H274" s="2">
        <v>42476</v>
      </c>
      <c r="I274" s="3" t="s">
        <v>68</v>
      </c>
    </row>
    <row r="275" spans="1:9" x14ac:dyDescent="0.2">
      <c r="A275" s="3" t="s">
        <v>151</v>
      </c>
      <c r="B275" s="3">
        <v>10</v>
      </c>
      <c r="C275" s="3">
        <v>1</v>
      </c>
      <c r="D275" s="3">
        <v>0</v>
      </c>
      <c r="E275" s="3">
        <v>0</v>
      </c>
      <c r="F275" s="2">
        <v>42470</v>
      </c>
      <c r="G275" s="3" t="s">
        <v>33</v>
      </c>
      <c r="H275" s="2">
        <v>42476</v>
      </c>
      <c r="I275" s="3" t="s">
        <v>68</v>
      </c>
    </row>
    <row r="276" spans="1:9" x14ac:dyDescent="0.2">
      <c r="A276" s="3" t="s">
        <v>152</v>
      </c>
      <c r="B276" s="3">
        <v>70</v>
      </c>
      <c r="C276" s="3">
        <v>1</v>
      </c>
      <c r="D276" s="3">
        <v>0</v>
      </c>
      <c r="E276" s="3">
        <v>0</v>
      </c>
      <c r="F276" s="2">
        <v>42470</v>
      </c>
      <c r="G276" s="3" t="s">
        <v>42</v>
      </c>
      <c r="H276" s="2">
        <v>42478</v>
      </c>
      <c r="I276" s="3" t="s">
        <v>68</v>
      </c>
    </row>
    <row r="277" spans="1:9" x14ac:dyDescent="0.2">
      <c r="A277" s="3" t="s">
        <v>102</v>
      </c>
      <c r="B277" s="3">
        <v>20</v>
      </c>
      <c r="C277" s="3">
        <v>1</v>
      </c>
      <c r="D277" s="3">
        <v>0</v>
      </c>
      <c r="E277" s="3">
        <v>0</v>
      </c>
      <c r="F277" s="2">
        <v>42470</v>
      </c>
      <c r="G277" s="3" t="s">
        <v>33</v>
      </c>
      <c r="H277" s="2">
        <v>42476</v>
      </c>
      <c r="I277" s="3" t="s">
        <v>68</v>
      </c>
    </row>
    <row r="278" spans="1:9" x14ac:dyDescent="0.2">
      <c r="A278" s="3" t="s">
        <v>153</v>
      </c>
      <c r="B278" s="3">
        <v>10</v>
      </c>
      <c r="C278" s="3">
        <v>1</v>
      </c>
      <c r="D278" s="3">
        <v>0</v>
      </c>
      <c r="E278" s="3">
        <v>0</v>
      </c>
      <c r="F278" s="2">
        <v>42470</v>
      </c>
      <c r="G278" s="3" t="s">
        <v>42</v>
      </c>
      <c r="H278" s="2">
        <v>42478</v>
      </c>
      <c r="I278" s="3" t="s">
        <v>63</v>
      </c>
    </row>
    <row r="279" spans="1:9" x14ac:dyDescent="0.2">
      <c r="A279" s="3" t="s">
        <v>154</v>
      </c>
      <c r="B279" s="3">
        <v>57</v>
      </c>
      <c r="C279" s="3">
        <v>1</v>
      </c>
      <c r="D279" s="3">
        <v>0</v>
      </c>
      <c r="E279" s="3">
        <v>0</v>
      </c>
      <c r="F279" s="2">
        <v>42470</v>
      </c>
      <c r="G279" s="3" t="s">
        <v>33</v>
      </c>
      <c r="H279" s="2">
        <v>42476</v>
      </c>
      <c r="I279" s="6" t="s">
        <v>82</v>
      </c>
    </row>
    <row r="280" spans="1:9" x14ac:dyDescent="0.2">
      <c r="A280" s="3" t="s">
        <v>155</v>
      </c>
      <c r="B280" s="3">
        <v>6</v>
      </c>
      <c r="C280" s="3">
        <v>1</v>
      </c>
      <c r="D280" s="3">
        <v>0</v>
      </c>
      <c r="E280" s="3">
        <v>0</v>
      </c>
      <c r="F280" s="2">
        <v>42470</v>
      </c>
      <c r="G280" s="3" t="s">
        <v>42</v>
      </c>
      <c r="H280" s="2">
        <v>42478</v>
      </c>
      <c r="I280" s="3" t="s">
        <v>63</v>
      </c>
    </row>
    <row r="281" spans="1:9" x14ac:dyDescent="0.2">
      <c r="A281" s="3" t="s">
        <v>156</v>
      </c>
      <c r="B281" s="3">
        <v>9.9</v>
      </c>
      <c r="C281" s="3">
        <v>1</v>
      </c>
      <c r="D281" s="3">
        <v>0</v>
      </c>
      <c r="E281" s="3">
        <v>0</v>
      </c>
      <c r="F281" s="2">
        <v>42470</v>
      </c>
      <c r="G281" s="3" t="s">
        <v>42</v>
      </c>
      <c r="H281" s="2">
        <v>42478</v>
      </c>
      <c r="I281" s="3" t="s">
        <v>63</v>
      </c>
    </row>
    <row r="282" spans="1:9" x14ac:dyDescent="0.2">
      <c r="A282" s="3" t="s">
        <v>155</v>
      </c>
      <c r="B282" s="3">
        <v>5.8</v>
      </c>
      <c r="C282" s="3">
        <v>1</v>
      </c>
      <c r="D282" s="3">
        <v>0</v>
      </c>
      <c r="E282" s="3">
        <v>0</v>
      </c>
      <c r="F282" s="2">
        <v>42470</v>
      </c>
      <c r="G282" s="3" t="s">
        <v>42</v>
      </c>
      <c r="H282" s="2">
        <v>42480</v>
      </c>
      <c r="I282" s="3" t="s">
        <v>63</v>
      </c>
    </row>
    <row r="283" spans="1:9" x14ac:dyDescent="0.2">
      <c r="A283" s="3" t="s">
        <v>157</v>
      </c>
      <c r="B283" s="3">
        <v>42.9</v>
      </c>
      <c r="C283" s="3">
        <v>1</v>
      </c>
      <c r="D283" s="3">
        <v>0</v>
      </c>
      <c r="E283" s="3">
        <v>0</v>
      </c>
      <c r="F283" s="2">
        <v>42470</v>
      </c>
      <c r="G283" s="3" t="s">
        <v>81</v>
      </c>
      <c r="H283" s="2">
        <v>42486</v>
      </c>
      <c r="I283" s="3" t="s">
        <v>68</v>
      </c>
    </row>
    <row r="284" spans="1:9" x14ac:dyDescent="0.2">
      <c r="A284" s="3" t="s">
        <v>148</v>
      </c>
      <c r="B284" s="3">
        <v>12.99</v>
      </c>
      <c r="C284" s="3">
        <v>1</v>
      </c>
      <c r="D284" s="3">
        <v>0</v>
      </c>
      <c r="E284" s="3">
        <v>0</v>
      </c>
      <c r="F284" s="2">
        <v>42470</v>
      </c>
      <c r="G284" s="3" t="s">
        <v>81</v>
      </c>
      <c r="H284" s="2">
        <v>42487</v>
      </c>
      <c r="I284" s="3" t="s">
        <v>63</v>
      </c>
    </row>
    <row r="285" spans="1:9" x14ac:dyDescent="0.2">
      <c r="A285" s="3" t="s">
        <v>125</v>
      </c>
      <c r="B285" s="3">
        <v>13</v>
      </c>
      <c r="C285" s="3">
        <v>1</v>
      </c>
      <c r="D285" s="3">
        <v>0</v>
      </c>
      <c r="E285" s="3">
        <v>0</v>
      </c>
      <c r="F285" s="2">
        <v>42470</v>
      </c>
      <c r="G285" s="3" t="s">
        <v>81</v>
      </c>
      <c r="H285" s="2">
        <v>42489</v>
      </c>
      <c r="I285" s="3" t="s">
        <v>150</v>
      </c>
    </row>
    <row r="286" spans="1:9" x14ac:dyDescent="0.2">
      <c r="A286" s="3" t="s">
        <v>158</v>
      </c>
      <c r="B286" s="3">
        <v>4</v>
      </c>
      <c r="C286" s="3">
        <v>1</v>
      </c>
      <c r="D286" s="3">
        <v>0</v>
      </c>
      <c r="E286" s="3">
        <v>0</v>
      </c>
      <c r="F286" s="2">
        <v>42470</v>
      </c>
      <c r="G286" s="3" t="s">
        <v>81</v>
      </c>
      <c r="H286" s="2">
        <v>42489</v>
      </c>
      <c r="I286" s="3" t="s">
        <v>63</v>
      </c>
    </row>
    <row r="287" spans="1:9" x14ac:dyDescent="0.2">
      <c r="A287" s="3" t="s">
        <v>13</v>
      </c>
      <c r="B287" s="3">
        <v>10</v>
      </c>
      <c r="C287" s="3">
        <v>1</v>
      </c>
      <c r="D287" s="3">
        <v>0</v>
      </c>
      <c r="E287" s="3">
        <v>0</v>
      </c>
      <c r="F287" s="2">
        <v>42470</v>
      </c>
      <c r="G287" s="3" t="s">
        <v>81</v>
      </c>
      <c r="H287" s="2">
        <v>42489</v>
      </c>
      <c r="I287" s="6" t="s">
        <v>13</v>
      </c>
    </row>
    <row r="288" spans="1:9" x14ac:dyDescent="0.2">
      <c r="A288" s="3" t="s">
        <v>89</v>
      </c>
      <c r="B288" s="3">
        <v>23</v>
      </c>
      <c r="C288" s="3">
        <v>1</v>
      </c>
      <c r="D288" s="3">
        <v>0</v>
      </c>
      <c r="E288" s="3">
        <v>0</v>
      </c>
      <c r="F288" s="2">
        <v>42470</v>
      </c>
      <c r="G288" s="3" t="s">
        <v>81</v>
      </c>
      <c r="H288" s="2">
        <v>42489</v>
      </c>
      <c r="I288" s="3" t="s">
        <v>89</v>
      </c>
    </row>
    <row r="289" spans="1:10" x14ac:dyDescent="0.2">
      <c r="A289" s="18" t="s">
        <v>26</v>
      </c>
      <c r="B289" s="18">
        <v>5.79</v>
      </c>
      <c r="C289" s="18">
        <v>1</v>
      </c>
      <c r="D289" s="18">
        <v>0</v>
      </c>
      <c r="E289" s="18">
        <v>0</v>
      </c>
      <c r="F289" s="19">
        <v>42491</v>
      </c>
      <c r="G289" s="18" t="s">
        <v>27</v>
      </c>
      <c r="H289" s="19">
        <v>42500</v>
      </c>
      <c r="I289" s="18" t="s">
        <v>28</v>
      </c>
    </row>
    <row r="290" spans="1:10" x14ac:dyDescent="0.2">
      <c r="A290" s="18" t="s">
        <v>29</v>
      </c>
      <c r="B290" s="18">
        <v>50</v>
      </c>
      <c r="C290" s="18">
        <v>1</v>
      </c>
      <c r="D290" s="18">
        <v>0</v>
      </c>
      <c r="E290" s="18">
        <v>0</v>
      </c>
      <c r="F290" s="19">
        <v>42491</v>
      </c>
      <c r="G290" s="18" t="s">
        <v>27</v>
      </c>
      <c r="H290" s="19">
        <v>42506</v>
      </c>
      <c r="I290" s="6" t="s">
        <v>615</v>
      </c>
    </row>
    <row r="291" spans="1:10" x14ac:dyDescent="0.2">
      <c r="A291" s="18" t="s">
        <v>31</v>
      </c>
      <c r="B291" s="18">
        <v>45.74</v>
      </c>
      <c r="C291" s="18">
        <v>1</v>
      </c>
      <c r="D291" s="18">
        <v>0</v>
      </c>
      <c r="E291" s="18">
        <v>0</v>
      </c>
      <c r="F291" s="19">
        <v>42491</v>
      </c>
      <c r="G291" s="18" t="s">
        <v>27</v>
      </c>
      <c r="H291" s="19">
        <v>42500</v>
      </c>
      <c r="I291" s="18" t="s">
        <v>28</v>
      </c>
    </row>
    <row r="292" spans="1:10" x14ac:dyDescent="0.2">
      <c r="A292" s="18" t="s">
        <v>32</v>
      </c>
      <c r="B292" s="18">
        <v>703.21</v>
      </c>
      <c r="C292" s="18">
        <v>1</v>
      </c>
      <c r="D292" s="18">
        <v>0</v>
      </c>
      <c r="E292" s="18">
        <v>0</v>
      </c>
      <c r="F292" s="19">
        <v>42491</v>
      </c>
      <c r="G292" s="18" t="s">
        <v>27</v>
      </c>
      <c r="H292" s="19">
        <v>42499</v>
      </c>
      <c r="I292" s="18" t="s">
        <v>34</v>
      </c>
    </row>
    <row r="293" spans="1:10" x14ac:dyDescent="0.2">
      <c r="A293" s="18" t="s">
        <v>35</v>
      </c>
      <c r="B293" s="18">
        <v>601.11</v>
      </c>
      <c r="C293" s="18">
        <v>1</v>
      </c>
      <c r="D293" s="18">
        <v>0</v>
      </c>
      <c r="E293" s="18">
        <v>0</v>
      </c>
      <c r="F293" s="19">
        <v>42491</v>
      </c>
      <c r="G293" s="18" t="s">
        <v>27</v>
      </c>
      <c r="H293" s="19">
        <v>42506</v>
      </c>
      <c r="I293" s="18" t="s">
        <v>36</v>
      </c>
    </row>
    <row r="294" spans="1:10" x14ac:dyDescent="0.2">
      <c r="A294" s="18" t="s">
        <v>37</v>
      </c>
      <c r="B294" s="18">
        <v>145</v>
      </c>
      <c r="C294" s="18">
        <v>1</v>
      </c>
      <c r="D294" s="18">
        <v>0</v>
      </c>
      <c r="E294" s="18">
        <v>0</v>
      </c>
      <c r="F294" s="19">
        <v>42491</v>
      </c>
      <c r="G294" s="18" t="s">
        <v>42</v>
      </c>
      <c r="H294" s="19">
        <v>42499</v>
      </c>
      <c r="I294" s="18" t="s">
        <v>37</v>
      </c>
    </row>
    <row r="295" spans="1:10" x14ac:dyDescent="0.2">
      <c r="A295" s="6" t="s">
        <v>38</v>
      </c>
      <c r="B295" s="7">
        <v>198.66</v>
      </c>
      <c r="C295" s="6">
        <v>1</v>
      </c>
      <c r="D295" s="6">
        <v>0</v>
      </c>
      <c r="E295" s="6">
        <v>0</v>
      </c>
      <c r="F295" s="8">
        <v>42439</v>
      </c>
      <c r="G295" s="18" t="s">
        <v>42</v>
      </c>
      <c r="H295" s="19">
        <v>42499</v>
      </c>
      <c r="I295" s="6" t="s">
        <v>39</v>
      </c>
    </row>
    <row r="296" spans="1:10" x14ac:dyDescent="0.2">
      <c r="A296" s="6" t="s">
        <v>40</v>
      </c>
      <c r="B296" s="7">
        <v>95.11</v>
      </c>
      <c r="C296" s="6">
        <v>1</v>
      </c>
      <c r="D296" s="6">
        <v>0</v>
      </c>
      <c r="E296" s="6">
        <v>0</v>
      </c>
      <c r="F296" s="8">
        <v>42439</v>
      </c>
      <c r="G296" s="18" t="s">
        <v>42</v>
      </c>
      <c r="H296" s="19">
        <v>42499</v>
      </c>
      <c r="I296" s="6" t="s">
        <v>39</v>
      </c>
    </row>
    <row r="297" spans="1:10" x14ac:dyDescent="0.2">
      <c r="A297" s="18" t="s">
        <v>41</v>
      </c>
      <c r="B297" s="18">
        <v>230</v>
      </c>
      <c r="C297" s="18">
        <v>1</v>
      </c>
      <c r="D297" s="18">
        <v>0</v>
      </c>
      <c r="E297" s="18">
        <v>0</v>
      </c>
      <c r="F297" s="19">
        <v>42491</v>
      </c>
      <c r="G297" s="18" t="s">
        <v>27</v>
      </c>
      <c r="H297" s="19">
        <v>42502</v>
      </c>
      <c r="I297" s="18" t="s">
        <v>43</v>
      </c>
    </row>
    <row r="298" spans="1:10" x14ac:dyDescent="0.2">
      <c r="A298" s="18" t="s">
        <v>44</v>
      </c>
      <c r="B298" s="18">
        <v>0</v>
      </c>
      <c r="C298" s="18">
        <v>1</v>
      </c>
      <c r="D298" s="18">
        <v>0</v>
      </c>
      <c r="E298" s="18">
        <v>1</v>
      </c>
      <c r="F298" s="19">
        <v>42491</v>
      </c>
      <c r="G298" s="18" t="s">
        <v>27</v>
      </c>
      <c r="H298" s="19">
        <v>42500</v>
      </c>
      <c r="I298" s="18" t="s">
        <v>34</v>
      </c>
      <c r="J298" s="18">
        <v>1410.14</v>
      </c>
    </row>
    <row r="299" spans="1:10" x14ac:dyDescent="0.2">
      <c r="A299" s="18" t="s">
        <v>45</v>
      </c>
      <c r="B299" s="18">
        <v>76.66</v>
      </c>
      <c r="C299" s="18">
        <v>1</v>
      </c>
      <c r="D299" s="18">
        <v>0</v>
      </c>
      <c r="E299" s="18">
        <v>0</v>
      </c>
      <c r="F299" s="19">
        <v>42491</v>
      </c>
      <c r="G299" s="18" t="s">
        <v>42</v>
      </c>
      <c r="H299" s="19">
        <v>42499</v>
      </c>
      <c r="I299" s="18" t="s">
        <v>34</v>
      </c>
    </row>
    <row r="300" spans="1:10" x14ac:dyDescent="0.2">
      <c r="A300" s="18" t="s">
        <v>111</v>
      </c>
      <c r="B300" s="18">
        <v>32.14</v>
      </c>
      <c r="C300" s="18">
        <v>1</v>
      </c>
      <c r="D300" s="18">
        <v>0</v>
      </c>
      <c r="E300" s="18">
        <v>0</v>
      </c>
      <c r="F300" s="19">
        <v>42491</v>
      </c>
      <c r="G300" s="18" t="s">
        <v>88</v>
      </c>
      <c r="H300" s="19">
        <v>42522</v>
      </c>
      <c r="I300" s="18" t="s">
        <v>34</v>
      </c>
    </row>
    <row r="301" spans="1:10" x14ac:dyDescent="0.2">
      <c r="A301" s="18" t="s">
        <v>46</v>
      </c>
      <c r="B301" s="18">
        <f>SUMIFS(credito!$B$2:$B$280,credito!$F$2:$F$280,F301,credito!$G$2:$G$280,0)</f>
        <v>4424.82</v>
      </c>
      <c r="C301" s="18">
        <v>1</v>
      </c>
      <c r="D301" s="18">
        <v>0</v>
      </c>
      <c r="E301" s="18">
        <v>0</v>
      </c>
      <c r="F301" s="19">
        <v>42491</v>
      </c>
      <c r="G301" s="18" t="s">
        <v>42</v>
      </c>
      <c r="H301" s="19">
        <v>42500</v>
      </c>
      <c r="I301" s="18" t="s">
        <v>47</v>
      </c>
    </row>
    <row r="302" spans="1:10" x14ac:dyDescent="0.2">
      <c r="A302" s="18" t="s">
        <v>159</v>
      </c>
      <c r="B302" s="18">
        <v>51</v>
      </c>
      <c r="C302" s="18">
        <v>1</v>
      </c>
      <c r="D302" s="18">
        <v>0</v>
      </c>
      <c r="E302" s="18">
        <v>0</v>
      </c>
      <c r="F302" s="19">
        <v>42491</v>
      </c>
      <c r="G302" s="18" t="s">
        <v>88</v>
      </c>
      <c r="H302" s="19">
        <v>42493</v>
      </c>
      <c r="I302" s="18" t="s">
        <v>28</v>
      </c>
    </row>
    <row r="303" spans="1:10" x14ac:dyDescent="0.2">
      <c r="A303" s="20" t="s">
        <v>142</v>
      </c>
      <c r="B303" s="20">
        <v>9.27</v>
      </c>
      <c r="C303" s="20">
        <v>1</v>
      </c>
      <c r="D303" s="20">
        <v>0</v>
      </c>
      <c r="E303" s="20">
        <v>0</v>
      </c>
      <c r="F303" s="21">
        <v>42491</v>
      </c>
      <c r="G303" s="20" t="s">
        <v>27</v>
      </c>
      <c r="H303" s="21">
        <v>42490</v>
      </c>
      <c r="I303" s="20" t="s">
        <v>51</v>
      </c>
    </row>
    <row r="304" spans="1:10" x14ac:dyDescent="0.2">
      <c r="A304" s="20" t="s">
        <v>160</v>
      </c>
      <c r="B304" s="20">
        <v>36.96</v>
      </c>
      <c r="C304" s="20">
        <v>1</v>
      </c>
      <c r="D304" s="20">
        <v>0</v>
      </c>
      <c r="E304" s="20">
        <v>0</v>
      </c>
      <c r="F304" s="21">
        <v>42491</v>
      </c>
      <c r="G304" s="20" t="s">
        <v>27</v>
      </c>
      <c r="H304" s="21">
        <v>42490</v>
      </c>
      <c r="I304" s="20" t="s">
        <v>51</v>
      </c>
    </row>
    <row r="305" spans="1:9" x14ac:dyDescent="0.2">
      <c r="A305" s="20" t="s">
        <v>161</v>
      </c>
      <c r="B305" s="20">
        <v>121.62</v>
      </c>
      <c r="C305" s="20">
        <v>1</v>
      </c>
      <c r="D305" s="20">
        <v>0</v>
      </c>
      <c r="E305" s="20">
        <v>0</v>
      </c>
      <c r="F305" s="21">
        <v>42491</v>
      </c>
      <c r="G305" s="20" t="s">
        <v>27</v>
      </c>
      <c r="H305" s="21">
        <v>42490</v>
      </c>
      <c r="I305" s="20" t="s">
        <v>51</v>
      </c>
    </row>
    <row r="306" spans="1:9" x14ac:dyDescent="0.2">
      <c r="A306" s="20" t="s">
        <v>162</v>
      </c>
      <c r="B306" s="20">
        <v>30</v>
      </c>
      <c r="C306" s="20">
        <v>1</v>
      </c>
      <c r="D306" s="20">
        <v>0</v>
      </c>
      <c r="E306" s="20">
        <v>0</v>
      </c>
      <c r="F306" s="21">
        <v>42491</v>
      </c>
      <c r="G306" s="20" t="s">
        <v>27</v>
      </c>
      <c r="H306" s="21">
        <v>42490</v>
      </c>
      <c r="I306" s="20" t="s">
        <v>51</v>
      </c>
    </row>
    <row r="307" spans="1:9" x14ac:dyDescent="0.2">
      <c r="A307" s="20" t="s">
        <v>144</v>
      </c>
      <c r="B307" s="20">
        <v>17</v>
      </c>
      <c r="C307" s="20">
        <v>1</v>
      </c>
      <c r="D307" s="20">
        <v>0</v>
      </c>
      <c r="E307" s="20">
        <v>0</v>
      </c>
      <c r="F307" s="21">
        <v>42491</v>
      </c>
      <c r="G307" s="20" t="s">
        <v>27</v>
      </c>
      <c r="H307" s="21">
        <v>42490</v>
      </c>
      <c r="I307" s="20" t="s">
        <v>51</v>
      </c>
    </row>
    <row r="308" spans="1:9" x14ac:dyDescent="0.2">
      <c r="A308" s="20" t="s">
        <v>145</v>
      </c>
      <c r="B308" s="20">
        <v>570.88</v>
      </c>
      <c r="C308" s="20">
        <v>1</v>
      </c>
      <c r="D308" s="20">
        <v>0</v>
      </c>
      <c r="E308" s="20">
        <v>0</v>
      </c>
      <c r="F308" s="21">
        <v>42491</v>
      </c>
      <c r="G308" s="20" t="s">
        <v>27</v>
      </c>
      <c r="H308" s="21">
        <v>42490</v>
      </c>
      <c r="I308" s="20" t="s">
        <v>51</v>
      </c>
    </row>
    <row r="309" spans="1:9" x14ac:dyDescent="0.2">
      <c r="A309" s="20" t="s">
        <v>146</v>
      </c>
      <c r="B309" s="20">
        <v>1058.0999999999999</v>
      </c>
      <c r="C309" s="20">
        <v>1</v>
      </c>
      <c r="D309" s="20">
        <v>0</v>
      </c>
      <c r="E309" s="20">
        <v>0</v>
      </c>
      <c r="F309" s="21">
        <v>42491</v>
      </c>
      <c r="G309" s="20" t="s">
        <v>27</v>
      </c>
      <c r="H309" s="21">
        <v>42490</v>
      </c>
      <c r="I309" s="20" t="s">
        <v>51</v>
      </c>
    </row>
    <row r="310" spans="1:9" x14ac:dyDescent="0.2">
      <c r="A310" s="12" t="s">
        <v>138</v>
      </c>
      <c r="B310" s="12">
        <v>0</v>
      </c>
      <c r="C310" s="12">
        <v>1</v>
      </c>
      <c r="D310" s="12">
        <v>0</v>
      </c>
      <c r="E310" s="12">
        <v>1</v>
      </c>
      <c r="F310" s="22">
        <v>42491</v>
      </c>
      <c r="G310" s="12" t="s">
        <v>27</v>
      </c>
      <c r="H310" s="22">
        <v>42500</v>
      </c>
      <c r="I310" s="12" t="s">
        <v>56</v>
      </c>
    </row>
    <row r="311" spans="1:9" x14ac:dyDescent="0.2">
      <c r="A311" s="12" t="s">
        <v>125</v>
      </c>
      <c r="B311" s="12">
        <v>200</v>
      </c>
      <c r="C311" s="12">
        <v>1</v>
      </c>
      <c r="D311" s="12">
        <v>0</v>
      </c>
      <c r="E311" s="12">
        <v>0</v>
      </c>
      <c r="F311" s="22">
        <v>42491</v>
      </c>
      <c r="G311" s="12" t="s">
        <v>27</v>
      </c>
      <c r="H311" s="22">
        <v>42518</v>
      </c>
      <c r="I311" s="3" t="s">
        <v>150</v>
      </c>
    </row>
    <row r="312" spans="1:9" x14ac:dyDescent="0.2">
      <c r="A312" s="18" t="s">
        <v>55</v>
      </c>
      <c r="B312" s="18">
        <v>0</v>
      </c>
      <c r="C312" s="18">
        <v>1</v>
      </c>
      <c r="D312" s="18">
        <v>0</v>
      </c>
      <c r="E312" s="18">
        <v>1</v>
      </c>
      <c r="F312" s="19">
        <v>42491</v>
      </c>
      <c r="G312" s="18" t="s">
        <v>42</v>
      </c>
      <c r="H312" s="19">
        <v>42500</v>
      </c>
      <c r="I312" s="18" t="s">
        <v>56</v>
      </c>
    </row>
    <row r="313" spans="1:9" x14ac:dyDescent="0.2">
      <c r="A313" s="18" t="s">
        <v>57</v>
      </c>
      <c r="B313" s="18">
        <v>0</v>
      </c>
      <c r="C313" s="18">
        <v>1</v>
      </c>
      <c r="D313" s="18">
        <v>0</v>
      </c>
      <c r="E313" s="18">
        <v>1</v>
      </c>
      <c r="F313" s="19">
        <v>42491</v>
      </c>
      <c r="G313" s="18" t="s">
        <v>42</v>
      </c>
      <c r="H313" s="19">
        <v>42500</v>
      </c>
      <c r="I313" s="18" t="s">
        <v>56</v>
      </c>
    </row>
    <row r="314" spans="1:9" x14ac:dyDescent="0.2">
      <c r="A314" s="12" t="s">
        <v>127</v>
      </c>
      <c r="B314" s="12">
        <v>521.75</v>
      </c>
      <c r="C314" s="12">
        <v>1</v>
      </c>
      <c r="D314" s="12">
        <v>0</v>
      </c>
      <c r="E314" s="12">
        <v>0</v>
      </c>
      <c r="F314" s="22">
        <v>42491</v>
      </c>
      <c r="G314" s="12" t="s">
        <v>42</v>
      </c>
      <c r="H314" s="22">
        <v>42513</v>
      </c>
      <c r="I314" s="12" t="s">
        <v>34</v>
      </c>
    </row>
    <row r="315" spans="1:9" x14ac:dyDescent="0.2">
      <c r="A315" s="18" t="s">
        <v>157</v>
      </c>
      <c r="B315" s="18">
        <v>25</v>
      </c>
      <c r="C315" s="18">
        <v>0</v>
      </c>
      <c r="D315" s="18">
        <v>1</v>
      </c>
      <c r="E315" s="18">
        <v>0</v>
      </c>
      <c r="F315" s="19">
        <v>42491</v>
      </c>
      <c r="G315" s="18" t="s">
        <v>33</v>
      </c>
      <c r="H315" s="19">
        <v>42491</v>
      </c>
      <c r="I315" s="18" t="s">
        <v>68</v>
      </c>
    </row>
    <row r="316" spans="1:9" x14ac:dyDescent="0.2">
      <c r="A316" s="18" t="s">
        <v>128</v>
      </c>
      <c r="B316" s="18">
        <v>59</v>
      </c>
      <c r="C316" s="18">
        <v>0</v>
      </c>
      <c r="D316" s="18">
        <v>1</v>
      </c>
      <c r="E316" s="18">
        <v>0</v>
      </c>
      <c r="F316" s="19">
        <v>42491</v>
      </c>
      <c r="G316" s="18" t="s">
        <v>33</v>
      </c>
      <c r="H316" s="19">
        <v>42491</v>
      </c>
      <c r="I316" s="18" t="s">
        <v>63</v>
      </c>
    </row>
    <row r="317" spans="1:9" x14ac:dyDescent="0.2">
      <c r="A317" s="18" t="s">
        <v>59</v>
      </c>
      <c r="B317" s="18">
        <v>110</v>
      </c>
      <c r="C317" s="18">
        <v>0</v>
      </c>
      <c r="D317" s="18">
        <v>1</v>
      </c>
      <c r="E317" s="18">
        <v>0</v>
      </c>
      <c r="F317" s="19">
        <v>42491</v>
      </c>
      <c r="G317" s="18" t="s">
        <v>33</v>
      </c>
      <c r="H317" s="19">
        <v>42491</v>
      </c>
      <c r="I317" s="18" t="s">
        <v>59</v>
      </c>
    </row>
    <row r="318" spans="1:9" x14ac:dyDescent="0.2">
      <c r="A318" s="18" t="s">
        <v>56</v>
      </c>
      <c r="B318" s="18">
        <v>100</v>
      </c>
      <c r="C318" s="18">
        <v>0</v>
      </c>
      <c r="D318" s="18">
        <v>1</v>
      </c>
      <c r="E318" s="18">
        <v>0</v>
      </c>
      <c r="F318" s="19">
        <v>42491</v>
      </c>
      <c r="G318" s="18" t="s">
        <v>33</v>
      </c>
      <c r="H318" s="19">
        <v>42491</v>
      </c>
      <c r="I318" s="18" t="s">
        <v>56</v>
      </c>
    </row>
    <row r="319" spans="1:9" x14ac:dyDescent="0.2">
      <c r="A319" s="18" t="s">
        <v>60</v>
      </c>
      <c r="B319" s="18">
        <v>20</v>
      </c>
      <c r="C319" s="18">
        <v>0</v>
      </c>
      <c r="D319" s="18">
        <v>1</v>
      </c>
      <c r="E319" s="18">
        <v>0</v>
      </c>
      <c r="F319" s="19">
        <v>42491</v>
      </c>
      <c r="G319" s="18" t="s">
        <v>33</v>
      </c>
      <c r="H319" s="19">
        <v>42491</v>
      </c>
      <c r="I319" s="18" t="s">
        <v>60</v>
      </c>
    </row>
    <row r="320" spans="1:9" x14ac:dyDescent="0.2">
      <c r="A320" s="18" t="s">
        <v>94</v>
      </c>
      <c r="B320" s="18">
        <v>4</v>
      </c>
      <c r="C320" s="18">
        <v>0</v>
      </c>
      <c r="D320" s="18">
        <v>1</v>
      </c>
      <c r="E320" s="18">
        <v>0</v>
      </c>
      <c r="F320" s="19">
        <v>42491</v>
      </c>
      <c r="G320" s="18" t="s">
        <v>33</v>
      </c>
      <c r="H320" s="19">
        <v>42491</v>
      </c>
      <c r="I320" s="18" t="s">
        <v>63</v>
      </c>
    </row>
    <row r="321" spans="1:9" x14ac:dyDescent="0.2">
      <c r="A321" s="18" t="s">
        <v>65</v>
      </c>
      <c r="B321" s="18">
        <v>6</v>
      </c>
      <c r="C321" s="18">
        <v>0</v>
      </c>
      <c r="D321" s="18">
        <v>1</v>
      </c>
      <c r="E321" s="18">
        <v>0</v>
      </c>
      <c r="F321" s="19">
        <v>42491</v>
      </c>
      <c r="G321" s="18" t="s">
        <v>27</v>
      </c>
      <c r="H321" s="19">
        <v>42493</v>
      </c>
      <c r="I321" s="18" t="s">
        <v>63</v>
      </c>
    </row>
    <row r="322" spans="1:9" x14ac:dyDescent="0.2">
      <c r="A322" s="18" t="s">
        <v>163</v>
      </c>
      <c r="B322" s="18">
        <v>6</v>
      </c>
      <c r="C322" s="18">
        <v>0</v>
      </c>
      <c r="D322" s="18">
        <v>1</v>
      </c>
      <c r="E322" s="18">
        <v>0</v>
      </c>
      <c r="F322" s="19">
        <v>42491</v>
      </c>
      <c r="G322" s="18" t="s">
        <v>27</v>
      </c>
      <c r="H322" s="19">
        <v>42493</v>
      </c>
      <c r="I322" s="18" t="s">
        <v>63</v>
      </c>
    </row>
    <row r="323" spans="1:9" x14ac:dyDescent="0.2">
      <c r="A323" s="18" t="s">
        <v>164</v>
      </c>
      <c r="B323" s="18">
        <v>63</v>
      </c>
      <c r="C323" s="18">
        <v>0</v>
      </c>
      <c r="D323" s="18">
        <v>1</v>
      </c>
      <c r="E323" s="18">
        <v>0</v>
      </c>
      <c r="F323" s="19">
        <v>42491</v>
      </c>
      <c r="G323" s="18" t="s">
        <v>27</v>
      </c>
      <c r="H323" s="19">
        <v>42493</v>
      </c>
      <c r="I323" s="18" t="s">
        <v>165</v>
      </c>
    </row>
    <row r="324" spans="1:9" x14ac:dyDescent="0.2">
      <c r="A324" s="18" t="s">
        <v>82</v>
      </c>
      <c r="B324" s="18">
        <v>28</v>
      </c>
      <c r="C324" s="18">
        <v>0</v>
      </c>
      <c r="D324" s="18">
        <v>1</v>
      </c>
      <c r="E324" s="18">
        <v>0</v>
      </c>
      <c r="F324" s="19">
        <v>42491</v>
      </c>
      <c r="G324" s="18" t="s">
        <v>27</v>
      </c>
      <c r="H324" s="19">
        <v>42495</v>
      </c>
      <c r="I324" s="6" t="s">
        <v>82</v>
      </c>
    </row>
    <row r="325" spans="1:9" x14ac:dyDescent="0.2">
      <c r="A325" s="18" t="s">
        <v>166</v>
      </c>
      <c r="B325" s="18">
        <v>10</v>
      </c>
      <c r="C325" s="18">
        <v>0</v>
      </c>
      <c r="D325" s="18">
        <v>1</v>
      </c>
      <c r="E325" s="18">
        <v>0</v>
      </c>
      <c r="F325" s="19">
        <v>42491</v>
      </c>
      <c r="G325" s="18" t="s">
        <v>27</v>
      </c>
      <c r="H325" s="19">
        <v>42495</v>
      </c>
      <c r="I325" s="18" t="s">
        <v>63</v>
      </c>
    </row>
    <row r="326" spans="1:9" x14ac:dyDescent="0.2">
      <c r="A326" s="18" t="s">
        <v>167</v>
      </c>
      <c r="B326" s="18">
        <v>10</v>
      </c>
      <c r="C326" s="18">
        <v>0</v>
      </c>
      <c r="D326" s="18">
        <v>1</v>
      </c>
      <c r="E326" s="18">
        <v>0</v>
      </c>
      <c r="F326" s="19">
        <v>42491</v>
      </c>
      <c r="G326" s="18" t="s">
        <v>27</v>
      </c>
      <c r="H326" s="19">
        <v>42494</v>
      </c>
      <c r="I326" s="18" t="s">
        <v>63</v>
      </c>
    </row>
    <row r="327" spans="1:9" x14ac:dyDescent="0.2">
      <c r="A327" s="18" t="s">
        <v>168</v>
      </c>
      <c r="B327" s="18">
        <v>10</v>
      </c>
      <c r="C327" s="18">
        <v>0</v>
      </c>
      <c r="D327" s="18">
        <v>1</v>
      </c>
      <c r="E327" s="18">
        <v>0</v>
      </c>
      <c r="F327" s="19">
        <v>42491</v>
      </c>
      <c r="G327" s="18" t="s">
        <v>33</v>
      </c>
      <c r="H327" s="19">
        <v>42497</v>
      </c>
      <c r="I327" s="18" t="s">
        <v>63</v>
      </c>
    </row>
    <row r="328" spans="1:9" x14ac:dyDescent="0.2">
      <c r="A328" s="18" t="s">
        <v>169</v>
      </c>
      <c r="B328" s="18">
        <v>10</v>
      </c>
      <c r="C328" s="18">
        <v>0</v>
      </c>
      <c r="D328" s="18">
        <v>1</v>
      </c>
      <c r="E328" s="18">
        <v>0</v>
      </c>
      <c r="F328" s="19">
        <v>42491</v>
      </c>
      <c r="G328" s="18" t="s">
        <v>33</v>
      </c>
      <c r="H328" s="19">
        <v>42497</v>
      </c>
      <c r="I328" s="18" t="s">
        <v>63</v>
      </c>
    </row>
    <row r="329" spans="1:9" x14ac:dyDescent="0.2">
      <c r="A329" s="18" t="s">
        <v>60</v>
      </c>
      <c r="B329" s="18">
        <v>206.91</v>
      </c>
      <c r="C329" s="18">
        <v>0</v>
      </c>
      <c r="D329" s="18">
        <v>1</v>
      </c>
      <c r="E329" s="18">
        <v>0</v>
      </c>
      <c r="F329" s="19">
        <v>42491</v>
      </c>
      <c r="G329" s="18" t="s">
        <v>27</v>
      </c>
      <c r="H329" s="19">
        <v>42495</v>
      </c>
      <c r="I329" s="18" t="s">
        <v>60</v>
      </c>
    </row>
    <row r="330" spans="1:9" x14ac:dyDescent="0.2">
      <c r="A330" s="18" t="s">
        <v>158</v>
      </c>
      <c r="B330" s="18">
        <v>6.6</v>
      </c>
      <c r="C330" s="18">
        <v>0</v>
      </c>
      <c r="D330" s="18">
        <v>1</v>
      </c>
      <c r="E330" s="18">
        <v>0</v>
      </c>
      <c r="F330" s="19">
        <v>42491</v>
      </c>
      <c r="G330" s="18" t="s">
        <v>27</v>
      </c>
      <c r="H330" s="19">
        <v>42494</v>
      </c>
      <c r="I330" s="18" t="s">
        <v>63</v>
      </c>
    </row>
    <row r="331" spans="1:9" x14ac:dyDescent="0.2">
      <c r="A331" s="18" t="s">
        <v>125</v>
      </c>
      <c r="B331" s="18">
        <v>13</v>
      </c>
      <c r="C331" s="18">
        <v>0</v>
      </c>
      <c r="D331" s="18">
        <v>1</v>
      </c>
      <c r="E331" s="18">
        <v>0</v>
      </c>
      <c r="F331" s="19">
        <v>42491</v>
      </c>
      <c r="G331" s="18" t="s">
        <v>27</v>
      </c>
      <c r="H331" s="19">
        <v>42494</v>
      </c>
      <c r="I331" s="3" t="s">
        <v>150</v>
      </c>
    </row>
    <row r="332" spans="1:9" x14ac:dyDescent="0.2">
      <c r="A332" s="18" t="s">
        <v>82</v>
      </c>
      <c r="B332" s="18">
        <v>28</v>
      </c>
      <c r="C332" s="18">
        <v>0</v>
      </c>
      <c r="D332" s="18">
        <v>1</v>
      </c>
      <c r="E332" s="18">
        <v>0</v>
      </c>
      <c r="F332" s="19">
        <v>42491</v>
      </c>
      <c r="G332" s="18" t="s">
        <v>27</v>
      </c>
      <c r="H332" s="19">
        <v>42494</v>
      </c>
      <c r="I332" s="6" t="s">
        <v>82</v>
      </c>
    </row>
    <row r="333" spans="1:9" x14ac:dyDescent="0.2">
      <c r="A333" s="18" t="s">
        <v>82</v>
      </c>
      <c r="B333" s="18">
        <v>24</v>
      </c>
      <c r="C333" s="18">
        <v>0</v>
      </c>
      <c r="D333" s="18">
        <v>1</v>
      </c>
      <c r="E333" s="18">
        <v>0</v>
      </c>
      <c r="F333" s="19">
        <v>42491</v>
      </c>
      <c r="G333" s="18" t="s">
        <v>27</v>
      </c>
      <c r="H333" s="19">
        <v>42494</v>
      </c>
      <c r="I333" s="6" t="s">
        <v>82</v>
      </c>
    </row>
    <row r="334" spans="1:9" x14ac:dyDescent="0.2">
      <c r="A334" s="18" t="s">
        <v>62</v>
      </c>
      <c r="B334" s="18">
        <v>10</v>
      </c>
      <c r="C334" s="18">
        <v>0</v>
      </c>
      <c r="D334" s="18">
        <v>1</v>
      </c>
      <c r="E334" s="18">
        <v>0</v>
      </c>
      <c r="F334" s="19">
        <v>42491</v>
      </c>
      <c r="G334" s="18" t="s">
        <v>27</v>
      </c>
      <c r="H334" s="19">
        <v>42494</v>
      </c>
      <c r="I334" s="18" t="s">
        <v>63</v>
      </c>
    </row>
    <row r="335" spans="1:9" x14ac:dyDescent="0.2">
      <c r="A335" s="18" t="s">
        <v>73</v>
      </c>
      <c r="B335" s="18">
        <v>45</v>
      </c>
      <c r="C335" s="18">
        <v>0</v>
      </c>
      <c r="D335" s="18">
        <v>1</v>
      </c>
      <c r="E335" s="18">
        <v>0</v>
      </c>
      <c r="F335" s="19">
        <v>42491</v>
      </c>
      <c r="G335" s="18" t="s">
        <v>27</v>
      </c>
      <c r="H335" s="19">
        <v>42494</v>
      </c>
      <c r="I335" s="18" t="s">
        <v>73</v>
      </c>
    </row>
    <row r="336" spans="1:9" x14ac:dyDescent="0.2">
      <c r="A336" s="18" t="s">
        <v>64</v>
      </c>
      <c r="B336" s="18">
        <v>10</v>
      </c>
      <c r="C336" s="18">
        <v>0</v>
      </c>
      <c r="D336" s="18">
        <v>1</v>
      </c>
      <c r="E336" s="18">
        <v>0</v>
      </c>
      <c r="F336" s="19">
        <v>42491</v>
      </c>
      <c r="G336" s="18" t="s">
        <v>27</v>
      </c>
      <c r="H336" s="19">
        <v>42493</v>
      </c>
      <c r="I336" s="18" t="s">
        <v>63</v>
      </c>
    </row>
    <row r="337" spans="1:9" x14ac:dyDescent="0.2">
      <c r="A337" s="18" t="s">
        <v>64</v>
      </c>
      <c r="B337" s="18">
        <v>10</v>
      </c>
      <c r="C337" s="18">
        <v>0</v>
      </c>
      <c r="D337" s="18">
        <v>1</v>
      </c>
      <c r="E337" s="18">
        <v>0</v>
      </c>
      <c r="F337" s="19">
        <v>42491</v>
      </c>
      <c r="G337" s="18" t="s">
        <v>27</v>
      </c>
      <c r="H337" s="19">
        <v>42494</v>
      </c>
      <c r="I337" s="18" t="s">
        <v>63</v>
      </c>
    </row>
    <row r="338" spans="1:9" x14ac:dyDescent="0.2">
      <c r="A338" s="18" t="s">
        <v>170</v>
      </c>
      <c r="B338" s="18">
        <v>144.6</v>
      </c>
      <c r="C338" s="18">
        <v>0</v>
      </c>
      <c r="D338" s="18">
        <v>1</v>
      </c>
      <c r="E338" s="18">
        <v>0</v>
      </c>
      <c r="F338" s="19">
        <v>42491</v>
      </c>
      <c r="G338" s="18" t="s">
        <v>33</v>
      </c>
      <c r="H338" s="19">
        <v>42498</v>
      </c>
      <c r="I338" s="6" t="s">
        <v>82</v>
      </c>
    </row>
    <row r="339" spans="1:9" x14ac:dyDescent="0.2">
      <c r="A339" s="18" t="s">
        <v>82</v>
      </c>
      <c r="B339" s="18">
        <v>23</v>
      </c>
      <c r="C339" s="18">
        <v>0</v>
      </c>
      <c r="D339" s="18">
        <v>1</v>
      </c>
      <c r="E339" s="18">
        <v>0</v>
      </c>
      <c r="F339" s="19">
        <v>42491</v>
      </c>
      <c r="G339" s="18" t="s">
        <v>42</v>
      </c>
      <c r="H339" s="19">
        <v>42499</v>
      </c>
      <c r="I339" s="6" t="s">
        <v>82</v>
      </c>
    </row>
    <row r="340" spans="1:9" x14ac:dyDescent="0.2">
      <c r="A340" s="18" t="s">
        <v>171</v>
      </c>
      <c r="B340" s="18">
        <v>8</v>
      </c>
      <c r="C340" s="18">
        <v>0</v>
      </c>
      <c r="D340" s="18">
        <v>1</v>
      </c>
      <c r="E340" s="18">
        <v>0</v>
      </c>
      <c r="F340" s="19">
        <v>42491</v>
      </c>
      <c r="G340" s="18" t="s">
        <v>42</v>
      </c>
      <c r="H340" s="19">
        <v>42499</v>
      </c>
      <c r="I340" s="18" t="s">
        <v>63</v>
      </c>
    </row>
    <row r="341" spans="1:9" x14ac:dyDescent="0.2">
      <c r="A341" s="18" t="s">
        <v>172</v>
      </c>
      <c r="B341" s="18">
        <v>657.58</v>
      </c>
      <c r="C341" s="18">
        <v>0</v>
      </c>
      <c r="D341" s="18">
        <v>1</v>
      </c>
      <c r="E341" s="18">
        <v>0</v>
      </c>
      <c r="F341" s="19">
        <v>42491</v>
      </c>
      <c r="G341" s="18" t="s">
        <v>42</v>
      </c>
      <c r="H341" s="19">
        <v>42501</v>
      </c>
      <c r="I341" s="18" t="s">
        <v>68</v>
      </c>
    </row>
    <row r="342" spans="1:9" x14ac:dyDescent="0.2">
      <c r="A342" s="18" t="s">
        <v>65</v>
      </c>
      <c r="B342" s="18">
        <v>3</v>
      </c>
      <c r="C342" s="18">
        <v>0</v>
      </c>
      <c r="D342" s="18">
        <v>1</v>
      </c>
      <c r="E342" s="18">
        <v>0</v>
      </c>
      <c r="F342" s="19">
        <v>42491</v>
      </c>
      <c r="G342" s="18" t="s">
        <v>42</v>
      </c>
      <c r="H342" s="19">
        <v>42501</v>
      </c>
      <c r="I342" s="18" t="s">
        <v>63</v>
      </c>
    </row>
    <row r="343" spans="1:9" x14ac:dyDescent="0.2">
      <c r="A343" s="18" t="s">
        <v>173</v>
      </c>
      <c r="B343" s="18">
        <v>2</v>
      </c>
      <c r="C343" s="18">
        <v>0</v>
      </c>
      <c r="D343" s="18">
        <v>1</v>
      </c>
      <c r="E343" s="18">
        <v>0</v>
      </c>
      <c r="F343" s="19">
        <v>42491</v>
      </c>
      <c r="G343" s="18" t="s">
        <v>42</v>
      </c>
      <c r="H343" s="19">
        <v>42501</v>
      </c>
      <c r="I343" s="18" t="s">
        <v>58</v>
      </c>
    </row>
    <row r="344" spans="1:9" x14ac:dyDescent="0.2">
      <c r="A344" s="18" t="s">
        <v>174</v>
      </c>
      <c r="B344" s="18">
        <v>8</v>
      </c>
      <c r="C344" s="18">
        <v>0</v>
      </c>
      <c r="D344" s="18">
        <v>1</v>
      </c>
      <c r="E344" s="18">
        <v>0</v>
      </c>
      <c r="F344" s="19">
        <v>42491</v>
      </c>
      <c r="G344" s="18" t="s">
        <v>42</v>
      </c>
      <c r="H344" s="19">
        <v>42502</v>
      </c>
      <c r="I344" s="18" t="s">
        <v>58</v>
      </c>
    </row>
    <row r="345" spans="1:9" x14ac:dyDescent="0.2">
      <c r="A345" s="18" t="s">
        <v>120</v>
      </c>
      <c r="B345" s="18">
        <v>44</v>
      </c>
      <c r="C345" s="18">
        <v>0</v>
      </c>
      <c r="D345" s="18">
        <v>1</v>
      </c>
      <c r="E345" s="18">
        <v>0</v>
      </c>
      <c r="F345" s="19">
        <v>42491</v>
      </c>
      <c r="G345" s="18" t="s">
        <v>42</v>
      </c>
      <c r="H345" s="19">
        <v>42503</v>
      </c>
      <c r="I345" s="18" t="s">
        <v>63</v>
      </c>
    </row>
    <row r="346" spans="1:9" x14ac:dyDescent="0.2">
      <c r="A346" s="18" t="s">
        <v>174</v>
      </c>
      <c r="B346" s="18">
        <v>6</v>
      </c>
      <c r="C346" s="18">
        <v>0</v>
      </c>
      <c r="D346" s="18">
        <v>1</v>
      </c>
      <c r="E346" s="18">
        <v>0</v>
      </c>
      <c r="F346" s="19">
        <v>42491</v>
      </c>
      <c r="G346" s="18" t="s">
        <v>42</v>
      </c>
      <c r="H346" s="19">
        <v>42503</v>
      </c>
      <c r="I346" s="18" t="s">
        <v>58</v>
      </c>
    </row>
    <row r="347" spans="1:9" x14ac:dyDescent="0.2">
      <c r="A347" s="18" t="s">
        <v>65</v>
      </c>
      <c r="B347" s="18">
        <v>3</v>
      </c>
      <c r="C347" s="18">
        <v>0</v>
      </c>
      <c r="D347" s="18">
        <v>1</v>
      </c>
      <c r="E347" s="18">
        <v>0</v>
      </c>
      <c r="F347" s="19">
        <v>42491</v>
      </c>
      <c r="G347" s="18" t="s">
        <v>42</v>
      </c>
      <c r="H347" s="19">
        <v>42502</v>
      </c>
      <c r="I347" s="18" t="s">
        <v>63</v>
      </c>
    </row>
    <row r="348" spans="1:9" x14ac:dyDescent="0.2">
      <c r="A348" s="18" t="s">
        <v>58</v>
      </c>
      <c r="B348" s="18">
        <v>4</v>
      </c>
      <c r="C348" s="18">
        <v>0</v>
      </c>
      <c r="D348" s="18">
        <v>1</v>
      </c>
      <c r="E348" s="18">
        <v>0</v>
      </c>
      <c r="F348" s="19">
        <v>42491</v>
      </c>
      <c r="G348" s="18" t="s">
        <v>81</v>
      </c>
      <c r="H348" s="19">
        <v>42506</v>
      </c>
      <c r="I348" s="18" t="s">
        <v>58</v>
      </c>
    </row>
    <row r="349" spans="1:9" x14ac:dyDescent="0.2">
      <c r="A349" s="18" t="s">
        <v>65</v>
      </c>
      <c r="B349" s="18">
        <v>3</v>
      </c>
      <c r="C349" s="18">
        <v>0</v>
      </c>
      <c r="D349" s="18">
        <v>1</v>
      </c>
      <c r="E349" s="18">
        <v>0</v>
      </c>
      <c r="F349" s="19">
        <v>42491</v>
      </c>
      <c r="G349" s="18" t="s">
        <v>81</v>
      </c>
      <c r="H349" s="19">
        <v>42506</v>
      </c>
      <c r="I349" s="18" t="s">
        <v>63</v>
      </c>
    </row>
    <row r="350" spans="1:9" x14ac:dyDescent="0.2">
      <c r="A350" s="18" t="s">
        <v>60</v>
      </c>
      <c r="B350" s="18">
        <v>196.6</v>
      </c>
      <c r="C350" s="18">
        <v>0</v>
      </c>
      <c r="D350" s="18">
        <v>1</v>
      </c>
      <c r="E350" s="18">
        <v>0</v>
      </c>
      <c r="F350" s="19">
        <v>42491</v>
      </c>
      <c r="G350" s="18" t="s">
        <v>81</v>
      </c>
      <c r="H350" s="19">
        <v>42507</v>
      </c>
      <c r="I350" s="18" t="s">
        <v>60</v>
      </c>
    </row>
    <row r="351" spans="1:9" x14ac:dyDescent="0.2">
      <c r="A351" s="18" t="s">
        <v>64</v>
      </c>
      <c r="B351" s="18">
        <v>7.5</v>
      </c>
      <c r="C351" s="18">
        <v>0</v>
      </c>
      <c r="D351" s="18">
        <v>1</v>
      </c>
      <c r="E351" s="18">
        <v>0</v>
      </c>
      <c r="F351" s="19">
        <v>42491</v>
      </c>
      <c r="G351" s="18" t="s">
        <v>81</v>
      </c>
      <c r="H351" s="19">
        <v>42507</v>
      </c>
      <c r="I351" s="18" t="s">
        <v>63</v>
      </c>
    </row>
    <row r="352" spans="1:9" x14ac:dyDescent="0.2">
      <c r="A352" s="18" t="s">
        <v>82</v>
      </c>
      <c r="B352" s="18">
        <v>30.9</v>
      </c>
      <c r="C352" s="18">
        <v>0</v>
      </c>
      <c r="D352" s="18">
        <v>1</v>
      </c>
      <c r="E352" s="18">
        <v>0</v>
      </c>
      <c r="F352" s="19">
        <v>42491</v>
      </c>
      <c r="G352" s="18" t="s">
        <v>81</v>
      </c>
      <c r="H352" s="19">
        <v>42508</v>
      </c>
      <c r="I352" s="6" t="s">
        <v>82</v>
      </c>
    </row>
    <row r="353" spans="1:9" x14ac:dyDescent="0.2">
      <c r="A353" s="18" t="s">
        <v>65</v>
      </c>
      <c r="B353" s="18">
        <v>3</v>
      </c>
      <c r="C353" s="18">
        <v>0</v>
      </c>
      <c r="D353" s="18">
        <v>1</v>
      </c>
      <c r="E353" s="18">
        <v>0</v>
      </c>
      <c r="F353" s="19">
        <v>42491</v>
      </c>
      <c r="G353" s="18" t="s">
        <v>81</v>
      </c>
      <c r="H353" s="19">
        <v>42508</v>
      </c>
      <c r="I353" s="18" t="s">
        <v>63</v>
      </c>
    </row>
    <row r="354" spans="1:9" x14ac:dyDescent="0.2">
      <c r="A354" s="18" t="s">
        <v>125</v>
      </c>
      <c r="B354" s="18">
        <v>20</v>
      </c>
      <c r="C354" s="18">
        <v>0</v>
      </c>
      <c r="D354" s="18">
        <v>1</v>
      </c>
      <c r="E354" s="18">
        <v>0</v>
      </c>
      <c r="F354" s="19">
        <v>42491</v>
      </c>
      <c r="G354" s="18" t="s">
        <v>81</v>
      </c>
      <c r="H354" s="19">
        <v>42509</v>
      </c>
      <c r="I354" s="3" t="s">
        <v>150</v>
      </c>
    </row>
    <row r="355" spans="1:9" x14ac:dyDescent="0.2">
      <c r="A355" s="18" t="s">
        <v>175</v>
      </c>
      <c r="B355" s="18">
        <v>9</v>
      </c>
      <c r="C355" s="18">
        <v>0</v>
      </c>
      <c r="D355" s="18">
        <v>1</v>
      </c>
      <c r="E355" s="18">
        <v>0</v>
      </c>
      <c r="F355" s="19">
        <v>42491</v>
      </c>
      <c r="G355" s="18" t="s">
        <v>81</v>
      </c>
      <c r="H355" s="19">
        <v>42509</v>
      </c>
      <c r="I355" s="18" t="s">
        <v>165</v>
      </c>
    </row>
    <row r="356" spans="1:9" x14ac:dyDescent="0.2">
      <c r="A356" s="18" t="s">
        <v>74</v>
      </c>
      <c r="B356" s="18">
        <v>11.75</v>
      </c>
      <c r="C356" s="18">
        <v>0</v>
      </c>
      <c r="D356" s="18">
        <v>1</v>
      </c>
      <c r="E356" s="18">
        <v>0</v>
      </c>
      <c r="F356" s="19">
        <v>42491</v>
      </c>
      <c r="G356" s="18" t="s">
        <v>81</v>
      </c>
      <c r="H356" s="19">
        <v>42510</v>
      </c>
      <c r="I356" s="18" t="s">
        <v>63</v>
      </c>
    </row>
    <row r="357" spans="1:9" x14ac:dyDescent="0.2">
      <c r="A357" s="18" t="s">
        <v>176</v>
      </c>
      <c r="B357" s="18">
        <v>100</v>
      </c>
      <c r="C357" s="18">
        <v>0</v>
      </c>
      <c r="D357" s="18">
        <v>1</v>
      </c>
      <c r="E357" s="18">
        <v>0</v>
      </c>
      <c r="F357" s="19">
        <v>42491</v>
      </c>
      <c r="G357" s="18" t="s">
        <v>33</v>
      </c>
      <c r="H357" s="19">
        <v>42511</v>
      </c>
      <c r="I357" s="18" t="s">
        <v>68</v>
      </c>
    </row>
    <row r="358" spans="1:9" x14ac:dyDescent="0.2">
      <c r="A358" s="18" t="s">
        <v>102</v>
      </c>
      <c r="B358" s="18">
        <v>200</v>
      </c>
      <c r="C358" s="18">
        <v>0</v>
      </c>
      <c r="D358" s="18">
        <v>1</v>
      </c>
      <c r="E358" s="18">
        <v>0</v>
      </c>
      <c r="F358" s="19">
        <v>42491</v>
      </c>
      <c r="G358" s="18" t="s">
        <v>81</v>
      </c>
      <c r="H358" s="19">
        <v>42510</v>
      </c>
      <c r="I358" s="18" t="s">
        <v>68</v>
      </c>
    </row>
    <row r="359" spans="1:9" x14ac:dyDescent="0.2">
      <c r="A359" s="18" t="s">
        <v>177</v>
      </c>
      <c r="B359" s="18">
        <v>30</v>
      </c>
      <c r="C359" s="18">
        <v>0</v>
      </c>
      <c r="D359" s="18">
        <v>1</v>
      </c>
      <c r="E359" s="18">
        <v>0</v>
      </c>
      <c r="F359" s="19">
        <v>42491</v>
      </c>
      <c r="G359" s="18" t="s">
        <v>81</v>
      </c>
      <c r="H359" s="19">
        <v>42509</v>
      </c>
      <c r="I359" s="18" t="s">
        <v>178</v>
      </c>
    </row>
    <row r="360" spans="1:9" x14ac:dyDescent="0.2">
      <c r="A360" s="16" t="s">
        <v>142</v>
      </c>
      <c r="B360" s="16">
        <v>9.27</v>
      </c>
      <c r="C360" s="16">
        <v>1</v>
      </c>
      <c r="D360" s="16">
        <v>0</v>
      </c>
      <c r="E360" s="16">
        <v>0</v>
      </c>
      <c r="F360" s="17">
        <v>42522</v>
      </c>
      <c r="G360" s="16" t="s">
        <v>27</v>
      </c>
      <c r="H360" s="17">
        <v>42521</v>
      </c>
      <c r="I360" s="16" t="s">
        <v>51</v>
      </c>
    </row>
    <row r="361" spans="1:9" x14ac:dyDescent="0.2">
      <c r="A361" s="16" t="s">
        <v>160</v>
      </c>
      <c r="B361" s="16">
        <v>36.96</v>
      </c>
      <c r="C361" s="16">
        <v>1</v>
      </c>
      <c r="D361" s="16">
        <v>0</v>
      </c>
      <c r="E361" s="16">
        <v>0</v>
      </c>
      <c r="F361" s="17">
        <v>42522</v>
      </c>
      <c r="G361" s="16" t="s">
        <v>27</v>
      </c>
      <c r="H361" s="17">
        <v>42521</v>
      </c>
      <c r="I361" s="16" t="s">
        <v>51</v>
      </c>
    </row>
    <row r="362" spans="1:9" x14ac:dyDescent="0.2">
      <c r="A362" s="16" t="s">
        <v>161</v>
      </c>
      <c r="B362" s="16">
        <v>121.62</v>
      </c>
      <c r="C362" s="16">
        <v>1</v>
      </c>
      <c r="D362" s="16">
        <v>0</v>
      </c>
      <c r="E362" s="16">
        <v>0</v>
      </c>
      <c r="F362" s="17">
        <v>42522</v>
      </c>
      <c r="G362" s="16" t="s">
        <v>27</v>
      </c>
      <c r="H362" s="17">
        <v>42521</v>
      </c>
      <c r="I362" s="16" t="s">
        <v>51</v>
      </c>
    </row>
    <row r="363" spans="1:9" x14ac:dyDescent="0.2">
      <c r="A363" s="16" t="s">
        <v>162</v>
      </c>
      <c r="B363" s="16">
        <v>30</v>
      </c>
      <c r="C363" s="16">
        <v>1</v>
      </c>
      <c r="D363" s="16">
        <v>0</v>
      </c>
      <c r="E363" s="16">
        <v>0</v>
      </c>
      <c r="F363" s="17">
        <v>42522</v>
      </c>
      <c r="G363" s="16" t="s">
        <v>27</v>
      </c>
      <c r="H363" s="17">
        <v>42521</v>
      </c>
      <c r="I363" s="16" t="s">
        <v>51</v>
      </c>
    </row>
    <row r="364" spans="1:9" x14ac:dyDescent="0.2">
      <c r="A364" s="16" t="s">
        <v>144</v>
      </c>
      <c r="B364" s="16">
        <v>17</v>
      </c>
      <c r="C364" s="16">
        <v>1</v>
      </c>
      <c r="D364" s="16">
        <v>0</v>
      </c>
      <c r="E364" s="16">
        <v>0</v>
      </c>
      <c r="F364" s="17">
        <v>42522</v>
      </c>
      <c r="G364" s="16" t="s">
        <v>27</v>
      </c>
      <c r="H364" s="17">
        <v>42521</v>
      </c>
      <c r="I364" s="16" t="s">
        <v>51</v>
      </c>
    </row>
    <row r="365" spans="1:9" x14ac:dyDescent="0.2">
      <c r="A365" s="16" t="s">
        <v>145</v>
      </c>
      <c r="B365" s="16">
        <v>570.88</v>
      </c>
      <c r="C365" s="16">
        <v>1</v>
      </c>
      <c r="D365" s="16">
        <v>0</v>
      </c>
      <c r="E365" s="16">
        <v>0</v>
      </c>
      <c r="F365" s="17">
        <v>42522</v>
      </c>
      <c r="G365" s="16" t="s">
        <v>27</v>
      </c>
      <c r="H365" s="17">
        <v>42521</v>
      </c>
      <c r="I365" s="16" t="s">
        <v>51</v>
      </c>
    </row>
    <row r="366" spans="1:9" x14ac:dyDescent="0.2">
      <c r="A366" s="16" t="s">
        <v>146</v>
      </c>
      <c r="B366" s="16">
        <v>1058.0999999999999</v>
      </c>
      <c r="C366" s="16">
        <v>1</v>
      </c>
      <c r="D366" s="16">
        <v>0</v>
      </c>
      <c r="E366" s="16">
        <v>0</v>
      </c>
      <c r="F366" s="17">
        <v>42522</v>
      </c>
      <c r="G366" s="16" t="s">
        <v>27</v>
      </c>
      <c r="H366" s="17">
        <v>42521</v>
      </c>
      <c r="I366" s="16" t="s">
        <v>51</v>
      </c>
    </row>
    <row r="367" spans="1:9" x14ac:dyDescent="0.2">
      <c r="A367" s="3" t="s">
        <v>179</v>
      </c>
      <c r="B367" s="3">
        <v>51</v>
      </c>
      <c r="C367" s="3">
        <v>1</v>
      </c>
      <c r="D367" s="3">
        <v>0</v>
      </c>
      <c r="E367" s="3">
        <v>0</v>
      </c>
      <c r="F367" s="2">
        <v>42522</v>
      </c>
      <c r="G367" s="3" t="s">
        <v>27</v>
      </c>
      <c r="H367" s="2">
        <v>42523</v>
      </c>
      <c r="I367" s="3" t="s">
        <v>28</v>
      </c>
    </row>
    <row r="368" spans="1:9" x14ac:dyDescent="0.2">
      <c r="A368" s="3" t="s">
        <v>32</v>
      </c>
      <c r="B368" s="3">
        <v>343.94</v>
      </c>
      <c r="C368" s="3">
        <v>1</v>
      </c>
      <c r="D368" s="3">
        <v>0</v>
      </c>
      <c r="E368" s="3">
        <v>0</v>
      </c>
      <c r="F368" s="2">
        <v>42522</v>
      </c>
      <c r="G368" s="3" t="s">
        <v>27</v>
      </c>
      <c r="H368" s="2">
        <v>42527</v>
      </c>
      <c r="I368" s="3" t="s">
        <v>34</v>
      </c>
    </row>
    <row r="369" spans="1:12" x14ac:dyDescent="0.2">
      <c r="A369" s="16" t="s">
        <v>44</v>
      </c>
      <c r="B369" s="3">
        <v>1397.11</v>
      </c>
      <c r="C369" s="16">
        <v>1</v>
      </c>
      <c r="D369" s="16">
        <v>0</v>
      </c>
      <c r="E369" s="16">
        <v>0</v>
      </c>
      <c r="F369" s="17">
        <v>42522</v>
      </c>
      <c r="G369" s="16" t="s">
        <v>42</v>
      </c>
      <c r="H369" s="17">
        <v>42531</v>
      </c>
      <c r="I369" s="16" t="s">
        <v>34</v>
      </c>
      <c r="J369" s="3">
        <v>1410.14</v>
      </c>
    </row>
    <row r="370" spans="1:12" x14ac:dyDescent="0.2">
      <c r="A370" s="3" t="s">
        <v>45</v>
      </c>
      <c r="B370" s="3">
        <v>69.459999999999994</v>
      </c>
      <c r="C370" s="3">
        <v>1</v>
      </c>
      <c r="D370" s="3">
        <v>0</v>
      </c>
      <c r="E370" s="3">
        <v>0</v>
      </c>
      <c r="F370" s="2">
        <v>42522</v>
      </c>
      <c r="G370" s="3" t="s">
        <v>42</v>
      </c>
      <c r="H370" s="2">
        <v>42527</v>
      </c>
      <c r="I370" s="3" t="s">
        <v>34</v>
      </c>
    </row>
    <row r="371" spans="1:12" x14ac:dyDescent="0.2">
      <c r="A371" s="16" t="s">
        <v>31</v>
      </c>
      <c r="B371" s="16">
        <v>45.69</v>
      </c>
      <c r="C371" s="16">
        <v>1</v>
      </c>
      <c r="D371" s="16">
        <v>0</v>
      </c>
      <c r="E371" s="16">
        <v>0</v>
      </c>
      <c r="F371" s="17">
        <v>42522</v>
      </c>
      <c r="G371" s="16" t="s">
        <v>42</v>
      </c>
      <c r="H371" s="17">
        <v>42531</v>
      </c>
      <c r="I371" s="16" t="s">
        <v>28</v>
      </c>
    </row>
    <row r="372" spans="1:12" x14ac:dyDescent="0.2">
      <c r="A372" s="16" t="s">
        <v>46</v>
      </c>
      <c r="B372" s="16">
        <f>SUMIFS(credito!$B$2:$B$380,credito!$F$2:$F$380,F372,credito!$G$2:$G$380,0)</f>
        <v>1378.97</v>
      </c>
      <c r="C372" s="16">
        <v>1</v>
      </c>
      <c r="D372" s="16">
        <v>0</v>
      </c>
      <c r="E372" s="16">
        <v>0</v>
      </c>
      <c r="F372" s="17">
        <v>42522</v>
      </c>
      <c r="G372" s="16" t="s">
        <v>42</v>
      </c>
      <c r="H372" s="17">
        <v>42529</v>
      </c>
      <c r="I372" s="16" t="s">
        <v>47</v>
      </c>
      <c r="J372" s="3">
        <f>SUMIFS(credito!$B$2:$B$380,credito!$F$2:$F$380,F372,credito!$G$2:$G$380,0)</f>
        <v>1378.97</v>
      </c>
      <c r="K372" s="16">
        <v>1378.97</v>
      </c>
      <c r="L372">
        <f>J372-K372</f>
        <v>0</v>
      </c>
    </row>
    <row r="373" spans="1:12" x14ac:dyDescent="0.2">
      <c r="A373" s="16" t="s">
        <v>35</v>
      </c>
      <c r="B373" s="16">
        <v>592.84</v>
      </c>
      <c r="C373" s="16">
        <v>1</v>
      </c>
      <c r="D373" s="16">
        <v>0</v>
      </c>
      <c r="E373" s="16">
        <v>0</v>
      </c>
      <c r="F373" s="17">
        <v>42522</v>
      </c>
      <c r="G373" s="16" t="s">
        <v>81</v>
      </c>
      <c r="H373" s="17">
        <v>42536</v>
      </c>
      <c r="I373" s="16" t="s">
        <v>36</v>
      </c>
    </row>
    <row r="374" spans="1:12" x14ac:dyDescent="0.2">
      <c r="A374" s="16" t="s">
        <v>37</v>
      </c>
      <c r="B374" s="16">
        <v>145</v>
      </c>
      <c r="C374" s="16">
        <v>1</v>
      </c>
      <c r="D374" s="16">
        <v>0</v>
      </c>
      <c r="E374" s="16">
        <v>0</v>
      </c>
      <c r="F374" s="17">
        <v>42522</v>
      </c>
      <c r="G374" s="16" t="s">
        <v>42</v>
      </c>
      <c r="H374" s="17">
        <v>42531</v>
      </c>
      <c r="I374" s="16" t="s">
        <v>37</v>
      </c>
    </row>
    <row r="375" spans="1:12" x14ac:dyDescent="0.2">
      <c r="A375" s="16" t="s">
        <v>41</v>
      </c>
      <c r="B375" s="16">
        <v>120</v>
      </c>
      <c r="C375" s="16">
        <v>1</v>
      </c>
      <c r="D375" s="16">
        <v>0</v>
      </c>
      <c r="E375" s="16">
        <v>0</v>
      </c>
      <c r="F375" s="17">
        <v>42522</v>
      </c>
      <c r="G375" s="16" t="s">
        <v>42</v>
      </c>
      <c r="H375" s="17">
        <v>42534</v>
      </c>
      <c r="I375" s="16" t="s">
        <v>43</v>
      </c>
    </row>
    <row r="376" spans="1:12" x14ac:dyDescent="0.2">
      <c r="A376" s="16" t="s">
        <v>111</v>
      </c>
      <c r="B376" s="16">
        <v>16.809999999999999</v>
      </c>
      <c r="C376" s="16">
        <v>1</v>
      </c>
      <c r="D376" s="16">
        <v>0</v>
      </c>
      <c r="E376" s="16">
        <v>0</v>
      </c>
      <c r="F376" s="17">
        <v>42522</v>
      </c>
      <c r="G376" s="16" t="s">
        <v>42</v>
      </c>
      <c r="H376" s="17">
        <v>42531</v>
      </c>
      <c r="I376" s="16" t="s">
        <v>34</v>
      </c>
    </row>
    <row r="377" spans="1:12" x14ac:dyDescent="0.2">
      <c r="A377" s="16" t="s">
        <v>127</v>
      </c>
      <c r="B377" s="16">
        <v>521.75</v>
      </c>
      <c r="C377" s="16">
        <v>1</v>
      </c>
      <c r="D377" s="16">
        <v>0</v>
      </c>
      <c r="E377" s="16">
        <v>0</v>
      </c>
      <c r="F377" s="17">
        <v>42522</v>
      </c>
      <c r="G377" s="16" t="s">
        <v>88</v>
      </c>
      <c r="H377" s="17">
        <v>42544</v>
      </c>
      <c r="I377" s="16" t="s">
        <v>34</v>
      </c>
    </row>
    <row r="378" spans="1:12" x14ac:dyDescent="0.2">
      <c r="A378" s="16" t="s">
        <v>26</v>
      </c>
      <c r="B378" s="16">
        <v>5.79</v>
      </c>
      <c r="C378" s="16">
        <v>1</v>
      </c>
      <c r="D378" s="16">
        <v>0</v>
      </c>
      <c r="E378" s="16">
        <v>0</v>
      </c>
      <c r="F378" s="17">
        <v>42522</v>
      </c>
      <c r="G378" s="16" t="s">
        <v>27</v>
      </c>
      <c r="H378" s="17">
        <v>42531</v>
      </c>
      <c r="I378" s="16" t="s">
        <v>28</v>
      </c>
    </row>
    <row r="379" spans="1:12" x14ac:dyDescent="0.2">
      <c r="A379" s="16" t="s">
        <v>29</v>
      </c>
      <c r="B379" s="16">
        <v>50</v>
      </c>
      <c r="C379" s="16">
        <v>1</v>
      </c>
      <c r="D379" s="16">
        <v>0</v>
      </c>
      <c r="E379" s="16">
        <v>0</v>
      </c>
      <c r="F379" s="17">
        <v>42522</v>
      </c>
      <c r="G379" s="16" t="s">
        <v>27</v>
      </c>
      <c r="H379" s="17">
        <v>42531</v>
      </c>
      <c r="I379" s="6" t="s">
        <v>615</v>
      </c>
    </row>
    <row r="380" spans="1:12" x14ac:dyDescent="0.2">
      <c r="A380" s="3" t="s">
        <v>177</v>
      </c>
      <c r="B380" s="3">
        <v>30</v>
      </c>
      <c r="C380" s="3">
        <v>0</v>
      </c>
      <c r="D380" s="3">
        <v>1</v>
      </c>
      <c r="E380" s="3">
        <v>0</v>
      </c>
      <c r="F380" s="2">
        <v>42522</v>
      </c>
      <c r="G380" s="3" t="s">
        <v>42</v>
      </c>
      <c r="H380" s="2">
        <v>42527</v>
      </c>
      <c r="I380" s="3" t="s">
        <v>178</v>
      </c>
    </row>
    <row r="381" spans="1:12" x14ac:dyDescent="0.2">
      <c r="A381" s="3" t="s">
        <v>138</v>
      </c>
      <c r="B381" s="3">
        <v>100</v>
      </c>
      <c r="C381" s="3">
        <v>0</v>
      </c>
      <c r="D381" s="3">
        <v>1</v>
      </c>
      <c r="E381" s="3">
        <v>0</v>
      </c>
      <c r="F381" s="2">
        <v>42522</v>
      </c>
      <c r="G381" s="3" t="s">
        <v>33</v>
      </c>
      <c r="H381" s="2">
        <v>42525</v>
      </c>
      <c r="I381" s="3" t="s">
        <v>56</v>
      </c>
    </row>
    <row r="382" spans="1:12" x14ac:dyDescent="0.2">
      <c r="A382" s="3" t="s">
        <v>180</v>
      </c>
      <c r="B382" s="3">
        <v>30</v>
      </c>
      <c r="C382" s="3">
        <v>0</v>
      </c>
      <c r="D382" s="3">
        <v>1</v>
      </c>
      <c r="E382" s="3">
        <v>0</v>
      </c>
      <c r="F382" s="2">
        <v>42522</v>
      </c>
      <c r="G382" s="3" t="s">
        <v>33</v>
      </c>
      <c r="H382" s="2">
        <v>42525</v>
      </c>
      <c r="I382" s="3" t="s">
        <v>150</v>
      </c>
    </row>
    <row r="383" spans="1:12" x14ac:dyDescent="0.2">
      <c r="A383" s="3" t="s">
        <v>58</v>
      </c>
      <c r="B383" s="3">
        <v>18.100000000000001</v>
      </c>
      <c r="C383" s="3">
        <v>0</v>
      </c>
      <c r="D383" s="3">
        <v>1</v>
      </c>
      <c r="E383" s="3">
        <v>0</v>
      </c>
      <c r="F383" s="2">
        <v>42522</v>
      </c>
      <c r="G383" s="3" t="s">
        <v>33</v>
      </c>
      <c r="H383" s="2">
        <v>42525</v>
      </c>
      <c r="I383" s="3" t="s">
        <v>150</v>
      </c>
    </row>
    <row r="384" spans="1:12" x14ac:dyDescent="0.2">
      <c r="A384" s="3" t="s">
        <v>181</v>
      </c>
      <c r="B384" s="3">
        <v>7.97</v>
      </c>
      <c r="C384" s="3">
        <v>0</v>
      </c>
      <c r="D384" s="3">
        <v>1</v>
      </c>
      <c r="E384" s="3">
        <v>0</v>
      </c>
      <c r="F384" s="2">
        <v>42522</v>
      </c>
      <c r="G384" s="3" t="s">
        <v>27</v>
      </c>
      <c r="H384" s="2">
        <v>42524</v>
      </c>
      <c r="I384" s="3" t="s">
        <v>150</v>
      </c>
    </row>
    <row r="385" spans="1:9" x14ac:dyDescent="0.2">
      <c r="A385" s="3" t="s">
        <v>125</v>
      </c>
      <c r="B385" s="3">
        <v>9</v>
      </c>
      <c r="C385" s="3">
        <v>0</v>
      </c>
      <c r="D385" s="3">
        <v>1</v>
      </c>
      <c r="E385" s="3">
        <v>0</v>
      </c>
      <c r="F385" s="2">
        <v>42522</v>
      </c>
      <c r="G385" s="3" t="s">
        <v>33</v>
      </c>
      <c r="H385" s="1">
        <v>42525</v>
      </c>
      <c r="I385" s="3" t="s">
        <v>150</v>
      </c>
    </row>
    <row r="386" spans="1:9" x14ac:dyDescent="0.2">
      <c r="A386" s="3" t="s">
        <v>59</v>
      </c>
      <c r="B386" s="3">
        <v>90</v>
      </c>
      <c r="C386" s="3">
        <v>0</v>
      </c>
      <c r="D386" s="3">
        <v>1</v>
      </c>
      <c r="E386" s="3">
        <v>0</v>
      </c>
      <c r="F386" s="2">
        <v>42522</v>
      </c>
      <c r="G386" s="3" t="s">
        <v>33</v>
      </c>
      <c r="H386" s="1">
        <v>42526</v>
      </c>
      <c r="I386" s="3" t="s">
        <v>59</v>
      </c>
    </row>
    <row r="387" spans="1:9" x14ac:dyDescent="0.2">
      <c r="A387" s="3" t="s">
        <v>182</v>
      </c>
      <c r="B387" s="3">
        <v>30</v>
      </c>
      <c r="C387" s="3">
        <v>0</v>
      </c>
      <c r="D387" s="3">
        <v>1</v>
      </c>
      <c r="E387" s="3">
        <v>0</v>
      </c>
      <c r="F387" s="2">
        <v>42522</v>
      </c>
      <c r="G387" s="3" t="s">
        <v>33</v>
      </c>
      <c r="H387" s="1">
        <v>42526</v>
      </c>
      <c r="I387" s="3" t="s">
        <v>63</v>
      </c>
    </row>
    <row r="388" spans="1:9" x14ac:dyDescent="0.2">
      <c r="A388" s="3" t="s">
        <v>131</v>
      </c>
      <c r="B388" s="3">
        <v>20</v>
      </c>
      <c r="C388" s="3">
        <v>0</v>
      </c>
      <c r="D388" s="3">
        <v>1</v>
      </c>
      <c r="E388" s="3">
        <v>0</v>
      </c>
      <c r="F388" s="2">
        <v>42522</v>
      </c>
      <c r="G388" s="3" t="s">
        <v>33</v>
      </c>
      <c r="H388" s="1">
        <v>42526</v>
      </c>
      <c r="I388" s="3" t="s">
        <v>56</v>
      </c>
    </row>
    <row r="389" spans="1:9" x14ac:dyDescent="0.2">
      <c r="A389" s="3" t="s">
        <v>175</v>
      </c>
      <c r="B389" s="3">
        <v>59</v>
      </c>
      <c r="C389" s="3">
        <v>0</v>
      </c>
      <c r="D389" s="3">
        <v>1</v>
      </c>
      <c r="E389" s="3">
        <v>0</v>
      </c>
      <c r="F389" s="2">
        <v>42522</v>
      </c>
      <c r="G389" s="3" t="s">
        <v>33</v>
      </c>
      <c r="H389" s="1">
        <v>42526</v>
      </c>
      <c r="I389" s="3" t="s">
        <v>165</v>
      </c>
    </row>
    <row r="390" spans="1:9" x14ac:dyDescent="0.2">
      <c r="A390" s="3" t="s">
        <v>83</v>
      </c>
      <c r="B390" s="3">
        <v>92</v>
      </c>
      <c r="C390" s="3">
        <v>0</v>
      </c>
      <c r="D390" s="3">
        <v>1</v>
      </c>
      <c r="E390" s="3">
        <v>0</v>
      </c>
      <c r="F390" s="2">
        <v>42522</v>
      </c>
      <c r="G390" s="3" t="s">
        <v>33</v>
      </c>
      <c r="H390" s="1">
        <v>42526</v>
      </c>
      <c r="I390" s="3" t="s">
        <v>56</v>
      </c>
    </row>
    <row r="391" spans="1:9" x14ac:dyDescent="0.2">
      <c r="A391" s="3" t="s">
        <v>158</v>
      </c>
      <c r="B391" s="3">
        <v>3.8</v>
      </c>
      <c r="C391" s="3">
        <v>0</v>
      </c>
      <c r="D391" s="3">
        <v>1</v>
      </c>
      <c r="E391" s="3">
        <v>0</v>
      </c>
      <c r="F391" s="2">
        <v>42522</v>
      </c>
      <c r="G391" s="3" t="s">
        <v>42</v>
      </c>
      <c r="H391" s="2">
        <v>42527</v>
      </c>
      <c r="I391" s="3" t="s">
        <v>63</v>
      </c>
    </row>
    <row r="392" spans="1:9" x14ac:dyDescent="0.2">
      <c r="A392" s="3" t="s">
        <v>183</v>
      </c>
      <c r="B392" s="3">
        <v>9</v>
      </c>
      <c r="C392" s="3">
        <v>0</v>
      </c>
      <c r="D392" s="3">
        <v>1</v>
      </c>
      <c r="E392" s="3">
        <v>0</v>
      </c>
      <c r="F392" s="2">
        <v>42522</v>
      </c>
      <c r="G392" s="3" t="s">
        <v>42</v>
      </c>
      <c r="H392" s="2">
        <v>42527</v>
      </c>
      <c r="I392" s="3" t="s">
        <v>63</v>
      </c>
    </row>
    <row r="393" spans="1:9" x14ac:dyDescent="0.2">
      <c r="A393" s="3" t="s">
        <v>184</v>
      </c>
      <c r="B393" s="3">
        <v>9.9700000000000006</v>
      </c>
      <c r="C393" s="3">
        <v>0</v>
      </c>
      <c r="D393" s="3">
        <v>1</v>
      </c>
      <c r="E393" s="3">
        <v>0</v>
      </c>
      <c r="F393" s="2">
        <v>42522</v>
      </c>
      <c r="G393" s="3" t="s">
        <v>42</v>
      </c>
      <c r="H393" s="2">
        <v>42527</v>
      </c>
      <c r="I393" s="3" t="s">
        <v>63</v>
      </c>
    </row>
    <row r="394" spans="1:9" x14ac:dyDescent="0.2">
      <c r="A394" s="3" t="s">
        <v>185</v>
      </c>
      <c r="B394" s="3">
        <v>6.5</v>
      </c>
      <c r="C394" s="3">
        <v>0</v>
      </c>
      <c r="D394" s="3">
        <v>1</v>
      </c>
      <c r="E394" s="3">
        <v>0</v>
      </c>
      <c r="F394" s="2">
        <v>42522</v>
      </c>
      <c r="G394" s="3" t="s">
        <v>42</v>
      </c>
      <c r="H394" s="2">
        <v>42527</v>
      </c>
      <c r="I394" s="3" t="s">
        <v>63</v>
      </c>
    </row>
    <row r="395" spans="1:9" x14ac:dyDescent="0.2">
      <c r="A395" s="3" t="s">
        <v>82</v>
      </c>
      <c r="B395" s="3">
        <v>32.92</v>
      </c>
      <c r="C395" s="3">
        <v>0</v>
      </c>
      <c r="D395" s="3">
        <v>1</v>
      </c>
      <c r="E395" s="3">
        <v>0</v>
      </c>
      <c r="F395" s="2">
        <v>42522</v>
      </c>
      <c r="G395" s="3" t="s">
        <v>42</v>
      </c>
      <c r="H395" s="2">
        <v>42531</v>
      </c>
      <c r="I395" s="6" t="s">
        <v>82</v>
      </c>
    </row>
    <row r="396" spans="1:9" x14ac:dyDescent="0.2">
      <c r="A396" s="3" t="s">
        <v>183</v>
      </c>
      <c r="B396" s="3">
        <v>9</v>
      </c>
      <c r="C396" s="3">
        <v>0</v>
      </c>
      <c r="D396" s="3">
        <v>1</v>
      </c>
      <c r="E396" s="3">
        <v>0</v>
      </c>
      <c r="F396" s="2">
        <v>42522</v>
      </c>
      <c r="G396" s="3" t="s">
        <v>42</v>
      </c>
      <c r="H396" s="2">
        <v>42531</v>
      </c>
      <c r="I396" s="3" t="s">
        <v>63</v>
      </c>
    </row>
    <row r="397" spans="1:9" x14ac:dyDescent="0.2">
      <c r="A397" s="3" t="s">
        <v>186</v>
      </c>
      <c r="B397" s="3">
        <v>10</v>
      </c>
      <c r="C397" s="3">
        <v>0</v>
      </c>
      <c r="D397" s="3">
        <v>1</v>
      </c>
      <c r="E397" s="3">
        <v>0</v>
      </c>
      <c r="F397" s="2">
        <v>42522</v>
      </c>
      <c r="G397" s="3" t="s">
        <v>42</v>
      </c>
      <c r="H397" s="2">
        <v>42623</v>
      </c>
      <c r="I397" s="3" t="s">
        <v>63</v>
      </c>
    </row>
    <row r="398" spans="1:9" x14ac:dyDescent="0.2">
      <c r="A398" s="3" t="s">
        <v>187</v>
      </c>
      <c r="B398" s="3">
        <v>2</v>
      </c>
      <c r="C398" s="3">
        <v>0</v>
      </c>
      <c r="D398" s="3">
        <v>1</v>
      </c>
      <c r="E398" s="3">
        <v>0</v>
      </c>
      <c r="F398" s="2">
        <v>42522</v>
      </c>
      <c r="G398" s="3" t="s">
        <v>42</v>
      </c>
      <c r="H398" s="2">
        <v>42529</v>
      </c>
      <c r="I398" s="3" t="s">
        <v>63</v>
      </c>
    </row>
    <row r="399" spans="1:9" x14ac:dyDescent="0.2">
      <c r="A399" s="3" t="s">
        <v>188</v>
      </c>
      <c r="B399" s="3">
        <v>5</v>
      </c>
      <c r="C399" s="3">
        <v>0</v>
      </c>
      <c r="D399" s="3">
        <v>1</v>
      </c>
      <c r="E399" s="3">
        <v>0</v>
      </c>
      <c r="F399" s="2">
        <v>42522</v>
      </c>
      <c r="G399" s="3" t="s">
        <v>42</v>
      </c>
      <c r="H399" s="2">
        <v>42529</v>
      </c>
      <c r="I399" s="3" t="s">
        <v>63</v>
      </c>
    </row>
    <row r="400" spans="1:9" x14ac:dyDescent="0.2">
      <c r="A400" s="3" t="s">
        <v>189</v>
      </c>
      <c r="B400" s="3">
        <v>6</v>
      </c>
      <c r="C400" s="3">
        <v>0</v>
      </c>
      <c r="D400" s="3">
        <v>1</v>
      </c>
      <c r="E400" s="3">
        <v>0</v>
      </c>
      <c r="F400" s="2">
        <v>42522</v>
      </c>
      <c r="G400" s="3" t="s">
        <v>42</v>
      </c>
      <c r="H400" s="2">
        <v>42529</v>
      </c>
      <c r="I400" s="3" t="s">
        <v>63</v>
      </c>
    </row>
    <row r="401" spans="1:9" x14ac:dyDescent="0.2">
      <c r="A401" s="3" t="s">
        <v>64</v>
      </c>
      <c r="B401" s="3">
        <v>7</v>
      </c>
      <c r="C401" s="3">
        <v>0</v>
      </c>
      <c r="D401" s="3">
        <v>1</v>
      </c>
      <c r="E401" s="3">
        <v>0</v>
      </c>
      <c r="F401" s="2">
        <v>42522</v>
      </c>
      <c r="G401" s="3" t="s">
        <v>42</v>
      </c>
      <c r="H401" s="2">
        <v>42530</v>
      </c>
      <c r="I401" s="3" t="s">
        <v>63</v>
      </c>
    </row>
    <row r="402" spans="1:9" x14ac:dyDescent="0.2">
      <c r="A402" s="3" t="s">
        <v>190</v>
      </c>
      <c r="B402" s="3">
        <v>4</v>
      </c>
      <c r="C402" s="3">
        <v>0</v>
      </c>
      <c r="D402" s="3">
        <v>1</v>
      </c>
      <c r="E402" s="3">
        <v>0</v>
      </c>
      <c r="F402" s="2">
        <v>42522</v>
      </c>
      <c r="G402" s="3" t="s">
        <v>42</v>
      </c>
      <c r="H402" s="2">
        <v>42530</v>
      </c>
      <c r="I402" s="3" t="s">
        <v>63</v>
      </c>
    </row>
    <row r="403" spans="1:9" x14ac:dyDescent="0.2">
      <c r="A403" s="3" t="s">
        <v>191</v>
      </c>
      <c r="B403" s="3">
        <v>96.99</v>
      </c>
      <c r="C403" s="3">
        <v>0</v>
      </c>
      <c r="D403" s="3">
        <v>1</v>
      </c>
      <c r="E403" s="3">
        <v>0</v>
      </c>
      <c r="F403" s="2">
        <v>42522</v>
      </c>
      <c r="G403" s="3" t="s">
        <v>33</v>
      </c>
      <c r="H403" s="2">
        <v>42532</v>
      </c>
      <c r="I403" s="3" t="s">
        <v>150</v>
      </c>
    </row>
    <row r="404" spans="1:9" x14ac:dyDescent="0.2">
      <c r="A404" s="3" t="s">
        <v>192</v>
      </c>
      <c r="B404" s="3">
        <f>139.37+5.7</f>
        <v>145.07</v>
      </c>
      <c r="C404" s="3">
        <v>0</v>
      </c>
      <c r="D404" s="3">
        <v>1</v>
      </c>
      <c r="E404" s="3">
        <v>0</v>
      </c>
      <c r="F404" s="2">
        <v>42522</v>
      </c>
      <c r="G404" s="3" t="s">
        <v>33</v>
      </c>
      <c r="H404" s="2">
        <v>42532</v>
      </c>
      <c r="I404" s="3" t="s">
        <v>96</v>
      </c>
    </row>
    <row r="405" spans="1:9" x14ac:dyDescent="0.2">
      <c r="A405" s="3" t="s">
        <v>64</v>
      </c>
      <c r="B405" s="3">
        <v>6.5</v>
      </c>
      <c r="C405" s="3">
        <v>0</v>
      </c>
      <c r="D405" s="3">
        <v>1</v>
      </c>
      <c r="E405" s="3">
        <v>0</v>
      </c>
      <c r="F405" s="2">
        <v>42522</v>
      </c>
      <c r="G405" s="3" t="s">
        <v>81</v>
      </c>
      <c r="H405" s="2">
        <v>42535</v>
      </c>
      <c r="I405" s="3" t="s">
        <v>63</v>
      </c>
    </row>
    <row r="406" spans="1:9" x14ac:dyDescent="0.2">
      <c r="A406" s="3" t="s">
        <v>193</v>
      </c>
      <c r="B406" s="3">
        <v>130</v>
      </c>
      <c r="C406" s="3">
        <v>0</v>
      </c>
      <c r="D406" s="3">
        <v>1</v>
      </c>
      <c r="E406" s="3">
        <v>0</v>
      </c>
      <c r="F406" s="2">
        <v>42522</v>
      </c>
      <c r="G406" s="3" t="s">
        <v>33</v>
      </c>
      <c r="H406" s="2">
        <v>42532</v>
      </c>
      <c r="I406" s="3" t="s">
        <v>617</v>
      </c>
    </row>
    <row r="407" spans="1:9" x14ac:dyDescent="0.2">
      <c r="A407" s="3" t="s">
        <v>154</v>
      </c>
      <c r="B407" s="3">
        <v>45</v>
      </c>
      <c r="C407" s="3">
        <v>0</v>
      </c>
      <c r="D407" s="3">
        <v>1</v>
      </c>
      <c r="E407" s="3">
        <v>0</v>
      </c>
      <c r="F407" s="2">
        <v>42522</v>
      </c>
      <c r="G407" s="3" t="s">
        <v>33</v>
      </c>
      <c r="H407" s="2">
        <v>42532</v>
      </c>
      <c r="I407" s="6" t="s">
        <v>82</v>
      </c>
    </row>
    <row r="408" spans="1:9" x14ac:dyDescent="0.2">
      <c r="A408" s="3" t="s">
        <v>60</v>
      </c>
      <c r="B408" s="3">
        <v>35</v>
      </c>
      <c r="C408" s="3">
        <v>0</v>
      </c>
      <c r="D408" s="3">
        <v>1</v>
      </c>
      <c r="E408" s="3">
        <v>0</v>
      </c>
      <c r="F408" s="2">
        <v>42522</v>
      </c>
      <c r="G408" s="3" t="s">
        <v>33</v>
      </c>
      <c r="H408" s="2">
        <v>42533</v>
      </c>
      <c r="I408" s="3" t="s">
        <v>60</v>
      </c>
    </row>
    <row r="409" spans="1:9" x14ac:dyDescent="0.2">
      <c r="A409" s="3" t="s">
        <v>71</v>
      </c>
      <c r="B409" s="3">
        <v>20</v>
      </c>
      <c r="C409" s="3">
        <v>0</v>
      </c>
      <c r="D409" s="3">
        <v>1</v>
      </c>
      <c r="E409" s="3">
        <v>0</v>
      </c>
      <c r="F409" s="2">
        <v>42522</v>
      </c>
      <c r="G409" s="3" t="s">
        <v>33</v>
      </c>
      <c r="H409" s="2">
        <v>42533</v>
      </c>
      <c r="I409" s="3" t="s">
        <v>68</v>
      </c>
    </row>
    <row r="410" spans="1:9" x14ac:dyDescent="0.2">
      <c r="A410" s="3" t="s">
        <v>59</v>
      </c>
      <c r="B410" s="3">
        <v>40</v>
      </c>
      <c r="C410" s="3">
        <v>0</v>
      </c>
      <c r="D410" s="3">
        <v>1</v>
      </c>
      <c r="E410" s="3">
        <v>0</v>
      </c>
      <c r="F410" s="2">
        <v>42522</v>
      </c>
      <c r="G410" s="3" t="s">
        <v>33</v>
      </c>
      <c r="H410" s="2">
        <v>42533</v>
      </c>
      <c r="I410" s="3" t="s">
        <v>59</v>
      </c>
    </row>
    <row r="411" spans="1:9" x14ac:dyDescent="0.2">
      <c r="A411" s="3" t="s">
        <v>56</v>
      </c>
      <c r="B411" s="3">
        <v>10</v>
      </c>
      <c r="C411" s="3">
        <v>0</v>
      </c>
      <c r="D411" s="3">
        <v>1</v>
      </c>
      <c r="E411" s="3">
        <v>0</v>
      </c>
      <c r="F411" s="2">
        <v>42522</v>
      </c>
      <c r="G411" s="3" t="s">
        <v>33</v>
      </c>
      <c r="H411" s="2">
        <v>42533</v>
      </c>
      <c r="I411" s="3" t="s">
        <v>56</v>
      </c>
    </row>
    <row r="412" spans="1:9" x14ac:dyDescent="0.2">
      <c r="A412" s="3" t="s">
        <v>64</v>
      </c>
      <c r="B412" s="3">
        <v>10</v>
      </c>
      <c r="C412" s="3">
        <v>0</v>
      </c>
      <c r="D412" s="3">
        <v>1</v>
      </c>
      <c r="E412" s="3">
        <v>0</v>
      </c>
      <c r="F412" s="2">
        <v>42522</v>
      </c>
      <c r="G412" s="3" t="s">
        <v>81</v>
      </c>
      <c r="H412" s="2">
        <v>42534</v>
      </c>
      <c r="I412" s="3" t="s">
        <v>63</v>
      </c>
    </row>
    <row r="413" spans="1:9" x14ac:dyDescent="0.2">
      <c r="A413" s="3" t="s">
        <v>158</v>
      </c>
      <c r="B413" s="3">
        <v>10</v>
      </c>
      <c r="C413" s="3">
        <v>0</v>
      </c>
      <c r="D413" s="3">
        <v>1</v>
      </c>
      <c r="E413" s="3">
        <v>0</v>
      </c>
      <c r="F413" s="2">
        <v>42522</v>
      </c>
      <c r="G413" s="3" t="s">
        <v>81</v>
      </c>
      <c r="H413" s="2">
        <v>42534</v>
      </c>
      <c r="I413" s="3" t="s">
        <v>63</v>
      </c>
    </row>
    <row r="414" spans="1:9" x14ac:dyDescent="0.2">
      <c r="A414" s="3" t="s">
        <v>41</v>
      </c>
      <c r="B414" s="3">
        <v>4</v>
      </c>
      <c r="C414" s="3">
        <v>0</v>
      </c>
      <c r="D414" s="3">
        <v>1</v>
      </c>
      <c r="E414" s="3">
        <v>0</v>
      </c>
      <c r="F414" s="2">
        <v>42522</v>
      </c>
      <c r="G414" s="3" t="s">
        <v>81</v>
      </c>
      <c r="H414" s="2">
        <v>42534</v>
      </c>
      <c r="I414" s="3" t="s">
        <v>43</v>
      </c>
    </row>
    <row r="415" spans="1:9" x14ac:dyDescent="0.2">
      <c r="A415" s="3" t="s">
        <v>13</v>
      </c>
      <c r="B415" s="3">
        <v>5</v>
      </c>
      <c r="C415" s="3">
        <v>0</v>
      </c>
      <c r="D415" s="3">
        <v>1</v>
      </c>
      <c r="E415" s="3">
        <v>0</v>
      </c>
      <c r="F415" s="2">
        <v>42522</v>
      </c>
      <c r="G415" s="3" t="s">
        <v>81</v>
      </c>
      <c r="H415" s="2">
        <v>42534</v>
      </c>
      <c r="I415" s="6" t="s">
        <v>13</v>
      </c>
    </row>
    <row r="416" spans="1:9" x14ac:dyDescent="0.2">
      <c r="A416" s="3" t="s">
        <v>194</v>
      </c>
      <c r="B416" s="3">
        <v>3</v>
      </c>
      <c r="C416" s="3">
        <v>0</v>
      </c>
      <c r="D416" s="3">
        <v>1</v>
      </c>
      <c r="E416" s="3">
        <v>0</v>
      </c>
      <c r="F416" s="2">
        <v>42522</v>
      </c>
      <c r="G416" s="3" t="s">
        <v>81</v>
      </c>
      <c r="H416" s="2">
        <v>42535</v>
      </c>
      <c r="I416" s="3" t="s">
        <v>63</v>
      </c>
    </row>
    <row r="417" spans="1:13" x14ac:dyDescent="0.2">
      <c r="A417" s="3" t="s">
        <v>195</v>
      </c>
      <c r="B417" s="3">
        <v>8</v>
      </c>
      <c r="C417" s="3">
        <v>0</v>
      </c>
      <c r="D417" s="3">
        <v>1</v>
      </c>
      <c r="E417" s="3">
        <v>0</v>
      </c>
      <c r="F417" s="2">
        <v>42522</v>
      </c>
      <c r="G417" s="3" t="s">
        <v>81</v>
      </c>
      <c r="H417" s="2">
        <v>42536</v>
      </c>
      <c r="I417" s="3" t="s">
        <v>63</v>
      </c>
    </row>
    <row r="418" spans="1:13" x14ac:dyDescent="0.2">
      <c r="A418" s="3" t="s">
        <v>66</v>
      </c>
      <c r="B418" s="3">
        <v>4.5</v>
      </c>
      <c r="C418" s="3">
        <v>0</v>
      </c>
      <c r="D418" s="3">
        <v>1</v>
      </c>
      <c r="E418" s="3">
        <v>0</v>
      </c>
      <c r="F418" s="2">
        <v>42522</v>
      </c>
      <c r="G418" s="3" t="s">
        <v>81</v>
      </c>
      <c r="H418" s="2">
        <v>42536</v>
      </c>
      <c r="I418" s="3" t="s">
        <v>63</v>
      </c>
    </row>
    <row r="419" spans="1:13" x14ac:dyDescent="0.2">
      <c r="A419" s="3" t="s">
        <v>60</v>
      </c>
      <c r="B419" s="3">
        <v>72.55</v>
      </c>
      <c r="C419" s="3">
        <v>0</v>
      </c>
      <c r="D419" s="3">
        <v>1</v>
      </c>
      <c r="E419" s="3">
        <v>0</v>
      </c>
      <c r="F419" s="2">
        <v>42522</v>
      </c>
      <c r="G419" s="3" t="s">
        <v>81</v>
      </c>
      <c r="H419" s="2">
        <v>42537</v>
      </c>
      <c r="I419" s="3" t="s">
        <v>60</v>
      </c>
    </row>
    <row r="420" spans="1:13" x14ac:dyDescent="0.2">
      <c r="A420" s="3" t="s">
        <v>196</v>
      </c>
      <c r="B420" s="3">
        <v>9.4</v>
      </c>
      <c r="C420" s="3">
        <v>0</v>
      </c>
      <c r="D420" s="3">
        <v>1</v>
      </c>
      <c r="E420" s="3">
        <v>0</v>
      </c>
      <c r="F420" s="2">
        <v>42522</v>
      </c>
      <c r="G420" s="3" t="s">
        <v>81</v>
      </c>
      <c r="H420" s="2">
        <v>42537</v>
      </c>
      <c r="I420" s="3" t="s">
        <v>63</v>
      </c>
    </row>
    <row r="421" spans="1:13" x14ac:dyDescent="0.2">
      <c r="A421" s="3" t="s">
        <v>197</v>
      </c>
      <c r="B421" s="3">
        <v>5.34</v>
      </c>
      <c r="C421" s="3">
        <v>0</v>
      </c>
      <c r="D421" s="3">
        <v>1</v>
      </c>
      <c r="E421" s="3">
        <v>0</v>
      </c>
      <c r="F421" s="2">
        <v>42522</v>
      </c>
      <c r="G421" s="3" t="s">
        <v>81</v>
      </c>
      <c r="H421" s="2">
        <v>42538</v>
      </c>
      <c r="I421" s="3" t="s">
        <v>58</v>
      </c>
    </row>
    <row r="422" spans="1:13" x14ac:dyDescent="0.2">
      <c r="A422" s="3" t="s">
        <v>198</v>
      </c>
      <c r="B422" s="3">
        <v>10.98</v>
      </c>
      <c r="C422" s="3">
        <v>0</v>
      </c>
      <c r="D422" s="3">
        <v>1</v>
      </c>
      <c r="E422" s="3">
        <v>0</v>
      </c>
      <c r="F422" s="2">
        <v>42522</v>
      </c>
      <c r="G422" s="3" t="s">
        <v>81</v>
      </c>
      <c r="H422" s="2">
        <v>42538</v>
      </c>
      <c r="I422" s="3" t="s">
        <v>63</v>
      </c>
    </row>
    <row r="423" spans="1:13" x14ac:dyDescent="0.2">
      <c r="A423" s="3" t="s">
        <v>60</v>
      </c>
      <c r="B423" s="3">
        <v>100</v>
      </c>
      <c r="C423" s="3">
        <v>0</v>
      </c>
      <c r="D423" s="3">
        <v>1</v>
      </c>
      <c r="E423" s="3">
        <v>0</v>
      </c>
      <c r="F423" s="2">
        <v>42522</v>
      </c>
      <c r="G423" s="3" t="s">
        <v>81</v>
      </c>
      <c r="H423" s="2">
        <v>42541</v>
      </c>
      <c r="I423" s="3" t="s">
        <v>60</v>
      </c>
    </row>
    <row r="424" spans="1:13" x14ac:dyDescent="0.2">
      <c r="A424" s="3" t="s">
        <v>116</v>
      </c>
      <c r="B424" s="3">
        <v>30</v>
      </c>
      <c r="C424" s="3">
        <v>0</v>
      </c>
      <c r="D424" s="3">
        <v>1</v>
      </c>
      <c r="E424" s="3">
        <v>0</v>
      </c>
      <c r="F424" s="2">
        <v>42522</v>
      </c>
      <c r="G424" s="3" t="s">
        <v>81</v>
      </c>
      <c r="H424" s="2">
        <v>42541</v>
      </c>
      <c r="I424" s="3" t="s">
        <v>150</v>
      </c>
      <c r="M424">
        <v>645.17999999999995</v>
      </c>
    </row>
    <row r="425" spans="1:13" x14ac:dyDescent="0.2">
      <c r="A425" s="3" t="s">
        <v>59</v>
      </c>
      <c r="B425" s="3">
        <v>50</v>
      </c>
      <c r="C425" s="3">
        <v>0</v>
      </c>
      <c r="D425" s="3">
        <v>1</v>
      </c>
      <c r="E425" s="3">
        <v>0</v>
      </c>
      <c r="F425" s="2">
        <v>42522</v>
      </c>
      <c r="G425" s="3" t="s">
        <v>33</v>
      </c>
      <c r="H425" s="2">
        <v>42540</v>
      </c>
      <c r="I425" s="3" t="s">
        <v>59</v>
      </c>
      <c r="J425" s="3">
        <v>50</v>
      </c>
      <c r="K425" s="3">
        <v>50</v>
      </c>
      <c r="M425">
        <v>160.59</v>
      </c>
    </row>
    <row r="426" spans="1:13" x14ac:dyDescent="0.2">
      <c r="A426" s="3" t="s">
        <v>199</v>
      </c>
      <c r="B426" s="3">
        <v>30</v>
      </c>
      <c r="C426" s="3">
        <v>0</v>
      </c>
      <c r="D426" s="3">
        <v>1</v>
      </c>
      <c r="E426" s="3">
        <v>0</v>
      </c>
      <c r="F426" s="2">
        <v>42522</v>
      </c>
      <c r="G426" s="3" t="s">
        <v>33</v>
      </c>
      <c r="H426" s="2">
        <v>42546</v>
      </c>
      <c r="I426" s="3" t="s">
        <v>56</v>
      </c>
      <c r="J426" s="3">
        <v>30</v>
      </c>
      <c r="K426" s="3">
        <v>30</v>
      </c>
      <c r="M426">
        <f>M424-M425</f>
        <v>484.58999999999992</v>
      </c>
    </row>
    <row r="427" spans="1:13" x14ac:dyDescent="0.2">
      <c r="A427" s="3" t="s">
        <v>56</v>
      </c>
      <c r="B427" s="3">
        <v>20</v>
      </c>
      <c r="C427" s="3">
        <v>0</v>
      </c>
      <c r="D427" s="3">
        <v>1</v>
      </c>
      <c r="E427" s="3">
        <v>0</v>
      </c>
      <c r="F427" s="2">
        <v>42522</v>
      </c>
      <c r="G427" s="3" t="s">
        <v>33</v>
      </c>
      <c r="H427" s="2">
        <v>42546</v>
      </c>
      <c r="I427" s="3" t="s">
        <v>56</v>
      </c>
      <c r="J427" s="3">
        <v>20</v>
      </c>
      <c r="K427" s="3">
        <v>20</v>
      </c>
    </row>
    <row r="428" spans="1:13" x14ac:dyDescent="0.2">
      <c r="A428" s="3" t="s">
        <v>59</v>
      </c>
      <c r="B428" s="3">
        <v>80</v>
      </c>
      <c r="C428" s="3">
        <v>0</v>
      </c>
      <c r="D428" s="3">
        <v>1</v>
      </c>
      <c r="E428" s="3">
        <v>0</v>
      </c>
      <c r="F428" s="2">
        <v>42522</v>
      </c>
      <c r="G428" s="3" t="s">
        <v>33</v>
      </c>
      <c r="H428" s="2">
        <v>42546</v>
      </c>
      <c r="I428" s="3" t="s">
        <v>59</v>
      </c>
      <c r="J428" s="3">
        <v>70</v>
      </c>
      <c r="K428" s="3">
        <v>80</v>
      </c>
    </row>
    <row r="429" spans="1:13" x14ac:dyDescent="0.2">
      <c r="A429" s="3" t="s">
        <v>71</v>
      </c>
      <c r="B429" s="3">
        <v>20</v>
      </c>
      <c r="C429" s="3">
        <v>0</v>
      </c>
      <c r="D429" s="3">
        <v>1</v>
      </c>
      <c r="E429" s="3">
        <v>0</v>
      </c>
      <c r="F429" s="2">
        <v>42522</v>
      </c>
      <c r="G429" s="3" t="s">
        <v>33</v>
      </c>
      <c r="H429" s="2">
        <v>42546</v>
      </c>
      <c r="I429" s="3" t="s">
        <v>68</v>
      </c>
      <c r="J429" s="3">
        <v>20</v>
      </c>
      <c r="K429" s="3">
        <v>20</v>
      </c>
    </row>
    <row r="430" spans="1:13" x14ac:dyDescent="0.2">
      <c r="A430" s="3" t="s">
        <v>200</v>
      </c>
      <c r="B430" s="3">
        <v>6.9</v>
      </c>
      <c r="C430" s="3">
        <v>0</v>
      </c>
      <c r="D430" s="3">
        <v>1</v>
      </c>
      <c r="E430" s="3">
        <v>0</v>
      </c>
      <c r="F430" s="2">
        <v>42522</v>
      </c>
      <c r="G430" s="3" t="s">
        <v>33</v>
      </c>
      <c r="H430" s="2">
        <v>42546</v>
      </c>
      <c r="I430" s="3" t="s">
        <v>73</v>
      </c>
      <c r="J430" s="3">
        <v>6.9</v>
      </c>
      <c r="K430" s="3">
        <v>6.9</v>
      </c>
    </row>
    <row r="431" spans="1:13" x14ac:dyDescent="0.2">
      <c r="A431" s="3" t="s">
        <v>201</v>
      </c>
      <c r="B431" s="3">
        <v>60.7</v>
      </c>
      <c r="C431" s="3">
        <v>0</v>
      </c>
      <c r="D431" s="3">
        <v>1</v>
      </c>
      <c r="E431" s="3">
        <v>0</v>
      </c>
      <c r="F431" s="2">
        <v>42522</v>
      </c>
      <c r="G431" s="3" t="s">
        <v>33</v>
      </c>
      <c r="H431" s="2">
        <v>42547</v>
      </c>
      <c r="I431" s="3" t="s">
        <v>96</v>
      </c>
      <c r="J431" s="3">
        <v>60.7</v>
      </c>
      <c r="K431" s="3">
        <v>60.7</v>
      </c>
    </row>
    <row r="432" spans="1:13" x14ac:dyDescent="0.2">
      <c r="A432" s="3" t="s">
        <v>56</v>
      </c>
      <c r="B432" s="3">
        <v>50</v>
      </c>
      <c r="C432" s="3">
        <v>0</v>
      </c>
      <c r="D432" s="3">
        <v>1</v>
      </c>
      <c r="E432" s="3">
        <v>0</v>
      </c>
      <c r="F432" s="2">
        <v>42522</v>
      </c>
      <c r="G432" s="3" t="s">
        <v>33</v>
      </c>
      <c r="H432" s="2">
        <v>42547</v>
      </c>
      <c r="I432" s="3" t="s">
        <v>56</v>
      </c>
      <c r="J432" s="3">
        <v>50</v>
      </c>
      <c r="K432" s="3">
        <v>50</v>
      </c>
    </row>
    <row r="433" spans="1:11" x14ac:dyDescent="0.2">
      <c r="A433" s="3" t="s">
        <v>202</v>
      </c>
      <c r="B433" s="3">
        <v>12.4</v>
      </c>
      <c r="C433" s="3">
        <v>0</v>
      </c>
      <c r="D433" s="3">
        <v>1</v>
      </c>
      <c r="E433" s="3">
        <v>0</v>
      </c>
      <c r="F433" s="2">
        <v>42522</v>
      </c>
      <c r="G433" s="3" t="s">
        <v>33</v>
      </c>
      <c r="H433" s="2">
        <v>42547</v>
      </c>
      <c r="I433" s="3" t="s">
        <v>96</v>
      </c>
      <c r="J433" s="3">
        <v>12.4</v>
      </c>
      <c r="K433" s="3">
        <v>12.4</v>
      </c>
    </row>
    <row r="434" spans="1:11" x14ac:dyDescent="0.2">
      <c r="A434" s="3" t="s">
        <v>203</v>
      </c>
      <c r="B434" s="3">
        <v>25</v>
      </c>
      <c r="C434" s="3">
        <v>0</v>
      </c>
      <c r="D434" s="3">
        <v>1</v>
      </c>
      <c r="E434" s="3">
        <v>0</v>
      </c>
      <c r="F434" s="2">
        <v>42522</v>
      </c>
      <c r="G434" s="3" t="s">
        <v>33</v>
      </c>
      <c r="H434" s="2">
        <v>42547</v>
      </c>
      <c r="I434" s="3" t="s">
        <v>96</v>
      </c>
      <c r="J434" s="3">
        <v>25</v>
      </c>
      <c r="K434" s="3">
        <v>25</v>
      </c>
    </row>
    <row r="435" spans="1:11" x14ac:dyDescent="0.2">
      <c r="A435" s="3" t="s">
        <v>204</v>
      </c>
      <c r="B435" s="3">
        <v>13.34</v>
      </c>
      <c r="C435" s="3">
        <v>0</v>
      </c>
      <c r="D435" s="3">
        <v>1</v>
      </c>
      <c r="E435" s="3">
        <v>0</v>
      </c>
      <c r="F435" s="2">
        <v>42522</v>
      </c>
      <c r="G435" s="3" t="s">
        <v>33</v>
      </c>
      <c r="H435" s="2">
        <v>42547</v>
      </c>
      <c r="I435" s="3" t="s">
        <v>96</v>
      </c>
      <c r="J435" s="3">
        <v>13.34</v>
      </c>
      <c r="K435" s="3">
        <v>13.34</v>
      </c>
    </row>
    <row r="436" spans="1:11" x14ac:dyDescent="0.2">
      <c r="A436" s="3" t="s">
        <v>205</v>
      </c>
      <c r="B436" s="3">
        <v>13.5</v>
      </c>
      <c r="C436" s="3">
        <v>0</v>
      </c>
      <c r="D436" s="3">
        <v>1</v>
      </c>
      <c r="E436" s="3">
        <v>0</v>
      </c>
      <c r="F436" s="2">
        <v>42522</v>
      </c>
      <c r="G436" s="3" t="s">
        <v>33</v>
      </c>
      <c r="H436" s="2">
        <v>42547</v>
      </c>
      <c r="I436" s="3" t="s">
        <v>96</v>
      </c>
      <c r="J436" s="3">
        <v>13.5</v>
      </c>
      <c r="K436" s="3">
        <v>13.5</v>
      </c>
    </row>
    <row r="437" spans="1:11" x14ac:dyDescent="0.2">
      <c r="A437" s="3" t="s">
        <v>125</v>
      </c>
      <c r="B437" s="3">
        <v>7.5</v>
      </c>
      <c r="C437" s="3">
        <v>0</v>
      </c>
      <c r="D437" s="3">
        <v>1</v>
      </c>
      <c r="E437" s="3">
        <v>0</v>
      </c>
      <c r="F437" s="2">
        <v>42522</v>
      </c>
      <c r="G437" s="3" t="s">
        <v>33</v>
      </c>
      <c r="H437" s="2">
        <v>42547</v>
      </c>
      <c r="I437" s="3" t="s">
        <v>96</v>
      </c>
      <c r="J437" s="3">
        <v>7</v>
      </c>
      <c r="K437" s="3">
        <v>7.5</v>
      </c>
    </row>
    <row r="438" spans="1:11" x14ac:dyDescent="0.2">
      <c r="A438" s="3" t="s">
        <v>206</v>
      </c>
      <c r="B438" s="3">
        <v>15</v>
      </c>
      <c r="C438" s="3">
        <v>0</v>
      </c>
      <c r="D438" s="3">
        <v>1</v>
      </c>
      <c r="E438" s="3">
        <v>0</v>
      </c>
      <c r="F438" s="2">
        <v>42522</v>
      </c>
      <c r="G438" s="3" t="s">
        <v>33</v>
      </c>
      <c r="H438" s="2">
        <v>42547</v>
      </c>
      <c r="I438" s="3" t="s">
        <v>96</v>
      </c>
      <c r="J438" s="3">
        <v>15</v>
      </c>
      <c r="K438" s="3">
        <v>15</v>
      </c>
    </row>
    <row r="439" spans="1:11" x14ac:dyDescent="0.2">
      <c r="A439" s="3" t="s">
        <v>116</v>
      </c>
      <c r="B439" s="3">
        <v>150.28</v>
      </c>
      <c r="C439" s="3">
        <v>0</v>
      </c>
      <c r="D439" s="3">
        <v>1</v>
      </c>
      <c r="E439" s="3">
        <v>0</v>
      </c>
      <c r="F439" s="2">
        <v>42522</v>
      </c>
      <c r="G439" s="3" t="s">
        <v>33</v>
      </c>
      <c r="H439" s="2">
        <v>42547</v>
      </c>
      <c r="I439" s="3" t="s">
        <v>150</v>
      </c>
      <c r="J439" s="3">
        <v>150.28</v>
      </c>
      <c r="K439" s="3">
        <v>150.28</v>
      </c>
    </row>
    <row r="440" spans="1:11" x14ac:dyDescent="0.2">
      <c r="A440" s="3" t="s">
        <v>207</v>
      </c>
      <c r="B440" s="3">
        <v>64</v>
      </c>
      <c r="C440" s="3">
        <v>0</v>
      </c>
      <c r="D440" s="3">
        <v>1</v>
      </c>
      <c r="E440" s="3">
        <v>0</v>
      </c>
      <c r="F440" s="2">
        <v>42522</v>
      </c>
      <c r="G440" s="3" t="s">
        <v>88</v>
      </c>
      <c r="H440" s="2">
        <v>42548</v>
      </c>
      <c r="I440" s="3" t="s">
        <v>43</v>
      </c>
      <c r="J440" s="3">
        <v>60</v>
      </c>
      <c r="K440" s="3">
        <v>64</v>
      </c>
    </row>
    <row r="441" spans="1:11" x14ac:dyDescent="0.2">
      <c r="A441" s="3" t="s">
        <v>175</v>
      </c>
      <c r="B441" s="3">
        <v>7</v>
      </c>
      <c r="C441" s="3">
        <v>0</v>
      </c>
      <c r="D441" s="3">
        <v>1</v>
      </c>
      <c r="E441" s="3">
        <v>0</v>
      </c>
      <c r="F441" s="2">
        <v>42522</v>
      </c>
      <c r="G441" s="3" t="s">
        <v>88</v>
      </c>
      <c r="H441" s="2">
        <v>42548</v>
      </c>
      <c r="I441" s="3" t="s">
        <v>165</v>
      </c>
      <c r="J441" s="3"/>
      <c r="K441" s="3">
        <v>8</v>
      </c>
    </row>
    <row r="442" spans="1:11" x14ac:dyDescent="0.2">
      <c r="A442" s="3" t="s">
        <v>208</v>
      </c>
      <c r="B442" s="3">
        <v>73.56</v>
      </c>
      <c r="C442" s="3">
        <v>0</v>
      </c>
      <c r="D442" s="3">
        <v>1</v>
      </c>
      <c r="E442" s="3">
        <v>0</v>
      </c>
      <c r="F442" s="2">
        <v>42522</v>
      </c>
      <c r="G442" s="3" t="s">
        <v>88</v>
      </c>
      <c r="H442" s="2">
        <v>42548</v>
      </c>
      <c r="I442" s="3" t="s">
        <v>73</v>
      </c>
      <c r="J442" s="3"/>
      <c r="K442" s="3"/>
    </row>
    <row r="443" spans="1:11" x14ac:dyDescent="0.2">
      <c r="A443" s="3" t="s">
        <v>209</v>
      </c>
      <c r="B443" s="3">
        <v>7.5</v>
      </c>
      <c r="C443" s="3">
        <v>0</v>
      </c>
      <c r="D443" s="3">
        <v>1</v>
      </c>
      <c r="E443" s="3">
        <v>0</v>
      </c>
      <c r="F443" s="2">
        <v>42522</v>
      </c>
      <c r="G443" s="3" t="s">
        <v>88</v>
      </c>
      <c r="H443" s="2">
        <v>42548</v>
      </c>
      <c r="I443" s="3" t="s">
        <v>63</v>
      </c>
      <c r="J443" s="3"/>
      <c r="K443" s="3"/>
    </row>
    <row r="444" spans="1:11" x14ac:dyDescent="0.2">
      <c r="A444" s="3" t="s">
        <v>56</v>
      </c>
      <c r="B444" s="3">
        <v>50</v>
      </c>
      <c r="C444" s="3">
        <v>0</v>
      </c>
      <c r="D444" s="3">
        <v>1</v>
      </c>
      <c r="E444" s="3">
        <v>0</v>
      </c>
      <c r="F444" s="2">
        <v>42522</v>
      </c>
      <c r="G444" s="3" t="s">
        <v>88</v>
      </c>
      <c r="H444" s="2">
        <v>42550</v>
      </c>
      <c r="I444" s="3" t="s">
        <v>56</v>
      </c>
      <c r="J444" s="3"/>
      <c r="K444" s="3">
        <v>50</v>
      </c>
    </row>
    <row r="445" spans="1:11" x14ac:dyDescent="0.2">
      <c r="A445" s="3" t="s">
        <v>65</v>
      </c>
      <c r="B445" s="3">
        <v>3</v>
      </c>
      <c r="C445" s="3">
        <v>0</v>
      </c>
      <c r="D445" s="3">
        <v>1</v>
      </c>
      <c r="E445" s="3">
        <v>0</v>
      </c>
      <c r="F445" s="2">
        <v>42522</v>
      </c>
      <c r="G445" s="3" t="s">
        <v>88</v>
      </c>
      <c r="H445" s="2">
        <v>42549</v>
      </c>
      <c r="I445" s="3" t="s">
        <v>63</v>
      </c>
      <c r="J445" s="3"/>
      <c r="K445" s="3">
        <v>3</v>
      </c>
    </row>
    <row r="446" spans="1:11" x14ac:dyDescent="0.2">
      <c r="A446" s="3" t="s">
        <v>185</v>
      </c>
      <c r="B446" s="3">
        <v>6.5</v>
      </c>
      <c r="C446" s="3">
        <v>0</v>
      </c>
      <c r="D446" s="3">
        <v>1</v>
      </c>
      <c r="E446" s="3">
        <v>0</v>
      </c>
      <c r="F446" s="2">
        <v>42522</v>
      </c>
      <c r="G446" s="3" t="s">
        <v>88</v>
      </c>
      <c r="H446" s="2">
        <v>42549</v>
      </c>
      <c r="I446" s="3" t="s">
        <v>63</v>
      </c>
      <c r="J446" s="3"/>
      <c r="K446" s="3">
        <v>6.5</v>
      </c>
    </row>
    <row r="447" spans="1:11" x14ac:dyDescent="0.2">
      <c r="A447" s="3" t="s">
        <v>209</v>
      </c>
      <c r="B447" s="3">
        <v>7.5</v>
      </c>
      <c r="C447" s="3">
        <v>0</v>
      </c>
      <c r="D447" s="3">
        <v>1</v>
      </c>
      <c r="E447" s="3">
        <v>0</v>
      </c>
      <c r="F447" s="2">
        <v>42522</v>
      </c>
      <c r="G447" s="3" t="s">
        <v>88</v>
      </c>
      <c r="H447" s="2">
        <v>42550</v>
      </c>
      <c r="I447" s="3" t="s">
        <v>63</v>
      </c>
      <c r="J447" s="3"/>
      <c r="K447" s="3">
        <v>7.5</v>
      </c>
    </row>
    <row r="448" spans="1:11" x14ac:dyDescent="0.2">
      <c r="A448" s="23" t="s">
        <v>145</v>
      </c>
      <c r="B448" s="23">
        <v>570.88</v>
      </c>
      <c r="C448" s="23">
        <v>1</v>
      </c>
      <c r="D448" s="23">
        <v>0</v>
      </c>
      <c r="E448" s="23">
        <v>0</v>
      </c>
      <c r="F448" s="24">
        <v>42552</v>
      </c>
      <c r="G448" s="23" t="s">
        <v>27</v>
      </c>
      <c r="H448" s="24">
        <v>42552</v>
      </c>
      <c r="I448" s="23" t="s">
        <v>51</v>
      </c>
      <c r="J448" s="3"/>
      <c r="K448" s="3"/>
    </row>
    <row r="449" spans="1:11" x14ac:dyDescent="0.2">
      <c r="A449" s="23" t="s">
        <v>146</v>
      </c>
      <c r="B449" s="23">
        <v>1058.0999999999999</v>
      </c>
      <c r="C449" s="23">
        <v>1</v>
      </c>
      <c r="D449" s="23">
        <v>0</v>
      </c>
      <c r="E449" s="23">
        <v>0</v>
      </c>
      <c r="F449" s="24">
        <v>42552</v>
      </c>
      <c r="G449" s="23" t="s">
        <v>27</v>
      </c>
      <c r="H449" s="24">
        <v>42552</v>
      </c>
      <c r="I449" s="23" t="s">
        <v>51</v>
      </c>
      <c r="J449" s="3"/>
      <c r="K449" s="3"/>
    </row>
    <row r="450" spans="1:11" x14ac:dyDescent="0.2">
      <c r="A450" s="23" t="s">
        <v>142</v>
      </c>
      <c r="B450" s="23">
        <v>9.27</v>
      </c>
      <c r="C450" s="23">
        <v>1</v>
      </c>
      <c r="D450" s="23">
        <v>0</v>
      </c>
      <c r="E450" s="23">
        <v>0</v>
      </c>
      <c r="F450" s="24">
        <v>42552</v>
      </c>
      <c r="G450" s="23" t="s">
        <v>27</v>
      </c>
      <c r="H450" s="24">
        <v>42552</v>
      </c>
      <c r="I450" s="23" t="s">
        <v>51</v>
      </c>
      <c r="J450" s="3"/>
      <c r="K450" s="3"/>
    </row>
    <row r="451" spans="1:11" x14ac:dyDescent="0.2">
      <c r="A451" s="23" t="s">
        <v>160</v>
      </c>
      <c r="B451" s="23">
        <v>36.96</v>
      </c>
      <c r="C451" s="23">
        <v>1</v>
      </c>
      <c r="D451" s="23">
        <v>0</v>
      </c>
      <c r="E451" s="23">
        <v>0</v>
      </c>
      <c r="F451" s="24">
        <v>42552</v>
      </c>
      <c r="G451" s="23" t="s">
        <v>27</v>
      </c>
      <c r="H451" s="24">
        <v>42552</v>
      </c>
      <c r="I451" s="23" t="s">
        <v>51</v>
      </c>
      <c r="J451" s="3"/>
      <c r="K451" s="3"/>
    </row>
    <row r="452" spans="1:11" x14ac:dyDescent="0.2">
      <c r="A452" s="23" t="s">
        <v>210</v>
      </c>
      <c r="B452" s="23">
        <v>121.62</v>
      </c>
      <c r="C452" s="23">
        <v>1</v>
      </c>
      <c r="D452" s="23">
        <v>0</v>
      </c>
      <c r="E452" s="23">
        <v>0</v>
      </c>
      <c r="F452" s="24">
        <v>42552</v>
      </c>
      <c r="G452" s="23" t="s">
        <v>27</v>
      </c>
      <c r="H452" s="24">
        <v>42552</v>
      </c>
      <c r="I452" s="23" t="s">
        <v>51</v>
      </c>
      <c r="J452" s="3"/>
      <c r="K452" s="3"/>
    </row>
    <row r="453" spans="1:11" x14ac:dyDescent="0.2">
      <c r="A453" s="23" t="s">
        <v>211</v>
      </c>
      <c r="B453" s="23">
        <v>78</v>
      </c>
      <c r="C453" s="23">
        <v>1</v>
      </c>
      <c r="D453" s="23">
        <v>0</v>
      </c>
      <c r="E453" s="23">
        <v>0</v>
      </c>
      <c r="F453" s="24">
        <v>42552</v>
      </c>
      <c r="G453" s="23" t="s">
        <v>27</v>
      </c>
      <c r="H453" s="24">
        <v>42552</v>
      </c>
      <c r="I453" s="23" t="s">
        <v>51</v>
      </c>
    </row>
    <row r="454" spans="1:11" x14ac:dyDescent="0.2">
      <c r="A454" s="23" t="s">
        <v>162</v>
      </c>
      <c r="B454" s="23">
        <v>30</v>
      </c>
      <c r="C454" s="23">
        <v>1</v>
      </c>
      <c r="D454" s="23">
        <v>0</v>
      </c>
      <c r="E454" s="23">
        <v>0</v>
      </c>
      <c r="F454" s="24">
        <v>42552</v>
      </c>
      <c r="G454" s="23" t="s">
        <v>27</v>
      </c>
      <c r="H454" s="24">
        <v>42552</v>
      </c>
      <c r="I454" s="23" t="s">
        <v>51</v>
      </c>
    </row>
    <row r="455" spans="1:11" x14ac:dyDescent="0.2">
      <c r="A455" s="23" t="s">
        <v>144</v>
      </c>
      <c r="B455" s="23">
        <v>18.7</v>
      </c>
      <c r="C455" s="23">
        <v>1</v>
      </c>
      <c r="D455" s="23">
        <v>0</v>
      </c>
      <c r="E455" s="23">
        <v>0</v>
      </c>
      <c r="F455" s="24">
        <v>42552</v>
      </c>
      <c r="G455" s="23" t="s">
        <v>27</v>
      </c>
      <c r="H455" s="24">
        <v>42552</v>
      </c>
      <c r="I455" s="23" t="s">
        <v>51</v>
      </c>
    </row>
    <row r="456" spans="1:11" x14ac:dyDescent="0.2">
      <c r="A456" s="6" t="s">
        <v>179</v>
      </c>
      <c r="B456" s="6">
        <v>51</v>
      </c>
      <c r="C456" s="6">
        <v>1</v>
      </c>
      <c r="D456" s="6">
        <v>0</v>
      </c>
      <c r="E456" s="23">
        <v>0</v>
      </c>
      <c r="F456" s="24">
        <v>42552</v>
      </c>
      <c r="G456" s="23" t="s">
        <v>27</v>
      </c>
      <c r="H456" s="24">
        <v>42552</v>
      </c>
      <c r="I456" s="6" t="s">
        <v>28</v>
      </c>
    </row>
    <row r="457" spans="1:11" x14ac:dyDescent="0.2">
      <c r="A457" s="6" t="s">
        <v>32</v>
      </c>
      <c r="B457" s="6">
        <v>359.27</v>
      </c>
      <c r="C457" s="6">
        <v>1</v>
      </c>
      <c r="D457" s="6">
        <v>0</v>
      </c>
      <c r="E457" s="23">
        <v>0</v>
      </c>
      <c r="F457" s="24">
        <v>42552</v>
      </c>
      <c r="G457" s="23" t="s">
        <v>27</v>
      </c>
      <c r="H457" s="24">
        <v>42557</v>
      </c>
      <c r="I457" s="6" t="s">
        <v>34</v>
      </c>
    </row>
    <row r="458" spans="1:11" x14ac:dyDescent="0.2">
      <c r="A458" s="23" t="s">
        <v>44</v>
      </c>
      <c r="B458" s="23">
        <v>1385.03</v>
      </c>
      <c r="C458" s="23">
        <v>1</v>
      </c>
      <c r="D458" s="23">
        <v>0</v>
      </c>
      <c r="E458" s="23">
        <v>0</v>
      </c>
      <c r="F458" s="24">
        <v>42552</v>
      </c>
      <c r="G458" s="23" t="s">
        <v>42</v>
      </c>
      <c r="H458" s="24">
        <v>42563</v>
      </c>
      <c r="I458" s="23" t="s">
        <v>34</v>
      </c>
    </row>
    <row r="459" spans="1:11" x14ac:dyDescent="0.2">
      <c r="A459" s="6" t="s">
        <v>45</v>
      </c>
      <c r="B459" s="6">
        <v>100.09</v>
      </c>
      <c r="C459" s="6">
        <v>1</v>
      </c>
      <c r="D459" s="6">
        <v>0</v>
      </c>
      <c r="E459" s="23">
        <v>0</v>
      </c>
      <c r="F459" s="24">
        <v>42552</v>
      </c>
      <c r="G459" s="23" t="s">
        <v>27</v>
      </c>
      <c r="H459" s="24">
        <v>42557</v>
      </c>
      <c r="I459" s="6" t="s">
        <v>34</v>
      </c>
    </row>
    <row r="460" spans="1:11" x14ac:dyDescent="0.2">
      <c r="A460" s="23" t="s">
        <v>31</v>
      </c>
      <c r="B460" s="23">
        <v>45.21</v>
      </c>
      <c r="C460" s="23">
        <v>1</v>
      </c>
      <c r="D460" s="23">
        <v>0</v>
      </c>
      <c r="E460" s="23">
        <v>0</v>
      </c>
      <c r="F460" s="24">
        <v>42552</v>
      </c>
      <c r="G460" s="23" t="s">
        <v>42</v>
      </c>
      <c r="H460" s="24">
        <v>42536</v>
      </c>
      <c r="I460" s="23" t="s">
        <v>28</v>
      </c>
    </row>
    <row r="461" spans="1:11" x14ac:dyDescent="0.2">
      <c r="A461" s="23" t="s">
        <v>46</v>
      </c>
      <c r="B461" s="23">
        <f>SUMIFS(credito!$B$2:$B$380,credito!$F$2:$F$380,F461,credito!$G$2:$G$380,0)</f>
        <v>0</v>
      </c>
      <c r="C461" s="23">
        <v>1</v>
      </c>
      <c r="D461" s="23">
        <v>0</v>
      </c>
      <c r="E461" s="23">
        <v>1</v>
      </c>
      <c r="F461" s="24">
        <v>42552</v>
      </c>
      <c r="G461" s="23"/>
      <c r="H461" s="24"/>
      <c r="I461" s="23" t="s">
        <v>47</v>
      </c>
    </row>
    <row r="462" spans="1:11" x14ac:dyDescent="0.2">
      <c r="A462" s="23" t="s">
        <v>35</v>
      </c>
      <c r="B462" s="23">
        <v>592.84</v>
      </c>
      <c r="C462" s="23">
        <v>1</v>
      </c>
      <c r="D462" s="23">
        <v>0</v>
      </c>
      <c r="E462" s="23">
        <v>0</v>
      </c>
      <c r="F462" s="24">
        <v>42552</v>
      </c>
      <c r="G462" s="23" t="s">
        <v>42</v>
      </c>
      <c r="H462" s="24">
        <v>42566</v>
      </c>
      <c r="I462" s="23" t="s">
        <v>36</v>
      </c>
    </row>
    <row r="463" spans="1:11" x14ac:dyDescent="0.2">
      <c r="A463" s="23" t="s">
        <v>37</v>
      </c>
      <c r="B463" s="23">
        <v>145</v>
      </c>
      <c r="C463" s="23">
        <v>1</v>
      </c>
      <c r="D463" s="23">
        <v>0</v>
      </c>
      <c r="E463" s="23">
        <v>0</v>
      </c>
      <c r="F463" s="24">
        <v>42552</v>
      </c>
      <c r="G463" s="23" t="s">
        <v>42</v>
      </c>
      <c r="H463" s="24">
        <v>42566</v>
      </c>
      <c r="I463" s="23" t="s">
        <v>37</v>
      </c>
    </row>
    <row r="464" spans="1:11" x14ac:dyDescent="0.2">
      <c r="A464" s="23" t="s">
        <v>41</v>
      </c>
      <c r="B464" s="23">
        <v>230</v>
      </c>
      <c r="C464" s="23">
        <v>1</v>
      </c>
      <c r="D464" s="23">
        <v>0</v>
      </c>
      <c r="E464" s="23">
        <v>0</v>
      </c>
      <c r="F464" s="24">
        <v>42552</v>
      </c>
      <c r="G464" s="23" t="s">
        <v>42</v>
      </c>
      <c r="H464" s="24">
        <v>42555</v>
      </c>
      <c r="I464" s="23" t="s">
        <v>43</v>
      </c>
    </row>
    <row r="465" spans="1:9" x14ac:dyDescent="0.2">
      <c r="A465" s="23" t="s">
        <v>111</v>
      </c>
      <c r="B465" s="23">
        <v>32.340000000000003</v>
      </c>
      <c r="C465" s="23">
        <v>1</v>
      </c>
      <c r="D465" s="23">
        <v>0</v>
      </c>
      <c r="E465" s="23">
        <v>0</v>
      </c>
      <c r="F465" s="24">
        <v>42552</v>
      </c>
      <c r="G465" s="23"/>
      <c r="H465" s="24"/>
      <c r="I465" s="23" t="s">
        <v>34</v>
      </c>
    </row>
    <row r="466" spans="1:9" x14ac:dyDescent="0.2">
      <c r="A466" s="23" t="s">
        <v>26</v>
      </c>
      <c r="B466" s="23">
        <v>5.79</v>
      </c>
      <c r="C466" s="23">
        <v>1</v>
      </c>
      <c r="D466" s="23">
        <v>0</v>
      </c>
      <c r="E466" s="23">
        <v>0</v>
      </c>
      <c r="F466" s="24">
        <v>42552</v>
      </c>
      <c r="G466" s="23" t="s">
        <v>42</v>
      </c>
      <c r="H466" s="24">
        <v>42562</v>
      </c>
      <c r="I466" s="23" t="s">
        <v>28</v>
      </c>
    </row>
    <row r="467" spans="1:9" x14ac:dyDescent="0.2">
      <c r="A467" s="23" t="s">
        <v>29</v>
      </c>
      <c r="B467" s="23">
        <v>50</v>
      </c>
      <c r="C467" s="23">
        <v>1</v>
      </c>
      <c r="D467" s="23">
        <v>0</v>
      </c>
      <c r="E467" s="23">
        <v>0</v>
      </c>
      <c r="F467" s="24">
        <v>42552</v>
      </c>
      <c r="G467" s="23" t="s">
        <v>81</v>
      </c>
      <c r="H467" s="24">
        <v>42569</v>
      </c>
      <c r="I467" s="6" t="s">
        <v>615</v>
      </c>
    </row>
    <row r="468" spans="1:9" x14ac:dyDescent="0.2">
      <c r="A468" s="6" t="s">
        <v>177</v>
      </c>
      <c r="B468" s="6">
        <v>0</v>
      </c>
      <c r="C468" s="6">
        <v>0</v>
      </c>
      <c r="D468" s="6">
        <v>1</v>
      </c>
      <c r="E468" s="23">
        <v>1</v>
      </c>
      <c r="F468" s="24">
        <v>42552</v>
      </c>
      <c r="G468" s="23"/>
      <c r="H468" s="24"/>
      <c r="I468" s="6" t="s">
        <v>178</v>
      </c>
    </row>
    <row r="469" spans="1:9" x14ac:dyDescent="0.2">
      <c r="A469" s="23" t="s">
        <v>125</v>
      </c>
      <c r="B469" s="23">
        <v>200</v>
      </c>
      <c r="C469" s="6">
        <v>0</v>
      </c>
      <c r="D469" s="6">
        <v>1</v>
      </c>
      <c r="E469" s="23">
        <v>0</v>
      </c>
      <c r="F469" s="24">
        <v>42552</v>
      </c>
      <c r="G469" s="23" t="s">
        <v>27</v>
      </c>
      <c r="H469" s="24">
        <v>42552</v>
      </c>
      <c r="I469" s="3" t="s">
        <v>150</v>
      </c>
    </row>
    <row r="470" spans="1:9" x14ac:dyDescent="0.2">
      <c r="A470" s="23" t="s">
        <v>185</v>
      </c>
      <c r="B470" s="23">
        <v>5</v>
      </c>
      <c r="C470" s="6">
        <v>0</v>
      </c>
      <c r="D470" s="6">
        <v>1</v>
      </c>
      <c r="E470" s="23">
        <v>0</v>
      </c>
      <c r="F470" s="24">
        <v>42552</v>
      </c>
      <c r="G470" s="23" t="s">
        <v>27</v>
      </c>
      <c r="H470" s="24">
        <v>42551</v>
      </c>
      <c r="I470" s="6" t="s">
        <v>63</v>
      </c>
    </row>
    <row r="471" spans="1:9" x14ac:dyDescent="0.2">
      <c r="A471" s="23" t="s">
        <v>59</v>
      </c>
      <c r="B471" s="23">
        <v>100</v>
      </c>
      <c r="C471" s="6">
        <v>0</v>
      </c>
      <c r="D471" s="6">
        <v>1</v>
      </c>
      <c r="E471" s="23">
        <v>0</v>
      </c>
      <c r="F471" s="24">
        <v>42552</v>
      </c>
      <c r="G471" s="23" t="s">
        <v>33</v>
      </c>
      <c r="H471" s="24">
        <v>42554</v>
      </c>
      <c r="I471" s="6" t="s">
        <v>59</v>
      </c>
    </row>
    <row r="472" spans="1:9" x14ac:dyDescent="0.2">
      <c r="A472" s="23" t="s">
        <v>56</v>
      </c>
      <c r="B472" s="23">
        <v>50</v>
      </c>
      <c r="C472" s="6">
        <v>0</v>
      </c>
      <c r="D472" s="6">
        <v>1</v>
      </c>
      <c r="E472" s="23">
        <v>0</v>
      </c>
      <c r="F472" s="24">
        <v>42552</v>
      </c>
      <c r="G472" s="23" t="s">
        <v>33</v>
      </c>
      <c r="H472" s="24">
        <v>42552</v>
      </c>
      <c r="I472" s="6" t="s">
        <v>56</v>
      </c>
    </row>
    <row r="473" spans="1:9" x14ac:dyDescent="0.2">
      <c r="A473" s="23" t="s">
        <v>212</v>
      </c>
      <c r="B473" s="23">
        <v>2.8</v>
      </c>
      <c r="C473" s="6">
        <v>0</v>
      </c>
      <c r="D473" s="6">
        <v>1</v>
      </c>
      <c r="E473" s="23">
        <v>0</v>
      </c>
      <c r="F473" s="24">
        <v>42552</v>
      </c>
      <c r="G473" s="23" t="s">
        <v>27</v>
      </c>
      <c r="H473" s="24">
        <v>42551</v>
      </c>
      <c r="I473" s="6" t="s">
        <v>63</v>
      </c>
    </row>
    <row r="474" spans="1:9" x14ac:dyDescent="0.2">
      <c r="A474" s="23" t="s">
        <v>60</v>
      </c>
      <c r="B474" s="23">
        <v>95.53</v>
      </c>
      <c r="C474" s="6">
        <v>0</v>
      </c>
      <c r="D474" s="6">
        <v>1</v>
      </c>
      <c r="E474" s="23">
        <v>0</v>
      </c>
      <c r="F474" s="24">
        <v>42552</v>
      </c>
      <c r="G474" s="23" t="s">
        <v>27</v>
      </c>
      <c r="H474" s="24">
        <v>42551</v>
      </c>
      <c r="I474" s="6" t="s">
        <v>60</v>
      </c>
    </row>
    <row r="475" spans="1:9" x14ac:dyDescent="0.2">
      <c r="A475" s="23" t="s">
        <v>185</v>
      </c>
      <c r="B475" s="23">
        <v>5</v>
      </c>
      <c r="C475" s="6">
        <v>0</v>
      </c>
      <c r="D475" s="6">
        <v>1</v>
      </c>
      <c r="E475" s="23">
        <v>0</v>
      </c>
      <c r="F475" s="24">
        <v>42552</v>
      </c>
      <c r="G475" s="23" t="s">
        <v>33</v>
      </c>
      <c r="H475" s="24">
        <v>42553</v>
      </c>
      <c r="I475" s="6" t="s">
        <v>63</v>
      </c>
    </row>
    <row r="476" spans="1:9" x14ac:dyDescent="0.2">
      <c r="A476" s="23" t="s">
        <v>133</v>
      </c>
      <c r="B476" s="23">
        <v>2.21</v>
      </c>
      <c r="C476" s="6">
        <v>0</v>
      </c>
      <c r="D476" s="6">
        <v>1</v>
      </c>
      <c r="E476" s="23">
        <v>0</v>
      </c>
      <c r="F476" s="24">
        <v>42552</v>
      </c>
      <c r="G476" s="23" t="s">
        <v>33</v>
      </c>
      <c r="H476" s="24">
        <v>42553</v>
      </c>
      <c r="I476" s="6" t="s">
        <v>28</v>
      </c>
    </row>
    <row r="477" spans="1:9" x14ac:dyDescent="0.2">
      <c r="A477" s="23" t="s">
        <v>213</v>
      </c>
      <c r="B477" s="23">
        <v>49.8</v>
      </c>
      <c r="C477" s="6">
        <v>0</v>
      </c>
      <c r="D477" s="6">
        <v>1</v>
      </c>
      <c r="E477" s="23">
        <v>0</v>
      </c>
      <c r="F477" s="24">
        <v>42552</v>
      </c>
      <c r="G477" s="23" t="s">
        <v>33</v>
      </c>
      <c r="H477" s="24">
        <v>42553</v>
      </c>
      <c r="I477" s="6" t="s">
        <v>150</v>
      </c>
    </row>
    <row r="478" spans="1:9" x14ac:dyDescent="0.2">
      <c r="A478" s="23" t="s">
        <v>214</v>
      </c>
      <c r="B478" s="23">
        <v>9.5</v>
      </c>
      <c r="C478" s="6">
        <v>0</v>
      </c>
      <c r="D478" s="6">
        <v>1</v>
      </c>
      <c r="E478" s="23">
        <v>0</v>
      </c>
      <c r="F478" s="24">
        <v>42552</v>
      </c>
      <c r="G478" s="23" t="s">
        <v>33</v>
      </c>
      <c r="H478" s="24">
        <v>42553</v>
      </c>
      <c r="I478" s="6" t="s">
        <v>63</v>
      </c>
    </row>
    <row r="479" spans="1:9" x14ac:dyDescent="0.2">
      <c r="A479" s="23" t="s">
        <v>73</v>
      </c>
      <c r="B479" s="23">
        <v>15.85</v>
      </c>
      <c r="C479" s="6">
        <v>0</v>
      </c>
      <c r="D479" s="6">
        <v>1</v>
      </c>
      <c r="E479" s="23">
        <v>0</v>
      </c>
      <c r="F479" s="24">
        <v>42552</v>
      </c>
      <c r="G479" s="23" t="s">
        <v>33</v>
      </c>
      <c r="H479" s="24">
        <v>42553</v>
      </c>
      <c r="I479" s="6" t="s">
        <v>73</v>
      </c>
    </row>
    <row r="480" spans="1:9" x14ac:dyDescent="0.2">
      <c r="A480" s="23" t="s">
        <v>74</v>
      </c>
      <c r="B480" s="23">
        <v>9.9</v>
      </c>
      <c r="C480" s="6">
        <v>0</v>
      </c>
      <c r="D480" s="6">
        <v>1</v>
      </c>
      <c r="E480" s="23">
        <v>0</v>
      </c>
      <c r="F480" s="24">
        <v>42552</v>
      </c>
      <c r="G480" s="23" t="s">
        <v>33</v>
      </c>
      <c r="H480" s="24">
        <v>42553</v>
      </c>
      <c r="I480" s="6" t="s">
        <v>63</v>
      </c>
    </row>
    <row r="481" spans="1:9" x14ac:dyDescent="0.2">
      <c r="A481" s="23" t="s">
        <v>215</v>
      </c>
      <c r="B481" s="23">
        <v>31.5</v>
      </c>
      <c r="C481" s="6">
        <v>0</v>
      </c>
      <c r="D481" s="6">
        <v>1</v>
      </c>
      <c r="E481" s="23">
        <v>0</v>
      </c>
      <c r="F481" s="24">
        <v>42552</v>
      </c>
      <c r="G481" s="23" t="s">
        <v>33</v>
      </c>
      <c r="H481" s="24">
        <v>42553</v>
      </c>
      <c r="I481" s="6" t="s">
        <v>96</v>
      </c>
    </row>
    <row r="482" spans="1:9" x14ac:dyDescent="0.2">
      <c r="A482" s="23" t="s">
        <v>216</v>
      </c>
      <c r="B482" s="23">
        <v>33.5</v>
      </c>
      <c r="C482" s="6">
        <v>0</v>
      </c>
      <c r="D482" s="6">
        <v>1</v>
      </c>
      <c r="E482" s="23">
        <v>0</v>
      </c>
      <c r="F482" s="24">
        <v>42552</v>
      </c>
      <c r="G482" s="23" t="s">
        <v>33</v>
      </c>
      <c r="H482" s="24">
        <v>42553</v>
      </c>
      <c r="I482" s="6" t="s">
        <v>96</v>
      </c>
    </row>
    <row r="483" spans="1:9" x14ac:dyDescent="0.2">
      <c r="A483" s="23" t="s">
        <v>82</v>
      </c>
      <c r="B483" s="23">
        <v>101.6</v>
      </c>
      <c r="C483" s="6">
        <v>0</v>
      </c>
      <c r="D483" s="6">
        <v>1</v>
      </c>
      <c r="E483" s="23">
        <v>0</v>
      </c>
      <c r="F483" s="24">
        <v>42552</v>
      </c>
      <c r="G483" s="23" t="s">
        <v>33</v>
      </c>
      <c r="H483" s="24">
        <v>42553</v>
      </c>
      <c r="I483" s="6" t="s">
        <v>96</v>
      </c>
    </row>
    <row r="484" spans="1:9" x14ac:dyDescent="0.2">
      <c r="A484" s="23" t="s">
        <v>217</v>
      </c>
      <c r="B484" s="23">
        <v>52.26</v>
      </c>
      <c r="C484" s="6">
        <v>0</v>
      </c>
      <c r="D484" s="6">
        <v>1</v>
      </c>
      <c r="E484" s="23">
        <v>0</v>
      </c>
      <c r="F484" s="24">
        <v>42552</v>
      </c>
      <c r="G484" s="23" t="s">
        <v>33</v>
      </c>
      <c r="H484" s="24">
        <v>42554</v>
      </c>
      <c r="I484" s="6" t="s">
        <v>60</v>
      </c>
    </row>
    <row r="485" spans="1:9" x14ac:dyDescent="0.2">
      <c r="A485" s="23" t="s">
        <v>218</v>
      </c>
      <c r="B485" s="23">
        <v>104.18</v>
      </c>
      <c r="C485" s="6">
        <v>0</v>
      </c>
      <c r="D485" s="6">
        <v>1</v>
      </c>
      <c r="E485" s="23">
        <v>0</v>
      </c>
      <c r="F485" s="24">
        <v>42552</v>
      </c>
      <c r="G485" s="23" t="s">
        <v>33</v>
      </c>
      <c r="H485" s="24">
        <v>42554</v>
      </c>
      <c r="I485" s="6" t="s">
        <v>68</v>
      </c>
    </row>
    <row r="486" spans="1:9" x14ac:dyDescent="0.2">
      <c r="A486" s="23" t="s">
        <v>219</v>
      </c>
      <c r="B486" s="23">
        <v>99.99</v>
      </c>
      <c r="C486" s="6">
        <v>0</v>
      </c>
      <c r="D486" s="6">
        <v>1</v>
      </c>
      <c r="E486" s="23">
        <v>0</v>
      </c>
      <c r="F486" s="24">
        <v>42552</v>
      </c>
      <c r="G486" s="23" t="s">
        <v>33</v>
      </c>
      <c r="H486" s="24">
        <v>42554</v>
      </c>
      <c r="I486" s="6" t="s">
        <v>68</v>
      </c>
    </row>
    <row r="487" spans="1:9" x14ac:dyDescent="0.2">
      <c r="A487" s="23" t="s">
        <v>220</v>
      </c>
      <c r="B487" s="23">
        <v>41</v>
      </c>
      <c r="C487" s="6">
        <v>0</v>
      </c>
      <c r="D487" s="6">
        <v>1</v>
      </c>
      <c r="E487" s="23">
        <v>0</v>
      </c>
      <c r="F487" s="24">
        <v>42552</v>
      </c>
      <c r="G487" s="23" t="s">
        <v>33</v>
      </c>
      <c r="H487" s="24">
        <v>42554</v>
      </c>
      <c r="I487" s="6" t="s">
        <v>63</v>
      </c>
    </row>
    <row r="488" spans="1:9" x14ac:dyDescent="0.2">
      <c r="A488" s="23" t="s">
        <v>221</v>
      </c>
      <c r="B488" s="23">
        <v>17.13</v>
      </c>
      <c r="C488" s="6">
        <v>0</v>
      </c>
      <c r="D488" s="6">
        <v>1</v>
      </c>
      <c r="E488" s="23">
        <v>0</v>
      </c>
      <c r="F488" s="24">
        <v>42552</v>
      </c>
      <c r="G488" s="23" t="s">
        <v>33</v>
      </c>
      <c r="H488" s="24">
        <v>42554</v>
      </c>
      <c r="I488" s="6" t="s">
        <v>73</v>
      </c>
    </row>
    <row r="489" spans="1:9" x14ac:dyDescent="0.2">
      <c r="A489" s="23" t="s">
        <v>125</v>
      </c>
      <c r="B489" s="23">
        <v>8</v>
      </c>
      <c r="C489" s="6">
        <v>0</v>
      </c>
      <c r="D489" s="6">
        <v>1</v>
      </c>
      <c r="E489" s="23">
        <v>0</v>
      </c>
      <c r="F489" s="24">
        <v>42552</v>
      </c>
      <c r="G489" s="23" t="s">
        <v>33</v>
      </c>
      <c r="H489" s="24">
        <v>42554</v>
      </c>
      <c r="I489" s="3" t="s">
        <v>150</v>
      </c>
    </row>
    <row r="490" spans="1:9" x14ac:dyDescent="0.2">
      <c r="A490" s="23" t="s">
        <v>74</v>
      </c>
      <c r="B490" s="23">
        <v>45</v>
      </c>
      <c r="C490" s="6">
        <v>0</v>
      </c>
      <c r="D490" s="6">
        <v>1</v>
      </c>
      <c r="E490" s="23">
        <v>0</v>
      </c>
      <c r="F490" s="24">
        <v>42552</v>
      </c>
      <c r="G490" s="23" t="s">
        <v>33</v>
      </c>
      <c r="H490" s="24">
        <v>42553</v>
      </c>
      <c r="I490" s="6" t="s">
        <v>63</v>
      </c>
    </row>
    <row r="491" spans="1:9" x14ac:dyDescent="0.2">
      <c r="A491" s="23" t="s">
        <v>158</v>
      </c>
      <c r="B491" s="23">
        <v>6.6</v>
      </c>
      <c r="C491" s="6">
        <v>0</v>
      </c>
      <c r="D491" s="6">
        <v>1</v>
      </c>
      <c r="E491" s="23">
        <v>0</v>
      </c>
      <c r="F491" s="24">
        <v>42552</v>
      </c>
      <c r="G491" s="23" t="s">
        <v>42</v>
      </c>
      <c r="H491" s="24">
        <v>42556</v>
      </c>
      <c r="I491" s="6" t="s">
        <v>63</v>
      </c>
    </row>
    <row r="492" spans="1:9" x14ac:dyDescent="0.2">
      <c r="A492" s="23" t="s">
        <v>65</v>
      </c>
      <c r="B492" s="23">
        <v>9.76</v>
      </c>
      <c r="C492" s="6">
        <v>0</v>
      </c>
      <c r="D492" s="6">
        <v>1</v>
      </c>
      <c r="E492" s="23">
        <v>0</v>
      </c>
      <c r="F492" s="24">
        <v>42552</v>
      </c>
      <c r="G492" s="23" t="s">
        <v>42</v>
      </c>
      <c r="H492" s="24">
        <v>42556</v>
      </c>
      <c r="I492" s="6" t="s">
        <v>63</v>
      </c>
    </row>
    <row r="493" spans="1:9" x14ac:dyDescent="0.2">
      <c r="A493" s="23" t="s">
        <v>64</v>
      </c>
      <c r="B493" s="23">
        <v>4.5</v>
      </c>
      <c r="C493" s="6">
        <v>0</v>
      </c>
      <c r="D493" s="6">
        <v>1</v>
      </c>
      <c r="E493" s="23">
        <v>0</v>
      </c>
      <c r="F493" s="24">
        <v>42552</v>
      </c>
      <c r="G493" s="23" t="s">
        <v>42</v>
      </c>
      <c r="H493" s="24">
        <v>42556</v>
      </c>
      <c r="I493" s="6" t="s">
        <v>63</v>
      </c>
    </row>
    <row r="494" spans="1:9" x14ac:dyDescent="0.2">
      <c r="A494" s="23" t="s">
        <v>134</v>
      </c>
      <c r="B494" s="23">
        <v>9.74</v>
      </c>
      <c r="C494" s="6">
        <v>0</v>
      </c>
      <c r="D494" s="6">
        <v>1</v>
      </c>
      <c r="E494" s="23">
        <v>0</v>
      </c>
      <c r="F494" s="24">
        <v>42552</v>
      </c>
      <c r="G494" s="23" t="s">
        <v>42</v>
      </c>
      <c r="H494" s="24">
        <v>42556</v>
      </c>
      <c r="I494" s="6" t="s">
        <v>28</v>
      </c>
    </row>
    <row r="495" spans="1:9" x14ac:dyDescent="0.2">
      <c r="A495" s="23" t="s">
        <v>73</v>
      </c>
      <c r="B495" s="23">
        <v>45.58</v>
      </c>
      <c r="C495" s="6">
        <v>0</v>
      </c>
      <c r="D495" s="6">
        <v>1</v>
      </c>
      <c r="E495" s="23">
        <v>0</v>
      </c>
      <c r="F495" s="24">
        <v>42552</v>
      </c>
      <c r="G495" s="23" t="s">
        <v>42</v>
      </c>
      <c r="H495" s="24">
        <v>42557</v>
      </c>
      <c r="I495" s="6" t="s">
        <v>73</v>
      </c>
    </row>
    <row r="496" spans="1:9" x14ac:dyDescent="0.2">
      <c r="A496" s="23" t="s">
        <v>64</v>
      </c>
      <c r="B496" s="23">
        <v>15.5</v>
      </c>
      <c r="C496" s="6">
        <v>0</v>
      </c>
      <c r="D496" s="6">
        <v>1</v>
      </c>
      <c r="E496" s="23">
        <v>0</v>
      </c>
      <c r="F496" s="24">
        <v>42552</v>
      </c>
      <c r="G496" s="23" t="s">
        <v>42</v>
      </c>
      <c r="H496" s="24">
        <v>42557</v>
      </c>
      <c r="I496" s="6" t="s">
        <v>63</v>
      </c>
    </row>
    <row r="497" spans="1:9" x14ac:dyDescent="0.2">
      <c r="A497" s="23" t="s">
        <v>64</v>
      </c>
      <c r="B497" s="23">
        <v>20.46</v>
      </c>
      <c r="C497" s="6">
        <v>0</v>
      </c>
      <c r="D497" s="6">
        <v>1</v>
      </c>
      <c r="E497" s="23">
        <v>0</v>
      </c>
      <c r="F497" s="24">
        <v>42552</v>
      </c>
      <c r="G497" s="23" t="s">
        <v>42</v>
      </c>
      <c r="H497" s="24">
        <v>42559</v>
      </c>
      <c r="I497" s="6" t="s">
        <v>63</v>
      </c>
    </row>
    <row r="498" spans="1:9" x14ac:dyDescent="0.2">
      <c r="A498" s="23" t="s">
        <v>65</v>
      </c>
      <c r="B498" s="23">
        <v>12.66</v>
      </c>
      <c r="C498" s="6">
        <v>0</v>
      </c>
      <c r="D498" s="6">
        <v>1</v>
      </c>
      <c r="E498" s="23">
        <v>0</v>
      </c>
      <c r="F498" s="24">
        <v>42552</v>
      </c>
      <c r="G498" s="23" t="s">
        <v>42</v>
      </c>
      <c r="H498" s="24">
        <v>42559</v>
      </c>
      <c r="I498" s="6" t="s">
        <v>63</v>
      </c>
    </row>
    <row r="499" spans="1:9" x14ac:dyDescent="0.2">
      <c r="A499" s="23" t="s">
        <v>65</v>
      </c>
      <c r="B499" s="23">
        <v>4</v>
      </c>
      <c r="C499" s="6">
        <v>0</v>
      </c>
      <c r="D499" s="6">
        <v>1</v>
      </c>
      <c r="E499" s="23">
        <v>0</v>
      </c>
      <c r="F499" s="24">
        <v>42552</v>
      </c>
      <c r="G499" s="23" t="s">
        <v>42</v>
      </c>
      <c r="H499" s="24">
        <v>42559</v>
      </c>
      <c r="I499" s="6" t="s">
        <v>63</v>
      </c>
    </row>
    <row r="500" spans="1:9" x14ac:dyDescent="0.2">
      <c r="A500" s="23" t="s">
        <v>193</v>
      </c>
      <c r="B500" s="23">
        <v>215.95</v>
      </c>
      <c r="C500" s="6">
        <v>0</v>
      </c>
      <c r="D500" s="6">
        <v>1</v>
      </c>
      <c r="E500" s="23">
        <v>0</v>
      </c>
      <c r="F500" s="24">
        <v>42552</v>
      </c>
      <c r="G500" s="23" t="s">
        <v>33</v>
      </c>
      <c r="H500" s="24">
        <v>42560</v>
      </c>
      <c r="I500" s="6" t="s">
        <v>617</v>
      </c>
    </row>
    <row r="501" spans="1:9" x14ac:dyDescent="0.2">
      <c r="A501" s="23" t="s">
        <v>193</v>
      </c>
      <c r="B501" s="23">
        <v>29.99</v>
      </c>
      <c r="C501" s="6">
        <v>0</v>
      </c>
      <c r="D501" s="6">
        <v>1</v>
      </c>
      <c r="E501" s="23">
        <v>0</v>
      </c>
      <c r="F501" s="24">
        <v>42552</v>
      </c>
      <c r="G501" s="23" t="s">
        <v>33</v>
      </c>
      <c r="H501" s="24">
        <v>42553</v>
      </c>
      <c r="I501" s="6" t="s">
        <v>617</v>
      </c>
    </row>
    <row r="502" spans="1:9" x14ac:dyDescent="0.2">
      <c r="A502" s="23" t="s">
        <v>222</v>
      </c>
      <c r="B502" s="23">
        <v>11</v>
      </c>
      <c r="C502" s="6">
        <v>0</v>
      </c>
      <c r="D502" s="6">
        <v>1</v>
      </c>
      <c r="E502" s="23">
        <v>0</v>
      </c>
      <c r="F502" s="24">
        <v>42552</v>
      </c>
      <c r="G502" s="23" t="s">
        <v>33</v>
      </c>
      <c r="H502" s="24">
        <v>42553</v>
      </c>
      <c r="I502" s="6" t="s">
        <v>63</v>
      </c>
    </row>
    <row r="503" spans="1:9" x14ac:dyDescent="0.2">
      <c r="A503" s="23" t="s">
        <v>59</v>
      </c>
      <c r="B503" s="23">
        <v>90</v>
      </c>
      <c r="C503" s="6">
        <v>0</v>
      </c>
      <c r="D503" s="6">
        <v>1</v>
      </c>
      <c r="E503" s="23">
        <v>0</v>
      </c>
      <c r="F503" s="24">
        <v>42552</v>
      </c>
      <c r="G503" s="23" t="s">
        <v>33</v>
      </c>
      <c r="H503" s="24">
        <v>42553</v>
      </c>
      <c r="I503" s="6" t="s">
        <v>59</v>
      </c>
    </row>
    <row r="504" spans="1:9" x14ac:dyDescent="0.2">
      <c r="A504" s="23" t="s">
        <v>125</v>
      </c>
      <c r="B504" s="23">
        <v>14</v>
      </c>
      <c r="C504" s="6">
        <v>0</v>
      </c>
      <c r="D504" s="6">
        <v>1</v>
      </c>
      <c r="E504" s="23">
        <v>0</v>
      </c>
      <c r="F504" s="24">
        <v>42552</v>
      </c>
      <c r="G504" s="23" t="s">
        <v>33</v>
      </c>
      <c r="H504" s="24">
        <v>42553</v>
      </c>
      <c r="I504" s="3" t="s">
        <v>150</v>
      </c>
    </row>
    <row r="505" spans="1:9" x14ac:dyDescent="0.2">
      <c r="A505" s="23" t="s">
        <v>223</v>
      </c>
      <c r="B505" s="23">
        <v>25.81</v>
      </c>
      <c r="C505" s="6">
        <v>0</v>
      </c>
      <c r="D505" s="6">
        <v>1</v>
      </c>
      <c r="E505" s="23">
        <v>0</v>
      </c>
      <c r="F505" s="24">
        <v>42552</v>
      </c>
      <c r="G505" s="23" t="s">
        <v>33</v>
      </c>
      <c r="H505" s="24">
        <v>42553</v>
      </c>
      <c r="I505" s="6" t="s">
        <v>60</v>
      </c>
    </row>
    <row r="506" spans="1:9" x14ac:dyDescent="0.2">
      <c r="A506" s="23" t="s">
        <v>224</v>
      </c>
      <c r="B506" s="23">
        <v>158.79</v>
      </c>
      <c r="C506" s="6">
        <v>0</v>
      </c>
      <c r="D506" s="6">
        <v>1</v>
      </c>
      <c r="E506" s="23">
        <v>0</v>
      </c>
      <c r="F506" s="24">
        <v>42552</v>
      </c>
      <c r="G506" s="23" t="s">
        <v>33</v>
      </c>
      <c r="H506" s="24">
        <v>42553</v>
      </c>
      <c r="I506" s="3" t="s">
        <v>150</v>
      </c>
    </row>
    <row r="507" spans="1:9" x14ac:dyDescent="0.2">
      <c r="A507" s="23" t="s">
        <v>225</v>
      </c>
      <c r="B507" s="23">
        <v>17.47</v>
      </c>
      <c r="C507" s="6">
        <v>0</v>
      </c>
      <c r="D507" s="6">
        <v>1</v>
      </c>
      <c r="E507" s="23">
        <v>0</v>
      </c>
      <c r="F507" s="24">
        <v>42552</v>
      </c>
      <c r="G507" s="23" t="s">
        <v>33</v>
      </c>
      <c r="H507" s="24">
        <v>42553</v>
      </c>
      <c r="I507" s="6" t="s">
        <v>58</v>
      </c>
    </row>
    <row r="508" spans="1:9" x14ac:dyDescent="0.2">
      <c r="A508" s="23" t="s">
        <v>56</v>
      </c>
      <c r="B508" s="23">
        <v>6</v>
      </c>
      <c r="C508" s="6">
        <v>0</v>
      </c>
      <c r="D508" s="6">
        <v>1</v>
      </c>
      <c r="E508" s="23">
        <v>0</v>
      </c>
      <c r="F508" s="24">
        <v>42552</v>
      </c>
      <c r="G508" s="23" t="s">
        <v>33</v>
      </c>
      <c r="H508" s="24">
        <v>42553</v>
      </c>
      <c r="I508" s="6" t="s">
        <v>56</v>
      </c>
    </row>
    <row r="509" spans="1:9" x14ac:dyDescent="0.2">
      <c r="A509" s="23" t="s">
        <v>226</v>
      </c>
      <c r="B509" s="23">
        <v>68.099999999999994</v>
      </c>
      <c r="C509" s="6">
        <v>0</v>
      </c>
      <c r="D509" s="6">
        <v>1</v>
      </c>
      <c r="E509" s="23">
        <v>0</v>
      </c>
      <c r="F509" s="24">
        <v>42552</v>
      </c>
      <c r="G509" s="23" t="s">
        <v>42</v>
      </c>
      <c r="H509" s="24">
        <v>42557</v>
      </c>
      <c r="I509" s="6" t="s">
        <v>150</v>
      </c>
    </row>
    <row r="510" spans="1:9" x14ac:dyDescent="0.2">
      <c r="A510" s="23" t="s">
        <v>227</v>
      </c>
      <c r="B510" s="23">
        <v>200</v>
      </c>
      <c r="C510" s="6">
        <v>0</v>
      </c>
      <c r="D510" s="6">
        <v>1</v>
      </c>
      <c r="E510" s="23">
        <v>0</v>
      </c>
      <c r="F510" s="24">
        <v>42552</v>
      </c>
      <c r="G510" s="23" t="s">
        <v>42</v>
      </c>
      <c r="H510" s="24">
        <v>42562</v>
      </c>
      <c r="I510" s="6" t="s">
        <v>60</v>
      </c>
    </row>
    <row r="511" spans="1:9" x14ac:dyDescent="0.2">
      <c r="A511" s="23" t="s">
        <v>228</v>
      </c>
      <c r="B511" s="23">
        <v>12</v>
      </c>
      <c r="C511" s="6">
        <v>0</v>
      </c>
      <c r="D511" s="6">
        <v>1</v>
      </c>
      <c r="E511" s="23">
        <v>0</v>
      </c>
      <c r="F511" s="24">
        <v>42552</v>
      </c>
      <c r="G511" s="23" t="s">
        <v>42</v>
      </c>
      <c r="H511" s="24">
        <v>42562</v>
      </c>
      <c r="I511" s="6" t="s">
        <v>63</v>
      </c>
    </row>
    <row r="512" spans="1:9" x14ac:dyDescent="0.2">
      <c r="A512" s="23" t="s">
        <v>229</v>
      </c>
      <c r="B512" s="23">
        <v>30</v>
      </c>
      <c r="C512" s="6">
        <v>0</v>
      </c>
      <c r="D512" s="6">
        <v>1</v>
      </c>
      <c r="E512" s="23">
        <v>0</v>
      </c>
      <c r="F512" s="24">
        <v>42552</v>
      </c>
      <c r="G512" s="23" t="s">
        <v>42</v>
      </c>
      <c r="H512" s="24">
        <v>42566</v>
      </c>
      <c r="I512" s="6" t="s">
        <v>68</v>
      </c>
    </row>
    <row r="513" spans="1:9" x14ac:dyDescent="0.2">
      <c r="A513" s="23" t="s">
        <v>74</v>
      </c>
      <c r="B513" s="23">
        <v>5.5</v>
      </c>
      <c r="C513" s="6">
        <v>0</v>
      </c>
      <c r="D513" s="6">
        <v>1</v>
      </c>
      <c r="E513" s="23">
        <v>0</v>
      </c>
      <c r="F513" s="24">
        <v>42552</v>
      </c>
      <c r="G513" s="23" t="s">
        <v>42</v>
      </c>
      <c r="H513" s="24">
        <v>42565</v>
      </c>
      <c r="I513" s="6" t="s">
        <v>63</v>
      </c>
    </row>
    <row r="514" spans="1:9" x14ac:dyDescent="0.2">
      <c r="A514" s="23" t="s">
        <v>148</v>
      </c>
      <c r="B514" s="23">
        <v>10</v>
      </c>
      <c r="C514" s="6">
        <v>0</v>
      </c>
      <c r="D514" s="6">
        <v>1</v>
      </c>
      <c r="E514" s="23">
        <v>0</v>
      </c>
      <c r="F514" s="24">
        <v>42552</v>
      </c>
      <c r="G514" s="23" t="s">
        <v>42</v>
      </c>
      <c r="H514" s="24">
        <v>42565</v>
      </c>
      <c r="I514" s="6" t="s">
        <v>63</v>
      </c>
    </row>
    <row r="515" spans="1:9" x14ac:dyDescent="0.2">
      <c r="A515" s="23" t="s">
        <v>62</v>
      </c>
      <c r="B515" s="23">
        <v>4</v>
      </c>
      <c r="C515" s="6">
        <v>0</v>
      </c>
      <c r="D515" s="6">
        <v>1</v>
      </c>
      <c r="E515" s="23">
        <v>0</v>
      </c>
      <c r="F515" s="24">
        <v>42552</v>
      </c>
      <c r="G515" s="23" t="s">
        <v>42</v>
      </c>
      <c r="H515" s="24">
        <v>42565</v>
      </c>
      <c r="I515" s="6" t="s">
        <v>63</v>
      </c>
    </row>
    <row r="516" spans="1:9" x14ac:dyDescent="0.2">
      <c r="A516" s="23" t="s">
        <v>230</v>
      </c>
      <c r="B516" s="23">
        <v>26</v>
      </c>
      <c r="C516" s="6">
        <v>0</v>
      </c>
      <c r="D516" s="6">
        <v>1</v>
      </c>
      <c r="E516" s="23">
        <v>0</v>
      </c>
      <c r="F516" s="24">
        <v>42552</v>
      </c>
      <c r="G516" s="23" t="s">
        <v>42</v>
      </c>
      <c r="H516" s="24">
        <v>42566</v>
      </c>
      <c r="I516" s="6" t="s">
        <v>165</v>
      </c>
    </row>
    <row r="517" spans="1:9" x14ac:dyDescent="0.2">
      <c r="A517" s="23" t="s">
        <v>89</v>
      </c>
      <c r="B517" s="23">
        <v>16</v>
      </c>
      <c r="C517" s="6">
        <v>0</v>
      </c>
      <c r="D517" s="6">
        <v>1</v>
      </c>
      <c r="E517" s="23">
        <v>0</v>
      </c>
      <c r="F517" s="24">
        <v>42552</v>
      </c>
      <c r="G517" s="23" t="s">
        <v>33</v>
      </c>
      <c r="H517" s="24">
        <v>42567</v>
      </c>
      <c r="I517" s="6" t="s">
        <v>89</v>
      </c>
    </row>
    <row r="518" spans="1:9" x14ac:dyDescent="0.2">
      <c r="A518" s="23" t="s">
        <v>59</v>
      </c>
      <c r="B518" s="23">
        <v>55</v>
      </c>
      <c r="C518" s="6">
        <v>0</v>
      </c>
      <c r="D518" s="6">
        <v>1</v>
      </c>
      <c r="E518" s="23">
        <v>0</v>
      </c>
      <c r="F518" s="24">
        <v>42552</v>
      </c>
      <c r="G518" s="23" t="s">
        <v>33</v>
      </c>
      <c r="H518" s="24">
        <v>42567</v>
      </c>
      <c r="I518" s="6" t="s">
        <v>59</v>
      </c>
    </row>
    <row r="519" spans="1:9" x14ac:dyDescent="0.2">
      <c r="A519" s="23" t="s">
        <v>231</v>
      </c>
      <c r="B519" s="23">
        <v>25</v>
      </c>
      <c r="C519" s="6">
        <v>0</v>
      </c>
      <c r="D519" s="6">
        <v>1</v>
      </c>
      <c r="E519" s="23">
        <v>0</v>
      </c>
      <c r="F519" s="24">
        <v>42552</v>
      </c>
      <c r="G519" s="23" t="s">
        <v>33</v>
      </c>
      <c r="H519" s="24">
        <v>42568</v>
      </c>
      <c r="I519" s="6" t="s">
        <v>56</v>
      </c>
    </row>
    <row r="520" spans="1:9" x14ac:dyDescent="0.2">
      <c r="A520" s="23" t="s">
        <v>58</v>
      </c>
      <c r="B520" s="23">
        <v>33.96</v>
      </c>
      <c r="C520" s="6">
        <v>0</v>
      </c>
      <c r="D520" s="6">
        <v>1</v>
      </c>
      <c r="E520" s="23">
        <v>0</v>
      </c>
      <c r="F520" s="24">
        <v>42552</v>
      </c>
      <c r="G520" s="23" t="s">
        <v>33</v>
      </c>
      <c r="H520" s="24">
        <v>42567</v>
      </c>
      <c r="I520" s="6" t="s">
        <v>58</v>
      </c>
    </row>
    <row r="521" spans="1:9" x14ac:dyDescent="0.2">
      <c r="A521" s="23" t="s">
        <v>60</v>
      </c>
      <c r="B521" s="23">
        <v>18.96</v>
      </c>
      <c r="C521" s="6">
        <v>0</v>
      </c>
      <c r="D521" s="6">
        <v>1</v>
      </c>
      <c r="E521" s="23">
        <v>0</v>
      </c>
      <c r="F521" s="24">
        <v>42552</v>
      </c>
      <c r="G521" s="23" t="s">
        <v>33</v>
      </c>
      <c r="H521" s="24">
        <v>42568</v>
      </c>
      <c r="I521" s="6" t="s">
        <v>60</v>
      </c>
    </row>
    <row r="522" spans="1:9" x14ac:dyDescent="0.2">
      <c r="A522" s="23" t="s">
        <v>70</v>
      </c>
      <c r="B522" s="23">
        <v>10</v>
      </c>
      <c r="C522" s="6">
        <v>0</v>
      </c>
      <c r="D522" s="6">
        <v>1</v>
      </c>
      <c r="E522" s="23">
        <v>0</v>
      </c>
      <c r="F522" s="24">
        <v>42552</v>
      </c>
      <c r="G522" s="23" t="s">
        <v>81</v>
      </c>
      <c r="H522" s="24">
        <v>42569</v>
      </c>
      <c r="I522" s="6" t="s">
        <v>63</v>
      </c>
    </row>
    <row r="523" spans="1:9" x14ac:dyDescent="0.2">
      <c r="A523" s="23" t="s">
        <v>149</v>
      </c>
      <c r="B523" s="23">
        <v>35</v>
      </c>
      <c r="C523" s="6">
        <v>0</v>
      </c>
      <c r="D523" s="6">
        <v>1</v>
      </c>
      <c r="E523" s="23">
        <v>0</v>
      </c>
      <c r="F523" s="24">
        <v>42552</v>
      </c>
      <c r="G523" s="23" t="s">
        <v>33</v>
      </c>
      <c r="H523" s="24">
        <v>42567</v>
      </c>
      <c r="I523" s="6" t="s">
        <v>150</v>
      </c>
    </row>
    <row r="524" spans="1:9" x14ac:dyDescent="0.2">
      <c r="A524" s="23" t="s">
        <v>232</v>
      </c>
      <c r="B524" s="23">
        <v>20</v>
      </c>
      <c r="C524" s="6">
        <v>0</v>
      </c>
      <c r="D524" s="6">
        <v>1</v>
      </c>
      <c r="E524" s="23">
        <v>0</v>
      </c>
      <c r="F524" s="24">
        <v>42552</v>
      </c>
      <c r="G524" s="23" t="s">
        <v>81</v>
      </c>
      <c r="H524" s="24">
        <v>42570</v>
      </c>
      <c r="I524" s="6" t="s">
        <v>103</v>
      </c>
    </row>
    <row r="525" spans="1:9" x14ac:dyDescent="0.2">
      <c r="A525" s="23" t="s">
        <v>233</v>
      </c>
      <c r="B525" s="23">
        <v>65</v>
      </c>
      <c r="C525" s="6">
        <v>0</v>
      </c>
      <c r="D525" s="6">
        <v>1</v>
      </c>
      <c r="E525" s="23">
        <v>0</v>
      </c>
      <c r="F525" s="24">
        <v>42552</v>
      </c>
      <c r="G525" s="23" t="s">
        <v>81</v>
      </c>
      <c r="H525" s="24">
        <v>42570</v>
      </c>
      <c r="I525" s="6" t="s">
        <v>103</v>
      </c>
    </row>
    <row r="526" spans="1:9" x14ac:dyDescent="0.2">
      <c r="A526" s="23" t="s">
        <v>234</v>
      </c>
      <c r="B526" s="23">
        <v>29</v>
      </c>
      <c r="C526" s="6">
        <v>0</v>
      </c>
      <c r="D526" s="6">
        <v>1</v>
      </c>
      <c r="E526" s="23">
        <v>0</v>
      </c>
      <c r="F526" s="24">
        <v>42552</v>
      </c>
      <c r="G526" s="23" t="s">
        <v>81</v>
      </c>
      <c r="H526" s="24">
        <v>42570</v>
      </c>
      <c r="I526" s="6" t="s">
        <v>96</v>
      </c>
    </row>
    <row r="527" spans="1:9" x14ac:dyDescent="0.2">
      <c r="A527" s="23" t="s">
        <v>82</v>
      </c>
      <c r="B527" s="23">
        <v>15.49</v>
      </c>
      <c r="C527" s="6">
        <v>0</v>
      </c>
      <c r="D527" s="6">
        <v>1</v>
      </c>
      <c r="E527" s="23">
        <v>0</v>
      </c>
      <c r="F527" s="24">
        <v>42552</v>
      </c>
      <c r="G527" s="23" t="s">
        <v>81</v>
      </c>
      <c r="H527" s="24">
        <v>42571</v>
      </c>
      <c r="I527" s="6" t="s">
        <v>82</v>
      </c>
    </row>
    <row r="528" spans="1:9" x14ac:dyDescent="0.2">
      <c r="A528" s="23" t="s">
        <v>92</v>
      </c>
      <c r="B528" s="23">
        <v>4.9000000000000004</v>
      </c>
      <c r="C528" s="6">
        <v>0</v>
      </c>
      <c r="D528" s="6">
        <v>1</v>
      </c>
      <c r="E528" s="23">
        <v>0</v>
      </c>
      <c r="F528" s="24">
        <v>42552</v>
      </c>
      <c r="G528" s="23" t="s">
        <v>81</v>
      </c>
      <c r="H528" s="24">
        <v>42571</v>
      </c>
      <c r="I528" s="6" t="s">
        <v>63</v>
      </c>
    </row>
    <row r="529" spans="1:9" x14ac:dyDescent="0.2">
      <c r="A529" s="23" t="s">
        <v>64</v>
      </c>
      <c r="B529" s="23">
        <v>5</v>
      </c>
      <c r="C529" s="6">
        <v>0</v>
      </c>
      <c r="D529" s="6">
        <v>1</v>
      </c>
      <c r="E529" s="23">
        <v>0</v>
      </c>
      <c r="F529" s="24">
        <v>42552</v>
      </c>
      <c r="G529" s="23" t="s">
        <v>81</v>
      </c>
      <c r="H529" s="24">
        <v>42571</v>
      </c>
      <c r="I529" s="6" t="s">
        <v>63</v>
      </c>
    </row>
    <row r="530" spans="1:9" x14ac:dyDescent="0.2">
      <c r="A530" s="23" t="s">
        <v>58</v>
      </c>
      <c r="B530" s="23">
        <v>12.31</v>
      </c>
      <c r="C530" s="6">
        <v>0</v>
      </c>
      <c r="D530" s="6">
        <v>1</v>
      </c>
      <c r="E530" s="23">
        <v>0</v>
      </c>
      <c r="F530" s="24">
        <v>42552</v>
      </c>
      <c r="G530" s="23" t="s">
        <v>81</v>
      </c>
      <c r="H530" s="24">
        <v>42572</v>
      </c>
      <c r="I530" s="6" t="s">
        <v>58</v>
      </c>
    </row>
    <row r="531" spans="1:9" x14ac:dyDescent="0.2">
      <c r="A531" s="23" t="s">
        <v>73</v>
      </c>
      <c r="B531" s="23">
        <v>9.39</v>
      </c>
      <c r="C531" s="6">
        <v>0</v>
      </c>
      <c r="D531" s="6">
        <v>1</v>
      </c>
      <c r="E531" s="23">
        <v>0</v>
      </c>
      <c r="F531" s="24">
        <v>42552</v>
      </c>
      <c r="G531" s="23" t="s">
        <v>81</v>
      </c>
      <c r="H531" s="24">
        <v>42572</v>
      </c>
      <c r="I531" s="6" t="s">
        <v>73</v>
      </c>
    </row>
    <row r="532" spans="1:9" x14ac:dyDescent="0.2">
      <c r="A532" s="23" t="s">
        <v>74</v>
      </c>
      <c r="B532" s="23">
        <v>7.99</v>
      </c>
      <c r="C532" s="6">
        <v>0</v>
      </c>
      <c r="D532" s="6">
        <v>1</v>
      </c>
      <c r="E532" s="23">
        <v>0</v>
      </c>
      <c r="F532" s="24">
        <v>42552</v>
      </c>
      <c r="G532" s="23" t="s">
        <v>81</v>
      </c>
      <c r="H532" s="24">
        <v>42572</v>
      </c>
      <c r="I532" s="6" t="s">
        <v>63</v>
      </c>
    </row>
    <row r="533" spans="1:9" x14ac:dyDescent="0.2">
      <c r="A533" s="23" t="s">
        <v>235</v>
      </c>
      <c r="B533" s="23">
        <v>15.19</v>
      </c>
      <c r="C533" s="6">
        <v>0</v>
      </c>
      <c r="D533" s="6">
        <v>1</v>
      </c>
      <c r="E533" s="23">
        <v>0</v>
      </c>
      <c r="F533" s="24">
        <v>42552</v>
      </c>
      <c r="G533" s="23" t="s">
        <v>81</v>
      </c>
      <c r="H533" s="24">
        <v>42572</v>
      </c>
      <c r="I533" s="6" t="s">
        <v>63</v>
      </c>
    </row>
    <row r="534" spans="1:9" x14ac:dyDescent="0.2">
      <c r="A534" s="23" t="s">
        <v>191</v>
      </c>
      <c r="B534" s="23">
        <v>157.80000000000001</v>
      </c>
      <c r="C534" s="6">
        <v>0</v>
      </c>
      <c r="D534" s="6">
        <v>1</v>
      </c>
      <c r="E534" s="23">
        <v>0</v>
      </c>
      <c r="F534" s="24">
        <v>42552</v>
      </c>
      <c r="G534" s="23" t="s">
        <v>81</v>
      </c>
      <c r="H534" s="24">
        <v>42573</v>
      </c>
      <c r="I534" s="3" t="s">
        <v>150</v>
      </c>
    </row>
    <row r="535" spans="1:9" x14ac:dyDescent="0.2">
      <c r="A535" s="23" t="s">
        <v>58</v>
      </c>
      <c r="B535" s="23">
        <v>33.590000000000003</v>
      </c>
      <c r="C535" s="6">
        <v>0</v>
      </c>
      <c r="D535" s="6">
        <v>1</v>
      </c>
      <c r="E535" s="23">
        <v>0</v>
      </c>
      <c r="F535" s="24">
        <v>42552</v>
      </c>
      <c r="G535" s="23" t="s">
        <v>33</v>
      </c>
      <c r="H535" s="24">
        <v>42575</v>
      </c>
      <c r="I535" s="6" t="s">
        <v>58</v>
      </c>
    </row>
    <row r="536" spans="1:9" x14ac:dyDescent="0.2">
      <c r="A536" s="23" t="s">
        <v>236</v>
      </c>
      <c r="B536" s="23">
        <v>35</v>
      </c>
      <c r="C536" s="6">
        <v>0</v>
      </c>
      <c r="D536" s="6">
        <v>1</v>
      </c>
      <c r="E536" s="23">
        <v>0</v>
      </c>
      <c r="F536" s="24">
        <v>42552</v>
      </c>
      <c r="G536" s="23" t="s">
        <v>33</v>
      </c>
      <c r="H536" s="24">
        <v>42575</v>
      </c>
      <c r="I536" s="6" t="s">
        <v>82</v>
      </c>
    </row>
    <row r="537" spans="1:9" x14ac:dyDescent="0.2">
      <c r="A537" s="23" t="s">
        <v>60</v>
      </c>
      <c r="B537" s="23">
        <v>49.36</v>
      </c>
      <c r="C537" s="6">
        <v>0</v>
      </c>
      <c r="D537" s="6">
        <v>1</v>
      </c>
      <c r="E537" s="23">
        <v>0</v>
      </c>
      <c r="F537" s="24">
        <v>42552</v>
      </c>
      <c r="G537" s="23" t="s">
        <v>33</v>
      </c>
      <c r="H537" s="24">
        <v>42575</v>
      </c>
      <c r="I537" s="6" t="s">
        <v>60</v>
      </c>
    </row>
    <row r="538" spans="1:9" x14ac:dyDescent="0.2">
      <c r="A538" s="23" t="s">
        <v>73</v>
      </c>
      <c r="B538" s="23">
        <v>84.13</v>
      </c>
      <c r="C538" s="6">
        <v>0</v>
      </c>
      <c r="D538" s="6">
        <v>1</v>
      </c>
      <c r="E538" s="23">
        <v>0</v>
      </c>
      <c r="F538" s="24">
        <v>42552</v>
      </c>
      <c r="G538" s="23" t="s">
        <v>33</v>
      </c>
      <c r="H538" s="24">
        <v>42575</v>
      </c>
      <c r="I538" s="6" t="s">
        <v>73</v>
      </c>
    </row>
    <row r="539" spans="1:9" x14ac:dyDescent="0.2">
      <c r="A539" s="23" t="s">
        <v>65</v>
      </c>
      <c r="B539" s="23">
        <v>6.8</v>
      </c>
      <c r="C539" s="6">
        <v>0</v>
      </c>
      <c r="D539" s="6">
        <v>1</v>
      </c>
      <c r="E539" s="23">
        <v>0</v>
      </c>
      <c r="F539" s="24">
        <v>42552</v>
      </c>
      <c r="G539" s="23" t="s">
        <v>88</v>
      </c>
      <c r="H539" s="24">
        <v>42577</v>
      </c>
      <c r="I539" s="6" t="s">
        <v>63</v>
      </c>
    </row>
    <row r="540" spans="1:9" x14ac:dyDescent="0.2">
      <c r="A540" s="23" t="s">
        <v>64</v>
      </c>
      <c r="B540" s="23">
        <v>5</v>
      </c>
      <c r="C540" s="6">
        <v>0</v>
      </c>
      <c r="D540" s="6">
        <v>1</v>
      </c>
      <c r="E540" s="23">
        <v>0</v>
      </c>
      <c r="F540" s="24">
        <v>42552</v>
      </c>
      <c r="G540" s="23" t="s">
        <v>88</v>
      </c>
      <c r="H540" s="24">
        <v>42577</v>
      </c>
      <c r="I540" s="6" t="s">
        <v>63</v>
      </c>
    </row>
    <row r="541" spans="1:9" x14ac:dyDescent="0.2">
      <c r="A541" s="23" t="s">
        <v>64</v>
      </c>
      <c r="B541" s="23">
        <v>7.5</v>
      </c>
      <c r="C541" s="6">
        <v>0</v>
      </c>
      <c r="D541" s="6">
        <v>1</v>
      </c>
      <c r="E541" s="23">
        <v>0</v>
      </c>
      <c r="F541" s="24">
        <v>42552</v>
      </c>
      <c r="G541" s="23" t="s">
        <v>88</v>
      </c>
      <c r="H541" s="24">
        <v>42577</v>
      </c>
      <c r="I541" s="6" t="s">
        <v>63</v>
      </c>
    </row>
    <row r="542" spans="1:9" x14ac:dyDescent="0.2">
      <c r="A542" s="23" t="s">
        <v>237</v>
      </c>
      <c r="B542" s="23">
        <v>35.5</v>
      </c>
      <c r="C542" s="6">
        <v>0</v>
      </c>
      <c r="D542" s="6">
        <v>1</v>
      </c>
      <c r="E542" s="23">
        <v>0</v>
      </c>
      <c r="F542" s="24">
        <v>42552</v>
      </c>
      <c r="G542" s="23" t="s">
        <v>88</v>
      </c>
      <c r="H542" s="24">
        <v>42580</v>
      </c>
      <c r="I542" s="6" t="s">
        <v>82</v>
      </c>
    </row>
    <row r="543" spans="1:9" x14ac:dyDescent="0.2">
      <c r="A543" s="23" t="s">
        <v>237</v>
      </c>
      <c r="B543" s="23">
        <v>8.5</v>
      </c>
      <c r="C543" s="6">
        <v>0</v>
      </c>
      <c r="D543" s="6">
        <v>1</v>
      </c>
      <c r="E543" s="23">
        <v>0</v>
      </c>
      <c r="F543" s="24">
        <v>42552</v>
      </c>
      <c r="G543" s="23" t="s">
        <v>88</v>
      </c>
      <c r="H543" s="24">
        <v>42580</v>
      </c>
      <c r="I543" s="6" t="s">
        <v>82</v>
      </c>
    </row>
    <row r="544" spans="1:9" x14ac:dyDescent="0.2">
      <c r="A544" s="23" t="s">
        <v>238</v>
      </c>
      <c r="B544" s="23">
        <v>50</v>
      </c>
      <c r="C544" s="6">
        <v>0</v>
      </c>
      <c r="D544" s="6">
        <v>1</v>
      </c>
      <c r="E544" s="23">
        <v>0</v>
      </c>
      <c r="F544" s="24">
        <v>42552</v>
      </c>
      <c r="G544" s="23" t="s">
        <v>88</v>
      </c>
      <c r="H544" s="24">
        <v>42580</v>
      </c>
      <c r="I544" s="6" t="s">
        <v>68</v>
      </c>
    </row>
    <row r="545" spans="1:9" x14ac:dyDescent="0.2">
      <c r="A545" s="23" t="s">
        <v>239</v>
      </c>
      <c r="B545" s="23">
        <v>70</v>
      </c>
      <c r="C545" s="6">
        <v>0</v>
      </c>
      <c r="D545" s="6">
        <v>1</v>
      </c>
      <c r="E545" s="23">
        <v>0</v>
      </c>
      <c r="F545" s="24">
        <v>42552</v>
      </c>
      <c r="G545" s="23" t="s">
        <v>88</v>
      </c>
      <c r="H545" s="24">
        <v>42579</v>
      </c>
      <c r="I545" s="6" t="s">
        <v>96</v>
      </c>
    </row>
    <row r="546" spans="1:9" x14ac:dyDescent="0.2">
      <c r="A546" s="23" t="s">
        <v>64</v>
      </c>
      <c r="B546" s="23">
        <v>11.4</v>
      </c>
      <c r="C546" s="6">
        <v>0</v>
      </c>
      <c r="D546" s="6">
        <v>1</v>
      </c>
      <c r="E546" s="23">
        <v>0</v>
      </c>
      <c r="F546" s="24">
        <v>42552</v>
      </c>
      <c r="G546" s="23" t="s">
        <v>88</v>
      </c>
      <c r="H546" s="24">
        <v>42579</v>
      </c>
      <c r="I546" s="6" t="s">
        <v>63</v>
      </c>
    </row>
    <row r="547" spans="1:9" x14ac:dyDescent="0.2">
      <c r="A547" s="23" t="s">
        <v>65</v>
      </c>
      <c r="B547" s="23">
        <v>4</v>
      </c>
      <c r="C547" s="6">
        <v>0</v>
      </c>
      <c r="D547" s="6">
        <v>1</v>
      </c>
      <c r="E547" s="23">
        <v>0</v>
      </c>
      <c r="F547" s="24">
        <v>42552</v>
      </c>
      <c r="G547" s="23" t="s">
        <v>88</v>
      </c>
      <c r="H547" s="24">
        <v>42579</v>
      </c>
      <c r="I547" s="6" t="s">
        <v>63</v>
      </c>
    </row>
    <row r="548" spans="1:9" x14ac:dyDescent="0.2">
      <c r="A548" s="23" t="s">
        <v>240</v>
      </c>
      <c r="B548" s="23">
        <v>3</v>
      </c>
      <c r="C548" s="6">
        <v>0</v>
      </c>
      <c r="D548" s="6">
        <v>1</v>
      </c>
      <c r="E548" s="23">
        <v>0</v>
      </c>
      <c r="F548" s="24">
        <v>42552</v>
      </c>
      <c r="G548" s="23" t="s">
        <v>88</v>
      </c>
      <c r="H548" s="24">
        <v>42579</v>
      </c>
      <c r="I548" s="6" t="s">
        <v>63</v>
      </c>
    </row>
    <row r="549" spans="1:9" x14ac:dyDescent="0.2">
      <c r="A549" s="23" t="s">
        <v>175</v>
      </c>
      <c r="B549" s="23">
        <v>40</v>
      </c>
      <c r="C549" s="6">
        <v>0</v>
      </c>
      <c r="D549" s="6">
        <v>1</v>
      </c>
      <c r="E549" s="23">
        <v>0</v>
      </c>
      <c r="F549" s="24">
        <v>42552</v>
      </c>
      <c r="G549" s="23" t="s">
        <v>88</v>
      </c>
      <c r="H549" s="24">
        <v>42581</v>
      </c>
      <c r="I549" s="6" t="s">
        <v>165</v>
      </c>
    </row>
    <row r="550" spans="1:9" x14ac:dyDescent="0.2">
      <c r="A550" s="16" t="s">
        <v>145</v>
      </c>
      <c r="B550" s="16">
        <v>570.88</v>
      </c>
      <c r="C550" s="16">
        <v>1</v>
      </c>
      <c r="D550" s="16">
        <v>0</v>
      </c>
      <c r="E550" s="16">
        <v>0</v>
      </c>
      <c r="F550" s="17">
        <v>42583</v>
      </c>
      <c r="G550" s="16" t="s">
        <v>27</v>
      </c>
      <c r="H550" s="17">
        <v>42583</v>
      </c>
      <c r="I550" s="16" t="s">
        <v>51</v>
      </c>
    </row>
    <row r="551" spans="1:9" x14ac:dyDescent="0.2">
      <c r="A551" s="16" t="s">
        <v>146</v>
      </c>
      <c r="B551" s="16">
        <v>1058.0999999999999</v>
      </c>
      <c r="C551" s="16">
        <v>1</v>
      </c>
      <c r="D551" s="16">
        <v>0</v>
      </c>
      <c r="E551" s="16">
        <v>0</v>
      </c>
      <c r="F551" s="17">
        <v>42583</v>
      </c>
      <c r="G551" s="16" t="s">
        <v>27</v>
      </c>
      <c r="H551" s="17">
        <v>42583</v>
      </c>
      <c r="I551" s="16" t="s">
        <v>51</v>
      </c>
    </row>
    <row r="552" spans="1:9" x14ac:dyDescent="0.2">
      <c r="A552" s="16" t="s">
        <v>142</v>
      </c>
      <c r="B552" s="16">
        <v>9.27</v>
      </c>
      <c r="C552" s="16">
        <v>1</v>
      </c>
      <c r="D552" s="16">
        <v>0</v>
      </c>
      <c r="E552" s="16">
        <v>0</v>
      </c>
      <c r="F552" s="17">
        <v>42583</v>
      </c>
      <c r="G552" s="16" t="s">
        <v>27</v>
      </c>
      <c r="H552" s="17">
        <v>42583</v>
      </c>
      <c r="I552" s="16" t="s">
        <v>51</v>
      </c>
    </row>
    <row r="553" spans="1:9" x14ac:dyDescent="0.2">
      <c r="A553" s="16" t="s">
        <v>160</v>
      </c>
      <c r="B553" s="16">
        <v>36.96</v>
      </c>
      <c r="C553" s="16">
        <v>1</v>
      </c>
      <c r="D553" s="16">
        <v>0</v>
      </c>
      <c r="E553" s="16">
        <v>0</v>
      </c>
      <c r="F553" s="17">
        <v>42583</v>
      </c>
      <c r="G553" s="16" t="s">
        <v>27</v>
      </c>
      <c r="H553" s="17">
        <v>42583</v>
      </c>
      <c r="I553" s="16" t="s">
        <v>51</v>
      </c>
    </row>
    <row r="554" spans="1:9" x14ac:dyDescent="0.2">
      <c r="A554" s="16" t="s">
        <v>210</v>
      </c>
      <c r="B554" s="16">
        <v>121.62</v>
      </c>
      <c r="C554" s="16">
        <v>1</v>
      </c>
      <c r="D554" s="16">
        <v>0</v>
      </c>
      <c r="E554" s="16">
        <v>0</v>
      </c>
      <c r="F554" s="17">
        <v>42583</v>
      </c>
      <c r="G554" s="16" t="s">
        <v>27</v>
      </c>
      <c r="H554" s="17">
        <v>42583</v>
      </c>
      <c r="I554" s="16" t="s">
        <v>51</v>
      </c>
    </row>
    <row r="555" spans="1:9" x14ac:dyDescent="0.2">
      <c r="A555" s="16" t="s">
        <v>211</v>
      </c>
      <c r="B555" s="16">
        <v>72.97</v>
      </c>
      <c r="C555" s="16">
        <v>1</v>
      </c>
      <c r="D555" s="16">
        <v>0</v>
      </c>
      <c r="E555" s="16">
        <v>0</v>
      </c>
      <c r="F555" s="17">
        <v>42583</v>
      </c>
      <c r="G555" s="16" t="s">
        <v>27</v>
      </c>
      <c r="H555" s="17">
        <v>42583</v>
      </c>
      <c r="I555" s="16" t="s">
        <v>51</v>
      </c>
    </row>
    <row r="556" spans="1:9" x14ac:dyDescent="0.2">
      <c r="A556" s="16" t="s">
        <v>162</v>
      </c>
      <c r="B556" s="16">
        <v>30</v>
      </c>
      <c r="C556" s="16">
        <v>1</v>
      </c>
      <c r="D556" s="16">
        <v>0</v>
      </c>
      <c r="E556" s="16">
        <v>0</v>
      </c>
      <c r="F556" s="17">
        <v>42583</v>
      </c>
      <c r="G556" s="16" t="s">
        <v>27</v>
      </c>
      <c r="H556" s="17">
        <v>42583</v>
      </c>
      <c r="I556" s="16" t="s">
        <v>51</v>
      </c>
    </row>
    <row r="557" spans="1:9" x14ac:dyDescent="0.2">
      <c r="A557" s="16" t="s">
        <v>144</v>
      </c>
      <c r="B557" s="16">
        <v>17.850000000000001</v>
      </c>
      <c r="C557" s="16">
        <v>1</v>
      </c>
      <c r="D557" s="16">
        <v>0</v>
      </c>
      <c r="E557" s="16">
        <v>0</v>
      </c>
      <c r="F557" s="17">
        <v>42583</v>
      </c>
      <c r="G557" s="16" t="s">
        <v>27</v>
      </c>
      <c r="H557" s="17">
        <v>42583</v>
      </c>
      <c r="I557" s="16" t="s">
        <v>51</v>
      </c>
    </row>
    <row r="558" spans="1:9" x14ac:dyDescent="0.2">
      <c r="A558" s="3" t="s">
        <v>179</v>
      </c>
      <c r="B558" s="3">
        <v>51</v>
      </c>
      <c r="C558" s="3">
        <v>1</v>
      </c>
      <c r="D558" s="3">
        <v>0</v>
      </c>
      <c r="E558" s="16">
        <v>0</v>
      </c>
      <c r="F558" s="17">
        <v>42583</v>
      </c>
      <c r="G558" s="16" t="s">
        <v>27</v>
      </c>
      <c r="H558" s="17">
        <v>42584</v>
      </c>
      <c r="I558" s="3" t="s">
        <v>28</v>
      </c>
    </row>
    <row r="559" spans="1:9" x14ac:dyDescent="0.2">
      <c r="A559" s="3" t="s">
        <v>32</v>
      </c>
      <c r="B559" s="3">
        <v>358.53</v>
      </c>
      <c r="C559" s="3">
        <v>1</v>
      </c>
      <c r="D559" s="3">
        <v>0</v>
      </c>
      <c r="E559" s="16">
        <v>0</v>
      </c>
      <c r="F559" s="17">
        <v>42583</v>
      </c>
      <c r="G559" s="16" t="s">
        <v>27</v>
      </c>
      <c r="H559" s="17">
        <v>42583</v>
      </c>
      <c r="I559" s="3" t="s">
        <v>34</v>
      </c>
    </row>
    <row r="560" spans="1:9" x14ac:dyDescent="0.2">
      <c r="A560" s="16" t="s">
        <v>44</v>
      </c>
      <c r="B560" s="16">
        <v>0</v>
      </c>
      <c r="C560" s="16">
        <v>1</v>
      </c>
      <c r="D560" s="16">
        <v>0</v>
      </c>
      <c r="E560" s="16">
        <v>1</v>
      </c>
      <c r="F560" s="17">
        <v>42583</v>
      </c>
      <c r="G560" s="16"/>
      <c r="H560" s="17"/>
      <c r="I560" s="16" t="s">
        <v>34</v>
      </c>
    </row>
    <row r="561" spans="1:9" x14ac:dyDescent="0.2">
      <c r="A561" s="3" t="s">
        <v>45</v>
      </c>
      <c r="B561" s="3">
        <v>100.53</v>
      </c>
      <c r="C561" s="3">
        <v>1</v>
      </c>
      <c r="D561" s="3">
        <v>0</v>
      </c>
      <c r="E561" s="16">
        <v>0</v>
      </c>
      <c r="F561" s="17">
        <v>42583</v>
      </c>
      <c r="G561" s="16" t="s">
        <v>27</v>
      </c>
      <c r="H561" s="17">
        <v>42583</v>
      </c>
      <c r="I561" s="3" t="s">
        <v>34</v>
      </c>
    </row>
    <row r="562" spans="1:9" x14ac:dyDescent="0.2">
      <c r="A562" s="16" t="s">
        <v>31</v>
      </c>
      <c r="B562" s="16">
        <v>45.2</v>
      </c>
      <c r="C562" s="16">
        <v>1</v>
      </c>
      <c r="D562" s="16">
        <v>0</v>
      </c>
      <c r="E562" s="16">
        <v>0</v>
      </c>
      <c r="F562" s="17">
        <v>42583</v>
      </c>
      <c r="G562" s="16" t="s">
        <v>42</v>
      </c>
      <c r="H562" s="17">
        <v>42592</v>
      </c>
      <c r="I562" s="16" t="s">
        <v>28</v>
      </c>
    </row>
    <row r="563" spans="1:9" x14ac:dyDescent="0.2">
      <c r="A563" s="16" t="s">
        <v>46</v>
      </c>
      <c r="B563" s="16">
        <f>SUMIFS(credito!$B$2:$B$380,credito!$F$2:$F$380,F563,credito!$G$2:$G$380,0)</f>
        <v>3159.7533333333336</v>
      </c>
      <c r="C563" s="16">
        <v>1</v>
      </c>
      <c r="D563" s="16">
        <v>0</v>
      </c>
      <c r="E563" s="16">
        <v>0</v>
      </c>
      <c r="F563" s="17">
        <v>42583</v>
      </c>
      <c r="G563" s="16" t="s">
        <v>27</v>
      </c>
      <c r="H563" s="17">
        <v>42585</v>
      </c>
      <c r="I563" s="16" t="s">
        <v>47</v>
      </c>
    </row>
    <row r="564" spans="1:9" x14ac:dyDescent="0.2">
      <c r="A564" s="16" t="s">
        <v>35</v>
      </c>
      <c r="B564" s="16">
        <v>610.48</v>
      </c>
      <c r="C564" s="16">
        <v>1</v>
      </c>
      <c r="D564" s="16">
        <v>0</v>
      </c>
      <c r="E564" s="16">
        <v>0</v>
      </c>
      <c r="F564" s="17">
        <v>42583</v>
      </c>
      <c r="G564" s="16" t="s">
        <v>81</v>
      </c>
      <c r="H564" s="17">
        <v>42597</v>
      </c>
      <c r="I564" s="16" t="s">
        <v>36</v>
      </c>
    </row>
    <row r="565" spans="1:9" x14ac:dyDescent="0.2">
      <c r="A565" s="16" t="s">
        <v>37</v>
      </c>
      <c r="B565" s="16">
        <v>0</v>
      </c>
      <c r="C565" s="16">
        <v>1</v>
      </c>
      <c r="D565" s="16">
        <v>0</v>
      </c>
      <c r="E565" s="16">
        <v>1</v>
      </c>
      <c r="F565" s="17">
        <v>42583</v>
      </c>
      <c r="G565" s="16"/>
      <c r="H565" s="17"/>
      <c r="I565" s="16" t="s">
        <v>37</v>
      </c>
    </row>
    <row r="566" spans="1:9" x14ac:dyDescent="0.2">
      <c r="A566" s="16" t="s">
        <v>41</v>
      </c>
      <c r="B566" s="16">
        <v>20</v>
      </c>
      <c r="C566" s="16">
        <v>1</v>
      </c>
      <c r="D566" s="16">
        <v>0</v>
      </c>
      <c r="E566" s="16">
        <v>0</v>
      </c>
      <c r="F566" s="17">
        <v>42583</v>
      </c>
      <c r="G566" s="16" t="s">
        <v>27</v>
      </c>
      <c r="H566" s="17">
        <v>42586</v>
      </c>
      <c r="I566" s="16" t="s">
        <v>43</v>
      </c>
    </row>
    <row r="567" spans="1:9" x14ac:dyDescent="0.2">
      <c r="A567" s="16" t="s">
        <v>41</v>
      </c>
      <c r="B567" s="16">
        <v>60</v>
      </c>
      <c r="C567" s="16">
        <v>1</v>
      </c>
      <c r="D567" s="16">
        <v>0</v>
      </c>
      <c r="E567" s="16">
        <v>0</v>
      </c>
      <c r="F567" s="17">
        <v>42583</v>
      </c>
      <c r="G567" s="16" t="s">
        <v>42</v>
      </c>
      <c r="H567" s="17">
        <v>42590</v>
      </c>
      <c r="I567" s="16" t="s">
        <v>43</v>
      </c>
    </row>
    <row r="568" spans="1:9" x14ac:dyDescent="0.2">
      <c r="A568" s="16" t="s">
        <v>111</v>
      </c>
      <c r="B568" s="16">
        <v>32</v>
      </c>
      <c r="C568" s="16">
        <v>1</v>
      </c>
      <c r="D568" s="16">
        <v>0</v>
      </c>
      <c r="E568" s="16">
        <v>1</v>
      </c>
      <c r="F568" s="17">
        <v>42583</v>
      </c>
      <c r="G568" s="16"/>
      <c r="H568" s="17"/>
      <c r="I568" s="16" t="s">
        <v>34</v>
      </c>
    </row>
    <row r="569" spans="1:9" x14ac:dyDescent="0.2">
      <c r="A569" s="16" t="s">
        <v>26</v>
      </c>
      <c r="B569" s="16">
        <v>5.79</v>
      </c>
      <c r="C569" s="16">
        <v>1</v>
      </c>
      <c r="D569" s="16">
        <v>0</v>
      </c>
      <c r="E569" s="16">
        <v>0</v>
      </c>
      <c r="F569" s="17">
        <v>42583</v>
      </c>
      <c r="G569" s="16" t="s">
        <v>42</v>
      </c>
      <c r="H569" s="17">
        <v>42592</v>
      </c>
      <c r="I569" s="16" t="s">
        <v>28</v>
      </c>
    </row>
    <row r="570" spans="1:9" x14ac:dyDescent="0.2">
      <c r="A570" s="16" t="s">
        <v>29</v>
      </c>
      <c r="B570" s="16">
        <v>50</v>
      </c>
      <c r="C570" s="16">
        <v>1</v>
      </c>
      <c r="D570" s="16">
        <v>0</v>
      </c>
      <c r="E570" s="16">
        <v>0</v>
      </c>
      <c r="F570" s="17">
        <v>42583</v>
      </c>
      <c r="G570" s="16" t="s">
        <v>81</v>
      </c>
      <c r="H570" s="17">
        <v>42597</v>
      </c>
      <c r="I570" s="6" t="s">
        <v>615</v>
      </c>
    </row>
    <row r="571" spans="1:9" x14ac:dyDescent="0.2">
      <c r="A571" s="3" t="s">
        <v>177</v>
      </c>
      <c r="B571" s="3">
        <v>0</v>
      </c>
      <c r="C571" s="3">
        <v>0</v>
      </c>
      <c r="D571" s="3">
        <v>1</v>
      </c>
      <c r="E571" s="16">
        <v>1</v>
      </c>
      <c r="F571" s="17">
        <v>42583</v>
      </c>
      <c r="G571" s="16"/>
      <c r="H571" s="17"/>
      <c r="I571" s="3" t="s">
        <v>178</v>
      </c>
    </row>
    <row r="572" spans="1:9" x14ac:dyDescent="0.2">
      <c r="A572" s="16" t="s">
        <v>125</v>
      </c>
      <c r="B572" s="16">
        <v>200</v>
      </c>
      <c r="C572" s="3">
        <v>0</v>
      </c>
      <c r="D572" s="3">
        <v>1</v>
      </c>
      <c r="E572" s="16">
        <v>0</v>
      </c>
      <c r="F572" s="17">
        <v>42583</v>
      </c>
      <c r="G572" s="16" t="s">
        <v>27</v>
      </c>
      <c r="H572" s="17">
        <v>42586</v>
      </c>
      <c r="I572" s="3" t="s">
        <v>150</v>
      </c>
    </row>
    <row r="573" spans="1:9" x14ac:dyDescent="0.2">
      <c r="A573" s="16" t="s">
        <v>241</v>
      </c>
      <c r="B573" s="16">
        <v>375.34</v>
      </c>
      <c r="C573" s="3">
        <v>0</v>
      </c>
      <c r="D573" s="3">
        <v>1</v>
      </c>
      <c r="E573" s="16">
        <v>0</v>
      </c>
      <c r="F573" s="17">
        <v>42583</v>
      </c>
      <c r="G573" s="16" t="s">
        <v>27</v>
      </c>
      <c r="H573" s="17">
        <v>42597</v>
      </c>
      <c r="I573" s="16" t="s">
        <v>103</v>
      </c>
    </row>
    <row r="574" spans="1:9" x14ac:dyDescent="0.2">
      <c r="A574" s="16" t="s">
        <v>58</v>
      </c>
      <c r="B574" s="16">
        <v>35.89</v>
      </c>
      <c r="C574" s="3">
        <v>0</v>
      </c>
      <c r="D574" s="3">
        <v>1</v>
      </c>
      <c r="E574" s="16">
        <v>0</v>
      </c>
      <c r="F574" s="17">
        <v>42583</v>
      </c>
      <c r="G574" s="16" t="s">
        <v>33</v>
      </c>
      <c r="H574" s="17">
        <v>42581</v>
      </c>
      <c r="I574" s="16" t="s">
        <v>58</v>
      </c>
    </row>
    <row r="575" spans="1:9" x14ac:dyDescent="0.2">
      <c r="A575" s="16" t="s">
        <v>60</v>
      </c>
      <c r="B575" s="16">
        <v>35.99</v>
      </c>
      <c r="C575" s="3">
        <v>0</v>
      </c>
      <c r="D575" s="3">
        <v>1</v>
      </c>
      <c r="E575" s="16">
        <v>0</v>
      </c>
      <c r="F575" s="17">
        <v>42583</v>
      </c>
      <c r="G575" s="16" t="s">
        <v>33</v>
      </c>
      <c r="H575" s="17">
        <v>42581</v>
      </c>
      <c r="I575" s="16" t="s">
        <v>60</v>
      </c>
    </row>
    <row r="576" spans="1:9" x14ac:dyDescent="0.2">
      <c r="A576" s="16" t="s">
        <v>71</v>
      </c>
      <c r="B576" s="16">
        <v>50</v>
      </c>
      <c r="C576" s="3">
        <v>0</v>
      </c>
      <c r="D576" s="3">
        <v>1</v>
      </c>
      <c r="E576" s="16">
        <v>0</v>
      </c>
      <c r="F576" s="17">
        <v>42583</v>
      </c>
      <c r="G576" s="16" t="s">
        <v>33</v>
      </c>
      <c r="H576" s="17">
        <v>42581</v>
      </c>
      <c r="I576" s="16" t="s">
        <v>68</v>
      </c>
    </row>
    <row r="577" spans="1:9" x14ac:dyDescent="0.2">
      <c r="A577" s="16" t="s">
        <v>116</v>
      </c>
      <c r="B577" s="16">
        <v>161.99</v>
      </c>
      <c r="C577" s="3">
        <v>0</v>
      </c>
      <c r="D577" s="3">
        <v>1</v>
      </c>
      <c r="E577" s="16">
        <v>0</v>
      </c>
      <c r="F577" s="17">
        <v>42583</v>
      </c>
      <c r="G577" s="16" t="s">
        <v>33</v>
      </c>
      <c r="H577" s="17">
        <v>42581</v>
      </c>
      <c r="I577" s="3" t="s">
        <v>150</v>
      </c>
    </row>
    <row r="578" spans="1:9" x14ac:dyDescent="0.2">
      <c r="A578" s="16" t="s">
        <v>242</v>
      </c>
      <c r="B578" s="16">
        <v>84</v>
      </c>
      <c r="C578" s="3">
        <v>0</v>
      </c>
      <c r="D578" s="3">
        <v>1</v>
      </c>
      <c r="E578" s="16">
        <v>0</v>
      </c>
      <c r="F578" s="17">
        <v>42583</v>
      </c>
      <c r="G578" s="16" t="s">
        <v>33</v>
      </c>
      <c r="H578" s="17">
        <v>42582</v>
      </c>
      <c r="I578" s="16" t="s">
        <v>96</v>
      </c>
    </row>
    <row r="579" spans="1:9" x14ac:dyDescent="0.2">
      <c r="A579" s="16" t="s">
        <v>239</v>
      </c>
      <c r="B579" s="16">
        <v>50</v>
      </c>
      <c r="C579" s="3">
        <v>0</v>
      </c>
      <c r="D579" s="3">
        <v>1</v>
      </c>
      <c r="E579" s="16">
        <v>0</v>
      </c>
      <c r="F579" s="17">
        <v>42583</v>
      </c>
      <c r="G579" s="16" t="s">
        <v>33</v>
      </c>
      <c r="H579" s="17">
        <v>42582</v>
      </c>
      <c r="I579" s="16" t="s">
        <v>96</v>
      </c>
    </row>
    <row r="580" spans="1:9" x14ac:dyDescent="0.2">
      <c r="A580" s="16" t="s">
        <v>243</v>
      </c>
      <c r="B580" s="16">
        <v>12</v>
      </c>
      <c r="C580" s="3">
        <v>0</v>
      </c>
      <c r="D580" s="3">
        <v>1</v>
      </c>
      <c r="E580" s="16">
        <v>0</v>
      </c>
      <c r="F580" s="17">
        <v>42583</v>
      </c>
      <c r="G580" s="16" t="s">
        <v>33</v>
      </c>
      <c r="H580" s="17">
        <v>42582</v>
      </c>
      <c r="I580" s="16" t="s">
        <v>96</v>
      </c>
    </row>
    <row r="581" spans="1:9" x14ac:dyDescent="0.2">
      <c r="A581" s="16" t="s">
        <v>60</v>
      </c>
      <c r="B581" s="16">
        <v>243.95</v>
      </c>
      <c r="C581" s="3">
        <v>0</v>
      </c>
      <c r="D581" s="3">
        <v>1</v>
      </c>
      <c r="E581" s="16">
        <v>0</v>
      </c>
      <c r="F581" s="17">
        <v>42583</v>
      </c>
      <c r="G581" s="16" t="s">
        <v>27</v>
      </c>
      <c r="H581" s="17">
        <v>42585</v>
      </c>
      <c r="I581" s="16" t="s">
        <v>60</v>
      </c>
    </row>
    <row r="582" spans="1:9" x14ac:dyDescent="0.2">
      <c r="A582" s="16" t="s">
        <v>158</v>
      </c>
      <c r="B582" s="16">
        <v>14.8</v>
      </c>
      <c r="C582" s="3">
        <v>0</v>
      </c>
      <c r="D582" s="3">
        <v>1</v>
      </c>
      <c r="E582" s="16">
        <v>0</v>
      </c>
      <c r="F582" s="17">
        <v>42583</v>
      </c>
      <c r="G582" s="16" t="s">
        <v>27</v>
      </c>
      <c r="H582" s="17">
        <v>42586</v>
      </c>
      <c r="I582" s="16" t="s">
        <v>63</v>
      </c>
    </row>
    <row r="583" spans="1:9" x14ac:dyDescent="0.2">
      <c r="A583" s="16" t="s">
        <v>74</v>
      </c>
      <c r="B583" s="16">
        <v>8</v>
      </c>
      <c r="C583" s="3">
        <v>0</v>
      </c>
      <c r="D583" s="3">
        <v>1</v>
      </c>
      <c r="E583" s="16">
        <v>0</v>
      </c>
      <c r="F583" s="17">
        <v>42583</v>
      </c>
      <c r="G583" s="16" t="s">
        <v>27</v>
      </c>
      <c r="H583" s="17">
        <v>42586</v>
      </c>
      <c r="I583" s="16" t="s">
        <v>63</v>
      </c>
    </row>
    <row r="584" spans="1:9" x14ac:dyDescent="0.2">
      <c r="A584" s="16" t="s">
        <v>39</v>
      </c>
      <c r="B584" s="16">
        <v>2.37</v>
      </c>
      <c r="C584" s="3">
        <v>0</v>
      </c>
      <c r="D584" s="3">
        <v>1</v>
      </c>
      <c r="E584" s="16">
        <v>0</v>
      </c>
      <c r="F584" s="17">
        <v>42583</v>
      </c>
      <c r="G584" s="16" t="s">
        <v>27</v>
      </c>
      <c r="H584" s="17">
        <v>42583</v>
      </c>
      <c r="I584" s="16" t="s">
        <v>28</v>
      </c>
    </row>
    <row r="585" spans="1:9" x14ac:dyDescent="0.2">
      <c r="A585" s="16" t="s">
        <v>134</v>
      </c>
      <c r="B585" s="16">
        <v>12.96</v>
      </c>
      <c r="C585" s="3">
        <v>0</v>
      </c>
      <c r="D585" s="3">
        <v>1</v>
      </c>
      <c r="E585" s="16">
        <v>0</v>
      </c>
      <c r="F585" s="17">
        <v>42583</v>
      </c>
      <c r="G585" s="16" t="s">
        <v>27</v>
      </c>
      <c r="H585" s="17">
        <v>42587</v>
      </c>
      <c r="I585" s="16" t="s">
        <v>28</v>
      </c>
    </row>
    <row r="586" spans="1:9" x14ac:dyDescent="0.2">
      <c r="A586" s="16" t="s">
        <v>134</v>
      </c>
      <c r="B586" s="16">
        <v>11.46</v>
      </c>
      <c r="C586" s="3">
        <v>0</v>
      </c>
      <c r="D586" s="3">
        <v>1</v>
      </c>
      <c r="E586" s="16">
        <v>0</v>
      </c>
      <c r="F586" s="17">
        <v>42583</v>
      </c>
      <c r="G586" s="16" t="s">
        <v>27</v>
      </c>
      <c r="H586" s="17">
        <v>42587</v>
      </c>
      <c r="I586" s="16" t="s">
        <v>28</v>
      </c>
    </row>
    <row r="587" spans="1:9" x14ac:dyDescent="0.2">
      <c r="A587" s="16" t="s">
        <v>59</v>
      </c>
      <c r="B587" s="16">
        <v>50</v>
      </c>
      <c r="C587" s="3">
        <v>0</v>
      </c>
      <c r="D587" s="3">
        <v>1</v>
      </c>
      <c r="E587" s="16">
        <v>0</v>
      </c>
      <c r="F587" s="17">
        <v>42583</v>
      </c>
      <c r="G587" s="16" t="s">
        <v>33</v>
      </c>
      <c r="H587" s="17">
        <v>42590</v>
      </c>
      <c r="I587" s="16" t="s">
        <v>59</v>
      </c>
    </row>
    <row r="588" spans="1:9" x14ac:dyDescent="0.2">
      <c r="A588" s="16" t="s">
        <v>58</v>
      </c>
      <c r="B588" s="16">
        <v>11</v>
      </c>
      <c r="C588" s="3">
        <v>0</v>
      </c>
      <c r="D588" s="3">
        <v>1</v>
      </c>
      <c r="E588" s="16">
        <v>0</v>
      </c>
      <c r="F588" s="17">
        <v>42583</v>
      </c>
      <c r="G588" s="16" t="s">
        <v>33</v>
      </c>
      <c r="H588" s="17">
        <v>42590</v>
      </c>
      <c r="I588" s="16" t="s">
        <v>58</v>
      </c>
    </row>
    <row r="589" spans="1:9" x14ac:dyDescent="0.2">
      <c r="A589" s="16" t="s">
        <v>244</v>
      </c>
      <c r="B589" s="16">
        <v>27.3</v>
      </c>
      <c r="C589" s="3">
        <v>0</v>
      </c>
      <c r="D589" s="3">
        <v>1</v>
      </c>
      <c r="E589" s="16">
        <v>0</v>
      </c>
      <c r="F589" s="17">
        <v>42583</v>
      </c>
      <c r="G589" s="16" t="s">
        <v>33</v>
      </c>
      <c r="H589" s="17">
        <v>42589</v>
      </c>
      <c r="I589" s="16" t="s">
        <v>63</v>
      </c>
    </row>
    <row r="590" spans="1:9" x14ac:dyDescent="0.2">
      <c r="A590" s="16" t="s">
        <v>245</v>
      </c>
      <c r="B590" s="16">
        <v>29.57</v>
      </c>
      <c r="C590" s="3">
        <v>0</v>
      </c>
      <c r="D590" s="3">
        <v>1</v>
      </c>
      <c r="E590" s="16">
        <v>0</v>
      </c>
      <c r="F590" s="17">
        <v>42583</v>
      </c>
      <c r="G590" s="16" t="s">
        <v>33</v>
      </c>
      <c r="H590" s="17">
        <v>42589</v>
      </c>
      <c r="I590" s="16" t="s">
        <v>617</v>
      </c>
    </row>
    <row r="591" spans="1:9" x14ac:dyDescent="0.2">
      <c r="A591" s="16" t="s">
        <v>246</v>
      </c>
      <c r="B591" s="16">
        <v>12</v>
      </c>
      <c r="C591" s="3">
        <v>0</v>
      </c>
      <c r="D591" s="3">
        <v>1</v>
      </c>
      <c r="E591" s="16">
        <v>0</v>
      </c>
      <c r="F591" s="17">
        <v>42583</v>
      </c>
      <c r="G591" s="16" t="s">
        <v>33</v>
      </c>
      <c r="H591" s="17">
        <v>42590</v>
      </c>
      <c r="I591" s="16" t="s">
        <v>63</v>
      </c>
    </row>
    <row r="592" spans="1:9" x14ac:dyDescent="0.2">
      <c r="A592" s="16" t="s">
        <v>65</v>
      </c>
      <c r="B592" s="16">
        <v>3.5</v>
      </c>
      <c r="C592" s="3">
        <v>0</v>
      </c>
      <c r="D592" s="3">
        <v>1</v>
      </c>
      <c r="E592" s="16">
        <v>0</v>
      </c>
      <c r="F592" s="17">
        <v>42583</v>
      </c>
      <c r="G592" s="16" t="s">
        <v>42</v>
      </c>
      <c r="H592" s="17">
        <v>42591</v>
      </c>
      <c r="I592" s="16" t="s">
        <v>63</v>
      </c>
    </row>
    <row r="593" spans="1:9" x14ac:dyDescent="0.2">
      <c r="A593" s="16" t="s">
        <v>64</v>
      </c>
      <c r="B593" s="16">
        <v>6.5</v>
      </c>
      <c r="C593" s="3">
        <v>0</v>
      </c>
      <c r="D593" s="3">
        <v>1</v>
      </c>
      <c r="E593" s="16">
        <v>0</v>
      </c>
      <c r="F593" s="17">
        <v>42583</v>
      </c>
      <c r="G593" s="16" t="s">
        <v>42</v>
      </c>
      <c r="H593" s="17">
        <v>42591</v>
      </c>
      <c r="I593" s="16" t="s">
        <v>63</v>
      </c>
    </row>
    <row r="594" spans="1:9" x14ac:dyDescent="0.2">
      <c r="A594" s="16" t="s">
        <v>158</v>
      </c>
      <c r="B594" s="16">
        <v>12.5</v>
      </c>
      <c r="C594" s="3">
        <v>0</v>
      </c>
      <c r="D594" s="3">
        <v>1</v>
      </c>
      <c r="E594" s="16">
        <v>0</v>
      </c>
      <c r="F594" s="17">
        <v>42583</v>
      </c>
      <c r="G594" s="16" t="s">
        <v>42</v>
      </c>
      <c r="H594" s="17">
        <v>42592</v>
      </c>
      <c r="I594" s="16" t="s">
        <v>63</v>
      </c>
    </row>
    <row r="595" spans="1:9" x14ac:dyDescent="0.2">
      <c r="A595" s="16" t="s">
        <v>65</v>
      </c>
      <c r="B595" s="16">
        <v>2.99</v>
      </c>
      <c r="C595" s="3">
        <v>0</v>
      </c>
      <c r="D595" s="3">
        <v>1</v>
      </c>
      <c r="E595" s="16">
        <v>0</v>
      </c>
      <c r="F595" s="17">
        <v>42583</v>
      </c>
      <c r="G595" s="16" t="s">
        <v>42</v>
      </c>
      <c r="H595" s="17">
        <v>42592</v>
      </c>
      <c r="I595" s="16" t="s">
        <v>63</v>
      </c>
    </row>
    <row r="596" spans="1:9" x14ac:dyDescent="0.2">
      <c r="A596" s="16" t="s">
        <v>212</v>
      </c>
      <c r="B596" s="16">
        <v>7.6</v>
      </c>
      <c r="C596" s="3">
        <v>0</v>
      </c>
      <c r="D596" s="3">
        <v>1</v>
      </c>
      <c r="E596" s="16">
        <v>0</v>
      </c>
      <c r="F596" s="17">
        <v>42583</v>
      </c>
      <c r="G596" s="16" t="s">
        <v>42</v>
      </c>
      <c r="H596" s="17">
        <v>42592</v>
      </c>
      <c r="I596" s="16" t="s">
        <v>63</v>
      </c>
    </row>
    <row r="597" spans="1:9" x14ac:dyDescent="0.2">
      <c r="A597" s="16" t="s">
        <v>175</v>
      </c>
      <c r="B597" s="16">
        <v>30</v>
      </c>
      <c r="C597" s="3">
        <v>0</v>
      </c>
      <c r="D597" s="3">
        <v>1</v>
      </c>
      <c r="E597" s="16">
        <v>0</v>
      </c>
      <c r="F597" s="17">
        <v>42583</v>
      </c>
      <c r="G597" s="16" t="s">
        <v>42</v>
      </c>
      <c r="H597" s="17">
        <v>42592</v>
      </c>
      <c r="I597" s="16" t="s">
        <v>165</v>
      </c>
    </row>
    <row r="598" spans="1:9" x14ac:dyDescent="0.2">
      <c r="A598" s="16" t="s">
        <v>58</v>
      </c>
      <c r="B598" s="16">
        <v>50.61</v>
      </c>
      <c r="C598" s="3">
        <v>0</v>
      </c>
      <c r="D598" s="3">
        <v>1</v>
      </c>
      <c r="E598" s="16">
        <v>0</v>
      </c>
      <c r="F598" s="17">
        <v>42583</v>
      </c>
      <c r="G598" s="16" t="s">
        <v>42</v>
      </c>
      <c r="H598" s="17">
        <v>42592</v>
      </c>
      <c r="I598" s="16" t="s">
        <v>58</v>
      </c>
    </row>
    <row r="599" spans="1:9" x14ac:dyDescent="0.2">
      <c r="A599" s="16" t="s">
        <v>247</v>
      </c>
      <c r="B599" s="16">
        <v>6</v>
      </c>
      <c r="C599" s="3">
        <v>0</v>
      </c>
      <c r="D599" s="3">
        <v>1</v>
      </c>
      <c r="E599" s="16">
        <v>0</v>
      </c>
      <c r="F599" s="17">
        <v>42583</v>
      </c>
      <c r="G599" s="16" t="s">
        <v>42</v>
      </c>
      <c r="H599" s="17">
        <v>42593</v>
      </c>
      <c r="I599" s="16" t="s">
        <v>63</v>
      </c>
    </row>
    <row r="600" spans="1:9" x14ac:dyDescent="0.2">
      <c r="A600" s="16" t="s">
        <v>247</v>
      </c>
      <c r="B600" s="16">
        <v>3</v>
      </c>
      <c r="C600" s="3">
        <v>0</v>
      </c>
      <c r="D600" s="3">
        <v>1</v>
      </c>
      <c r="E600" s="16">
        <v>0</v>
      </c>
      <c r="F600" s="17">
        <v>42583</v>
      </c>
      <c r="G600" s="16" t="s">
        <v>42</v>
      </c>
      <c r="H600" s="17">
        <v>42597</v>
      </c>
      <c r="I600" s="16" t="s">
        <v>63</v>
      </c>
    </row>
    <row r="601" spans="1:9" x14ac:dyDescent="0.2">
      <c r="A601" s="16" t="s">
        <v>248</v>
      </c>
      <c r="B601" s="16">
        <v>14</v>
      </c>
      <c r="C601" s="3">
        <v>0</v>
      </c>
      <c r="D601" s="3">
        <v>1</v>
      </c>
      <c r="E601" s="16">
        <v>0</v>
      </c>
      <c r="F601" s="17">
        <v>42583</v>
      </c>
      <c r="G601" s="16" t="s">
        <v>42</v>
      </c>
      <c r="H601" s="17">
        <v>42594</v>
      </c>
      <c r="I601" s="16" t="s">
        <v>63</v>
      </c>
    </row>
    <row r="602" spans="1:9" x14ac:dyDescent="0.2">
      <c r="A602" s="16" t="s">
        <v>64</v>
      </c>
      <c r="B602" s="16">
        <v>4</v>
      </c>
      <c r="C602" s="3">
        <v>0</v>
      </c>
      <c r="D602" s="3">
        <v>1</v>
      </c>
      <c r="E602" s="16">
        <v>0</v>
      </c>
      <c r="F602" s="17">
        <v>42583</v>
      </c>
      <c r="G602" s="16" t="s">
        <v>42</v>
      </c>
      <c r="H602" s="17">
        <v>42594</v>
      </c>
      <c r="I602" s="16" t="s">
        <v>63</v>
      </c>
    </row>
    <row r="603" spans="1:9" x14ac:dyDescent="0.2">
      <c r="A603" s="16" t="s">
        <v>74</v>
      </c>
      <c r="B603" s="16">
        <v>3.5</v>
      </c>
      <c r="C603" s="3">
        <v>0</v>
      </c>
      <c r="D603" s="3">
        <v>1</v>
      </c>
      <c r="E603" s="16">
        <v>0</v>
      </c>
      <c r="F603" s="17">
        <v>42583</v>
      </c>
      <c r="G603" s="16" t="s">
        <v>42</v>
      </c>
      <c r="H603" s="17">
        <v>42594</v>
      </c>
      <c r="I603" s="16" t="s">
        <v>63</v>
      </c>
    </row>
    <row r="604" spans="1:9" x14ac:dyDescent="0.2">
      <c r="A604" s="16" t="s">
        <v>58</v>
      </c>
      <c r="B604" s="16">
        <v>28.8</v>
      </c>
      <c r="C604" s="3">
        <v>0</v>
      </c>
      <c r="D604" s="3">
        <v>1</v>
      </c>
      <c r="E604" s="16">
        <v>0</v>
      </c>
      <c r="F604" s="17">
        <v>42583</v>
      </c>
      <c r="G604" s="16" t="s">
        <v>42</v>
      </c>
      <c r="H604" s="17">
        <v>42594</v>
      </c>
      <c r="I604" s="16" t="s">
        <v>58</v>
      </c>
    </row>
    <row r="605" spans="1:9" x14ac:dyDescent="0.2">
      <c r="A605" s="16" t="s">
        <v>249</v>
      </c>
      <c r="B605" s="16">
        <v>2.5</v>
      </c>
      <c r="C605" s="3">
        <v>0</v>
      </c>
      <c r="D605" s="3">
        <v>1</v>
      </c>
      <c r="E605" s="16">
        <v>0</v>
      </c>
      <c r="F605" s="17">
        <v>42583</v>
      </c>
      <c r="G605" s="16" t="s">
        <v>33</v>
      </c>
      <c r="H605" s="17">
        <v>42595</v>
      </c>
      <c r="I605" s="16" t="s">
        <v>63</v>
      </c>
    </row>
    <row r="606" spans="1:9" x14ac:dyDescent="0.2">
      <c r="A606" s="16" t="s">
        <v>250</v>
      </c>
      <c r="B606" s="16">
        <v>25.1</v>
      </c>
      <c r="C606" s="3">
        <v>0</v>
      </c>
      <c r="D606" s="3">
        <v>1</v>
      </c>
      <c r="E606" s="16">
        <v>0</v>
      </c>
      <c r="F606" s="17">
        <v>42583</v>
      </c>
      <c r="G606" s="16" t="s">
        <v>33</v>
      </c>
      <c r="H606" s="17">
        <v>42595</v>
      </c>
      <c r="I606" s="16" t="s">
        <v>63</v>
      </c>
    </row>
    <row r="607" spans="1:9" x14ac:dyDescent="0.2">
      <c r="A607" s="16" t="s">
        <v>60</v>
      </c>
      <c r="B607" s="16">
        <v>82.75</v>
      </c>
      <c r="C607" s="3">
        <v>0</v>
      </c>
      <c r="D607" s="3">
        <v>1</v>
      </c>
      <c r="E607" s="16">
        <v>0</v>
      </c>
      <c r="F607" s="17">
        <v>42583</v>
      </c>
      <c r="G607" s="16" t="s">
        <v>33</v>
      </c>
      <c r="H607" s="17">
        <v>42595</v>
      </c>
      <c r="I607" s="16" t="s">
        <v>60</v>
      </c>
    </row>
    <row r="608" spans="1:9" x14ac:dyDescent="0.2">
      <c r="A608" s="16" t="s">
        <v>251</v>
      </c>
      <c r="B608" s="16">
        <v>15</v>
      </c>
      <c r="C608" s="3">
        <v>0</v>
      </c>
      <c r="D608" s="3">
        <v>1</v>
      </c>
      <c r="E608" s="16">
        <v>0</v>
      </c>
      <c r="F608" s="17">
        <v>42583</v>
      </c>
      <c r="G608" s="16" t="s">
        <v>33</v>
      </c>
      <c r="H608" s="17">
        <v>42595</v>
      </c>
      <c r="I608" s="16" t="s">
        <v>63</v>
      </c>
    </row>
    <row r="609" spans="1:9" x14ac:dyDescent="0.2">
      <c r="A609" s="16" t="s">
        <v>70</v>
      </c>
      <c r="B609" s="16">
        <v>3.8</v>
      </c>
      <c r="C609" s="3">
        <v>0</v>
      </c>
      <c r="D609" s="3">
        <v>1</v>
      </c>
      <c r="E609" s="16">
        <v>0</v>
      </c>
      <c r="F609" s="17">
        <v>42583</v>
      </c>
      <c r="G609" s="16" t="s">
        <v>81</v>
      </c>
      <c r="H609" s="17">
        <v>42597</v>
      </c>
      <c r="I609" s="16" t="s">
        <v>63</v>
      </c>
    </row>
    <row r="610" spans="1:9" x14ac:dyDescent="0.2">
      <c r="A610" s="16" t="s">
        <v>64</v>
      </c>
      <c r="B610" s="16">
        <v>5</v>
      </c>
      <c r="C610" s="3">
        <v>0</v>
      </c>
      <c r="D610" s="3">
        <v>1</v>
      </c>
      <c r="E610" s="16">
        <v>0</v>
      </c>
      <c r="F610" s="17">
        <v>42583</v>
      </c>
      <c r="G610" s="16" t="s">
        <v>81</v>
      </c>
      <c r="H610" s="17">
        <v>42597</v>
      </c>
      <c r="I610" s="16" t="s">
        <v>63</v>
      </c>
    </row>
    <row r="611" spans="1:9" x14ac:dyDescent="0.2">
      <c r="A611" s="16" t="s">
        <v>252</v>
      </c>
      <c r="B611" s="16">
        <v>63.8</v>
      </c>
      <c r="C611" s="3">
        <v>0</v>
      </c>
      <c r="D611" s="3">
        <v>1</v>
      </c>
      <c r="E611" s="16">
        <v>0</v>
      </c>
      <c r="F611" s="17">
        <v>42583</v>
      </c>
      <c r="G611" s="16" t="s">
        <v>81</v>
      </c>
      <c r="H611" s="17">
        <v>42598</v>
      </c>
      <c r="I611" s="16" t="s">
        <v>43</v>
      </c>
    </row>
    <row r="612" spans="1:9" x14ac:dyDescent="0.2">
      <c r="A612" s="16" t="s">
        <v>148</v>
      </c>
      <c r="B612" s="16">
        <v>9</v>
      </c>
      <c r="C612" s="3">
        <v>0</v>
      </c>
      <c r="D612" s="3">
        <v>1</v>
      </c>
      <c r="E612" s="16">
        <v>0</v>
      </c>
      <c r="F612" s="17">
        <v>42583</v>
      </c>
      <c r="G612" s="16" t="s">
        <v>81</v>
      </c>
      <c r="H612" s="17">
        <v>42598</v>
      </c>
      <c r="I612" s="16" t="s">
        <v>63</v>
      </c>
    </row>
    <row r="613" spans="1:9" x14ac:dyDescent="0.2">
      <c r="A613" s="16" t="s">
        <v>64</v>
      </c>
      <c r="B613" s="16">
        <v>3.5</v>
      </c>
      <c r="C613" s="3">
        <v>0</v>
      </c>
      <c r="D613" s="3">
        <v>1</v>
      </c>
      <c r="E613" s="16">
        <v>0</v>
      </c>
      <c r="F613" s="17">
        <v>42583</v>
      </c>
      <c r="G613" s="16" t="s">
        <v>81</v>
      </c>
      <c r="H613" s="17">
        <v>42598</v>
      </c>
      <c r="I613" s="16" t="s">
        <v>63</v>
      </c>
    </row>
    <row r="614" spans="1:9" x14ac:dyDescent="0.2">
      <c r="A614" s="16" t="s">
        <v>212</v>
      </c>
      <c r="B614" s="16">
        <v>2.8</v>
      </c>
      <c r="C614" s="3">
        <v>0</v>
      </c>
      <c r="D614" s="3">
        <v>1</v>
      </c>
      <c r="E614" s="16">
        <v>0</v>
      </c>
      <c r="F614" s="17">
        <v>42583</v>
      </c>
      <c r="G614" s="16" t="s">
        <v>81</v>
      </c>
      <c r="H614" s="17">
        <v>42601</v>
      </c>
      <c r="I614" s="16" t="s">
        <v>63</v>
      </c>
    </row>
    <row r="615" spans="1:9" x14ac:dyDescent="0.2">
      <c r="A615" s="16" t="s">
        <v>253</v>
      </c>
      <c r="B615" s="16">
        <v>6.9</v>
      </c>
      <c r="C615" s="3">
        <v>0</v>
      </c>
      <c r="D615" s="3">
        <v>1</v>
      </c>
      <c r="E615" s="16">
        <v>0</v>
      </c>
      <c r="F615" s="17">
        <v>42583</v>
      </c>
      <c r="G615" s="16" t="s">
        <v>81</v>
      </c>
      <c r="H615" s="17">
        <v>42601</v>
      </c>
      <c r="I615" s="16" t="s">
        <v>63</v>
      </c>
    </row>
    <row r="616" spans="1:9" x14ac:dyDescent="0.2">
      <c r="A616" s="16" t="s">
        <v>254</v>
      </c>
      <c r="B616" s="16">
        <v>4.5</v>
      </c>
      <c r="C616" s="3">
        <v>0</v>
      </c>
      <c r="D616" s="3">
        <v>1</v>
      </c>
      <c r="E616" s="16">
        <v>0</v>
      </c>
      <c r="F616" s="17">
        <v>42583</v>
      </c>
      <c r="G616" s="16" t="s">
        <v>81</v>
      </c>
      <c r="H616" s="17">
        <v>42601</v>
      </c>
      <c r="I616" s="16" t="s">
        <v>63</v>
      </c>
    </row>
    <row r="617" spans="1:9" x14ac:dyDescent="0.2">
      <c r="A617" s="16" t="s">
        <v>255</v>
      </c>
      <c r="B617" s="16">
        <v>8.99</v>
      </c>
      <c r="C617" s="3">
        <v>0</v>
      </c>
      <c r="D617" s="3">
        <v>1</v>
      </c>
      <c r="E617" s="16">
        <v>0</v>
      </c>
      <c r="F617" s="17">
        <v>42583</v>
      </c>
      <c r="G617" s="16" t="s">
        <v>81</v>
      </c>
      <c r="H617" s="17">
        <v>42601</v>
      </c>
      <c r="I617" s="16" t="s">
        <v>68</v>
      </c>
    </row>
    <row r="618" spans="1:9" x14ac:dyDescent="0.2">
      <c r="A618" s="16" t="s">
        <v>65</v>
      </c>
      <c r="B618" s="16">
        <v>2.99</v>
      </c>
      <c r="C618" s="3">
        <v>0</v>
      </c>
      <c r="D618" s="3">
        <v>1</v>
      </c>
      <c r="E618" s="16">
        <v>0</v>
      </c>
      <c r="F618" s="17">
        <v>42583</v>
      </c>
      <c r="G618" s="16" t="s">
        <v>88</v>
      </c>
      <c r="H618" s="17">
        <v>42604</v>
      </c>
      <c r="I618" s="16" t="s">
        <v>63</v>
      </c>
    </row>
    <row r="619" spans="1:9" x14ac:dyDescent="0.2">
      <c r="A619" s="16" t="s">
        <v>41</v>
      </c>
      <c r="B619" s="16">
        <v>20</v>
      </c>
      <c r="C619" s="3">
        <v>0</v>
      </c>
      <c r="D619" s="3">
        <v>1</v>
      </c>
      <c r="E619" s="16">
        <v>0</v>
      </c>
      <c r="F619" s="17">
        <v>42583</v>
      </c>
      <c r="G619" s="16" t="s">
        <v>88</v>
      </c>
      <c r="H619" s="17">
        <v>42604</v>
      </c>
      <c r="I619" s="16" t="s">
        <v>43</v>
      </c>
    </row>
    <row r="620" spans="1:9" x14ac:dyDescent="0.2">
      <c r="A620" s="16" t="s">
        <v>64</v>
      </c>
      <c r="B620" s="16">
        <v>6.5</v>
      </c>
      <c r="C620" s="3">
        <v>0</v>
      </c>
      <c r="D620" s="3">
        <v>1</v>
      </c>
      <c r="E620" s="16">
        <v>0</v>
      </c>
      <c r="F620" s="17">
        <v>42583</v>
      </c>
      <c r="G620" s="16" t="s">
        <v>88</v>
      </c>
      <c r="H620" s="17">
        <v>42604</v>
      </c>
      <c r="I620" s="16" t="s">
        <v>63</v>
      </c>
    </row>
    <row r="621" spans="1:9" x14ac:dyDescent="0.2">
      <c r="A621" s="16" t="s">
        <v>256</v>
      </c>
      <c r="B621" s="16">
        <v>8</v>
      </c>
      <c r="C621" s="3">
        <v>0</v>
      </c>
      <c r="D621" s="3">
        <v>1</v>
      </c>
      <c r="E621" s="16">
        <v>0</v>
      </c>
      <c r="F621" s="17">
        <v>42583</v>
      </c>
      <c r="G621" s="16" t="s">
        <v>88</v>
      </c>
      <c r="H621" s="17">
        <v>42604</v>
      </c>
      <c r="I621" s="16" t="s">
        <v>63</v>
      </c>
    </row>
    <row r="622" spans="1:9" x14ac:dyDescent="0.2">
      <c r="A622" s="16" t="s">
        <v>153</v>
      </c>
      <c r="B622" s="16">
        <v>5</v>
      </c>
      <c r="C622" s="3">
        <v>0</v>
      </c>
      <c r="D622" s="3">
        <v>1</v>
      </c>
      <c r="E622" s="16">
        <v>0</v>
      </c>
      <c r="F622" s="17">
        <v>42583</v>
      </c>
      <c r="G622" s="16" t="s">
        <v>88</v>
      </c>
      <c r="H622" s="17">
        <v>42605</v>
      </c>
      <c r="I622" s="16" t="s">
        <v>63</v>
      </c>
    </row>
    <row r="623" spans="1:9" x14ac:dyDescent="0.2">
      <c r="A623" s="16" t="s">
        <v>257</v>
      </c>
      <c r="B623" s="16">
        <v>8</v>
      </c>
      <c r="C623" s="3">
        <v>0</v>
      </c>
      <c r="D623" s="3">
        <v>1</v>
      </c>
      <c r="E623" s="16">
        <v>0</v>
      </c>
      <c r="F623" s="17">
        <v>42583</v>
      </c>
      <c r="G623" s="16" t="s">
        <v>88</v>
      </c>
      <c r="H623" s="17">
        <v>42605</v>
      </c>
      <c r="I623" s="16" t="s">
        <v>63</v>
      </c>
    </row>
    <row r="624" spans="1:9" x14ac:dyDescent="0.2">
      <c r="A624" s="16" t="s">
        <v>258</v>
      </c>
      <c r="B624" s="16">
        <v>5</v>
      </c>
      <c r="C624" s="3">
        <v>0</v>
      </c>
      <c r="D624" s="3">
        <v>1</v>
      </c>
      <c r="E624" s="16">
        <v>0</v>
      </c>
      <c r="F624" s="17">
        <v>42583</v>
      </c>
      <c r="G624" s="16" t="s">
        <v>88</v>
      </c>
      <c r="H624" s="17">
        <v>42606</v>
      </c>
      <c r="I624" s="16" t="s">
        <v>63</v>
      </c>
    </row>
    <row r="625" spans="1:9" x14ac:dyDescent="0.2">
      <c r="A625" s="16" t="s">
        <v>69</v>
      </c>
      <c r="B625" s="16">
        <v>5</v>
      </c>
      <c r="C625" s="3">
        <v>0</v>
      </c>
      <c r="D625" s="3">
        <v>1</v>
      </c>
      <c r="E625" s="16">
        <v>0</v>
      </c>
      <c r="F625" s="17">
        <v>42583</v>
      </c>
      <c r="G625" s="16" t="s">
        <v>88</v>
      </c>
      <c r="H625" s="17">
        <v>42606</v>
      </c>
      <c r="I625" s="16" t="s">
        <v>63</v>
      </c>
    </row>
    <row r="626" spans="1:9" x14ac:dyDescent="0.2">
      <c r="A626" s="16" t="s">
        <v>259</v>
      </c>
      <c r="B626" s="16">
        <v>6.6</v>
      </c>
      <c r="C626" s="3">
        <v>0</v>
      </c>
      <c r="D626" s="3">
        <v>1</v>
      </c>
      <c r="E626" s="16">
        <v>0</v>
      </c>
      <c r="F626" s="17">
        <v>42583</v>
      </c>
      <c r="G626" s="16" t="s">
        <v>88</v>
      </c>
      <c r="H626" s="17">
        <v>42607</v>
      </c>
      <c r="I626" s="16" t="s">
        <v>63</v>
      </c>
    </row>
    <row r="627" spans="1:9" x14ac:dyDescent="0.2">
      <c r="A627" s="16" t="s">
        <v>260</v>
      </c>
      <c r="B627" s="16">
        <v>4</v>
      </c>
      <c r="C627" s="3">
        <v>0</v>
      </c>
      <c r="D627" s="3">
        <v>1</v>
      </c>
      <c r="E627" s="16">
        <v>0</v>
      </c>
      <c r="F627" s="17">
        <v>42583</v>
      </c>
      <c r="G627" s="16" t="s">
        <v>88</v>
      </c>
      <c r="H627" s="17">
        <v>42607</v>
      </c>
      <c r="I627" s="16" t="s">
        <v>63</v>
      </c>
    </row>
    <row r="628" spans="1:9" x14ac:dyDescent="0.2">
      <c r="A628" s="16" t="s">
        <v>65</v>
      </c>
      <c r="B628" s="16">
        <v>2.99</v>
      </c>
      <c r="C628" s="3">
        <v>0</v>
      </c>
      <c r="D628" s="3">
        <v>1</v>
      </c>
      <c r="E628" s="16">
        <v>0</v>
      </c>
      <c r="F628" s="17">
        <v>42583</v>
      </c>
      <c r="G628" s="16" t="s">
        <v>88</v>
      </c>
      <c r="H628" s="17">
        <v>42607</v>
      </c>
      <c r="I628" s="16" t="s">
        <v>63</v>
      </c>
    </row>
    <row r="629" spans="1:9" x14ac:dyDescent="0.2">
      <c r="A629" s="16" t="s">
        <v>261</v>
      </c>
      <c r="B629" s="16">
        <v>4.5</v>
      </c>
      <c r="C629" s="3">
        <v>0</v>
      </c>
      <c r="D629" s="3">
        <v>1</v>
      </c>
      <c r="E629" s="16">
        <v>0</v>
      </c>
      <c r="F629" s="17">
        <v>42583</v>
      </c>
      <c r="G629" s="16" t="s">
        <v>88</v>
      </c>
      <c r="H629" s="17">
        <v>42607</v>
      </c>
      <c r="I629" s="16" t="s">
        <v>63</v>
      </c>
    </row>
    <row r="630" spans="1:9" x14ac:dyDescent="0.2">
      <c r="A630" s="16" t="s">
        <v>262</v>
      </c>
      <c r="B630" s="16">
        <v>9</v>
      </c>
      <c r="C630" s="3">
        <v>0</v>
      </c>
      <c r="D630" s="3">
        <v>1</v>
      </c>
      <c r="E630" s="16">
        <v>0</v>
      </c>
      <c r="F630" s="17">
        <v>42583</v>
      </c>
      <c r="G630" s="16" t="s">
        <v>88</v>
      </c>
      <c r="H630" s="17">
        <v>42607</v>
      </c>
      <c r="I630" s="16" t="s">
        <v>63</v>
      </c>
    </row>
    <row r="631" spans="1:9" x14ac:dyDescent="0.2">
      <c r="A631" s="16" t="s">
        <v>247</v>
      </c>
      <c r="B631" s="16">
        <v>3</v>
      </c>
      <c r="C631" s="3">
        <v>0</v>
      </c>
      <c r="D631" s="3">
        <v>1</v>
      </c>
      <c r="E631" s="16">
        <v>0</v>
      </c>
      <c r="F631" s="17">
        <v>42583</v>
      </c>
      <c r="G631" s="16" t="s">
        <v>88</v>
      </c>
      <c r="H631" s="17">
        <v>42607</v>
      </c>
      <c r="I631" s="16" t="s">
        <v>63</v>
      </c>
    </row>
    <row r="632" spans="1:9" x14ac:dyDescent="0.2">
      <c r="A632" s="16" t="s">
        <v>165</v>
      </c>
      <c r="B632" s="16">
        <v>33</v>
      </c>
      <c r="C632" s="3">
        <v>0</v>
      </c>
      <c r="D632" s="3">
        <v>1</v>
      </c>
      <c r="E632" s="16">
        <v>0</v>
      </c>
      <c r="F632" s="17">
        <v>42583</v>
      </c>
      <c r="G632" s="16" t="s">
        <v>88</v>
      </c>
      <c r="H632" s="17">
        <v>42608</v>
      </c>
      <c r="I632" s="16" t="s">
        <v>165</v>
      </c>
    </row>
    <row r="633" spans="1:9" x14ac:dyDescent="0.2">
      <c r="A633" s="16" t="s">
        <v>158</v>
      </c>
      <c r="B633" s="16">
        <v>9.4</v>
      </c>
      <c r="C633" s="3">
        <v>0</v>
      </c>
      <c r="D633" s="3">
        <v>1</v>
      </c>
      <c r="E633" s="16">
        <v>0</v>
      </c>
      <c r="F633" s="17">
        <v>42583</v>
      </c>
      <c r="G633" s="16" t="s">
        <v>88</v>
      </c>
      <c r="H633" s="17">
        <v>42611</v>
      </c>
      <c r="I633" s="16" t="s">
        <v>63</v>
      </c>
    </row>
    <row r="634" spans="1:9" x14ac:dyDescent="0.2">
      <c r="A634" s="16" t="s">
        <v>65</v>
      </c>
      <c r="B634" s="16">
        <v>2.99</v>
      </c>
      <c r="C634" s="3">
        <v>0</v>
      </c>
      <c r="D634" s="3">
        <v>1</v>
      </c>
      <c r="E634" s="16">
        <v>0</v>
      </c>
      <c r="F634" s="17">
        <v>42583</v>
      </c>
      <c r="G634" s="16" t="s">
        <v>88</v>
      </c>
      <c r="H634" s="17">
        <v>42611</v>
      </c>
      <c r="I634" s="16" t="s">
        <v>63</v>
      </c>
    </row>
    <row r="635" spans="1:9" x14ac:dyDescent="0.2">
      <c r="A635" s="16" t="s">
        <v>65</v>
      </c>
      <c r="B635" s="16">
        <v>2.99</v>
      </c>
      <c r="C635" s="3">
        <v>0</v>
      </c>
      <c r="D635" s="3">
        <v>1</v>
      </c>
      <c r="E635" s="16">
        <v>0</v>
      </c>
      <c r="F635" s="17">
        <v>42583</v>
      </c>
      <c r="G635" s="16" t="s">
        <v>88</v>
      </c>
      <c r="H635" s="17">
        <v>42613</v>
      </c>
      <c r="I635" s="16" t="s">
        <v>63</v>
      </c>
    </row>
    <row r="636" spans="1:9" x14ac:dyDescent="0.2">
      <c r="A636" s="16" t="s">
        <v>263</v>
      </c>
      <c r="B636" s="16">
        <v>6.5</v>
      </c>
      <c r="C636" s="3">
        <v>0</v>
      </c>
      <c r="D636" s="3">
        <v>1</v>
      </c>
      <c r="E636" s="16">
        <v>0</v>
      </c>
      <c r="F636" s="17">
        <v>42583</v>
      </c>
      <c r="G636" s="16" t="s">
        <v>88</v>
      </c>
      <c r="H636" s="17">
        <v>42612</v>
      </c>
      <c r="I636" s="16" t="s">
        <v>63</v>
      </c>
    </row>
    <row r="637" spans="1:9" x14ac:dyDescent="0.2">
      <c r="A637" s="23"/>
      <c r="B637" s="23"/>
      <c r="C637" s="23"/>
      <c r="D637" s="23"/>
      <c r="E637" s="23"/>
      <c r="F637" s="24"/>
      <c r="G637" s="23"/>
      <c r="H637" s="24"/>
      <c r="I637" s="23"/>
    </row>
    <row r="638" spans="1:9" x14ac:dyDescent="0.2">
      <c r="A638" s="23"/>
      <c r="B638" s="23"/>
      <c r="C638" s="23"/>
      <c r="D638" s="23"/>
      <c r="E638" s="23"/>
      <c r="F638" s="24"/>
      <c r="G638" s="23"/>
      <c r="H638" s="24"/>
      <c r="I638" s="23"/>
    </row>
    <row r="639" spans="1:9" x14ac:dyDescent="0.2">
      <c r="A639" s="23"/>
      <c r="B639" s="23"/>
      <c r="C639" s="23"/>
      <c r="D639" s="23"/>
      <c r="E639" s="23"/>
      <c r="F639" s="24"/>
      <c r="G639" s="23"/>
      <c r="H639" s="24"/>
      <c r="I639" s="23"/>
    </row>
    <row r="640" spans="1:9" x14ac:dyDescent="0.2">
      <c r="A640" s="23"/>
      <c r="B640" s="23"/>
      <c r="C640" s="23"/>
      <c r="D640" s="23"/>
      <c r="E640" s="23"/>
      <c r="F640" s="24"/>
      <c r="G640" s="23"/>
      <c r="H640" s="24"/>
      <c r="I640" s="23"/>
    </row>
    <row r="641" spans="1:9" x14ac:dyDescent="0.2">
      <c r="A641" s="23"/>
      <c r="B641" s="23"/>
      <c r="C641" s="23"/>
      <c r="D641" s="23"/>
      <c r="E641" s="23"/>
      <c r="F641" s="24"/>
      <c r="G641" s="23"/>
      <c r="H641" s="24"/>
      <c r="I641" s="23"/>
    </row>
    <row r="642" spans="1:9" x14ac:dyDescent="0.2">
      <c r="A642" s="23"/>
      <c r="B642" s="23"/>
      <c r="C642" s="23"/>
      <c r="D642" s="23"/>
      <c r="E642" s="23"/>
      <c r="F642" s="24"/>
      <c r="G642" s="23"/>
      <c r="H642" s="24"/>
      <c r="I642" s="23"/>
    </row>
    <row r="643" spans="1:9" x14ac:dyDescent="0.2">
      <c r="A643" s="23"/>
      <c r="B643" s="23"/>
      <c r="C643" s="23"/>
      <c r="D643" s="23"/>
      <c r="E643" s="23"/>
      <c r="F643" s="24"/>
      <c r="G643" s="23"/>
      <c r="H643" s="24"/>
      <c r="I643" s="23"/>
    </row>
    <row r="644" spans="1:9" x14ac:dyDescent="0.2">
      <c r="A644" s="23"/>
      <c r="B644" s="23"/>
      <c r="C644" s="23"/>
      <c r="D644" s="23"/>
      <c r="E644" s="23"/>
      <c r="F644" s="24"/>
      <c r="G644" s="23"/>
      <c r="H644" s="24"/>
      <c r="I644" s="23"/>
    </row>
    <row r="645" spans="1:9" x14ac:dyDescent="0.2">
      <c r="A645" s="6"/>
      <c r="B645" s="6"/>
      <c r="C645" s="6"/>
      <c r="D645" s="6"/>
      <c r="E645" s="23"/>
      <c r="F645" s="24"/>
      <c r="G645" s="23"/>
      <c r="H645" s="24"/>
      <c r="I645" s="6"/>
    </row>
    <row r="646" spans="1:9" x14ac:dyDescent="0.2">
      <c r="A646" s="6"/>
      <c r="B646" s="6"/>
      <c r="C646" s="6"/>
      <c r="D646" s="6"/>
      <c r="E646" s="23"/>
      <c r="F646" s="24"/>
      <c r="G646" s="23"/>
      <c r="H646" s="24"/>
      <c r="I646" s="6"/>
    </row>
    <row r="647" spans="1:9" x14ac:dyDescent="0.2">
      <c r="A647" s="23"/>
      <c r="B647" s="23"/>
      <c r="C647" s="23"/>
      <c r="D647" s="23"/>
      <c r="E647" s="23"/>
      <c r="F647" s="24"/>
      <c r="G647" s="23"/>
      <c r="H647" s="24"/>
      <c r="I647" s="23"/>
    </row>
    <row r="648" spans="1:9" x14ac:dyDescent="0.2">
      <c r="A648" s="6"/>
      <c r="B648" s="6"/>
      <c r="C648" s="6"/>
      <c r="D648" s="6"/>
      <c r="E648" s="23"/>
      <c r="F648" s="24"/>
      <c r="G648" s="23"/>
      <c r="H648" s="24"/>
      <c r="I648" s="6"/>
    </row>
    <row r="649" spans="1:9" x14ac:dyDescent="0.2">
      <c r="A649" s="23"/>
      <c r="B649" s="23"/>
      <c r="C649" s="23"/>
      <c r="D649" s="23"/>
      <c r="E649" s="23"/>
      <c r="F649" s="24"/>
      <c r="G649" s="23"/>
      <c r="H649" s="24"/>
      <c r="I649" s="23"/>
    </row>
    <row r="650" spans="1:9" x14ac:dyDescent="0.2">
      <c r="A650" s="23"/>
      <c r="B650" s="23"/>
      <c r="C650" s="23"/>
      <c r="D650" s="23"/>
      <c r="E650" s="23"/>
      <c r="F650" s="24"/>
      <c r="G650" s="23"/>
      <c r="H650" s="24"/>
      <c r="I650" s="23"/>
    </row>
    <row r="651" spans="1:9" x14ac:dyDescent="0.2">
      <c r="A651" s="23"/>
      <c r="B651" s="23"/>
      <c r="C651" s="23"/>
      <c r="D651" s="23"/>
      <c r="E651" s="23"/>
      <c r="F651" s="24"/>
      <c r="G651" s="23"/>
      <c r="H651" s="24"/>
      <c r="I651" s="23"/>
    </row>
    <row r="652" spans="1:9" x14ac:dyDescent="0.2">
      <c r="A652" s="23"/>
      <c r="B652" s="23"/>
      <c r="C652" s="23"/>
      <c r="D652" s="23"/>
      <c r="E652" s="23"/>
      <c r="F652" s="24"/>
      <c r="G652" s="23"/>
      <c r="H652" s="24"/>
      <c r="I652" s="23"/>
    </row>
    <row r="653" spans="1:9" x14ac:dyDescent="0.2">
      <c r="A653" s="23"/>
      <c r="B653" s="23"/>
      <c r="C653" s="23"/>
      <c r="D653" s="23"/>
      <c r="E653" s="23"/>
      <c r="F653" s="24"/>
      <c r="G653" s="23"/>
      <c r="H653" s="24"/>
      <c r="I653" s="23"/>
    </row>
    <row r="654" spans="1:9" x14ac:dyDescent="0.2">
      <c r="A654" s="23"/>
      <c r="B654" s="23"/>
      <c r="C654" s="23"/>
      <c r="D654" s="23"/>
      <c r="E654" s="23"/>
      <c r="F654" s="24"/>
      <c r="G654" s="23"/>
      <c r="H654" s="24"/>
      <c r="I654" s="23"/>
    </row>
    <row r="655" spans="1:9" x14ac:dyDescent="0.2">
      <c r="A655" s="23"/>
      <c r="B655" s="23"/>
      <c r="C655" s="23"/>
      <c r="D655" s="23"/>
      <c r="E655" s="23"/>
      <c r="F655" s="24"/>
      <c r="G655" s="23"/>
      <c r="H655" s="24"/>
      <c r="I655" s="23"/>
    </row>
    <row r="656" spans="1:9" x14ac:dyDescent="0.2">
      <c r="A656" s="23"/>
      <c r="B656" s="23"/>
      <c r="C656" s="23"/>
      <c r="D656" s="23"/>
      <c r="E656" s="23"/>
      <c r="F656" s="24"/>
      <c r="G656" s="23"/>
      <c r="H656" s="24"/>
      <c r="I656" s="23"/>
    </row>
    <row r="657" spans="1:9" x14ac:dyDescent="0.2">
      <c r="A657" s="6"/>
      <c r="B657" s="6"/>
      <c r="C657" s="6"/>
      <c r="D657" s="6"/>
      <c r="E657" s="23"/>
      <c r="F657" s="24"/>
      <c r="G657" s="23"/>
      <c r="H657" s="24"/>
      <c r="I657" s="6"/>
    </row>
    <row r="658" spans="1:9" x14ac:dyDescent="0.2">
      <c r="A658" s="23"/>
      <c r="B658" s="23"/>
      <c r="C658" s="6"/>
      <c r="D658" s="6"/>
      <c r="E658" s="23"/>
      <c r="F658" s="24"/>
      <c r="G658" s="23"/>
      <c r="H658" s="24"/>
      <c r="I658" s="6"/>
    </row>
    <row r="659" spans="1:9" x14ac:dyDescent="0.2">
      <c r="A659" s="23"/>
      <c r="B659" s="23"/>
      <c r="C659" s="6"/>
      <c r="D659" s="6"/>
      <c r="E659" s="23"/>
      <c r="F659" s="24"/>
      <c r="G659" s="23"/>
      <c r="H659" s="24"/>
      <c r="I659" s="23"/>
    </row>
    <row r="660" spans="1:9" x14ac:dyDescent="0.2">
      <c r="A660" s="134"/>
      <c r="B660" s="134"/>
      <c r="C660" s="135"/>
      <c r="D660" s="135"/>
      <c r="E660" s="134"/>
      <c r="F660" s="136"/>
      <c r="G660" s="134"/>
      <c r="H660" s="136"/>
      <c r="I660" s="135"/>
    </row>
    <row r="661" spans="1:9" x14ac:dyDescent="0.2">
      <c r="A661" s="16"/>
      <c r="B661" s="16"/>
      <c r="C661" s="16"/>
      <c r="D661" s="16"/>
      <c r="E661" s="16"/>
      <c r="F661" s="17"/>
      <c r="G661" s="16"/>
      <c r="H661" s="17"/>
      <c r="I661" s="16"/>
    </row>
    <row r="662" spans="1:9" x14ac:dyDescent="0.2">
      <c r="A662" s="16"/>
      <c r="B662" s="16"/>
      <c r="C662" s="16"/>
      <c r="D662" s="16"/>
      <c r="E662" s="16"/>
      <c r="F662" s="17"/>
      <c r="G662" s="16"/>
      <c r="H662" s="17"/>
      <c r="I662" s="16"/>
    </row>
    <row r="663" spans="1:9" x14ac:dyDescent="0.2">
      <c r="A663" s="16"/>
      <c r="B663" s="16"/>
      <c r="C663" s="16"/>
      <c r="D663" s="16"/>
      <c r="E663" s="16"/>
      <c r="F663" s="17"/>
      <c r="G663" s="16"/>
      <c r="H663" s="17"/>
      <c r="I663" s="16"/>
    </row>
    <row r="664" spans="1:9" x14ac:dyDescent="0.2">
      <c r="A664" s="16"/>
      <c r="B664" s="16"/>
      <c r="C664" s="16"/>
      <c r="D664" s="16"/>
      <c r="E664" s="16"/>
      <c r="F664" s="17"/>
      <c r="G664" s="16"/>
      <c r="H664" s="17"/>
      <c r="I664" s="16"/>
    </row>
    <row r="665" spans="1:9" x14ac:dyDescent="0.2">
      <c r="A665" s="16"/>
      <c r="B665" s="16"/>
      <c r="C665" s="16"/>
      <c r="D665" s="16"/>
      <c r="E665" s="16"/>
      <c r="F665" s="17"/>
      <c r="G665" s="16"/>
      <c r="H665" s="17"/>
      <c r="I665" s="16"/>
    </row>
    <row r="666" spans="1:9" x14ac:dyDescent="0.2">
      <c r="A666" s="16"/>
      <c r="B666" s="16"/>
      <c r="C666" s="16"/>
      <c r="D666" s="16"/>
      <c r="E666" s="16"/>
      <c r="F666" s="17"/>
      <c r="G666" s="16"/>
      <c r="H666" s="17"/>
      <c r="I666" s="16"/>
    </row>
    <row r="667" spans="1:9" x14ac:dyDescent="0.2">
      <c r="A667" s="16"/>
      <c r="B667" s="16"/>
      <c r="C667" s="16"/>
      <c r="D667" s="16"/>
      <c r="E667" s="16"/>
      <c r="F667" s="17"/>
      <c r="G667" s="16"/>
      <c r="H667" s="17"/>
      <c r="I667" s="16"/>
    </row>
    <row r="668" spans="1:9" x14ac:dyDescent="0.2">
      <c r="A668" s="16"/>
      <c r="B668" s="16"/>
      <c r="C668" s="16"/>
      <c r="D668" s="16"/>
      <c r="E668" s="16"/>
      <c r="F668" s="17"/>
      <c r="G668" s="16"/>
      <c r="H668" s="17"/>
      <c r="I668" s="16"/>
    </row>
    <row r="669" spans="1:9" x14ac:dyDescent="0.2">
      <c r="A669" s="3"/>
      <c r="B669" s="3"/>
      <c r="C669" s="3"/>
      <c r="D669" s="3"/>
      <c r="E669" s="16"/>
      <c r="F669" s="17"/>
      <c r="G669" s="16"/>
      <c r="H669" s="17"/>
      <c r="I669" s="3"/>
    </row>
    <row r="670" spans="1:9" x14ac:dyDescent="0.2">
      <c r="A670" s="3"/>
      <c r="B670" s="3"/>
      <c r="C670" s="3"/>
      <c r="D670" s="3"/>
      <c r="E670" s="16"/>
      <c r="F670" s="17"/>
      <c r="G670" s="16"/>
      <c r="H670" s="17"/>
      <c r="I670" s="3"/>
    </row>
    <row r="671" spans="1:9" x14ac:dyDescent="0.2">
      <c r="A671" s="16"/>
      <c r="B671" s="16"/>
      <c r="C671" s="16"/>
      <c r="D671" s="16"/>
      <c r="E671" s="16"/>
      <c r="F671" s="17"/>
      <c r="G671" s="16"/>
      <c r="H671" s="17"/>
      <c r="I671" s="16"/>
    </row>
    <row r="672" spans="1:9" x14ac:dyDescent="0.2">
      <c r="A672" s="3"/>
      <c r="B672" s="3"/>
      <c r="C672" s="3"/>
      <c r="D672" s="3"/>
      <c r="E672" s="16"/>
      <c r="F672" s="17"/>
      <c r="G672" s="16"/>
      <c r="H672" s="17"/>
      <c r="I672" s="3"/>
    </row>
    <row r="673" spans="1:9" x14ac:dyDescent="0.2">
      <c r="A673" s="16"/>
      <c r="B673" s="16"/>
      <c r="C673" s="16"/>
      <c r="D673" s="16"/>
      <c r="E673" s="16"/>
      <c r="F673" s="17"/>
      <c r="G673" s="16"/>
      <c r="H673" s="17"/>
      <c r="I673" s="16"/>
    </row>
    <row r="674" spans="1:9" x14ac:dyDescent="0.2">
      <c r="A674" s="16"/>
      <c r="B674" s="16"/>
      <c r="C674" s="16"/>
      <c r="D674" s="16"/>
      <c r="E674" s="16"/>
      <c r="F674" s="17"/>
      <c r="G674" s="16"/>
      <c r="H674" s="17"/>
      <c r="I674" s="16"/>
    </row>
    <row r="675" spans="1:9" x14ac:dyDescent="0.2">
      <c r="A675" s="16"/>
      <c r="B675" s="16"/>
      <c r="C675" s="16"/>
      <c r="D675" s="16"/>
      <c r="E675" s="16"/>
      <c r="F675" s="17"/>
      <c r="G675" s="16"/>
      <c r="H675" s="17"/>
      <c r="I675" s="16"/>
    </row>
    <row r="676" spans="1:9" x14ac:dyDescent="0.2">
      <c r="A676" s="16"/>
      <c r="B676" s="16"/>
      <c r="C676" s="16"/>
      <c r="D676" s="16"/>
      <c r="E676" s="16"/>
      <c r="F676" s="17"/>
      <c r="G676" s="16"/>
      <c r="H676" s="17"/>
      <c r="I676" s="16"/>
    </row>
    <row r="677" spans="1:9" x14ac:dyDescent="0.2">
      <c r="A677" s="16"/>
      <c r="B677" s="16"/>
      <c r="C677" s="16"/>
      <c r="D677" s="16"/>
      <c r="E677" s="16"/>
      <c r="F677" s="17"/>
      <c r="G677" s="16"/>
      <c r="H677" s="17"/>
      <c r="I677" s="16"/>
    </row>
    <row r="678" spans="1:9" x14ac:dyDescent="0.2">
      <c r="A678" s="16"/>
      <c r="B678" s="16"/>
      <c r="C678" s="16"/>
      <c r="D678" s="16"/>
      <c r="E678" s="16"/>
      <c r="F678" s="17"/>
      <c r="G678" s="16"/>
      <c r="H678" s="17"/>
      <c r="I678" s="16"/>
    </row>
    <row r="679" spans="1:9" x14ac:dyDescent="0.2">
      <c r="A679" s="16"/>
      <c r="B679" s="16"/>
      <c r="C679" s="16"/>
      <c r="D679" s="16"/>
      <c r="E679" s="16"/>
      <c r="F679" s="17"/>
      <c r="G679" s="16"/>
      <c r="H679" s="17"/>
      <c r="I679" s="16"/>
    </row>
    <row r="680" spans="1:9" x14ac:dyDescent="0.2">
      <c r="A680" s="16"/>
      <c r="B680" s="16"/>
      <c r="C680" s="16"/>
      <c r="D680" s="16"/>
      <c r="E680" s="16"/>
      <c r="F680" s="17"/>
      <c r="G680" s="16"/>
      <c r="H680" s="17"/>
      <c r="I680" s="16"/>
    </row>
    <row r="681" spans="1:9" x14ac:dyDescent="0.2">
      <c r="A681" s="3"/>
      <c r="B681" s="3"/>
      <c r="C681" s="3"/>
      <c r="D681" s="3"/>
      <c r="E681" s="16"/>
      <c r="F681" s="17"/>
      <c r="G681" s="16"/>
      <c r="H681" s="17"/>
      <c r="I681" s="3"/>
    </row>
    <row r="682" spans="1:9" x14ac:dyDescent="0.2">
      <c r="A682" s="16"/>
      <c r="B682" s="16"/>
      <c r="C682" s="3"/>
      <c r="D682" s="3"/>
      <c r="E682" s="16"/>
      <c r="F682" s="17"/>
      <c r="G682" s="16"/>
      <c r="H682" s="17"/>
      <c r="I682" s="3"/>
    </row>
    <row r="683" spans="1:9" x14ac:dyDescent="0.2">
      <c r="A683" s="23"/>
      <c r="B683" s="23"/>
      <c r="C683" s="23"/>
      <c r="D683" s="23"/>
      <c r="E683" s="23"/>
      <c r="F683" s="25"/>
      <c r="G683" s="23"/>
      <c r="H683" s="25"/>
      <c r="I683" s="23"/>
    </row>
    <row r="684" spans="1:9" x14ac:dyDescent="0.2">
      <c r="A684" s="23"/>
      <c r="B684" s="23"/>
      <c r="C684" s="23"/>
      <c r="D684" s="23"/>
      <c r="E684" s="23"/>
      <c r="F684" s="25"/>
      <c r="G684" s="23"/>
      <c r="H684" s="25"/>
      <c r="I684" s="23"/>
    </row>
    <row r="685" spans="1:9" x14ac:dyDescent="0.2">
      <c r="A685" s="23"/>
      <c r="B685" s="23"/>
      <c r="C685" s="23"/>
      <c r="D685" s="23"/>
      <c r="E685" s="23"/>
      <c r="F685" s="25"/>
      <c r="G685" s="23"/>
      <c r="H685" s="25"/>
      <c r="I685" s="23"/>
    </row>
    <row r="686" spans="1:9" x14ac:dyDescent="0.2">
      <c r="A686" s="23"/>
      <c r="B686" s="23"/>
      <c r="C686" s="23"/>
      <c r="D686" s="23"/>
      <c r="E686" s="23"/>
      <c r="F686" s="25"/>
      <c r="G686" s="23"/>
      <c r="H686" s="25"/>
      <c r="I686" s="23"/>
    </row>
    <row r="687" spans="1:9" x14ac:dyDescent="0.2">
      <c r="A687" s="23"/>
      <c r="B687" s="23"/>
      <c r="C687" s="23"/>
      <c r="D687" s="23"/>
      <c r="E687" s="23"/>
      <c r="F687" s="25"/>
      <c r="G687" s="23"/>
      <c r="H687" s="25"/>
      <c r="I687" s="23"/>
    </row>
    <row r="688" spans="1:9" x14ac:dyDescent="0.2">
      <c r="A688" s="23"/>
      <c r="B688" s="23"/>
      <c r="C688" s="23"/>
      <c r="D688" s="23"/>
      <c r="E688" s="23"/>
      <c r="F688" s="25"/>
      <c r="G688" s="23"/>
      <c r="H688" s="25"/>
      <c r="I688" s="23"/>
    </row>
    <row r="689" spans="1:9" x14ac:dyDescent="0.2">
      <c r="A689" s="23"/>
      <c r="B689" s="23"/>
      <c r="C689" s="23"/>
      <c r="D689" s="23"/>
      <c r="E689" s="23"/>
      <c r="F689" s="25"/>
      <c r="G689" s="23"/>
      <c r="H689" s="25"/>
      <c r="I689" s="23"/>
    </row>
    <row r="690" spans="1:9" x14ac:dyDescent="0.2">
      <c r="A690" s="23"/>
      <c r="B690" s="23"/>
      <c r="C690" s="23"/>
      <c r="D690" s="23"/>
      <c r="E690" s="23"/>
      <c r="F690" s="25"/>
      <c r="G690" s="23"/>
      <c r="H690" s="25"/>
      <c r="I690" s="23"/>
    </row>
    <row r="691" spans="1:9" x14ac:dyDescent="0.2">
      <c r="A691" s="26"/>
      <c r="B691" s="26"/>
      <c r="C691" s="26"/>
      <c r="D691" s="26"/>
      <c r="E691" s="27"/>
      <c r="F691" s="25"/>
      <c r="G691" s="27"/>
      <c r="H691" s="25"/>
      <c r="I691" s="26"/>
    </row>
    <row r="692" spans="1:9" x14ac:dyDescent="0.2">
      <c r="A692" s="26"/>
      <c r="B692" s="26"/>
      <c r="C692" s="26"/>
      <c r="D692" s="26"/>
      <c r="E692" s="27"/>
      <c r="F692" s="25"/>
      <c r="G692" s="27"/>
      <c r="H692" s="25"/>
      <c r="I692" s="26"/>
    </row>
    <row r="693" spans="1:9" x14ac:dyDescent="0.2">
      <c r="A693" s="27"/>
      <c r="B693" s="27"/>
      <c r="C693" s="27"/>
      <c r="D693" s="27"/>
      <c r="E693" s="27"/>
      <c r="F693" s="25"/>
      <c r="G693" s="27"/>
      <c r="H693" s="25"/>
      <c r="I693" s="27"/>
    </row>
    <row r="694" spans="1:9" x14ac:dyDescent="0.2">
      <c r="A694" s="26"/>
      <c r="B694" s="26"/>
      <c r="C694" s="26"/>
      <c r="D694" s="26"/>
      <c r="E694" s="27"/>
      <c r="F694" s="25"/>
      <c r="G694" s="27"/>
      <c r="H694" s="25"/>
      <c r="I694" s="26"/>
    </row>
    <row r="695" spans="1:9" x14ac:dyDescent="0.2">
      <c r="A695" s="27"/>
      <c r="B695" s="27"/>
      <c r="C695" s="27"/>
      <c r="D695" s="27"/>
      <c r="E695" s="27"/>
      <c r="F695" s="25"/>
      <c r="G695" s="27"/>
      <c r="H695" s="25"/>
      <c r="I695" s="27"/>
    </row>
    <row r="696" spans="1:9" x14ac:dyDescent="0.2">
      <c r="A696" s="27"/>
      <c r="B696" s="27"/>
      <c r="C696" s="27"/>
      <c r="D696" s="27"/>
      <c r="E696" s="27"/>
      <c r="F696" s="25"/>
      <c r="G696" s="27"/>
      <c r="H696" s="25"/>
      <c r="I696" s="27"/>
    </row>
    <row r="697" spans="1:9" x14ac:dyDescent="0.2">
      <c r="A697" s="27"/>
      <c r="B697" s="27"/>
      <c r="C697" s="27"/>
      <c r="D697" s="27"/>
      <c r="E697" s="27"/>
      <c r="F697" s="25"/>
      <c r="G697" s="27"/>
      <c r="H697" s="25"/>
      <c r="I697" s="27"/>
    </row>
    <row r="698" spans="1:9" x14ac:dyDescent="0.2">
      <c r="A698" s="27"/>
      <c r="B698" s="27"/>
      <c r="C698" s="27"/>
      <c r="D698" s="27"/>
      <c r="E698" s="27"/>
      <c r="F698" s="25"/>
      <c r="G698" s="27"/>
      <c r="H698" s="25"/>
      <c r="I698" s="27"/>
    </row>
    <row r="699" spans="1:9" x14ac:dyDescent="0.2">
      <c r="A699" s="27"/>
      <c r="B699" s="27"/>
      <c r="C699" s="27"/>
      <c r="D699" s="27"/>
      <c r="E699" s="27"/>
      <c r="F699" s="25"/>
      <c r="G699" s="27"/>
      <c r="H699" s="25"/>
      <c r="I699" s="27"/>
    </row>
    <row r="700" spans="1:9" x14ac:dyDescent="0.2">
      <c r="A700" s="27"/>
      <c r="B700" s="27"/>
      <c r="C700" s="27"/>
      <c r="D700" s="27"/>
      <c r="E700" s="27"/>
      <c r="F700" s="25"/>
      <c r="G700" s="27"/>
      <c r="H700" s="25"/>
      <c r="I700" s="27"/>
    </row>
    <row r="701" spans="1:9" x14ac:dyDescent="0.2">
      <c r="A701" s="27"/>
      <c r="B701" s="27"/>
      <c r="C701" s="27"/>
      <c r="D701" s="27"/>
      <c r="E701" s="27"/>
      <c r="F701" s="25"/>
      <c r="G701" s="27"/>
      <c r="H701" s="25"/>
      <c r="I701" s="27"/>
    </row>
    <row r="702" spans="1:9" x14ac:dyDescent="0.2">
      <c r="A702" s="27"/>
      <c r="B702" s="27"/>
      <c r="C702" s="27"/>
      <c r="D702" s="27"/>
      <c r="E702" s="27"/>
      <c r="F702" s="25"/>
      <c r="G702" s="27"/>
      <c r="H702" s="25"/>
      <c r="I702" s="27"/>
    </row>
    <row r="703" spans="1:9" x14ac:dyDescent="0.2">
      <c r="A703" s="26"/>
      <c r="B703" s="26"/>
      <c r="C703" s="26"/>
      <c r="D703" s="26"/>
      <c r="E703" s="27"/>
      <c r="F703" s="25"/>
      <c r="G703" s="27"/>
      <c r="H703" s="25"/>
      <c r="I703" s="26"/>
    </row>
    <row r="704" spans="1:9" x14ac:dyDescent="0.2">
      <c r="A704" s="27"/>
      <c r="B704" s="27"/>
      <c r="C704" s="26"/>
      <c r="D704" s="26"/>
      <c r="E704" s="27"/>
      <c r="F704" s="25"/>
      <c r="G704" s="27"/>
      <c r="H704" s="25"/>
      <c r="I704" s="26"/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71"/>
  <sheetViews>
    <sheetView zoomScale="86" zoomScaleNormal="86" workbookViewId="0">
      <selection activeCell="C1" sqref="C1"/>
    </sheetView>
  </sheetViews>
  <sheetFormatPr defaultRowHeight="12.75" x14ac:dyDescent="0.2"/>
  <cols>
    <col min="1" max="1" width="42.140625"/>
    <col min="2" max="2" width="19.28515625"/>
    <col min="3" max="3" width="14.42578125"/>
    <col min="4" max="5" width="12.42578125"/>
    <col min="6" max="6" width="23.7109375" style="1"/>
    <col min="7" max="7" width="19.5703125"/>
    <col min="8" max="8" width="19.140625"/>
    <col min="9" max="9" width="20.7109375" style="1"/>
    <col min="10" max="10" width="15.7109375"/>
    <col min="11" max="11" width="14.42578125"/>
    <col min="12" max="12" width="12.42578125"/>
    <col min="13" max="13" width="14.42578125"/>
    <col min="14" max="1025" width="12.42578125"/>
  </cols>
  <sheetData>
    <row r="1" spans="1:11" x14ac:dyDescent="0.2">
      <c r="A1" s="28" t="s">
        <v>264</v>
      </c>
      <c r="B1" s="28" t="s">
        <v>265</v>
      </c>
      <c r="C1" s="28" t="s">
        <v>266</v>
      </c>
      <c r="D1" s="28" t="s">
        <v>267</v>
      </c>
      <c r="E1" s="28" t="s">
        <v>268</v>
      </c>
      <c r="F1" s="29" t="s">
        <v>269</v>
      </c>
      <c r="G1" s="28" t="s">
        <v>270</v>
      </c>
      <c r="H1" s="28" t="s">
        <v>271</v>
      </c>
      <c r="I1" s="29" t="s">
        <v>272</v>
      </c>
      <c r="J1" s="28" t="s">
        <v>273</v>
      </c>
      <c r="K1" s="2"/>
    </row>
    <row r="2" spans="1:11" x14ac:dyDescent="0.2">
      <c r="A2" s="30" t="s">
        <v>274</v>
      </c>
      <c r="B2" s="31">
        <v>69</v>
      </c>
      <c r="C2" s="28">
        <v>0</v>
      </c>
      <c r="D2" s="28">
        <v>1</v>
      </c>
      <c r="E2" s="28">
        <v>1</v>
      </c>
      <c r="F2" s="29">
        <v>42379</v>
      </c>
      <c r="G2" s="28">
        <v>0</v>
      </c>
      <c r="H2" s="28"/>
      <c r="I2" s="32">
        <v>42350</v>
      </c>
      <c r="J2" s="28" t="s">
        <v>617</v>
      </c>
    </row>
    <row r="3" spans="1:11" x14ac:dyDescent="0.2">
      <c r="A3" s="33" t="s">
        <v>275</v>
      </c>
      <c r="B3" s="31">
        <v>50</v>
      </c>
      <c r="C3" s="28">
        <v>0</v>
      </c>
      <c r="D3" s="28">
        <v>1</v>
      </c>
      <c r="E3" s="28">
        <v>1</v>
      </c>
      <c r="F3" s="29">
        <v>42379</v>
      </c>
      <c r="G3" s="28">
        <v>0</v>
      </c>
      <c r="H3" s="28"/>
      <c r="I3" s="32">
        <v>42350</v>
      </c>
      <c r="J3" s="28" t="s">
        <v>68</v>
      </c>
    </row>
    <row r="4" spans="1:11" x14ac:dyDescent="0.2">
      <c r="A4" s="33" t="s">
        <v>276</v>
      </c>
      <c r="B4" s="31">
        <v>263.5</v>
      </c>
      <c r="C4" s="28">
        <v>0</v>
      </c>
      <c r="D4" s="28">
        <v>1</v>
      </c>
      <c r="E4" s="28">
        <v>1</v>
      </c>
      <c r="F4" s="29">
        <v>42379</v>
      </c>
      <c r="G4" s="28">
        <v>0</v>
      </c>
      <c r="H4" s="28"/>
      <c r="I4" s="32">
        <v>42350</v>
      </c>
      <c r="J4" s="28" t="s">
        <v>34</v>
      </c>
    </row>
    <row r="5" spans="1:11" x14ac:dyDescent="0.2">
      <c r="A5" s="33" t="s">
        <v>277</v>
      </c>
      <c r="B5" s="31">
        <v>41.49</v>
      </c>
      <c r="C5" s="28">
        <v>0</v>
      </c>
      <c r="D5" s="28">
        <v>1</v>
      </c>
      <c r="E5" s="28">
        <v>1</v>
      </c>
      <c r="F5" s="29">
        <v>42379</v>
      </c>
      <c r="G5" s="28">
        <v>0</v>
      </c>
      <c r="H5" s="28"/>
      <c r="I5" s="32">
        <v>42355</v>
      </c>
      <c r="J5" s="28" t="s">
        <v>68</v>
      </c>
    </row>
    <row r="6" spans="1:11" x14ac:dyDescent="0.2">
      <c r="A6" s="33" t="s">
        <v>278</v>
      </c>
      <c r="B6" s="31">
        <v>27</v>
      </c>
      <c r="C6" s="28">
        <v>0</v>
      </c>
      <c r="D6" s="28">
        <v>1</v>
      </c>
      <c r="E6" s="28">
        <v>1</v>
      </c>
      <c r="F6" s="29">
        <v>42379</v>
      </c>
      <c r="G6" s="28">
        <v>0</v>
      </c>
      <c r="H6" s="28"/>
      <c r="I6" s="32">
        <v>42356</v>
      </c>
      <c r="J6" s="28" t="s">
        <v>68</v>
      </c>
    </row>
    <row r="7" spans="1:11" x14ac:dyDescent="0.2">
      <c r="A7" s="33" t="s">
        <v>279</v>
      </c>
      <c r="B7" s="31">
        <v>200</v>
      </c>
      <c r="C7" s="28">
        <v>0</v>
      </c>
      <c r="D7" s="28">
        <v>1</v>
      </c>
      <c r="E7" s="28">
        <v>1</v>
      </c>
      <c r="F7" s="29">
        <v>42379</v>
      </c>
      <c r="G7" s="28">
        <v>0</v>
      </c>
      <c r="H7" s="28"/>
      <c r="I7" s="32">
        <v>42356</v>
      </c>
      <c r="J7" s="28" t="s">
        <v>68</v>
      </c>
    </row>
    <row r="8" spans="1:11" x14ac:dyDescent="0.2">
      <c r="A8" s="33" t="s">
        <v>280</v>
      </c>
      <c r="B8" s="31">
        <v>16</v>
      </c>
      <c r="C8" s="28">
        <v>0</v>
      </c>
      <c r="D8" s="28">
        <v>1</v>
      </c>
      <c r="E8" s="28">
        <v>1</v>
      </c>
      <c r="F8" s="29">
        <v>42379</v>
      </c>
      <c r="G8" s="28">
        <v>0</v>
      </c>
      <c r="H8" s="28"/>
      <c r="I8" s="32">
        <v>42357</v>
      </c>
      <c r="J8" s="28" t="s">
        <v>68</v>
      </c>
    </row>
    <row r="9" spans="1:11" x14ac:dyDescent="0.2">
      <c r="A9" s="33" t="s">
        <v>281</v>
      </c>
      <c r="B9" s="31">
        <v>30</v>
      </c>
      <c r="C9" s="28">
        <v>0</v>
      </c>
      <c r="D9" s="28">
        <v>1</v>
      </c>
      <c r="E9" s="28">
        <v>1</v>
      </c>
      <c r="F9" s="29">
        <v>42379</v>
      </c>
      <c r="G9" s="28">
        <v>0</v>
      </c>
      <c r="H9" s="28"/>
      <c r="I9" s="32">
        <v>42357</v>
      </c>
      <c r="J9" s="28" t="s">
        <v>68</v>
      </c>
    </row>
    <row r="10" spans="1:11" x14ac:dyDescent="0.2">
      <c r="A10" s="33" t="s">
        <v>282</v>
      </c>
      <c r="B10" s="31">
        <v>39.9</v>
      </c>
      <c r="C10" s="28">
        <v>0</v>
      </c>
      <c r="D10" s="28">
        <v>1</v>
      </c>
      <c r="E10" s="28">
        <v>1</v>
      </c>
      <c r="F10" s="29">
        <v>42379</v>
      </c>
      <c r="G10" s="28">
        <v>0</v>
      </c>
      <c r="H10" s="28"/>
      <c r="I10" s="32">
        <v>42357</v>
      </c>
      <c r="J10" s="28" t="s">
        <v>68</v>
      </c>
    </row>
    <row r="11" spans="1:11" x14ac:dyDescent="0.2">
      <c r="A11" s="33" t="s">
        <v>283</v>
      </c>
      <c r="B11" s="31">
        <v>25</v>
      </c>
      <c r="C11" s="28">
        <v>0</v>
      </c>
      <c r="D11" s="28">
        <v>1</v>
      </c>
      <c r="E11" s="28">
        <v>1</v>
      </c>
      <c r="F11" s="29">
        <v>42379</v>
      </c>
      <c r="G11" s="28">
        <v>0</v>
      </c>
      <c r="H11" s="28"/>
      <c r="I11" s="32">
        <v>42360</v>
      </c>
      <c r="J11" s="28" t="s">
        <v>68</v>
      </c>
    </row>
    <row r="12" spans="1:11" x14ac:dyDescent="0.2">
      <c r="A12" s="33" t="s">
        <v>284</v>
      </c>
      <c r="B12" s="31">
        <v>63</v>
      </c>
      <c r="C12" s="28">
        <v>0</v>
      </c>
      <c r="D12" s="28">
        <v>1</v>
      </c>
      <c r="E12" s="28">
        <v>1</v>
      </c>
      <c r="F12" s="29">
        <v>42379</v>
      </c>
      <c r="G12" s="28">
        <v>0</v>
      </c>
      <c r="H12" s="28"/>
      <c r="I12" s="32">
        <v>42360</v>
      </c>
      <c r="J12" s="28" t="s">
        <v>68</v>
      </c>
    </row>
    <row r="13" spans="1:11" x14ac:dyDescent="0.2">
      <c r="A13" s="33" t="s">
        <v>285</v>
      </c>
      <c r="B13" s="31">
        <v>306.24</v>
      </c>
      <c r="C13" s="28">
        <v>0</v>
      </c>
      <c r="D13" s="28">
        <v>1</v>
      </c>
      <c r="E13" s="28">
        <v>1</v>
      </c>
      <c r="F13" s="29">
        <v>42379</v>
      </c>
      <c r="G13" s="28">
        <v>0</v>
      </c>
      <c r="H13" s="28"/>
      <c r="I13" s="32">
        <v>42362</v>
      </c>
      <c r="J13" s="28" t="s">
        <v>60</v>
      </c>
    </row>
    <row r="14" spans="1:11" x14ac:dyDescent="0.2">
      <c r="A14" s="33" t="s">
        <v>286</v>
      </c>
      <c r="B14" s="31">
        <v>389.98</v>
      </c>
      <c r="C14" s="28">
        <v>0</v>
      </c>
      <c r="D14" s="28">
        <v>1</v>
      </c>
      <c r="E14" s="28">
        <v>1</v>
      </c>
      <c r="F14" s="29">
        <v>42379</v>
      </c>
      <c r="G14" s="28">
        <v>0</v>
      </c>
      <c r="H14" s="28"/>
      <c r="I14" s="32">
        <v>42364</v>
      </c>
      <c r="J14" s="28" t="s">
        <v>43</v>
      </c>
    </row>
    <row r="15" spans="1:11" x14ac:dyDescent="0.2">
      <c r="A15" s="33" t="s">
        <v>287</v>
      </c>
      <c r="B15" s="31">
        <v>52.15</v>
      </c>
      <c r="C15" s="28">
        <v>0</v>
      </c>
      <c r="D15" s="28">
        <v>1</v>
      </c>
      <c r="E15" s="28">
        <v>1</v>
      </c>
      <c r="F15" s="29">
        <v>42379</v>
      </c>
      <c r="G15" s="28">
        <v>0</v>
      </c>
      <c r="H15" s="28"/>
      <c r="I15" s="32">
        <v>42364</v>
      </c>
      <c r="J15" s="28" t="s">
        <v>150</v>
      </c>
    </row>
    <row r="16" spans="1:11" x14ac:dyDescent="0.2">
      <c r="A16" s="30" t="s">
        <v>291</v>
      </c>
      <c r="B16" s="31">
        <v>74.900000000000006</v>
      </c>
      <c r="C16" s="28">
        <v>0</v>
      </c>
      <c r="D16" s="28">
        <v>1</v>
      </c>
      <c r="E16" s="28">
        <v>1</v>
      </c>
      <c r="F16" s="29">
        <v>42379</v>
      </c>
      <c r="G16" s="28">
        <v>0</v>
      </c>
      <c r="H16" s="28"/>
      <c r="I16" s="32">
        <v>42339</v>
      </c>
      <c r="J16" s="28" t="s">
        <v>103</v>
      </c>
    </row>
    <row r="17" spans="1:11" x14ac:dyDescent="0.2">
      <c r="A17" s="34" t="s">
        <v>285</v>
      </c>
      <c r="B17" s="35">
        <v>270.39999999999998</v>
      </c>
      <c r="C17" s="28">
        <v>0</v>
      </c>
      <c r="D17" s="28">
        <v>1</v>
      </c>
      <c r="E17" s="28">
        <v>1</v>
      </c>
      <c r="F17" s="29">
        <v>42379</v>
      </c>
      <c r="G17" s="28">
        <v>0</v>
      </c>
      <c r="H17" s="36"/>
      <c r="I17" s="32">
        <v>42368</v>
      </c>
      <c r="J17" s="28" t="s">
        <v>60</v>
      </c>
      <c r="K17" s="17"/>
    </row>
    <row r="18" spans="1:11" x14ac:dyDescent="0.2">
      <c r="A18" s="34" t="s">
        <v>292</v>
      </c>
      <c r="B18" s="35">
        <v>39.64</v>
      </c>
      <c r="C18" s="28">
        <v>0</v>
      </c>
      <c r="D18" s="28">
        <v>1</v>
      </c>
      <c r="E18" s="28">
        <v>1</v>
      </c>
      <c r="F18" s="29">
        <v>42379</v>
      </c>
      <c r="G18" s="28">
        <v>0</v>
      </c>
      <c r="H18" s="36"/>
      <c r="I18" s="37">
        <v>42006</v>
      </c>
      <c r="J18" s="28" t="s">
        <v>82</v>
      </c>
      <c r="K18" s="17"/>
    </row>
    <row r="19" spans="1:11" x14ac:dyDescent="0.2">
      <c r="A19" s="34" t="s">
        <v>293</v>
      </c>
      <c r="B19" s="35">
        <v>79.95</v>
      </c>
      <c r="C19" s="28">
        <v>0</v>
      </c>
      <c r="D19" s="28">
        <v>1</v>
      </c>
      <c r="E19" s="28">
        <v>1</v>
      </c>
      <c r="F19" s="29">
        <v>42379</v>
      </c>
      <c r="G19" s="28">
        <v>0</v>
      </c>
      <c r="H19" s="36"/>
      <c r="I19" s="37">
        <v>42006</v>
      </c>
      <c r="J19" s="28" t="s">
        <v>150</v>
      </c>
      <c r="K19" s="17"/>
    </row>
    <row r="20" spans="1:11" x14ac:dyDescent="0.2">
      <c r="A20" s="34" t="s">
        <v>294</v>
      </c>
      <c r="B20" s="35">
        <v>32</v>
      </c>
      <c r="C20" s="28">
        <v>0</v>
      </c>
      <c r="D20" s="28">
        <v>1</v>
      </c>
      <c r="E20" s="28">
        <v>1</v>
      </c>
      <c r="F20" s="29">
        <v>42379</v>
      </c>
      <c r="G20" s="28">
        <v>0</v>
      </c>
      <c r="H20" s="28"/>
      <c r="I20" s="37">
        <v>42372</v>
      </c>
      <c r="J20" s="28" t="s">
        <v>58</v>
      </c>
      <c r="K20" s="17"/>
    </row>
    <row r="21" spans="1:11" x14ac:dyDescent="0.2">
      <c r="A21" s="34" t="s">
        <v>286</v>
      </c>
      <c r="B21" s="35">
        <v>800</v>
      </c>
      <c r="C21" s="28">
        <v>0</v>
      </c>
      <c r="D21" s="28">
        <v>1</v>
      </c>
      <c r="E21" s="28">
        <v>1</v>
      </c>
      <c r="F21" s="29">
        <v>42379</v>
      </c>
      <c r="G21" s="28">
        <v>0</v>
      </c>
      <c r="H21" s="28"/>
      <c r="I21" s="37">
        <v>42373</v>
      </c>
      <c r="J21" s="28" t="s">
        <v>43</v>
      </c>
      <c r="K21" s="17"/>
    </row>
    <row r="22" spans="1:11" x14ac:dyDescent="0.2">
      <c r="A22" s="34" t="s">
        <v>286</v>
      </c>
      <c r="B22" s="35">
        <v>150.96</v>
      </c>
      <c r="C22" s="28">
        <v>0</v>
      </c>
      <c r="D22" s="28">
        <v>1</v>
      </c>
      <c r="E22" s="28">
        <v>1</v>
      </c>
      <c r="F22" s="29">
        <v>42379</v>
      </c>
      <c r="G22" s="28">
        <v>0</v>
      </c>
      <c r="H22" s="36"/>
      <c r="I22" s="37">
        <v>42373</v>
      </c>
      <c r="J22" s="28" t="s">
        <v>43</v>
      </c>
      <c r="K22" s="17"/>
    </row>
    <row r="23" spans="1:11" x14ac:dyDescent="0.2">
      <c r="A23" s="34" t="s">
        <v>295</v>
      </c>
      <c r="B23" s="35">
        <v>94.16</v>
      </c>
      <c r="C23" s="28">
        <v>0</v>
      </c>
      <c r="D23" s="28">
        <v>1</v>
      </c>
      <c r="E23" s="28">
        <v>1</v>
      </c>
      <c r="F23" s="29">
        <v>42379</v>
      </c>
      <c r="G23" s="28">
        <v>0</v>
      </c>
      <c r="H23" s="36"/>
      <c r="I23" s="37">
        <v>42373</v>
      </c>
      <c r="J23" s="28" t="s">
        <v>150</v>
      </c>
      <c r="K23" s="17"/>
    </row>
    <row r="24" spans="1:11" x14ac:dyDescent="0.2">
      <c r="A24" s="34" t="s">
        <v>296</v>
      </c>
      <c r="B24" s="35">
        <v>10</v>
      </c>
      <c r="C24" s="28">
        <v>0</v>
      </c>
      <c r="D24" s="28">
        <v>1</v>
      </c>
      <c r="E24" s="28">
        <v>1</v>
      </c>
      <c r="F24" s="29">
        <v>42379</v>
      </c>
      <c r="G24" s="28">
        <v>0</v>
      </c>
      <c r="H24" s="36"/>
      <c r="I24" s="37">
        <v>42373</v>
      </c>
      <c r="J24" s="28" t="s">
        <v>68</v>
      </c>
      <c r="K24" s="17"/>
    </row>
    <row r="25" spans="1:11" x14ac:dyDescent="0.2">
      <c r="A25" s="34" t="s">
        <v>297</v>
      </c>
      <c r="B25" s="35">
        <v>20.66</v>
      </c>
      <c r="C25" s="28">
        <v>0</v>
      </c>
      <c r="D25" s="28">
        <v>1</v>
      </c>
      <c r="E25" s="28">
        <v>1</v>
      </c>
      <c r="F25" s="29">
        <v>42379</v>
      </c>
      <c r="G25" s="28">
        <v>0</v>
      </c>
      <c r="H25" s="36"/>
      <c r="I25" s="37">
        <v>42373</v>
      </c>
      <c r="J25" s="28" t="s">
        <v>82</v>
      </c>
      <c r="K25" s="17"/>
    </row>
    <row r="26" spans="1:11" x14ac:dyDescent="0.2">
      <c r="A26" s="34" t="s">
        <v>298</v>
      </c>
      <c r="B26" s="35">
        <v>88.46</v>
      </c>
      <c r="C26" s="28">
        <v>0</v>
      </c>
      <c r="D26" s="28">
        <v>1</v>
      </c>
      <c r="E26" s="28">
        <v>1</v>
      </c>
      <c r="F26" s="29">
        <v>42379</v>
      </c>
      <c r="G26" s="28">
        <v>0</v>
      </c>
      <c r="H26" s="36"/>
      <c r="I26" s="37">
        <v>42373</v>
      </c>
      <c r="J26" s="28" t="s">
        <v>60</v>
      </c>
      <c r="K26" s="17"/>
    </row>
    <row r="27" spans="1:11" x14ac:dyDescent="0.2">
      <c r="A27" s="34" t="s">
        <v>299</v>
      </c>
      <c r="B27" s="35">
        <v>5.5</v>
      </c>
      <c r="C27" s="28">
        <v>0</v>
      </c>
      <c r="D27" s="28">
        <v>1</v>
      </c>
      <c r="E27" s="28">
        <v>1</v>
      </c>
      <c r="F27" s="29">
        <v>42379</v>
      </c>
      <c r="G27" s="28">
        <v>0</v>
      </c>
      <c r="H27" s="36"/>
      <c r="I27" s="37">
        <v>42374</v>
      </c>
      <c r="J27" s="28" t="s">
        <v>63</v>
      </c>
      <c r="K27" s="17"/>
    </row>
    <row r="28" spans="1:11" x14ac:dyDescent="0.2">
      <c r="A28" s="34" t="s">
        <v>300</v>
      </c>
      <c r="B28" s="35">
        <v>2.99</v>
      </c>
      <c r="C28" s="28">
        <v>0</v>
      </c>
      <c r="D28" s="28">
        <v>1</v>
      </c>
      <c r="E28" s="28">
        <v>1</v>
      </c>
      <c r="F28" s="38">
        <v>42379</v>
      </c>
      <c r="G28" s="28">
        <v>0</v>
      </c>
      <c r="H28" s="36"/>
      <c r="I28" s="37">
        <v>42374</v>
      </c>
      <c r="J28" s="28" t="s">
        <v>63</v>
      </c>
      <c r="K28" s="17"/>
    </row>
    <row r="29" spans="1:11" x14ac:dyDescent="0.2">
      <c r="A29" s="33" t="s">
        <v>288</v>
      </c>
      <c r="B29" s="31">
        <v>50</v>
      </c>
      <c r="C29" s="28">
        <v>0</v>
      </c>
      <c r="D29" s="28">
        <v>1</v>
      </c>
      <c r="E29" s="28">
        <v>1</v>
      </c>
      <c r="F29" s="29">
        <v>42410</v>
      </c>
      <c r="G29" s="28">
        <v>0</v>
      </c>
      <c r="H29" s="28"/>
      <c r="I29" s="32">
        <v>42350</v>
      </c>
      <c r="J29" s="28" t="s">
        <v>68</v>
      </c>
    </row>
    <row r="30" spans="1:11" x14ac:dyDescent="0.2">
      <c r="A30" s="33" t="s">
        <v>289</v>
      </c>
      <c r="B30" s="31">
        <v>263.5</v>
      </c>
      <c r="C30" s="28">
        <v>0</v>
      </c>
      <c r="D30" s="28">
        <v>1</v>
      </c>
      <c r="E30" s="28">
        <v>1</v>
      </c>
      <c r="F30" s="29">
        <v>42410</v>
      </c>
      <c r="G30" s="28">
        <v>0</v>
      </c>
      <c r="H30" s="28"/>
      <c r="I30" s="32">
        <v>42350</v>
      </c>
      <c r="J30" s="28" t="s">
        <v>34</v>
      </c>
    </row>
    <row r="31" spans="1:11" x14ac:dyDescent="0.2">
      <c r="A31" s="30" t="s">
        <v>291</v>
      </c>
      <c r="B31" s="31">
        <v>74.900000000000006</v>
      </c>
      <c r="C31" s="28">
        <v>0</v>
      </c>
      <c r="D31" s="28">
        <v>1</v>
      </c>
      <c r="E31" s="28">
        <v>1</v>
      </c>
      <c r="F31" s="29">
        <v>42410</v>
      </c>
      <c r="G31" s="28">
        <v>0</v>
      </c>
      <c r="H31" s="28"/>
      <c r="I31" s="32">
        <v>42370</v>
      </c>
      <c r="J31" s="28" t="s">
        <v>103</v>
      </c>
    </row>
    <row r="32" spans="1:11" x14ac:dyDescent="0.2">
      <c r="A32" s="34" t="s">
        <v>301</v>
      </c>
      <c r="B32" s="35">
        <v>18.48</v>
      </c>
      <c r="C32" s="28">
        <v>0</v>
      </c>
      <c r="D32" s="28">
        <v>1</v>
      </c>
      <c r="E32" s="28">
        <v>1</v>
      </c>
      <c r="F32" s="39">
        <v>42410</v>
      </c>
      <c r="G32" s="28">
        <v>0</v>
      </c>
      <c r="H32" s="36"/>
      <c r="I32" s="37">
        <v>42375</v>
      </c>
      <c r="J32" s="28" t="s">
        <v>73</v>
      </c>
      <c r="K32" s="17"/>
    </row>
    <row r="33" spans="1:11" x14ac:dyDescent="0.2">
      <c r="A33" s="34" t="s">
        <v>300</v>
      </c>
      <c r="B33" s="35">
        <v>2.99</v>
      </c>
      <c r="C33" s="28">
        <v>0</v>
      </c>
      <c r="D33" s="28">
        <v>1</v>
      </c>
      <c r="E33" s="28">
        <v>1</v>
      </c>
      <c r="F33" s="39">
        <v>42410</v>
      </c>
      <c r="G33" s="28">
        <v>0</v>
      </c>
      <c r="H33" s="36"/>
      <c r="I33" s="37">
        <v>42375</v>
      </c>
      <c r="J33" s="28" t="s">
        <v>63</v>
      </c>
      <c r="K33" s="17"/>
    </row>
    <row r="34" spans="1:11" x14ac:dyDescent="0.2">
      <c r="A34" s="34" t="s">
        <v>300</v>
      </c>
      <c r="B34" s="35">
        <v>2.99</v>
      </c>
      <c r="C34" s="28">
        <v>0</v>
      </c>
      <c r="D34" s="28">
        <v>1</v>
      </c>
      <c r="E34" s="28">
        <v>1</v>
      </c>
      <c r="F34" s="39">
        <v>42410</v>
      </c>
      <c r="G34" s="28">
        <v>0</v>
      </c>
      <c r="H34" s="36"/>
      <c r="I34" s="37">
        <v>42376</v>
      </c>
      <c r="J34" s="28" t="s">
        <v>63</v>
      </c>
      <c r="K34" s="17"/>
    </row>
    <row r="35" spans="1:11" x14ac:dyDescent="0.2">
      <c r="A35" s="34" t="s">
        <v>298</v>
      </c>
      <c r="B35" s="35">
        <v>25.43</v>
      </c>
      <c r="C35" s="28">
        <v>0</v>
      </c>
      <c r="D35" s="28">
        <v>1</v>
      </c>
      <c r="E35" s="28">
        <v>1</v>
      </c>
      <c r="F35" s="39">
        <v>42410</v>
      </c>
      <c r="G35" s="28">
        <v>0</v>
      </c>
      <c r="H35" s="36"/>
      <c r="I35" s="37">
        <v>42376</v>
      </c>
      <c r="J35" s="28" t="s">
        <v>60</v>
      </c>
      <c r="K35" s="17"/>
    </row>
    <row r="36" spans="1:11" x14ac:dyDescent="0.2">
      <c r="A36" s="34" t="s">
        <v>302</v>
      </c>
      <c r="B36" s="35">
        <v>8.65</v>
      </c>
      <c r="C36" s="28">
        <v>0</v>
      </c>
      <c r="D36" s="28">
        <v>1</v>
      </c>
      <c r="E36" s="28">
        <v>1</v>
      </c>
      <c r="F36" s="39">
        <v>42410</v>
      </c>
      <c r="G36" s="28">
        <v>0</v>
      </c>
      <c r="H36" s="36"/>
      <c r="I36" s="37">
        <v>42377</v>
      </c>
      <c r="J36" s="28" t="s">
        <v>63</v>
      </c>
      <c r="K36" s="17"/>
    </row>
    <row r="37" spans="1:11" x14ac:dyDescent="0.2">
      <c r="A37" s="34" t="s">
        <v>303</v>
      </c>
      <c r="B37" s="35">
        <v>6</v>
      </c>
      <c r="C37" s="28">
        <v>0</v>
      </c>
      <c r="D37" s="28">
        <v>1</v>
      </c>
      <c r="E37" s="28">
        <v>1</v>
      </c>
      <c r="F37" s="39">
        <v>42410</v>
      </c>
      <c r="G37" s="28">
        <v>0</v>
      </c>
      <c r="H37" s="36"/>
      <c r="I37" s="37">
        <v>42377</v>
      </c>
      <c r="J37" s="28" t="s">
        <v>58</v>
      </c>
      <c r="K37" s="17"/>
    </row>
    <row r="38" spans="1:11" x14ac:dyDescent="0.2">
      <c r="A38" s="40" t="s">
        <v>304</v>
      </c>
      <c r="B38" s="35">
        <v>203</v>
      </c>
      <c r="C38" s="28">
        <v>0</v>
      </c>
      <c r="D38" s="28">
        <v>1</v>
      </c>
      <c r="E38" s="28">
        <v>1</v>
      </c>
      <c r="F38" s="39">
        <v>42410</v>
      </c>
      <c r="G38" s="28">
        <v>0</v>
      </c>
      <c r="H38" s="36"/>
      <c r="I38" s="37">
        <v>42388</v>
      </c>
      <c r="J38" s="28" t="s">
        <v>118</v>
      </c>
      <c r="K38" s="17"/>
    </row>
    <row r="39" spans="1:11" x14ac:dyDescent="0.2">
      <c r="A39" s="34" t="s">
        <v>305</v>
      </c>
      <c r="B39" s="35">
        <v>29.1</v>
      </c>
      <c r="C39" s="28">
        <v>0</v>
      </c>
      <c r="D39" s="28">
        <v>1</v>
      </c>
      <c r="E39" s="28">
        <v>1</v>
      </c>
      <c r="F39" s="39">
        <v>42410</v>
      </c>
      <c r="G39" s="28">
        <v>0</v>
      </c>
      <c r="H39" s="36"/>
      <c r="I39" s="37">
        <v>42389</v>
      </c>
      <c r="J39" s="28" t="s">
        <v>118</v>
      </c>
      <c r="K39" s="17"/>
    </row>
    <row r="40" spans="1:11" x14ac:dyDescent="0.2">
      <c r="A40" s="34" t="s">
        <v>306</v>
      </c>
      <c r="B40" s="35">
        <v>25</v>
      </c>
      <c r="C40" s="28">
        <v>0</v>
      </c>
      <c r="D40" s="28">
        <v>1</v>
      </c>
      <c r="E40" s="28">
        <v>1</v>
      </c>
      <c r="F40" s="39">
        <v>42410</v>
      </c>
      <c r="G40" s="28">
        <v>0</v>
      </c>
      <c r="H40" s="36"/>
      <c r="I40" s="37">
        <v>42389</v>
      </c>
      <c r="J40" s="28" t="s">
        <v>118</v>
      </c>
      <c r="K40" s="17"/>
    </row>
    <row r="41" spans="1:11" x14ac:dyDescent="0.2">
      <c r="A41" s="34" t="s">
        <v>307</v>
      </c>
      <c r="B41" s="35">
        <v>35</v>
      </c>
      <c r="C41" s="28">
        <v>0</v>
      </c>
      <c r="D41" s="28">
        <v>1</v>
      </c>
      <c r="E41" s="28">
        <v>1</v>
      </c>
      <c r="F41" s="39">
        <v>42410</v>
      </c>
      <c r="G41" s="28">
        <v>0</v>
      </c>
      <c r="H41" s="36"/>
      <c r="I41" s="37">
        <v>42389</v>
      </c>
      <c r="J41" s="28" t="s">
        <v>68</v>
      </c>
      <c r="K41" s="17"/>
    </row>
    <row r="42" spans="1:11" x14ac:dyDescent="0.2">
      <c r="A42" s="34" t="s">
        <v>308</v>
      </c>
      <c r="B42" s="35">
        <v>48.39</v>
      </c>
      <c r="C42" s="28">
        <v>0</v>
      </c>
      <c r="D42" s="28">
        <v>1</v>
      </c>
      <c r="E42" s="28">
        <v>1</v>
      </c>
      <c r="F42" s="39">
        <v>42410</v>
      </c>
      <c r="G42" s="28">
        <v>0</v>
      </c>
      <c r="H42" s="36"/>
      <c r="I42" s="37">
        <v>42389</v>
      </c>
      <c r="J42" s="28" t="s">
        <v>68</v>
      </c>
      <c r="K42" s="17"/>
    </row>
    <row r="43" spans="1:11" x14ac:dyDescent="0.2">
      <c r="A43" s="34" t="s">
        <v>298</v>
      </c>
      <c r="B43" s="35">
        <v>95.38</v>
      </c>
      <c r="C43" s="28">
        <v>0</v>
      </c>
      <c r="D43" s="28">
        <v>1</v>
      </c>
      <c r="E43" s="28">
        <v>1</v>
      </c>
      <c r="F43" s="39">
        <v>42410</v>
      </c>
      <c r="G43" s="28">
        <v>0</v>
      </c>
      <c r="H43" s="36"/>
      <c r="I43" s="37">
        <v>42389</v>
      </c>
      <c r="J43" s="28" t="s">
        <v>60</v>
      </c>
      <c r="K43" s="17"/>
    </row>
    <row r="44" spans="1:11" x14ac:dyDescent="0.2">
      <c r="A44" s="34" t="s">
        <v>309</v>
      </c>
      <c r="B44" s="35">
        <v>75.8</v>
      </c>
      <c r="C44" s="28">
        <v>0</v>
      </c>
      <c r="D44" s="28">
        <v>1</v>
      </c>
      <c r="E44" s="28">
        <v>1</v>
      </c>
      <c r="F44" s="39">
        <v>42410</v>
      </c>
      <c r="G44" s="28">
        <v>0</v>
      </c>
      <c r="H44" s="36"/>
      <c r="I44" s="37">
        <v>42392</v>
      </c>
      <c r="J44" s="28" t="s">
        <v>63</v>
      </c>
      <c r="K44" s="17"/>
    </row>
    <row r="45" spans="1:11" x14ac:dyDescent="0.2">
      <c r="A45" s="34" t="s">
        <v>310</v>
      </c>
      <c r="B45" s="35">
        <v>125.1</v>
      </c>
      <c r="C45" s="28">
        <v>0</v>
      </c>
      <c r="D45" s="28">
        <v>1</v>
      </c>
      <c r="E45" s="28">
        <v>1</v>
      </c>
      <c r="F45" s="39">
        <v>42410</v>
      </c>
      <c r="G45" s="28">
        <v>0</v>
      </c>
      <c r="H45" s="36"/>
      <c r="I45" s="37">
        <v>42392</v>
      </c>
      <c r="J45" s="28" t="s">
        <v>68</v>
      </c>
      <c r="K45" s="17"/>
    </row>
    <row r="46" spans="1:11" x14ac:dyDescent="0.2">
      <c r="A46" s="34" t="s">
        <v>298</v>
      </c>
      <c r="B46" s="35">
        <v>228.71</v>
      </c>
      <c r="C46" s="28">
        <v>0</v>
      </c>
      <c r="D46" s="28">
        <v>1</v>
      </c>
      <c r="E46" s="28">
        <v>1</v>
      </c>
      <c r="F46" s="39">
        <v>42410</v>
      </c>
      <c r="G46" s="28">
        <v>0</v>
      </c>
      <c r="H46" s="36"/>
      <c r="I46" s="37">
        <v>42392</v>
      </c>
      <c r="J46" s="28" t="s">
        <v>60</v>
      </c>
      <c r="K46" s="17"/>
    </row>
    <row r="47" spans="1:11" x14ac:dyDescent="0.2">
      <c r="A47" s="34" t="s">
        <v>311</v>
      </c>
      <c r="B47" s="35">
        <v>171.57</v>
      </c>
      <c r="C47" s="28">
        <v>0</v>
      </c>
      <c r="D47" s="28">
        <v>1</v>
      </c>
      <c r="E47" s="28">
        <v>1</v>
      </c>
      <c r="F47" s="39">
        <v>42410</v>
      </c>
      <c r="G47" s="28">
        <v>0</v>
      </c>
      <c r="H47" s="36"/>
      <c r="I47" s="37">
        <v>42392</v>
      </c>
      <c r="J47" s="28" t="s">
        <v>68</v>
      </c>
      <c r="K47" s="17"/>
    </row>
    <row r="48" spans="1:11" x14ac:dyDescent="0.2">
      <c r="A48" s="34" t="s">
        <v>309</v>
      </c>
      <c r="B48" s="35">
        <v>5</v>
      </c>
      <c r="C48" s="28">
        <v>0</v>
      </c>
      <c r="D48" s="28">
        <v>1</v>
      </c>
      <c r="E48" s="28">
        <v>1</v>
      </c>
      <c r="F48" s="39">
        <v>42410</v>
      </c>
      <c r="G48" s="28">
        <v>0</v>
      </c>
      <c r="H48" s="36"/>
      <c r="I48" s="37">
        <v>42392</v>
      </c>
      <c r="J48" s="28" t="s">
        <v>63</v>
      </c>
      <c r="K48" s="17"/>
    </row>
    <row r="49" spans="1:11" x14ac:dyDescent="0.2">
      <c r="A49" s="34" t="s">
        <v>306</v>
      </c>
      <c r="B49" s="35">
        <v>25</v>
      </c>
      <c r="C49" s="28">
        <v>0</v>
      </c>
      <c r="D49" s="28">
        <v>1</v>
      </c>
      <c r="E49" s="28">
        <v>1</v>
      </c>
      <c r="F49" s="39">
        <v>42410</v>
      </c>
      <c r="G49" s="28">
        <v>0</v>
      </c>
      <c r="H49" s="36"/>
      <c r="I49" s="37">
        <v>42399</v>
      </c>
      <c r="J49" s="28" t="s">
        <v>68</v>
      </c>
      <c r="K49" s="17"/>
    </row>
    <row r="50" spans="1:11" x14ac:dyDescent="0.2">
      <c r="A50" s="34" t="s">
        <v>313</v>
      </c>
      <c r="B50" s="35">
        <v>107.94</v>
      </c>
      <c r="C50" s="28">
        <v>0</v>
      </c>
      <c r="D50" s="28">
        <v>1</v>
      </c>
      <c r="E50" s="28">
        <v>1</v>
      </c>
      <c r="F50" s="39">
        <v>42410</v>
      </c>
      <c r="G50" s="28">
        <v>0</v>
      </c>
      <c r="H50" s="36"/>
      <c r="I50" s="37">
        <v>42399</v>
      </c>
      <c r="J50" s="28" t="s">
        <v>68</v>
      </c>
      <c r="K50" s="17"/>
    </row>
    <row r="51" spans="1:11" x14ac:dyDescent="0.2">
      <c r="A51" s="33" t="s">
        <v>298</v>
      </c>
      <c r="B51" s="31">
        <v>125.06</v>
      </c>
      <c r="C51" s="28">
        <v>0</v>
      </c>
      <c r="D51" s="28">
        <v>1</v>
      </c>
      <c r="E51" s="28">
        <v>1</v>
      </c>
      <c r="F51" s="29">
        <v>42410</v>
      </c>
      <c r="G51" s="28">
        <v>0</v>
      </c>
      <c r="H51" s="28"/>
      <c r="I51" s="32">
        <v>42399</v>
      </c>
      <c r="J51" s="28" t="s">
        <v>60</v>
      </c>
      <c r="K51" s="17"/>
    </row>
    <row r="52" spans="1:11" x14ac:dyDescent="0.2">
      <c r="A52" s="33" t="s">
        <v>290</v>
      </c>
      <c r="B52" s="31">
        <v>50</v>
      </c>
      <c r="C52" s="28">
        <v>0</v>
      </c>
      <c r="D52" s="28">
        <v>1</v>
      </c>
      <c r="E52" s="28">
        <v>1</v>
      </c>
      <c r="F52" s="29">
        <v>42439</v>
      </c>
      <c r="G52" s="28">
        <v>0</v>
      </c>
      <c r="H52" s="28"/>
      <c r="I52" s="32">
        <v>42350</v>
      </c>
      <c r="J52" s="28" t="s">
        <v>68</v>
      </c>
    </row>
    <row r="53" spans="1:11" x14ac:dyDescent="0.2">
      <c r="A53" s="30" t="s">
        <v>291</v>
      </c>
      <c r="B53" s="31">
        <v>74.900000000000006</v>
      </c>
      <c r="C53" s="28">
        <v>0</v>
      </c>
      <c r="D53" s="28">
        <v>1</v>
      </c>
      <c r="E53" s="28">
        <v>1</v>
      </c>
      <c r="F53" s="29">
        <v>42439</v>
      </c>
      <c r="G53" s="28">
        <v>0</v>
      </c>
      <c r="H53" s="28"/>
      <c r="I53" s="32">
        <v>42401</v>
      </c>
      <c r="J53" s="28" t="s">
        <v>103</v>
      </c>
    </row>
    <row r="54" spans="1:11" x14ac:dyDescent="0.2">
      <c r="A54" s="34" t="s">
        <v>312</v>
      </c>
      <c r="B54" s="35">
        <v>171.57</v>
      </c>
      <c r="C54" s="28">
        <v>0</v>
      </c>
      <c r="D54" s="28">
        <v>1</v>
      </c>
      <c r="E54" s="28">
        <v>1</v>
      </c>
      <c r="F54" s="39">
        <v>42439</v>
      </c>
      <c r="G54" s="28">
        <v>0</v>
      </c>
      <c r="H54" s="36"/>
      <c r="I54" s="37">
        <v>42392</v>
      </c>
      <c r="J54" s="28" t="s">
        <v>68</v>
      </c>
      <c r="K54" s="17"/>
    </row>
    <row r="55" spans="1:11" x14ac:dyDescent="0.2">
      <c r="A55" s="30" t="s">
        <v>314</v>
      </c>
      <c r="B55" s="31">
        <v>22.9</v>
      </c>
      <c r="C55" s="28">
        <v>0</v>
      </c>
      <c r="D55" s="28">
        <v>1</v>
      </c>
      <c r="E55" s="28">
        <v>1</v>
      </c>
      <c r="F55" s="29">
        <v>42439</v>
      </c>
      <c r="G55" s="28">
        <v>0</v>
      </c>
      <c r="H55" s="28"/>
      <c r="I55" s="32">
        <v>42407</v>
      </c>
      <c r="J55" s="28" t="s">
        <v>34</v>
      </c>
    </row>
    <row r="56" spans="1:11" x14ac:dyDescent="0.2">
      <c r="A56" s="33" t="s">
        <v>315</v>
      </c>
      <c r="B56" s="31">
        <v>200</v>
      </c>
      <c r="C56" s="28">
        <v>0</v>
      </c>
      <c r="D56" s="28">
        <v>1</v>
      </c>
      <c r="E56" s="28">
        <v>1</v>
      </c>
      <c r="F56" s="29">
        <v>42439</v>
      </c>
      <c r="G56" s="28">
        <v>0</v>
      </c>
      <c r="H56" s="28"/>
      <c r="I56" s="32">
        <v>42408</v>
      </c>
      <c r="J56" s="28" t="s">
        <v>63</v>
      </c>
    </row>
    <row r="57" spans="1:11" x14ac:dyDescent="0.2">
      <c r="A57" s="33" t="s">
        <v>316</v>
      </c>
      <c r="B57" s="31">
        <v>74</v>
      </c>
      <c r="C57" s="28">
        <v>0</v>
      </c>
      <c r="D57" s="28">
        <v>1</v>
      </c>
      <c r="E57" s="28">
        <v>1</v>
      </c>
      <c r="F57" s="29">
        <v>42439</v>
      </c>
      <c r="G57" s="28">
        <v>0</v>
      </c>
      <c r="H57" s="28"/>
      <c r="I57" s="32">
        <v>42408</v>
      </c>
      <c r="J57" s="28" t="s">
        <v>150</v>
      </c>
    </row>
    <row r="58" spans="1:11" x14ac:dyDescent="0.2">
      <c r="A58" s="33" t="s">
        <v>317</v>
      </c>
      <c r="B58" s="31">
        <v>42</v>
      </c>
      <c r="C58" s="28">
        <v>0</v>
      </c>
      <c r="D58" s="28">
        <v>1</v>
      </c>
      <c r="E58" s="28">
        <v>1</v>
      </c>
      <c r="F58" s="29">
        <v>42439</v>
      </c>
      <c r="G58" s="28">
        <v>0</v>
      </c>
      <c r="H58" s="28"/>
      <c r="I58" s="32">
        <v>42409</v>
      </c>
      <c r="J58" s="28" t="s">
        <v>58</v>
      </c>
    </row>
    <row r="59" spans="1:11" x14ac:dyDescent="0.2">
      <c r="A59" s="33" t="s">
        <v>286</v>
      </c>
      <c r="B59" s="31">
        <v>340.72</v>
      </c>
      <c r="C59" s="28">
        <v>0</v>
      </c>
      <c r="D59" s="28">
        <v>1</v>
      </c>
      <c r="E59" s="28">
        <v>1</v>
      </c>
      <c r="F59" s="29">
        <v>42439</v>
      </c>
      <c r="G59" s="28">
        <v>0</v>
      </c>
      <c r="H59" s="28"/>
      <c r="I59" s="32">
        <v>42410</v>
      </c>
      <c r="J59" s="28" t="s">
        <v>43</v>
      </c>
    </row>
    <row r="60" spans="1:11" x14ac:dyDescent="0.2">
      <c r="A60" s="33" t="s">
        <v>295</v>
      </c>
      <c r="B60" s="31">
        <v>75.39</v>
      </c>
      <c r="C60" s="28">
        <v>0</v>
      </c>
      <c r="D60" s="28">
        <v>1</v>
      </c>
      <c r="E60" s="28">
        <v>1</v>
      </c>
      <c r="F60" s="29">
        <v>42439</v>
      </c>
      <c r="G60" s="28">
        <v>0</v>
      </c>
      <c r="H60" s="28"/>
      <c r="I60" s="32">
        <v>42410</v>
      </c>
      <c r="J60" s="28" t="s">
        <v>150</v>
      </c>
    </row>
    <row r="61" spans="1:11" x14ac:dyDescent="0.2">
      <c r="A61" s="33" t="s">
        <v>318</v>
      </c>
      <c r="B61" s="31">
        <v>94</v>
      </c>
      <c r="C61" s="28">
        <v>0</v>
      </c>
      <c r="D61" s="28">
        <v>1</v>
      </c>
      <c r="E61" s="28">
        <v>1</v>
      </c>
      <c r="F61" s="29">
        <v>42439</v>
      </c>
      <c r="G61" s="28">
        <v>0</v>
      </c>
      <c r="H61" s="28"/>
      <c r="I61" s="32">
        <v>42410</v>
      </c>
      <c r="J61" s="28" t="s">
        <v>63</v>
      </c>
    </row>
    <row r="62" spans="1:11" x14ac:dyDescent="0.2">
      <c r="A62" s="33" t="s">
        <v>319</v>
      </c>
      <c r="B62" s="31">
        <v>107</v>
      </c>
      <c r="C62" s="28">
        <v>0</v>
      </c>
      <c r="D62" s="28">
        <v>1</v>
      </c>
      <c r="E62" s="28">
        <v>1</v>
      </c>
      <c r="F62" s="29">
        <v>42439</v>
      </c>
      <c r="G62" s="28">
        <v>0</v>
      </c>
      <c r="H62" s="28"/>
      <c r="I62" s="32">
        <v>42410</v>
      </c>
      <c r="J62" s="28" t="s">
        <v>82</v>
      </c>
    </row>
    <row r="63" spans="1:11" x14ac:dyDescent="0.2">
      <c r="A63" s="33" t="s">
        <v>320</v>
      </c>
      <c r="B63" s="31">
        <v>114.95</v>
      </c>
      <c r="C63" s="28">
        <v>0</v>
      </c>
      <c r="D63" s="28">
        <v>1</v>
      </c>
      <c r="E63" s="28">
        <v>1</v>
      </c>
      <c r="F63" s="29">
        <v>42439</v>
      </c>
      <c r="G63" s="28">
        <v>0</v>
      </c>
      <c r="H63" s="28"/>
      <c r="I63" s="32">
        <v>42412</v>
      </c>
      <c r="J63" s="28" t="s">
        <v>82</v>
      </c>
    </row>
    <row r="64" spans="1:11" x14ac:dyDescent="0.2">
      <c r="A64" s="33" t="s">
        <v>321</v>
      </c>
      <c r="B64" s="31">
        <v>283.33999999999997</v>
      </c>
      <c r="C64" s="28">
        <v>0</v>
      </c>
      <c r="D64" s="28">
        <v>1</v>
      </c>
      <c r="E64" s="28">
        <v>1</v>
      </c>
      <c r="F64" s="29">
        <v>42439</v>
      </c>
      <c r="G64" s="28">
        <v>0</v>
      </c>
      <c r="H64" s="28"/>
      <c r="I64" s="32">
        <v>42416</v>
      </c>
      <c r="J64" s="28" t="s">
        <v>322</v>
      </c>
    </row>
    <row r="65" spans="1:13" x14ac:dyDescent="0.2">
      <c r="A65" s="33" t="s">
        <v>329</v>
      </c>
      <c r="B65" s="31">
        <v>89</v>
      </c>
      <c r="C65" s="28">
        <v>0</v>
      </c>
      <c r="D65" s="28">
        <v>1</v>
      </c>
      <c r="E65" s="28">
        <v>1</v>
      </c>
      <c r="F65" s="29">
        <v>42439</v>
      </c>
      <c r="G65" s="28">
        <v>0</v>
      </c>
      <c r="H65" s="28"/>
      <c r="I65" s="32">
        <v>42420</v>
      </c>
      <c r="J65" s="28" t="s">
        <v>118</v>
      </c>
    </row>
    <row r="66" spans="1:13" x14ac:dyDescent="0.2">
      <c r="A66" s="33" t="s">
        <v>330</v>
      </c>
      <c r="B66" s="31">
        <v>49.99</v>
      </c>
      <c r="C66" s="28">
        <v>0</v>
      </c>
      <c r="D66" s="28">
        <v>1</v>
      </c>
      <c r="E66" s="28">
        <v>1</v>
      </c>
      <c r="F66" s="29">
        <v>42439</v>
      </c>
      <c r="G66" s="28">
        <v>0</v>
      </c>
      <c r="H66" s="28"/>
      <c r="I66" s="32">
        <v>42420</v>
      </c>
      <c r="J66" s="28" t="s">
        <v>68</v>
      </c>
    </row>
    <row r="67" spans="1:13" x14ac:dyDescent="0.2">
      <c r="A67" s="33" t="s">
        <v>298</v>
      </c>
      <c r="B67" s="31">
        <v>73.08</v>
      </c>
      <c r="C67" s="28">
        <v>0</v>
      </c>
      <c r="D67" s="28">
        <v>1</v>
      </c>
      <c r="E67" s="28">
        <v>1</v>
      </c>
      <c r="F67" s="29">
        <v>42439</v>
      </c>
      <c r="G67" s="28">
        <v>0</v>
      </c>
      <c r="H67" s="28"/>
      <c r="I67" s="32">
        <v>42424</v>
      </c>
      <c r="J67" s="28" t="s">
        <v>60</v>
      </c>
    </row>
    <row r="68" spans="1:13" x14ac:dyDescent="0.2">
      <c r="A68" s="33" t="s">
        <v>334</v>
      </c>
      <c r="B68" s="31">
        <v>129.68</v>
      </c>
      <c r="C68" s="28">
        <v>0</v>
      </c>
      <c r="D68" s="28">
        <v>1</v>
      </c>
      <c r="E68" s="28">
        <v>1</v>
      </c>
      <c r="F68" s="29">
        <v>42439</v>
      </c>
      <c r="G68" s="28">
        <v>0</v>
      </c>
      <c r="H68" s="28"/>
      <c r="I68" s="32">
        <v>42426</v>
      </c>
      <c r="J68" s="28" t="s">
        <v>150</v>
      </c>
      <c r="K68" s="28"/>
    </row>
    <row r="69" spans="1:13" x14ac:dyDescent="0.2">
      <c r="A69" s="33" t="s">
        <v>298</v>
      </c>
      <c r="B69" s="31">
        <v>230.56</v>
      </c>
      <c r="C69" s="28">
        <v>0</v>
      </c>
      <c r="D69" s="28">
        <v>1</v>
      </c>
      <c r="E69" s="28">
        <v>1</v>
      </c>
      <c r="F69" s="29">
        <v>42439</v>
      </c>
      <c r="G69" s="28">
        <v>0</v>
      </c>
      <c r="H69" s="28"/>
      <c r="I69" s="32">
        <v>42428</v>
      </c>
      <c r="J69" s="28" t="s">
        <v>60</v>
      </c>
      <c r="K69" s="28"/>
    </row>
    <row r="70" spans="1:13" x14ac:dyDescent="0.2">
      <c r="A70" s="33" t="s">
        <v>335</v>
      </c>
      <c r="B70" s="31">
        <v>155</v>
      </c>
      <c r="C70" s="28">
        <v>0</v>
      </c>
      <c r="D70" s="28">
        <v>1</v>
      </c>
      <c r="E70" s="28">
        <v>1</v>
      </c>
      <c r="F70" s="29">
        <v>42439</v>
      </c>
      <c r="G70" s="28">
        <v>0</v>
      </c>
      <c r="H70" s="28"/>
      <c r="I70" s="32">
        <v>42430</v>
      </c>
      <c r="J70" s="28" t="s">
        <v>615</v>
      </c>
      <c r="K70" s="28"/>
    </row>
    <row r="71" spans="1:13" x14ac:dyDescent="0.2">
      <c r="A71" s="33" t="s">
        <v>336</v>
      </c>
      <c r="B71" s="31">
        <v>433.76</v>
      </c>
      <c r="C71" s="28">
        <v>0</v>
      </c>
      <c r="D71" s="28">
        <v>1</v>
      </c>
      <c r="E71" s="28">
        <v>1</v>
      </c>
      <c r="F71" s="29">
        <v>42439</v>
      </c>
      <c r="G71" s="28">
        <v>0</v>
      </c>
      <c r="H71" s="28"/>
      <c r="I71" s="32">
        <v>42432</v>
      </c>
      <c r="J71" s="28" t="s">
        <v>150</v>
      </c>
      <c r="K71" s="28"/>
    </row>
    <row r="72" spans="1:13" x14ac:dyDescent="0.2">
      <c r="A72" s="33" t="s">
        <v>337</v>
      </c>
      <c r="B72" s="31">
        <v>147.35</v>
      </c>
      <c r="C72" s="28">
        <v>0</v>
      </c>
      <c r="D72" s="28">
        <v>1</v>
      </c>
      <c r="E72" s="28">
        <v>1</v>
      </c>
      <c r="F72" s="29">
        <v>42439</v>
      </c>
      <c r="G72" s="28">
        <v>0</v>
      </c>
      <c r="H72" s="28"/>
      <c r="I72" s="41">
        <v>42434</v>
      </c>
      <c r="J72" s="28" t="s">
        <v>150</v>
      </c>
      <c r="K72" s="28"/>
    </row>
    <row r="73" spans="1:13" x14ac:dyDescent="0.2">
      <c r="A73" s="33" t="s">
        <v>338</v>
      </c>
      <c r="B73" s="31">
        <v>315</v>
      </c>
      <c r="C73" s="28">
        <v>0</v>
      </c>
      <c r="D73" s="28">
        <v>1</v>
      </c>
      <c r="E73" s="28">
        <v>1</v>
      </c>
      <c r="F73" s="29">
        <v>42439</v>
      </c>
      <c r="G73" s="28">
        <v>0</v>
      </c>
      <c r="H73" s="28"/>
      <c r="I73" s="41">
        <v>42434</v>
      </c>
      <c r="J73" s="28" t="s">
        <v>150</v>
      </c>
      <c r="K73" s="28"/>
    </row>
    <row r="74" spans="1:13" x14ac:dyDescent="0.2">
      <c r="A74" s="33" t="s">
        <v>298</v>
      </c>
      <c r="B74" s="31">
        <v>156.08000000000001</v>
      </c>
      <c r="C74" s="28">
        <v>0</v>
      </c>
      <c r="D74" s="28">
        <v>1</v>
      </c>
      <c r="E74" s="28">
        <v>1</v>
      </c>
      <c r="F74" s="29">
        <v>42439</v>
      </c>
      <c r="G74" s="28">
        <v>0</v>
      </c>
      <c r="H74" s="28"/>
      <c r="I74" s="32">
        <v>42434</v>
      </c>
      <c r="J74" s="28" t="s">
        <v>60</v>
      </c>
    </row>
    <row r="75" spans="1:13" x14ac:dyDescent="0.2">
      <c r="A75" s="33" t="s">
        <v>298</v>
      </c>
      <c r="B75" s="31">
        <v>95.99</v>
      </c>
      <c r="C75" s="28">
        <v>0</v>
      </c>
      <c r="D75" s="28">
        <v>1</v>
      </c>
      <c r="E75" s="28">
        <v>1</v>
      </c>
      <c r="F75" s="29">
        <v>42439</v>
      </c>
      <c r="G75" s="28">
        <v>0</v>
      </c>
      <c r="H75" s="28"/>
      <c r="I75" s="32">
        <v>42434</v>
      </c>
      <c r="J75" s="28" t="s">
        <v>60</v>
      </c>
    </row>
    <row r="76" spans="1:13" x14ac:dyDescent="0.2">
      <c r="A76" s="33" t="s">
        <v>339</v>
      </c>
      <c r="B76" s="31">
        <v>980.66</v>
      </c>
      <c r="C76" s="28">
        <v>0</v>
      </c>
      <c r="D76" s="28">
        <v>1</v>
      </c>
      <c r="E76" s="28">
        <v>1</v>
      </c>
      <c r="F76" s="29">
        <v>42439</v>
      </c>
      <c r="G76" s="28">
        <v>1</v>
      </c>
      <c r="H76" s="28"/>
      <c r="I76" s="32">
        <v>42443</v>
      </c>
      <c r="J76" s="28" t="s">
        <v>340</v>
      </c>
    </row>
    <row r="77" spans="1:13" x14ac:dyDescent="0.2">
      <c r="A77" s="30" t="s">
        <v>291</v>
      </c>
      <c r="B77" s="31">
        <v>74.900000000000006</v>
      </c>
      <c r="C77" s="28">
        <v>0</v>
      </c>
      <c r="D77" s="28">
        <v>1</v>
      </c>
      <c r="E77" s="28">
        <v>1</v>
      </c>
      <c r="F77" s="29">
        <v>42470</v>
      </c>
      <c r="G77" s="28">
        <v>0</v>
      </c>
      <c r="H77" s="28"/>
      <c r="I77" s="32">
        <v>42430</v>
      </c>
      <c r="J77" s="28" t="s">
        <v>103</v>
      </c>
    </row>
    <row r="78" spans="1:13" x14ac:dyDescent="0.2">
      <c r="A78" s="33" t="s">
        <v>323</v>
      </c>
      <c r="B78" s="31">
        <v>0</v>
      </c>
      <c r="C78" s="28">
        <v>0</v>
      </c>
      <c r="D78" s="28">
        <v>1</v>
      </c>
      <c r="E78" s="28">
        <v>1</v>
      </c>
      <c r="F78" s="29">
        <v>42470</v>
      </c>
      <c r="G78" s="28">
        <v>0</v>
      </c>
      <c r="H78" s="28"/>
      <c r="I78" s="32">
        <v>42441</v>
      </c>
      <c r="J78" s="28" t="s">
        <v>68</v>
      </c>
    </row>
    <row r="79" spans="1:13" x14ac:dyDescent="0.2">
      <c r="A79" s="33" t="s">
        <v>324</v>
      </c>
      <c r="B79" s="31">
        <v>0</v>
      </c>
      <c r="C79" s="28">
        <v>0</v>
      </c>
      <c r="D79" s="28">
        <v>1</v>
      </c>
      <c r="E79" s="28">
        <v>1</v>
      </c>
      <c r="F79" s="39">
        <v>42470</v>
      </c>
      <c r="G79" s="28">
        <v>0</v>
      </c>
      <c r="H79" s="28"/>
      <c r="I79" s="32">
        <v>42441</v>
      </c>
      <c r="J79" s="28" t="s">
        <v>68</v>
      </c>
    </row>
    <row r="80" spans="1:13" x14ac:dyDescent="0.2">
      <c r="A80" s="33" t="s">
        <v>331</v>
      </c>
      <c r="B80" s="31">
        <v>283.33999999999997</v>
      </c>
      <c r="C80" s="28">
        <v>0</v>
      </c>
      <c r="D80" s="28">
        <v>1</v>
      </c>
      <c r="E80" s="28">
        <v>1</v>
      </c>
      <c r="F80" s="29">
        <v>42470</v>
      </c>
      <c r="G80" s="28">
        <v>0</v>
      </c>
      <c r="H80" s="28"/>
      <c r="I80" s="32">
        <v>42416</v>
      </c>
      <c r="J80" s="28" t="s">
        <v>322</v>
      </c>
      <c r="K80" s="17"/>
      <c r="M80" s="1"/>
    </row>
    <row r="81" spans="1:13" x14ac:dyDescent="0.2">
      <c r="A81" s="33" t="s">
        <v>333</v>
      </c>
      <c r="B81" s="31">
        <v>49.99</v>
      </c>
      <c r="C81" s="28">
        <v>0</v>
      </c>
      <c r="D81" s="28">
        <v>1</v>
      </c>
      <c r="E81" s="28">
        <v>1</v>
      </c>
      <c r="F81" s="29">
        <v>42470</v>
      </c>
      <c r="G81" s="28">
        <v>0</v>
      </c>
      <c r="H81" s="28"/>
      <c r="I81" s="32">
        <v>42420</v>
      </c>
      <c r="J81" s="28" t="s">
        <v>68</v>
      </c>
      <c r="K81" s="16"/>
      <c r="M81" s="1"/>
    </row>
    <row r="82" spans="1:13" x14ac:dyDescent="0.2">
      <c r="A82" s="33" t="s">
        <v>314</v>
      </c>
      <c r="B82" s="31">
        <v>22.9</v>
      </c>
      <c r="C82" s="28">
        <v>0</v>
      </c>
      <c r="D82" s="28">
        <v>1</v>
      </c>
      <c r="E82" s="28">
        <v>1</v>
      </c>
      <c r="F82" s="29">
        <v>42470</v>
      </c>
      <c r="G82" s="28">
        <v>0</v>
      </c>
      <c r="H82" s="28"/>
      <c r="I82" s="32">
        <v>42430</v>
      </c>
      <c r="J82" s="28" t="s">
        <v>34</v>
      </c>
    </row>
    <row r="83" spans="1:13" x14ac:dyDescent="0.2">
      <c r="A83" s="33" t="s">
        <v>341</v>
      </c>
      <c r="B83" s="31">
        <v>980.66</v>
      </c>
      <c r="C83" s="28">
        <v>0</v>
      </c>
      <c r="D83" s="28">
        <v>1</v>
      </c>
      <c r="E83" s="28">
        <v>1</v>
      </c>
      <c r="F83" s="29">
        <v>42470</v>
      </c>
      <c r="G83" s="28">
        <v>1</v>
      </c>
      <c r="H83" s="28"/>
      <c r="I83" s="32">
        <v>42443</v>
      </c>
      <c r="J83" s="28" t="s">
        <v>340</v>
      </c>
    </row>
    <row r="84" spans="1:13" x14ac:dyDescent="0.2">
      <c r="A84" s="33" t="s">
        <v>344</v>
      </c>
      <c r="B84" s="31">
        <v>800</v>
      </c>
      <c r="C84" s="28">
        <v>0</v>
      </c>
      <c r="D84" s="28">
        <v>1</v>
      </c>
      <c r="E84" s="28">
        <v>1</v>
      </c>
      <c r="F84" s="29">
        <v>42470</v>
      </c>
      <c r="G84" s="28">
        <v>1</v>
      </c>
      <c r="H84" s="28"/>
      <c r="I84" s="32">
        <v>42443</v>
      </c>
      <c r="J84" s="28" t="s">
        <v>345</v>
      </c>
    </row>
    <row r="85" spans="1:13" x14ac:dyDescent="0.2">
      <c r="A85" s="33" t="s">
        <v>346</v>
      </c>
      <c r="B85" s="31">
        <v>128.02000000000001</v>
      </c>
      <c r="C85" s="28">
        <v>0</v>
      </c>
      <c r="D85" s="28">
        <v>1</v>
      </c>
      <c r="E85" s="28">
        <v>0</v>
      </c>
      <c r="F85" s="29">
        <v>42470</v>
      </c>
      <c r="G85" s="28">
        <v>0</v>
      </c>
      <c r="H85" s="28"/>
      <c r="I85" s="32">
        <v>42443</v>
      </c>
      <c r="J85" s="28" t="s">
        <v>150</v>
      </c>
    </row>
    <row r="86" spans="1:13" x14ac:dyDescent="0.2">
      <c r="A86" s="33" t="s">
        <v>347</v>
      </c>
      <c r="B86" s="31">
        <v>99.99</v>
      </c>
      <c r="C86" s="28">
        <v>0</v>
      </c>
      <c r="D86" s="28">
        <v>1</v>
      </c>
      <c r="E86" s="28">
        <v>0</v>
      </c>
      <c r="F86" s="29">
        <v>42470</v>
      </c>
      <c r="G86" s="28">
        <v>0</v>
      </c>
      <c r="H86" s="28"/>
      <c r="I86" s="32">
        <v>42444</v>
      </c>
      <c r="J86" s="28" t="s">
        <v>68</v>
      </c>
    </row>
    <row r="87" spans="1:13" x14ac:dyDescent="0.2">
      <c r="A87" s="33" t="s">
        <v>348</v>
      </c>
      <c r="B87" s="31">
        <v>19.68</v>
      </c>
      <c r="C87" s="28">
        <v>0</v>
      </c>
      <c r="D87" s="28">
        <v>1</v>
      </c>
      <c r="E87" s="28">
        <v>0</v>
      </c>
      <c r="F87" s="29">
        <v>42470</v>
      </c>
      <c r="G87" s="28">
        <v>0</v>
      </c>
      <c r="H87" s="28"/>
      <c r="I87" s="32">
        <v>42446</v>
      </c>
      <c r="J87" s="28" t="s">
        <v>82</v>
      </c>
    </row>
    <row r="88" spans="1:13" x14ac:dyDescent="0.2">
      <c r="A88" s="33" t="s">
        <v>335</v>
      </c>
      <c r="B88" s="31">
        <v>31</v>
      </c>
      <c r="C88" s="28">
        <v>0</v>
      </c>
      <c r="D88" s="28">
        <v>1</v>
      </c>
      <c r="E88" s="28">
        <v>0</v>
      </c>
      <c r="F88" s="29">
        <v>42470</v>
      </c>
      <c r="G88" s="28">
        <v>0</v>
      </c>
      <c r="H88" s="28"/>
      <c r="I88" s="32">
        <v>42447</v>
      </c>
      <c r="J88" s="28" t="s">
        <v>615</v>
      </c>
    </row>
    <row r="89" spans="1:13" x14ac:dyDescent="0.2">
      <c r="A89" s="33" t="s">
        <v>317</v>
      </c>
      <c r="B89" s="31">
        <v>29.59</v>
      </c>
      <c r="C89" s="28">
        <v>0</v>
      </c>
      <c r="D89" s="28">
        <v>1</v>
      </c>
      <c r="E89" s="28">
        <v>0</v>
      </c>
      <c r="F89" s="29">
        <v>42470</v>
      </c>
      <c r="G89" s="28">
        <v>0</v>
      </c>
      <c r="H89" s="28"/>
      <c r="I89" s="32">
        <v>42447</v>
      </c>
      <c r="J89" s="28" t="s">
        <v>58</v>
      </c>
    </row>
    <row r="90" spans="1:13" x14ac:dyDescent="0.2">
      <c r="A90" s="33" t="s">
        <v>300</v>
      </c>
      <c r="B90" s="31">
        <v>1.99</v>
      </c>
      <c r="C90" s="28">
        <v>0</v>
      </c>
      <c r="D90" s="28">
        <v>1</v>
      </c>
      <c r="E90" s="28">
        <v>0</v>
      </c>
      <c r="F90" s="29">
        <v>42470</v>
      </c>
      <c r="G90" s="28">
        <v>0</v>
      </c>
      <c r="H90" s="28"/>
      <c r="I90" s="32">
        <v>42447</v>
      </c>
      <c r="J90" s="28" t="s">
        <v>63</v>
      </c>
    </row>
    <row r="91" spans="1:13" x14ac:dyDescent="0.2">
      <c r="A91" s="33" t="s">
        <v>349</v>
      </c>
      <c r="B91" s="31">
        <v>177.15</v>
      </c>
      <c r="C91" s="28">
        <v>0</v>
      </c>
      <c r="D91" s="28">
        <v>1</v>
      </c>
      <c r="E91" s="28">
        <v>0</v>
      </c>
      <c r="F91" s="29">
        <v>42470</v>
      </c>
      <c r="G91" s="28">
        <v>0</v>
      </c>
      <c r="H91" s="28"/>
      <c r="I91" s="32">
        <v>42448</v>
      </c>
      <c r="J91" s="28" t="s">
        <v>63</v>
      </c>
    </row>
    <row r="92" spans="1:13" x14ac:dyDescent="0.2">
      <c r="A92" s="33" t="s">
        <v>294</v>
      </c>
      <c r="B92" s="31">
        <v>25.65</v>
      </c>
      <c r="C92" s="28">
        <v>0</v>
      </c>
      <c r="D92" s="28">
        <v>1</v>
      </c>
      <c r="E92" s="28">
        <v>0</v>
      </c>
      <c r="F92" s="29">
        <v>42470</v>
      </c>
      <c r="G92" s="28">
        <v>0</v>
      </c>
      <c r="H92" s="28"/>
      <c r="I92" s="32">
        <v>42448</v>
      </c>
      <c r="J92" s="28" t="s">
        <v>58</v>
      </c>
    </row>
    <row r="93" spans="1:13" x14ac:dyDescent="0.2">
      <c r="A93" s="33" t="s">
        <v>350</v>
      </c>
      <c r="B93" s="31">
        <v>5</v>
      </c>
      <c r="C93" s="28">
        <v>0</v>
      </c>
      <c r="D93" s="28">
        <v>1</v>
      </c>
      <c r="E93" s="28">
        <v>0</v>
      </c>
      <c r="F93" s="29">
        <v>42470</v>
      </c>
      <c r="G93" s="28">
        <v>0</v>
      </c>
      <c r="H93" s="28"/>
      <c r="I93" s="32">
        <v>42448</v>
      </c>
      <c r="J93" s="28" t="s">
        <v>63</v>
      </c>
    </row>
    <row r="94" spans="1:13" x14ac:dyDescent="0.2">
      <c r="A94" s="33" t="s">
        <v>351</v>
      </c>
      <c r="B94" s="31">
        <v>5</v>
      </c>
      <c r="C94" s="28">
        <v>0</v>
      </c>
      <c r="D94" s="28">
        <v>1</v>
      </c>
      <c r="E94" s="28">
        <v>0</v>
      </c>
      <c r="F94" s="29">
        <v>42470</v>
      </c>
      <c r="G94" s="28">
        <v>0</v>
      </c>
      <c r="H94" s="28"/>
      <c r="I94" s="32">
        <v>42448</v>
      </c>
      <c r="J94" s="28" t="s">
        <v>63</v>
      </c>
    </row>
    <row r="95" spans="1:13" x14ac:dyDescent="0.2">
      <c r="A95" s="42" t="s">
        <v>352</v>
      </c>
      <c r="B95" s="43">
        <v>15</v>
      </c>
      <c r="C95" s="44">
        <v>0</v>
      </c>
      <c r="D95" s="44">
        <v>1</v>
      </c>
      <c r="E95" s="44">
        <v>0</v>
      </c>
      <c r="F95" s="45">
        <v>42470</v>
      </c>
      <c r="G95" s="44">
        <v>0</v>
      </c>
      <c r="H95" s="44"/>
      <c r="I95" s="46">
        <v>42448</v>
      </c>
      <c r="J95" s="28" t="s">
        <v>150</v>
      </c>
    </row>
    <row r="96" spans="1:13" x14ac:dyDescent="0.2">
      <c r="A96" s="42" t="s">
        <v>303</v>
      </c>
      <c r="B96" s="43">
        <v>44.8</v>
      </c>
      <c r="C96" s="44">
        <v>0</v>
      </c>
      <c r="D96" s="44">
        <v>1</v>
      </c>
      <c r="E96" s="44">
        <v>0</v>
      </c>
      <c r="F96" s="45">
        <v>42470</v>
      </c>
      <c r="G96" s="44">
        <v>0</v>
      </c>
      <c r="H96" s="44"/>
      <c r="I96" s="46">
        <v>42449</v>
      </c>
      <c r="J96" s="44" t="s">
        <v>58</v>
      </c>
    </row>
    <row r="97" spans="1:11" x14ac:dyDescent="0.2">
      <c r="A97" s="42" t="s">
        <v>353</v>
      </c>
      <c r="B97" s="43">
        <v>13.5</v>
      </c>
      <c r="C97" s="44">
        <v>0</v>
      </c>
      <c r="D97" s="44">
        <v>1</v>
      </c>
      <c r="E97" s="44">
        <v>0</v>
      </c>
      <c r="F97" s="45">
        <v>42470</v>
      </c>
      <c r="G97" s="44">
        <v>0</v>
      </c>
      <c r="H97" s="44"/>
      <c r="I97" s="46">
        <v>42450</v>
      </c>
      <c r="J97" s="28" t="s">
        <v>82</v>
      </c>
    </row>
    <row r="98" spans="1:11" x14ac:dyDescent="0.2">
      <c r="A98" s="42" t="s">
        <v>285</v>
      </c>
      <c r="B98" s="43">
        <v>254.31</v>
      </c>
      <c r="C98" s="44">
        <v>0</v>
      </c>
      <c r="D98" s="44">
        <v>1</v>
      </c>
      <c r="E98" s="44">
        <v>0</v>
      </c>
      <c r="F98" s="45">
        <v>42470</v>
      </c>
      <c r="G98" s="44">
        <v>0</v>
      </c>
      <c r="H98" s="44"/>
      <c r="I98" s="46">
        <v>42451</v>
      </c>
      <c r="J98" s="44" t="s">
        <v>60</v>
      </c>
    </row>
    <row r="99" spans="1:11" x14ac:dyDescent="0.2">
      <c r="A99" s="42" t="s">
        <v>320</v>
      </c>
      <c r="B99" s="43">
        <v>31.13</v>
      </c>
      <c r="C99" s="44">
        <v>0</v>
      </c>
      <c r="D99" s="44">
        <v>1</v>
      </c>
      <c r="E99" s="44">
        <v>0</v>
      </c>
      <c r="F99" s="45">
        <v>42470</v>
      </c>
      <c r="G99" s="44">
        <v>0</v>
      </c>
      <c r="H99" s="44"/>
      <c r="I99" s="46">
        <v>42453</v>
      </c>
      <c r="J99" s="28" t="s">
        <v>82</v>
      </c>
    </row>
    <row r="100" spans="1:11" x14ac:dyDescent="0.2">
      <c r="A100" s="33" t="s">
        <v>353</v>
      </c>
      <c r="B100" s="31">
        <v>5.5</v>
      </c>
      <c r="C100" s="28">
        <v>0</v>
      </c>
      <c r="D100" s="28">
        <v>1</v>
      </c>
      <c r="E100" s="28">
        <v>0</v>
      </c>
      <c r="F100" s="29">
        <v>42470</v>
      </c>
      <c r="G100" s="28">
        <v>0</v>
      </c>
      <c r="H100" s="28"/>
      <c r="I100" s="32">
        <v>42453</v>
      </c>
      <c r="J100" s="28" t="s">
        <v>82</v>
      </c>
    </row>
    <row r="101" spans="1:11" x14ac:dyDescent="0.2">
      <c r="A101" s="33" t="s">
        <v>354</v>
      </c>
      <c r="B101" s="31">
        <v>32</v>
      </c>
      <c r="C101" s="28">
        <v>0</v>
      </c>
      <c r="D101" s="28">
        <v>1</v>
      </c>
      <c r="E101" s="28">
        <v>0</v>
      </c>
      <c r="F101" s="29">
        <v>42470</v>
      </c>
      <c r="G101" s="28">
        <v>0</v>
      </c>
      <c r="H101" s="28"/>
      <c r="I101" s="32">
        <v>42454</v>
      </c>
      <c r="J101" s="44" t="s">
        <v>59</v>
      </c>
    </row>
    <row r="102" spans="1:11" x14ac:dyDescent="0.2">
      <c r="A102" s="33" t="s">
        <v>355</v>
      </c>
      <c r="B102" s="31">
        <v>5</v>
      </c>
      <c r="C102" s="28">
        <v>0</v>
      </c>
      <c r="D102" s="28">
        <v>1</v>
      </c>
      <c r="E102" s="28">
        <v>0</v>
      </c>
      <c r="F102" s="29">
        <v>42470</v>
      </c>
      <c r="G102" s="28">
        <v>0</v>
      </c>
      <c r="H102" s="28"/>
      <c r="I102" s="32">
        <v>42454</v>
      </c>
      <c r="J102" s="44" t="s">
        <v>63</v>
      </c>
    </row>
    <row r="103" spans="1:11" x14ac:dyDescent="0.2">
      <c r="A103" s="33" t="s">
        <v>356</v>
      </c>
      <c r="B103" s="31">
        <v>35.4</v>
      </c>
      <c r="C103" s="28">
        <v>0</v>
      </c>
      <c r="D103" s="28">
        <v>1</v>
      </c>
      <c r="E103" s="28">
        <v>0</v>
      </c>
      <c r="F103" s="29">
        <v>42470</v>
      </c>
      <c r="G103" s="28">
        <v>0</v>
      </c>
      <c r="H103" s="28"/>
      <c r="I103" s="32">
        <v>42454</v>
      </c>
      <c r="J103" s="44" t="s">
        <v>63</v>
      </c>
    </row>
    <row r="104" spans="1:11" x14ac:dyDescent="0.2">
      <c r="A104" s="33" t="s">
        <v>334</v>
      </c>
      <c r="B104" s="31">
        <v>150.9</v>
      </c>
      <c r="C104" s="28">
        <v>0</v>
      </c>
      <c r="D104" s="28">
        <v>1</v>
      </c>
      <c r="E104" s="28">
        <v>0</v>
      </c>
      <c r="F104" s="29">
        <v>42470</v>
      </c>
      <c r="G104" s="28">
        <v>0</v>
      </c>
      <c r="H104" s="28"/>
      <c r="I104" s="32">
        <v>42454</v>
      </c>
      <c r="J104" s="28" t="s">
        <v>150</v>
      </c>
    </row>
    <row r="105" spans="1:11" x14ac:dyDescent="0.2">
      <c r="A105" s="33" t="s">
        <v>357</v>
      </c>
      <c r="B105" s="31">
        <v>68.5</v>
      </c>
      <c r="C105" s="28">
        <v>0</v>
      </c>
      <c r="D105" s="28">
        <v>1</v>
      </c>
      <c r="E105" s="28">
        <v>0</v>
      </c>
      <c r="F105" s="29">
        <v>42470</v>
      </c>
      <c r="G105" s="28">
        <v>0</v>
      </c>
      <c r="H105" s="28"/>
      <c r="I105" s="32">
        <v>42455</v>
      </c>
      <c r="J105" s="44" t="s">
        <v>68</v>
      </c>
    </row>
    <row r="106" spans="1:11" x14ac:dyDescent="0.2">
      <c r="A106" s="33" t="s">
        <v>358</v>
      </c>
      <c r="B106" s="31">
        <v>50</v>
      </c>
      <c r="C106" s="28">
        <v>0</v>
      </c>
      <c r="D106" s="28">
        <v>1</v>
      </c>
      <c r="E106" s="28">
        <v>0</v>
      </c>
      <c r="F106" s="29">
        <v>42470</v>
      </c>
      <c r="G106" s="28">
        <v>0</v>
      </c>
      <c r="H106" s="28"/>
      <c r="I106" s="32">
        <v>42455</v>
      </c>
      <c r="J106" s="44" t="s">
        <v>63</v>
      </c>
    </row>
    <row r="107" spans="1:11" x14ac:dyDescent="0.2">
      <c r="A107" s="33" t="s">
        <v>359</v>
      </c>
      <c r="B107" s="31">
        <v>115</v>
      </c>
      <c r="C107" s="28">
        <v>0</v>
      </c>
      <c r="D107" s="28">
        <v>1</v>
      </c>
      <c r="E107" s="28">
        <v>0</v>
      </c>
      <c r="F107" s="29">
        <v>42470</v>
      </c>
      <c r="G107" s="28">
        <v>0</v>
      </c>
      <c r="H107" s="28"/>
      <c r="I107" s="32">
        <v>42455</v>
      </c>
      <c r="J107" s="44" t="s">
        <v>68</v>
      </c>
    </row>
    <row r="108" spans="1:11" x14ac:dyDescent="0.2">
      <c r="A108" s="33" t="s">
        <v>298</v>
      </c>
      <c r="B108" s="31">
        <v>29.47</v>
      </c>
      <c r="C108" s="28">
        <v>0</v>
      </c>
      <c r="D108" s="28">
        <v>1</v>
      </c>
      <c r="E108" s="28">
        <v>0</v>
      </c>
      <c r="F108" s="29">
        <v>42470</v>
      </c>
      <c r="G108" s="28">
        <v>0</v>
      </c>
      <c r="H108" s="28"/>
      <c r="I108" s="32">
        <v>42455</v>
      </c>
      <c r="J108" s="44" t="s">
        <v>60</v>
      </c>
    </row>
    <row r="109" spans="1:11" x14ac:dyDescent="0.2">
      <c r="A109" s="33" t="s">
        <v>360</v>
      </c>
      <c r="B109" s="31">
        <v>100.21</v>
      </c>
      <c r="C109" s="28">
        <v>0</v>
      </c>
      <c r="D109" s="28">
        <v>1</v>
      </c>
      <c r="E109" s="28">
        <v>0</v>
      </c>
      <c r="F109" s="29">
        <v>42470</v>
      </c>
      <c r="G109" s="28">
        <v>0</v>
      </c>
      <c r="H109" s="28"/>
      <c r="I109" s="32">
        <v>42456</v>
      </c>
      <c r="J109" s="28" t="s">
        <v>82</v>
      </c>
    </row>
    <row r="110" spans="1:11" x14ac:dyDescent="0.2">
      <c r="A110" s="33" t="s">
        <v>300</v>
      </c>
      <c r="B110" s="31">
        <v>16.68</v>
      </c>
      <c r="C110" s="28">
        <v>0</v>
      </c>
      <c r="D110" s="28">
        <v>1</v>
      </c>
      <c r="E110" s="28">
        <v>0</v>
      </c>
      <c r="F110" s="29">
        <v>42470</v>
      </c>
      <c r="G110" s="28">
        <v>0</v>
      </c>
      <c r="H110" s="28"/>
      <c r="I110" s="32">
        <v>42458</v>
      </c>
      <c r="J110" s="44" t="s">
        <v>63</v>
      </c>
    </row>
    <row r="111" spans="1:11" x14ac:dyDescent="0.2">
      <c r="A111" s="33" t="s">
        <v>300</v>
      </c>
      <c r="B111" s="31">
        <v>26.75</v>
      </c>
      <c r="C111" s="28">
        <v>0</v>
      </c>
      <c r="D111" s="28">
        <v>1</v>
      </c>
      <c r="E111" s="28">
        <v>0</v>
      </c>
      <c r="F111" s="29">
        <v>42470</v>
      </c>
      <c r="G111" s="28">
        <v>0</v>
      </c>
      <c r="H111" s="28"/>
      <c r="I111" s="32">
        <v>42460</v>
      </c>
      <c r="J111" s="28" t="s">
        <v>63</v>
      </c>
      <c r="K111" s="28"/>
    </row>
    <row r="112" spans="1:11" x14ac:dyDescent="0.2">
      <c r="A112" s="33" t="s">
        <v>317</v>
      </c>
      <c r="B112" s="31">
        <v>37.54</v>
      </c>
      <c r="C112" s="28">
        <v>0</v>
      </c>
      <c r="D112" s="28">
        <v>1</v>
      </c>
      <c r="E112" s="28">
        <v>0</v>
      </c>
      <c r="F112" s="29">
        <v>42470</v>
      </c>
      <c r="G112" s="28">
        <v>0</v>
      </c>
      <c r="H112" s="28"/>
      <c r="I112" s="32">
        <v>42461</v>
      </c>
      <c r="J112" s="28" t="s">
        <v>58</v>
      </c>
      <c r="K112" s="28"/>
    </row>
    <row r="113" spans="1:11" x14ac:dyDescent="0.2">
      <c r="A113" s="33" t="s">
        <v>361</v>
      </c>
      <c r="B113" s="31">
        <v>20</v>
      </c>
      <c r="C113" s="28">
        <v>0</v>
      </c>
      <c r="D113" s="28">
        <v>1</v>
      </c>
      <c r="E113" s="28">
        <v>0</v>
      </c>
      <c r="F113" s="29">
        <v>42470</v>
      </c>
      <c r="G113" s="28">
        <v>0</v>
      </c>
      <c r="H113" s="28"/>
      <c r="I113" s="32">
        <v>42462</v>
      </c>
      <c r="J113" s="28" t="s">
        <v>82</v>
      </c>
      <c r="K113" s="28"/>
    </row>
    <row r="114" spans="1:11" x14ac:dyDescent="0.2">
      <c r="A114" s="33" t="s">
        <v>298</v>
      </c>
      <c r="B114" s="31">
        <v>112.57</v>
      </c>
      <c r="C114" s="28">
        <v>0</v>
      </c>
      <c r="D114" s="28">
        <v>1</v>
      </c>
      <c r="E114" s="28">
        <v>0</v>
      </c>
      <c r="F114" s="29">
        <v>42470</v>
      </c>
      <c r="G114" s="28">
        <v>0</v>
      </c>
      <c r="H114" s="28"/>
      <c r="I114" s="32">
        <v>42462</v>
      </c>
      <c r="J114" s="28" t="s">
        <v>60</v>
      </c>
      <c r="K114" s="28"/>
    </row>
    <row r="115" spans="1:11" x14ac:dyDescent="0.2">
      <c r="A115" s="33" t="s">
        <v>362</v>
      </c>
      <c r="B115" s="31">
        <v>49</v>
      </c>
      <c r="C115" s="28">
        <v>0</v>
      </c>
      <c r="D115" s="28">
        <v>1</v>
      </c>
      <c r="E115" s="28">
        <v>0</v>
      </c>
      <c r="F115" s="29">
        <v>42470</v>
      </c>
      <c r="G115" s="28">
        <v>0</v>
      </c>
      <c r="H115" s="28"/>
      <c r="I115" s="32">
        <v>42463</v>
      </c>
      <c r="J115" s="28" t="s">
        <v>60</v>
      </c>
      <c r="K115" s="28"/>
    </row>
    <row r="116" spans="1:11" x14ac:dyDescent="0.2">
      <c r="A116" s="33" t="s">
        <v>317</v>
      </c>
      <c r="B116" s="31">
        <v>26.68</v>
      </c>
      <c r="C116" s="28">
        <v>0</v>
      </c>
      <c r="D116" s="28">
        <v>1</v>
      </c>
      <c r="E116" s="28">
        <v>0</v>
      </c>
      <c r="F116" s="29">
        <v>42470</v>
      </c>
      <c r="G116" s="28">
        <v>0</v>
      </c>
      <c r="H116" s="28"/>
      <c r="I116" s="32">
        <v>42463</v>
      </c>
      <c r="J116" s="28" t="s">
        <v>58</v>
      </c>
      <c r="K116" s="28"/>
    </row>
    <row r="117" spans="1:11" x14ac:dyDescent="0.2">
      <c r="A117" s="33" t="s">
        <v>363</v>
      </c>
      <c r="B117" s="31">
        <v>22</v>
      </c>
      <c r="C117" s="28">
        <v>0</v>
      </c>
      <c r="D117" s="28">
        <v>1</v>
      </c>
      <c r="E117" s="28">
        <v>0</v>
      </c>
      <c r="F117" s="29">
        <v>42470</v>
      </c>
      <c r="G117" s="28">
        <v>0</v>
      </c>
      <c r="H117" s="28"/>
      <c r="I117" s="32">
        <v>42463</v>
      </c>
      <c r="J117" s="28" t="s">
        <v>59</v>
      </c>
      <c r="K117" s="28"/>
    </row>
    <row r="118" spans="1:11" x14ac:dyDescent="0.2">
      <c r="A118" s="33" t="s">
        <v>364</v>
      </c>
      <c r="B118" s="31">
        <v>10</v>
      </c>
      <c r="C118" s="28">
        <v>0</v>
      </c>
      <c r="D118" s="28">
        <v>1</v>
      </c>
      <c r="E118" s="28">
        <v>0</v>
      </c>
      <c r="F118" s="29">
        <v>42470</v>
      </c>
      <c r="G118" s="28">
        <v>0</v>
      </c>
      <c r="H118" s="28"/>
      <c r="I118" s="32">
        <v>42463</v>
      </c>
      <c r="J118" s="28" t="s">
        <v>59</v>
      </c>
      <c r="K118" s="28"/>
    </row>
    <row r="119" spans="1:11" x14ac:dyDescent="0.2">
      <c r="A119" s="33" t="s">
        <v>298</v>
      </c>
      <c r="B119" s="31">
        <v>144.44999999999999</v>
      </c>
      <c r="C119" s="28">
        <v>0</v>
      </c>
      <c r="D119" s="28">
        <v>1</v>
      </c>
      <c r="E119" s="28">
        <v>0</v>
      </c>
      <c r="F119" s="29">
        <v>42470</v>
      </c>
      <c r="G119" s="28">
        <v>0</v>
      </c>
      <c r="H119" s="28"/>
      <c r="I119" s="32">
        <v>42464</v>
      </c>
      <c r="J119" s="28" t="s">
        <v>60</v>
      </c>
      <c r="K119" s="28"/>
    </row>
    <row r="120" spans="1:11" x14ac:dyDescent="0.2">
      <c r="A120" s="30" t="s">
        <v>291</v>
      </c>
      <c r="B120" s="31">
        <v>74.900000000000006</v>
      </c>
      <c r="C120" s="28">
        <v>0</v>
      </c>
      <c r="D120" s="28">
        <v>1</v>
      </c>
      <c r="E120" s="28">
        <v>1</v>
      </c>
      <c r="F120" s="29">
        <v>42491</v>
      </c>
      <c r="G120" s="28">
        <v>0</v>
      </c>
      <c r="H120" s="28"/>
      <c r="I120" s="32">
        <v>42461</v>
      </c>
      <c r="J120" s="28" t="s">
        <v>103</v>
      </c>
    </row>
    <row r="121" spans="1:11" x14ac:dyDescent="0.2">
      <c r="A121" s="33" t="s">
        <v>325</v>
      </c>
      <c r="B121" s="31">
        <v>0</v>
      </c>
      <c r="C121" s="28">
        <v>0</v>
      </c>
      <c r="D121" s="28">
        <v>1</v>
      </c>
      <c r="E121" s="28">
        <v>1</v>
      </c>
      <c r="F121" s="29">
        <v>42491</v>
      </c>
      <c r="G121" s="28">
        <v>1</v>
      </c>
      <c r="H121" s="28"/>
      <c r="I121" s="32">
        <v>42441</v>
      </c>
      <c r="J121" s="28" t="s">
        <v>68</v>
      </c>
    </row>
    <row r="122" spans="1:11" x14ac:dyDescent="0.2">
      <c r="A122" s="33" t="s">
        <v>332</v>
      </c>
      <c r="B122" s="31">
        <v>283.33999999999997</v>
      </c>
      <c r="C122" s="28">
        <v>0</v>
      </c>
      <c r="D122" s="28">
        <v>1</v>
      </c>
      <c r="E122" s="28">
        <v>1</v>
      </c>
      <c r="F122" s="29">
        <v>42491</v>
      </c>
      <c r="G122" s="28">
        <v>0</v>
      </c>
      <c r="H122" s="28"/>
      <c r="I122" s="32">
        <v>42416</v>
      </c>
      <c r="J122" s="28" t="s">
        <v>322</v>
      </c>
      <c r="K122" s="17"/>
    </row>
    <row r="123" spans="1:11" x14ac:dyDescent="0.2">
      <c r="A123" s="33" t="s">
        <v>336</v>
      </c>
      <c r="B123" s="31">
        <v>433.76</v>
      </c>
      <c r="C123" s="28">
        <v>0</v>
      </c>
      <c r="D123" s="28">
        <v>1</v>
      </c>
      <c r="E123" s="28">
        <v>0</v>
      </c>
      <c r="F123" s="29">
        <v>42491</v>
      </c>
      <c r="G123" s="28">
        <v>0</v>
      </c>
      <c r="H123" s="28"/>
      <c r="I123" s="32">
        <v>42464</v>
      </c>
      <c r="J123" s="28" t="s">
        <v>150</v>
      </c>
    </row>
    <row r="124" spans="1:11" x14ac:dyDescent="0.2">
      <c r="A124" s="33" t="s">
        <v>336</v>
      </c>
      <c r="B124" s="31">
        <v>433.76</v>
      </c>
      <c r="C124" s="28">
        <v>0</v>
      </c>
      <c r="D124" s="28">
        <v>1</v>
      </c>
      <c r="E124" s="28">
        <v>0</v>
      </c>
      <c r="F124" s="29">
        <v>42491</v>
      </c>
      <c r="G124" s="28">
        <v>0</v>
      </c>
      <c r="H124" s="28"/>
      <c r="I124" s="32">
        <v>42464</v>
      </c>
      <c r="J124" s="28" t="s">
        <v>150</v>
      </c>
    </row>
    <row r="125" spans="1:11" x14ac:dyDescent="0.2">
      <c r="A125" s="33" t="s">
        <v>342</v>
      </c>
      <c r="B125" s="31">
        <v>0</v>
      </c>
      <c r="C125" s="28">
        <v>0</v>
      </c>
      <c r="D125" s="28">
        <v>1</v>
      </c>
      <c r="E125" s="28">
        <v>1</v>
      </c>
      <c r="F125" s="29">
        <v>42491</v>
      </c>
      <c r="G125" s="28">
        <v>1</v>
      </c>
      <c r="H125" s="28"/>
      <c r="I125" s="32">
        <v>42443</v>
      </c>
      <c r="J125" s="28" t="s">
        <v>340</v>
      </c>
    </row>
    <row r="126" spans="1:11" x14ac:dyDescent="0.2">
      <c r="A126" s="33" t="s">
        <v>365</v>
      </c>
      <c r="B126" s="31">
        <v>48.79</v>
      </c>
      <c r="C126" s="28">
        <v>0</v>
      </c>
      <c r="D126" s="28">
        <v>1</v>
      </c>
      <c r="E126" s="28">
        <v>0</v>
      </c>
      <c r="F126" s="29">
        <v>42491</v>
      </c>
      <c r="G126" s="28">
        <v>0</v>
      </c>
      <c r="H126" s="28"/>
      <c r="I126" s="32">
        <v>42465</v>
      </c>
      <c r="J126" s="28" t="s">
        <v>73</v>
      </c>
    </row>
    <row r="127" spans="1:11" x14ac:dyDescent="0.2">
      <c r="A127" s="33" t="s">
        <v>285</v>
      </c>
      <c r="B127" s="31">
        <v>138.13</v>
      </c>
      <c r="C127" s="28">
        <v>0</v>
      </c>
      <c r="D127" s="28">
        <v>1</v>
      </c>
      <c r="E127" s="28">
        <v>0</v>
      </c>
      <c r="F127" s="29">
        <v>42491</v>
      </c>
      <c r="G127" s="28">
        <v>0</v>
      </c>
      <c r="H127" s="28"/>
      <c r="I127" s="32">
        <v>42465</v>
      </c>
      <c r="J127" s="28" t="s">
        <v>60</v>
      </c>
    </row>
    <row r="128" spans="1:11" x14ac:dyDescent="0.2">
      <c r="A128" s="33" t="s">
        <v>366</v>
      </c>
      <c r="B128" s="31">
        <v>9</v>
      </c>
      <c r="C128" s="28">
        <v>0</v>
      </c>
      <c r="D128" s="28">
        <v>1</v>
      </c>
      <c r="E128" s="28">
        <v>0</v>
      </c>
      <c r="F128" s="29">
        <v>42491</v>
      </c>
      <c r="G128" s="28">
        <v>0</v>
      </c>
      <c r="H128" s="28"/>
      <c r="I128" s="32">
        <v>42465</v>
      </c>
      <c r="J128" s="28" t="s">
        <v>63</v>
      </c>
    </row>
    <row r="129" spans="1:10" x14ac:dyDescent="0.2">
      <c r="A129" s="33" t="s">
        <v>300</v>
      </c>
      <c r="B129" s="31">
        <v>7.39</v>
      </c>
      <c r="C129" s="28">
        <v>0</v>
      </c>
      <c r="D129" s="28">
        <v>1</v>
      </c>
      <c r="E129" s="28">
        <v>0</v>
      </c>
      <c r="F129" s="29">
        <v>42491</v>
      </c>
      <c r="G129" s="28">
        <v>0</v>
      </c>
      <c r="H129" s="28"/>
      <c r="I129" s="32">
        <v>42466</v>
      </c>
      <c r="J129" s="28" t="s">
        <v>63</v>
      </c>
    </row>
    <row r="130" spans="1:10" x14ac:dyDescent="0.2">
      <c r="A130" s="33" t="s">
        <v>367</v>
      </c>
      <c r="B130" s="31">
        <v>20</v>
      </c>
      <c r="C130" s="28">
        <v>0</v>
      </c>
      <c r="D130" s="28">
        <v>1</v>
      </c>
      <c r="E130" s="28">
        <v>0</v>
      </c>
      <c r="F130" s="29">
        <v>42491</v>
      </c>
      <c r="G130" s="28">
        <v>0</v>
      </c>
      <c r="H130" s="28"/>
      <c r="I130" s="32">
        <v>42466</v>
      </c>
      <c r="J130" s="28" t="s">
        <v>63</v>
      </c>
    </row>
    <row r="131" spans="1:10" x14ac:dyDescent="0.2">
      <c r="A131" s="33" t="s">
        <v>367</v>
      </c>
      <c r="B131" s="31">
        <v>9</v>
      </c>
      <c r="C131" s="28">
        <v>0</v>
      </c>
      <c r="D131" s="28">
        <v>1</v>
      </c>
      <c r="E131" s="28">
        <v>0</v>
      </c>
      <c r="F131" s="29">
        <v>42491</v>
      </c>
      <c r="G131" s="28">
        <v>0</v>
      </c>
      <c r="H131" s="28"/>
      <c r="I131" s="32">
        <v>42466</v>
      </c>
      <c r="J131" s="28" t="s">
        <v>63</v>
      </c>
    </row>
    <row r="132" spans="1:10" x14ac:dyDescent="0.2">
      <c r="A132" s="33" t="s">
        <v>314</v>
      </c>
      <c r="B132" s="31">
        <v>22.9</v>
      </c>
      <c r="C132" s="28">
        <v>0</v>
      </c>
      <c r="D132" s="28">
        <v>1</v>
      </c>
      <c r="E132" s="28">
        <v>0</v>
      </c>
      <c r="F132" s="29">
        <v>42491</v>
      </c>
      <c r="G132" s="28">
        <v>0</v>
      </c>
      <c r="H132" s="28"/>
      <c r="I132" s="32">
        <v>42467</v>
      </c>
      <c r="J132" s="28" t="s">
        <v>34</v>
      </c>
    </row>
    <row r="133" spans="1:10" x14ac:dyDescent="0.2">
      <c r="A133" s="33" t="s">
        <v>368</v>
      </c>
      <c r="B133" s="31">
        <v>9.5</v>
      </c>
      <c r="C133" s="28">
        <v>0</v>
      </c>
      <c r="D133" s="28">
        <v>1</v>
      </c>
      <c r="E133" s="28">
        <v>0</v>
      </c>
      <c r="F133" s="29">
        <v>42491</v>
      </c>
      <c r="G133" s="28">
        <v>0</v>
      </c>
      <c r="H133" s="28"/>
      <c r="I133" s="32">
        <v>42468</v>
      </c>
      <c r="J133" s="28" t="s">
        <v>63</v>
      </c>
    </row>
    <row r="134" spans="1:10" x14ac:dyDescent="0.2">
      <c r="A134" s="33" t="s">
        <v>368</v>
      </c>
      <c r="B134" s="31">
        <v>4.8</v>
      </c>
      <c r="C134" s="28">
        <v>0</v>
      </c>
      <c r="D134" s="28">
        <v>1</v>
      </c>
      <c r="E134" s="28">
        <v>0</v>
      </c>
      <c r="F134" s="29">
        <v>42491</v>
      </c>
      <c r="G134" s="28">
        <v>0</v>
      </c>
      <c r="H134" s="28"/>
      <c r="I134" s="32">
        <v>42468</v>
      </c>
      <c r="J134" s="28" t="s">
        <v>63</v>
      </c>
    </row>
    <row r="135" spans="1:10" x14ac:dyDescent="0.2">
      <c r="A135" s="33" t="s">
        <v>294</v>
      </c>
      <c r="B135" s="31">
        <v>40.97</v>
      </c>
      <c r="C135" s="28">
        <v>0</v>
      </c>
      <c r="D135" s="28">
        <v>1</v>
      </c>
      <c r="E135" s="28">
        <v>0</v>
      </c>
      <c r="F135" s="29">
        <v>42491</v>
      </c>
      <c r="G135" s="28">
        <v>0</v>
      </c>
      <c r="H135" s="28"/>
      <c r="I135" s="32">
        <v>42469</v>
      </c>
      <c r="J135" s="28" t="s">
        <v>82</v>
      </c>
    </row>
    <row r="136" spans="1:10" x14ac:dyDescent="0.2">
      <c r="A136" s="33" t="s">
        <v>369</v>
      </c>
      <c r="B136" s="31">
        <v>25</v>
      </c>
      <c r="C136" s="28">
        <v>0</v>
      </c>
      <c r="D136" s="28">
        <v>1</v>
      </c>
      <c r="E136" s="28">
        <v>0</v>
      </c>
      <c r="F136" s="29">
        <v>42491</v>
      </c>
      <c r="G136" s="28">
        <v>0</v>
      </c>
      <c r="H136" s="28"/>
      <c r="I136" s="32">
        <v>42469</v>
      </c>
      <c r="J136" s="28" t="s">
        <v>63</v>
      </c>
    </row>
    <row r="137" spans="1:10" x14ac:dyDescent="0.2">
      <c r="A137" s="33" t="s">
        <v>370</v>
      </c>
      <c r="B137" s="31">
        <v>18.25</v>
      </c>
      <c r="C137" s="28">
        <v>0</v>
      </c>
      <c r="D137" s="28">
        <v>1</v>
      </c>
      <c r="E137" s="28">
        <v>0</v>
      </c>
      <c r="F137" s="29">
        <v>42491</v>
      </c>
      <c r="G137" s="28">
        <v>0</v>
      </c>
      <c r="H137" s="28"/>
      <c r="I137" s="32">
        <v>42469</v>
      </c>
      <c r="J137" s="28" t="s">
        <v>63</v>
      </c>
    </row>
    <row r="138" spans="1:10" x14ac:dyDescent="0.2">
      <c r="A138" s="33" t="s">
        <v>371</v>
      </c>
      <c r="B138" s="31">
        <v>20</v>
      </c>
      <c r="C138" s="28">
        <v>0</v>
      </c>
      <c r="D138" s="28">
        <v>1</v>
      </c>
      <c r="E138" s="28">
        <v>0</v>
      </c>
      <c r="F138" s="29">
        <v>42491</v>
      </c>
      <c r="G138" s="28">
        <v>0</v>
      </c>
      <c r="H138" s="28"/>
      <c r="I138" s="32">
        <v>42469</v>
      </c>
      <c r="J138" s="28" t="s">
        <v>63</v>
      </c>
    </row>
    <row r="139" spans="1:10" x14ac:dyDescent="0.2">
      <c r="A139" s="33" t="s">
        <v>372</v>
      </c>
      <c r="B139" s="31">
        <v>20</v>
      </c>
      <c r="C139" s="28">
        <v>0</v>
      </c>
      <c r="D139" s="28">
        <v>1</v>
      </c>
      <c r="E139" s="28">
        <v>0</v>
      </c>
      <c r="F139" s="29">
        <v>42491</v>
      </c>
      <c r="G139" s="28">
        <v>0</v>
      </c>
      <c r="H139" s="28"/>
      <c r="I139" s="32">
        <v>42469</v>
      </c>
      <c r="J139" s="28" t="s">
        <v>63</v>
      </c>
    </row>
    <row r="140" spans="1:10" x14ac:dyDescent="0.2">
      <c r="A140" s="33" t="s">
        <v>373</v>
      </c>
      <c r="B140" s="31">
        <v>14</v>
      </c>
      <c r="C140" s="28">
        <v>0</v>
      </c>
      <c r="D140" s="28">
        <v>1</v>
      </c>
      <c r="E140" s="28">
        <v>0</v>
      </c>
      <c r="F140" s="29">
        <v>42491</v>
      </c>
      <c r="G140" s="28">
        <v>0</v>
      </c>
      <c r="H140" s="28"/>
      <c r="I140" s="32">
        <v>42469</v>
      </c>
      <c r="J140" s="28" t="s">
        <v>63</v>
      </c>
    </row>
    <row r="141" spans="1:10" x14ac:dyDescent="0.2">
      <c r="A141" s="33" t="s">
        <v>374</v>
      </c>
      <c r="B141" s="31">
        <v>12</v>
      </c>
      <c r="C141" s="28">
        <v>0</v>
      </c>
      <c r="D141" s="28">
        <v>1</v>
      </c>
      <c r="E141" s="28">
        <v>0</v>
      </c>
      <c r="F141" s="29">
        <v>42491</v>
      </c>
      <c r="G141" s="28">
        <v>0</v>
      </c>
      <c r="H141" s="28"/>
      <c r="I141" s="32">
        <v>42470</v>
      </c>
      <c r="J141" s="28" t="s">
        <v>63</v>
      </c>
    </row>
    <row r="142" spans="1:10" x14ac:dyDescent="0.2">
      <c r="A142" s="33" t="s">
        <v>375</v>
      </c>
      <c r="B142" s="31">
        <v>15</v>
      </c>
      <c r="C142" s="28">
        <v>0</v>
      </c>
      <c r="D142" s="28">
        <v>1</v>
      </c>
      <c r="E142" s="28">
        <v>0</v>
      </c>
      <c r="F142" s="29">
        <v>42491</v>
      </c>
      <c r="G142" s="28">
        <v>0</v>
      </c>
      <c r="H142" s="28"/>
      <c r="I142" s="32">
        <v>42470</v>
      </c>
      <c r="J142" s="28" t="s">
        <v>63</v>
      </c>
    </row>
    <row r="143" spans="1:10" x14ac:dyDescent="0.2">
      <c r="A143" s="33" t="s">
        <v>376</v>
      </c>
      <c r="B143" s="31">
        <v>18.8</v>
      </c>
      <c r="C143" s="28">
        <v>0</v>
      </c>
      <c r="D143" s="28">
        <v>1</v>
      </c>
      <c r="E143" s="28">
        <v>0</v>
      </c>
      <c r="F143" s="29">
        <v>42491</v>
      </c>
      <c r="G143" s="28">
        <v>0</v>
      </c>
      <c r="H143" s="28"/>
      <c r="I143" s="32">
        <v>42470</v>
      </c>
      <c r="J143" s="28" t="s">
        <v>63</v>
      </c>
    </row>
    <row r="144" spans="1:10" x14ac:dyDescent="0.2">
      <c r="A144" s="33" t="s">
        <v>377</v>
      </c>
      <c r="B144" s="31">
        <v>30</v>
      </c>
      <c r="C144" s="28">
        <v>0</v>
      </c>
      <c r="D144" s="28">
        <v>1</v>
      </c>
      <c r="E144" s="28">
        <v>0</v>
      </c>
      <c r="F144" s="29">
        <v>42491</v>
      </c>
      <c r="G144" s="28">
        <v>0</v>
      </c>
      <c r="H144" s="28"/>
      <c r="I144" s="32">
        <v>42470</v>
      </c>
      <c r="J144" s="28" t="s">
        <v>63</v>
      </c>
    </row>
    <row r="145" spans="1:10" x14ac:dyDescent="0.2">
      <c r="A145" s="33" t="s">
        <v>378</v>
      </c>
      <c r="B145" s="31">
        <v>12</v>
      </c>
      <c r="C145" s="28">
        <v>0</v>
      </c>
      <c r="D145" s="28">
        <v>1</v>
      </c>
      <c r="E145" s="28">
        <v>0</v>
      </c>
      <c r="F145" s="29">
        <v>42491</v>
      </c>
      <c r="G145" s="28">
        <v>0</v>
      </c>
      <c r="H145" s="28"/>
      <c r="I145" s="32">
        <v>42470</v>
      </c>
      <c r="J145" s="28" t="s">
        <v>63</v>
      </c>
    </row>
    <row r="146" spans="1:10" x14ac:dyDescent="0.2">
      <c r="A146" s="33" t="s">
        <v>337</v>
      </c>
      <c r="B146" s="31">
        <v>154.33000000000001</v>
      </c>
      <c r="C146" s="28">
        <v>0</v>
      </c>
      <c r="D146" s="28">
        <v>1</v>
      </c>
      <c r="E146" s="28">
        <v>0</v>
      </c>
      <c r="F146" s="29">
        <v>42491</v>
      </c>
      <c r="G146" s="28">
        <v>0</v>
      </c>
      <c r="H146" s="28"/>
      <c r="I146" s="32">
        <v>42474</v>
      </c>
      <c r="J146" s="28" t="s">
        <v>150</v>
      </c>
    </row>
    <row r="147" spans="1:10" x14ac:dyDescent="0.2">
      <c r="A147" s="33" t="s">
        <v>379</v>
      </c>
      <c r="B147" s="31">
        <v>23.19</v>
      </c>
      <c r="C147" s="28">
        <v>0</v>
      </c>
      <c r="D147" s="28">
        <v>1</v>
      </c>
      <c r="E147" s="28">
        <v>0</v>
      </c>
      <c r="F147" s="29">
        <v>42491</v>
      </c>
      <c r="G147" s="28">
        <v>0</v>
      </c>
      <c r="H147" s="28"/>
      <c r="I147" s="32">
        <v>42474</v>
      </c>
      <c r="J147" s="28" t="s">
        <v>63</v>
      </c>
    </row>
    <row r="148" spans="1:10" x14ac:dyDescent="0.2">
      <c r="A148" s="33" t="s">
        <v>380</v>
      </c>
      <c r="B148" s="31">
        <v>131</v>
      </c>
      <c r="C148" s="28">
        <v>0</v>
      </c>
      <c r="D148" s="28">
        <v>1</v>
      </c>
      <c r="E148" s="28">
        <v>0</v>
      </c>
      <c r="F148" s="29">
        <v>42491</v>
      </c>
      <c r="G148" s="28">
        <v>0</v>
      </c>
      <c r="H148" s="28"/>
      <c r="I148" s="32">
        <v>42476</v>
      </c>
      <c r="J148" s="28" t="s">
        <v>63</v>
      </c>
    </row>
    <row r="149" spans="1:10" x14ac:dyDescent="0.2">
      <c r="A149" s="33" t="s">
        <v>285</v>
      </c>
      <c r="B149" s="31">
        <v>340.01</v>
      </c>
      <c r="C149" s="28">
        <v>0</v>
      </c>
      <c r="D149" s="28">
        <v>1</v>
      </c>
      <c r="E149" s="28">
        <v>0</v>
      </c>
      <c r="F149" s="29">
        <v>42491</v>
      </c>
      <c r="G149" s="28">
        <v>0</v>
      </c>
      <c r="H149" s="28"/>
      <c r="I149" s="32">
        <v>42476</v>
      </c>
      <c r="J149" s="28" t="s">
        <v>60</v>
      </c>
    </row>
    <row r="150" spans="1:10" x14ac:dyDescent="0.2">
      <c r="A150" s="33" t="s">
        <v>317</v>
      </c>
      <c r="B150" s="31">
        <v>60.13</v>
      </c>
      <c r="C150" s="28">
        <v>0</v>
      </c>
      <c r="D150" s="28">
        <v>1</v>
      </c>
      <c r="E150" s="28">
        <v>0</v>
      </c>
      <c r="F150" s="29">
        <v>42491</v>
      </c>
      <c r="G150" s="28">
        <v>0</v>
      </c>
      <c r="H150" s="28"/>
      <c r="I150" s="32">
        <v>42476</v>
      </c>
      <c r="J150" s="28" t="s">
        <v>58</v>
      </c>
    </row>
    <row r="151" spans="1:10" x14ac:dyDescent="0.2">
      <c r="A151" s="33" t="s">
        <v>381</v>
      </c>
      <c r="B151" s="31">
        <v>48.38</v>
      </c>
      <c r="C151" s="28">
        <v>0</v>
      </c>
      <c r="D151" s="28">
        <v>1</v>
      </c>
      <c r="E151" s="28">
        <v>0</v>
      </c>
      <c r="F151" s="29">
        <v>42491</v>
      </c>
      <c r="G151" s="28">
        <v>0</v>
      </c>
      <c r="H151" s="28"/>
      <c r="I151" s="32">
        <v>42477</v>
      </c>
      <c r="J151" s="28" t="s">
        <v>60</v>
      </c>
    </row>
    <row r="152" spans="1:10" x14ac:dyDescent="0.2">
      <c r="A152" s="33" t="s">
        <v>382</v>
      </c>
      <c r="B152" s="31">
        <v>50.47</v>
      </c>
      <c r="C152" s="28">
        <v>0</v>
      </c>
      <c r="D152" s="28">
        <v>1</v>
      </c>
      <c r="E152" s="28">
        <v>0</v>
      </c>
      <c r="F152" s="29">
        <v>42491</v>
      </c>
      <c r="G152" s="28">
        <v>0</v>
      </c>
      <c r="H152" s="28"/>
      <c r="I152" s="32">
        <v>42477</v>
      </c>
      <c r="J152" s="28" t="s">
        <v>63</v>
      </c>
    </row>
    <row r="153" spans="1:10" x14ac:dyDescent="0.2">
      <c r="A153" s="33" t="s">
        <v>335</v>
      </c>
      <c r="B153" s="31">
        <v>31</v>
      </c>
      <c r="C153" s="28">
        <v>0</v>
      </c>
      <c r="D153" s="28">
        <v>1</v>
      </c>
      <c r="E153" s="28">
        <v>0</v>
      </c>
      <c r="F153" s="29">
        <v>42491</v>
      </c>
      <c r="G153" s="28">
        <v>0</v>
      </c>
      <c r="H153" s="28"/>
      <c r="I153" s="32">
        <v>42478</v>
      </c>
      <c r="J153" s="28" t="s">
        <v>615</v>
      </c>
    </row>
    <row r="154" spans="1:10" x14ac:dyDescent="0.2">
      <c r="A154" s="33" t="s">
        <v>383</v>
      </c>
      <c r="B154" s="31">
        <v>20.75</v>
      </c>
      <c r="C154" s="28">
        <v>0</v>
      </c>
      <c r="D154" s="28">
        <v>1</v>
      </c>
      <c r="E154" s="28">
        <v>0</v>
      </c>
      <c r="F154" s="29">
        <v>42491</v>
      </c>
      <c r="G154" s="28">
        <v>0</v>
      </c>
      <c r="H154" s="28"/>
      <c r="I154" s="32">
        <v>42479</v>
      </c>
      <c r="J154" s="28" t="s">
        <v>63</v>
      </c>
    </row>
    <row r="155" spans="1:10" x14ac:dyDescent="0.2">
      <c r="A155" s="33" t="s">
        <v>384</v>
      </c>
      <c r="B155" s="31">
        <v>26.4</v>
      </c>
      <c r="C155" s="28">
        <v>0</v>
      </c>
      <c r="D155" s="28">
        <v>1</v>
      </c>
      <c r="E155" s="28">
        <v>0</v>
      </c>
      <c r="F155" s="29">
        <v>42491</v>
      </c>
      <c r="G155" s="28">
        <v>0</v>
      </c>
      <c r="H155" s="28"/>
      <c r="I155" s="32">
        <v>42479</v>
      </c>
      <c r="J155" s="28" t="s">
        <v>73</v>
      </c>
    </row>
    <row r="156" spans="1:10" x14ac:dyDescent="0.2">
      <c r="A156" s="33" t="s">
        <v>298</v>
      </c>
      <c r="B156" s="31">
        <v>36</v>
      </c>
      <c r="C156" s="28">
        <v>0</v>
      </c>
      <c r="D156" s="28">
        <v>1</v>
      </c>
      <c r="E156" s="28">
        <v>0</v>
      </c>
      <c r="F156" s="29">
        <v>42491</v>
      </c>
      <c r="G156" s="28">
        <v>0</v>
      </c>
      <c r="H156" s="28"/>
      <c r="I156" s="32">
        <v>42480</v>
      </c>
      <c r="J156" s="28" t="s">
        <v>60</v>
      </c>
    </row>
    <row r="157" spans="1:10" x14ac:dyDescent="0.2">
      <c r="A157" s="34" t="s">
        <v>385</v>
      </c>
      <c r="B157" s="47">
        <v>766.33</v>
      </c>
      <c r="C157" s="28">
        <v>0</v>
      </c>
      <c r="D157" s="28">
        <v>1</v>
      </c>
      <c r="E157" s="28">
        <v>0</v>
      </c>
      <c r="F157" s="29">
        <v>42491</v>
      </c>
      <c r="G157" s="28">
        <v>0</v>
      </c>
      <c r="H157" s="28"/>
      <c r="I157" s="32">
        <v>42481</v>
      </c>
      <c r="J157" s="28" t="s">
        <v>68</v>
      </c>
    </row>
    <row r="158" spans="1:10" x14ac:dyDescent="0.2">
      <c r="A158" s="34" t="s">
        <v>388</v>
      </c>
      <c r="B158" s="35">
        <v>14.91</v>
      </c>
      <c r="C158" s="28">
        <v>0</v>
      </c>
      <c r="D158" s="28">
        <v>1</v>
      </c>
      <c r="E158" s="28">
        <v>0</v>
      </c>
      <c r="F158" s="29">
        <v>42491</v>
      </c>
      <c r="G158" s="28">
        <v>0</v>
      </c>
      <c r="H158" s="36"/>
      <c r="I158" s="37">
        <v>42481</v>
      </c>
      <c r="J158" s="28" t="s">
        <v>63</v>
      </c>
    </row>
    <row r="159" spans="1:10" x14ac:dyDescent="0.2">
      <c r="A159" s="34" t="s">
        <v>389</v>
      </c>
      <c r="B159" s="35">
        <v>80.8</v>
      </c>
      <c r="C159" s="28">
        <v>0</v>
      </c>
      <c r="D159" s="28">
        <v>1</v>
      </c>
      <c r="E159" s="28">
        <v>0</v>
      </c>
      <c r="F159" s="29">
        <v>42491</v>
      </c>
      <c r="G159" s="28">
        <v>0</v>
      </c>
      <c r="H159" s="36"/>
      <c r="I159" s="37">
        <v>42481</v>
      </c>
      <c r="J159" s="28" t="s">
        <v>118</v>
      </c>
    </row>
    <row r="160" spans="1:10" x14ac:dyDescent="0.2">
      <c r="A160" s="34" t="s">
        <v>390</v>
      </c>
      <c r="B160" s="35">
        <v>14</v>
      </c>
      <c r="C160" s="28">
        <v>0</v>
      </c>
      <c r="D160" s="28">
        <v>1</v>
      </c>
      <c r="E160" s="28">
        <v>0</v>
      </c>
      <c r="F160" s="29">
        <v>42491</v>
      </c>
      <c r="G160" s="28">
        <v>0</v>
      </c>
      <c r="H160" s="36"/>
      <c r="I160" s="37">
        <v>42481</v>
      </c>
      <c r="J160" s="28" t="s">
        <v>150</v>
      </c>
    </row>
    <row r="161" spans="1:11" x14ac:dyDescent="0.2">
      <c r="A161" s="34" t="s">
        <v>391</v>
      </c>
      <c r="B161" s="35">
        <v>32</v>
      </c>
      <c r="C161" s="28">
        <v>0</v>
      </c>
      <c r="D161" s="28">
        <v>1</v>
      </c>
      <c r="E161" s="28">
        <v>0</v>
      </c>
      <c r="F161" s="29">
        <v>42491</v>
      </c>
      <c r="G161" s="28">
        <v>0</v>
      </c>
      <c r="H161" s="36"/>
      <c r="I161" s="37">
        <v>42481</v>
      </c>
      <c r="J161" s="28" t="s">
        <v>68</v>
      </c>
    </row>
    <row r="162" spans="1:11" x14ac:dyDescent="0.2">
      <c r="A162" s="34" t="s">
        <v>391</v>
      </c>
      <c r="B162" s="35">
        <v>12</v>
      </c>
      <c r="C162" s="28">
        <v>0</v>
      </c>
      <c r="D162" s="28">
        <v>1</v>
      </c>
      <c r="E162" s="28">
        <v>0</v>
      </c>
      <c r="F162" s="29">
        <v>42491</v>
      </c>
      <c r="G162" s="28">
        <v>0</v>
      </c>
      <c r="H162" s="36"/>
      <c r="I162" s="37">
        <v>42481</v>
      </c>
      <c r="J162" s="28" t="s">
        <v>68</v>
      </c>
    </row>
    <row r="163" spans="1:11" x14ac:dyDescent="0.2">
      <c r="A163" s="34" t="s">
        <v>392</v>
      </c>
      <c r="B163" s="35">
        <v>51.5</v>
      </c>
      <c r="C163" s="28">
        <v>0</v>
      </c>
      <c r="D163" s="28">
        <v>1</v>
      </c>
      <c r="E163" s="28">
        <v>0</v>
      </c>
      <c r="F163" s="29">
        <v>42491</v>
      </c>
      <c r="G163" s="28">
        <v>0</v>
      </c>
      <c r="H163" s="36"/>
      <c r="I163" s="37">
        <v>42481</v>
      </c>
      <c r="J163" s="28" t="s">
        <v>82</v>
      </c>
    </row>
    <row r="164" spans="1:11" x14ac:dyDescent="0.2">
      <c r="A164" s="34" t="s">
        <v>393</v>
      </c>
      <c r="B164" s="35">
        <v>38</v>
      </c>
      <c r="C164" s="28">
        <v>0</v>
      </c>
      <c r="D164" s="28">
        <v>1</v>
      </c>
      <c r="E164" s="28">
        <v>0</v>
      </c>
      <c r="F164" s="29">
        <v>42491</v>
      </c>
      <c r="G164" s="28">
        <v>0</v>
      </c>
      <c r="H164" s="36"/>
      <c r="I164" s="37">
        <v>42482</v>
      </c>
      <c r="J164" s="28" t="s">
        <v>63</v>
      </c>
    </row>
    <row r="165" spans="1:11" x14ac:dyDescent="0.2">
      <c r="A165" s="34" t="s">
        <v>394</v>
      </c>
      <c r="B165" s="35">
        <v>188.5</v>
      </c>
      <c r="C165" s="28">
        <v>0</v>
      </c>
      <c r="D165" s="28">
        <v>1</v>
      </c>
      <c r="E165" s="28">
        <v>0</v>
      </c>
      <c r="F165" s="29">
        <v>42491</v>
      </c>
      <c r="G165" s="28">
        <v>0</v>
      </c>
      <c r="H165" s="36"/>
      <c r="I165" s="37">
        <v>42482</v>
      </c>
      <c r="J165" s="28" t="s">
        <v>150</v>
      </c>
    </row>
    <row r="166" spans="1:11" x14ac:dyDescent="0.2">
      <c r="A166" s="34" t="s">
        <v>285</v>
      </c>
      <c r="B166" s="35">
        <v>154.04</v>
      </c>
      <c r="C166" s="28">
        <v>0</v>
      </c>
      <c r="D166" s="28">
        <v>1</v>
      </c>
      <c r="E166" s="28">
        <v>0</v>
      </c>
      <c r="F166" s="29">
        <v>42491</v>
      </c>
      <c r="G166" s="28">
        <v>0</v>
      </c>
      <c r="H166" s="36"/>
      <c r="I166" s="37">
        <v>42483</v>
      </c>
      <c r="J166" s="28" t="s">
        <v>60</v>
      </c>
    </row>
    <row r="167" spans="1:11" x14ac:dyDescent="0.2">
      <c r="A167" s="34" t="s">
        <v>395</v>
      </c>
      <c r="B167" s="35">
        <v>18.010000000000002</v>
      </c>
      <c r="C167" s="28">
        <v>0</v>
      </c>
      <c r="D167" s="28">
        <v>1</v>
      </c>
      <c r="E167" s="28">
        <v>0</v>
      </c>
      <c r="F167" s="29">
        <v>42491</v>
      </c>
      <c r="G167" s="28">
        <v>0</v>
      </c>
      <c r="H167" s="36"/>
      <c r="I167" s="37">
        <v>42485</v>
      </c>
      <c r="J167" s="28" t="s">
        <v>73</v>
      </c>
    </row>
    <row r="168" spans="1:11" x14ac:dyDescent="0.2">
      <c r="A168" s="34" t="s">
        <v>300</v>
      </c>
      <c r="B168" s="35">
        <v>9.8699999999999992</v>
      </c>
      <c r="C168" s="28">
        <v>0</v>
      </c>
      <c r="D168" s="28">
        <v>1</v>
      </c>
      <c r="E168" s="28">
        <v>0</v>
      </c>
      <c r="F168" s="29">
        <v>42491</v>
      </c>
      <c r="G168" s="28">
        <v>0</v>
      </c>
      <c r="H168" s="36"/>
      <c r="I168" s="37">
        <v>42485</v>
      </c>
      <c r="J168" s="28" t="s">
        <v>63</v>
      </c>
    </row>
    <row r="169" spans="1:11" x14ac:dyDescent="0.2">
      <c r="A169" s="34" t="s">
        <v>366</v>
      </c>
      <c r="B169" s="35">
        <v>3.8</v>
      </c>
      <c r="C169" s="28">
        <v>0</v>
      </c>
      <c r="D169" s="28">
        <v>1</v>
      </c>
      <c r="E169" s="28">
        <v>0</v>
      </c>
      <c r="F169" s="29">
        <v>42491</v>
      </c>
      <c r="G169" s="28">
        <v>0</v>
      </c>
      <c r="H169" s="36"/>
      <c r="I169" s="37">
        <v>42485</v>
      </c>
      <c r="J169" s="28" t="s">
        <v>63</v>
      </c>
    </row>
    <row r="170" spans="1:11" x14ac:dyDescent="0.2">
      <c r="A170" s="33" t="s">
        <v>397</v>
      </c>
      <c r="B170" s="31">
        <v>11</v>
      </c>
      <c r="C170" s="28">
        <v>0</v>
      </c>
      <c r="D170" s="28">
        <v>1</v>
      </c>
      <c r="E170" s="28">
        <v>0</v>
      </c>
      <c r="F170" s="29">
        <v>42491</v>
      </c>
      <c r="G170" s="28">
        <v>0</v>
      </c>
      <c r="H170" s="28"/>
      <c r="I170" s="32">
        <v>42486</v>
      </c>
      <c r="J170" s="28" t="s">
        <v>63</v>
      </c>
    </row>
    <row r="171" spans="1:11" x14ac:dyDescent="0.2">
      <c r="A171" s="33" t="s">
        <v>398</v>
      </c>
      <c r="B171" s="31">
        <v>43.99</v>
      </c>
      <c r="C171" s="28">
        <v>0</v>
      </c>
      <c r="D171" s="28">
        <v>1</v>
      </c>
      <c r="E171" s="28">
        <v>0</v>
      </c>
      <c r="F171" s="29">
        <v>42491</v>
      </c>
      <c r="G171" s="28">
        <v>0</v>
      </c>
      <c r="H171" s="28"/>
      <c r="I171" s="32">
        <v>42487</v>
      </c>
      <c r="J171" s="28" t="s">
        <v>63</v>
      </c>
    </row>
    <row r="172" spans="1:11" x14ac:dyDescent="0.2">
      <c r="A172" s="33" t="s">
        <v>399</v>
      </c>
      <c r="B172" s="31">
        <v>160</v>
      </c>
      <c r="C172" s="28">
        <v>0</v>
      </c>
      <c r="D172" s="28">
        <v>1</v>
      </c>
      <c r="E172" s="28">
        <v>0</v>
      </c>
      <c r="F172" s="29">
        <v>42491</v>
      </c>
      <c r="G172" s="28">
        <v>0</v>
      </c>
      <c r="H172" s="28"/>
      <c r="I172" s="32">
        <v>42488</v>
      </c>
      <c r="J172" s="28" t="s">
        <v>150</v>
      </c>
    </row>
    <row r="173" spans="1:11" x14ac:dyDescent="0.2">
      <c r="A173" s="33" t="s">
        <v>298</v>
      </c>
      <c r="B173" s="31">
        <v>60.9</v>
      </c>
      <c r="C173" s="28">
        <v>0</v>
      </c>
      <c r="D173" s="28">
        <v>1</v>
      </c>
      <c r="E173" s="28">
        <v>0</v>
      </c>
      <c r="F173" s="29">
        <v>42491</v>
      </c>
      <c r="G173" s="28">
        <v>0</v>
      </c>
      <c r="H173" s="28"/>
      <c r="I173" s="32">
        <v>42489</v>
      </c>
      <c r="J173" s="28" t="s">
        <v>60</v>
      </c>
    </row>
    <row r="174" spans="1:11" x14ac:dyDescent="0.2">
      <c r="A174" s="33" t="s">
        <v>400</v>
      </c>
      <c r="B174" s="31">
        <v>100</v>
      </c>
      <c r="C174" s="28">
        <v>0</v>
      </c>
      <c r="D174" s="28">
        <v>1</v>
      </c>
      <c r="E174" s="28">
        <v>0</v>
      </c>
      <c r="F174" s="29">
        <v>42491</v>
      </c>
      <c r="G174" s="28">
        <v>0</v>
      </c>
      <c r="H174" s="28"/>
      <c r="I174" s="32">
        <v>42489</v>
      </c>
      <c r="J174" s="28" t="s">
        <v>118</v>
      </c>
    </row>
    <row r="175" spans="1:11" x14ac:dyDescent="0.2">
      <c r="A175" s="33" t="s">
        <v>294</v>
      </c>
      <c r="B175" s="31">
        <v>22.22</v>
      </c>
      <c r="C175" s="28">
        <v>0</v>
      </c>
      <c r="D175" s="28">
        <v>1</v>
      </c>
      <c r="E175" s="28">
        <v>0</v>
      </c>
      <c r="F175" s="29">
        <v>42491</v>
      </c>
      <c r="G175" s="28">
        <v>0</v>
      </c>
      <c r="H175" s="28"/>
      <c r="I175" s="32">
        <v>42490</v>
      </c>
      <c r="J175" s="28" t="s">
        <v>58</v>
      </c>
      <c r="K175" s="28"/>
    </row>
    <row r="176" spans="1:11" x14ac:dyDescent="0.2">
      <c r="A176" s="30" t="s">
        <v>291</v>
      </c>
      <c r="B176" s="31">
        <v>74.900000000000006</v>
      </c>
      <c r="C176" s="28">
        <v>0</v>
      </c>
      <c r="D176" s="28">
        <v>1</v>
      </c>
      <c r="E176" s="28">
        <v>0</v>
      </c>
      <c r="F176" s="29">
        <v>42522</v>
      </c>
      <c r="G176" s="28">
        <v>1</v>
      </c>
      <c r="H176" s="28"/>
      <c r="I176" s="32">
        <v>42491</v>
      </c>
      <c r="J176" s="28" t="s">
        <v>103</v>
      </c>
    </row>
    <row r="177" spans="1:11" x14ac:dyDescent="0.2">
      <c r="A177" s="33" t="s">
        <v>326</v>
      </c>
      <c r="B177" s="31">
        <v>0</v>
      </c>
      <c r="C177" s="28">
        <v>0</v>
      </c>
      <c r="D177" s="28">
        <v>1</v>
      </c>
      <c r="E177" s="28">
        <v>1</v>
      </c>
      <c r="F177" s="39">
        <v>42522</v>
      </c>
      <c r="G177" s="28">
        <v>1</v>
      </c>
      <c r="H177" s="28"/>
      <c r="I177" s="32">
        <v>42441</v>
      </c>
      <c r="J177" s="28" t="s">
        <v>68</v>
      </c>
    </row>
    <row r="178" spans="1:11" x14ac:dyDescent="0.2">
      <c r="A178" s="33" t="s">
        <v>336</v>
      </c>
      <c r="B178" s="31">
        <v>433.76</v>
      </c>
      <c r="C178" s="28">
        <v>0</v>
      </c>
      <c r="D178" s="28">
        <v>1</v>
      </c>
      <c r="E178" s="28">
        <v>0</v>
      </c>
      <c r="F178" s="29">
        <v>42522</v>
      </c>
      <c r="G178" s="28">
        <v>1</v>
      </c>
      <c r="H178" s="28"/>
      <c r="I178" s="32">
        <v>42432</v>
      </c>
      <c r="J178" s="28" t="s">
        <v>150</v>
      </c>
    </row>
    <row r="179" spans="1:11" x14ac:dyDescent="0.2">
      <c r="A179" s="33" t="s">
        <v>343</v>
      </c>
      <c r="B179" s="31">
        <v>0</v>
      </c>
      <c r="C179" s="28">
        <v>0</v>
      </c>
      <c r="D179" s="28">
        <v>1</v>
      </c>
      <c r="E179" s="28">
        <v>1</v>
      </c>
      <c r="F179" s="29">
        <v>42522</v>
      </c>
      <c r="G179" s="28">
        <v>1</v>
      </c>
      <c r="H179" s="28"/>
      <c r="I179" s="32">
        <v>42443</v>
      </c>
      <c r="J179" s="28" t="s">
        <v>340</v>
      </c>
    </row>
    <row r="180" spans="1:11" x14ac:dyDescent="0.2">
      <c r="A180" s="34" t="s">
        <v>386</v>
      </c>
      <c r="B180" s="47">
        <f>2299/3</f>
        <v>766.33333333333337</v>
      </c>
      <c r="C180" s="28">
        <v>0</v>
      </c>
      <c r="D180" s="28">
        <v>1</v>
      </c>
      <c r="E180" s="28">
        <v>0</v>
      </c>
      <c r="F180" s="29">
        <v>42522</v>
      </c>
      <c r="G180" s="28">
        <v>1</v>
      </c>
      <c r="H180" s="28"/>
      <c r="I180" s="32">
        <v>42481</v>
      </c>
      <c r="J180" s="28" t="s">
        <v>68</v>
      </c>
    </row>
    <row r="181" spans="1:11" x14ac:dyDescent="0.2">
      <c r="A181" s="33" t="s">
        <v>396</v>
      </c>
      <c r="B181" s="31">
        <v>188.5</v>
      </c>
      <c r="C181" s="28">
        <v>0</v>
      </c>
      <c r="D181" s="28">
        <v>1</v>
      </c>
      <c r="E181" s="28">
        <v>0</v>
      </c>
      <c r="F181" s="29">
        <v>42522</v>
      </c>
      <c r="G181" s="28">
        <v>1</v>
      </c>
      <c r="H181" s="28"/>
      <c r="I181" s="32">
        <v>42482</v>
      </c>
      <c r="J181" s="28" t="s">
        <v>150</v>
      </c>
    </row>
    <row r="182" spans="1:11" x14ac:dyDescent="0.2">
      <c r="A182" s="33" t="s">
        <v>401</v>
      </c>
      <c r="B182" s="31">
        <v>100</v>
      </c>
      <c r="C182" s="28">
        <v>0</v>
      </c>
      <c r="D182" s="28">
        <v>1</v>
      </c>
      <c r="E182" s="28">
        <v>0</v>
      </c>
      <c r="F182" s="29">
        <v>42522</v>
      </c>
      <c r="G182" s="28">
        <v>1</v>
      </c>
      <c r="H182" s="28"/>
      <c r="I182" s="32">
        <v>42489</v>
      </c>
      <c r="J182" s="28" t="s">
        <v>118</v>
      </c>
      <c r="K182" s="28"/>
    </row>
    <row r="183" spans="1:11" x14ac:dyDescent="0.2">
      <c r="A183" s="48" t="s">
        <v>402</v>
      </c>
      <c r="B183" s="49">
        <v>1410.14</v>
      </c>
      <c r="C183" s="28">
        <v>0</v>
      </c>
      <c r="D183" s="28">
        <v>1</v>
      </c>
      <c r="E183" s="28">
        <v>0</v>
      </c>
      <c r="F183" s="29">
        <v>42522</v>
      </c>
      <c r="G183" s="28">
        <v>1</v>
      </c>
      <c r="H183" s="28"/>
      <c r="I183" s="32">
        <v>42501</v>
      </c>
      <c r="J183" s="28" t="s">
        <v>34</v>
      </c>
      <c r="K183" s="49">
        <v>1471.62</v>
      </c>
    </row>
    <row r="184" spans="1:11" x14ac:dyDescent="0.2">
      <c r="A184" s="30" t="s">
        <v>314</v>
      </c>
      <c r="B184" s="31">
        <v>22.9</v>
      </c>
      <c r="C184" s="28">
        <v>0</v>
      </c>
      <c r="D184" s="28">
        <v>1</v>
      </c>
      <c r="E184" s="28">
        <v>0</v>
      </c>
      <c r="F184" s="29">
        <v>42522</v>
      </c>
      <c r="G184" s="28">
        <v>1</v>
      </c>
      <c r="H184" s="28"/>
      <c r="I184" s="32">
        <v>42497</v>
      </c>
      <c r="J184" s="28" t="s">
        <v>34</v>
      </c>
    </row>
    <row r="185" spans="1:11" x14ac:dyDescent="0.2">
      <c r="A185" s="33" t="s">
        <v>403</v>
      </c>
      <c r="B185" s="31">
        <v>199.99</v>
      </c>
      <c r="C185" s="28">
        <v>0</v>
      </c>
      <c r="D185" s="28">
        <v>1</v>
      </c>
      <c r="E185" s="28">
        <v>0</v>
      </c>
      <c r="F185" s="29">
        <v>42522</v>
      </c>
      <c r="G185" s="28">
        <v>1</v>
      </c>
      <c r="H185" s="28"/>
      <c r="I185" s="32">
        <v>42498</v>
      </c>
      <c r="J185" s="28" t="s">
        <v>68</v>
      </c>
    </row>
    <row r="186" spans="1:11" x14ac:dyDescent="0.2">
      <c r="A186" s="33" t="s">
        <v>404</v>
      </c>
      <c r="B186" s="31">
        <v>112</v>
      </c>
      <c r="C186" s="28">
        <v>0</v>
      </c>
      <c r="D186" s="28">
        <v>1</v>
      </c>
      <c r="E186" s="28">
        <v>0</v>
      </c>
      <c r="F186" s="29">
        <v>42522</v>
      </c>
      <c r="G186" s="28">
        <v>1</v>
      </c>
      <c r="H186" s="28"/>
      <c r="I186" s="32">
        <v>42498</v>
      </c>
      <c r="J186" s="28" t="s">
        <v>150</v>
      </c>
    </row>
    <row r="187" spans="1:11" x14ac:dyDescent="0.2">
      <c r="A187" s="33" t="s">
        <v>347</v>
      </c>
      <c r="B187" s="31">
        <v>44.99</v>
      </c>
      <c r="C187" s="28">
        <v>0</v>
      </c>
      <c r="D187" s="28">
        <v>1</v>
      </c>
      <c r="E187" s="28">
        <v>0</v>
      </c>
      <c r="F187" s="29">
        <v>42522</v>
      </c>
      <c r="G187" s="28">
        <v>1</v>
      </c>
      <c r="H187" s="28"/>
      <c r="I187" s="32">
        <v>42502</v>
      </c>
      <c r="J187" s="28" t="s">
        <v>68</v>
      </c>
    </row>
    <row r="188" spans="1:11" x14ac:dyDescent="0.2">
      <c r="A188" s="33" t="s">
        <v>397</v>
      </c>
      <c r="B188" s="31">
        <v>9</v>
      </c>
      <c r="C188" s="28">
        <v>0</v>
      </c>
      <c r="D188" s="28">
        <v>1</v>
      </c>
      <c r="E188" s="28">
        <v>0</v>
      </c>
      <c r="F188" s="29">
        <v>42522</v>
      </c>
      <c r="G188" s="28">
        <v>1</v>
      </c>
      <c r="H188" s="28"/>
      <c r="I188" s="32">
        <v>42502</v>
      </c>
      <c r="J188" s="28" t="s">
        <v>63</v>
      </c>
    </row>
    <row r="189" spans="1:11" x14ac:dyDescent="0.2">
      <c r="A189" s="33" t="s">
        <v>405</v>
      </c>
      <c r="B189" s="31">
        <v>57.2</v>
      </c>
      <c r="C189" s="28">
        <v>0</v>
      </c>
      <c r="D189" s="28">
        <v>1</v>
      </c>
      <c r="E189" s="28">
        <v>0</v>
      </c>
      <c r="F189" s="29">
        <v>42522</v>
      </c>
      <c r="G189" s="28">
        <v>1</v>
      </c>
      <c r="H189" s="28"/>
      <c r="I189" s="32">
        <v>42504</v>
      </c>
      <c r="J189" s="28" t="s">
        <v>58</v>
      </c>
    </row>
    <row r="190" spans="1:11" x14ac:dyDescent="0.2">
      <c r="A190" s="33" t="s">
        <v>362</v>
      </c>
      <c r="B190" s="31">
        <v>56.9</v>
      </c>
      <c r="C190" s="28">
        <v>0</v>
      </c>
      <c r="D190" s="28">
        <v>1</v>
      </c>
      <c r="E190" s="28">
        <v>0</v>
      </c>
      <c r="F190" s="29">
        <v>42522</v>
      </c>
      <c r="G190" s="28">
        <v>1</v>
      </c>
      <c r="H190" s="28"/>
      <c r="I190" s="32">
        <v>42505</v>
      </c>
      <c r="J190" s="28" t="s">
        <v>82</v>
      </c>
    </row>
    <row r="191" spans="1:11" x14ac:dyDescent="0.2">
      <c r="A191" s="33" t="s">
        <v>286</v>
      </c>
      <c r="B191" s="31">
        <v>118.69</v>
      </c>
      <c r="C191" s="28">
        <v>0</v>
      </c>
      <c r="D191" s="28">
        <v>1</v>
      </c>
      <c r="E191" s="28">
        <v>0</v>
      </c>
      <c r="F191" s="29">
        <v>42522</v>
      </c>
      <c r="G191" s="28">
        <v>1</v>
      </c>
      <c r="H191" s="28"/>
      <c r="I191" s="32">
        <v>42506</v>
      </c>
      <c r="J191" s="28" t="s">
        <v>43</v>
      </c>
    </row>
    <row r="192" spans="1:11" x14ac:dyDescent="0.2">
      <c r="A192" s="33" t="s">
        <v>295</v>
      </c>
      <c r="B192" s="31">
        <v>20.010000000000002</v>
      </c>
      <c r="C192" s="28">
        <v>0</v>
      </c>
      <c r="D192" s="28">
        <v>1</v>
      </c>
      <c r="E192" s="28">
        <v>0</v>
      </c>
      <c r="F192" s="29">
        <v>42522</v>
      </c>
      <c r="G192" s="28">
        <v>1</v>
      </c>
      <c r="H192" s="28"/>
      <c r="I192" s="32">
        <v>42506</v>
      </c>
      <c r="J192" s="28" t="s">
        <v>150</v>
      </c>
    </row>
    <row r="193" spans="1:10" x14ac:dyDescent="0.2">
      <c r="A193" s="33" t="s">
        <v>365</v>
      </c>
      <c r="B193" s="31">
        <v>32.92</v>
      </c>
      <c r="C193" s="28">
        <v>0</v>
      </c>
      <c r="D193" s="28">
        <v>1</v>
      </c>
      <c r="E193" s="28">
        <v>0</v>
      </c>
      <c r="F193" s="29">
        <v>42522</v>
      </c>
      <c r="G193" s="28">
        <v>1</v>
      </c>
      <c r="H193" s="28"/>
      <c r="I193" s="32">
        <v>42507</v>
      </c>
      <c r="J193" s="28" t="s">
        <v>73</v>
      </c>
    </row>
    <row r="194" spans="1:10" x14ac:dyDescent="0.2">
      <c r="A194" s="33" t="s">
        <v>365</v>
      </c>
      <c r="B194" s="31">
        <v>96.99</v>
      </c>
      <c r="C194" s="28">
        <v>0</v>
      </c>
      <c r="D194" s="28">
        <v>1</v>
      </c>
      <c r="E194" s="28">
        <v>0</v>
      </c>
      <c r="F194" s="29">
        <v>42522</v>
      </c>
      <c r="G194" s="28">
        <v>1</v>
      </c>
      <c r="H194" s="28"/>
      <c r="I194" s="32">
        <v>42508</v>
      </c>
      <c r="J194" s="28" t="s">
        <v>82</v>
      </c>
    </row>
    <row r="195" spans="1:10" x14ac:dyDescent="0.2">
      <c r="A195" s="33" t="s">
        <v>335</v>
      </c>
      <c r="B195" s="31">
        <v>31</v>
      </c>
      <c r="C195" s="28">
        <v>0</v>
      </c>
      <c r="D195" s="28">
        <v>1</v>
      </c>
      <c r="E195" s="28">
        <v>0</v>
      </c>
      <c r="F195" s="29">
        <v>42522</v>
      </c>
      <c r="G195" s="28">
        <v>1</v>
      </c>
      <c r="H195" s="28"/>
      <c r="I195" s="32">
        <v>42508</v>
      </c>
      <c r="J195" s="28" t="s">
        <v>615</v>
      </c>
    </row>
    <row r="196" spans="1:10" x14ac:dyDescent="0.2">
      <c r="A196" s="33" t="s">
        <v>406</v>
      </c>
      <c r="B196" s="31">
        <v>25</v>
      </c>
      <c r="C196" s="28">
        <v>0</v>
      </c>
      <c r="D196" s="28">
        <v>1</v>
      </c>
      <c r="E196" s="28">
        <v>0</v>
      </c>
      <c r="F196" s="29">
        <v>42522</v>
      </c>
      <c r="G196" s="28">
        <v>1</v>
      </c>
      <c r="H196" s="28"/>
      <c r="I196" s="32">
        <v>42510</v>
      </c>
      <c r="J196" s="28" t="s">
        <v>150</v>
      </c>
    </row>
    <row r="197" spans="1:10" x14ac:dyDescent="0.2">
      <c r="A197" s="33" t="s">
        <v>319</v>
      </c>
      <c r="B197" s="31">
        <v>34.31</v>
      </c>
      <c r="C197" s="28">
        <v>0</v>
      </c>
      <c r="D197" s="28">
        <v>1</v>
      </c>
      <c r="E197" s="28">
        <v>0</v>
      </c>
      <c r="F197" s="29">
        <v>42522</v>
      </c>
      <c r="G197" s="28">
        <v>1</v>
      </c>
      <c r="H197" s="28"/>
      <c r="I197" s="32">
        <v>42511</v>
      </c>
      <c r="J197" s="28" t="s">
        <v>82</v>
      </c>
    </row>
    <row r="198" spans="1:10" x14ac:dyDescent="0.2">
      <c r="A198" s="33" t="s">
        <v>346</v>
      </c>
      <c r="B198" s="31">
        <v>157</v>
      </c>
      <c r="C198" s="28">
        <v>0</v>
      </c>
      <c r="D198" s="28">
        <v>1</v>
      </c>
      <c r="E198" s="28">
        <v>0</v>
      </c>
      <c r="F198" s="29">
        <v>42522</v>
      </c>
      <c r="G198" s="28">
        <v>1</v>
      </c>
      <c r="H198" s="28"/>
      <c r="I198" s="32">
        <v>42511</v>
      </c>
      <c r="J198" s="28" t="s">
        <v>150</v>
      </c>
    </row>
    <row r="199" spans="1:10" x14ac:dyDescent="0.2">
      <c r="A199" s="33" t="s">
        <v>407</v>
      </c>
      <c r="B199" s="31">
        <v>8.33</v>
      </c>
      <c r="C199" s="28">
        <v>0</v>
      </c>
      <c r="D199" s="28">
        <v>1</v>
      </c>
      <c r="E199" s="28">
        <v>0</v>
      </c>
      <c r="F199" s="29">
        <v>42522</v>
      </c>
      <c r="G199" s="28">
        <v>1</v>
      </c>
      <c r="H199" s="28"/>
      <c r="I199" s="32">
        <v>42512</v>
      </c>
      <c r="J199" s="28" t="s">
        <v>58</v>
      </c>
    </row>
    <row r="200" spans="1:10" x14ac:dyDescent="0.2">
      <c r="A200" s="33" t="s">
        <v>362</v>
      </c>
      <c r="B200" s="31">
        <v>46.9</v>
      </c>
      <c r="C200" s="28">
        <v>0</v>
      </c>
      <c r="D200" s="28">
        <v>1</v>
      </c>
      <c r="E200" s="28">
        <v>0</v>
      </c>
      <c r="F200" s="29">
        <v>42522</v>
      </c>
      <c r="G200" s="28">
        <v>1</v>
      </c>
      <c r="H200" s="28"/>
      <c r="I200" s="32">
        <v>42512</v>
      </c>
      <c r="J200" s="28" t="s">
        <v>82</v>
      </c>
    </row>
    <row r="201" spans="1:10" x14ac:dyDescent="0.2">
      <c r="A201" s="33" t="s">
        <v>300</v>
      </c>
      <c r="B201" s="31">
        <v>9.68</v>
      </c>
      <c r="C201" s="28">
        <v>0</v>
      </c>
      <c r="D201" s="28">
        <v>1</v>
      </c>
      <c r="E201" s="28">
        <v>0</v>
      </c>
      <c r="F201" s="29">
        <v>42522</v>
      </c>
      <c r="G201" s="28">
        <v>1</v>
      </c>
      <c r="H201" s="28"/>
      <c r="I201" s="32">
        <v>42513</v>
      </c>
      <c r="J201" s="28" t="s">
        <v>63</v>
      </c>
    </row>
    <row r="202" spans="1:10" x14ac:dyDescent="0.2">
      <c r="A202" s="33" t="s">
        <v>397</v>
      </c>
      <c r="B202" s="31">
        <v>9</v>
      </c>
      <c r="C202" s="28">
        <v>0</v>
      </c>
      <c r="D202" s="28">
        <v>1</v>
      </c>
      <c r="E202" s="28">
        <v>0</v>
      </c>
      <c r="F202" s="29">
        <v>42522</v>
      </c>
      <c r="G202" s="28">
        <v>1</v>
      </c>
      <c r="H202" s="28"/>
      <c r="I202" s="32">
        <v>42513</v>
      </c>
      <c r="J202" s="28" t="s">
        <v>63</v>
      </c>
    </row>
    <row r="203" spans="1:10" x14ac:dyDescent="0.2">
      <c r="A203" s="33" t="s">
        <v>294</v>
      </c>
      <c r="B203" s="31">
        <v>30.77</v>
      </c>
      <c r="C203" s="28">
        <v>0</v>
      </c>
      <c r="D203" s="28">
        <v>1</v>
      </c>
      <c r="E203" s="28">
        <v>0</v>
      </c>
      <c r="F203" s="29">
        <v>42522</v>
      </c>
      <c r="G203" s="28">
        <v>1</v>
      </c>
      <c r="H203" s="28"/>
      <c r="I203" s="32">
        <v>42515</v>
      </c>
      <c r="J203" s="28" t="s">
        <v>58</v>
      </c>
    </row>
    <row r="204" spans="1:10" x14ac:dyDescent="0.2">
      <c r="A204" s="33" t="s">
        <v>319</v>
      </c>
      <c r="B204" s="31">
        <v>14.1</v>
      </c>
      <c r="C204" s="28">
        <v>0</v>
      </c>
      <c r="D204" s="28">
        <v>1</v>
      </c>
      <c r="E204" s="28">
        <v>0</v>
      </c>
      <c r="F204" s="29">
        <v>42522</v>
      </c>
      <c r="G204" s="28">
        <v>1</v>
      </c>
      <c r="H204" s="28"/>
      <c r="I204" s="32">
        <v>42516</v>
      </c>
      <c r="J204" s="28" t="s">
        <v>82</v>
      </c>
    </row>
    <row r="205" spans="1:10" x14ac:dyDescent="0.2">
      <c r="A205" s="33" t="s">
        <v>408</v>
      </c>
      <c r="B205" s="31">
        <v>5.5</v>
      </c>
      <c r="C205" s="28">
        <v>0</v>
      </c>
      <c r="D205" s="28">
        <v>1</v>
      </c>
      <c r="E205" s="28">
        <v>0</v>
      </c>
      <c r="F205" s="29">
        <v>42522</v>
      </c>
      <c r="G205" s="28">
        <v>1</v>
      </c>
      <c r="H205" s="28"/>
      <c r="I205" s="32">
        <v>42516</v>
      </c>
      <c r="J205" s="28" t="s">
        <v>82</v>
      </c>
    </row>
    <row r="206" spans="1:10" x14ac:dyDescent="0.2">
      <c r="A206" s="33" t="s">
        <v>409</v>
      </c>
      <c r="B206" s="31">
        <v>23</v>
      </c>
      <c r="C206" s="28">
        <v>0</v>
      </c>
      <c r="D206" s="28">
        <v>1</v>
      </c>
      <c r="E206" s="28">
        <v>0</v>
      </c>
      <c r="F206" s="29">
        <v>42522</v>
      </c>
      <c r="G206" s="28">
        <v>1</v>
      </c>
      <c r="H206" s="28"/>
      <c r="I206" s="32">
        <v>42517</v>
      </c>
      <c r="J206" s="28" t="s">
        <v>63</v>
      </c>
    </row>
    <row r="207" spans="1:10" x14ac:dyDescent="0.2">
      <c r="A207" s="33" t="s">
        <v>300</v>
      </c>
      <c r="B207" s="31">
        <v>19.8</v>
      </c>
      <c r="C207" s="28">
        <v>0</v>
      </c>
      <c r="D207" s="28">
        <v>1</v>
      </c>
      <c r="E207" s="28">
        <v>0</v>
      </c>
      <c r="F207" s="29">
        <v>42522</v>
      </c>
      <c r="G207" s="28">
        <v>1</v>
      </c>
      <c r="H207" s="28"/>
      <c r="I207" s="32">
        <v>42517</v>
      </c>
      <c r="J207" s="28" t="s">
        <v>63</v>
      </c>
    </row>
    <row r="208" spans="1:10" x14ac:dyDescent="0.2">
      <c r="A208" s="33" t="s">
        <v>300</v>
      </c>
      <c r="B208" s="31">
        <v>2.99</v>
      </c>
      <c r="C208" s="28">
        <v>0</v>
      </c>
      <c r="D208" s="28">
        <v>1</v>
      </c>
      <c r="E208" s="28">
        <v>0</v>
      </c>
      <c r="F208" s="29">
        <v>42522</v>
      </c>
      <c r="G208" s="28">
        <v>1</v>
      </c>
      <c r="H208" s="28"/>
      <c r="I208" s="32">
        <v>42517</v>
      </c>
      <c r="J208" s="28" t="s">
        <v>63</v>
      </c>
    </row>
    <row r="209" spans="1:11" x14ac:dyDescent="0.2">
      <c r="A209" s="33" t="s">
        <v>317</v>
      </c>
      <c r="B209" s="31">
        <v>35.54</v>
      </c>
      <c r="C209" s="28">
        <v>0</v>
      </c>
      <c r="D209" s="28">
        <v>1</v>
      </c>
      <c r="E209" s="28">
        <v>0</v>
      </c>
      <c r="F209" s="29">
        <v>42522</v>
      </c>
      <c r="G209" s="28">
        <v>1</v>
      </c>
      <c r="H209" s="28"/>
      <c r="I209" s="32">
        <v>42518</v>
      </c>
      <c r="J209" s="28" t="s">
        <v>58</v>
      </c>
    </row>
    <row r="210" spans="1:11" x14ac:dyDescent="0.2">
      <c r="A210" s="33" t="s">
        <v>410</v>
      </c>
      <c r="B210" s="31">
        <v>83.74</v>
      </c>
      <c r="C210" s="28">
        <v>0</v>
      </c>
      <c r="D210" s="28">
        <v>1</v>
      </c>
      <c r="E210" s="28">
        <v>0</v>
      </c>
      <c r="F210" s="29">
        <v>42522</v>
      </c>
      <c r="G210" s="28">
        <v>1</v>
      </c>
      <c r="H210" s="28"/>
      <c r="I210" s="32">
        <v>42518</v>
      </c>
      <c r="J210" s="28" t="s">
        <v>60</v>
      </c>
    </row>
    <row r="211" spans="1:11" x14ac:dyDescent="0.2">
      <c r="A211" s="33" t="s">
        <v>411</v>
      </c>
      <c r="B211" s="31">
        <v>212.3</v>
      </c>
      <c r="C211" s="28">
        <v>0</v>
      </c>
      <c r="D211" s="28">
        <v>1</v>
      </c>
      <c r="E211" s="28">
        <v>0</v>
      </c>
      <c r="F211" s="29">
        <v>42522</v>
      </c>
      <c r="G211" s="28">
        <v>1</v>
      </c>
      <c r="H211" s="28"/>
      <c r="I211" s="32">
        <v>42519</v>
      </c>
      <c r="J211" s="28" t="s">
        <v>82</v>
      </c>
    </row>
    <row r="212" spans="1:11" x14ac:dyDescent="0.2">
      <c r="A212" s="33" t="s">
        <v>317</v>
      </c>
      <c r="B212" s="31">
        <v>20.51</v>
      </c>
      <c r="C212" s="28">
        <v>0</v>
      </c>
      <c r="D212" s="28">
        <v>1</v>
      </c>
      <c r="E212" s="28">
        <v>0</v>
      </c>
      <c r="F212" s="29">
        <v>42522</v>
      </c>
      <c r="G212" s="28">
        <v>1</v>
      </c>
      <c r="H212" s="28"/>
      <c r="I212" s="32">
        <v>42519</v>
      </c>
      <c r="J212" s="28" t="s">
        <v>58</v>
      </c>
    </row>
    <row r="213" spans="1:11" x14ac:dyDescent="0.2">
      <c r="A213" s="33" t="s">
        <v>412</v>
      </c>
      <c r="B213" s="31">
        <v>11.4</v>
      </c>
      <c r="C213" s="28">
        <v>0</v>
      </c>
      <c r="D213" s="28">
        <v>1</v>
      </c>
      <c r="E213" s="28">
        <v>0</v>
      </c>
      <c r="F213" s="29">
        <v>42522</v>
      </c>
      <c r="G213" s="28">
        <v>1</v>
      </c>
      <c r="H213" s="28"/>
      <c r="I213" s="32">
        <v>42520</v>
      </c>
      <c r="J213" s="28" t="s">
        <v>63</v>
      </c>
    </row>
    <row r="214" spans="1:11" x14ac:dyDescent="0.2">
      <c r="A214" s="33" t="s">
        <v>353</v>
      </c>
      <c r="B214" s="31">
        <v>3</v>
      </c>
      <c r="C214" s="28">
        <v>0</v>
      </c>
      <c r="D214" s="28">
        <v>1</v>
      </c>
      <c r="E214" s="28">
        <v>0</v>
      </c>
      <c r="F214" s="29">
        <v>42522</v>
      </c>
      <c r="G214" s="28">
        <v>1</v>
      </c>
      <c r="H214" s="28"/>
      <c r="I214" s="32">
        <v>42521</v>
      </c>
      <c r="J214" s="28" t="s">
        <v>82</v>
      </c>
    </row>
    <row r="215" spans="1:11" x14ac:dyDescent="0.2">
      <c r="A215" s="33" t="s">
        <v>300</v>
      </c>
      <c r="B215" s="31">
        <v>5.19</v>
      </c>
      <c r="C215" s="28">
        <v>0</v>
      </c>
      <c r="D215" s="28">
        <v>1</v>
      </c>
      <c r="E215" s="28">
        <v>0</v>
      </c>
      <c r="F215" s="29">
        <v>42522</v>
      </c>
      <c r="G215" s="28">
        <v>1</v>
      </c>
      <c r="H215" s="28"/>
      <c r="I215" s="32">
        <v>42521</v>
      </c>
      <c r="J215" s="28" t="s">
        <v>63</v>
      </c>
    </row>
    <row r="216" spans="1:11" x14ac:dyDescent="0.2">
      <c r="A216" s="33" t="s">
        <v>397</v>
      </c>
      <c r="B216" s="31">
        <v>9</v>
      </c>
      <c r="C216" s="28">
        <v>0</v>
      </c>
      <c r="D216" s="28">
        <v>1</v>
      </c>
      <c r="E216" s="28">
        <v>0</v>
      </c>
      <c r="F216" s="29">
        <v>42522</v>
      </c>
      <c r="G216" s="28">
        <v>1</v>
      </c>
      <c r="H216" s="28"/>
      <c r="I216" s="32">
        <v>42521</v>
      </c>
      <c r="J216" s="28" t="s">
        <v>63</v>
      </c>
    </row>
    <row r="217" spans="1:11" x14ac:dyDescent="0.2">
      <c r="A217" s="33" t="s">
        <v>133</v>
      </c>
      <c r="B217" s="40">
        <v>7.78</v>
      </c>
      <c r="C217" s="28">
        <v>0</v>
      </c>
      <c r="D217" s="28">
        <v>1</v>
      </c>
      <c r="E217" s="28">
        <v>0</v>
      </c>
      <c r="F217" s="29">
        <v>42522</v>
      </c>
      <c r="G217" s="28">
        <v>1</v>
      </c>
      <c r="H217" s="28"/>
      <c r="I217" s="32">
        <v>42538</v>
      </c>
      <c r="J217" s="28" t="s">
        <v>502</v>
      </c>
    </row>
    <row r="218" spans="1:11" x14ac:dyDescent="0.2">
      <c r="A218" s="33" t="s">
        <v>413</v>
      </c>
      <c r="B218" s="31">
        <v>10.5</v>
      </c>
      <c r="C218" s="28">
        <v>0</v>
      </c>
      <c r="D218" s="28">
        <v>1</v>
      </c>
      <c r="E218" s="28">
        <v>0</v>
      </c>
      <c r="F218" s="29">
        <v>42522</v>
      </c>
      <c r="G218" s="28">
        <v>1</v>
      </c>
      <c r="H218" s="28"/>
      <c r="I218" s="32">
        <v>42522</v>
      </c>
      <c r="J218" s="28" t="s">
        <v>63</v>
      </c>
    </row>
    <row r="219" spans="1:11" x14ac:dyDescent="0.2">
      <c r="A219" s="33" t="s">
        <v>383</v>
      </c>
      <c r="B219" s="31">
        <v>11.75</v>
      </c>
      <c r="C219" s="28">
        <v>0</v>
      </c>
      <c r="D219" s="28">
        <v>1</v>
      </c>
      <c r="E219" s="28">
        <v>0</v>
      </c>
      <c r="F219" s="29">
        <v>42522</v>
      </c>
      <c r="G219" s="28">
        <v>1</v>
      </c>
      <c r="H219" s="28"/>
      <c r="I219" s="32">
        <v>42522</v>
      </c>
      <c r="J219" s="28" t="s">
        <v>63</v>
      </c>
      <c r="K219" s="36"/>
    </row>
    <row r="220" spans="1:11" x14ac:dyDescent="0.2">
      <c r="A220" s="33" t="s">
        <v>414</v>
      </c>
      <c r="B220" s="31">
        <v>14.5</v>
      </c>
      <c r="C220" s="28">
        <v>0</v>
      </c>
      <c r="D220" s="28">
        <v>1</v>
      </c>
      <c r="E220" s="28">
        <v>0</v>
      </c>
      <c r="F220" s="29">
        <v>42522</v>
      </c>
      <c r="G220" s="28">
        <v>1</v>
      </c>
      <c r="H220" s="28"/>
      <c r="I220" s="32">
        <v>42523</v>
      </c>
      <c r="J220" s="28" t="s">
        <v>63</v>
      </c>
      <c r="K220" s="36"/>
    </row>
    <row r="221" spans="1:11" x14ac:dyDescent="0.2">
      <c r="A221" s="33" t="s">
        <v>366</v>
      </c>
      <c r="B221" s="31">
        <v>9</v>
      </c>
      <c r="C221" s="28">
        <v>0</v>
      </c>
      <c r="D221" s="28">
        <v>1</v>
      </c>
      <c r="E221" s="28">
        <v>0</v>
      </c>
      <c r="F221" s="29">
        <v>42522</v>
      </c>
      <c r="G221" s="28">
        <v>1</v>
      </c>
      <c r="H221" s="28"/>
      <c r="I221" s="32">
        <v>42523</v>
      </c>
      <c r="J221" s="28" t="s">
        <v>63</v>
      </c>
      <c r="K221" s="36"/>
    </row>
    <row r="222" spans="1:11" x14ac:dyDescent="0.2">
      <c r="A222" s="34" t="s">
        <v>415</v>
      </c>
      <c r="B222" s="35">
        <v>112.86</v>
      </c>
      <c r="C222" s="28">
        <v>0</v>
      </c>
      <c r="D222" s="28">
        <v>1</v>
      </c>
      <c r="E222" s="28">
        <v>0</v>
      </c>
      <c r="F222" s="29">
        <v>42522</v>
      </c>
      <c r="G222" s="28">
        <v>1</v>
      </c>
      <c r="H222" s="36"/>
      <c r="I222" s="37">
        <v>42525</v>
      </c>
      <c r="J222" s="28" t="s">
        <v>82</v>
      </c>
      <c r="K222" s="50"/>
    </row>
    <row r="223" spans="1:11" x14ac:dyDescent="0.2">
      <c r="A223" s="34" t="s">
        <v>337</v>
      </c>
      <c r="B223" s="35">
        <v>108.52</v>
      </c>
      <c r="C223" s="28">
        <v>0</v>
      </c>
      <c r="D223" s="28">
        <v>1</v>
      </c>
      <c r="E223" s="28">
        <v>0</v>
      </c>
      <c r="F223" s="29">
        <v>42522</v>
      </c>
      <c r="G223" s="28">
        <v>1</v>
      </c>
      <c r="H223" s="36"/>
      <c r="I223" s="37">
        <v>42525</v>
      </c>
      <c r="J223" s="28" t="s">
        <v>150</v>
      </c>
      <c r="K223" s="50"/>
    </row>
    <row r="224" spans="1:11" x14ac:dyDescent="0.2">
      <c r="A224" s="34" t="s">
        <v>416</v>
      </c>
      <c r="B224" s="35">
        <v>52</v>
      </c>
      <c r="C224" s="28">
        <v>0</v>
      </c>
      <c r="D224" s="28">
        <v>1</v>
      </c>
      <c r="E224" s="28">
        <v>0</v>
      </c>
      <c r="F224" s="29">
        <v>42522</v>
      </c>
      <c r="G224" s="28">
        <v>1</v>
      </c>
      <c r="H224" s="36"/>
      <c r="I224" s="37">
        <v>42501</v>
      </c>
      <c r="J224" s="28" t="s">
        <v>502</v>
      </c>
      <c r="K224" s="50"/>
    </row>
    <row r="225" spans="1:12" x14ac:dyDescent="0.2">
      <c r="A225" s="28" t="s">
        <v>418</v>
      </c>
      <c r="B225" s="51">
        <v>1378.97</v>
      </c>
      <c r="C225" s="28">
        <v>0</v>
      </c>
      <c r="D225" s="28">
        <v>1</v>
      </c>
      <c r="E225" s="28">
        <v>0</v>
      </c>
      <c r="F225" s="29">
        <v>42522</v>
      </c>
      <c r="G225" s="28">
        <v>0</v>
      </c>
      <c r="H225" s="36"/>
      <c r="I225" s="39">
        <v>42561</v>
      </c>
      <c r="J225" s="28" t="s">
        <v>340</v>
      </c>
      <c r="K225" s="50"/>
    </row>
    <row r="226" spans="1:12" x14ac:dyDescent="0.2">
      <c r="A226" s="33" t="s">
        <v>327</v>
      </c>
      <c r="B226" s="31">
        <v>0</v>
      </c>
      <c r="C226" s="28">
        <v>0</v>
      </c>
      <c r="D226" s="28">
        <v>1</v>
      </c>
      <c r="E226" s="28">
        <v>1</v>
      </c>
      <c r="F226" s="29">
        <v>42583</v>
      </c>
      <c r="G226" s="28">
        <v>0</v>
      </c>
      <c r="H226" s="28"/>
      <c r="I226" s="32">
        <v>42441</v>
      </c>
      <c r="J226" s="28" t="s">
        <v>68</v>
      </c>
    </row>
    <row r="227" spans="1:12" x14ac:dyDescent="0.2">
      <c r="A227" s="33" t="s">
        <v>328</v>
      </c>
      <c r="B227" s="31">
        <v>0</v>
      </c>
      <c r="C227" s="28">
        <v>0</v>
      </c>
      <c r="D227" s="28">
        <v>1</v>
      </c>
      <c r="E227" s="28">
        <v>1</v>
      </c>
      <c r="F227" s="39">
        <v>42583</v>
      </c>
      <c r="G227" s="28">
        <v>0</v>
      </c>
      <c r="H227" s="28"/>
      <c r="I227" s="32">
        <v>42441</v>
      </c>
      <c r="J227" s="28" t="s">
        <v>68</v>
      </c>
    </row>
    <row r="228" spans="1:12" x14ac:dyDescent="0.2">
      <c r="A228" s="34" t="s">
        <v>387</v>
      </c>
      <c r="B228" s="47">
        <f>2299/3</f>
        <v>766.33333333333337</v>
      </c>
      <c r="C228" s="28">
        <v>0</v>
      </c>
      <c r="D228" s="28">
        <v>1</v>
      </c>
      <c r="E228" s="28">
        <v>0</v>
      </c>
      <c r="F228" s="29">
        <v>42583</v>
      </c>
      <c r="G228" s="28">
        <v>0</v>
      </c>
      <c r="H228" s="28"/>
      <c r="I228" s="32">
        <v>42481</v>
      </c>
      <c r="J228" s="28" t="s">
        <v>68</v>
      </c>
      <c r="L228" s="36"/>
    </row>
    <row r="229" spans="1:12" x14ac:dyDescent="0.2">
      <c r="A229" s="40" t="s">
        <v>417</v>
      </c>
      <c r="B229" s="36">
        <v>790</v>
      </c>
      <c r="C229" s="28">
        <v>0</v>
      </c>
      <c r="D229" s="28">
        <v>1</v>
      </c>
      <c r="E229" s="28">
        <v>0</v>
      </c>
      <c r="F229" s="29">
        <v>42583</v>
      </c>
      <c r="G229" s="28">
        <v>0</v>
      </c>
      <c r="H229" s="36"/>
      <c r="I229" s="39">
        <v>42528</v>
      </c>
      <c r="J229" s="28" t="s">
        <v>68</v>
      </c>
      <c r="K229" s="50"/>
      <c r="L229" s="36"/>
    </row>
    <row r="230" spans="1:12" x14ac:dyDescent="0.2">
      <c r="A230" s="28" t="s">
        <v>285</v>
      </c>
      <c r="B230" s="36">
        <v>100</v>
      </c>
      <c r="C230" s="28">
        <v>0</v>
      </c>
      <c r="D230" s="28">
        <v>1</v>
      </c>
      <c r="E230" s="28">
        <v>0</v>
      </c>
      <c r="F230" s="29">
        <v>42583</v>
      </c>
      <c r="G230" s="28">
        <v>0</v>
      </c>
      <c r="H230" s="36"/>
      <c r="I230" s="39">
        <v>42527</v>
      </c>
      <c r="J230" s="28" t="s">
        <v>60</v>
      </c>
      <c r="K230" s="50"/>
      <c r="L230" s="36"/>
    </row>
    <row r="231" spans="1:12" x14ac:dyDescent="0.2">
      <c r="A231" s="48" t="s">
        <v>402</v>
      </c>
      <c r="B231" s="49">
        <v>0</v>
      </c>
      <c r="C231" s="28">
        <v>0</v>
      </c>
      <c r="D231" s="28">
        <v>1</v>
      </c>
      <c r="E231" s="28">
        <v>0</v>
      </c>
      <c r="F231" s="29">
        <v>42583</v>
      </c>
      <c r="G231" s="28">
        <v>1</v>
      </c>
      <c r="H231" s="28"/>
      <c r="I231" s="32">
        <v>42501</v>
      </c>
      <c r="J231" s="28" t="s">
        <v>34</v>
      </c>
      <c r="K231" s="50"/>
      <c r="L231" s="50"/>
    </row>
    <row r="232" spans="1:12" x14ac:dyDescent="0.2">
      <c r="A232" s="33" t="s">
        <v>133</v>
      </c>
      <c r="B232" s="40">
        <v>0</v>
      </c>
      <c r="C232" s="28">
        <v>0</v>
      </c>
      <c r="D232" s="28">
        <v>1</v>
      </c>
      <c r="E232" s="28">
        <v>0</v>
      </c>
      <c r="F232" s="29">
        <v>42583</v>
      </c>
      <c r="G232" s="28">
        <v>1</v>
      </c>
      <c r="H232" s="28"/>
      <c r="I232" s="32">
        <v>42538</v>
      </c>
      <c r="J232" s="28" t="s">
        <v>502</v>
      </c>
      <c r="K232" s="50"/>
      <c r="L232" s="50"/>
    </row>
    <row r="233" spans="1:12" x14ac:dyDescent="0.2">
      <c r="A233" s="34" t="s">
        <v>416</v>
      </c>
      <c r="B233" s="35">
        <v>0</v>
      </c>
      <c r="C233" s="28">
        <v>0</v>
      </c>
      <c r="D233" s="28">
        <v>1</v>
      </c>
      <c r="E233" s="28">
        <v>0</v>
      </c>
      <c r="F233" s="29">
        <v>42583</v>
      </c>
      <c r="G233" s="28">
        <v>1</v>
      </c>
      <c r="H233" s="36"/>
      <c r="I233" s="37">
        <v>42501</v>
      </c>
      <c r="J233" s="28" t="s">
        <v>502</v>
      </c>
      <c r="K233" s="50"/>
      <c r="L233" s="50"/>
    </row>
    <row r="234" spans="1:12" x14ac:dyDescent="0.2">
      <c r="A234" s="28" t="s">
        <v>419</v>
      </c>
      <c r="B234" s="51">
        <v>1378.97</v>
      </c>
      <c r="C234" s="28">
        <v>0</v>
      </c>
      <c r="D234" s="28">
        <v>1</v>
      </c>
      <c r="E234" s="28">
        <v>0</v>
      </c>
      <c r="F234" s="29">
        <v>42583</v>
      </c>
      <c r="G234" s="28">
        <v>0</v>
      </c>
      <c r="H234" s="36"/>
      <c r="I234" s="39">
        <v>42561</v>
      </c>
      <c r="J234" s="28" t="s">
        <v>340</v>
      </c>
      <c r="K234" s="50"/>
      <c r="L234" s="50"/>
    </row>
    <row r="235" spans="1:12" x14ac:dyDescent="0.2">
      <c r="A235" s="30" t="s">
        <v>291</v>
      </c>
      <c r="B235" s="31">
        <v>74.900000000000006</v>
      </c>
      <c r="C235" s="28">
        <v>0</v>
      </c>
      <c r="D235" s="28">
        <v>1</v>
      </c>
      <c r="E235" s="28">
        <v>0</v>
      </c>
      <c r="F235" s="29">
        <v>42583</v>
      </c>
      <c r="G235" s="28">
        <v>0</v>
      </c>
      <c r="H235" s="28"/>
      <c r="I235" s="32">
        <v>42561</v>
      </c>
      <c r="J235" s="28" t="s">
        <v>103</v>
      </c>
      <c r="K235" s="36"/>
      <c r="L235" s="50"/>
    </row>
    <row r="236" spans="1:12" x14ac:dyDescent="0.2">
      <c r="A236" s="30" t="s">
        <v>314</v>
      </c>
      <c r="B236" s="31">
        <v>22.9</v>
      </c>
      <c r="C236" s="28">
        <v>0</v>
      </c>
      <c r="D236" s="28">
        <v>1</v>
      </c>
      <c r="E236" s="28">
        <v>0</v>
      </c>
      <c r="F236" s="29">
        <v>42583</v>
      </c>
      <c r="G236" s="28">
        <v>0</v>
      </c>
      <c r="H236" s="28"/>
      <c r="I236" s="32">
        <v>42561</v>
      </c>
      <c r="J236" s="28" t="s">
        <v>34</v>
      </c>
      <c r="L236" s="50"/>
    </row>
    <row r="237" spans="1:12" x14ac:dyDescent="0.2">
      <c r="A237" s="34" t="s">
        <v>420</v>
      </c>
      <c r="B237" s="35">
        <f>36.48-9.83</f>
        <v>26.65</v>
      </c>
      <c r="C237" s="28">
        <v>0</v>
      </c>
      <c r="D237" s="28">
        <v>1</v>
      </c>
      <c r="E237" s="28">
        <v>0</v>
      </c>
      <c r="F237" s="29">
        <v>42583</v>
      </c>
      <c r="G237" s="28">
        <v>0</v>
      </c>
      <c r="H237" s="36"/>
      <c r="I237" s="52">
        <v>42531</v>
      </c>
      <c r="J237" s="28" t="s">
        <v>28</v>
      </c>
      <c r="L237" s="50"/>
    </row>
    <row r="238" spans="1:12" x14ac:dyDescent="0.2">
      <c r="A238" s="33"/>
      <c r="B238" s="31"/>
      <c r="C238" s="28"/>
      <c r="D238" s="28"/>
      <c r="E238" s="28"/>
      <c r="F238" s="29"/>
      <c r="G238" s="28"/>
      <c r="H238" s="28"/>
      <c r="I238" s="32"/>
      <c r="J238" s="28"/>
      <c r="L238" s="50"/>
    </row>
    <row r="239" spans="1:12" x14ac:dyDescent="0.2">
      <c r="A239" s="28"/>
      <c r="B239" s="51"/>
      <c r="C239" s="28"/>
      <c r="D239" s="28"/>
      <c r="E239" s="28"/>
      <c r="F239" s="29"/>
      <c r="G239" s="28"/>
      <c r="H239" s="36"/>
      <c r="I239" s="39"/>
      <c r="J239" s="28"/>
      <c r="K239" s="50"/>
      <c r="L239" s="50"/>
    </row>
    <row r="240" spans="1:12" x14ac:dyDescent="0.2">
      <c r="A240" s="48"/>
      <c r="B240" s="49"/>
      <c r="C240" s="28"/>
      <c r="D240" s="28"/>
      <c r="E240" s="28"/>
      <c r="F240" s="29"/>
      <c r="G240" s="28"/>
      <c r="H240" s="28"/>
      <c r="I240" s="32"/>
      <c r="J240" s="28"/>
      <c r="K240" s="49"/>
      <c r="L240" s="50"/>
    </row>
    <row r="241" spans="1:12" x14ac:dyDescent="0.2">
      <c r="A241" s="36"/>
      <c r="B241" s="36"/>
      <c r="C241" s="28"/>
      <c r="D241" s="28"/>
      <c r="E241" s="28"/>
      <c r="F241" s="29"/>
      <c r="G241" s="28"/>
      <c r="H241" s="28"/>
      <c r="I241" s="32"/>
      <c r="J241" s="28"/>
      <c r="K241" s="36"/>
      <c r="L241" s="50"/>
    </row>
    <row r="242" spans="1:12" x14ac:dyDescent="0.2">
      <c r="A242" s="36"/>
      <c r="B242" s="36"/>
      <c r="C242" s="28"/>
      <c r="D242" s="28"/>
      <c r="E242" s="28"/>
      <c r="F242" s="29"/>
      <c r="G242" s="28"/>
      <c r="H242" s="28"/>
      <c r="I242" s="32"/>
      <c r="J242" s="28"/>
      <c r="L242" s="36"/>
    </row>
    <row r="243" spans="1:12" x14ac:dyDescent="0.2">
      <c r="A243" s="30"/>
      <c r="B243" s="31"/>
      <c r="C243" s="28"/>
      <c r="D243" s="28"/>
      <c r="E243" s="28"/>
      <c r="F243" s="29"/>
      <c r="G243" s="28"/>
      <c r="H243" s="28"/>
      <c r="I243" s="32"/>
      <c r="J243" s="28"/>
      <c r="L243" s="36"/>
    </row>
    <row r="244" spans="1:12" x14ac:dyDescent="0.2">
      <c r="A244" s="30"/>
      <c r="B244" s="31"/>
      <c r="C244" s="28"/>
      <c r="D244" s="28"/>
      <c r="E244" s="28"/>
      <c r="F244" s="29"/>
      <c r="G244" s="28"/>
      <c r="H244" s="28"/>
      <c r="I244" s="32"/>
      <c r="J244" s="28"/>
    </row>
    <row r="245" spans="1:12" x14ac:dyDescent="0.2">
      <c r="C245" s="28"/>
      <c r="D245" s="28"/>
      <c r="E245" s="28"/>
      <c r="F245" s="29"/>
      <c r="G245" s="28"/>
    </row>
    <row r="246" spans="1:12" x14ac:dyDescent="0.2">
      <c r="C246" s="28"/>
      <c r="D246" s="28"/>
      <c r="E246" s="28"/>
      <c r="F246" s="29"/>
      <c r="G246" s="28"/>
    </row>
    <row r="247" spans="1:12" x14ac:dyDescent="0.2">
      <c r="C247" s="28"/>
      <c r="D247" s="28"/>
      <c r="E247" s="28"/>
      <c r="F247" s="29"/>
      <c r="G247" s="28"/>
    </row>
    <row r="248" spans="1:12" x14ac:dyDescent="0.2">
      <c r="C248" s="28"/>
      <c r="D248" s="28"/>
      <c r="E248" s="28"/>
      <c r="F248" s="29"/>
      <c r="G248" s="28"/>
    </row>
    <row r="249" spans="1:12" x14ac:dyDescent="0.2">
      <c r="C249" s="28"/>
      <c r="D249" s="28"/>
      <c r="E249" s="28"/>
      <c r="F249" s="29"/>
      <c r="G249" s="28"/>
    </row>
    <row r="250" spans="1:12" x14ac:dyDescent="0.2">
      <c r="A250" s="33"/>
      <c r="B250" s="31"/>
      <c r="C250" s="28"/>
      <c r="D250" s="28"/>
      <c r="E250" s="28"/>
      <c r="F250" s="39"/>
      <c r="G250" s="28"/>
      <c r="H250" s="28"/>
      <c r="I250" s="32"/>
      <c r="J250" s="28"/>
      <c r="K250" s="17"/>
    </row>
    <row r="251" spans="1:12" x14ac:dyDescent="0.2">
      <c r="A251" s="28"/>
      <c r="B251" s="51"/>
      <c r="C251" s="28"/>
      <c r="D251" s="28"/>
      <c r="E251" s="28"/>
      <c r="F251" s="29"/>
      <c r="G251" s="28"/>
      <c r="H251" s="36"/>
      <c r="I251" s="39"/>
      <c r="J251" s="28"/>
      <c r="K251" s="36"/>
    </row>
    <row r="252" spans="1:12" x14ac:dyDescent="0.2">
      <c r="A252" s="48"/>
      <c r="B252" s="49"/>
      <c r="C252" s="28"/>
      <c r="D252" s="28"/>
      <c r="E252" s="28"/>
      <c r="F252" s="29"/>
      <c r="G252" s="28"/>
      <c r="H252" s="28"/>
      <c r="I252" s="32"/>
      <c r="J252" s="28"/>
      <c r="K252" s="49"/>
    </row>
    <row r="253" spans="1:12" x14ac:dyDescent="0.2">
      <c r="A253" s="36"/>
      <c r="B253" s="36"/>
      <c r="C253" s="28"/>
      <c r="D253" s="28"/>
      <c r="E253" s="28"/>
      <c r="F253" s="29"/>
      <c r="G253" s="28"/>
      <c r="H253" s="28"/>
      <c r="I253" s="32"/>
      <c r="J253" s="28"/>
    </row>
    <row r="254" spans="1:12" x14ac:dyDescent="0.2">
      <c r="A254" s="30"/>
      <c r="B254" s="31"/>
      <c r="C254" s="28"/>
      <c r="D254" s="28"/>
      <c r="E254" s="28"/>
      <c r="F254" s="29"/>
      <c r="G254" s="28"/>
      <c r="H254" s="28"/>
      <c r="I254" s="32"/>
      <c r="J254" s="28"/>
    </row>
    <row r="255" spans="1:12" x14ac:dyDescent="0.2">
      <c r="A255" s="30"/>
      <c r="B255" s="31"/>
      <c r="C255" s="28"/>
      <c r="D255" s="28"/>
      <c r="E255" s="28"/>
      <c r="F255" s="29"/>
      <c r="G255" s="28"/>
      <c r="H255" s="28"/>
      <c r="I255" s="32"/>
      <c r="J255" s="28"/>
    </row>
    <row r="256" spans="1:12" x14ac:dyDescent="0.2">
      <c r="A256" s="30"/>
      <c r="B256" s="31"/>
      <c r="C256" s="28"/>
      <c r="D256" s="28"/>
      <c r="E256" s="28"/>
      <c r="F256" s="29"/>
      <c r="G256" s="28"/>
      <c r="H256" s="28"/>
      <c r="I256" s="32"/>
      <c r="J256" s="28"/>
    </row>
    <row r="257" spans="1:11" x14ac:dyDescent="0.2">
      <c r="C257" s="28"/>
      <c r="D257" s="28"/>
      <c r="E257" s="28"/>
    </row>
    <row r="258" spans="1:11" x14ac:dyDescent="0.2">
      <c r="C258" s="28"/>
      <c r="D258" s="28"/>
      <c r="E258" s="28"/>
    </row>
    <row r="259" spans="1:11" x14ac:dyDescent="0.2">
      <c r="C259" s="28"/>
      <c r="D259" s="28"/>
      <c r="E259" s="28"/>
    </row>
    <row r="260" spans="1:11" x14ac:dyDescent="0.2">
      <c r="C260" s="28"/>
      <c r="D260" s="28"/>
      <c r="E260" s="28"/>
    </row>
    <row r="261" spans="1:11" x14ac:dyDescent="0.2">
      <c r="C261" s="28"/>
      <c r="D261" s="28"/>
      <c r="E261" s="28"/>
    </row>
    <row r="262" spans="1:11" x14ac:dyDescent="0.2">
      <c r="A262" s="6"/>
      <c r="B262" s="6"/>
      <c r="C262" s="28"/>
      <c r="D262" s="28"/>
      <c r="E262" s="28"/>
    </row>
    <row r="263" spans="1:11" x14ac:dyDescent="0.2">
      <c r="C263" s="28"/>
      <c r="D263" s="28"/>
      <c r="E263" s="28"/>
    </row>
    <row r="264" spans="1:11" x14ac:dyDescent="0.2">
      <c r="A264" s="33"/>
      <c r="B264" s="31"/>
      <c r="C264" s="28"/>
      <c r="D264" s="28"/>
      <c r="E264" s="28"/>
      <c r="F264" s="29"/>
      <c r="G264" s="28"/>
      <c r="H264" s="28"/>
      <c r="I264" s="32"/>
      <c r="J264" s="28"/>
      <c r="K264" s="17"/>
    </row>
    <row r="265" spans="1:11" x14ac:dyDescent="0.2">
      <c r="A265" s="30"/>
      <c r="B265" s="31"/>
      <c r="C265" s="28"/>
      <c r="D265" s="28"/>
      <c r="E265" s="28"/>
      <c r="F265" s="29"/>
      <c r="G265" s="28"/>
      <c r="H265" s="28"/>
      <c r="I265" s="32"/>
      <c r="J265" s="28"/>
    </row>
    <row r="266" spans="1:11" x14ac:dyDescent="0.2">
      <c r="A266" s="30"/>
      <c r="B266" s="31"/>
      <c r="C266" s="28"/>
      <c r="D266" s="28"/>
      <c r="E266" s="28"/>
      <c r="F266" s="29"/>
      <c r="G266" s="28"/>
      <c r="H266" s="28"/>
      <c r="I266" s="32"/>
      <c r="J266" s="28"/>
    </row>
    <row r="267" spans="1:11" x14ac:dyDescent="0.2">
      <c r="A267" s="30"/>
      <c r="B267" s="31"/>
      <c r="C267" s="28"/>
      <c r="D267" s="28"/>
      <c r="E267" s="28"/>
      <c r="F267" s="29"/>
      <c r="G267" s="28"/>
      <c r="H267" s="28"/>
      <c r="I267" s="32"/>
      <c r="J267" s="28"/>
    </row>
    <row r="268" spans="1:11" x14ac:dyDescent="0.2">
      <c r="A268" s="48"/>
      <c r="B268" s="49"/>
      <c r="C268" s="28"/>
      <c r="D268" s="28"/>
      <c r="E268" s="28"/>
      <c r="F268" s="29"/>
      <c r="G268" s="28"/>
      <c r="H268" s="28"/>
      <c r="I268" s="32"/>
      <c r="J268" s="28"/>
    </row>
    <row r="269" spans="1:11" x14ac:dyDescent="0.2">
      <c r="A269" s="33"/>
      <c r="B269" s="31"/>
      <c r="C269" s="28"/>
      <c r="D269" s="28"/>
      <c r="E269" s="28"/>
      <c r="F269" s="39"/>
      <c r="G269" s="28"/>
      <c r="H269" s="28"/>
      <c r="I269" s="32"/>
      <c r="J269" s="28"/>
      <c r="K269" s="17"/>
    </row>
    <row r="270" spans="1:11" x14ac:dyDescent="0.2">
      <c r="A270" s="33"/>
      <c r="B270" s="31"/>
      <c r="C270" s="28"/>
      <c r="D270" s="28"/>
      <c r="E270" s="28"/>
      <c r="F270" s="29"/>
      <c r="G270" s="28"/>
      <c r="H270" s="28"/>
      <c r="I270" s="32"/>
      <c r="J270" s="28"/>
      <c r="K270" s="17"/>
    </row>
    <row r="271" spans="1:11" x14ac:dyDescent="0.2">
      <c r="A271" s="33"/>
      <c r="B271" s="31"/>
      <c r="C271" s="28"/>
      <c r="D271" s="28"/>
      <c r="E271" s="28"/>
      <c r="F271" s="39"/>
      <c r="G271" s="28"/>
      <c r="H271" s="28"/>
      <c r="I271" s="32"/>
      <c r="J271" s="28"/>
      <c r="K271" s="17"/>
    </row>
  </sheetData>
  <sortState ref="A2:K271">
    <sortCondition ref="F230"/>
  </sortState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"/>
  <sheetViews>
    <sheetView zoomScaleNormal="100" workbookViewId="0"/>
  </sheetViews>
  <sheetFormatPr defaultRowHeight="12.75" x14ac:dyDescent="0.2"/>
  <cols>
    <col min="1" max="1" width="33.28515625"/>
    <col min="3" max="3" width="16.7109375" style="1"/>
    <col min="4" max="4" width="17.42578125"/>
    <col min="5" max="5" width="11"/>
    <col min="6" max="6" width="19.140625"/>
    <col min="7" max="7" width="12.42578125"/>
    <col min="8" max="8" width="21"/>
    <col min="9" max="1025" width="12.42578125"/>
  </cols>
  <sheetData>
    <row r="1" spans="1:10" x14ac:dyDescent="0.2">
      <c r="A1" t="s">
        <v>421</v>
      </c>
      <c r="B1" t="s">
        <v>422</v>
      </c>
      <c r="C1" s="1" t="s">
        <v>423</v>
      </c>
      <c r="D1" t="s">
        <v>424</v>
      </c>
      <c r="E1" t="s">
        <v>425</v>
      </c>
      <c r="F1" t="s">
        <v>426</v>
      </c>
      <c r="G1" t="s">
        <v>427</v>
      </c>
      <c r="H1" t="s">
        <v>428</v>
      </c>
      <c r="I1" t="s">
        <v>2</v>
      </c>
      <c r="J1" t="s">
        <v>429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"/>
  <sheetViews>
    <sheetView zoomScaleNormal="100" workbookViewId="0">
      <selection activeCell="D10" sqref="D10"/>
    </sheetView>
  </sheetViews>
  <sheetFormatPr defaultRowHeight="12.75" x14ac:dyDescent="0.2"/>
  <cols>
    <col min="1" max="1" width="25"/>
    <col min="2" max="2" width="22.140625"/>
    <col min="3" max="3" width="22.28515625"/>
    <col min="4" max="4" width="19.140625"/>
    <col min="5" max="5" width="20.7109375"/>
    <col min="6" max="6" width="25"/>
    <col min="7" max="7" width="19.5703125"/>
    <col min="8" max="8" width="19.42578125"/>
    <col min="9" max="9" width="23.42578125"/>
    <col min="10" max="10" width="19.140625"/>
    <col min="11" max="11" width="19.28515625"/>
    <col min="12" max="12" width="17.42578125"/>
    <col min="13" max="13" width="17.140625"/>
    <col min="14" max="14" width="17.85546875"/>
    <col min="15" max="17" width="17.28515625"/>
    <col min="18" max="1025" width="12.42578125"/>
  </cols>
  <sheetData>
    <row r="1" spans="1:16" x14ac:dyDescent="0.2">
      <c r="A1" t="s">
        <v>430</v>
      </c>
      <c r="B1" t="s">
        <v>431</v>
      </c>
      <c r="C1" s="16" t="s">
        <v>432</v>
      </c>
      <c r="D1" s="3" t="s">
        <v>20</v>
      </c>
      <c r="E1" s="3" t="s">
        <v>433</v>
      </c>
      <c r="F1" s="3" t="s">
        <v>434</v>
      </c>
      <c r="G1" s="3" t="s">
        <v>435</v>
      </c>
      <c r="H1" s="16" t="s">
        <v>436</v>
      </c>
      <c r="I1" s="3" t="s">
        <v>437</v>
      </c>
      <c r="J1" s="3"/>
      <c r="K1" s="16"/>
      <c r="L1" s="16"/>
      <c r="M1" s="16"/>
      <c r="N1" s="3"/>
      <c r="O1" s="3"/>
      <c r="P1" s="3"/>
    </row>
    <row r="2" spans="1:16" x14ac:dyDescent="0.2">
      <c r="A2" s="2">
        <v>42379</v>
      </c>
      <c r="B2" s="53">
        <v>11104.32</v>
      </c>
      <c r="C2" s="54">
        <v>10308.73</v>
      </c>
      <c r="D2" s="53">
        <v>0</v>
      </c>
      <c r="E2" s="53">
        <v>0</v>
      </c>
      <c r="F2" s="53">
        <v>473.55</v>
      </c>
      <c r="G2" s="53">
        <f t="shared" ref="G2:G12" si="0">C2+D2+E2</f>
        <v>10308.73</v>
      </c>
      <c r="H2" s="54">
        <f>(B2-F2)-G2</f>
        <v>322.04000000000087</v>
      </c>
      <c r="I2" s="55"/>
      <c r="J2" s="53"/>
      <c r="K2" s="56"/>
      <c r="L2" s="57"/>
      <c r="M2" s="58"/>
      <c r="N2" s="53"/>
      <c r="O2" s="53"/>
      <c r="P2" s="53"/>
    </row>
    <row r="3" spans="1:16" x14ac:dyDescent="0.2">
      <c r="A3" s="2">
        <v>42410</v>
      </c>
      <c r="B3" s="53">
        <v>7704</v>
      </c>
      <c r="C3" s="53">
        <v>4911.58</v>
      </c>
      <c r="D3" s="53">
        <v>2296.5499999999997</v>
      </c>
      <c r="E3" s="53">
        <v>0</v>
      </c>
      <c r="F3" s="53">
        <v>473.55</v>
      </c>
      <c r="G3" s="53">
        <f t="shared" si="0"/>
        <v>7208.1299999999992</v>
      </c>
      <c r="H3" s="54">
        <f t="shared" ref="H3:H12" si="1">(B3-F3)-G3+H2</f>
        <v>344.36000000000149</v>
      </c>
      <c r="I3" s="53"/>
      <c r="J3" s="3"/>
      <c r="K3" s="3"/>
      <c r="L3" s="3"/>
    </row>
    <row r="4" spans="1:16" x14ac:dyDescent="0.2">
      <c r="A4" s="2">
        <v>42439</v>
      </c>
      <c r="B4" s="53">
        <v>8480</v>
      </c>
      <c r="C4" s="53">
        <v>7432.7499999999991</v>
      </c>
      <c r="D4" s="53">
        <v>1112.57</v>
      </c>
      <c r="E4" s="54">
        <v>0</v>
      </c>
      <c r="F4" s="54">
        <v>473.55</v>
      </c>
      <c r="G4" s="53">
        <f t="shared" si="0"/>
        <v>8545.32</v>
      </c>
      <c r="H4" s="54">
        <f t="shared" si="1"/>
        <v>-194.5099999999984</v>
      </c>
      <c r="I4" s="53"/>
      <c r="J4" s="55"/>
      <c r="K4" s="3"/>
      <c r="L4" s="3"/>
    </row>
    <row r="5" spans="1:16" x14ac:dyDescent="0.2">
      <c r="A5" s="2">
        <v>42470</v>
      </c>
      <c r="B5" s="53">
        <v>13485.46</v>
      </c>
      <c r="C5" s="53">
        <v>8850.5799999999981</v>
      </c>
      <c r="D5" s="53">
        <v>0</v>
      </c>
      <c r="E5" s="53">
        <v>0</v>
      </c>
      <c r="F5" s="53">
        <v>1288.95334</v>
      </c>
      <c r="G5" s="53">
        <f t="shared" si="0"/>
        <v>8850.5799999999981</v>
      </c>
      <c r="H5" s="54">
        <f t="shared" si="1"/>
        <v>3151.4166600000026</v>
      </c>
      <c r="I5" s="53"/>
      <c r="J5" s="53"/>
      <c r="K5" s="55"/>
      <c r="L5" s="3"/>
    </row>
    <row r="6" spans="1:16" x14ac:dyDescent="0.2">
      <c r="A6" s="2">
        <v>42491</v>
      </c>
      <c r="B6" s="53">
        <v>8227</v>
      </c>
      <c r="C6" s="53">
        <v>7087.2199999999993</v>
      </c>
      <c r="D6" s="53">
        <v>2329.44</v>
      </c>
      <c r="E6" s="53">
        <v>0</v>
      </c>
      <c r="F6" s="53">
        <v>1843.83</v>
      </c>
      <c r="G6" s="53">
        <f t="shared" si="0"/>
        <v>9416.66</v>
      </c>
      <c r="H6" s="54">
        <f t="shared" si="1"/>
        <v>117.92666000000281</v>
      </c>
      <c r="I6" s="53"/>
      <c r="J6" s="53"/>
      <c r="K6" s="55"/>
      <c r="L6" s="53"/>
    </row>
    <row r="7" spans="1:16" x14ac:dyDescent="0.2">
      <c r="A7" s="2">
        <v>42522</v>
      </c>
      <c r="B7" s="53">
        <v>8079</v>
      </c>
      <c r="C7" s="53">
        <v>4738.3600000000006</v>
      </c>
      <c r="D7" s="53">
        <v>2166.27</v>
      </c>
      <c r="E7" s="53">
        <v>0</v>
      </c>
      <c r="F7" s="53">
        <v>1843.83</v>
      </c>
      <c r="G7" s="53">
        <f t="shared" si="0"/>
        <v>6904.630000000001</v>
      </c>
      <c r="H7" s="54">
        <f t="shared" si="1"/>
        <v>-551.53333999999813</v>
      </c>
      <c r="I7" s="53"/>
      <c r="J7" s="3"/>
      <c r="K7" s="53"/>
      <c r="L7" s="3"/>
    </row>
    <row r="8" spans="1:16" x14ac:dyDescent="0.2">
      <c r="A8" s="2">
        <v>42552</v>
      </c>
      <c r="B8" s="53">
        <v>7959</v>
      </c>
      <c r="C8" s="53">
        <v>2996.57</v>
      </c>
      <c r="D8" s="53">
        <v>3112.9300000000003</v>
      </c>
      <c r="E8" s="53">
        <v>0</v>
      </c>
      <c r="F8" s="53">
        <v>1923.53</v>
      </c>
      <c r="G8" s="53">
        <f t="shared" si="0"/>
        <v>6109.5</v>
      </c>
      <c r="H8" s="54">
        <f t="shared" si="1"/>
        <v>-625.56333999999788</v>
      </c>
      <c r="I8" s="53"/>
      <c r="J8" s="58"/>
      <c r="K8" s="53"/>
      <c r="L8" s="58"/>
    </row>
    <row r="9" spans="1:16" x14ac:dyDescent="0.2">
      <c r="A9" s="2">
        <v>42583</v>
      </c>
      <c r="B9" s="53">
        <v>7959</v>
      </c>
      <c r="C9" s="53">
        <v>4461.2833333333338</v>
      </c>
      <c r="D9" s="53">
        <v>1980.7199999999993</v>
      </c>
      <c r="E9" s="53">
        <v>32</v>
      </c>
      <c r="F9" s="53">
        <v>1917.6499999999999</v>
      </c>
      <c r="G9" s="53">
        <f t="shared" si="0"/>
        <v>6474.0033333333331</v>
      </c>
      <c r="H9" s="54">
        <f t="shared" si="1"/>
        <v>-1058.2166733333306</v>
      </c>
      <c r="I9" s="53"/>
      <c r="J9" s="3"/>
      <c r="K9" s="53"/>
      <c r="L9" s="3"/>
      <c r="N9" s="58"/>
    </row>
    <row r="10" spans="1:16" x14ac:dyDescent="0.2">
      <c r="A10" s="2">
        <v>42614</v>
      </c>
      <c r="B10" s="53">
        <v>7959</v>
      </c>
      <c r="C10" s="53">
        <v>3362.3599999999997</v>
      </c>
      <c r="D10" s="53">
        <v>200</v>
      </c>
      <c r="E10" s="53">
        <v>1648.52</v>
      </c>
      <c r="F10" s="53">
        <v>1923.53</v>
      </c>
      <c r="G10" s="53">
        <f t="shared" si="0"/>
        <v>5210.8799999999992</v>
      </c>
      <c r="H10" s="54">
        <f t="shared" si="1"/>
        <v>-233.62667333332956</v>
      </c>
      <c r="I10" s="53"/>
      <c r="J10" s="3"/>
      <c r="K10" s="53"/>
      <c r="L10" s="3"/>
    </row>
    <row r="11" spans="1:16" x14ac:dyDescent="0.2">
      <c r="A11" s="2">
        <v>42644</v>
      </c>
      <c r="B11" s="53">
        <v>7959</v>
      </c>
      <c r="C11" s="53">
        <v>0</v>
      </c>
      <c r="D11" s="53">
        <v>0</v>
      </c>
      <c r="E11" s="53">
        <v>5871.6699999999992</v>
      </c>
      <c r="F11" s="53">
        <v>1917.6499999999999</v>
      </c>
      <c r="G11" s="53">
        <f t="shared" si="0"/>
        <v>5871.6699999999992</v>
      </c>
      <c r="H11" s="54">
        <f t="shared" si="1"/>
        <v>-63.946673333328363</v>
      </c>
      <c r="I11" s="53">
        <v>1000</v>
      </c>
      <c r="J11" s="3"/>
      <c r="K11" s="53"/>
      <c r="L11" s="3"/>
    </row>
    <row r="12" spans="1:16" x14ac:dyDescent="0.2">
      <c r="A12" s="2">
        <v>42675</v>
      </c>
      <c r="B12" s="53">
        <v>10959</v>
      </c>
      <c r="C12" s="53">
        <v>0</v>
      </c>
      <c r="D12" s="53">
        <v>0</v>
      </c>
      <c r="E12" s="53">
        <v>4701.66</v>
      </c>
      <c r="F12" s="53">
        <v>1923.53</v>
      </c>
      <c r="G12" s="53">
        <f t="shared" si="0"/>
        <v>4701.66</v>
      </c>
      <c r="H12" s="54">
        <f t="shared" si="1"/>
        <v>4269.8633266666711</v>
      </c>
      <c r="I12" s="53">
        <v>1000</v>
      </c>
      <c r="J12" s="58">
        <f>H12-I12</f>
        <v>3269.8633266666711</v>
      </c>
      <c r="K12" s="53"/>
      <c r="L12" s="58"/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zoomScaleNormal="100" workbookViewId="0">
      <selection activeCell="A7" sqref="A7"/>
    </sheetView>
  </sheetViews>
  <sheetFormatPr defaultRowHeight="12.75" x14ac:dyDescent="0.2"/>
  <cols>
    <col min="1" max="1" width="21.7109375"/>
    <col min="2" max="2" width="15.28515625"/>
    <col min="3" max="3" width="14.5703125"/>
    <col min="4" max="4" width="10.28515625"/>
    <col min="5" max="5" width="16.7109375"/>
    <col min="6" max="1025" width="12.42578125"/>
  </cols>
  <sheetData>
    <row r="1" spans="1:5" x14ac:dyDescent="0.2">
      <c r="A1" s="59" t="s">
        <v>438</v>
      </c>
      <c r="B1" s="59" t="s">
        <v>439</v>
      </c>
      <c r="C1" s="59" t="s">
        <v>440</v>
      </c>
      <c r="D1" s="59" t="s">
        <v>8</v>
      </c>
      <c r="E1" s="59" t="s">
        <v>441</v>
      </c>
    </row>
    <row r="2" spans="1:5" x14ac:dyDescent="0.2">
      <c r="A2" s="60" t="s">
        <v>442</v>
      </c>
      <c r="B2" s="60">
        <v>0</v>
      </c>
      <c r="C2" s="60" t="s">
        <v>442</v>
      </c>
      <c r="D2" s="60">
        <v>1140</v>
      </c>
      <c r="E2" s="61">
        <v>42317</v>
      </c>
    </row>
    <row r="3" spans="1:5" x14ac:dyDescent="0.2">
      <c r="A3" s="60" t="s">
        <v>443</v>
      </c>
      <c r="B3" s="60">
        <v>130</v>
      </c>
      <c r="C3" s="61">
        <v>42317</v>
      </c>
      <c r="D3" s="60"/>
      <c r="E3" s="60"/>
    </row>
    <row r="4" spans="1:5" x14ac:dyDescent="0.2">
      <c r="A4" s="60" t="s">
        <v>444</v>
      </c>
      <c r="B4" s="60">
        <v>120</v>
      </c>
      <c r="C4" s="61">
        <v>42317</v>
      </c>
      <c r="D4" s="60"/>
      <c r="E4" s="61"/>
    </row>
    <row r="5" spans="1:5" x14ac:dyDescent="0.2">
      <c r="A5" s="60" t="s">
        <v>445</v>
      </c>
      <c r="B5" s="60">
        <v>10</v>
      </c>
      <c r="C5" s="61">
        <v>42317</v>
      </c>
      <c r="D5" s="60"/>
      <c r="E5" s="60"/>
    </row>
    <row r="6" spans="1:5" x14ac:dyDescent="0.2">
      <c r="A6" s="60" t="s">
        <v>442</v>
      </c>
      <c r="B6" s="60">
        <v>0</v>
      </c>
      <c r="C6" s="60" t="s">
        <v>442</v>
      </c>
      <c r="D6" s="60">
        <f>D2-SUM(B2:B5)</f>
        <v>880</v>
      </c>
      <c r="E6" s="61">
        <v>42319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6"/>
  <sheetViews>
    <sheetView topLeftCell="A26" zoomScaleNormal="100" workbookViewId="0">
      <selection activeCell="A36" sqref="A36"/>
    </sheetView>
  </sheetViews>
  <sheetFormatPr defaultRowHeight="12.75" x14ac:dyDescent="0.2"/>
  <cols>
    <col min="1" max="1" width="33.85546875"/>
    <col min="2" max="2" width="14.5703125"/>
    <col min="3" max="3" width="12.42578125"/>
    <col min="4" max="4" width="17.140625"/>
    <col min="5" max="5" width="12.42578125"/>
    <col min="6" max="6" width="17.28515625"/>
    <col min="7" max="7" width="14.7109375"/>
    <col min="8" max="8" width="15.140625"/>
    <col min="9" max="1025" width="12.42578125"/>
  </cols>
  <sheetData>
    <row r="1" spans="1:9" x14ac:dyDescent="0.2">
      <c r="A1" t="s">
        <v>17</v>
      </c>
      <c r="B1" t="s">
        <v>18</v>
      </c>
      <c r="C1" t="s">
        <v>19</v>
      </c>
      <c r="D1" t="s">
        <v>20</v>
      </c>
      <c r="E1" t="s">
        <v>25</v>
      </c>
    </row>
    <row r="2" spans="1:9" x14ac:dyDescent="0.2">
      <c r="A2" t="s">
        <v>446</v>
      </c>
      <c r="B2">
        <v>183.9</v>
      </c>
      <c r="C2">
        <v>1</v>
      </c>
      <c r="D2">
        <v>0</v>
      </c>
      <c r="E2" s="3" t="s">
        <v>39</v>
      </c>
      <c r="F2" s="62" t="s">
        <v>8</v>
      </c>
      <c r="G2" s="63" t="s">
        <v>39</v>
      </c>
      <c r="H2" s="64" t="s">
        <v>447</v>
      </c>
    </row>
    <row r="3" spans="1:9" x14ac:dyDescent="0.2">
      <c r="A3" t="s">
        <v>448</v>
      </c>
      <c r="B3">
        <v>183.9</v>
      </c>
      <c r="C3">
        <v>1</v>
      </c>
      <c r="D3">
        <v>0</v>
      </c>
      <c r="E3" s="3" t="s">
        <v>39</v>
      </c>
      <c r="F3" s="137">
        <v>7400.48</v>
      </c>
      <c r="G3" s="65">
        <v>148</v>
      </c>
      <c r="H3" s="66">
        <f t="shared" ref="H3:H10" si="0">(G3/$F$3)*100</f>
        <v>1.9998702786846259</v>
      </c>
      <c r="I3" s="3" t="s">
        <v>449</v>
      </c>
    </row>
    <row r="4" spans="1:9" x14ac:dyDescent="0.2">
      <c r="A4" t="s">
        <v>450</v>
      </c>
      <c r="B4">
        <v>191.7</v>
      </c>
      <c r="C4">
        <v>1</v>
      </c>
      <c r="D4">
        <v>0</v>
      </c>
      <c r="E4" s="3" t="s">
        <v>39</v>
      </c>
      <c r="F4" s="137"/>
      <c r="G4" s="67">
        <v>66.599999999999994</v>
      </c>
      <c r="H4" s="68">
        <f t="shared" si="0"/>
        <v>0.89994162540808165</v>
      </c>
      <c r="I4" s="3" t="s">
        <v>451</v>
      </c>
    </row>
    <row r="5" spans="1:9" x14ac:dyDescent="0.2">
      <c r="A5" t="s">
        <v>452</v>
      </c>
      <c r="B5">
        <v>383.67</v>
      </c>
      <c r="C5">
        <v>1</v>
      </c>
      <c r="D5">
        <v>0</v>
      </c>
      <c r="E5" s="3" t="s">
        <v>39</v>
      </c>
      <c r="F5" s="137"/>
      <c r="G5" s="67">
        <v>138.30000000000001</v>
      </c>
      <c r="H5" s="68">
        <f t="shared" si="0"/>
        <v>1.8687976996086744</v>
      </c>
      <c r="I5" s="3" t="s">
        <v>453</v>
      </c>
    </row>
    <row r="6" spans="1:9" x14ac:dyDescent="0.2">
      <c r="A6" t="s">
        <v>454</v>
      </c>
      <c r="B6">
        <v>383.67</v>
      </c>
      <c r="C6">
        <v>1</v>
      </c>
      <c r="D6">
        <v>0</v>
      </c>
      <c r="E6" s="3" t="s">
        <v>39</v>
      </c>
      <c r="F6" s="137"/>
      <c r="G6" s="67">
        <v>148.01</v>
      </c>
      <c r="H6" s="68">
        <f t="shared" si="0"/>
        <v>2.0000054050548073</v>
      </c>
      <c r="I6" s="28" t="s">
        <v>455</v>
      </c>
    </row>
    <row r="7" spans="1:9" x14ac:dyDescent="0.2">
      <c r="A7" t="s">
        <v>456</v>
      </c>
      <c r="B7">
        <v>400.44</v>
      </c>
      <c r="C7">
        <v>1</v>
      </c>
      <c r="D7">
        <v>0</v>
      </c>
      <c r="E7" s="3" t="s">
        <v>39</v>
      </c>
      <c r="F7" s="137"/>
      <c r="G7" s="67">
        <v>48.1</v>
      </c>
      <c r="H7" s="68">
        <f t="shared" si="0"/>
        <v>0.6499578405725035</v>
      </c>
      <c r="I7" s="28" t="s">
        <v>457</v>
      </c>
    </row>
    <row r="8" spans="1:9" x14ac:dyDescent="0.2">
      <c r="A8" t="s">
        <v>458</v>
      </c>
      <c r="B8">
        <v>136.44999999999999</v>
      </c>
      <c r="C8">
        <v>1</v>
      </c>
      <c r="D8">
        <v>0</v>
      </c>
      <c r="E8" s="3" t="s">
        <v>39</v>
      </c>
      <c r="F8" s="137"/>
      <c r="G8" s="67">
        <v>222.01</v>
      </c>
      <c r="H8" s="68">
        <f t="shared" si="0"/>
        <v>2.9999405443971203</v>
      </c>
      <c r="I8" s="28" t="s">
        <v>459</v>
      </c>
    </row>
    <row r="9" spans="1:9" x14ac:dyDescent="0.2">
      <c r="A9" t="s">
        <v>460</v>
      </c>
      <c r="B9">
        <v>136.44999999999999</v>
      </c>
      <c r="C9">
        <v>1</v>
      </c>
      <c r="D9">
        <v>0</v>
      </c>
      <c r="E9" s="3" t="s">
        <v>39</v>
      </c>
      <c r="F9" s="137"/>
      <c r="G9" s="67">
        <v>111.01</v>
      </c>
      <c r="H9" s="68">
        <f t="shared" si="0"/>
        <v>1.5000378353836508</v>
      </c>
      <c r="I9" s="28" t="s">
        <v>461</v>
      </c>
    </row>
    <row r="10" spans="1:9" x14ac:dyDescent="0.2">
      <c r="A10" t="s">
        <v>462</v>
      </c>
      <c r="B10">
        <v>142</v>
      </c>
      <c r="C10">
        <v>1</v>
      </c>
      <c r="D10">
        <v>0</v>
      </c>
      <c r="E10" s="3" t="s">
        <v>39</v>
      </c>
      <c r="F10" s="137"/>
      <c r="G10" s="69">
        <v>74</v>
      </c>
      <c r="H10" s="70">
        <f t="shared" si="0"/>
        <v>0.99993513934231293</v>
      </c>
      <c r="I10" s="28" t="s">
        <v>449</v>
      </c>
    </row>
    <row r="11" spans="1:9" x14ac:dyDescent="0.2">
      <c r="A11" t="s">
        <v>463</v>
      </c>
      <c r="B11">
        <v>142</v>
      </c>
      <c r="C11">
        <v>1</v>
      </c>
      <c r="D11">
        <v>0</v>
      </c>
      <c r="E11" s="3" t="s">
        <v>39</v>
      </c>
    </row>
    <row r="12" spans="1:9" x14ac:dyDescent="0.2">
      <c r="A12" t="s">
        <v>464</v>
      </c>
      <c r="B12">
        <v>142</v>
      </c>
      <c r="C12">
        <v>1</v>
      </c>
      <c r="D12">
        <v>0</v>
      </c>
      <c r="E12" s="3" t="s">
        <v>39</v>
      </c>
    </row>
    <row r="13" spans="1:9" x14ac:dyDescent="0.2">
      <c r="A13" t="s">
        <v>465</v>
      </c>
      <c r="B13">
        <v>133.47999999999999</v>
      </c>
      <c r="C13">
        <v>1</v>
      </c>
      <c r="D13">
        <v>0</v>
      </c>
      <c r="E13" s="3" t="s">
        <v>39</v>
      </c>
    </row>
    <row r="14" spans="1:9" x14ac:dyDescent="0.2">
      <c r="A14" t="s">
        <v>466</v>
      </c>
      <c r="B14">
        <v>63.9</v>
      </c>
      <c r="C14">
        <v>1</v>
      </c>
      <c r="D14">
        <v>0</v>
      </c>
      <c r="E14" s="3" t="s">
        <v>39</v>
      </c>
    </row>
    <row r="15" spans="1:9" x14ac:dyDescent="0.2">
      <c r="A15" t="s">
        <v>467</v>
      </c>
      <c r="B15">
        <v>142</v>
      </c>
      <c r="C15">
        <v>1</v>
      </c>
      <c r="D15">
        <v>0</v>
      </c>
      <c r="E15" s="3" t="s">
        <v>39</v>
      </c>
    </row>
    <row r="16" spans="1:9" x14ac:dyDescent="0.2">
      <c r="A16" t="s">
        <v>468</v>
      </c>
      <c r="B16">
        <v>133.47999999999999</v>
      </c>
      <c r="C16">
        <v>1</v>
      </c>
      <c r="D16">
        <v>0</v>
      </c>
      <c r="E16" s="3" t="s">
        <v>39</v>
      </c>
    </row>
    <row r="17" spans="1:5" x14ac:dyDescent="0.2">
      <c r="A17" t="s">
        <v>469</v>
      </c>
      <c r="B17">
        <v>63.9</v>
      </c>
      <c r="C17">
        <v>1</v>
      </c>
      <c r="D17">
        <v>0</v>
      </c>
      <c r="E17" s="3" t="s">
        <v>39</v>
      </c>
    </row>
    <row r="18" spans="1:5" x14ac:dyDescent="0.2">
      <c r="A18" t="s">
        <v>470</v>
      </c>
      <c r="B18">
        <v>142</v>
      </c>
      <c r="C18">
        <v>1</v>
      </c>
      <c r="D18">
        <v>0</v>
      </c>
      <c r="E18" s="3" t="s">
        <v>39</v>
      </c>
    </row>
    <row r="19" spans="1:5" x14ac:dyDescent="0.2">
      <c r="A19" t="s">
        <v>471</v>
      </c>
      <c r="B19">
        <v>133.47999999999999</v>
      </c>
      <c r="C19">
        <v>1</v>
      </c>
      <c r="D19">
        <v>0</v>
      </c>
      <c r="E19" s="3" t="s">
        <v>39</v>
      </c>
    </row>
    <row r="20" spans="1:5" x14ac:dyDescent="0.2">
      <c r="A20" t="s">
        <v>472</v>
      </c>
      <c r="B20">
        <v>63.9</v>
      </c>
      <c r="C20">
        <v>1</v>
      </c>
      <c r="D20">
        <v>0</v>
      </c>
      <c r="E20" s="3" t="s">
        <v>39</v>
      </c>
    </row>
    <row r="21" spans="1:5" x14ac:dyDescent="0.2">
      <c r="A21" t="s">
        <v>473</v>
      </c>
      <c r="B21">
        <v>142</v>
      </c>
      <c r="C21">
        <v>1</v>
      </c>
      <c r="D21">
        <v>0</v>
      </c>
      <c r="E21" s="3" t="s">
        <v>39</v>
      </c>
    </row>
    <row r="22" spans="1:5" x14ac:dyDescent="0.2">
      <c r="A22" t="s">
        <v>474</v>
      </c>
      <c r="B22">
        <v>133.47999999999999</v>
      </c>
      <c r="C22">
        <v>1</v>
      </c>
      <c r="D22">
        <v>0</v>
      </c>
      <c r="E22" s="3" t="s">
        <v>39</v>
      </c>
    </row>
    <row r="23" spans="1:5" x14ac:dyDescent="0.2">
      <c r="A23" t="s">
        <v>475</v>
      </c>
      <c r="B23">
        <v>63.9</v>
      </c>
      <c r="C23">
        <v>1</v>
      </c>
      <c r="D23">
        <v>0</v>
      </c>
      <c r="E23" s="3" t="s">
        <v>39</v>
      </c>
    </row>
    <row r="24" spans="1:5" x14ac:dyDescent="0.2">
      <c r="A24" t="s">
        <v>476</v>
      </c>
      <c r="B24">
        <v>142</v>
      </c>
      <c r="C24">
        <v>1</v>
      </c>
      <c r="D24">
        <v>0</v>
      </c>
      <c r="E24" s="3" t="s">
        <v>39</v>
      </c>
    </row>
    <row r="25" spans="1:5" x14ac:dyDescent="0.2">
      <c r="A25" t="s">
        <v>477</v>
      </c>
      <c r="B25">
        <v>133.47999999999999</v>
      </c>
      <c r="C25">
        <v>1</v>
      </c>
      <c r="D25">
        <v>0</v>
      </c>
      <c r="E25" s="3" t="s">
        <v>39</v>
      </c>
    </row>
    <row r="26" spans="1:5" x14ac:dyDescent="0.2">
      <c r="A26" t="s">
        <v>478</v>
      </c>
      <c r="B26">
        <v>63.9</v>
      </c>
      <c r="C26">
        <v>1</v>
      </c>
      <c r="D26">
        <v>0</v>
      </c>
      <c r="E26" s="3" t="s">
        <v>39</v>
      </c>
    </row>
    <row r="27" spans="1:5" x14ac:dyDescent="0.2">
      <c r="A27" t="s">
        <v>479</v>
      </c>
      <c r="B27">
        <v>142</v>
      </c>
      <c r="C27">
        <v>1</v>
      </c>
      <c r="D27">
        <v>0</v>
      </c>
      <c r="E27" s="3" t="s">
        <v>39</v>
      </c>
    </row>
    <row r="28" spans="1:5" x14ac:dyDescent="0.2">
      <c r="A28" t="s">
        <v>480</v>
      </c>
      <c r="B28">
        <v>133.47999999999999</v>
      </c>
      <c r="C28">
        <v>1</v>
      </c>
      <c r="D28">
        <v>0</v>
      </c>
      <c r="E28" s="3" t="s">
        <v>39</v>
      </c>
    </row>
    <row r="29" spans="1:5" x14ac:dyDescent="0.2">
      <c r="A29" t="s">
        <v>481</v>
      </c>
      <c r="B29">
        <v>63.9</v>
      </c>
      <c r="C29">
        <v>1</v>
      </c>
      <c r="D29">
        <v>0</v>
      </c>
      <c r="E29" s="3" t="s">
        <v>39</v>
      </c>
    </row>
    <row r="30" spans="1:5" x14ac:dyDescent="0.2">
      <c r="A30" t="s">
        <v>482</v>
      </c>
      <c r="B30">
        <v>142</v>
      </c>
      <c r="C30">
        <v>1</v>
      </c>
      <c r="D30">
        <v>0</v>
      </c>
      <c r="E30" s="3" t="s">
        <v>39</v>
      </c>
    </row>
    <row r="31" spans="1:5" x14ac:dyDescent="0.2">
      <c r="A31" t="s">
        <v>483</v>
      </c>
      <c r="B31">
        <v>133.47999999999999</v>
      </c>
      <c r="C31">
        <v>1</v>
      </c>
      <c r="D31">
        <v>0</v>
      </c>
      <c r="E31" s="3" t="s">
        <v>39</v>
      </c>
    </row>
    <row r="32" spans="1:5" x14ac:dyDescent="0.2">
      <c r="A32" t="s">
        <v>484</v>
      </c>
      <c r="B32">
        <v>63.9</v>
      </c>
      <c r="C32">
        <v>1</v>
      </c>
      <c r="D32">
        <v>0</v>
      </c>
      <c r="E32" s="3" t="s">
        <v>39</v>
      </c>
    </row>
    <row r="33" spans="1:5" x14ac:dyDescent="0.2">
      <c r="A33" t="s">
        <v>485</v>
      </c>
      <c r="B33">
        <v>142</v>
      </c>
      <c r="C33">
        <v>1</v>
      </c>
      <c r="D33">
        <v>0</v>
      </c>
      <c r="E33" s="3" t="s">
        <v>39</v>
      </c>
    </row>
    <row r="34" spans="1:5" x14ac:dyDescent="0.2">
      <c r="A34" t="s">
        <v>486</v>
      </c>
      <c r="B34">
        <v>133.47999999999999</v>
      </c>
      <c r="C34">
        <v>1</v>
      </c>
      <c r="D34">
        <v>0</v>
      </c>
      <c r="E34" s="3" t="s">
        <v>39</v>
      </c>
    </row>
    <row r="35" spans="1:5" x14ac:dyDescent="0.2">
      <c r="A35" t="s">
        <v>487</v>
      </c>
      <c r="B35">
        <v>63.9</v>
      </c>
      <c r="C35">
        <v>1</v>
      </c>
      <c r="D35">
        <v>0</v>
      </c>
      <c r="E35" s="3" t="s">
        <v>39</v>
      </c>
    </row>
    <row r="36" spans="1:5" x14ac:dyDescent="0.2">
      <c r="A36" t="s">
        <v>488</v>
      </c>
      <c r="B36">
        <v>1174.68</v>
      </c>
      <c r="C36">
        <v>1</v>
      </c>
      <c r="D36">
        <v>0</v>
      </c>
      <c r="E36" s="3" t="s">
        <v>150</v>
      </c>
    </row>
    <row r="37" spans="1:5" x14ac:dyDescent="0.2">
      <c r="A37" t="s">
        <v>489</v>
      </c>
      <c r="B37">
        <v>127.69</v>
      </c>
      <c r="C37">
        <v>1</v>
      </c>
      <c r="D37">
        <v>0</v>
      </c>
      <c r="E37" s="3" t="s">
        <v>150</v>
      </c>
    </row>
    <row r="38" spans="1:5" x14ac:dyDescent="0.2">
      <c r="A38" t="s">
        <v>490</v>
      </c>
      <c r="B38">
        <v>297.93</v>
      </c>
      <c r="C38">
        <v>1</v>
      </c>
      <c r="D38">
        <v>0</v>
      </c>
      <c r="E38" s="3" t="s">
        <v>150</v>
      </c>
    </row>
    <row r="39" spans="1:5" x14ac:dyDescent="0.2">
      <c r="A39" t="s">
        <v>491</v>
      </c>
      <c r="B39">
        <v>68.48</v>
      </c>
      <c r="C39">
        <v>1</v>
      </c>
      <c r="D39">
        <v>0</v>
      </c>
      <c r="E39" s="3" t="s">
        <v>150</v>
      </c>
    </row>
    <row r="40" spans="1:5" x14ac:dyDescent="0.2">
      <c r="A40" t="s">
        <v>492</v>
      </c>
      <c r="B40">
        <v>434.94</v>
      </c>
      <c r="C40">
        <v>1</v>
      </c>
      <c r="D40">
        <v>0</v>
      </c>
      <c r="E40" s="3" t="s">
        <v>493</v>
      </c>
    </row>
    <row r="41" spans="1:5" x14ac:dyDescent="0.2">
      <c r="A41" t="s">
        <v>494</v>
      </c>
      <c r="B41">
        <v>379.42</v>
      </c>
      <c r="C41">
        <v>1</v>
      </c>
      <c r="D41">
        <v>0</v>
      </c>
      <c r="E41" s="3" t="s">
        <v>493</v>
      </c>
    </row>
    <row r="42" spans="1:5" x14ac:dyDescent="0.2">
      <c r="A42" t="s">
        <v>495</v>
      </c>
      <c r="B42">
        <v>195.73</v>
      </c>
      <c r="C42">
        <v>1</v>
      </c>
      <c r="D42">
        <v>0</v>
      </c>
      <c r="E42" s="3" t="s">
        <v>493</v>
      </c>
    </row>
    <row r="43" spans="1:5" x14ac:dyDescent="0.2">
      <c r="A43" t="s">
        <v>496</v>
      </c>
      <c r="B43">
        <v>186.62</v>
      </c>
      <c r="C43">
        <v>1</v>
      </c>
      <c r="D43">
        <v>0</v>
      </c>
      <c r="E43" s="3" t="s">
        <v>493</v>
      </c>
    </row>
    <row r="44" spans="1:5" x14ac:dyDescent="0.2">
      <c r="A44" t="s">
        <v>497</v>
      </c>
      <c r="B44">
        <v>153.63</v>
      </c>
      <c r="C44">
        <v>1</v>
      </c>
      <c r="D44">
        <v>0</v>
      </c>
      <c r="E44" s="3" t="s">
        <v>493</v>
      </c>
    </row>
    <row r="45" spans="1:5" x14ac:dyDescent="0.2">
      <c r="A45" t="s">
        <v>498</v>
      </c>
      <c r="B45">
        <v>292.01</v>
      </c>
      <c r="C45">
        <v>1</v>
      </c>
      <c r="D45">
        <v>0</v>
      </c>
      <c r="E45" s="3" t="s">
        <v>493</v>
      </c>
    </row>
    <row r="46" spans="1:5" x14ac:dyDescent="0.2">
      <c r="A46" t="s">
        <v>499</v>
      </c>
      <c r="B46">
        <v>292.01</v>
      </c>
      <c r="C46">
        <v>1</v>
      </c>
      <c r="D46">
        <v>0</v>
      </c>
      <c r="E46" s="3" t="s">
        <v>493</v>
      </c>
    </row>
  </sheetData>
  <mergeCells count="1">
    <mergeCell ref="F3:F10"/>
  </mergeCells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K122"/>
  <sheetViews>
    <sheetView zoomScaleNormal="100" workbookViewId="0">
      <pane ySplit="1" topLeftCell="A94" activePane="bottomLeft" state="frozen"/>
      <selection pane="bottomLeft" activeCell="A78" sqref="A78"/>
    </sheetView>
  </sheetViews>
  <sheetFormatPr defaultRowHeight="12.75" x14ac:dyDescent="0.2"/>
  <cols>
    <col min="1" max="1" width="33.85546875"/>
    <col min="2" max="2" width="17.28515625" style="71"/>
    <col min="3" max="3" width="17.28515625" style="26"/>
    <col min="4" max="4" width="17.28515625" style="72"/>
    <col min="5" max="5" width="18.140625" style="73"/>
    <col min="6" max="6" width="13" style="72"/>
    <col min="7" max="7" width="17.140625" style="73"/>
    <col min="8" max="8" width="17.140625" style="74"/>
    <col min="9" max="9" width="19.140625" style="74"/>
    <col min="10" max="10" width="20.7109375" style="74"/>
    <col min="11" max="11" width="15.7109375" style="74"/>
    <col min="12" max="1025" width="12.42578125"/>
  </cols>
  <sheetData>
    <row r="1" spans="1:11" x14ac:dyDescent="0.2">
      <c r="A1" s="75" t="s">
        <v>17</v>
      </c>
      <c r="B1" s="76" t="s">
        <v>18</v>
      </c>
      <c r="C1" s="77" t="s">
        <v>19</v>
      </c>
      <c r="D1" s="77" t="s">
        <v>20</v>
      </c>
      <c r="E1" s="76" t="s">
        <v>21</v>
      </c>
      <c r="F1" s="77" t="s">
        <v>12</v>
      </c>
      <c r="G1" s="78" t="s">
        <v>500</v>
      </c>
      <c r="H1" s="78" t="s">
        <v>22</v>
      </c>
      <c r="I1" s="76" t="s">
        <v>23</v>
      </c>
      <c r="J1" s="76" t="s">
        <v>24</v>
      </c>
      <c r="K1" s="76" t="s">
        <v>25</v>
      </c>
    </row>
    <row r="2" spans="1:11" x14ac:dyDescent="0.2">
      <c r="A2" s="79" t="s">
        <v>185</v>
      </c>
      <c r="B2" s="80">
        <v>6.5</v>
      </c>
      <c r="C2" s="81">
        <v>0</v>
      </c>
      <c r="D2" s="82">
        <v>1</v>
      </c>
      <c r="E2" s="83">
        <v>0</v>
      </c>
      <c r="F2" s="84">
        <v>0</v>
      </c>
      <c r="G2" s="83">
        <v>1</v>
      </c>
      <c r="H2" s="61">
        <v>41861</v>
      </c>
      <c r="I2" s="60" t="s">
        <v>27</v>
      </c>
      <c r="J2" s="61">
        <v>41883</v>
      </c>
      <c r="K2" s="60" t="s">
        <v>63</v>
      </c>
    </row>
    <row r="3" spans="1:11" x14ac:dyDescent="0.2">
      <c r="A3" s="79" t="s">
        <v>103</v>
      </c>
      <c r="B3" s="80">
        <v>18</v>
      </c>
      <c r="C3" s="81">
        <v>0</v>
      </c>
      <c r="D3" s="82">
        <v>1</v>
      </c>
      <c r="E3" s="83">
        <v>0</v>
      </c>
      <c r="F3" s="84">
        <v>0</v>
      </c>
      <c r="G3" s="83">
        <v>1</v>
      </c>
      <c r="H3" s="61">
        <v>41861</v>
      </c>
      <c r="I3" s="60" t="s">
        <v>27</v>
      </c>
      <c r="J3" s="61">
        <v>41883</v>
      </c>
      <c r="K3" s="60" t="s">
        <v>501</v>
      </c>
    </row>
    <row r="4" spans="1:11" x14ac:dyDescent="0.2">
      <c r="A4" s="79" t="s">
        <v>502</v>
      </c>
      <c r="B4" s="80">
        <v>1.94</v>
      </c>
      <c r="C4" s="81">
        <v>0</v>
      </c>
      <c r="D4" s="82">
        <v>1</v>
      </c>
      <c r="E4" s="83">
        <v>0</v>
      </c>
      <c r="F4" s="84">
        <v>0</v>
      </c>
      <c r="G4" s="83">
        <v>1</v>
      </c>
      <c r="H4" s="61">
        <v>41861</v>
      </c>
      <c r="I4" s="60" t="s">
        <v>27</v>
      </c>
      <c r="J4" s="61">
        <v>41883</v>
      </c>
      <c r="K4" s="60" t="s">
        <v>501</v>
      </c>
    </row>
    <row r="5" spans="1:11" x14ac:dyDescent="0.2">
      <c r="A5" s="79" t="s">
        <v>503</v>
      </c>
      <c r="B5" s="80">
        <v>30</v>
      </c>
      <c r="C5" s="81">
        <v>1</v>
      </c>
      <c r="D5" s="82">
        <v>0</v>
      </c>
      <c r="E5" s="83">
        <v>0</v>
      </c>
      <c r="F5" s="84">
        <v>0</v>
      </c>
      <c r="G5" s="83">
        <v>1</v>
      </c>
      <c r="H5" s="61">
        <v>41861</v>
      </c>
      <c r="I5" s="60" t="s">
        <v>27</v>
      </c>
      <c r="J5" s="61">
        <v>41884</v>
      </c>
      <c r="K5" s="60" t="s">
        <v>43</v>
      </c>
    </row>
    <row r="6" spans="1:11" x14ac:dyDescent="0.2">
      <c r="A6" s="79" t="s">
        <v>504</v>
      </c>
      <c r="B6" s="80">
        <v>41</v>
      </c>
      <c r="C6" s="81">
        <v>1</v>
      </c>
      <c r="D6" s="82">
        <v>0</v>
      </c>
      <c r="E6" s="83">
        <v>0</v>
      </c>
      <c r="F6" s="84">
        <v>0</v>
      </c>
      <c r="G6" s="83">
        <v>1</v>
      </c>
      <c r="H6" s="61">
        <v>41861</v>
      </c>
      <c r="I6" s="60" t="s">
        <v>27</v>
      </c>
      <c r="J6" s="61">
        <v>41883</v>
      </c>
      <c r="K6" s="60" t="s">
        <v>501</v>
      </c>
    </row>
    <row r="7" spans="1:11" x14ac:dyDescent="0.2">
      <c r="A7" s="79" t="s">
        <v>502</v>
      </c>
      <c r="B7" s="80">
        <v>9.06</v>
      </c>
      <c r="C7" s="81">
        <v>0</v>
      </c>
      <c r="D7" s="82">
        <v>1</v>
      </c>
      <c r="E7" s="83">
        <v>0</v>
      </c>
      <c r="F7" s="84">
        <v>0</v>
      </c>
      <c r="G7" s="83">
        <v>1</v>
      </c>
      <c r="H7" s="61">
        <v>41861</v>
      </c>
      <c r="I7" s="60" t="s">
        <v>27</v>
      </c>
      <c r="J7" s="61">
        <v>41883</v>
      </c>
      <c r="K7" s="60" t="s">
        <v>501</v>
      </c>
    </row>
    <row r="8" spans="1:11" x14ac:dyDescent="0.2">
      <c r="A8" s="79" t="s">
        <v>505</v>
      </c>
      <c r="B8" s="80">
        <v>2</v>
      </c>
      <c r="C8" s="81">
        <v>0</v>
      </c>
      <c r="D8" s="82">
        <v>1</v>
      </c>
      <c r="E8" s="83">
        <v>0</v>
      </c>
      <c r="F8" s="84">
        <v>0</v>
      </c>
      <c r="G8" s="83">
        <v>1</v>
      </c>
      <c r="H8" s="61">
        <v>41861</v>
      </c>
      <c r="I8" s="60" t="s">
        <v>27</v>
      </c>
      <c r="J8" s="61">
        <v>41887</v>
      </c>
      <c r="K8" s="60" t="s">
        <v>63</v>
      </c>
    </row>
    <row r="9" spans="1:11" x14ac:dyDescent="0.2">
      <c r="A9" s="79" t="s">
        <v>41</v>
      </c>
      <c r="B9" s="80">
        <v>30</v>
      </c>
      <c r="C9" s="81">
        <v>0</v>
      </c>
      <c r="D9" s="82">
        <v>1</v>
      </c>
      <c r="E9" s="83">
        <v>0</v>
      </c>
      <c r="F9" s="84">
        <v>0</v>
      </c>
      <c r="G9" s="83">
        <v>1</v>
      </c>
      <c r="H9" s="61">
        <v>41861</v>
      </c>
      <c r="I9" s="60" t="s">
        <v>27</v>
      </c>
      <c r="J9" s="61">
        <v>41887</v>
      </c>
      <c r="K9" s="60" t="s">
        <v>43</v>
      </c>
    </row>
    <row r="10" spans="1:11" hidden="1" x14ac:dyDescent="0.2">
      <c r="A10" s="79" t="s">
        <v>506</v>
      </c>
      <c r="B10" s="80">
        <v>9.1999999999999993</v>
      </c>
      <c r="C10" s="81">
        <v>0</v>
      </c>
      <c r="D10" s="82">
        <v>1</v>
      </c>
      <c r="E10" s="83">
        <v>0</v>
      </c>
      <c r="F10" s="84">
        <v>1</v>
      </c>
      <c r="G10" s="82">
        <v>0</v>
      </c>
      <c r="H10" s="61">
        <v>41861</v>
      </c>
      <c r="I10" s="60" t="s">
        <v>27</v>
      </c>
      <c r="J10" s="61">
        <v>41883</v>
      </c>
      <c r="K10" s="60" t="s">
        <v>63</v>
      </c>
    </row>
    <row r="11" spans="1:11" hidden="1" x14ac:dyDescent="0.2">
      <c r="A11" s="79" t="s">
        <v>507</v>
      </c>
      <c r="B11" s="80">
        <v>19.95</v>
      </c>
      <c r="C11" s="81">
        <v>0</v>
      </c>
      <c r="D11" s="82">
        <v>1</v>
      </c>
      <c r="E11" s="83">
        <v>0</v>
      </c>
      <c r="F11" s="84">
        <v>1</v>
      </c>
      <c r="G11" s="82">
        <v>0</v>
      </c>
      <c r="H11" s="61">
        <v>41861</v>
      </c>
      <c r="I11" s="60" t="s">
        <v>27</v>
      </c>
      <c r="J11" s="61">
        <v>41887</v>
      </c>
      <c r="K11" s="60" t="s">
        <v>63</v>
      </c>
    </row>
    <row r="12" spans="1:11" hidden="1" x14ac:dyDescent="0.2">
      <c r="A12" s="79" t="s">
        <v>508</v>
      </c>
      <c r="B12" s="80">
        <v>8</v>
      </c>
      <c r="C12" s="81">
        <v>0</v>
      </c>
      <c r="D12" s="82">
        <v>1</v>
      </c>
      <c r="E12" s="83">
        <v>0</v>
      </c>
      <c r="F12" s="84">
        <v>1</v>
      </c>
      <c r="G12" s="82">
        <v>0</v>
      </c>
      <c r="H12" s="61">
        <v>41861</v>
      </c>
      <c r="I12" s="60" t="s">
        <v>27</v>
      </c>
      <c r="J12" s="61">
        <v>41887</v>
      </c>
      <c r="K12" s="60" t="s">
        <v>63</v>
      </c>
    </row>
    <row r="13" spans="1:11" hidden="1" x14ac:dyDescent="0.2">
      <c r="A13" s="79" t="s">
        <v>185</v>
      </c>
      <c r="B13" s="80">
        <v>4.8</v>
      </c>
      <c r="C13" s="81">
        <v>0</v>
      </c>
      <c r="D13" s="82">
        <v>1</v>
      </c>
      <c r="E13" s="83">
        <v>0</v>
      </c>
      <c r="F13" s="84">
        <v>1</v>
      </c>
      <c r="G13" s="82">
        <v>0</v>
      </c>
      <c r="H13" s="61">
        <v>41861</v>
      </c>
      <c r="I13" s="60" t="s">
        <v>27</v>
      </c>
      <c r="J13" s="61">
        <v>41886</v>
      </c>
      <c r="K13" s="60" t="s">
        <v>63</v>
      </c>
    </row>
    <row r="14" spans="1:11" hidden="1" x14ac:dyDescent="0.2">
      <c r="A14" s="79" t="s">
        <v>509</v>
      </c>
      <c r="B14" s="80">
        <v>20</v>
      </c>
      <c r="C14" s="81">
        <v>0</v>
      </c>
      <c r="D14" s="82">
        <v>1</v>
      </c>
      <c r="E14" s="83">
        <v>0</v>
      </c>
      <c r="F14" s="84">
        <v>1</v>
      </c>
      <c r="G14" s="82">
        <v>0</v>
      </c>
      <c r="H14" s="61">
        <v>41861</v>
      </c>
      <c r="I14" s="60" t="s">
        <v>27</v>
      </c>
      <c r="J14" s="61">
        <v>41886</v>
      </c>
      <c r="K14" s="60" t="s">
        <v>63</v>
      </c>
    </row>
    <row r="15" spans="1:11" hidden="1" x14ac:dyDescent="0.2">
      <c r="A15" s="79" t="s">
        <v>510</v>
      </c>
      <c r="B15" s="80">
        <v>21.92</v>
      </c>
      <c r="C15" s="81">
        <v>0</v>
      </c>
      <c r="D15" s="82">
        <v>1</v>
      </c>
      <c r="E15" s="83">
        <v>0</v>
      </c>
      <c r="F15" s="84">
        <v>1</v>
      </c>
      <c r="G15" s="82">
        <v>0</v>
      </c>
      <c r="H15" s="61">
        <v>41861</v>
      </c>
      <c r="I15" s="60" t="s">
        <v>27</v>
      </c>
      <c r="J15" s="61">
        <v>41887</v>
      </c>
      <c r="K15" s="60" t="s">
        <v>63</v>
      </c>
    </row>
    <row r="16" spans="1:11" hidden="1" x14ac:dyDescent="0.2">
      <c r="A16" s="79" t="s">
        <v>60</v>
      </c>
      <c r="B16" s="80">
        <v>26.41</v>
      </c>
      <c r="C16" s="81">
        <v>0</v>
      </c>
      <c r="D16" s="82">
        <v>1</v>
      </c>
      <c r="E16" s="83">
        <v>0</v>
      </c>
      <c r="F16" s="84">
        <v>1</v>
      </c>
      <c r="G16" s="82">
        <v>0</v>
      </c>
      <c r="H16" s="61">
        <v>41861</v>
      </c>
      <c r="I16" s="85" t="s">
        <v>33</v>
      </c>
      <c r="J16" s="61">
        <v>41888</v>
      </c>
      <c r="K16" s="60" t="s">
        <v>63</v>
      </c>
    </row>
    <row r="17" spans="1:11" hidden="1" x14ac:dyDescent="0.2">
      <c r="A17" s="79" t="s">
        <v>191</v>
      </c>
      <c r="B17" s="80">
        <v>60</v>
      </c>
      <c r="C17" s="81">
        <v>1</v>
      </c>
      <c r="D17" s="82">
        <v>0</v>
      </c>
      <c r="E17" s="83">
        <v>0</v>
      </c>
      <c r="F17" s="84">
        <v>1</v>
      </c>
      <c r="G17" s="82">
        <v>0</v>
      </c>
      <c r="H17" s="61">
        <v>41861</v>
      </c>
      <c r="I17" s="85" t="s">
        <v>33</v>
      </c>
      <c r="J17" s="61">
        <v>41888</v>
      </c>
      <c r="K17" s="60" t="s">
        <v>43</v>
      </c>
    </row>
    <row r="18" spans="1:11" hidden="1" x14ac:dyDescent="0.2">
      <c r="A18" s="79" t="s">
        <v>511</v>
      </c>
      <c r="B18" s="80">
        <v>6.9</v>
      </c>
      <c r="C18" s="81">
        <v>0</v>
      </c>
      <c r="D18" s="82">
        <v>1</v>
      </c>
      <c r="E18" s="83">
        <v>0</v>
      </c>
      <c r="F18" s="84">
        <v>1</v>
      </c>
      <c r="G18" s="82">
        <v>0</v>
      </c>
      <c r="H18" s="61">
        <v>41861</v>
      </c>
      <c r="I18" s="85" t="s">
        <v>33</v>
      </c>
      <c r="J18" s="61">
        <v>41888</v>
      </c>
      <c r="K18" s="60" t="s">
        <v>63</v>
      </c>
    </row>
    <row r="19" spans="1:11" hidden="1" x14ac:dyDescent="0.2">
      <c r="A19" s="79" t="s">
        <v>511</v>
      </c>
      <c r="B19" s="86">
        <v>8.9</v>
      </c>
      <c r="C19" s="81">
        <v>0</v>
      </c>
      <c r="D19" s="82">
        <v>1</v>
      </c>
      <c r="E19" s="83">
        <v>0</v>
      </c>
      <c r="F19" s="84">
        <v>1</v>
      </c>
      <c r="G19" s="81">
        <v>0</v>
      </c>
      <c r="H19" s="61">
        <v>41861</v>
      </c>
      <c r="I19" s="85" t="s">
        <v>33</v>
      </c>
      <c r="J19" s="61">
        <v>41888</v>
      </c>
      <c r="K19" s="60" t="s">
        <v>63</v>
      </c>
    </row>
    <row r="20" spans="1:11" hidden="1" x14ac:dyDescent="0.2">
      <c r="A20" s="87" t="s">
        <v>512</v>
      </c>
      <c r="B20" s="80">
        <v>26.53</v>
      </c>
      <c r="C20" s="81">
        <v>0</v>
      </c>
      <c r="D20" s="82">
        <v>1</v>
      </c>
      <c r="E20" s="83">
        <v>0</v>
      </c>
      <c r="F20" s="84">
        <v>1</v>
      </c>
      <c r="G20" s="82">
        <v>0</v>
      </c>
      <c r="H20" s="61">
        <v>41861</v>
      </c>
      <c r="I20" s="85" t="s">
        <v>33</v>
      </c>
      <c r="J20" s="61">
        <v>41889</v>
      </c>
      <c r="K20" s="60" t="s">
        <v>63</v>
      </c>
    </row>
    <row r="21" spans="1:11" hidden="1" x14ac:dyDescent="0.2">
      <c r="A21" s="79" t="s">
        <v>82</v>
      </c>
      <c r="B21" s="80">
        <v>24.7</v>
      </c>
      <c r="C21" s="81">
        <v>0</v>
      </c>
      <c r="D21" s="82">
        <v>1</v>
      </c>
      <c r="E21" s="83">
        <v>0</v>
      </c>
      <c r="F21" s="84">
        <v>1</v>
      </c>
      <c r="G21" s="82">
        <v>0</v>
      </c>
      <c r="H21" s="61">
        <v>41861</v>
      </c>
      <c r="I21" s="85" t="s">
        <v>42</v>
      </c>
      <c r="J21" s="61">
        <v>41890</v>
      </c>
      <c r="K21" s="60" t="s">
        <v>63</v>
      </c>
    </row>
    <row r="22" spans="1:11" hidden="1" x14ac:dyDescent="0.2">
      <c r="A22" s="79" t="s">
        <v>513</v>
      </c>
      <c r="B22" s="80">
        <v>7.2</v>
      </c>
      <c r="C22" s="81">
        <v>0</v>
      </c>
      <c r="D22" s="82">
        <v>1</v>
      </c>
      <c r="E22" s="83">
        <v>0</v>
      </c>
      <c r="F22" s="84">
        <v>1</v>
      </c>
      <c r="G22" s="82">
        <v>0</v>
      </c>
      <c r="H22" s="61">
        <v>41861</v>
      </c>
      <c r="I22" s="85" t="s">
        <v>42</v>
      </c>
      <c r="J22" s="61">
        <v>41891</v>
      </c>
      <c r="K22" s="60" t="s">
        <v>63</v>
      </c>
    </row>
    <row r="23" spans="1:11" hidden="1" x14ac:dyDescent="0.2">
      <c r="A23" s="79" t="s">
        <v>514</v>
      </c>
      <c r="B23" s="80">
        <v>35.200000000000003</v>
      </c>
      <c r="C23" s="81">
        <v>0</v>
      </c>
      <c r="D23" s="82">
        <v>1</v>
      </c>
      <c r="E23" s="83">
        <v>0</v>
      </c>
      <c r="F23" s="84">
        <v>1</v>
      </c>
      <c r="G23" s="82">
        <v>0</v>
      </c>
      <c r="H23" s="61">
        <v>41861</v>
      </c>
      <c r="I23" s="85" t="s">
        <v>42</v>
      </c>
      <c r="J23" s="61">
        <v>41891</v>
      </c>
      <c r="K23" s="60" t="s">
        <v>63</v>
      </c>
    </row>
    <row r="24" spans="1:11" x14ac:dyDescent="0.2">
      <c r="A24" s="79" t="s">
        <v>41</v>
      </c>
      <c r="B24" s="80">
        <v>10</v>
      </c>
      <c r="C24" s="81">
        <v>1</v>
      </c>
      <c r="D24" s="82">
        <v>0</v>
      </c>
      <c r="E24" s="83">
        <v>0</v>
      </c>
      <c r="F24" s="84">
        <v>0</v>
      </c>
      <c r="G24" s="83">
        <v>1</v>
      </c>
      <c r="H24" s="61">
        <v>41892</v>
      </c>
      <c r="I24" s="85" t="s">
        <v>42</v>
      </c>
      <c r="J24" s="61">
        <v>41892</v>
      </c>
      <c r="K24" s="60" t="s">
        <v>43</v>
      </c>
    </row>
    <row r="25" spans="1:11" hidden="1" x14ac:dyDescent="0.2">
      <c r="A25" s="79" t="s">
        <v>82</v>
      </c>
      <c r="B25" s="80">
        <v>26.9</v>
      </c>
      <c r="C25" s="81">
        <v>0</v>
      </c>
      <c r="D25" s="82">
        <v>1</v>
      </c>
      <c r="E25" s="83">
        <v>0</v>
      </c>
      <c r="F25" s="84">
        <v>1</v>
      </c>
      <c r="G25" s="82">
        <v>0</v>
      </c>
      <c r="H25" s="61">
        <v>41892</v>
      </c>
      <c r="I25" s="85" t="s">
        <v>42</v>
      </c>
      <c r="J25" s="61">
        <v>41892</v>
      </c>
      <c r="K25" s="60" t="s">
        <v>63</v>
      </c>
    </row>
    <row r="26" spans="1:11" hidden="1" x14ac:dyDescent="0.2">
      <c r="A26" s="79" t="s">
        <v>515</v>
      </c>
      <c r="B26" s="80">
        <v>12.52</v>
      </c>
      <c r="C26" s="81">
        <v>0</v>
      </c>
      <c r="D26" s="82">
        <v>1</v>
      </c>
      <c r="E26" s="83">
        <v>0</v>
      </c>
      <c r="F26" s="84">
        <v>1</v>
      </c>
      <c r="G26" s="82">
        <v>0</v>
      </c>
      <c r="H26" s="61">
        <v>41892</v>
      </c>
      <c r="I26" s="85" t="s">
        <v>42</v>
      </c>
      <c r="J26" s="61">
        <v>41892</v>
      </c>
      <c r="K26" s="60" t="s">
        <v>73</v>
      </c>
    </row>
    <row r="27" spans="1:11" hidden="1" x14ac:dyDescent="0.2">
      <c r="A27" s="79" t="s">
        <v>516</v>
      </c>
      <c r="B27" s="80">
        <v>12.66</v>
      </c>
      <c r="C27" s="81">
        <v>0</v>
      </c>
      <c r="D27" s="82">
        <v>1</v>
      </c>
      <c r="E27" s="83">
        <v>0</v>
      </c>
      <c r="F27" s="84">
        <v>1</v>
      </c>
      <c r="G27" s="82">
        <v>0</v>
      </c>
      <c r="H27" s="61">
        <v>41892</v>
      </c>
      <c r="I27" s="85" t="s">
        <v>42</v>
      </c>
      <c r="J27" s="61">
        <v>41893</v>
      </c>
      <c r="K27" s="60" t="s">
        <v>63</v>
      </c>
    </row>
    <row r="28" spans="1:11" hidden="1" x14ac:dyDescent="0.2">
      <c r="A28" s="79" t="s">
        <v>517</v>
      </c>
      <c r="B28" s="80">
        <v>21.5</v>
      </c>
      <c r="C28" s="81">
        <v>0</v>
      </c>
      <c r="D28" s="82">
        <v>1</v>
      </c>
      <c r="E28" s="83">
        <v>0</v>
      </c>
      <c r="F28" s="84">
        <v>1</v>
      </c>
      <c r="G28" s="82">
        <v>0</v>
      </c>
      <c r="H28" s="61">
        <v>41892</v>
      </c>
      <c r="I28" s="85" t="s">
        <v>42</v>
      </c>
      <c r="J28" s="61">
        <v>41893</v>
      </c>
      <c r="K28" s="60" t="s">
        <v>63</v>
      </c>
    </row>
    <row r="29" spans="1:11" hidden="1" x14ac:dyDescent="0.2">
      <c r="A29" s="79" t="s">
        <v>518</v>
      </c>
      <c r="B29" s="80">
        <v>6.69</v>
      </c>
      <c r="C29" s="81">
        <v>0</v>
      </c>
      <c r="D29" s="82">
        <v>1</v>
      </c>
      <c r="E29" s="83">
        <v>0</v>
      </c>
      <c r="F29" s="84">
        <v>1</v>
      </c>
      <c r="G29" s="82">
        <v>0</v>
      </c>
      <c r="H29" s="61">
        <v>41892</v>
      </c>
      <c r="I29" s="85" t="s">
        <v>42</v>
      </c>
      <c r="J29" s="61">
        <v>41894</v>
      </c>
      <c r="K29" s="60" t="s">
        <v>63</v>
      </c>
    </row>
    <row r="30" spans="1:11" hidden="1" x14ac:dyDescent="0.2">
      <c r="A30" s="79" t="s">
        <v>519</v>
      </c>
      <c r="B30" s="80">
        <v>9.74</v>
      </c>
      <c r="C30" s="81">
        <v>0</v>
      </c>
      <c r="D30" s="82">
        <v>1</v>
      </c>
      <c r="E30" s="83">
        <v>0</v>
      </c>
      <c r="F30" s="84">
        <v>1</v>
      </c>
      <c r="G30" s="82">
        <v>0</v>
      </c>
      <c r="H30" s="61">
        <v>41892</v>
      </c>
      <c r="I30" s="85" t="s">
        <v>42</v>
      </c>
      <c r="J30" s="61">
        <v>41893</v>
      </c>
      <c r="K30" s="60" t="s">
        <v>73</v>
      </c>
    </row>
    <row r="31" spans="1:11" hidden="1" x14ac:dyDescent="0.2">
      <c r="A31" s="88" t="s">
        <v>520</v>
      </c>
      <c r="B31" s="89">
        <v>8.98</v>
      </c>
      <c r="C31" s="81">
        <v>0</v>
      </c>
      <c r="D31" s="81">
        <v>1</v>
      </c>
      <c r="E31" s="90">
        <v>0</v>
      </c>
      <c r="F31" s="90">
        <v>1</v>
      </c>
      <c r="G31" s="81">
        <v>0</v>
      </c>
      <c r="H31" s="91">
        <v>41892</v>
      </c>
      <c r="I31" s="91" t="s">
        <v>42</v>
      </c>
      <c r="J31" s="91">
        <v>41893</v>
      </c>
      <c r="K31" s="92" t="s">
        <v>73</v>
      </c>
    </row>
    <row r="32" spans="1:11" x14ac:dyDescent="0.2">
      <c r="A32" s="88" t="s">
        <v>41</v>
      </c>
      <c r="B32" s="89">
        <v>100</v>
      </c>
      <c r="C32" s="81">
        <v>1</v>
      </c>
      <c r="D32" s="81">
        <v>0</v>
      </c>
      <c r="E32" s="90">
        <v>0</v>
      </c>
      <c r="F32" s="90">
        <v>0</v>
      </c>
      <c r="G32" s="90">
        <v>1</v>
      </c>
      <c r="H32" s="91">
        <v>41892</v>
      </c>
      <c r="I32" s="91" t="s">
        <v>42</v>
      </c>
      <c r="J32" s="91">
        <v>41894</v>
      </c>
      <c r="K32" s="92" t="s">
        <v>43</v>
      </c>
    </row>
    <row r="33" spans="1:11" x14ac:dyDescent="0.2">
      <c r="A33" s="88" t="s">
        <v>521</v>
      </c>
      <c r="B33" s="89">
        <v>10</v>
      </c>
      <c r="C33" s="81">
        <v>0</v>
      </c>
      <c r="D33" s="81">
        <v>1</v>
      </c>
      <c r="E33" s="90">
        <v>0</v>
      </c>
      <c r="F33" s="90">
        <v>0</v>
      </c>
      <c r="G33" s="90">
        <v>1</v>
      </c>
      <c r="H33" s="91">
        <v>41892</v>
      </c>
      <c r="I33" s="91" t="s">
        <v>42</v>
      </c>
      <c r="J33" s="91">
        <v>41894</v>
      </c>
      <c r="K33" s="92" t="s">
        <v>73</v>
      </c>
    </row>
    <row r="34" spans="1:11" hidden="1" x14ac:dyDescent="0.2">
      <c r="A34" s="88" t="s">
        <v>191</v>
      </c>
      <c r="B34" s="89">
        <v>60</v>
      </c>
      <c r="C34" s="81">
        <v>1</v>
      </c>
      <c r="D34" s="81">
        <v>0</v>
      </c>
      <c r="E34" s="90">
        <v>0</v>
      </c>
      <c r="F34" s="90">
        <v>1</v>
      </c>
      <c r="G34" s="81">
        <v>0</v>
      </c>
      <c r="H34" s="91">
        <v>41892</v>
      </c>
      <c r="I34" s="91" t="s">
        <v>33</v>
      </c>
      <c r="J34" s="91">
        <v>41895</v>
      </c>
      <c r="K34" s="92" t="s">
        <v>43</v>
      </c>
    </row>
    <row r="35" spans="1:11" hidden="1" x14ac:dyDescent="0.2">
      <c r="A35" s="88" t="s">
        <v>82</v>
      </c>
      <c r="B35" s="89">
        <v>24.7</v>
      </c>
      <c r="C35" s="81">
        <v>0</v>
      </c>
      <c r="D35" s="81">
        <v>1</v>
      </c>
      <c r="E35" s="90">
        <v>0</v>
      </c>
      <c r="F35" s="90">
        <v>1</v>
      </c>
      <c r="G35" s="81">
        <v>0</v>
      </c>
      <c r="H35" s="91">
        <v>41892</v>
      </c>
      <c r="I35" s="91" t="s">
        <v>42</v>
      </c>
      <c r="J35" s="91">
        <v>41894</v>
      </c>
      <c r="K35" s="92" t="s">
        <v>63</v>
      </c>
    </row>
    <row r="36" spans="1:11" hidden="1" x14ac:dyDescent="0.2">
      <c r="A36" s="88" t="s">
        <v>522</v>
      </c>
      <c r="B36" s="93">
        <v>117.92</v>
      </c>
      <c r="C36" s="81">
        <v>0</v>
      </c>
      <c r="D36" s="81">
        <v>1</v>
      </c>
      <c r="E36" s="90">
        <v>0</v>
      </c>
      <c r="F36" s="90">
        <v>1</v>
      </c>
      <c r="G36" s="81">
        <v>0</v>
      </c>
      <c r="H36" s="91">
        <v>41892</v>
      </c>
      <c r="I36" s="91" t="s">
        <v>33</v>
      </c>
      <c r="J36" s="91">
        <v>41895</v>
      </c>
      <c r="K36" s="92" t="s">
        <v>63</v>
      </c>
    </row>
    <row r="37" spans="1:11" hidden="1" x14ac:dyDescent="0.2">
      <c r="A37" s="88" t="s">
        <v>523</v>
      </c>
      <c r="B37" s="89">
        <v>41.5</v>
      </c>
      <c r="C37" s="81">
        <v>0</v>
      </c>
      <c r="D37" s="81">
        <v>1</v>
      </c>
      <c r="E37" s="90">
        <v>0</v>
      </c>
      <c r="F37" s="90">
        <v>1</v>
      </c>
      <c r="G37" s="81">
        <v>0</v>
      </c>
      <c r="H37" s="91">
        <v>41892</v>
      </c>
      <c r="I37" s="91" t="s">
        <v>33</v>
      </c>
      <c r="J37" s="91">
        <v>41895</v>
      </c>
      <c r="K37" s="92" t="s">
        <v>63</v>
      </c>
    </row>
    <row r="38" spans="1:11" hidden="1" x14ac:dyDescent="0.2">
      <c r="A38" s="88" t="s">
        <v>60</v>
      </c>
      <c r="B38" s="89">
        <v>300</v>
      </c>
      <c r="C38" s="81">
        <v>0</v>
      </c>
      <c r="D38" s="81">
        <v>1</v>
      </c>
      <c r="E38" s="90">
        <v>0</v>
      </c>
      <c r="F38" s="90">
        <v>1</v>
      </c>
      <c r="G38" s="81">
        <v>0</v>
      </c>
      <c r="H38" s="91">
        <v>41892</v>
      </c>
      <c r="I38" s="91" t="s">
        <v>33</v>
      </c>
      <c r="J38" s="91">
        <v>41895</v>
      </c>
      <c r="K38" s="92" t="s">
        <v>63</v>
      </c>
    </row>
    <row r="39" spans="1:11" hidden="1" x14ac:dyDescent="0.2">
      <c r="A39" s="88" t="s">
        <v>73</v>
      </c>
      <c r="B39" s="89">
        <v>13.45</v>
      </c>
      <c r="C39" s="81">
        <v>0</v>
      </c>
      <c r="D39" s="81">
        <v>1</v>
      </c>
      <c r="E39" s="90">
        <v>0</v>
      </c>
      <c r="F39" s="90">
        <v>1</v>
      </c>
      <c r="G39" s="81">
        <v>0</v>
      </c>
      <c r="H39" s="91">
        <v>41892</v>
      </c>
      <c r="I39" s="91" t="s">
        <v>33</v>
      </c>
      <c r="J39" s="91">
        <v>41895</v>
      </c>
      <c r="K39" s="92" t="s">
        <v>73</v>
      </c>
    </row>
    <row r="40" spans="1:11" x14ac:dyDescent="0.2">
      <c r="A40" s="88" t="s">
        <v>232</v>
      </c>
      <c r="B40" s="89">
        <v>14</v>
      </c>
      <c r="C40" s="81">
        <v>0</v>
      </c>
      <c r="D40" s="81">
        <v>1</v>
      </c>
      <c r="E40" s="90">
        <v>0</v>
      </c>
      <c r="F40" s="90">
        <v>0</v>
      </c>
      <c r="G40" s="81">
        <v>1</v>
      </c>
      <c r="H40" s="91">
        <v>41892</v>
      </c>
      <c r="I40" s="91" t="s">
        <v>33</v>
      </c>
      <c r="J40" s="91">
        <v>41896</v>
      </c>
      <c r="K40" s="92" t="s">
        <v>501</v>
      </c>
    </row>
    <row r="41" spans="1:11" x14ac:dyDescent="0.2">
      <c r="A41" s="88" t="s">
        <v>524</v>
      </c>
      <c r="B41" s="89">
        <v>5</v>
      </c>
      <c r="C41" s="81">
        <v>0</v>
      </c>
      <c r="D41" s="81">
        <v>1</v>
      </c>
      <c r="E41" s="90">
        <v>0</v>
      </c>
      <c r="F41" s="90">
        <v>0</v>
      </c>
      <c r="G41" s="81">
        <v>1</v>
      </c>
      <c r="H41" s="91">
        <v>41892</v>
      </c>
      <c r="I41" s="91" t="s">
        <v>81</v>
      </c>
      <c r="J41" s="91">
        <v>41898</v>
      </c>
      <c r="K41" s="92" t="s">
        <v>63</v>
      </c>
    </row>
    <row r="42" spans="1:11" x14ac:dyDescent="0.2">
      <c r="A42" s="88" t="s">
        <v>89</v>
      </c>
      <c r="B42" s="89">
        <v>10</v>
      </c>
      <c r="C42" s="81">
        <v>0</v>
      </c>
      <c r="D42" s="81">
        <v>1</v>
      </c>
      <c r="E42" s="90">
        <v>0</v>
      </c>
      <c r="F42" s="90">
        <v>0</v>
      </c>
      <c r="G42" s="81">
        <v>1</v>
      </c>
      <c r="H42" s="91">
        <v>41892</v>
      </c>
      <c r="I42" s="91" t="s">
        <v>81</v>
      </c>
      <c r="J42" s="91">
        <v>41899</v>
      </c>
      <c r="K42" s="92" t="s">
        <v>501</v>
      </c>
    </row>
    <row r="43" spans="1:11" x14ac:dyDescent="0.2">
      <c r="A43" s="94" t="s">
        <v>525</v>
      </c>
      <c r="B43" s="89">
        <v>347.25</v>
      </c>
      <c r="C43" s="81">
        <v>1</v>
      </c>
      <c r="D43" s="81">
        <v>0</v>
      </c>
      <c r="E43" s="90">
        <v>0</v>
      </c>
      <c r="F43" s="90">
        <v>0</v>
      </c>
      <c r="G43" s="81">
        <v>1</v>
      </c>
      <c r="H43" s="91">
        <v>41892</v>
      </c>
      <c r="I43" s="60" t="s">
        <v>27</v>
      </c>
      <c r="J43" s="91">
        <v>41892</v>
      </c>
      <c r="K43" s="92" t="s">
        <v>526</v>
      </c>
    </row>
    <row r="44" spans="1:11" x14ac:dyDescent="0.2">
      <c r="A44" s="94" t="s">
        <v>45</v>
      </c>
      <c r="B44" s="89">
        <v>88.94</v>
      </c>
      <c r="C44" s="81">
        <v>1</v>
      </c>
      <c r="D44" s="81">
        <v>0</v>
      </c>
      <c r="E44" s="90">
        <v>0</v>
      </c>
      <c r="F44" s="90">
        <v>0</v>
      </c>
      <c r="G44" s="81">
        <v>1</v>
      </c>
      <c r="H44" s="91">
        <v>41892</v>
      </c>
      <c r="I44" s="60" t="s">
        <v>27</v>
      </c>
      <c r="J44" s="91">
        <v>41892</v>
      </c>
      <c r="K44" s="92" t="s">
        <v>526</v>
      </c>
    </row>
    <row r="45" spans="1:11" x14ac:dyDescent="0.2">
      <c r="A45" s="88" t="s">
        <v>32</v>
      </c>
      <c r="B45" s="89">
        <v>237.49</v>
      </c>
      <c r="C45" s="81">
        <v>1</v>
      </c>
      <c r="D45" s="81">
        <v>0</v>
      </c>
      <c r="E45" s="90">
        <v>0</v>
      </c>
      <c r="F45" s="90">
        <v>0</v>
      </c>
      <c r="G45" s="81">
        <v>1</v>
      </c>
      <c r="H45" s="91">
        <v>41892</v>
      </c>
      <c r="I45" s="60" t="s">
        <v>27</v>
      </c>
      <c r="J45" s="91">
        <v>41892</v>
      </c>
      <c r="K45" s="92" t="s">
        <v>526</v>
      </c>
    </row>
    <row r="46" spans="1:11" x14ac:dyDescent="0.2">
      <c r="A46" s="94" t="s">
        <v>527</v>
      </c>
      <c r="B46" s="95">
        <v>80</v>
      </c>
      <c r="C46" s="81">
        <v>1</v>
      </c>
      <c r="D46" s="81">
        <v>0</v>
      </c>
      <c r="E46" s="90">
        <v>0</v>
      </c>
      <c r="F46" s="90">
        <v>0</v>
      </c>
      <c r="G46" s="81">
        <v>1</v>
      </c>
      <c r="H46" s="91">
        <v>41892</v>
      </c>
      <c r="I46" s="60" t="s">
        <v>27</v>
      </c>
      <c r="J46" s="91">
        <v>41892</v>
      </c>
      <c r="K46" s="92" t="s">
        <v>526</v>
      </c>
    </row>
    <row r="47" spans="1:11" x14ac:dyDescent="0.2">
      <c r="A47" s="94" t="s">
        <v>32</v>
      </c>
      <c r="B47" s="89">
        <v>164.8</v>
      </c>
      <c r="C47" s="81">
        <v>1</v>
      </c>
      <c r="D47" s="81">
        <v>0</v>
      </c>
      <c r="E47" s="90">
        <v>0</v>
      </c>
      <c r="F47" s="90">
        <v>0</v>
      </c>
      <c r="G47" s="81">
        <v>1</v>
      </c>
      <c r="H47" s="91">
        <v>41892</v>
      </c>
      <c r="I47" s="60" t="s">
        <v>27</v>
      </c>
      <c r="J47" s="91">
        <v>41892</v>
      </c>
      <c r="K47" s="92" t="s">
        <v>526</v>
      </c>
    </row>
    <row r="48" spans="1:11" x14ac:dyDescent="0.2">
      <c r="A48" s="94" t="s">
        <v>528</v>
      </c>
      <c r="B48" s="96">
        <v>501.76</v>
      </c>
      <c r="C48" s="81">
        <v>1</v>
      </c>
      <c r="D48" s="81">
        <v>0</v>
      </c>
      <c r="E48" s="90">
        <v>0</v>
      </c>
      <c r="F48" s="90">
        <v>0</v>
      </c>
      <c r="G48" s="81">
        <v>1</v>
      </c>
      <c r="H48" s="91">
        <v>41892</v>
      </c>
      <c r="I48" s="60" t="s">
        <v>27</v>
      </c>
      <c r="J48" s="91">
        <v>41892</v>
      </c>
      <c r="K48" s="92" t="s">
        <v>526</v>
      </c>
    </row>
    <row r="49" spans="1:11" x14ac:dyDescent="0.2">
      <c r="A49" s="94" t="s">
        <v>529</v>
      </c>
      <c r="B49" s="96">
        <v>38.5</v>
      </c>
      <c r="C49" s="81">
        <v>1</v>
      </c>
      <c r="D49" s="81">
        <v>0</v>
      </c>
      <c r="E49" s="90">
        <v>0</v>
      </c>
      <c r="F49" s="90">
        <v>0</v>
      </c>
      <c r="G49" s="81">
        <v>1</v>
      </c>
      <c r="H49" s="91">
        <v>41892</v>
      </c>
      <c r="I49" s="60" t="s">
        <v>27</v>
      </c>
      <c r="J49" s="91">
        <v>41892</v>
      </c>
      <c r="K49" s="92" t="s">
        <v>526</v>
      </c>
    </row>
    <row r="50" spans="1:11" x14ac:dyDescent="0.2">
      <c r="A50" s="94" t="s">
        <v>530</v>
      </c>
      <c r="B50" s="96">
        <v>282.25</v>
      </c>
      <c r="C50" s="81">
        <v>1</v>
      </c>
      <c r="D50" s="81">
        <v>0</v>
      </c>
      <c r="E50" s="90">
        <v>0</v>
      </c>
      <c r="F50" s="90">
        <v>0</v>
      </c>
      <c r="G50" s="81">
        <v>1</v>
      </c>
      <c r="H50" s="91">
        <v>41892</v>
      </c>
      <c r="I50" s="60" t="s">
        <v>27</v>
      </c>
      <c r="J50" s="91">
        <v>41892</v>
      </c>
      <c r="K50" s="92" t="s">
        <v>526</v>
      </c>
    </row>
    <row r="51" spans="1:11" x14ac:dyDescent="0.2">
      <c r="A51" s="94" t="s">
        <v>127</v>
      </c>
      <c r="B51" s="97">
        <v>40.78</v>
      </c>
      <c r="C51" s="81">
        <v>1</v>
      </c>
      <c r="D51" s="81">
        <v>0</v>
      </c>
      <c r="E51" s="90">
        <v>0</v>
      </c>
      <c r="F51" s="90">
        <v>0</v>
      </c>
      <c r="G51" s="81">
        <v>1</v>
      </c>
      <c r="H51" s="91">
        <v>41892</v>
      </c>
      <c r="I51" s="60" t="s">
        <v>27</v>
      </c>
      <c r="J51" s="91">
        <v>41892</v>
      </c>
      <c r="K51" s="92" t="s">
        <v>526</v>
      </c>
    </row>
    <row r="52" spans="1:11" x14ac:dyDescent="0.2">
      <c r="A52" s="88" t="s">
        <v>29</v>
      </c>
      <c r="B52" s="95">
        <v>50</v>
      </c>
      <c r="C52" s="81">
        <v>1</v>
      </c>
      <c r="D52" s="81">
        <v>0</v>
      </c>
      <c r="E52" s="90">
        <v>0</v>
      </c>
      <c r="F52" s="90">
        <v>0</v>
      </c>
      <c r="G52" s="81">
        <v>1</v>
      </c>
      <c r="H52" s="91">
        <v>41892</v>
      </c>
      <c r="I52" s="60" t="s">
        <v>27</v>
      </c>
      <c r="J52" s="91">
        <v>41892</v>
      </c>
      <c r="K52" s="92" t="s">
        <v>526</v>
      </c>
    </row>
    <row r="53" spans="1:11" x14ac:dyDescent="0.2">
      <c r="A53" s="98" t="s">
        <v>30</v>
      </c>
      <c r="B53" s="97">
        <v>51.9</v>
      </c>
      <c r="C53" s="81">
        <v>1</v>
      </c>
      <c r="D53" s="81">
        <v>0</v>
      </c>
      <c r="E53" s="90">
        <v>0</v>
      </c>
      <c r="F53" s="90">
        <v>0</v>
      </c>
      <c r="G53" s="81">
        <v>1</v>
      </c>
      <c r="H53" s="91">
        <v>41892</v>
      </c>
      <c r="I53" s="60" t="s">
        <v>27</v>
      </c>
      <c r="J53" s="91">
        <v>41892</v>
      </c>
      <c r="K53" s="92" t="s">
        <v>526</v>
      </c>
    </row>
    <row r="54" spans="1:11" x14ac:dyDescent="0.2">
      <c r="A54" s="98" t="s">
        <v>48</v>
      </c>
      <c r="B54" s="97">
        <v>41</v>
      </c>
      <c r="C54" s="81">
        <v>1</v>
      </c>
      <c r="D54" s="81">
        <v>0</v>
      </c>
      <c r="E54" s="90">
        <v>0</v>
      </c>
      <c r="F54" s="90">
        <v>0</v>
      </c>
      <c r="G54" s="81">
        <v>1</v>
      </c>
      <c r="H54" s="91">
        <v>41892</v>
      </c>
      <c r="I54" s="60" t="s">
        <v>27</v>
      </c>
      <c r="J54" s="91">
        <v>41892</v>
      </c>
      <c r="K54" s="92" t="s">
        <v>526</v>
      </c>
    </row>
    <row r="55" spans="1:11" x14ac:dyDescent="0.2">
      <c r="A55" s="94" t="s">
        <v>26</v>
      </c>
      <c r="B55" s="97">
        <v>4.99</v>
      </c>
      <c r="C55" s="81">
        <v>1</v>
      </c>
      <c r="D55" s="81">
        <v>0</v>
      </c>
      <c r="E55" s="90">
        <v>0</v>
      </c>
      <c r="F55" s="90">
        <v>0</v>
      </c>
      <c r="G55" s="81">
        <v>1</v>
      </c>
      <c r="H55" s="91">
        <v>41892</v>
      </c>
      <c r="I55" s="60" t="s">
        <v>27</v>
      </c>
      <c r="J55" s="91">
        <v>41892</v>
      </c>
      <c r="K55" s="92" t="s">
        <v>526</v>
      </c>
    </row>
    <row r="56" spans="1:11" x14ac:dyDescent="0.2">
      <c r="A56" s="94" t="s">
        <v>531</v>
      </c>
      <c r="B56" s="95">
        <v>400</v>
      </c>
      <c r="C56" s="81">
        <v>1</v>
      </c>
      <c r="D56" s="81">
        <v>0</v>
      </c>
      <c r="E56" s="90">
        <v>1</v>
      </c>
      <c r="F56" s="90">
        <v>0</v>
      </c>
      <c r="G56" s="81">
        <v>1</v>
      </c>
      <c r="H56" s="91">
        <v>41922</v>
      </c>
      <c r="I56" s="60" t="s">
        <v>27</v>
      </c>
      <c r="J56" s="91">
        <v>41922</v>
      </c>
      <c r="K56" s="92" t="s">
        <v>526</v>
      </c>
    </row>
    <row r="57" spans="1:11" x14ac:dyDescent="0.2">
      <c r="A57" s="94" t="s">
        <v>37</v>
      </c>
      <c r="B57" s="89">
        <v>120</v>
      </c>
      <c r="C57" s="81">
        <v>1</v>
      </c>
      <c r="D57" s="81">
        <v>0</v>
      </c>
      <c r="E57" s="90">
        <v>0</v>
      </c>
      <c r="F57" s="90">
        <v>0</v>
      </c>
      <c r="G57" s="81">
        <v>1</v>
      </c>
      <c r="H57" s="91">
        <v>41892</v>
      </c>
      <c r="I57" s="60" t="s">
        <v>27</v>
      </c>
      <c r="J57" s="91">
        <v>41892</v>
      </c>
      <c r="K57" s="92" t="s">
        <v>526</v>
      </c>
    </row>
    <row r="58" spans="1:11" x14ac:dyDescent="0.2">
      <c r="A58" s="94" t="s">
        <v>35</v>
      </c>
      <c r="B58" s="99">
        <v>536.46</v>
      </c>
      <c r="C58" s="81">
        <v>1</v>
      </c>
      <c r="D58" s="81">
        <v>0</v>
      </c>
      <c r="E58" s="90">
        <v>0</v>
      </c>
      <c r="F58" s="90">
        <v>0</v>
      </c>
      <c r="G58" s="81">
        <v>1</v>
      </c>
      <c r="H58" s="91">
        <v>41892</v>
      </c>
      <c r="I58" s="60" t="s">
        <v>27</v>
      </c>
      <c r="J58" s="91">
        <v>41892</v>
      </c>
      <c r="K58" s="92" t="s">
        <v>526</v>
      </c>
    </row>
    <row r="59" spans="1:11" x14ac:dyDescent="0.2">
      <c r="A59" s="94" t="s">
        <v>46</v>
      </c>
      <c r="B59" s="95">
        <v>2445.1999999999998</v>
      </c>
      <c r="C59" s="81">
        <v>1</v>
      </c>
      <c r="D59" s="81">
        <v>0</v>
      </c>
      <c r="E59" s="90">
        <v>0</v>
      </c>
      <c r="F59" s="90">
        <v>0</v>
      </c>
      <c r="G59" s="81">
        <v>1</v>
      </c>
      <c r="H59" s="91">
        <v>41892</v>
      </c>
      <c r="I59" s="60" t="s">
        <v>27</v>
      </c>
      <c r="J59" s="91">
        <v>41892</v>
      </c>
      <c r="K59" s="92" t="s">
        <v>526</v>
      </c>
    </row>
    <row r="60" spans="1:11" x14ac:dyDescent="0.2">
      <c r="A60" s="94" t="s">
        <v>531</v>
      </c>
      <c r="B60" s="95">
        <v>400</v>
      </c>
      <c r="C60" s="90">
        <v>1</v>
      </c>
      <c r="D60" s="90">
        <v>0</v>
      </c>
      <c r="E60" s="90">
        <v>0</v>
      </c>
      <c r="F60" s="90">
        <v>0</v>
      </c>
      <c r="G60" s="90">
        <v>1</v>
      </c>
      <c r="H60" s="91">
        <v>41892</v>
      </c>
      <c r="I60" s="60" t="s">
        <v>27</v>
      </c>
      <c r="J60" s="91">
        <v>41892</v>
      </c>
      <c r="K60" s="92" t="s">
        <v>526</v>
      </c>
    </row>
    <row r="61" spans="1:11" x14ac:dyDescent="0.2">
      <c r="A61" s="94" t="s">
        <v>525</v>
      </c>
      <c r="B61" s="80">
        <v>365.57</v>
      </c>
      <c r="C61" s="90">
        <v>1</v>
      </c>
      <c r="D61" s="83">
        <v>0</v>
      </c>
      <c r="E61" s="83">
        <v>1</v>
      </c>
      <c r="F61" s="83">
        <v>0</v>
      </c>
      <c r="G61" s="83" t="e">
        <f>#N/A</f>
        <v>#N/A</v>
      </c>
      <c r="H61" s="91">
        <v>41922</v>
      </c>
      <c r="I61" s="60" t="s">
        <v>27</v>
      </c>
      <c r="J61" s="91">
        <v>41922</v>
      </c>
      <c r="K61" s="92" t="s">
        <v>526</v>
      </c>
    </row>
    <row r="62" spans="1:11" hidden="1" x14ac:dyDescent="0.2">
      <c r="A62" s="94" t="s">
        <v>191</v>
      </c>
      <c r="B62" s="86">
        <v>60</v>
      </c>
      <c r="C62" s="90">
        <v>1</v>
      </c>
      <c r="D62" s="83">
        <v>0</v>
      </c>
      <c r="E62" s="83">
        <v>0</v>
      </c>
      <c r="F62" s="83">
        <v>1</v>
      </c>
      <c r="G62" s="83" t="e">
        <f>#N/A</f>
        <v>#N/A</v>
      </c>
      <c r="H62" s="61">
        <v>41892</v>
      </c>
      <c r="I62" s="60" t="s">
        <v>33</v>
      </c>
      <c r="J62" s="61">
        <v>41902</v>
      </c>
      <c r="K62" s="60" t="s">
        <v>43</v>
      </c>
    </row>
    <row r="63" spans="1:11" hidden="1" x14ac:dyDescent="0.2">
      <c r="A63" s="94" t="s">
        <v>532</v>
      </c>
      <c r="B63" s="86">
        <v>6</v>
      </c>
      <c r="C63" s="90">
        <v>0</v>
      </c>
      <c r="D63" s="83">
        <v>1</v>
      </c>
      <c r="E63" s="83">
        <v>0</v>
      </c>
      <c r="F63" s="83">
        <v>1</v>
      </c>
      <c r="G63" s="83" t="e">
        <f>#N/A</f>
        <v>#N/A</v>
      </c>
      <c r="H63" s="61">
        <v>41892</v>
      </c>
      <c r="I63" s="91" t="s">
        <v>81</v>
      </c>
      <c r="J63" s="61">
        <v>41901</v>
      </c>
      <c r="K63" s="60" t="s">
        <v>63</v>
      </c>
    </row>
    <row r="64" spans="1:11" hidden="1" x14ac:dyDescent="0.2">
      <c r="A64" s="94" t="s">
        <v>533</v>
      </c>
      <c r="B64" s="86">
        <v>190</v>
      </c>
      <c r="C64" s="90">
        <v>0</v>
      </c>
      <c r="D64" s="83">
        <v>1</v>
      </c>
      <c r="E64" s="83">
        <v>0</v>
      </c>
      <c r="F64" s="83">
        <v>1</v>
      </c>
      <c r="G64" s="83" t="e">
        <f>#N/A</f>
        <v>#N/A</v>
      </c>
      <c r="H64" s="61">
        <v>41892</v>
      </c>
      <c r="I64" s="60" t="s">
        <v>33</v>
      </c>
      <c r="J64" s="61">
        <v>41902</v>
      </c>
      <c r="K64" s="60" t="s">
        <v>501</v>
      </c>
    </row>
    <row r="65" spans="1:11" hidden="1" x14ac:dyDescent="0.2">
      <c r="A65" s="94" t="s">
        <v>533</v>
      </c>
      <c r="B65" s="86">
        <v>190</v>
      </c>
      <c r="C65" s="90">
        <v>0</v>
      </c>
      <c r="D65" s="83">
        <v>1</v>
      </c>
      <c r="E65" s="83">
        <v>0</v>
      </c>
      <c r="F65" s="83">
        <v>1</v>
      </c>
      <c r="G65" s="83" t="e">
        <f>#N/A</f>
        <v>#N/A</v>
      </c>
      <c r="H65" s="61">
        <v>41922</v>
      </c>
      <c r="I65" s="60" t="s">
        <v>33</v>
      </c>
      <c r="J65" s="61">
        <v>41902</v>
      </c>
      <c r="K65" s="60" t="s">
        <v>501</v>
      </c>
    </row>
    <row r="66" spans="1:11" hidden="1" x14ac:dyDescent="0.2">
      <c r="A66" s="94" t="s">
        <v>534</v>
      </c>
      <c r="B66" s="86">
        <v>4.1100000000000003</v>
      </c>
      <c r="C66" s="90">
        <v>0</v>
      </c>
      <c r="D66" s="83">
        <v>1</v>
      </c>
      <c r="E66" s="83">
        <v>0</v>
      </c>
      <c r="F66" s="83">
        <v>1</v>
      </c>
      <c r="G66" s="83" t="e">
        <f>#N/A</f>
        <v>#N/A</v>
      </c>
      <c r="H66" s="61">
        <v>41892</v>
      </c>
      <c r="I66" s="60" t="s">
        <v>33</v>
      </c>
      <c r="J66" s="61">
        <v>41902</v>
      </c>
      <c r="K66" s="60" t="s">
        <v>63</v>
      </c>
    </row>
    <row r="67" spans="1:11" hidden="1" x14ac:dyDescent="0.2">
      <c r="A67" s="94" t="s">
        <v>223</v>
      </c>
      <c r="B67" s="86">
        <v>10.26</v>
      </c>
      <c r="C67" s="90">
        <v>0</v>
      </c>
      <c r="D67" s="83">
        <v>1</v>
      </c>
      <c r="E67" s="83">
        <v>0</v>
      </c>
      <c r="F67" s="83">
        <v>1</v>
      </c>
      <c r="G67" s="83" t="e">
        <f>#N/A</f>
        <v>#N/A</v>
      </c>
      <c r="H67" s="61">
        <v>41892</v>
      </c>
      <c r="I67" s="60" t="s">
        <v>33</v>
      </c>
      <c r="J67" s="61">
        <v>41902</v>
      </c>
      <c r="K67" s="60" t="s">
        <v>63</v>
      </c>
    </row>
    <row r="68" spans="1:11" hidden="1" x14ac:dyDescent="0.2">
      <c r="A68" s="94" t="s">
        <v>535</v>
      </c>
      <c r="B68" s="86">
        <v>2.2000000000000002</v>
      </c>
      <c r="C68" s="90">
        <v>0</v>
      </c>
      <c r="D68" s="83">
        <v>1</v>
      </c>
      <c r="E68" s="83">
        <v>0</v>
      </c>
      <c r="F68" s="83">
        <v>1</v>
      </c>
      <c r="G68" s="83" t="e">
        <f>#N/A</f>
        <v>#N/A</v>
      </c>
      <c r="H68" s="61">
        <v>41892</v>
      </c>
      <c r="I68" s="60" t="s">
        <v>33</v>
      </c>
      <c r="J68" s="61">
        <v>41902</v>
      </c>
      <c r="K68" s="60" t="s">
        <v>63</v>
      </c>
    </row>
    <row r="69" spans="1:11" x14ac:dyDescent="0.2">
      <c r="A69" s="94" t="s">
        <v>71</v>
      </c>
      <c r="B69" s="86">
        <v>30</v>
      </c>
      <c r="C69" s="90">
        <v>0</v>
      </c>
      <c r="D69" s="83">
        <v>1</v>
      </c>
      <c r="E69" s="83">
        <v>0</v>
      </c>
      <c r="F69" s="83">
        <v>0</v>
      </c>
      <c r="G69" s="83" t="e">
        <f>#N/A</f>
        <v>#N/A</v>
      </c>
      <c r="H69" s="61">
        <v>41892</v>
      </c>
      <c r="I69" s="60" t="s">
        <v>33</v>
      </c>
      <c r="J69" s="61">
        <v>41902</v>
      </c>
      <c r="K69" s="60" t="s">
        <v>501</v>
      </c>
    </row>
    <row r="70" spans="1:11" x14ac:dyDescent="0.2">
      <c r="A70" s="94" t="s">
        <v>46</v>
      </c>
      <c r="B70" s="86">
        <v>1473.69</v>
      </c>
      <c r="C70" s="100">
        <v>1</v>
      </c>
      <c r="D70" s="101">
        <f>IF(C70=0,1,0)</f>
        <v>0</v>
      </c>
      <c r="E70" s="83">
        <v>1</v>
      </c>
      <c r="F70" s="83">
        <v>0</v>
      </c>
      <c r="G70" s="83" t="e">
        <f>#N/A</f>
        <v>#N/A</v>
      </c>
      <c r="H70" s="102"/>
      <c r="I70" s="60"/>
      <c r="J70" s="60"/>
      <c r="K70" s="60"/>
    </row>
    <row r="71" spans="1:11" hidden="1" x14ac:dyDescent="0.2">
      <c r="A71" s="103" t="s">
        <v>536</v>
      </c>
      <c r="B71" s="104">
        <v>66.5</v>
      </c>
      <c r="C71" s="100">
        <v>0</v>
      </c>
      <c r="D71" s="101">
        <f>IF(C71=0,1,0)</f>
        <v>1</v>
      </c>
      <c r="E71" s="83">
        <v>0</v>
      </c>
      <c r="F71" s="101">
        <v>1</v>
      </c>
      <c r="G71" s="83" t="e">
        <f>#N/A</f>
        <v>#N/A</v>
      </c>
      <c r="H71" s="102"/>
      <c r="I71" s="60"/>
      <c r="J71" s="60"/>
      <c r="K71" s="60"/>
    </row>
    <row r="72" spans="1:11" hidden="1" x14ac:dyDescent="0.2">
      <c r="A72" s="105" t="s">
        <v>537</v>
      </c>
      <c r="B72" s="104">
        <v>134.99</v>
      </c>
      <c r="C72" s="100">
        <v>0</v>
      </c>
      <c r="D72" s="101">
        <f>IF(C72=0,1,0)</f>
        <v>1</v>
      </c>
      <c r="E72" s="83">
        <v>0</v>
      </c>
      <c r="F72" s="101">
        <v>1</v>
      </c>
      <c r="G72" s="83" t="e">
        <f>#N/A</f>
        <v>#N/A</v>
      </c>
      <c r="H72" s="102"/>
      <c r="I72" s="60"/>
      <c r="J72" s="60"/>
      <c r="K72" s="60"/>
    </row>
    <row r="73" spans="1:11" hidden="1" x14ac:dyDescent="0.2">
      <c r="A73" s="105" t="s">
        <v>538</v>
      </c>
      <c r="B73" s="104">
        <v>195</v>
      </c>
      <c r="C73" s="100">
        <v>0</v>
      </c>
      <c r="D73" s="101">
        <f>IF(C73=0,1,0)</f>
        <v>1</v>
      </c>
      <c r="E73" s="83">
        <v>0</v>
      </c>
      <c r="F73" s="101">
        <v>1</v>
      </c>
      <c r="G73" s="83" t="e">
        <f>#N/A</f>
        <v>#N/A</v>
      </c>
      <c r="H73" s="102"/>
      <c r="I73" s="60"/>
      <c r="J73" s="60"/>
      <c r="K73" s="60"/>
    </row>
    <row r="74" spans="1:11" hidden="1" x14ac:dyDescent="0.2">
      <c r="A74" s="105" t="s">
        <v>539</v>
      </c>
      <c r="B74" s="104">
        <v>143.4</v>
      </c>
      <c r="C74" s="100">
        <v>0</v>
      </c>
      <c r="D74" s="101">
        <f>IF(C74=0,1,0)</f>
        <v>1</v>
      </c>
      <c r="E74" s="83">
        <v>0</v>
      </c>
      <c r="F74" s="101">
        <v>1</v>
      </c>
      <c r="G74" s="83" t="e">
        <f>#N/A</f>
        <v>#N/A</v>
      </c>
      <c r="H74" s="102"/>
      <c r="I74" s="60"/>
      <c r="J74" s="60"/>
      <c r="K74" s="60"/>
    </row>
    <row r="75" spans="1:11" x14ac:dyDescent="0.2">
      <c r="A75" s="94"/>
      <c r="B75" s="86"/>
      <c r="C75" s="90"/>
      <c r="D75" s="83"/>
      <c r="E75" s="83"/>
      <c r="F75" s="83"/>
      <c r="G75" s="83"/>
      <c r="H75" s="61"/>
      <c r="I75" s="60"/>
      <c r="J75" s="61"/>
      <c r="K75" s="60"/>
    </row>
    <row r="76" spans="1:11" x14ac:dyDescent="0.2">
      <c r="A76" s="94"/>
      <c r="B76" s="86"/>
      <c r="C76" s="90"/>
      <c r="D76" s="83"/>
      <c r="E76" s="83"/>
      <c r="F76" s="83"/>
      <c r="G76" s="83"/>
      <c r="H76" s="61"/>
      <c r="I76" s="60"/>
      <c r="J76" s="61"/>
      <c r="K76" s="60"/>
    </row>
    <row r="77" spans="1:11" x14ac:dyDescent="0.2">
      <c r="A77" s="94"/>
      <c r="B77" s="86"/>
      <c r="C77" s="90"/>
      <c r="D77" s="83"/>
      <c r="E77" s="83"/>
      <c r="F77" s="83"/>
      <c r="G77" s="83"/>
      <c r="H77" s="61"/>
      <c r="I77" s="60"/>
      <c r="J77" s="61"/>
      <c r="K77" s="60"/>
    </row>
    <row r="78" spans="1:11" x14ac:dyDescent="0.2">
      <c r="A78" s="94" t="s">
        <v>446</v>
      </c>
      <c r="B78" s="86">
        <v>183.9</v>
      </c>
      <c r="C78" s="100">
        <v>0</v>
      </c>
      <c r="D78" s="83" t="e">
        <f>#N/A</f>
        <v>#N/A</v>
      </c>
      <c r="E78" s="83">
        <v>1</v>
      </c>
      <c r="F78" s="83">
        <v>0</v>
      </c>
      <c r="G78" s="83" t="e">
        <f>#N/A</f>
        <v>#N/A</v>
      </c>
      <c r="H78" s="102"/>
      <c r="I78" s="60"/>
      <c r="J78" s="60"/>
      <c r="K78" s="60"/>
    </row>
    <row r="79" spans="1:11" x14ac:dyDescent="0.2">
      <c r="A79" s="94" t="s">
        <v>448</v>
      </c>
      <c r="B79" s="86">
        <v>183.9</v>
      </c>
      <c r="C79" s="100">
        <v>0</v>
      </c>
      <c r="D79" s="83" t="e">
        <f>#N/A</f>
        <v>#N/A</v>
      </c>
      <c r="E79" s="83">
        <v>1</v>
      </c>
      <c r="F79" s="83">
        <v>0</v>
      </c>
      <c r="G79" s="83" t="e">
        <f>#N/A</f>
        <v>#N/A</v>
      </c>
      <c r="H79" s="102"/>
      <c r="I79" s="60"/>
      <c r="J79" s="60"/>
      <c r="K79" s="60"/>
    </row>
    <row r="80" spans="1:11" x14ac:dyDescent="0.2">
      <c r="A80" s="94" t="s">
        <v>450</v>
      </c>
      <c r="B80" s="86">
        <v>191.7</v>
      </c>
      <c r="C80" s="100">
        <v>0</v>
      </c>
      <c r="D80" s="83" t="e">
        <f>#N/A</f>
        <v>#N/A</v>
      </c>
      <c r="E80" s="83">
        <v>1</v>
      </c>
      <c r="F80" s="83">
        <v>0</v>
      </c>
      <c r="G80" s="83" t="e">
        <f>#N/A</f>
        <v>#N/A</v>
      </c>
      <c r="H80" s="102"/>
      <c r="I80" s="60"/>
      <c r="J80" s="60"/>
      <c r="K80" s="60"/>
    </row>
    <row r="81" spans="1:11" x14ac:dyDescent="0.2">
      <c r="A81" s="94" t="s">
        <v>452</v>
      </c>
      <c r="B81" s="86">
        <v>383.67</v>
      </c>
      <c r="C81" s="100">
        <v>0</v>
      </c>
      <c r="D81" s="83" t="e">
        <f>#N/A</f>
        <v>#N/A</v>
      </c>
      <c r="E81" s="83">
        <v>1</v>
      </c>
      <c r="F81" s="83">
        <v>0</v>
      </c>
      <c r="G81" s="83" t="e">
        <f>#N/A</f>
        <v>#N/A</v>
      </c>
      <c r="H81" s="102"/>
      <c r="I81" s="60"/>
      <c r="J81" s="60"/>
      <c r="K81" s="60"/>
    </row>
    <row r="82" spans="1:11" x14ac:dyDescent="0.2">
      <c r="A82" s="94" t="s">
        <v>454</v>
      </c>
      <c r="B82" s="86">
        <v>383.67</v>
      </c>
      <c r="C82" s="100">
        <v>0</v>
      </c>
      <c r="D82" s="83" t="e">
        <f>#N/A</f>
        <v>#N/A</v>
      </c>
      <c r="E82" s="83">
        <v>1</v>
      </c>
      <c r="F82" s="83">
        <v>0</v>
      </c>
      <c r="G82" s="83" t="e">
        <f>#N/A</f>
        <v>#N/A</v>
      </c>
      <c r="H82" s="102"/>
      <c r="I82" s="60"/>
      <c r="J82" s="60"/>
      <c r="K82" s="60"/>
    </row>
    <row r="83" spans="1:11" x14ac:dyDescent="0.2">
      <c r="A83" s="94" t="s">
        <v>456</v>
      </c>
      <c r="B83" s="86">
        <v>400.44</v>
      </c>
      <c r="C83" s="100">
        <v>0</v>
      </c>
      <c r="D83" s="83" t="e">
        <f>#N/A</f>
        <v>#N/A</v>
      </c>
      <c r="E83" s="83">
        <v>1</v>
      </c>
      <c r="F83" s="83">
        <v>0</v>
      </c>
      <c r="G83" s="83" t="e">
        <f>#N/A</f>
        <v>#N/A</v>
      </c>
      <c r="H83" s="102"/>
      <c r="I83" s="60"/>
      <c r="J83" s="60"/>
      <c r="K83" s="60"/>
    </row>
    <row r="84" spans="1:11" x14ac:dyDescent="0.2">
      <c r="A84" s="94" t="s">
        <v>458</v>
      </c>
      <c r="B84" s="86">
        <v>136.44999999999999</v>
      </c>
      <c r="C84" s="100">
        <v>0</v>
      </c>
      <c r="D84" s="83" t="e">
        <f>#N/A</f>
        <v>#N/A</v>
      </c>
      <c r="E84" s="83">
        <v>1</v>
      </c>
      <c r="F84" s="83">
        <v>0</v>
      </c>
      <c r="G84" s="83" t="e">
        <f>#N/A</f>
        <v>#N/A</v>
      </c>
      <c r="H84" s="102"/>
      <c r="I84" s="60"/>
      <c r="J84" s="60"/>
      <c r="K84" s="60"/>
    </row>
    <row r="85" spans="1:11" x14ac:dyDescent="0.2">
      <c r="A85" s="94" t="s">
        <v>460</v>
      </c>
      <c r="B85" s="86">
        <v>136.44999999999999</v>
      </c>
      <c r="C85" s="100">
        <v>0</v>
      </c>
      <c r="D85" s="83" t="e">
        <f>#N/A</f>
        <v>#N/A</v>
      </c>
      <c r="E85" s="83">
        <v>1</v>
      </c>
      <c r="F85" s="83">
        <v>0</v>
      </c>
      <c r="G85" s="83" t="e">
        <f>#N/A</f>
        <v>#N/A</v>
      </c>
      <c r="H85" s="102"/>
      <c r="I85" s="60"/>
      <c r="J85" s="60"/>
      <c r="K85" s="60"/>
    </row>
    <row r="86" spans="1:11" x14ac:dyDescent="0.2">
      <c r="A86" s="94" t="s">
        <v>462</v>
      </c>
      <c r="B86" s="86">
        <v>142</v>
      </c>
      <c r="C86" s="100">
        <v>0</v>
      </c>
      <c r="D86" s="83" t="e">
        <f>#N/A</f>
        <v>#N/A</v>
      </c>
      <c r="E86" s="83">
        <v>1</v>
      </c>
      <c r="F86" s="83">
        <v>0</v>
      </c>
      <c r="G86" s="83" t="e">
        <f>#N/A</f>
        <v>#N/A</v>
      </c>
      <c r="H86" s="102"/>
      <c r="I86" s="60"/>
      <c r="J86" s="60"/>
      <c r="K86" s="60"/>
    </row>
    <row r="87" spans="1:11" x14ac:dyDescent="0.2">
      <c r="A87" s="94" t="s">
        <v>463</v>
      </c>
      <c r="B87" s="86">
        <v>142</v>
      </c>
      <c r="C87" s="100">
        <v>0</v>
      </c>
      <c r="D87" s="83" t="e">
        <f>#N/A</f>
        <v>#N/A</v>
      </c>
      <c r="E87" s="83">
        <v>1</v>
      </c>
      <c r="F87" s="83">
        <v>0</v>
      </c>
      <c r="G87" s="83" t="e">
        <f>#N/A</f>
        <v>#N/A</v>
      </c>
      <c r="H87" s="102"/>
      <c r="I87" s="60"/>
      <c r="J87" s="60"/>
      <c r="K87" s="60"/>
    </row>
    <row r="88" spans="1:11" x14ac:dyDescent="0.2">
      <c r="A88" s="106" t="s">
        <v>464</v>
      </c>
      <c r="B88" s="107">
        <v>142</v>
      </c>
      <c r="C88" s="100">
        <v>1</v>
      </c>
      <c r="D88" s="101" t="e">
        <f>#N/A</f>
        <v>#N/A</v>
      </c>
      <c r="E88" s="83">
        <v>1</v>
      </c>
      <c r="F88" s="101">
        <v>0</v>
      </c>
      <c r="G88" s="83" t="e">
        <f>#N/A</f>
        <v>#N/A</v>
      </c>
      <c r="H88" s="102"/>
      <c r="I88" s="60"/>
      <c r="J88" s="60"/>
      <c r="K88" s="60"/>
    </row>
    <row r="89" spans="1:11" x14ac:dyDescent="0.2">
      <c r="A89" s="106" t="s">
        <v>465</v>
      </c>
      <c r="B89" s="107">
        <v>133.47999999999999</v>
      </c>
      <c r="C89" s="100">
        <v>1</v>
      </c>
      <c r="D89" s="101" t="e">
        <f>#N/A</f>
        <v>#N/A</v>
      </c>
      <c r="E89" s="83">
        <v>1</v>
      </c>
      <c r="F89" s="101">
        <v>0</v>
      </c>
      <c r="G89" s="83" t="e">
        <f>#N/A</f>
        <v>#N/A</v>
      </c>
      <c r="H89" s="102"/>
      <c r="I89" s="60"/>
      <c r="J89" s="60"/>
      <c r="K89" s="60"/>
    </row>
    <row r="90" spans="1:11" x14ac:dyDescent="0.2">
      <c r="A90" s="106" t="s">
        <v>466</v>
      </c>
      <c r="B90" s="107">
        <v>63.9</v>
      </c>
      <c r="C90" s="100">
        <v>1</v>
      </c>
      <c r="D90" s="101" t="e">
        <f>#N/A</f>
        <v>#N/A</v>
      </c>
      <c r="E90" s="83">
        <v>1</v>
      </c>
      <c r="F90" s="101">
        <v>0</v>
      </c>
      <c r="G90" s="83" t="e">
        <f>#N/A</f>
        <v>#N/A</v>
      </c>
      <c r="H90" s="102"/>
      <c r="I90" s="60"/>
      <c r="J90" s="60"/>
      <c r="K90" s="60"/>
    </row>
    <row r="91" spans="1:11" x14ac:dyDescent="0.2">
      <c r="A91" s="106" t="s">
        <v>467</v>
      </c>
      <c r="B91" s="107">
        <v>142</v>
      </c>
      <c r="C91" s="100">
        <v>1</v>
      </c>
      <c r="D91" s="101" t="e">
        <f>#N/A</f>
        <v>#N/A</v>
      </c>
      <c r="E91" s="83">
        <v>1</v>
      </c>
      <c r="F91" s="101">
        <v>0</v>
      </c>
      <c r="G91" s="83" t="e">
        <f>#N/A</f>
        <v>#N/A</v>
      </c>
      <c r="H91" s="102"/>
      <c r="I91" s="60"/>
      <c r="J91" s="60"/>
      <c r="K91" s="60"/>
    </row>
    <row r="92" spans="1:11" x14ac:dyDescent="0.2">
      <c r="A92" s="106" t="s">
        <v>468</v>
      </c>
      <c r="B92" s="107">
        <v>133.47999999999999</v>
      </c>
      <c r="C92" s="100">
        <v>1</v>
      </c>
      <c r="D92" s="101" t="e">
        <f>#N/A</f>
        <v>#N/A</v>
      </c>
      <c r="E92" s="83">
        <v>1</v>
      </c>
      <c r="F92" s="101">
        <v>0</v>
      </c>
      <c r="G92" s="83" t="e">
        <f>#N/A</f>
        <v>#N/A</v>
      </c>
      <c r="H92" s="102"/>
      <c r="I92" s="60"/>
      <c r="J92" s="60"/>
      <c r="K92" s="60"/>
    </row>
    <row r="93" spans="1:11" x14ac:dyDescent="0.2">
      <c r="A93" s="106" t="s">
        <v>469</v>
      </c>
      <c r="B93" s="107">
        <v>63.9</v>
      </c>
      <c r="C93" s="100">
        <v>1</v>
      </c>
      <c r="D93" s="101" t="e">
        <f>#N/A</f>
        <v>#N/A</v>
      </c>
      <c r="E93" s="83">
        <v>1</v>
      </c>
      <c r="F93" s="101">
        <v>0</v>
      </c>
      <c r="G93" s="83" t="e">
        <f>#N/A</f>
        <v>#N/A</v>
      </c>
      <c r="H93" s="102"/>
      <c r="I93" s="60"/>
      <c r="J93" s="60"/>
      <c r="K93" s="60"/>
    </row>
    <row r="94" spans="1:11" x14ac:dyDescent="0.2">
      <c r="A94" s="106" t="s">
        <v>470</v>
      </c>
      <c r="B94" s="107">
        <v>142</v>
      </c>
      <c r="C94" s="100">
        <v>1</v>
      </c>
      <c r="D94" s="101" t="e">
        <f>#N/A</f>
        <v>#N/A</v>
      </c>
      <c r="E94" s="83">
        <v>1</v>
      </c>
      <c r="F94" s="101">
        <v>0</v>
      </c>
      <c r="G94" s="83" t="e">
        <f>#N/A</f>
        <v>#N/A</v>
      </c>
      <c r="H94" s="102"/>
      <c r="I94" s="60"/>
      <c r="J94" s="60"/>
      <c r="K94" s="60"/>
    </row>
    <row r="95" spans="1:11" x14ac:dyDescent="0.2">
      <c r="A95" s="106" t="s">
        <v>471</v>
      </c>
      <c r="B95" s="107">
        <v>133.47999999999999</v>
      </c>
      <c r="C95" s="100">
        <v>1</v>
      </c>
      <c r="D95" s="101" t="e">
        <f>#N/A</f>
        <v>#N/A</v>
      </c>
      <c r="E95" s="83">
        <v>1</v>
      </c>
      <c r="F95" s="101">
        <v>0</v>
      </c>
      <c r="G95" s="83" t="e">
        <f>#N/A</f>
        <v>#N/A</v>
      </c>
      <c r="H95" s="102"/>
      <c r="I95" s="60"/>
      <c r="J95" s="60"/>
      <c r="K95" s="60"/>
    </row>
    <row r="96" spans="1:11" x14ac:dyDescent="0.2">
      <c r="A96" s="106" t="s">
        <v>472</v>
      </c>
      <c r="B96" s="107">
        <v>63.9</v>
      </c>
      <c r="C96" s="100">
        <v>1</v>
      </c>
      <c r="D96" s="101" t="e">
        <f>#N/A</f>
        <v>#N/A</v>
      </c>
      <c r="E96" s="83">
        <v>1</v>
      </c>
      <c r="F96" s="101">
        <v>0</v>
      </c>
      <c r="G96" s="83" t="e">
        <f>#N/A</f>
        <v>#N/A</v>
      </c>
      <c r="H96" s="102"/>
      <c r="I96" s="60"/>
      <c r="J96" s="60"/>
      <c r="K96" s="60"/>
    </row>
    <row r="97" spans="1:11" x14ac:dyDescent="0.2">
      <c r="A97" s="106" t="s">
        <v>473</v>
      </c>
      <c r="B97" s="107">
        <v>142</v>
      </c>
      <c r="C97" s="100">
        <v>1</v>
      </c>
      <c r="D97" s="101" t="e">
        <f>#N/A</f>
        <v>#N/A</v>
      </c>
      <c r="E97" s="83">
        <v>1</v>
      </c>
      <c r="F97" s="101">
        <v>0</v>
      </c>
      <c r="G97" s="83" t="e">
        <f>#N/A</f>
        <v>#N/A</v>
      </c>
      <c r="H97" s="102"/>
      <c r="I97" s="60"/>
      <c r="J97" s="60"/>
      <c r="K97" s="60"/>
    </row>
    <row r="98" spans="1:11" x14ac:dyDescent="0.2">
      <c r="A98" s="106" t="s">
        <v>474</v>
      </c>
      <c r="B98" s="107">
        <v>133.47999999999999</v>
      </c>
      <c r="C98" s="100">
        <v>1</v>
      </c>
      <c r="D98" s="101" t="e">
        <f>#N/A</f>
        <v>#N/A</v>
      </c>
      <c r="E98" s="83">
        <v>1</v>
      </c>
      <c r="F98" s="101">
        <v>0</v>
      </c>
      <c r="G98" s="83" t="e">
        <f>#N/A</f>
        <v>#N/A</v>
      </c>
      <c r="H98" s="102"/>
      <c r="I98" s="60"/>
      <c r="J98" s="60"/>
      <c r="K98" s="60"/>
    </row>
    <row r="99" spans="1:11" x14ac:dyDescent="0.2">
      <c r="A99" s="106" t="s">
        <v>475</v>
      </c>
      <c r="B99" s="107">
        <v>63.9</v>
      </c>
      <c r="C99" s="100">
        <v>1</v>
      </c>
      <c r="D99" s="101" t="e">
        <f>#N/A</f>
        <v>#N/A</v>
      </c>
      <c r="E99" s="83">
        <v>1</v>
      </c>
      <c r="F99" s="101">
        <v>0</v>
      </c>
      <c r="G99" s="83" t="e">
        <f>#N/A</f>
        <v>#N/A</v>
      </c>
      <c r="H99" s="102"/>
      <c r="I99" s="60"/>
      <c r="J99" s="60"/>
      <c r="K99" s="60"/>
    </row>
    <row r="100" spans="1:11" x14ac:dyDescent="0.2">
      <c r="A100" s="106" t="s">
        <v>476</v>
      </c>
      <c r="B100" s="107">
        <v>142</v>
      </c>
      <c r="C100" s="100">
        <v>1</v>
      </c>
      <c r="D100" s="101" t="e">
        <f>#N/A</f>
        <v>#N/A</v>
      </c>
      <c r="E100" s="83">
        <v>1</v>
      </c>
      <c r="F100" s="101">
        <v>0</v>
      </c>
      <c r="G100" s="83" t="e">
        <f>#N/A</f>
        <v>#N/A</v>
      </c>
      <c r="H100" s="102"/>
      <c r="I100" s="60"/>
      <c r="J100" s="60"/>
      <c r="K100" s="60"/>
    </row>
    <row r="101" spans="1:11" x14ac:dyDescent="0.2">
      <c r="A101" s="106" t="s">
        <v>477</v>
      </c>
      <c r="B101" s="107">
        <v>133.47999999999999</v>
      </c>
      <c r="C101" s="100">
        <v>1</v>
      </c>
      <c r="D101" s="101" t="e">
        <f>#N/A</f>
        <v>#N/A</v>
      </c>
      <c r="E101" s="83">
        <v>1</v>
      </c>
      <c r="F101" s="101">
        <v>0</v>
      </c>
      <c r="G101" s="83" t="e">
        <f>#N/A</f>
        <v>#N/A</v>
      </c>
      <c r="H101" s="102"/>
      <c r="I101" s="60"/>
      <c r="J101" s="60"/>
      <c r="K101" s="60"/>
    </row>
    <row r="102" spans="1:11" x14ac:dyDescent="0.2">
      <c r="A102" s="106" t="s">
        <v>478</v>
      </c>
      <c r="B102" s="107">
        <v>63.9</v>
      </c>
      <c r="C102" s="100">
        <v>1</v>
      </c>
      <c r="D102" s="101" t="e">
        <f>#N/A</f>
        <v>#N/A</v>
      </c>
      <c r="E102" s="83">
        <v>1</v>
      </c>
      <c r="F102" s="101">
        <v>0</v>
      </c>
      <c r="G102" s="83" t="e">
        <f>#N/A</f>
        <v>#N/A</v>
      </c>
      <c r="H102" s="102"/>
      <c r="I102" s="60"/>
      <c r="J102" s="60"/>
      <c r="K102" s="60"/>
    </row>
    <row r="103" spans="1:11" x14ac:dyDescent="0.2">
      <c r="A103" s="106" t="s">
        <v>479</v>
      </c>
      <c r="B103" s="107">
        <v>142</v>
      </c>
      <c r="C103" s="100">
        <v>1</v>
      </c>
      <c r="D103" s="101" t="e">
        <f>#N/A</f>
        <v>#N/A</v>
      </c>
      <c r="E103" s="83">
        <v>1</v>
      </c>
      <c r="F103" s="101">
        <v>0</v>
      </c>
      <c r="G103" s="83" t="e">
        <f>#N/A</f>
        <v>#N/A</v>
      </c>
      <c r="H103" s="102"/>
      <c r="I103" s="60"/>
      <c r="J103" s="60"/>
      <c r="K103" s="60"/>
    </row>
    <row r="104" spans="1:11" x14ac:dyDescent="0.2">
      <c r="A104" s="106" t="s">
        <v>480</v>
      </c>
      <c r="B104" s="107">
        <v>133.47999999999999</v>
      </c>
      <c r="C104" s="100">
        <v>1</v>
      </c>
      <c r="D104" s="101" t="e">
        <f>#N/A</f>
        <v>#N/A</v>
      </c>
      <c r="E104" s="83">
        <v>1</v>
      </c>
      <c r="F104" s="101">
        <v>0</v>
      </c>
      <c r="G104" s="83" t="e">
        <f>#N/A</f>
        <v>#N/A</v>
      </c>
      <c r="H104" s="102"/>
      <c r="I104" s="60"/>
      <c r="J104" s="60"/>
      <c r="K104" s="60"/>
    </row>
    <row r="105" spans="1:11" x14ac:dyDescent="0.2">
      <c r="A105" s="106" t="s">
        <v>481</v>
      </c>
      <c r="B105" s="107">
        <v>63.9</v>
      </c>
      <c r="C105" s="100">
        <v>1</v>
      </c>
      <c r="D105" s="101" t="e">
        <f>#N/A</f>
        <v>#N/A</v>
      </c>
      <c r="E105" s="83">
        <v>1</v>
      </c>
      <c r="F105" s="101">
        <v>0</v>
      </c>
      <c r="G105" s="83" t="e">
        <f>#N/A</f>
        <v>#N/A</v>
      </c>
      <c r="H105" s="102"/>
      <c r="I105" s="60"/>
      <c r="J105" s="60"/>
      <c r="K105" s="60"/>
    </row>
    <row r="106" spans="1:11" x14ac:dyDescent="0.2">
      <c r="A106" s="106" t="s">
        <v>482</v>
      </c>
      <c r="B106" s="107">
        <v>142</v>
      </c>
      <c r="C106" s="100">
        <v>1</v>
      </c>
      <c r="D106" s="101" t="e">
        <f>#N/A</f>
        <v>#N/A</v>
      </c>
      <c r="E106" s="83">
        <v>1</v>
      </c>
      <c r="F106" s="101">
        <v>0</v>
      </c>
      <c r="G106" s="83" t="e">
        <f>#N/A</f>
        <v>#N/A</v>
      </c>
      <c r="H106" s="102"/>
      <c r="I106" s="60"/>
      <c r="J106" s="60"/>
      <c r="K106" s="60"/>
    </row>
    <row r="107" spans="1:11" x14ac:dyDescent="0.2">
      <c r="A107" s="106" t="s">
        <v>483</v>
      </c>
      <c r="B107" s="107">
        <v>133.47999999999999</v>
      </c>
      <c r="C107" s="100">
        <v>1</v>
      </c>
      <c r="D107" s="101" t="e">
        <f>#N/A</f>
        <v>#N/A</v>
      </c>
      <c r="E107" s="83">
        <v>1</v>
      </c>
      <c r="F107" s="101">
        <v>0</v>
      </c>
      <c r="G107" s="83" t="e">
        <f>#N/A</f>
        <v>#N/A</v>
      </c>
      <c r="H107" s="102"/>
      <c r="I107" s="60"/>
      <c r="J107" s="60"/>
      <c r="K107" s="60"/>
    </row>
    <row r="108" spans="1:11" x14ac:dyDescent="0.2">
      <c r="A108" s="106" t="s">
        <v>484</v>
      </c>
      <c r="B108" s="107">
        <v>63.9</v>
      </c>
      <c r="C108" s="100">
        <v>1</v>
      </c>
      <c r="D108" s="101" t="e">
        <f>#N/A</f>
        <v>#N/A</v>
      </c>
      <c r="E108" s="83">
        <v>1</v>
      </c>
      <c r="F108" s="101">
        <v>0</v>
      </c>
      <c r="G108" s="83" t="e">
        <f>#N/A</f>
        <v>#N/A</v>
      </c>
      <c r="H108" s="102"/>
      <c r="I108" s="60"/>
      <c r="J108" s="60"/>
      <c r="K108" s="60"/>
    </row>
    <row r="109" spans="1:11" x14ac:dyDescent="0.2">
      <c r="A109" s="106" t="s">
        <v>485</v>
      </c>
      <c r="B109" s="107">
        <v>142</v>
      </c>
      <c r="C109" s="100">
        <v>1</v>
      </c>
      <c r="D109" s="101" t="e">
        <f>#N/A</f>
        <v>#N/A</v>
      </c>
      <c r="E109" s="83">
        <v>1</v>
      </c>
      <c r="F109" s="101">
        <v>0</v>
      </c>
      <c r="G109" s="83" t="e">
        <f>#N/A</f>
        <v>#N/A</v>
      </c>
      <c r="H109" s="102"/>
      <c r="I109" s="60"/>
      <c r="J109" s="60"/>
      <c r="K109" s="60"/>
    </row>
    <row r="110" spans="1:11" x14ac:dyDescent="0.2">
      <c r="A110" s="106" t="s">
        <v>486</v>
      </c>
      <c r="B110" s="107">
        <v>133.47999999999999</v>
      </c>
      <c r="C110" s="100">
        <v>1</v>
      </c>
      <c r="D110" s="101" t="e">
        <f>#N/A</f>
        <v>#N/A</v>
      </c>
      <c r="E110" s="83">
        <v>1</v>
      </c>
      <c r="F110" s="101">
        <v>0</v>
      </c>
      <c r="G110" s="83" t="e">
        <f>#N/A</f>
        <v>#N/A</v>
      </c>
      <c r="H110" s="102"/>
      <c r="I110" s="60"/>
      <c r="J110" s="60"/>
      <c r="K110" s="60"/>
    </row>
    <row r="111" spans="1:11" x14ac:dyDescent="0.2">
      <c r="A111" s="106" t="s">
        <v>487</v>
      </c>
      <c r="B111" s="107">
        <v>63.9</v>
      </c>
      <c r="C111" s="100">
        <v>1</v>
      </c>
      <c r="D111" s="101" t="e">
        <f>#N/A</f>
        <v>#N/A</v>
      </c>
      <c r="E111" s="83">
        <v>1</v>
      </c>
      <c r="F111" s="101">
        <v>0</v>
      </c>
      <c r="G111" s="83" t="e">
        <f>#N/A</f>
        <v>#N/A</v>
      </c>
      <c r="H111" s="102"/>
      <c r="I111" s="60"/>
      <c r="J111" s="60"/>
      <c r="K111" s="60"/>
    </row>
    <row r="112" spans="1:11" x14ac:dyDescent="0.2">
      <c r="A112" s="87" t="s">
        <v>488</v>
      </c>
      <c r="B112" s="87">
        <v>1174.68</v>
      </c>
      <c r="C112" s="100">
        <v>1</v>
      </c>
      <c r="D112" s="101" t="e">
        <f>#N/A</f>
        <v>#N/A</v>
      </c>
      <c r="E112" s="83">
        <v>1</v>
      </c>
      <c r="F112" s="101">
        <v>0</v>
      </c>
      <c r="G112" s="83" t="e">
        <f>#N/A</f>
        <v>#N/A</v>
      </c>
      <c r="H112" s="102"/>
      <c r="I112" s="60"/>
      <c r="J112" s="60"/>
      <c r="K112" s="60"/>
    </row>
    <row r="113" spans="1:11" x14ac:dyDescent="0.2">
      <c r="A113" s="87" t="s">
        <v>489</v>
      </c>
      <c r="B113" s="87">
        <v>127.69</v>
      </c>
      <c r="C113" s="100">
        <v>1</v>
      </c>
      <c r="D113" s="101" t="e">
        <f>#N/A</f>
        <v>#N/A</v>
      </c>
      <c r="E113" s="83">
        <v>1</v>
      </c>
      <c r="F113" s="101">
        <v>0</v>
      </c>
      <c r="G113" s="83" t="e">
        <f>#N/A</f>
        <v>#N/A</v>
      </c>
      <c r="H113" s="102"/>
      <c r="I113" s="60"/>
      <c r="J113" s="60"/>
      <c r="K113" s="60"/>
    </row>
    <row r="114" spans="1:11" x14ac:dyDescent="0.2">
      <c r="A114" s="87" t="s">
        <v>490</v>
      </c>
      <c r="B114" s="87">
        <v>297.93</v>
      </c>
      <c r="C114" s="100">
        <v>1</v>
      </c>
      <c r="D114" s="101" t="e">
        <f>#N/A</f>
        <v>#N/A</v>
      </c>
      <c r="E114" s="83">
        <v>1</v>
      </c>
      <c r="F114" s="101">
        <v>0</v>
      </c>
      <c r="G114" s="83" t="e">
        <f>#N/A</f>
        <v>#N/A</v>
      </c>
      <c r="H114" s="102"/>
      <c r="I114" s="60"/>
      <c r="J114" s="60"/>
      <c r="K114" s="60"/>
    </row>
    <row r="115" spans="1:11" x14ac:dyDescent="0.2">
      <c r="A115" s="87" t="s">
        <v>491</v>
      </c>
      <c r="B115" s="87">
        <v>68.48</v>
      </c>
      <c r="C115" s="100">
        <v>1</v>
      </c>
      <c r="D115" s="101" t="e">
        <f>#N/A</f>
        <v>#N/A</v>
      </c>
      <c r="E115" s="83">
        <v>1</v>
      </c>
      <c r="F115" s="101">
        <v>0</v>
      </c>
      <c r="G115" s="83" t="e">
        <f>#N/A</f>
        <v>#N/A</v>
      </c>
      <c r="H115" s="102"/>
      <c r="I115" s="60"/>
      <c r="J115" s="60"/>
      <c r="K115" s="60"/>
    </row>
    <row r="116" spans="1:11" x14ac:dyDescent="0.2">
      <c r="A116" s="87" t="s">
        <v>492</v>
      </c>
      <c r="B116" s="87">
        <v>434.94</v>
      </c>
      <c r="C116" s="100">
        <v>1</v>
      </c>
      <c r="D116" s="101" t="e">
        <f>#N/A</f>
        <v>#N/A</v>
      </c>
      <c r="E116" s="83">
        <v>1</v>
      </c>
      <c r="F116" s="101">
        <v>0</v>
      </c>
      <c r="G116" s="83" t="e">
        <f>#N/A</f>
        <v>#N/A</v>
      </c>
      <c r="H116" s="102"/>
      <c r="I116" s="60"/>
      <c r="J116" s="60"/>
      <c r="K116" s="60"/>
    </row>
    <row r="117" spans="1:11" x14ac:dyDescent="0.2">
      <c r="A117" s="87" t="s">
        <v>494</v>
      </c>
      <c r="B117" s="87">
        <v>379.42</v>
      </c>
      <c r="C117" s="100">
        <v>1</v>
      </c>
      <c r="D117" s="101" t="e">
        <f>#N/A</f>
        <v>#N/A</v>
      </c>
      <c r="E117" s="83">
        <v>1</v>
      </c>
      <c r="F117" s="101">
        <v>0</v>
      </c>
      <c r="G117" s="83" t="e">
        <f>#N/A</f>
        <v>#N/A</v>
      </c>
      <c r="H117" s="102"/>
      <c r="I117" s="60"/>
      <c r="J117" s="60"/>
      <c r="K117" s="60"/>
    </row>
    <row r="118" spans="1:11" x14ac:dyDescent="0.2">
      <c r="A118" s="87" t="s">
        <v>495</v>
      </c>
      <c r="B118" s="87">
        <v>195.73</v>
      </c>
      <c r="C118" s="100">
        <v>1</v>
      </c>
      <c r="D118" s="101" t="e">
        <f>#N/A</f>
        <v>#N/A</v>
      </c>
      <c r="E118" s="83">
        <v>1</v>
      </c>
      <c r="F118" s="101">
        <v>0</v>
      </c>
      <c r="G118" s="83" t="e">
        <f>#N/A</f>
        <v>#N/A</v>
      </c>
      <c r="H118" s="102"/>
      <c r="I118" s="60"/>
      <c r="J118" s="60"/>
      <c r="K118" s="60"/>
    </row>
    <row r="119" spans="1:11" x14ac:dyDescent="0.2">
      <c r="A119" s="87" t="s">
        <v>496</v>
      </c>
      <c r="B119" s="87">
        <v>186.62</v>
      </c>
      <c r="C119" s="100">
        <v>1</v>
      </c>
      <c r="D119" s="101" t="e">
        <f>#N/A</f>
        <v>#N/A</v>
      </c>
      <c r="E119" s="83">
        <v>1</v>
      </c>
      <c r="F119" s="101">
        <v>0</v>
      </c>
      <c r="G119" s="83" t="e">
        <f>#N/A</f>
        <v>#N/A</v>
      </c>
      <c r="H119" s="102"/>
      <c r="I119" s="60"/>
      <c r="J119" s="60"/>
      <c r="K119" s="60"/>
    </row>
    <row r="120" spans="1:11" x14ac:dyDescent="0.2">
      <c r="A120" s="87" t="s">
        <v>497</v>
      </c>
      <c r="B120" s="87">
        <v>153.63</v>
      </c>
    </row>
    <row r="121" spans="1:11" x14ac:dyDescent="0.2">
      <c r="A121" s="87" t="s">
        <v>498</v>
      </c>
      <c r="B121" s="87">
        <v>292.01</v>
      </c>
    </row>
    <row r="122" spans="1:11" x14ac:dyDescent="0.2">
      <c r="A122" s="87" t="s">
        <v>499</v>
      </c>
      <c r="B122" s="87">
        <v>292.01</v>
      </c>
    </row>
  </sheetData>
  <autoFilter ref="A1:K74">
    <filterColumn colId="5">
      <filters>
        <filter val="0"/>
      </filters>
    </filterColumn>
  </autoFilter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1"/>
  <sheetViews>
    <sheetView zoomScaleNormal="100" workbookViewId="0"/>
  </sheetViews>
  <sheetFormatPr defaultRowHeight="12.75" x14ac:dyDescent="0.2"/>
  <cols>
    <col min="1" max="1" width="34.85546875"/>
    <col min="2" max="2" width="14.7109375"/>
    <col min="3" max="3" width="12.42578125"/>
    <col min="4" max="5" width="13.42578125"/>
    <col min="6" max="13" width="12.42578125"/>
    <col min="14" max="14" width="14.7109375"/>
    <col min="15" max="1025" width="12.42578125"/>
  </cols>
  <sheetData>
    <row r="1" spans="1:11" x14ac:dyDescent="0.2">
      <c r="C1" t="s">
        <v>540</v>
      </c>
      <c r="D1" t="s">
        <v>541</v>
      </c>
      <c r="E1" t="s">
        <v>542</v>
      </c>
      <c r="F1" t="s">
        <v>543</v>
      </c>
      <c r="G1" t="s">
        <v>544</v>
      </c>
      <c r="H1" t="s">
        <v>545</v>
      </c>
      <c r="I1" t="s">
        <v>422</v>
      </c>
      <c r="J1" t="s">
        <v>546</v>
      </c>
      <c r="K1" t="s">
        <v>547</v>
      </c>
    </row>
    <row r="2" spans="1:11" x14ac:dyDescent="0.2">
      <c r="A2" s="108" t="s">
        <v>191</v>
      </c>
      <c r="B2" s="109">
        <v>60</v>
      </c>
      <c r="C2">
        <v>7619</v>
      </c>
      <c r="D2" s="58">
        <f t="shared" ref="D2:D9" si="0">F2</f>
        <v>23.085802231627547</v>
      </c>
      <c r="E2">
        <v>2.5990000000000002</v>
      </c>
      <c r="F2" s="58">
        <f t="shared" ref="F2:F9" si="1">B2/E2</f>
        <v>23.085802231627547</v>
      </c>
      <c r="G2">
        <f t="shared" ref="G2:G8" si="2">C3-C2</f>
        <v>220</v>
      </c>
      <c r="H2" s="110">
        <v>41867</v>
      </c>
      <c r="I2">
        <v>1</v>
      </c>
      <c r="J2" t="s">
        <v>548</v>
      </c>
      <c r="K2" s="58">
        <f t="shared" ref="K2:K8" si="3">E2-$B$22</f>
        <v>-0.97127027027027024</v>
      </c>
    </row>
    <row r="3" spans="1:11" x14ac:dyDescent="0.2">
      <c r="A3" s="108" t="s">
        <v>191</v>
      </c>
      <c r="B3" s="109">
        <v>60</v>
      </c>
      <c r="C3">
        <v>7839</v>
      </c>
      <c r="D3" s="58">
        <f t="shared" si="0"/>
        <v>22.230455724342349</v>
      </c>
      <c r="E3">
        <v>2.6989999999999998</v>
      </c>
      <c r="F3" s="58">
        <f t="shared" si="1"/>
        <v>22.230455724342349</v>
      </c>
      <c r="G3">
        <f t="shared" si="2"/>
        <v>190</v>
      </c>
      <c r="H3" s="110">
        <v>41870</v>
      </c>
      <c r="I3">
        <v>1</v>
      </c>
      <c r="J3" t="s">
        <v>548</v>
      </c>
      <c r="K3" s="58">
        <f t="shared" si="3"/>
        <v>-0.8712702702702706</v>
      </c>
    </row>
    <row r="4" spans="1:11" x14ac:dyDescent="0.2">
      <c r="A4" s="108" t="s">
        <v>191</v>
      </c>
      <c r="B4" s="109">
        <v>60</v>
      </c>
      <c r="C4">
        <v>8029</v>
      </c>
      <c r="D4" s="58">
        <f t="shared" si="0"/>
        <v>23.085802231627547</v>
      </c>
      <c r="E4">
        <v>2.5990000000000002</v>
      </c>
      <c r="F4" s="58">
        <f t="shared" si="1"/>
        <v>23.085802231627547</v>
      </c>
      <c r="G4">
        <f t="shared" si="2"/>
        <v>331</v>
      </c>
      <c r="H4" s="110">
        <v>41908</v>
      </c>
      <c r="I4">
        <v>1</v>
      </c>
      <c r="J4" t="s">
        <v>548</v>
      </c>
      <c r="K4" s="58">
        <f t="shared" si="3"/>
        <v>-0.97127027027027024</v>
      </c>
    </row>
    <row r="5" spans="1:11" x14ac:dyDescent="0.2">
      <c r="A5" s="108" t="s">
        <v>191</v>
      </c>
      <c r="B5" s="111">
        <v>60</v>
      </c>
      <c r="C5">
        <v>8360</v>
      </c>
      <c r="D5" s="58">
        <f t="shared" si="0"/>
        <v>22.230455724342349</v>
      </c>
      <c r="E5">
        <v>2.6989999999999998</v>
      </c>
      <c r="F5" s="58">
        <f t="shared" si="1"/>
        <v>22.230455724342349</v>
      </c>
      <c r="G5">
        <f t="shared" si="2"/>
        <v>183</v>
      </c>
      <c r="H5" s="110"/>
      <c r="I5">
        <v>1</v>
      </c>
      <c r="J5" s="3" t="s">
        <v>548</v>
      </c>
      <c r="K5" s="58">
        <f t="shared" si="3"/>
        <v>-0.8712702702702706</v>
      </c>
    </row>
    <row r="6" spans="1:11" x14ac:dyDescent="0.2">
      <c r="A6" s="108" t="s">
        <v>191</v>
      </c>
      <c r="B6" s="109">
        <v>10</v>
      </c>
      <c r="C6">
        <v>8543</v>
      </c>
      <c r="D6" s="58">
        <f t="shared" si="0"/>
        <v>3.4602076124567471</v>
      </c>
      <c r="E6">
        <v>2.89</v>
      </c>
      <c r="F6" s="58">
        <f t="shared" si="1"/>
        <v>3.4602076124567471</v>
      </c>
      <c r="G6">
        <f t="shared" si="2"/>
        <v>48</v>
      </c>
      <c r="H6" s="110">
        <v>41914</v>
      </c>
      <c r="I6">
        <v>1</v>
      </c>
      <c r="J6" s="3" t="s">
        <v>548</v>
      </c>
      <c r="K6" s="58">
        <f t="shared" si="3"/>
        <v>-0.68027027027027032</v>
      </c>
    </row>
    <row r="7" spans="1:11" x14ac:dyDescent="0.2">
      <c r="A7" s="108" t="s">
        <v>191</v>
      </c>
      <c r="B7" s="109">
        <v>60</v>
      </c>
      <c r="C7">
        <v>8591</v>
      </c>
      <c r="D7" s="58">
        <f t="shared" si="0"/>
        <v>21.826118588577664</v>
      </c>
      <c r="E7">
        <v>2.7490000000000001</v>
      </c>
      <c r="F7" s="58">
        <f t="shared" si="1"/>
        <v>21.826118588577664</v>
      </c>
      <c r="G7">
        <f t="shared" si="2"/>
        <v>150</v>
      </c>
      <c r="H7" s="110">
        <v>41916</v>
      </c>
      <c r="I7">
        <v>1</v>
      </c>
      <c r="J7" s="3" t="s">
        <v>548</v>
      </c>
      <c r="K7" s="58">
        <f t="shared" si="3"/>
        <v>-0.82127027027027033</v>
      </c>
    </row>
    <row r="8" spans="1:11" x14ac:dyDescent="0.2">
      <c r="A8" s="108" t="s">
        <v>191</v>
      </c>
      <c r="B8" s="109">
        <v>60</v>
      </c>
      <c r="C8">
        <v>8741</v>
      </c>
      <c r="D8" s="58">
        <f t="shared" si="0"/>
        <v>22.230455724342349</v>
      </c>
      <c r="E8">
        <v>2.6989999999999998</v>
      </c>
      <c r="F8" s="58">
        <f t="shared" si="1"/>
        <v>22.230455724342349</v>
      </c>
      <c r="G8">
        <f t="shared" si="2"/>
        <v>199</v>
      </c>
      <c r="H8" s="110">
        <v>41922</v>
      </c>
      <c r="I8">
        <v>1</v>
      </c>
      <c r="J8" s="3" t="s">
        <v>548</v>
      </c>
      <c r="K8" s="58">
        <f t="shared" si="3"/>
        <v>-0.8712702702702706</v>
      </c>
    </row>
    <row r="9" spans="1:11" x14ac:dyDescent="0.2">
      <c r="A9" s="108" t="s">
        <v>191</v>
      </c>
      <c r="B9" s="109">
        <v>60</v>
      </c>
      <c r="C9">
        <v>8940</v>
      </c>
      <c r="D9" s="58">
        <f t="shared" si="0"/>
        <v>22.230455724342349</v>
      </c>
      <c r="E9">
        <v>2.6989999999999998</v>
      </c>
      <c r="F9" s="58">
        <f t="shared" si="1"/>
        <v>22.230455724342349</v>
      </c>
      <c r="G9">
        <v>0</v>
      </c>
      <c r="H9" s="110">
        <v>41924</v>
      </c>
      <c r="I9">
        <v>1</v>
      </c>
      <c r="J9" s="3"/>
      <c r="K9" s="58"/>
    </row>
    <row r="10" spans="1:11" x14ac:dyDescent="0.2">
      <c r="K10" s="58"/>
    </row>
    <row r="11" spans="1:11" x14ac:dyDescent="0.2">
      <c r="K11" s="58"/>
    </row>
    <row r="12" spans="1:11" x14ac:dyDescent="0.2">
      <c r="K12" s="58"/>
    </row>
    <row r="13" spans="1:11" x14ac:dyDescent="0.2">
      <c r="K13" s="58"/>
    </row>
    <row r="14" spans="1:11" x14ac:dyDescent="0.2">
      <c r="K14" s="58"/>
    </row>
    <row r="15" spans="1:11" x14ac:dyDescent="0.2">
      <c r="K15" s="58"/>
    </row>
    <row r="16" spans="1:11" x14ac:dyDescent="0.2">
      <c r="A16" s="9" t="s">
        <v>549</v>
      </c>
      <c r="B16" s="112">
        <f>SUMIF($J$2:$J$15,"s",$B$2:$B$15)</f>
        <v>370</v>
      </c>
      <c r="C16" s="113"/>
      <c r="D16" s="114">
        <f>SUMIF($J$2:$J$15,"s",D2:D15)</f>
        <v>138.14929783731657</v>
      </c>
      <c r="E16" s="112">
        <f>SUMIF($J$2:$J$15,"s",$E$2:$E$15)</f>
        <v>18.933999999999997</v>
      </c>
      <c r="F16" s="114">
        <f>SUMIF($J$2:$J$15,"s",$F$2:$F$15)</f>
        <v>138.14929783731657</v>
      </c>
      <c r="G16" s="114">
        <f>SUMIF($J$2:$J$15,"s",$G$2:$G$15)</f>
        <v>1321</v>
      </c>
      <c r="H16" s="115"/>
      <c r="I16" s="12">
        <f>SUMIF($J$2:$J$15,"s",$I$2:$I$15)</f>
        <v>7</v>
      </c>
      <c r="K16" s="58"/>
    </row>
    <row r="17" spans="1:11" x14ac:dyDescent="0.2">
      <c r="A17" s="9" t="s">
        <v>550</v>
      </c>
      <c r="B17" s="116">
        <f>B16/I16</f>
        <v>52.857142857142854</v>
      </c>
      <c r="C17" s="113"/>
      <c r="D17" s="9"/>
      <c r="E17" s="9"/>
      <c r="F17" s="9"/>
      <c r="G17" s="9"/>
      <c r="H17" s="115"/>
      <c r="I17" s="12"/>
      <c r="K17" s="58"/>
    </row>
    <row r="18" spans="1:11" x14ac:dyDescent="0.2">
      <c r="A18" s="9" t="s">
        <v>551</v>
      </c>
      <c r="B18" s="9">
        <f>D16/I16</f>
        <v>19.73561397675951</v>
      </c>
      <c r="C18" s="117"/>
      <c r="D18" s="9"/>
      <c r="E18" s="9"/>
      <c r="F18" s="9"/>
      <c r="G18" s="9"/>
      <c r="H18" s="115"/>
      <c r="I18" s="12"/>
      <c r="K18" s="58"/>
    </row>
    <row r="19" spans="1:11" x14ac:dyDescent="0.2">
      <c r="A19" s="9" t="s">
        <v>552</v>
      </c>
      <c r="B19" s="116">
        <f>E16/I16</f>
        <v>2.7048571428571426</v>
      </c>
      <c r="C19" s="115"/>
      <c r="D19" s="116"/>
      <c r="E19" s="9"/>
      <c r="F19" s="9"/>
      <c r="G19" s="9"/>
      <c r="H19" s="115"/>
      <c r="I19" s="12"/>
    </row>
    <row r="20" spans="1:11" x14ac:dyDescent="0.2">
      <c r="A20" s="9" t="s">
        <v>553</v>
      </c>
      <c r="B20" s="9">
        <f>G16/I16</f>
        <v>188.71428571428572</v>
      </c>
      <c r="C20" s="115"/>
      <c r="D20" s="9"/>
      <c r="E20" s="9"/>
      <c r="F20" s="9"/>
      <c r="G20" s="9"/>
      <c r="H20" s="115"/>
      <c r="I20" s="12"/>
    </row>
    <row r="21" spans="1:11" x14ac:dyDescent="0.2">
      <c r="A21" s="16" t="s">
        <v>554</v>
      </c>
      <c r="B21" s="16">
        <f>G16/D16</f>
        <v>9.5621188140644655</v>
      </c>
      <c r="C21" s="113"/>
      <c r="D21" s="9"/>
      <c r="E21" s="9"/>
      <c r="F21" s="9"/>
      <c r="G21" s="9"/>
      <c r="H21" s="115"/>
      <c r="I21" s="12"/>
    </row>
    <row r="22" spans="1:11" x14ac:dyDescent="0.2">
      <c r="A22" s="16" t="s">
        <v>555</v>
      </c>
      <c r="B22" s="57">
        <f>G16/B16</f>
        <v>3.5702702702702704</v>
      </c>
      <c r="C22" s="113"/>
      <c r="D22" s="9"/>
      <c r="E22" s="9"/>
      <c r="F22" s="9"/>
      <c r="G22" s="9"/>
      <c r="H22" s="115"/>
      <c r="I22" s="12"/>
    </row>
    <row r="23" spans="1:11" x14ac:dyDescent="0.2">
      <c r="A23" s="9" t="s">
        <v>556</v>
      </c>
      <c r="B23" s="116">
        <f>B18*B19</f>
        <v>53.382016433709218</v>
      </c>
      <c r="C23" s="115"/>
      <c r="D23" s="12"/>
      <c r="E23" s="12"/>
      <c r="F23" s="12"/>
      <c r="G23" s="12"/>
      <c r="H23" s="115"/>
      <c r="I23" s="12"/>
    </row>
    <row r="24" spans="1:11" x14ac:dyDescent="0.2">
      <c r="A24" s="9" t="s">
        <v>557</v>
      </c>
      <c r="B24" s="116">
        <f>B20/B21</f>
        <v>19.73561397675951</v>
      </c>
      <c r="C24" s="115"/>
      <c r="D24" s="12"/>
      <c r="E24" s="12"/>
      <c r="F24" s="12"/>
      <c r="G24" s="12"/>
      <c r="H24" s="115"/>
      <c r="I24" s="12"/>
    </row>
    <row r="26" spans="1:11" x14ac:dyDescent="0.2">
      <c r="A26" t="s">
        <v>541</v>
      </c>
      <c r="B26" t="s">
        <v>558</v>
      </c>
      <c r="C26" t="s">
        <v>559</v>
      </c>
      <c r="D26" t="s">
        <v>425</v>
      </c>
    </row>
    <row r="27" spans="1:11" x14ac:dyDescent="0.2">
      <c r="A27">
        <v>23.849</v>
      </c>
      <c r="B27">
        <v>22532</v>
      </c>
      <c r="C27">
        <v>22791</v>
      </c>
      <c r="D27">
        <v>50.75</v>
      </c>
      <c r="E27">
        <f>C27-B27</f>
        <v>259</v>
      </c>
      <c r="F27">
        <f>E27/A27</f>
        <v>10.859994129732902</v>
      </c>
    </row>
    <row r="28" spans="1:11" x14ac:dyDescent="0.2">
      <c r="A28">
        <v>34.1</v>
      </c>
      <c r="B28">
        <v>22791</v>
      </c>
      <c r="C28">
        <v>23086</v>
      </c>
      <c r="D28">
        <v>76.010000000000005</v>
      </c>
      <c r="E28">
        <f>C28-B28</f>
        <v>295</v>
      </c>
      <c r="F28">
        <f>E28/A28</f>
        <v>8.6510263929618763</v>
      </c>
    </row>
    <row r="29" spans="1:11" x14ac:dyDescent="0.2">
      <c r="A29">
        <v>34.24</v>
      </c>
      <c r="B29">
        <v>23086</v>
      </c>
      <c r="C29">
        <v>23404</v>
      </c>
      <c r="D29">
        <v>70.19</v>
      </c>
      <c r="E29">
        <f>C29-B29</f>
        <v>318</v>
      </c>
      <c r="F29">
        <f>E29/A29</f>
        <v>9.2873831775700921</v>
      </c>
    </row>
    <row r="30" spans="1:11" x14ac:dyDescent="0.2">
      <c r="A30">
        <v>13.66</v>
      </c>
      <c r="B30">
        <v>23404</v>
      </c>
      <c r="C30">
        <v>23502</v>
      </c>
      <c r="D30">
        <v>27.03</v>
      </c>
      <c r="E30">
        <f>C30-B30</f>
        <v>98</v>
      </c>
      <c r="F30">
        <f>E30/A30</f>
        <v>7.1742313323572473</v>
      </c>
    </row>
    <row r="31" spans="1:11" x14ac:dyDescent="0.2">
      <c r="A31">
        <f>SUM(A27:A30)</f>
        <v>105.84899999999999</v>
      </c>
      <c r="D31">
        <f>SUM(D27:D30)</f>
        <v>223.98</v>
      </c>
      <c r="E31">
        <f>SUM(E27:E30)</f>
        <v>970</v>
      </c>
      <c r="F31" t="s">
        <v>549</v>
      </c>
    </row>
    <row r="32" spans="1:11" x14ac:dyDescent="0.2">
      <c r="E32">
        <f>E31/A31</f>
        <v>9.1639977704087912</v>
      </c>
    </row>
    <row r="33" spans="1:2" x14ac:dyDescent="0.2">
      <c r="A33" t="s">
        <v>560</v>
      </c>
      <c r="B33" t="s">
        <v>561</v>
      </c>
    </row>
    <row r="34" spans="1:2" x14ac:dyDescent="0.2">
      <c r="A34">
        <v>13.6</v>
      </c>
      <c r="B34">
        <v>7.7</v>
      </c>
    </row>
    <row r="35" spans="1:2" x14ac:dyDescent="0.2">
      <c r="A35">
        <v>4.4000000000000004</v>
      </c>
      <c r="B35">
        <v>5.0999999999999996</v>
      </c>
    </row>
    <row r="36" spans="1:2" x14ac:dyDescent="0.2">
      <c r="A36">
        <v>5.0999999999999996</v>
      </c>
      <c r="B36">
        <v>7.4</v>
      </c>
    </row>
    <row r="37" spans="1:2" x14ac:dyDescent="0.2">
      <c r="A37">
        <v>7.4</v>
      </c>
      <c r="B37">
        <v>4.4000000000000004</v>
      </c>
    </row>
    <row r="38" spans="1:2" x14ac:dyDescent="0.2">
      <c r="A38">
        <v>6.8</v>
      </c>
      <c r="B38">
        <v>13.6</v>
      </c>
    </row>
    <row r="39" spans="1:2" x14ac:dyDescent="0.2">
      <c r="A39">
        <v>7.6</v>
      </c>
      <c r="B39">
        <v>6.3</v>
      </c>
    </row>
    <row r="40" spans="1:2" x14ac:dyDescent="0.2">
      <c r="A40">
        <v>7.7</v>
      </c>
      <c r="B40">
        <v>6.5</v>
      </c>
    </row>
    <row r="41" spans="1:2" x14ac:dyDescent="0.2">
      <c r="A41">
        <f>SUM(A34:A40)</f>
        <v>52.6</v>
      </c>
      <c r="B41">
        <f>SUM(B34:B40)</f>
        <v>51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zoomScaleNormal="100" workbookViewId="0">
      <selection activeCell="D22" sqref="D22"/>
    </sheetView>
  </sheetViews>
  <sheetFormatPr defaultRowHeight="12.75" x14ac:dyDescent="0.2"/>
  <cols>
    <col min="1" max="3" width="12.42578125"/>
    <col min="4" max="4" width="18.140625"/>
    <col min="5" max="5" width="14.7109375"/>
    <col min="6" max="6" width="19.28515625"/>
    <col min="7" max="1025" width="12.42578125"/>
  </cols>
  <sheetData>
    <row r="1" spans="1:6" x14ac:dyDescent="0.2">
      <c r="A1" t="s">
        <v>562</v>
      </c>
      <c r="B1" t="s">
        <v>563</v>
      </c>
      <c r="C1" s="3" t="s">
        <v>564</v>
      </c>
      <c r="D1" s="3" t="s">
        <v>565</v>
      </c>
      <c r="E1" s="3" t="s">
        <v>566</v>
      </c>
      <c r="F1" s="3" t="s">
        <v>567</v>
      </c>
    </row>
    <row r="2" spans="1:6" x14ac:dyDescent="0.2">
      <c r="A2" t="s">
        <v>8</v>
      </c>
      <c r="B2">
        <v>10</v>
      </c>
      <c r="C2">
        <v>7400.48</v>
      </c>
      <c r="D2">
        <f>SUM(D3:D6)</f>
        <v>455.12</v>
      </c>
      <c r="E2">
        <f>C2-D2</f>
        <v>6945.36</v>
      </c>
      <c r="F2">
        <f>E2</f>
        <v>6945.36</v>
      </c>
    </row>
    <row r="3" spans="1:6" x14ac:dyDescent="0.2">
      <c r="D3">
        <v>111.01</v>
      </c>
    </row>
    <row r="4" spans="1:6" x14ac:dyDescent="0.2">
      <c r="D4">
        <v>48.1</v>
      </c>
    </row>
    <row r="5" spans="1:6" x14ac:dyDescent="0.2">
      <c r="D5">
        <v>222.01</v>
      </c>
    </row>
    <row r="6" spans="1:6" x14ac:dyDescent="0.2">
      <c r="D6">
        <v>74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"/>
  <sheetViews>
    <sheetView zoomScaleNormal="100" workbookViewId="0">
      <selection activeCell="D24" sqref="D24"/>
    </sheetView>
  </sheetViews>
  <sheetFormatPr defaultRowHeight="12.75" x14ac:dyDescent="0.2"/>
  <cols>
    <col min="1" max="1" width="33.85546875"/>
    <col min="2" max="2" width="14.7109375"/>
    <col min="3" max="4" width="12.42578125"/>
    <col min="5" max="5" width="14.42578125"/>
    <col min="6" max="1025" width="12.42578125"/>
  </cols>
  <sheetData>
    <row r="1" spans="1:5" x14ac:dyDescent="0.2">
      <c r="A1" s="94" t="s">
        <v>446</v>
      </c>
      <c r="B1" s="86">
        <v>183.9</v>
      </c>
      <c r="C1">
        <v>2089</v>
      </c>
      <c r="D1">
        <v>183.69</v>
      </c>
      <c r="E1" s="1">
        <v>41578</v>
      </c>
    </row>
    <row r="2" spans="1:5" x14ac:dyDescent="0.2">
      <c r="A2" s="94" t="s">
        <v>448</v>
      </c>
      <c r="B2" s="86">
        <v>183.9</v>
      </c>
      <c r="C2">
        <v>2089</v>
      </c>
      <c r="D2">
        <v>183.69</v>
      </c>
      <c r="E2" s="1">
        <v>41670</v>
      </c>
    </row>
    <row r="3" spans="1:5" x14ac:dyDescent="0.2">
      <c r="A3" s="94" t="s">
        <v>450</v>
      </c>
      <c r="B3" s="86">
        <v>191.7</v>
      </c>
      <c r="C3">
        <v>2089</v>
      </c>
      <c r="D3">
        <v>191.7</v>
      </c>
    </row>
    <row r="4" spans="1:5" x14ac:dyDescent="0.2">
      <c r="A4" s="94" t="s">
        <v>452</v>
      </c>
      <c r="B4" s="86">
        <v>383.67</v>
      </c>
      <c r="D4">
        <v>191.7</v>
      </c>
    </row>
    <row r="5" spans="1:5" x14ac:dyDescent="0.2">
      <c r="A5" s="94" t="s">
        <v>454</v>
      </c>
      <c r="B5" s="86">
        <v>383.67</v>
      </c>
      <c r="D5">
        <v>191.7</v>
      </c>
    </row>
    <row r="6" spans="1:5" x14ac:dyDescent="0.2">
      <c r="A6" s="94" t="s">
        <v>456</v>
      </c>
      <c r="B6" s="86">
        <v>400.44</v>
      </c>
      <c r="D6">
        <v>191.7</v>
      </c>
    </row>
    <row r="7" spans="1:5" x14ac:dyDescent="0.2">
      <c r="A7" s="94" t="s">
        <v>458</v>
      </c>
      <c r="B7" s="86">
        <v>136.44999999999999</v>
      </c>
      <c r="D7">
        <v>383.67</v>
      </c>
    </row>
    <row r="8" spans="1:5" x14ac:dyDescent="0.2">
      <c r="A8" s="94" t="s">
        <v>460</v>
      </c>
      <c r="B8" s="86">
        <v>136.44999999999999</v>
      </c>
      <c r="D8">
        <v>383.67</v>
      </c>
    </row>
    <row r="9" spans="1:5" x14ac:dyDescent="0.2">
      <c r="A9" s="94" t="s">
        <v>462</v>
      </c>
      <c r="B9" s="86">
        <v>142</v>
      </c>
      <c r="D9">
        <v>400.44</v>
      </c>
    </row>
    <row r="10" spans="1:5" x14ac:dyDescent="0.2">
      <c r="A10" s="94" t="s">
        <v>463</v>
      </c>
      <c r="B10" s="86">
        <v>142</v>
      </c>
      <c r="D10">
        <v>400.44</v>
      </c>
    </row>
    <row r="11" spans="1:5" x14ac:dyDescent="0.2">
      <c r="A11" s="106" t="s">
        <v>464</v>
      </c>
      <c r="B11" s="107">
        <v>142</v>
      </c>
      <c r="D11">
        <v>400.44</v>
      </c>
    </row>
    <row r="12" spans="1:5" x14ac:dyDescent="0.2">
      <c r="A12" s="106" t="s">
        <v>465</v>
      </c>
      <c r="B12" s="107">
        <v>133.47999999999999</v>
      </c>
      <c r="D12">
        <v>400.44</v>
      </c>
    </row>
    <row r="13" spans="1:5" x14ac:dyDescent="0.2">
      <c r="A13" s="106" t="s">
        <v>466</v>
      </c>
      <c r="B13" s="107">
        <v>63.9</v>
      </c>
      <c r="C13">
        <v>2985</v>
      </c>
      <c r="D13">
        <v>136.05000000000001</v>
      </c>
      <c r="E13" s="1">
        <v>41565</v>
      </c>
    </row>
    <row r="14" spans="1:5" x14ac:dyDescent="0.2">
      <c r="A14" s="106" t="s">
        <v>467</v>
      </c>
      <c r="B14" s="107">
        <v>142</v>
      </c>
      <c r="C14">
        <v>2985</v>
      </c>
      <c r="D14">
        <v>136.05000000000001</v>
      </c>
      <c r="E14" s="1">
        <v>41628</v>
      </c>
    </row>
    <row r="15" spans="1:5" x14ac:dyDescent="0.2">
      <c r="A15" s="106" t="s">
        <v>468</v>
      </c>
      <c r="B15" s="107">
        <v>133.47999999999999</v>
      </c>
      <c r="C15">
        <v>2985</v>
      </c>
      <c r="D15">
        <v>142</v>
      </c>
      <c r="E15" s="1">
        <v>41746</v>
      </c>
    </row>
    <row r="16" spans="1:5" x14ac:dyDescent="0.2">
      <c r="A16" s="106" t="s">
        <v>469</v>
      </c>
      <c r="B16" s="107">
        <v>63.9</v>
      </c>
      <c r="C16">
        <v>2985</v>
      </c>
      <c r="D16">
        <v>142</v>
      </c>
      <c r="E16" s="1">
        <v>41779</v>
      </c>
    </row>
    <row r="17" spans="1:5" x14ac:dyDescent="0.2">
      <c r="A17" s="106" t="s">
        <v>470</v>
      </c>
      <c r="B17" s="107">
        <v>142</v>
      </c>
      <c r="C17">
        <v>2985</v>
      </c>
      <c r="D17">
        <v>142</v>
      </c>
      <c r="E17" s="1">
        <v>41810</v>
      </c>
    </row>
    <row r="18" spans="1:5" x14ac:dyDescent="0.2">
      <c r="A18" s="106" t="s">
        <v>471</v>
      </c>
      <c r="B18" s="107">
        <v>133.47999999999999</v>
      </c>
      <c r="C18">
        <v>2985</v>
      </c>
      <c r="D18">
        <v>142</v>
      </c>
      <c r="E18" s="1">
        <v>41838</v>
      </c>
    </row>
    <row r="19" spans="1:5" x14ac:dyDescent="0.2">
      <c r="A19" s="106" t="s">
        <v>472</v>
      </c>
      <c r="B19" s="107">
        <v>63.9</v>
      </c>
      <c r="C19">
        <v>2985</v>
      </c>
      <c r="D19">
        <v>142</v>
      </c>
      <c r="E19" s="1">
        <v>41871</v>
      </c>
    </row>
    <row r="20" spans="1:5" x14ac:dyDescent="0.2">
      <c r="A20" s="106" t="s">
        <v>473</v>
      </c>
      <c r="B20" s="107">
        <v>142</v>
      </c>
      <c r="C20">
        <v>2985</v>
      </c>
      <c r="D20">
        <v>142</v>
      </c>
      <c r="E20" s="1">
        <v>41901</v>
      </c>
    </row>
    <row r="21" spans="1:5" x14ac:dyDescent="0.2">
      <c r="A21" s="106" t="s">
        <v>474</v>
      </c>
      <c r="B21" s="107">
        <v>133.47999999999999</v>
      </c>
      <c r="C21">
        <v>2985</v>
      </c>
      <c r="D21">
        <v>142</v>
      </c>
      <c r="E21" s="1">
        <v>41932</v>
      </c>
    </row>
    <row r="22" spans="1:5" x14ac:dyDescent="0.2">
      <c r="A22" s="106" t="s">
        <v>475</v>
      </c>
      <c r="B22" s="107">
        <v>63.9</v>
      </c>
      <c r="C22">
        <v>2985</v>
      </c>
      <c r="D22">
        <v>142</v>
      </c>
      <c r="E22" s="1">
        <v>41963</v>
      </c>
    </row>
    <row r="23" spans="1:5" x14ac:dyDescent="0.2">
      <c r="A23" s="106" t="s">
        <v>476</v>
      </c>
      <c r="B23" s="107">
        <v>142</v>
      </c>
      <c r="D23">
        <f>SUM(D1:D22)</f>
        <v>4911.380000000001</v>
      </c>
    </row>
    <row r="24" spans="1:5" x14ac:dyDescent="0.2">
      <c r="A24" s="106" t="s">
        <v>477</v>
      </c>
      <c r="B24" s="107">
        <v>133.47999999999999</v>
      </c>
    </row>
    <row r="25" spans="1:5" x14ac:dyDescent="0.2">
      <c r="A25" s="106" t="s">
        <v>478</v>
      </c>
      <c r="B25" s="107">
        <v>63.9</v>
      </c>
    </row>
    <row r="26" spans="1:5" x14ac:dyDescent="0.2">
      <c r="A26" s="106" t="s">
        <v>479</v>
      </c>
      <c r="B26" s="107">
        <v>142</v>
      </c>
    </row>
    <row r="27" spans="1:5" x14ac:dyDescent="0.2">
      <c r="A27" s="106" t="s">
        <v>480</v>
      </c>
      <c r="B27" s="107">
        <v>133.47999999999999</v>
      </c>
    </row>
    <row r="28" spans="1:5" x14ac:dyDescent="0.2">
      <c r="A28" s="106" t="s">
        <v>481</v>
      </c>
      <c r="B28" s="107">
        <v>63.9</v>
      </c>
    </row>
    <row r="29" spans="1:5" x14ac:dyDescent="0.2">
      <c r="A29" s="106" t="s">
        <v>482</v>
      </c>
      <c r="B29" s="107">
        <v>142</v>
      </c>
    </row>
    <row r="30" spans="1:5" x14ac:dyDescent="0.2">
      <c r="A30" s="106" t="s">
        <v>483</v>
      </c>
      <c r="B30" s="107">
        <v>133.47999999999999</v>
      </c>
    </row>
    <row r="31" spans="1:5" x14ac:dyDescent="0.2">
      <c r="A31" s="106" t="s">
        <v>484</v>
      </c>
      <c r="B31" s="107">
        <v>63.9</v>
      </c>
    </row>
    <row r="32" spans="1:5" x14ac:dyDescent="0.2">
      <c r="A32" s="106" t="s">
        <v>485</v>
      </c>
      <c r="B32" s="107">
        <v>142</v>
      </c>
    </row>
    <row r="33" spans="1:2" x14ac:dyDescent="0.2">
      <c r="A33" s="106" t="s">
        <v>486</v>
      </c>
      <c r="B33" s="107">
        <v>133.47999999999999</v>
      </c>
    </row>
    <row r="34" spans="1:2" x14ac:dyDescent="0.2">
      <c r="A34" s="106" t="s">
        <v>487</v>
      </c>
      <c r="B34" s="107">
        <v>63.9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zoomScaleNormal="100" workbookViewId="0">
      <selection activeCell="B9" sqref="B9"/>
    </sheetView>
  </sheetViews>
  <sheetFormatPr defaultRowHeight="12.75" x14ac:dyDescent="0.2"/>
  <cols>
    <col min="1" max="1" width="17.85546875"/>
    <col min="2" max="2" width="20.140625"/>
    <col min="3" max="3" width="26.85546875"/>
    <col min="4" max="4" width="23.7109375"/>
    <col min="5" max="5" width="32.28515625"/>
    <col min="6" max="1025" width="12.42578125"/>
  </cols>
  <sheetData>
    <row r="1" spans="1:6" x14ac:dyDescent="0.2">
      <c r="A1" s="3" t="s">
        <v>568</v>
      </c>
      <c r="B1" s="3">
        <v>769536824</v>
      </c>
      <c r="C1" s="118">
        <v>17298092000130</v>
      </c>
      <c r="D1" s="3"/>
      <c r="E1" s="119"/>
      <c r="F1" s="3"/>
    </row>
    <row r="2" spans="1:6" x14ac:dyDescent="0.2">
      <c r="A2" t="s">
        <v>569</v>
      </c>
    </row>
    <row r="3" spans="1:6" x14ac:dyDescent="0.2">
      <c r="A3" s="120" t="s">
        <v>570</v>
      </c>
      <c r="B3" s="120">
        <v>627.92999999999995</v>
      </c>
      <c r="C3">
        <f>SUM(B3:B4)</f>
        <v>2425.11</v>
      </c>
    </row>
    <row r="4" spans="1:6" x14ac:dyDescent="0.2">
      <c r="A4" s="120" t="s">
        <v>571</v>
      </c>
      <c r="B4" s="120">
        <v>1797.18</v>
      </c>
    </row>
    <row r="5" spans="1:6" x14ac:dyDescent="0.2">
      <c r="A5" t="s">
        <v>572</v>
      </c>
    </row>
    <row r="6" spans="1:6" x14ac:dyDescent="0.2">
      <c r="A6" t="s">
        <v>573</v>
      </c>
      <c r="B6">
        <v>72.25</v>
      </c>
      <c r="C6">
        <f>SUM(B6:B12)</f>
        <v>2676.27</v>
      </c>
    </row>
    <row r="7" spans="1:6" x14ac:dyDescent="0.2">
      <c r="A7" t="s">
        <v>574</v>
      </c>
      <c r="B7">
        <v>72.25</v>
      </c>
    </row>
    <row r="8" spans="1:6" x14ac:dyDescent="0.2">
      <c r="A8" t="s">
        <v>570</v>
      </c>
      <c r="B8">
        <v>627.92999999999995</v>
      </c>
    </row>
    <row r="9" spans="1:6" x14ac:dyDescent="0.2">
      <c r="A9" t="s">
        <v>575</v>
      </c>
      <c r="B9">
        <v>105.65</v>
      </c>
    </row>
    <row r="10" spans="1:6" x14ac:dyDescent="0.2">
      <c r="A10" t="s">
        <v>576</v>
      </c>
      <c r="B10">
        <v>1617.3</v>
      </c>
    </row>
    <row r="11" spans="1:6" x14ac:dyDescent="0.2">
      <c r="A11" t="s">
        <v>577</v>
      </c>
      <c r="B11">
        <v>127.69</v>
      </c>
    </row>
    <row r="12" spans="1:6" x14ac:dyDescent="0.2">
      <c r="A12" t="s">
        <v>578</v>
      </c>
      <c r="B12">
        <v>53.2</v>
      </c>
    </row>
    <row r="13" spans="1:6" x14ac:dyDescent="0.2">
      <c r="A13" t="s">
        <v>579</v>
      </c>
    </row>
    <row r="14" spans="1:6" x14ac:dyDescent="0.2">
      <c r="A14" t="s">
        <v>571</v>
      </c>
      <c r="B14">
        <v>1532.18</v>
      </c>
      <c r="C14">
        <f>SUM(B14:B15)</f>
        <v>2401.02</v>
      </c>
    </row>
    <row r="15" spans="1:6" x14ac:dyDescent="0.2">
      <c r="A15" t="s">
        <v>571</v>
      </c>
      <c r="B15">
        <v>868.84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zoomScaleNormal="100" workbookViewId="0">
      <selection activeCell="C12" sqref="C12"/>
    </sheetView>
  </sheetViews>
  <sheetFormatPr defaultRowHeight="12.75" x14ac:dyDescent="0.2"/>
  <cols>
    <col min="1" max="1" width="14"/>
    <col min="2" max="2" width="14.42578125"/>
    <col min="3" max="3" width="9.7109375"/>
    <col min="4" max="4" width="6.85546875"/>
    <col min="5" max="7" width="14.42578125"/>
    <col min="8" max="1025" width="12.42578125"/>
  </cols>
  <sheetData>
    <row r="1" spans="1:5" x14ac:dyDescent="0.2">
      <c r="A1" t="s">
        <v>580</v>
      </c>
      <c r="B1">
        <v>903435357</v>
      </c>
    </row>
    <row r="2" spans="1:5" x14ac:dyDescent="0.2">
      <c r="A2" s="3" t="s">
        <v>581</v>
      </c>
      <c r="B2" s="110">
        <v>42119</v>
      </c>
      <c r="C2">
        <v>356.64</v>
      </c>
      <c r="D2">
        <v>2012</v>
      </c>
      <c r="E2" s="1">
        <v>40968</v>
      </c>
    </row>
    <row r="3" spans="1:5" x14ac:dyDescent="0.2">
      <c r="A3" s="3" t="s">
        <v>581</v>
      </c>
      <c r="B3" s="1">
        <v>41627</v>
      </c>
      <c r="C3">
        <v>408.88</v>
      </c>
      <c r="D3">
        <v>2011</v>
      </c>
      <c r="E3" s="1">
        <v>40598</v>
      </c>
    </row>
    <row r="4" spans="1:5" x14ac:dyDescent="0.2">
      <c r="A4" s="3" t="s">
        <v>581</v>
      </c>
      <c r="B4" s="110">
        <v>42119</v>
      </c>
      <c r="C4">
        <v>340.1</v>
      </c>
      <c r="D4">
        <v>2013</v>
      </c>
      <c r="E4" s="1">
        <v>41332</v>
      </c>
    </row>
    <row r="5" spans="1:5" x14ac:dyDescent="0.2">
      <c r="A5" s="3" t="s">
        <v>582</v>
      </c>
      <c r="B5" s="1">
        <v>42062</v>
      </c>
      <c r="C5">
        <v>150.41</v>
      </c>
      <c r="D5">
        <v>2015</v>
      </c>
      <c r="E5" s="1">
        <v>42062</v>
      </c>
    </row>
    <row r="6" spans="1:5" x14ac:dyDescent="0.2">
      <c r="A6" s="3" t="s">
        <v>582</v>
      </c>
      <c r="B6" s="1">
        <v>42062</v>
      </c>
      <c r="C6">
        <v>169.58</v>
      </c>
      <c r="D6">
        <v>2014</v>
      </c>
      <c r="E6" s="1">
        <v>42062</v>
      </c>
    </row>
    <row r="7" spans="1:5" x14ac:dyDescent="0.2">
      <c r="A7" s="3" t="s">
        <v>583</v>
      </c>
      <c r="B7" s="1">
        <v>42062</v>
      </c>
      <c r="C7">
        <v>292.01</v>
      </c>
      <c r="D7">
        <v>2015</v>
      </c>
      <c r="E7" s="1">
        <v>42062</v>
      </c>
    </row>
    <row r="8" spans="1:5" x14ac:dyDescent="0.2">
      <c r="A8" s="3" t="s">
        <v>583</v>
      </c>
      <c r="B8" s="1">
        <v>42062</v>
      </c>
      <c r="C8">
        <v>292.01</v>
      </c>
      <c r="D8">
        <v>2014</v>
      </c>
      <c r="E8" s="1">
        <v>42062</v>
      </c>
    </row>
    <row r="9" spans="1:5" x14ac:dyDescent="0.2">
      <c r="A9" s="3" t="s">
        <v>584</v>
      </c>
      <c r="B9" s="1">
        <v>42062</v>
      </c>
      <c r="C9">
        <v>72.25</v>
      </c>
      <c r="D9">
        <v>2015</v>
      </c>
      <c r="E9" s="1">
        <v>42062</v>
      </c>
    </row>
    <row r="10" spans="1:5" x14ac:dyDescent="0.2">
      <c r="A10" s="3" t="s">
        <v>584</v>
      </c>
      <c r="B10" s="1">
        <v>42062</v>
      </c>
      <c r="C10">
        <v>72.25</v>
      </c>
      <c r="D10">
        <v>2014</v>
      </c>
      <c r="E10" s="1">
        <v>42062</v>
      </c>
    </row>
    <row r="11" spans="1:5" x14ac:dyDescent="0.2">
      <c r="C11">
        <f>SUM(C2:C10)</f>
        <v>2154.13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zoomScaleNormal="100" workbookViewId="0">
      <selection activeCell="B4" sqref="B4"/>
    </sheetView>
  </sheetViews>
  <sheetFormatPr defaultRowHeight="12.75" x14ac:dyDescent="0.2"/>
  <cols>
    <col min="1" max="1025" width="12.42578125"/>
  </cols>
  <sheetData>
    <row r="1" spans="1:2" x14ac:dyDescent="0.2">
      <c r="A1" t="s">
        <v>585</v>
      </c>
      <c r="B1">
        <f>'divida empresa'!D23</f>
        <v>4911.380000000001</v>
      </c>
    </row>
    <row r="2" spans="1:2" x14ac:dyDescent="0.2">
      <c r="A2" t="s">
        <v>150</v>
      </c>
      <c r="B2">
        <f>'divida carro'!C6</f>
        <v>2676.27</v>
      </c>
    </row>
    <row r="3" spans="1:2" x14ac:dyDescent="0.2">
      <c r="A3" t="s">
        <v>493</v>
      </c>
      <c r="B3">
        <f>'divida moto'!C11</f>
        <v>2154.13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zoomScaleNormal="100" workbookViewId="0">
      <selection activeCell="D5" sqref="D5"/>
    </sheetView>
  </sheetViews>
  <sheetFormatPr defaultRowHeight="12.75" x14ac:dyDescent="0.2"/>
  <cols>
    <col min="1" max="1" width="12.42578125"/>
    <col min="2" max="2" width="38.7109375"/>
    <col min="3" max="3" width="12.42578125"/>
    <col min="4" max="4" width="38.7109375"/>
    <col min="5" max="1025" width="12.42578125"/>
  </cols>
  <sheetData>
    <row r="1" spans="1:5" x14ac:dyDescent="0.2">
      <c r="A1" s="121">
        <v>42248</v>
      </c>
      <c r="B1" s="122" t="s">
        <v>586</v>
      </c>
      <c r="C1" s="123">
        <v>74.900000000000006</v>
      </c>
      <c r="D1" s="52" t="s">
        <v>587</v>
      </c>
      <c r="E1" s="124">
        <v>207.55</v>
      </c>
    </row>
    <row r="2" spans="1:5" x14ac:dyDescent="0.2">
      <c r="A2" s="121">
        <v>42251</v>
      </c>
      <c r="B2" s="123" t="s">
        <v>298</v>
      </c>
      <c r="C2" s="123">
        <v>42.31</v>
      </c>
      <c r="D2" s="52" t="s">
        <v>588</v>
      </c>
      <c r="E2" s="124">
        <v>85.75</v>
      </c>
    </row>
    <row r="3" spans="1:5" x14ac:dyDescent="0.2">
      <c r="A3" s="121">
        <v>42252</v>
      </c>
      <c r="B3" s="123" t="s">
        <v>589</v>
      </c>
      <c r="C3" s="123">
        <v>112</v>
      </c>
      <c r="D3" s="52" t="s">
        <v>590</v>
      </c>
      <c r="E3" s="124">
        <v>55.1</v>
      </c>
    </row>
    <row r="4" spans="1:5" x14ac:dyDescent="0.2">
      <c r="A4" s="121">
        <v>42252</v>
      </c>
      <c r="B4" s="123" t="s">
        <v>360</v>
      </c>
      <c r="C4" s="123">
        <v>71.8</v>
      </c>
      <c r="D4" s="52" t="s">
        <v>591</v>
      </c>
      <c r="E4" s="124">
        <v>70.5</v>
      </c>
    </row>
    <row r="5" spans="1:5" x14ac:dyDescent="0.2">
      <c r="A5" s="121">
        <v>42253</v>
      </c>
      <c r="B5" s="123" t="s">
        <v>381</v>
      </c>
      <c r="C5" s="123">
        <v>78.97</v>
      </c>
      <c r="D5" s="52" t="s">
        <v>592</v>
      </c>
      <c r="E5" s="124">
        <v>41.42</v>
      </c>
    </row>
    <row r="6" spans="1:5" x14ac:dyDescent="0.2">
      <c r="A6" s="121">
        <v>42255</v>
      </c>
      <c r="B6" s="123" t="s">
        <v>317</v>
      </c>
      <c r="C6" s="123">
        <v>11.89</v>
      </c>
      <c r="D6" s="52" t="s">
        <v>60</v>
      </c>
      <c r="E6" s="124">
        <v>42.31</v>
      </c>
    </row>
    <row r="7" spans="1:5" x14ac:dyDescent="0.2">
      <c r="A7" s="121">
        <v>42255</v>
      </c>
      <c r="B7" s="123" t="s">
        <v>298</v>
      </c>
      <c r="C7" s="123">
        <v>59.71</v>
      </c>
      <c r="D7" s="52" t="s">
        <v>593</v>
      </c>
      <c r="E7" s="124">
        <v>112</v>
      </c>
    </row>
    <row r="8" spans="1:5" x14ac:dyDescent="0.2">
      <c r="A8" s="121">
        <v>42256</v>
      </c>
      <c r="B8" s="123" t="s">
        <v>594</v>
      </c>
      <c r="C8" s="123">
        <v>70</v>
      </c>
      <c r="D8" s="52" t="s">
        <v>82</v>
      </c>
      <c r="E8" s="124">
        <v>71.8</v>
      </c>
    </row>
    <row r="9" spans="1:5" x14ac:dyDescent="0.2">
      <c r="A9" s="121">
        <v>42256</v>
      </c>
      <c r="B9" s="123" t="s">
        <v>595</v>
      </c>
      <c r="C9" s="123">
        <v>23.55</v>
      </c>
      <c r="D9" s="122" t="s">
        <v>586</v>
      </c>
      <c r="E9" s="123">
        <v>74.900000000000006</v>
      </c>
    </row>
    <row r="10" spans="1:5" x14ac:dyDescent="0.2">
      <c r="A10" s="121">
        <v>42256</v>
      </c>
      <c r="B10" s="123" t="s">
        <v>596</v>
      </c>
      <c r="C10" s="123">
        <v>46.67</v>
      </c>
      <c r="D10" s="123" t="s">
        <v>381</v>
      </c>
      <c r="E10" s="123">
        <v>78.97</v>
      </c>
    </row>
    <row r="11" spans="1:5" x14ac:dyDescent="0.2">
      <c r="A11" s="121">
        <v>42258</v>
      </c>
      <c r="B11" s="123" t="s">
        <v>597</v>
      </c>
      <c r="C11" s="123">
        <v>22.55</v>
      </c>
      <c r="D11" s="123" t="s">
        <v>317</v>
      </c>
      <c r="E11" s="123">
        <v>11.89</v>
      </c>
    </row>
    <row r="12" spans="1:5" x14ac:dyDescent="0.2">
      <c r="A12" s="121">
        <v>42258</v>
      </c>
      <c r="B12" s="123" t="s">
        <v>298</v>
      </c>
      <c r="C12" s="123">
        <v>84.68</v>
      </c>
      <c r="D12" s="123" t="s">
        <v>298</v>
      </c>
      <c r="E12" s="123">
        <v>59.71</v>
      </c>
    </row>
    <row r="13" spans="1:5" x14ac:dyDescent="0.2">
      <c r="A13" s="52"/>
      <c r="B13" s="124"/>
      <c r="C13" s="121"/>
      <c r="D13" s="123" t="s">
        <v>595</v>
      </c>
      <c r="E13" s="123">
        <v>23.55</v>
      </c>
    </row>
    <row r="14" spans="1:5" x14ac:dyDescent="0.2">
      <c r="A14" s="52"/>
      <c r="B14" s="124"/>
      <c r="C14" s="121"/>
      <c r="D14" s="123" t="s">
        <v>596</v>
      </c>
      <c r="E14" s="123">
        <v>46.67</v>
      </c>
    </row>
    <row r="15" spans="1:5" x14ac:dyDescent="0.2">
      <c r="A15" s="52"/>
      <c r="B15" s="124"/>
      <c r="C15" s="121"/>
      <c r="D15" s="123" t="s">
        <v>597</v>
      </c>
      <c r="E15" s="123">
        <v>22.55</v>
      </c>
    </row>
    <row r="16" spans="1:5" x14ac:dyDescent="0.2">
      <c r="A16" s="52"/>
      <c r="B16" s="124"/>
      <c r="C16" s="121"/>
      <c r="D16" s="123" t="s">
        <v>298</v>
      </c>
      <c r="E16" s="123">
        <v>84.68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"/>
  <sheetViews>
    <sheetView zoomScaleNormal="100" workbookViewId="0">
      <selection activeCell="B1" sqref="B1"/>
    </sheetView>
  </sheetViews>
  <sheetFormatPr defaultRowHeight="12.75" x14ac:dyDescent="0.2"/>
  <cols>
    <col min="1" max="1" width="38.7109375"/>
    <col min="2" max="1025" width="12.42578125"/>
  </cols>
  <sheetData>
    <row r="1" spans="1:2" x14ac:dyDescent="0.2">
      <c r="A1" s="3" t="s">
        <v>26</v>
      </c>
      <c r="B1">
        <v>5.32</v>
      </c>
    </row>
    <row r="2" spans="1:2" x14ac:dyDescent="0.2">
      <c r="A2" s="3" t="s">
        <v>29</v>
      </c>
      <c r="B2">
        <v>50</v>
      </c>
    </row>
    <row r="3" spans="1:2" x14ac:dyDescent="0.2">
      <c r="A3" s="3" t="s">
        <v>31</v>
      </c>
      <c r="B3">
        <v>45.74</v>
      </c>
    </row>
    <row r="4" spans="1:2" x14ac:dyDescent="0.2">
      <c r="A4" s="3" t="s">
        <v>45</v>
      </c>
      <c r="B4">
        <v>61.61</v>
      </c>
    </row>
    <row r="5" spans="1:2" x14ac:dyDescent="0.2">
      <c r="A5" s="3" t="s">
        <v>32</v>
      </c>
      <c r="B5" s="3">
        <v>236.24</v>
      </c>
    </row>
    <row r="6" spans="1:2" x14ac:dyDescent="0.2">
      <c r="A6" s="3" t="s">
        <v>35</v>
      </c>
      <c r="B6">
        <v>536.46</v>
      </c>
    </row>
    <row r="7" spans="1:2" x14ac:dyDescent="0.2">
      <c r="A7" s="3" t="s">
        <v>37</v>
      </c>
      <c r="B7">
        <v>130</v>
      </c>
    </row>
    <row r="8" spans="1:2" x14ac:dyDescent="0.2">
      <c r="A8" s="3" t="s">
        <v>598</v>
      </c>
      <c r="B8">
        <v>148.01</v>
      </c>
    </row>
    <row r="9" spans="1:2" x14ac:dyDescent="0.2">
      <c r="A9" s="3" t="s">
        <v>38</v>
      </c>
      <c r="B9">
        <v>139.13</v>
      </c>
    </row>
    <row r="10" spans="1:2" x14ac:dyDescent="0.2">
      <c r="A10" s="3" t="s">
        <v>40</v>
      </c>
      <c r="B10">
        <v>66.61</v>
      </c>
    </row>
    <row r="11" spans="1:2" x14ac:dyDescent="0.2">
      <c r="A11" s="3" t="s">
        <v>44</v>
      </c>
      <c r="B11">
        <v>1314.42</v>
      </c>
    </row>
    <row r="12" spans="1:2" x14ac:dyDescent="0.2">
      <c r="A12" s="9" t="s">
        <v>46</v>
      </c>
      <c r="B12" s="9">
        <v>3076.39</v>
      </c>
    </row>
    <row r="13" spans="1:2" x14ac:dyDescent="0.2">
      <c r="A13" s="3" t="s">
        <v>89</v>
      </c>
      <c r="B13">
        <v>400</v>
      </c>
    </row>
    <row r="14" spans="1:2" x14ac:dyDescent="0.2">
      <c r="A14" s="3" t="s">
        <v>599</v>
      </c>
      <c r="B14">
        <v>102.05</v>
      </c>
    </row>
    <row r="15" spans="1:2" x14ac:dyDescent="0.2">
      <c r="A15" s="3" t="s">
        <v>600</v>
      </c>
      <c r="B15">
        <v>169.78</v>
      </c>
    </row>
    <row r="16" spans="1:2" x14ac:dyDescent="0.2">
      <c r="A16" s="3" t="s">
        <v>601</v>
      </c>
      <c r="B16">
        <v>172.67</v>
      </c>
    </row>
    <row r="17" spans="1:2" x14ac:dyDescent="0.2">
      <c r="A17" s="3" t="s">
        <v>602</v>
      </c>
      <c r="B17">
        <v>180.32</v>
      </c>
    </row>
    <row r="18" spans="1:2" x14ac:dyDescent="0.2">
      <c r="A18" s="3" t="s">
        <v>603</v>
      </c>
      <c r="B18">
        <v>354.63</v>
      </c>
    </row>
    <row r="19" spans="1:2" x14ac:dyDescent="0.2">
      <c r="A19" s="3" t="s">
        <v>604</v>
      </c>
      <c r="B19">
        <v>189.78</v>
      </c>
    </row>
    <row r="20" spans="1:2" x14ac:dyDescent="0.2">
      <c r="A20" s="3" t="s">
        <v>605</v>
      </c>
      <c r="B20">
        <v>191.84</v>
      </c>
    </row>
    <row r="21" spans="1:2" x14ac:dyDescent="0.2">
      <c r="A21" s="3" t="s">
        <v>55</v>
      </c>
      <c r="B21">
        <v>50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zoomScaleNormal="100" workbookViewId="0">
      <selection activeCell="B4" sqref="B4"/>
    </sheetView>
  </sheetViews>
  <sheetFormatPr defaultRowHeight="12.75" x14ac:dyDescent="0.2"/>
  <cols>
    <col min="1" max="1" width="20.7109375"/>
    <col min="2" max="2" width="11.140625"/>
    <col min="3" max="3" width="17.42578125"/>
    <col min="4" max="4" width="20.85546875"/>
    <col min="5" max="5" width="15.7109375"/>
    <col min="6" max="1025" width="12.42578125"/>
  </cols>
  <sheetData>
    <row r="1" spans="1:5" ht="15" x14ac:dyDescent="0.25">
      <c r="A1" s="125" t="s">
        <v>606</v>
      </c>
      <c r="B1" s="125" t="s">
        <v>607</v>
      </c>
      <c r="C1" s="125" t="s">
        <v>608</v>
      </c>
      <c r="D1" s="125" t="s">
        <v>609</v>
      </c>
    </row>
    <row r="2" spans="1:5" ht="14.25" x14ac:dyDescent="0.2">
      <c r="A2" s="126" t="s">
        <v>610</v>
      </c>
      <c r="B2" s="127" t="s">
        <v>442</v>
      </c>
      <c r="C2" s="128">
        <v>7400</v>
      </c>
      <c r="D2" s="129" t="s">
        <v>442</v>
      </c>
    </row>
    <row r="3" spans="1:5" ht="14.25" x14ac:dyDescent="0.2">
      <c r="A3" s="126" t="s">
        <v>611</v>
      </c>
      <c r="B3" s="130">
        <v>11</v>
      </c>
      <c r="C3" s="129">
        <v>4390.24</v>
      </c>
      <c r="D3" s="128">
        <f>(C3*11)/100</f>
        <v>482.9264</v>
      </c>
    </row>
    <row r="4" spans="1:5" ht="14.25" x14ac:dyDescent="0.2">
      <c r="A4" s="126" t="s">
        <v>612</v>
      </c>
      <c r="B4" s="130">
        <v>1</v>
      </c>
      <c r="C4" s="131">
        <f>179.71*B4</f>
        <v>179.71</v>
      </c>
      <c r="D4" s="131">
        <f>C4</f>
        <v>179.71</v>
      </c>
    </row>
    <row r="5" spans="1:5" ht="14.25" x14ac:dyDescent="0.2">
      <c r="A5" s="126" t="s">
        <v>613</v>
      </c>
      <c r="B5" s="130">
        <v>27.5</v>
      </c>
      <c r="C5" s="128">
        <f>C2-D3-D4</f>
        <v>6737.3635999999997</v>
      </c>
      <c r="D5" s="128">
        <f>((C5*B5)/100)-826.15</f>
        <v>1026.6249899999998</v>
      </c>
    </row>
    <row r="6" spans="1:5" ht="15" customHeight="1" x14ac:dyDescent="0.2">
      <c r="A6" s="138" t="s">
        <v>614</v>
      </c>
      <c r="B6" s="138"/>
      <c r="C6" s="128">
        <v>7400</v>
      </c>
      <c r="D6" s="128">
        <f>SUM(D3:D5)</f>
        <v>1689.2613899999997</v>
      </c>
      <c r="E6" s="132">
        <f>C6-D6</f>
        <v>5710.7386100000003</v>
      </c>
    </row>
  </sheetData>
  <mergeCells count="1">
    <mergeCell ref="A6:B6"/>
  </mergeCells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80"/>
  <sheetViews>
    <sheetView topLeftCell="A1753" zoomScaleNormal="100" workbookViewId="0">
      <selection activeCell="A811" sqref="A811"/>
    </sheetView>
  </sheetViews>
  <sheetFormatPr defaultRowHeight="12.75" x14ac:dyDescent="0.2"/>
  <cols>
    <col min="1" max="1" width="22.28515625"/>
    <col min="2" max="1025" width="12.42578125"/>
  </cols>
  <sheetData>
    <row r="1" spans="1:1" x14ac:dyDescent="0.2">
      <c r="A1" s="133">
        <v>394321711</v>
      </c>
    </row>
    <row r="2" spans="1:1" x14ac:dyDescent="0.2">
      <c r="A2" s="133">
        <v>395304770</v>
      </c>
    </row>
    <row r="3" spans="1:1" x14ac:dyDescent="0.2">
      <c r="A3" s="133">
        <v>394315557</v>
      </c>
    </row>
    <row r="4" spans="1:1" x14ac:dyDescent="0.2">
      <c r="A4" s="133">
        <v>394454075</v>
      </c>
    </row>
    <row r="5" spans="1:1" x14ac:dyDescent="0.2">
      <c r="A5" s="133">
        <v>394467917</v>
      </c>
    </row>
    <row r="6" spans="1:1" x14ac:dyDescent="0.2">
      <c r="A6" s="133">
        <v>394607369</v>
      </c>
    </row>
    <row r="7" spans="1:1" x14ac:dyDescent="0.2">
      <c r="A7" s="133">
        <v>395108369</v>
      </c>
    </row>
    <row r="8" spans="1:1" x14ac:dyDescent="0.2">
      <c r="A8" s="133">
        <v>395234974</v>
      </c>
    </row>
    <row r="9" spans="1:1" x14ac:dyDescent="0.2">
      <c r="A9" s="133">
        <v>395544533</v>
      </c>
    </row>
    <row r="10" spans="1:1" x14ac:dyDescent="0.2">
      <c r="A10" s="133">
        <v>394484415</v>
      </c>
    </row>
    <row r="11" spans="1:1" x14ac:dyDescent="0.2">
      <c r="A11" s="133">
        <v>395234973</v>
      </c>
    </row>
    <row r="12" spans="1:1" x14ac:dyDescent="0.2">
      <c r="A12" s="133">
        <v>393431054</v>
      </c>
    </row>
    <row r="13" spans="1:1" x14ac:dyDescent="0.2">
      <c r="A13" s="133">
        <v>395157551</v>
      </c>
    </row>
    <row r="14" spans="1:1" x14ac:dyDescent="0.2">
      <c r="A14" s="133">
        <v>395182182</v>
      </c>
    </row>
    <row r="15" spans="1:1" x14ac:dyDescent="0.2">
      <c r="A15" s="133">
        <v>395394294</v>
      </c>
    </row>
    <row r="16" spans="1:1" x14ac:dyDescent="0.2">
      <c r="A16" s="133">
        <v>394715386</v>
      </c>
    </row>
    <row r="17" spans="1:1" x14ac:dyDescent="0.2">
      <c r="A17" s="133">
        <v>394778585</v>
      </c>
    </row>
    <row r="18" spans="1:1" x14ac:dyDescent="0.2">
      <c r="A18" s="133">
        <v>394352727</v>
      </c>
    </row>
    <row r="19" spans="1:1" x14ac:dyDescent="0.2">
      <c r="A19" s="133">
        <v>394353473</v>
      </c>
    </row>
    <row r="20" spans="1:1" x14ac:dyDescent="0.2">
      <c r="A20" s="133">
        <v>394498604</v>
      </c>
    </row>
    <row r="21" spans="1:1" x14ac:dyDescent="0.2">
      <c r="A21" s="133">
        <v>394446998</v>
      </c>
    </row>
    <row r="22" spans="1:1" x14ac:dyDescent="0.2">
      <c r="A22" s="133">
        <v>394472856</v>
      </c>
    </row>
    <row r="23" spans="1:1" x14ac:dyDescent="0.2">
      <c r="A23" s="133">
        <v>394587575</v>
      </c>
    </row>
    <row r="24" spans="1:1" x14ac:dyDescent="0.2">
      <c r="A24" s="133">
        <v>394452871</v>
      </c>
    </row>
    <row r="25" spans="1:1" x14ac:dyDescent="0.2">
      <c r="A25" s="133">
        <v>394531083</v>
      </c>
    </row>
    <row r="26" spans="1:1" x14ac:dyDescent="0.2">
      <c r="A26" s="133">
        <v>394451794</v>
      </c>
    </row>
    <row r="27" spans="1:1" x14ac:dyDescent="0.2">
      <c r="A27" s="133">
        <v>394602882</v>
      </c>
    </row>
    <row r="28" spans="1:1" x14ac:dyDescent="0.2">
      <c r="A28" s="133">
        <v>395411887</v>
      </c>
    </row>
    <row r="29" spans="1:1" x14ac:dyDescent="0.2">
      <c r="A29" s="133">
        <v>395221036</v>
      </c>
    </row>
    <row r="30" spans="1:1" x14ac:dyDescent="0.2">
      <c r="A30" s="133">
        <v>394690423</v>
      </c>
    </row>
    <row r="31" spans="1:1" x14ac:dyDescent="0.2">
      <c r="A31" s="133">
        <v>394698239</v>
      </c>
    </row>
    <row r="32" spans="1:1" x14ac:dyDescent="0.2">
      <c r="A32" s="133">
        <v>395402658</v>
      </c>
    </row>
    <row r="33" spans="1:1" x14ac:dyDescent="0.2">
      <c r="A33" s="133">
        <v>395300840</v>
      </c>
    </row>
    <row r="34" spans="1:1" x14ac:dyDescent="0.2">
      <c r="A34" s="133">
        <v>395234580</v>
      </c>
    </row>
    <row r="35" spans="1:1" x14ac:dyDescent="0.2">
      <c r="A35" s="133">
        <v>395234770</v>
      </c>
    </row>
    <row r="36" spans="1:1" x14ac:dyDescent="0.2">
      <c r="A36" s="133">
        <v>395238510</v>
      </c>
    </row>
    <row r="37" spans="1:1" x14ac:dyDescent="0.2">
      <c r="A37" s="133">
        <v>395448562</v>
      </c>
    </row>
    <row r="38" spans="1:1" x14ac:dyDescent="0.2">
      <c r="A38" s="133">
        <v>394680362</v>
      </c>
    </row>
    <row r="39" spans="1:1" x14ac:dyDescent="0.2">
      <c r="A39" s="133">
        <v>394559950</v>
      </c>
    </row>
    <row r="40" spans="1:1" x14ac:dyDescent="0.2">
      <c r="A40" s="133">
        <v>394686937</v>
      </c>
    </row>
    <row r="41" spans="1:1" x14ac:dyDescent="0.2">
      <c r="A41" s="133">
        <v>395454106</v>
      </c>
    </row>
    <row r="42" spans="1:1" x14ac:dyDescent="0.2">
      <c r="A42" s="133">
        <v>394724467</v>
      </c>
    </row>
    <row r="43" spans="1:1" x14ac:dyDescent="0.2">
      <c r="A43" s="133">
        <v>394724753</v>
      </c>
    </row>
    <row r="44" spans="1:1" x14ac:dyDescent="0.2">
      <c r="A44" s="133">
        <v>395244811</v>
      </c>
    </row>
    <row r="45" spans="1:1" x14ac:dyDescent="0.2">
      <c r="A45" s="133">
        <v>395244920</v>
      </c>
    </row>
    <row r="46" spans="1:1" x14ac:dyDescent="0.2">
      <c r="A46" s="133">
        <v>395250522</v>
      </c>
    </row>
    <row r="47" spans="1:1" x14ac:dyDescent="0.2">
      <c r="A47" s="133">
        <v>395251545</v>
      </c>
    </row>
    <row r="48" spans="1:1" x14ac:dyDescent="0.2">
      <c r="A48" s="133">
        <v>394741156</v>
      </c>
    </row>
    <row r="49" spans="1:1" x14ac:dyDescent="0.2">
      <c r="A49" s="133">
        <v>395255595</v>
      </c>
    </row>
    <row r="50" spans="1:1" x14ac:dyDescent="0.2">
      <c r="A50" s="133">
        <v>395258284</v>
      </c>
    </row>
    <row r="51" spans="1:1" x14ac:dyDescent="0.2">
      <c r="A51" s="133">
        <v>394646372</v>
      </c>
    </row>
    <row r="52" spans="1:1" x14ac:dyDescent="0.2">
      <c r="A52" s="133">
        <v>395327202</v>
      </c>
    </row>
    <row r="53" spans="1:1" x14ac:dyDescent="0.2">
      <c r="A53" s="133">
        <v>395481396</v>
      </c>
    </row>
    <row r="54" spans="1:1" x14ac:dyDescent="0.2">
      <c r="A54" s="133">
        <v>394799499</v>
      </c>
    </row>
    <row r="55" spans="1:1" x14ac:dyDescent="0.2">
      <c r="A55" s="133">
        <v>394801422</v>
      </c>
    </row>
    <row r="56" spans="1:1" x14ac:dyDescent="0.2">
      <c r="A56" s="133">
        <v>394803351</v>
      </c>
    </row>
    <row r="57" spans="1:1" x14ac:dyDescent="0.2">
      <c r="A57" s="133">
        <v>394797259</v>
      </c>
    </row>
    <row r="58" spans="1:1" x14ac:dyDescent="0.2">
      <c r="A58" s="133">
        <v>394808451</v>
      </c>
    </row>
    <row r="59" spans="1:1" x14ac:dyDescent="0.2">
      <c r="A59" s="133">
        <v>394645479</v>
      </c>
    </row>
    <row r="60" spans="1:1" x14ac:dyDescent="0.2">
      <c r="A60" s="133">
        <v>394232048</v>
      </c>
    </row>
    <row r="61" spans="1:1" x14ac:dyDescent="0.2">
      <c r="A61" s="133">
        <v>394737758</v>
      </c>
    </row>
    <row r="62" spans="1:1" x14ac:dyDescent="0.2">
      <c r="A62" s="133">
        <v>395079090</v>
      </c>
    </row>
    <row r="63" spans="1:1" x14ac:dyDescent="0.2">
      <c r="A63" s="133">
        <v>395266923</v>
      </c>
    </row>
    <row r="64" spans="1:1" x14ac:dyDescent="0.2">
      <c r="A64" s="133">
        <v>395115314</v>
      </c>
    </row>
    <row r="65" spans="1:1" x14ac:dyDescent="0.2">
      <c r="A65" s="133">
        <v>395428848</v>
      </c>
    </row>
    <row r="66" spans="1:1" x14ac:dyDescent="0.2">
      <c r="A66" s="133">
        <v>394452339</v>
      </c>
    </row>
    <row r="67" spans="1:1" x14ac:dyDescent="0.2">
      <c r="A67" s="133">
        <v>394710838</v>
      </c>
    </row>
    <row r="68" spans="1:1" x14ac:dyDescent="0.2">
      <c r="A68" s="133">
        <v>394890401</v>
      </c>
    </row>
    <row r="69" spans="1:1" x14ac:dyDescent="0.2">
      <c r="A69" s="133">
        <v>394636875</v>
      </c>
    </row>
    <row r="70" spans="1:1" x14ac:dyDescent="0.2">
      <c r="A70" s="133">
        <v>394839154</v>
      </c>
    </row>
    <row r="71" spans="1:1" x14ac:dyDescent="0.2">
      <c r="A71" s="133">
        <v>394841136</v>
      </c>
    </row>
    <row r="72" spans="1:1" x14ac:dyDescent="0.2">
      <c r="A72" s="133">
        <v>395503737</v>
      </c>
    </row>
    <row r="73" spans="1:1" x14ac:dyDescent="0.2">
      <c r="A73" s="133">
        <v>395201171</v>
      </c>
    </row>
    <row r="74" spans="1:1" x14ac:dyDescent="0.2">
      <c r="A74" s="133">
        <v>394848484</v>
      </c>
    </row>
    <row r="75" spans="1:1" x14ac:dyDescent="0.2">
      <c r="A75" s="133">
        <v>394850343</v>
      </c>
    </row>
    <row r="76" spans="1:1" x14ac:dyDescent="0.2">
      <c r="A76" s="133">
        <v>394855576</v>
      </c>
    </row>
    <row r="77" spans="1:1" x14ac:dyDescent="0.2">
      <c r="A77" s="133">
        <v>394432836</v>
      </c>
    </row>
    <row r="78" spans="1:1" x14ac:dyDescent="0.2">
      <c r="A78" s="133">
        <v>394461979</v>
      </c>
    </row>
    <row r="79" spans="1:1" x14ac:dyDescent="0.2">
      <c r="A79" s="133">
        <v>395417702</v>
      </c>
    </row>
    <row r="80" spans="1:1" x14ac:dyDescent="0.2">
      <c r="A80" s="133">
        <v>395200123</v>
      </c>
    </row>
    <row r="81" spans="1:1" x14ac:dyDescent="0.2">
      <c r="A81" s="133">
        <v>394886139</v>
      </c>
    </row>
    <row r="82" spans="1:1" x14ac:dyDescent="0.2">
      <c r="A82" s="133">
        <v>394885742</v>
      </c>
    </row>
    <row r="83" spans="1:1" x14ac:dyDescent="0.2">
      <c r="A83" s="133">
        <v>395290181</v>
      </c>
    </row>
    <row r="84" spans="1:1" x14ac:dyDescent="0.2">
      <c r="A84" s="133">
        <v>394887610</v>
      </c>
    </row>
    <row r="85" spans="1:1" x14ac:dyDescent="0.2">
      <c r="A85" s="133">
        <v>395511962</v>
      </c>
    </row>
    <row r="86" spans="1:1" x14ac:dyDescent="0.2">
      <c r="A86" s="133">
        <v>395432649</v>
      </c>
    </row>
    <row r="87" spans="1:1" x14ac:dyDescent="0.2">
      <c r="A87" s="133">
        <v>394724803</v>
      </c>
    </row>
    <row r="88" spans="1:1" x14ac:dyDescent="0.2">
      <c r="A88" s="133">
        <v>394923894</v>
      </c>
    </row>
    <row r="89" spans="1:1" x14ac:dyDescent="0.2">
      <c r="A89" s="133">
        <v>394929506</v>
      </c>
    </row>
    <row r="90" spans="1:1" x14ac:dyDescent="0.2">
      <c r="A90" s="133">
        <v>395303892</v>
      </c>
    </row>
    <row r="91" spans="1:1" x14ac:dyDescent="0.2">
      <c r="A91" s="133">
        <v>394668324</v>
      </c>
    </row>
    <row r="92" spans="1:1" x14ac:dyDescent="0.2">
      <c r="A92" s="133">
        <v>394438376</v>
      </c>
    </row>
    <row r="93" spans="1:1" x14ac:dyDescent="0.2">
      <c r="A93" s="133">
        <v>395446497</v>
      </c>
    </row>
    <row r="94" spans="1:1" x14ac:dyDescent="0.2">
      <c r="A94" s="133">
        <v>394937250</v>
      </c>
    </row>
    <row r="95" spans="1:1" x14ac:dyDescent="0.2">
      <c r="A95" s="133">
        <v>394939027</v>
      </c>
    </row>
    <row r="96" spans="1:1" x14ac:dyDescent="0.2">
      <c r="A96" s="133">
        <v>394939441</v>
      </c>
    </row>
    <row r="97" spans="1:1" x14ac:dyDescent="0.2">
      <c r="A97" s="133">
        <v>395558559</v>
      </c>
    </row>
    <row r="98" spans="1:1" x14ac:dyDescent="0.2">
      <c r="A98" s="133">
        <v>394693911</v>
      </c>
    </row>
    <row r="99" spans="1:1" x14ac:dyDescent="0.2">
      <c r="A99" s="133">
        <v>395315626</v>
      </c>
    </row>
    <row r="100" spans="1:1" x14ac:dyDescent="0.2">
      <c r="A100" s="133">
        <v>395466618</v>
      </c>
    </row>
    <row r="101" spans="1:1" x14ac:dyDescent="0.2">
      <c r="A101" s="133">
        <v>395581924</v>
      </c>
    </row>
    <row r="102" spans="1:1" x14ac:dyDescent="0.2">
      <c r="A102" s="133">
        <v>395475862</v>
      </c>
    </row>
    <row r="103" spans="1:1" x14ac:dyDescent="0.2">
      <c r="A103" s="133">
        <v>395387642</v>
      </c>
    </row>
    <row r="104" spans="1:1" x14ac:dyDescent="0.2">
      <c r="A104" s="133">
        <v>394785218</v>
      </c>
    </row>
    <row r="105" spans="1:1" x14ac:dyDescent="0.2">
      <c r="A105" s="133">
        <v>395255399</v>
      </c>
    </row>
    <row r="106" spans="1:1" x14ac:dyDescent="0.2">
      <c r="A106" s="133">
        <v>395326132</v>
      </c>
    </row>
    <row r="107" spans="1:1" x14ac:dyDescent="0.2">
      <c r="A107" s="133">
        <v>394864668</v>
      </c>
    </row>
    <row r="108" spans="1:1" x14ac:dyDescent="0.2">
      <c r="A108" s="133">
        <v>394862023</v>
      </c>
    </row>
    <row r="109" spans="1:1" x14ac:dyDescent="0.2">
      <c r="A109" s="133">
        <v>394710313</v>
      </c>
    </row>
    <row r="110" spans="1:1" x14ac:dyDescent="0.2">
      <c r="A110" s="133">
        <v>395526512</v>
      </c>
    </row>
    <row r="111" spans="1:1" x14ac:dyDescent="0.2">
      <c r="A111" s="133">
        <v>395502878</v>
      </c>
    </row>
    <row r="112" spans="1:1" x14ac:dyDescent="0.2">
      <c r="A112" s="133">
        <v>395573711</v>
      </c>
    </row>
    <row r="113" spans="1:1" x14ac:dyDescent="0.2">
      <c r="A113" s="133">
        <v>395293101</v>
      </c>
    </row>
    <row r="114" spans="1:1" x14ac:dyDescent="0.2">
      <c r="A114" s="133">
        <v>395449730</v>
      </c>
    </row>
    <row r="115" spans="1:1" x14ac:dyDescent="0.2">
      <c r="A115" s="133">
        <v>394516180</v>
      </c>
    </row>
    <row r="116" spans="1:1" x14ac:dyDescent="0.2">
      <c r="A116" s="133">
        <v>394531062</v>
      </c>
    </row>
    <row r="117" spans="1:1" x14ac:dyDescent="0.2">
      <c r="A117" s="133">
        <v>394515328</v>
      </c>
    </row>
    <row r="118" spans="1:1" x14ac:dyDescent="0.2">
      <c r="A118" s="133">
        <v>394541482</v>
      </c>
    </row>
    <row r="119" spans="1:1" x14ac:dyDescent="0.2">
      <c r="A119" s="133">
        <v>395026407</v>
      </c>
    </row>
    <row r="120" spans="1:1" x14ac:dyDescent="0.2">
      <c r="A120" s="133">
        <v>395031267</v>
      </c>
    </row>
    <row r="121" spans="1:1" x14ac:dyDescent="0.2">
      <c r="A121" s="133">
        <v>395033927</v>
      </c>
    </row>
    <row r="122" spans="1:1" x14ac:dyDescent="0.2">
      <c r="A122" s="133">
        <v>395387527</v>
      </c>
    </row>
    <row r="123" spans="1:1" x14ac:dyDescent="0.2">
      <c r="A123" s="133">
        <v>395042642</v>
      </c>
    </row>
    <row r="124" spans="1:1" x14ac:dyDescent="0.2">
      <c r="A124" s="133">
        <v>395045137</v>
      </c>
    </row>
    <row r="125" spans="1:1" x14ac:dyDescent="0.2">
      <c r="A125" s="133">
        <v>394678263</v>
      </c>
    </row>
    <row r="126" spans="1:1" x14ac:dyDescent="0.2">
      <c r="A126" s="133">
        <v>395051279</v>
      </c>
    </row>
    <row r="127" spans="1:1" x14ac:dyDescent="0.2">
      <c r="A127" s="133">
        <v>395052468</v>
      </c>
    </row>
    <row r="128" spans="1:1" x14ac:dyDescent="0.2">
      <c r="A128" s="133">
        <v>395055614</v>
      </c>
    </row>
    <row r="129" spans="1:1" x14ac:dyDescent="0.2">
      <c r="A129" s="133">
        <v>395055735</v>
      </c>
    </row>
    <row r="130" spans="1:1" x14ac:dyDescent="0.2">
      <c r="A130" s="133">
        <v>395060150</v>
      </c>
    </row>
    <row r="131" spans="1:1" x14ac:dyDescent="0.2">
      <c r="A131" s="133">
        <v>394836501</v>
      </c>
    </row>
    <row r="132" spans="1:1" x14ac:dyDescent="0.2">
      <c r="A132" s="133">
        <v>395209260</v>
      </c>
    </row>
    <row r="133" spans="1:1" x14ac:dyDescent="0.2">
      <c r="A133" s="133">
        <v>395514291</v>
      </c>
    </row>
    <row r="134" spans="1:1" x14ac:dyDescent="0.2">
      <c r="A134" s="133">
        <v>395416660</v>
      </c>
    </row>
    <row r="135" spans="1:1" x14ac:dyDescent="0.2">
      <c r="A135" s="133">
        <v>395416823</v>
      </c>
    </row>
    <row r="136" spans="1:1" x14ac:dyDescent="0.2">
      <c r="A136" s="133">
        <v>395347377</v>
      </c>
    </row>
    <row r="137" spans="1:1" x14ac:dyDescent="0.2">
      <c r="A137" s="133">
        <v>395102516</v>
      </c>
    </row>
    <row r="138" spans="1:1" x14ac:dyDescent="0.2">
      <c r="A138" s="133">
        <v>395535920</v>
      </c>
    </row>
    <row r="139" spans="1:1" x14ac:dyDescent="0.2">
      <c r="A139" s="133">
        <v>395426999</v>
      </c>
    </row>
    <row r="140" spans="1:1" x14ac:dyDescent="0.2">
      <c r="A140" s="133">
        <v>394698146</v>
      </c>
    </row>
    <row r="141" spans="1:1" x14ac:dyDescent="0.2">
      <c r="A141" s="133">
        <v>395124212</v>
      </c>
    </row>
    <row r="142" spans="1:1" x14ac:dyDescent="0.2">
      <c r="A142" s="133">
        <v>395543302</v>
      </c>
    </row>
    <row r="143" spans="1:1" x14ac:dyDescent="0.2">
      <c r="A143" s="133">
        <v>395546394</v>
      </c>
    </row>
    <row r="144" spans="1:1" x14ac:dyDescent="0.2">
      <c r="A144" s="133">
        <v>395548041</v>
      </c>
    </row>
    <row r="145" spans="1:1" x14ac:dyDescent="0.2">
      <c r="A145" s="133">
        <v>395116947</v>
      </c>
    </row>
    <row r="146" spans="1:1" x14ac:dyDescent="0.2">
      <c r="A146" s="133">
        <v>395443967</v>
      </c>
    </row>
    <row r="147" spans="1:1" x14ac:dyDescent="0.2">
      <c r="A147" s="133">
        <v>395356760</v>
      </c>
    </row>
    <row r="148" spans="1:1" x14ac:dyDescent="0.2">
      <c r="A148" s="133">
        <v>395237626</v>
      </c>
    </row>
    <row r="149" spans="1:1" x14ac:dyDescent="0.2">
      <c r="A149" s="133">
        <v>395448148</v>
      </c>
    </row>
    <row r="150" spans="1:1" x14ac:dyDescent="0.2">
      <c r="A150" s="133">
        <v>394719550</v>
      </c>
    </row>
    <row r="151" spans="1:1" x14ac:dyDescent="0.2">
      <c r="A151" s="133">
        <v>395133130</v>
      </c>
    </row>
    <row r="152" spans="1:1" x14ac:dyDescent="0.2">
      <c r="A152" s="133">
        <v>395133391</v>
      </c>
    </row>
    <row r="153" spans="1:1" x14ac:dyDescent="0.2">
      <c r="A153" s="133">
        <v>395560614</v>
      </c>
    </row>
    <row r="154" spans="1:1" x14ac:dyDescent="0.2">
      <c r="A154" s="133">
        <v>395134914</v>
      </c>
    </row>
    <row r="155" spans="1:1" x14ac:dyDescent="0.2">
      <c r="A155" s="133">
        <v>394610021</v>
      </c>
    </row>
    <row r="156" spans="1:1" x14ac:dyDescent="0.2">
      <c r="A156" s="133">
        <v>395563644</v>
      </c>
    </row>
    <row r="157" spans="1:1" x14ac:dyDescent="0.2">
      <c r="A157" s="133">
        <v>395564483</v>
      </c>
    </row>
    <row r="158" spans="1:1" x14ac:dyDescent="0.2">
      <c r="A158" s="133">
        <v>395564599</v>
      </c>
    </row>
    <row r="159" spans="1:1" x14ac:dyDescent="0.2">
      <c r="A159" s="133">
        <v>395309898</v>
      </c>
    </row>
    <row r="160" spans="1:1" x14ac:dyDescent="0.2">
      <c r="A160" s="133">
        <v>395247172</v>
      </c>
    </row>
    <row r="161" spans="1:1" x14ac:dyDescent="0.2">
      <c r="A161" s="133">
        <v>395142059</v>
      </c>
    </row>
    <row r="162" spans="1:1" x14ac:dyDescent="0.2">
      <c r="A162" s="133">
        <v>394883908</v>
      </c>
    </row>
    <row r="163" spans="1:1" x14ac:dyDescent="0.2">
      <c r="A163" s="133">
        <v>395250444</v>
      </c>
    </row>
    <row r="164" spans="1:1" x14ac:dyDescent="0.2">
      <c r="A164" s="133">
        <v>395147228</v>
      </c>
    </row>
    <row r="165" spans="1:1" x14ac:dyDescent="0.2">
      <c r="A165" s="133">
        <v>394748465</v>
      </c>
    </row>
    <row r="166" spans="1:1" x14ac:dyDescent="0.2">
      <c r="A166" s="133">
        <v>394873963</v>
      </c>
    </row>
    <row r="167" spans="1:1" x14ac:dyDescent="0.2">
      <c r="A167" s="133">
        <v>395579762</v>
      </c>
    </row>
    <row r="168" spans="1:1" x14ac:dyDescent="0.2">
      <c r="A168" s="133">
        <v>394993113</v>
      </c>
    </row>
    <row r="169" spans="1:1" x14ac:dyDescent="0.2">
      <c r="A169" s="133">
        <v>394998365</v>
      </c>
    </row>
    <row r="170" spans="1:1" x14ac:dyDescent="0.2">
      <c r="A170" s="133">
        <v>395001227</v>
      </c>
    </row>
    <row r="171" spans="1:1" x14ac:dyDescent="0.2">
      <c r="A171" s="133">
        <v>395004468</v>
      </c>
    </row>
    <row r="172" spans="1:1" x14ac:dyDescent="0.2">
      <c r="A172" s="133">
        <v>395004901</v>
      </c>
    </row>
    <row r="173" spans="1:1" x14ac:dyDescent="0.2">
      <c r="A173" s="133">
        <v>395417809</v>
      </c>
    </row>
    <row r="174" spans="1:1" x14ac:dyDescent="0.2">
      <c r="A174" s="133">
        <v>392570823</v>
      </c>
    </row>
    <row r="175" spans="1:1" x14ac:dyDescent="0.2">
      <c r="A175" s="133">
        <v>395009242</v>
      </c>
    </row>
    <row r="176" spans="1:1" x14ac:dyDescent="0.2">
      <c r="A176" s="133">
        <v>395010357</v>
      </c>
    </row>
    <row r="177" spans="1:1" x14ac:dyDescent="0.2">
      <c r="A177" s="133">
        <v>394661177</v>
      </c>
    </row>
    <row r="178" spans="1:1" x14ac:dyDescent="0.2">
      <c r="A178" s="133">
        <v>394781694</v>
      </c>
    </row>
    <row r="179" spans="1:1" x14ac:dyDescent="0.2">
      <c r="A179" s="133">
        <v>394664991</v>
      </c>
    </row>
    <row r="180" spans="1:1" x14ac:dyDescent="0.2">
      <c r="A180" s="133">
        <v>395514022</v>
      </c>
    </row>
    <row r="181" spans="1:1" x14ac:dyDescent="0.2">
      <c r="A181" s="133">
        <v>395459773</v>
      </c>
    </row>
    <row r="182" spans="1:1" x14ac:dyDescent="0.2">
      <c r="A182" s="133">
        <v>395016006</v>
      </c>
    </row>
    <row r="183" spans="1:1" x14ac:dyDescent="0.2">
      <c r="A183" s="133">
        <v>395180974</v>
      </c>
    </row>
    <row r="184" spans="1:1" x14ac:dyDescent="0.2">
      <c r="A184" s="133">
        <v>394972071</v>
      </c>
    </row>
    <row r="185" spans="1:1" x14ac:dyDescent="0.2">
      <c r="A185" s="133">
        <v>394814000</v>
      </c>
    </row>
    <row r="186" spans="1:1" x14ac:dyDescent="0.2">
      <c r="A186" s="133">
        <v>394914016</v>
      </c>
    </row>
    <row r="187" spans="1:1" x14ac:dyDescent="0.2">
      <c r="A187" s="133">
        <v>394960975</v>
      </c>
    </row>
    <row r="188" spans="1:1" x14ac:dyDescent="0.2">
      <c r="A188" s="133">
        <v>395039108</v>
      </c>
    </row>
    <row r="189" spans="1:1" x14ac:dyDescent="0.2">
      <c r="A189" s="133">
        <v>394884973</v>
      </c>
    </row>
    <row r="190" spans="1:1" x14ac:dyDescent="0.2">
      <c r="A190" s="133">
        <v>395100228</v>
      </c>
    </row>
    <row r="191" spans="1:1" x14ac:dyDescent="0.2">
      <c r="A191" s="133">
        <v>394869260</v>
      </c>
    </row>
    <row r="192" spans="1:1" x14ac:dyDescent="0.2">
      <c r="A192" s="133">
        <v>395063294</v>
      </c>
    </row>
    <row r="193" spans="1:1" x14ac:dyDescent="0.2">
      <c r="A193" s="133">
        <v>395075432</v>
      </c>
    </row>
    <row r="194" spans="1:1" x14ac:dyDescent="0.2">
      <c r="A194" s="133">
        <v>395182731</v>
      </c>
    </row>
    <row r="195" spans="1:1" x14ac:dyDescent="0.2">
      <c r="A195" s="133">
        <v>395600202</v>
      </c>
    </row>
    <row r="196" spans="1:1" x14ac:dyDescent="0.2">
      <c r="A196" s="133">
        <v>395556822</v>
      </c>
    </row>
    <row r="197" spans="1:1" x14ac:dyDescent="0.2">
      <c r="A197" s="133">
        <v>395187357</v>
      </c>
    </row>
    <row r="198" spans="1:1" x14ac:dyDescent="0.2">
      <c r="A198" s="133">
        <v>395188386</v>
      </c>
    </row>
    <row r="199" spans="1:1" x14ac:dyDescent="0.2">
      <c r="A199" s="133">
        <v>394823131</v>
      </c>
    </row>
    <row r="200" spans="1:1" x14ac:dyDescent="0.2">
      <c r="A200" s="133">
        <v>395189247</v>
      </c>
    </row>
    <row r="201" spans="1:1" x14ac:dyDescent="0.2">
      <c r="A201" s="133">
        <v>395038545</v>
      </c>
    </row>
    <row r="202" spans="1:1" x14ac:dyDescent="0.2">
      <c r="A202" s="133">
        <v>395188813</v>
      </c>
    </row>
    <row r="203" spans="1:1" x14ac:dyDescent="0.2">
      <c r="A203" s="133">
        <v>395188988</v>
      </c>
    </row>
    <row r="204" spans="1:1" x14ac:dyDescent="0.2">
      <c r="A204" s="133">
        <v>395189957</v>
      </c>
    </row>
    <row r="205" spans="1:1" x14ac:dyDescent="0.2">
      <c r="A205" s="133">
        <v>395191226</v>
      </c>
    </row>
    <row r="206" spans="1:1" x14ac:dyDescent="0.2">
      <c r="A206" s="133">
        <v>395190439</v>
      </c>
    </row>
    <row r="207" spans="1:1" x14ac:dyDescent="0.2">
      <c r="A207" s="133">
        <v>395092830</v>
      </c>
    </row>
    <row r="208" spans="1:1" x14ac:dyDescent="0.2">
      <c r="A208" s="133">
        <v>395192317</v>
      </c>
    </row>
    <row r="209" spans="1:1" x14ac:dyDescent="0.2">
      <c r="A209" s="133">
        <v>395192319</v>
      </c>
    </row>
    <row r="210" spans="1:1" x14ac:dyDescent="0.2">
      <c r="A210" s="133">
        <v>394829735</v>
      </c>
    </row>
    <row r="211" spans="1:1" x14ac:dyDescent="0.2">
      <c r="A211" s="133">
        <v>395192735</v>
      </c>
    </row>
    <row r="212" spans="1:1" x14ac:dyDescent="0.2">
      <c r="A212" s="133">
        <v>395193326</v>
      </c>
    </row>
    <row r="213" spans="1:1" x14ac:dyDescent="0.2">
      <c r="A213" s="133">
        <v>395039411</v>
      </c>
    </row>
    <row r="214" spans="1:1" x14ac:dyDescent="0.2">
      <c r="A214" s="133">
        <v>395193360</v>
      </c>
    </row>
    <row r="215" spans="1:1" x14ac:dyDescent="0.2">
      <c r="A215" s="133">
        <v>395194023</v>
      </c>
    </row>
    <row r="216" spans="1:1" x14ac:dyDescent="0.2">
      <c r="A216" s="133">
        <v>395194150</v>
      </c>
    </row>
    <row r="217" spans="1:1" x14ac:dyDescent="0.2">
      <c r="A217" s="133">
        <v>395194165</v>
      </c>
    </row>
    <row r="218" spans="1:1" x14ac:dyDescent="0.2">
      <c r="A218" s="133">
        <v>395194176</v>
      </c>
    </row>
    <row r="219" spans="1:1" x14ac:dyDescent="0.2">
      <c r="A219" s="133">
        <v>395194183</v>
      </c>
    </row>
    <row r="220" spans="1:1" x14ac:dyDescent="0.2">
      <c r="A220" s="133">
        <v>394833072</v>
      </c>
    </row>
    <row r="221" spans="1:1" x14ac:dyDescent="0.2">
      <c r="A221" s="133">
        <v>395194398</v>
      </c>
    </row>
    <row r="222" spans="1:1" x14ac:dyDescent="0.2">
      <c r="A222" s="133">
        <v>395193852</v>
      </c>
    </row>
    <row r="223" spans="1:1" x14ac:dyDescent="0.2">
      <c r="A223" s="133">
        <v>395060303</v>
      </c>
    </row>
    <row r="224" spans="1:1" x14ac:dyDescent="0.2">
      <c r="A224" s="133">
        <v>395194962</v>
      </c>
    </row>
    <row r="225" spans="1:1" x14ac:dyDescent="0.2">
      <c r="A225" s="133">
        <v>395192044</v>
      </c>
    </row>
    <row r="226" spans="1:1" x14ac:dyDescent="0.2">
      <c r="A226" s="133">
        <v>395195368</v>
      </c>
    </row>
    <row r="227" spans="1:1" x14ac:dyDescent="0.2">
      <c r="A227" s="133">
        <v>395195370</v>
      </c>
    </row>
    <row r="228" spans="1:1" x14ac:dyDescent="0.2">
      <c r="A228" s="133">
        <v>395127832</v>
      </c>
    </row>
    <row r="229" spans="1:1" x14ac:dyDescent="0.2">
      <c r="A229" s="133">
        <v>395195552</v>
      </c>
    </row>
    <row r="230" spans="1:1" x14ac:dyDescent="0.2">
      <c r="A230" s="133">
        <v>395196522</v>
      </c>
    </row>
    <row r="231" spans="1:1" x14ac:dyDescent="0.2">
      <c r="A231" s="133">
        <v>395127829</v>
      </c>
    </row>
    <row r="232" spans="1:1" x14ac:dyDescent="0.2">
      <c r="A232" s="133">
        <v>395401948</v>
      </c>
    </row>
    <row r="233" spans="1:1" x14ac:dyDescent="0.2">
      <c r="A233" s="133">
        <v>395198129</v>
      </c>
    </row>
    <row r="234" spans="1:1" x14ac:dyDescent="0.2">
      <c r="A234" s="133">
        <v>395198202</v>
      </c>
    </row>
    <row r="235" spans="1:1" x14ac:dyDescent="0.2">
      <c r="A235" s="133">
        <v>395198430</v>
      </c>
    </row>
    <row r="236" spans="1:1" x14ac:dyDescent="0.2">
      <c r="A236" s="133">
        <v>395198440</v>
      </c>
    </row>
    <row r="237" spans="1:1" x14ac:dyDescent="0.2">
      <c r="A237" s="133">
        <v>395198589</v>
      </c>
    </row>
    <row r="238" spans="1:1" x14ac:dyDescent="0.2">
      <c r="A238" s="133">
        <v>395199086</v>
      </c>
    </row>
    <row r="239" spans="1:1" x14ac:dyDescent="0.2">
      <c r="A239" s="133">
        <v>395199369</v>
      </c>
    </row>
    <row r="240" spans="1:1" x14ac:dyDescent="0.2">
      <c r="A240" s="133">
        <v>395199521</v>
      </c>
    </row>
    <row r="241" spans="1:1" x14ac:dyDescent="0.2">
      <c r="A241" s="133">
        <v>395613056</v>
      </c>
    </row>
    <row r="242" spans="1:1" x14ac:dyDescent="0.2">
      <c r="A242" s="133">
        <v>395200597</v>
      </c>
    </row>
    <row r="243" spans="1:1" x14ac:dyDescent="0.2">
      <c r="A243" s="133">
        <v>395187885</v>
      </c>
    </row>
    <row r="244" spans="1:1" x14ac:dyDescent="0.2">
      <c r="A244" s="133">
        <v>395202271</v>
      </c>
    </row>
    <row r="245" spans="1:1" x14ac:dyDescent="0.2">
      <c r="A245" s="133">
        <v>395201661</v>
      </c>
    </row>
    <row r="246" spans="1:1" x14ac:dyDescent="0.2">
      <c r="A246" s="133">
        <v>395201697</v>
      </c>
    </row>
    <row r="247" spans="1:1" x14ac:dyDescent="0.2">
      <c r="A247" s="133">
        <v>395201857</v>
      </c>
    </row>
    <row r="248" spans="1:1" x14ac:dyDescent="0.2">
      <c r="A248" s="133">
        <v>395201914</v>
      </c>
    </row>
    <row r="249" spans="1:1" x14ac:dyDescent="0.2">
      <c r="A249" s="133">
        <v>395118676</v>
      </c>
    </row>
    <row r="250" spans="1:1" x14ac:dyDescent="0.2">
      <c r="A250" s="133">
        <v>395204095</v>
      </c>
    </row>
    <row r="251" spans="1:1" x14ac:dyDescent="0.2">
      <c r="A251" s="133">
        <v>395205127</v>
      </c>
    </row>
    <row r="252" spans="1:1" x14ac:dyDescent="0.2">
      <c r="A252" s="133">
        <v>395205198</v>
      </c>
    </row>
    <row r="253" spans="1:1" x14ac:dyDescent="0.2">
      <c r="A253" s="133">
        <v>395205238</v>
      </c>
    </row>
    <row r="254" spans="1:1" x14ac:dyDescent="0.2">
      <c r="A254" s="133">
        <v>395204631</v>
      </c>
    </row>
    <row r="255" spans="1:1" x14ac:dyDescent="0.2">
      <c r="A255" s="133">
        <v>395747081</v>
      </c>
    </row>
    <row r="256" spans="1:1" x14ac:dyDescent="0.2">
      <c r="A256" s="133">
        <v>394849254</v>
      </c>
    </row>
    <row r="257" spans="1:1" x14ac:dyDescent="0.2">
      <c r="A257" s="133">
        <v>395207098</v>
      </c>
    </row>
    <row r="258" spans="1:1" x14ac:dyDescent="0.2">
      <c r="A258" s="133">
        <v>395208593</v>
      </c>
    </row>
    <row r="259" spans="1:1" x14ac:dyDescent="0.2">
      <c r="A259" s="133">
        <v>395209163</v>
      </c>
    </row>
    <row r="260" spans="1:1" x14ac:dyDescent="0.2">
      <c r="A260" s="133">
        <v>395517072</v>
      </c>
    </row>
    <row r="261" spans="1:1" x14ac:dyDescent="0.2">
      <c r="A261" s="133">
        <v>395210864</v>
      </c>
    </row>
    <row r="262" spans="1:1" x14ac:dyDescent="0.2">
      <c r="A262" s="133">
        <v>395211147</v>
      </c>
    </row>
    <row r="263" spans="1:1" x14ac:dyDescent="0.2">
      <c r="A263" s="133">
        <v>395210923</v>
      </c>
    </row>
    <row r="264" spans="1:1" x14ac:dyDescent="0.2">
      <c r="A264" s="133">
        <v>395211506</v>
      </c>
    </row>
    <row r="265" spans="1:1" x14ac:dyDescent="0.2">
      <c r="A265" s="133">
        <v>395212412</v>
      </c>
    </row>
    <row r="266" spans="1:1" x14ac:dyDescent="0.2">
      <c r="A266" s="133">
        <v>394875288</v>
      </c>
    </row>
    <row r="267" spans="1:1" x14ac:dyDescent="0.2">
      <c r="A267" s="133">
        <v>394874934</v>
      </c>
    </row>
    <row r="268" spans="1:1" x14ac:dyDescent="0.2">
      <c r="A268" s="133">
        <v>395514512</v>
      </c>
    </row>
    <row r="269" spans="1:1" x14ac:dyDescent="0.2">
      <c r="A269" s="133">
        <v>395214333</v>
      </c>
    </row>
    <row r="270" spans="1:1" x14ac:dyDescent="0.2">
      <c r="A270" s="133">
        <v>395213597</v>
      </c>
    </row>
    <row r="271" spans="1:1" x14ac:dyDescent="0.2">
      <c r="A271" s="133">
        <v>395214586</v>
      </c>
    </row>
    <row r="272" spans="1:1" x14ac:dyDescent="0.2">
      <c r="A272" s="133">
        <v>395215191</v>
      </c>
    </row>
    <row r="273" spans="1:1" x14ac:dyDescent="0.2">
      <c r="A273" s="133">
        <v>395215192</v>
      </c>
    </row>
    <row r="274" spans="1:1" x14ac:dyDescent="0.2">
      <c r="A274" s="133">
        <v>395216185</v>
      </c>
    </row>
    <row r="275" spans="1:1" x14ac:dyDescent="0.2">
      <c r="A275" s="133">
        <v>395216483</v>
      </c>
    </row>
    <row r="276" spans="1:1" x14ac:dyDescent="0.2">
      <c r="A276" s="133">
        <v>395522760</v>
      </c>
    </row>
    <row r="277" spans="1:1" x14ac:dyDescent="0.2">
      <c r="A277" s="133">
        <v>395217150</v>
      </c>
    </row>
    <row r="278" spans="1:1" x14ac:dyDescent="0.2">
      <c r="A278" s="133">
        <v>395216924</v>
      </c>
    </row>
    <row r="279" spans="1:1" x14ac:dyDescent="0.2">
      <c r="A279" s="133">
        <v>395217385</v>
      </c>
    </row>
    <row r="280" spans="1:1" x14ac:dyDescent="0.2">
      <c r="A280" s="133">
        <v>395217543</v>
      </c>
    </row>
    <row r="281" spans="1:1" x14ac:dyDescent="0.2">
      <c r="A281" s="133">
        <v>395218104</v>
      </c>
    </row>
    <row r="282" spans="1:1" x14ac:dyDescent="0.2">
      <c r="A282" s="133">
        <v>395217656</v>
      </c>
    </row>
    <row r="283" spans="1:1" x14ac:dyDescent="0.2">
      <c r="A283" s="133">
        <v>395215485</v>
      </c>
    </row>
    <row r="284" spans="1:1" x14ac:dyDescent="0.2">
      <c r="A284" s="133">
        <v>395219282</v>
      </c>
    </row>
    <row r="285" spans="1:1" x14ac:dyDescent="0.2">
      <c r="A285" s="133">
        <v>395219578</v>
      </c>
    </row>
    <row r="286" spans="1:1" x14ac:dyDescent="0.2">
      <c r="A286" s="133">
        <v>395219620</v>
      </c>
    </row>
    <row r="287" spans="1:1" x14ac:dyDescent="0.2">
      <c r="A287" s="133">
        <v>395219960</v>
      </c>
    </row>
    <row r="288" spans="1:1" x14ac:dyDescent="0.2">
      <c r="A288" s="133">
        <v>395221042</v>
      </c>
    </row>
    <row r="289" spans="1:1" x14ac:dyDescent="0.2">
      <c r="A289" s="133">
        <v>395220714</v>
      </c>
    </row>
    <row r="290" spans="1:1" x14ac:dyDescent="0.2">
      <c r="A290" s="133">
        <v>395220751</v>
      </c>
    </row>
    <row r="291" spans="1:1" x14ac:dyDescent="0.2">
      <c r="A291" s="133">
        <v>395221666</v>
      </c>
    </row>
    <row r="292" spans="1:1" x14ac:dyDescent="0.2">
      <c r="A292" s="133">
        <v>395222016</v>
      </c>
    </row>
    <row r="293" spans="1:1" x14ac:dyDescent="0.2">
      <c r="A293" s="133">
        <v>395221877</v>
      </c>
    </row>
    <row r="294" spans="1:1" x14ac:dyDescent="0.2">
      <c r="A294" s="133">
        <v>394898171</v>
      </c>
    </row>
    <row r="295" spans="1:1" x14ac:dyDescent="0.2">
      <c r="A295" s="133">
        <v>395222378</v>
      </c>
    </row>
    <row r="296" spans="1:1" x14ac:dyDescent="0.2">
      <c r="A296" s="133">
        <v>395222880</v>
      </c>
    </row>
    <row r="297" spans="1:1" x14ac:dyDescent="0.2">
      <c r="A297" s="133">
        <v>394902368</v>
      </c>
    </row>
    <row r="298" spans="1:1" x14ac:dyDescent="0.2">
      <c r="A298" s="133">
        <v>395224501</v>
      </c>
    </row>
    <row r="299" spans="1:1" x14ac:dyDescent="0.2">
      <c r="A299" s="133">
        <v>395224591</v>
      </c>
    </row>
    <row r="300" spans="1:1" x14ac:dyDescent="0.2">
      <c r="A300" s="133">
        <v>395225820</v>
      </c>
    </row>
    <row r="301" spans="1:1" x14ac:dyDescent="0.2">
      <c r="A301" s="133">
        <v>395226193</v>
      </c>
    </row>
    <row r="302" spans="1:1" x14ac:dyDescent="0.2">
      <c r="A302" s="133">
        <v>395226316</v>
      </c>
    </row>
    <row r="303" spans="1:1" x14ac:dyDescent="0.2">
      <c r="A303" s="133">
        <v>395226345</v>
      </c>
    </row>
    <row r="304" spans="1:1" x14ac:dyDescent="0.2">
      <c r="A304" s="133">
        <v>395145807</v>
      </c>
    </row>
    <row r="305" spans="1:1" x14ac:dyDescent="0.2">
      <c r="A305" s="133">
        <v>395213301</v>
      </c>
    </row>
    <row r="306" spans="1:1" x14ac:dyDescent="0.2">
      <c r="A306" s="133">
        <v>395228501</v>
      </c>
    </row>
    <row r="307" spans="1:1" x14ac:dyDescent="0.2">
      <c r="A307" s="133">
        <v>395228793</v>
      </c>
    </row>
    <row r="308" spans="1:1" x14ac:dyDescent="0.2">
      <c r="A308" s="133">
        <v>395228815</v>
      </c>
    </row>
    <row r="309" spans="1:1" x14ac:dyDescent="0.2">
      <c r="A309" s="133">
        <v>395229950</v>
      </c>
    </row>
    <row r="310" spans="1:1" x14ac:dyDescent="0.2">
      <c r="A310" s="133">
        <v>395230171</v>
      </c>
    </row>
    <row r="311" spans="1:1" x14ac:dyDescent="0.2">
      <c r="A311" s="133">
        <v>395230201</v>
      </c>
    </row>
    <row r="312" spans="1:1" x14ac:dyDescent="0.2">
      <c r="A312" s="133">
        <v>395435944</v>
      </c>
    </row>
    <row r="313" spans="1:1" x14ac:dyDescent="0.2">
      <c r="A313" s="133">
        <v>395230434</v>
      </c>
    </row>
    <row r="314" spans="1:1" x14ac:dyDescent="0.2">
      <c r="A314" s="133">
        <v>395231353</v>
      </c>
    </row>
    <row r="315" spans="1:1" x14ac:dyDescent="0.2">
      <c r="A315" s="133">
        <v>395199708</v>
      </c>
    </row>
    <row r="316" spans="1:1" x14ac:dyDescent="0.2">
      <c r="A316" s="133">
        <v>395232030</v>
      </c>
    </row>
    <row r="317" spans="1:1" x14ac:dyDescent="0.2">
      <c r="A317" s="133">
        <v>395232182</v>
      </c>
    </row>
    <row r="318" spans="1:1" x14ac:dyDescent="0.2">
      <c r="A318" s="133">
        <v>395232236</v>
      </c>
    </row>
    <row r="319" spans="1:1" x14ac:dyDescent="0.2">
      <c r="A319" s="133">
        <v>395233734</v>
      </c>
    </row>
    <row r="320" spans="1:1" x14ac:dyDescent="0.2">
      <c r="A320" s="133">
        <v>395233864</v>
      </c>
    </row>
    <row r="321" spans="1:1" x14ac:dyDescent="0.2">
      <c r="A321" s="133">
        <v>395235026</v>
      </c>
    </row>
    <row r="322" spans="1:1" x14ac:dyDescent="0.2">
      <c r="A322" s="133">
        <v>395234197</v>
      </c>
    </row>
    <row r="323" spans="1:1" x14ac:dyDescent="0.2">
      <c r="A323" s="133">
        <v>395234270</v>
      </c>
    </row>
    <row r="324" spans="1:1" x14ac:dyDescent="0.2">
      <c r="A324" s="133">
        <v>395234665</v>
      </c>
    </row>
    <row r="325" spans="1:1" x14ac:dyDescent="0.2">
      <c r="A325" s="133">
        <v>395235806</v>
      </c>
    </row>
    <row r="326" spans="1:1" x14ac:dyDescent="0.2">
      <c r="A326" s="133">
        <v>395235954</v>
      </c>
    </row>
    <row r="327" spans="1:1" x14ac:dyDescent="0.2">
      <c r="A327" s="133">
        <v>395236525</v>
      </c>
    </row>
    <row r="328" spans="1:1" x14ac:dyDescent="0.2">
      <c r="A328" s="133">
        <v>395236576</v>
      </c>
    </row>
    <row r="329" spans="1:1" x14ac:dyDescent="0.2">
      <c r="A329" s="133">
        <v>395236577</v>
      </c>
    </row>
    <row r="330" spans="1:1" x14ac:dyDescent="0.2">
      <c r="A330" s="133">
        <v>395236843</v>
      </c>
    </row>
    <row r="331" spans="1:1" x14ac:dyDescent="0.2">
      <c r="A331" s="133">
        <v>395444926</v>
      </c>
    </row>
    <row r="332" spans="1:1" x14ac:dyDescent="0.2">
      <c r="A332" s="133">
        <v>395238386</v>
      </c>
    </row>
    <row r="333" spans="1:1" x14ac:dyDescent="0.2">
      <c r="A333" s="133">
        <v>395238711</v>
      </c>
    </row>
    <row r="334" spans="1:1" x14ac:dyDescent="0.2">
      <c r="A334" s="133">
        <v>395237981</v>
      </c>
    </row>
    <row r="335" spans="1:1" x14ac:dyDescent="0.2">
      <c r="A335" s="133">
        <v>395239108</v>
      </c>
    </row>
    <row r="336" spans="1:1" x14ac:dyDescent="0.2">
      <c r="A336" s="133">
        <v>395236801</v>
      </c>
    </row>
    <row r="337" spans="1:1" x14ac:dyDescent="0.2">
      <c r="A337" s="133">
        <v>395934806</v>
      </c>
    </row>
    <row r="338" spans="1:1" x14ac:dyDescent="0.2">
      <c r="A338" s="133">
        <v>395239212</v>
      </c>
    </row>
    <row r="339" spans="1:1" x14ac:dyDescent="0.2">
      <c r="A339" s="133">
        <v>395240385</v>
      </c>
    </row>
    <row r="340" spans="1:1" x14ac:dyDescent="0.2">
      <c r="A340" s="133">
        <v>395240462</v>
      </c>
    </row>
    <row r="341" spans="1:1" x14ac:dyDescent="0.2">
      <c r="A341" s="133">
        <v>395240777</v>
      </c>
    </row>
    <row r="342" spans="1:1" x14ac:dyDescent="0.2">
      <c r="A342" s="133">
        <v>395239894</v>
      </c>
    </row>
    <row r="343" spans="1:1" x14ac:dyDescent="0.2">
      <c r="A343" s="133">
        <v>395242678</v>
      </c>
    </row>
    <row r="344" spans="1:1" x14ac:dyDescent="0.2">
      <c r="A344" s="133">
        <v>395242737</v>
      </c>
    </row>
    <row r="345" spans="1:1" x14ac:dyDescent="0.2">
      <c r="A345" s="133">
        <v>394945786</v>
      </c>
    </row>
    <row r="346" spans="1:1" x14ac:dyDescent="0.2">
      <c r="A346" s="133">
        <v>395243173</v>
      </c>
    </row>
    <row r="347" spans="1:1" x14ac:dyDescent="0.2">
      <c r="A347" s="133">
        <v>395244010</v>
      </c>
    </row>
    <row r="348" spans="1:1" x14ac:dyDescent="0.2">
      <c r="A348" s="133">
        <v>395243478</v>
      </c>
    </row>
    <row r="349" spans="1:1" x14ac:dyDescent="0.2">
      <c r="A349" s="133">
        <v>395244172</v>
      </c>
    </row>
    <row r="350" spans="1:1" x14ac:dyDescent="0.2">
      <c r="A350" s="133">
        <v>395243675</v>
      </c>
    </row>
    <row r="351" spans="1:1" x14ac:dyDescent="0.2">
      <c r="A351" s="133">
        <v>395244473</v>
      </c>
    </row>
    <row r="352" spans="1:1" x14ac:dyDescent="0.2">
      <c r="A352" s="133">
        <v>395244792</v>
      </c>
    </row>
    <row r="353" spans="1:1" x14ac:dyDescent="0.2">
      <c r="A353" s="133">
        <v>395246144</v>
      </c>
    </row>
    <row r="354" spans="1:1" x14ac:dyDescent="0.2">
      <c r="A354" s="133">
        <v>395245730</v>
      </c>
    </row>
    <row r="355" spans="1:1" x14ac:dyDescent="0.2">
      <c r="A355" s="133">
        <v>394885477</v>
      </c>
    </row>
    <row r="356" spans="1:1" x14ac:dyDescent="0.2">
      <c r="A356" s="133">
        <v>395246485</v>
      </c>
    </row>
    <row r="357" spans="1:1" x14ac:dyDescent="0.2">
      <c r="A357" s="133">
        <v>395245964</v>
      </c>
    </row>
    <row r="358" spans="1:1" x14ac:dyDescent="0.2">
      <c r="A358" s="133">
        <v>395247832</v>
      </c>
    </row>
    <row r="359" spans="1:1" x14ac:dyDescent="0.2">
      <c r="A359" s="133">
        <v>395248464</v>
      </c>
    </row>
    <row r="360" spans="1:1" x14ac:dyDescent="0.2">
      <c r="A360" s="133">
        <v>395249635</v>
      </c>
    </row>
    <row r="361" spans="1:1" x14ac:dyDescent="0.2">
      <c r="A361" s="133">
        <v>395752266</v>
      </c>
    </row>
    <row r="362" spans="1:1" x14ac:dyDescent="0.2">
      <c r="A362" s="133">
        <v>395250012</v>
      </c>
    </row>
    <row r="363" spans="1:1" x14ac:dyDescent="0.2">
      <c r="A363" s="133">
        <v>395250066</v>
      </c>
    </row>
    <row r="364" spans="1:1" x14ac:dyDescent="0.2">
      <c r="A364" s="133">
        <v>395250271</v>
      </c>
    </row>
    <row r="365" spans="1:1" x14ac:dyDescent="0.2">
      <c r="A365" s="133">
        <v>395250301</v>
      </c>
    </row>
    <row r="366" spans="1:1" x14ac:dyDescent="0.2">
      <c r="A366" s="133">
        <v>394986374</v>
      </c>
    </row>
    <row r="367" spans="1:1" x14ac:dyDescent="0.2">
      <c r="A367" s="133">
        <v>395079223</v>
      </c>
    </row>
    <row r="368" spans="1:1" x14ac:dyDescent="0.2">
      <c r="A368" s="133">
        <v>395250401</v>
      </c>
    </row>
    <row r="369" spans="1:1" x14ac:dyDescent="0.2">
      <c r="A369" s="133">
        <v>395251434</v>
      </c>
    </row>
    <row r="370" spans="1:1" x14ac:dyDescent="0.2">
      <c r="A370" s="133">
        <v>394970621</v>
      </c>
    </row>
    <row r="371" spans="1:1" x14ac:dyDescent="0.2">
      <c r="A371" s="133">
        <v>394973668</v>
      </c>
    </row>
    <row r="372" spans="1:1" x14ac:dyDescent="0.2">
      <c r="A372" s="133">
        <v>395121499</v>
      </c>
    </row>
    <row r="373" spans="1:1" x14ac:dyDescent="0.2">
      <c r="A373" s="133">
        <v>395463394</v>
      </c>
    </row>
    <row r="374" spans="1:1" x14ac:dyDescent="0.2">
      <c r="A374" s="133">
        <v>395255363</v>
      </c>
    </row>
    <row r="375" spans="1:1" x14ac:dyDescent="0.2">
      <c r="A375" s="133">
        <v>395255400</v>
      </c>
    </row>
    <row r="376" spans="1:1" x14ac:dyDescent="0.2">
      <c r="A376" s="133">
        <v>395255443</v>
      </c>
    </row>
    <row r="377" spans="1:1" x14ac:dyDescent="0.2">
      <c r="A377" s="133">
        <v>395572703</v>
      </c>
    </row>
    <row r="378" spans="1:1" x14ac:dyDescent="0.2">
      <c r="A378" s="133">
        <v>395254720</v>
      </c>
    </row>
    <row r="379" spans="1:1" x14ac:dyDescent="0.2">
      <c r="A379" s="133">
        <v>395254760</v>
      </c>
    </row>
    <row r="380" spans="1:1" x14ac:dyDescent="0.2">
      <c r="A380" s="133">
        <v>395255747</v>
      </c>
    </row>
    <row r="381" spans="1:1" x14ac:dyDescent="0.2">
      <c r="A381" s="133">
        <v>395255759</v>
      </c>
    </row>
    <row r="382" spans="1:1" x14ac:dyDescent="0.2">
      <c r="A382" s="133">
        <v>395256492</v>
      </c>
    </row>
    <row r="383" spans="1:1" x14ac:dyDescent="0.2">
      <c r="A383" s="133">
        <v>395256531</v>
      </c>
    </row>
    <row r="384" spans="1:1" x14ac:dyDescent="0.2">
      <c r="A384" s="133">
        <v>394979328</v>
      </c>
    </row>
    <row r="385" spans="1:1" x14ac:dyDescent="0.2">
      <c r="A385" s="133">
        <v>395257713</v>
      </c>
    </row>
    <row r="386" spans="1:1" x14ac:dyDescent="0.2">
      <c r="A386" s="133">
        <v>395257839</v>
      </c>
    </row>
    <row r="387" spans="1:1" x14ac:dyDescent="0.2">
      <c r="A387" s="133">
        <v>395258111</v>
      </c>
    </row>
    <row r="388" spans="1:1" x14ac:dyDescent="0.2">
      <c r="A388" s="133">
        <v>395258231</v>
      </c>
    </row>
    <row r="389" spans="1:1" x14ac:dyDescent="0.2">
      <c r="A389" s="133">
        <v>395258260</v>
      </c>
    </row>
    <row r="390" spans="1:1" x14ac:dyDescent="0.2">
      <c r="A390" s="133">
        <v>395259284</v>
      </c>
    </row>
    <row r="391" spans="1:1" x14ac:dyDescent="0.2">
      <c r="A391" s="133">
        <v>395259382</v>
      </c>
    </row>
    <row r="392" spans="1:1" x14ac:dyDescent="0.2">
      <c r="A392" s="133">
        <v>395259543</v>
      </c>
    </row>
    <row r="393" spans="1:1" x14ac:dyDescent="0.2">
      <c r="A393" s="133">
        <v>395241933</v>
      </c>
    </row>
    <row r="394" spans="1:1" x14ac:dyDescent="0.2">
      <c r="A394" s="133">
        <v>395256221</v>
      </c>
    </row>
    <row r="395" spans="1:1" x14ac:dyDescent="0.2">
      <c r="A395" s="133">
        <v>394769505</v>
      </c>
    </row>
    <row r="396" spans="1:1" x14ac:dyDescent="0.2">
      <c r="A396" s="133">
        <v>395376328</v>
      </c>
    </row>
    <row r="397" spans="1:1" x14ac:dyDescent="0.2">
      <c r="A397" s="133">
        <v>395463442</v>
      </c>
    </row>
    <row r="398" spans="1:1" x14ac:dyDescent="0.2">
      <c r="A398" s="133">
        <v>395265770</v>
      </c>
    </row>
    <row r="399" spans="1:1" x14ac:dyDescent="0.2">
      <c r="A399" s="133">
        <v>395266918</v>
      </c>
    </row>
    <row r="400" spans="1:1" x14ac:dyDescent="0.2">
      <c r="A400" s="133">
        <v>395174556</v>
      </c>
    </row>
    <row r="401" spans="1:1" x14ac:dyDescent="0.2">
      <c r="A401" s="133">
        <v>395268535</v>
      </c>
    </row>
    <row r="402" spans="1:1" x14ac:dyDescent="0.2">
      <c r="A402" s="133">
        <v>395268549</v>
      </c>
    </row>
    <row r="403" spans="1:1" x14ac:dyDescent="0.2">
      <c r="A403" s="133">
        <v>395065322</v>
      </c>
    </row>
    <row r="404" spans="1:1" x14ac:dyDescent="0.2">
      <c r="A404" s="133">
        <v>394855802</v>
      </c>
    </row>
    <row r="405" spans="1:1" x14ac:dyDescent="0.2">
      <c r="A405" s="133">
        <v>395216715</v>
      </c>
    </row>
    <row r="406" spans="1:1" x14ac:dyDescent="0.2">
      <c r="A406" s="133">
        <v>395023297</v>
      </c>
    </row>
    <row r="407" spans="1:1" x14ac:dyDescent="0.2">
      <c r="A407" s="133">
        <v>395122361</v>
      </c>
    </row>
    <row r="408" spans="1:1" x14ac:dyDescent="0.2">
      <c r="A408" s="133">
        <v>395150485</v>
      </c>
    </row>
    <row r="409" spans="1:1" x14ac:dyDescent="0.2">
      <c r="A409" s="133">
        <v>395194928</v>
      </c>
    </row>
    <row r="410" spans="1:1" x14ac:dyDescent="0.2">
      <c r="A410" s="133">
        <v>395073260</v>
      </c>
    </row>
    <row r="411" spans="1:1" x14ac:dyDescent="0.2">
      <c r="A411" s="133">
        <v>395241903</v>
      </c>
    </row>
    <row r="412" spans="1:1" x14ac:dyDescent="0.2">
      <c r="A412" s="133">
        <v>395076785</v>
      </c>
    </row>
    <row r="413" spans="1:1" x14ac:dyDescent="0.2">
      <c r="A413" s="133">
        <v>395012829</v>
      </c>
    </row>
    <row r="414" spans="1:1" x14ac:dyDescent="0.2">
      <c r="A414" s="133">
        <v>395240056</v>
      </c>
    </row>
    <row r="415" spans="1:1" x14ac:dyDescent="0.2">
      <c r="A415" s="133">
        <v>395119883</v>
      </c>
    </row>
    <row r="416" spans="1:1" x14ac:dyDescent="0.2">
      <c r="A416" s="133">
        <v>395087910</v>
      </c>
    </row>
    <row r="417" spans="1:1" x14ac:dyDescent="0.2">
      <c r="A417" s="133">
        <v>395049385</v>
      </c>
    </row>
    <row r="418" spans="1:1" x14ac:dyDescent="0.2">
      <c r="A418" s="133">
        <v>395049386</v>
      </c>
    </row>
    <row r="419" spans="1:1" x14ac:dyDescent="0.2">
      <c r="A419" s="133">
        <v>395197855</v>
      </c>
    </row>
    <row r="420" spans="1:1" x14ac:dyDescent="0.2">
      <c r="A420" s="133">
        <v>395033878</v>
      </c>
    </row>
    <row r="421" spans="1:1" x14ac:dyDescent="0.2">
      <c r="A421" s="133">
        <v>395212765</v>
      </c>
    </row>
    <row r="422" spans="1:1" x14ac:dyDescent="0.2">
      <c r="A422" s="133">
        <v>395066600</v>
      </c>
    </row>
    <row r="423" spans="1:1" x14ac:dyDescent="0.2">
      <c r="A423" s="133">
        <v>395140371</v>
      </c>
    </row>
    <row r="424" spans="1:1" x14ac:dyDescent="0.2">
      <c r="A424" s="133">
        <v>395203647</v>
      </c>
    </row>
    <row r="425" spans="1:1" x14ac:dyDescent="0.2">
      <c r="A425" s="133">
        <v>395045555</v>
      </c>
    </row>
    <row r="426" spans="1:1" x14ac:dyDescent="0.2">
      <c r="A426" s="133">
        <v>395103392</v>
      </c>
    </row>
    <row r="427" spans="1:1" x14ac:dyDescent="0.2">
      <c r="A427" s="133">
        <v>395031608</v>
      </c>
    </row>
    <row r="428" spans="1:1" x14ac:dyDescent="0.2">
      <c r="A428" s="133">
        <v>395196879</v>
      </c>
    </row>
    <row r="429" spans="1:1" x14ac:dyDescent="0.2">
      <c r="A429" s="133">
        <v>395028070</v>
      </c>
    </row>
    <row r="430" spans="1:1" x14ac:dyDescent="0.2">
      <c r="A430" s="133">
        <v>395119887</v>
      </c>
    </row>
    <row r="431" spans="1:1" x14ac:dyDescent="0.2">
      <c r="A431" s="133">
        <v>395145491</v>
      </c>
    </row>
    <row r="432" spans="1:1" x14ac:dyDescent="0.2">
      <c r="A432" s="133">
        <v>395049770</v>
      </c>
    </row>
    <row r="433" spans="1:1" x14ac:dyDescent="0.2">
      <c r="A433" s="133">
        <v>395144355</v>
      </c>
    </row>
    <row r="434" spans="1:1" x14ac:dyDescent="0.2">
      <c r="A434" s="133">
        <v>395190357</v>
      </c>
    </row>
    <row r="435" spans="1:1" x14ac:dyDescent="0.2">
      <c r="A435" s="133">
        <v>395194236</v>
      </c>
    </row>
    <row r="436" spans="1:1" x14ac:dyDescent="0.2">
      <c r="A436" s="133">
        <v>395023978</v>
      </c>
    </row>
    <row r="437" spans="1:1" x14ac:dyDescent="0.2">
      <c r="A437" s="133">
        <v>395200634</v>
      </c>
    </row>
    <row r="438" spans="1:1" x14ac:dyDescent="0.2">
      <c r="A438" s="133">
        <v>395237553</v>
      </c>
    </row>
    <row r="439" spans="1:1" x14ac:dyDescent="0.2">
      <c r="A439" s="133">
        <v>395122089</v>
      </c>
    </row>
    <row r="440" spans="1:1" x14ac:dyDescent="0.2">
      <c r="A440" s="133">
        <v>395043750</v>
      </c>
    </row>
    <row r="441" spans="1:1" x14ac:dyDescent="0.2">
      <c r="A441" s="133">
        <v>395150443</v>
      </c>
    </row>
    <row r="442" spans="1:1" x14ac:dyDescent="0.2">
      <c r="A442" s="133">
        <v>395110678</v>
      </c>
    </row>
    <row r="443" spans="1:1" x14ac:dyDescent="0.2">
      <c r="A443" s="133">
        <v>395193496</v>
      </c>
    </row>
    <row r="444" spans="1:1" x14ac:dyDescent="0.2">
      <c r="A444" s="133">
        <v>395055370</v>
      </c>
    </row>
    <row r="445" spans="1:1" x14ac:dyDescent="0.2">
      <c r="A445" s="133">
        <v>395192957</v>
      </c>
    </row>
    <row r="446" spans="1:1" x14ac:dyDescent="0.2">
      <c r="A446" s="133">
        <v>395155252</v>
      </c>
    </row>
    <row r="447" spans="1:1" x14ac:dyDescent="0.2">
      <c r="A447" s="133">
        <v>395013026</v>
      </c>
    </row>
    <row r="448" spans="1:1" x14ac:dyDescent="0.2">
      <c r="A448" s="133">
        <v>395118441</v>
      </c>
    </row>
    <row r="449" spans="1:1" x14ac:dyDescent="0.2">
      <c r="A449" s="133">
        <v>395065119</v>
      </c>
    </row>
    <row r="450" spans="1:1" x14ac:dyDescent="0.2">
      <c r="A450" s="133">
        <v>394147096</v>
      </c>
    </row>
    <row r="451" spans="1:1" x14ac:dyDescent="0.2">
      <c r="A451" s="133">
        <v>395094342</v>
      </c>
    </row>
    <row r="452" spans="1:1" x14ac:dyDescent="0.2">
      <c r="A452" s="133">
        <v>395084316</v>
      </c>
    </row>
    <row r="453" spans="1:1" x14ac:dyDescent="0.2">
      <c r="A453" s="133">
        <v>395160687</v>
      </c>
    </row>
    <row r="454" spans="1:1" x14ac:dyDescent="0.2">
      <c r="A454" s="133">
        <v>395201154</v>
      </c>
    </row>
    <row r="455" spans="1:1" x14ac:dyDescent="0.2">
      <c r="A455" s="133">
        <v>395146705</v>
      </c>
    </row>
    <row r="456" spans="1:1" x14ac:dyDescent="0.2">
      <c r="A456" s="133">
        <v>395189130</v>
      </c>
    </row>
    <row r="457" spans="1:1" x14ac:dyDescent="0.2">
      <c r="A457" s="133">
        <v>395041033</v>
      </c>
    </row>
    <row r="458" spans="1:1" x14ac:dyDescent="0.2">
      <c r="A458" s="133">
        <v>395139840</v>
      </c>
    </row>
    <row r="459" spans="1:1" x14ac:dyDescent="0.2">
      <c r="A459" s="133">
        <v>395153567</v>
      </c>
    </row>
    <row r="460" spans="1:1" x14ac:dyDescent="0.2">
      <c r="A460" s="133">
        <v>395251879</v>
      </c>
    </row>
    <row r="461" spans="1:1" x14ac:dyDescent="0.2">
      <c r="A461" s="133">
        <v>395213163</v>
      </c>
    </row>
    <row r="462" spans="1:1" x14ac:dyDescent="0.2">
      <c r="A462" s="133">
        <v>394190467</v>
      </c>
    </row>
    <row r="463" spans="1:1" x14ac:dyDescent="0.2">
      <c r="A463" s="133">
        <v>395138054</v>
      </c>
    </row>
    <row r="464" spans="1:1" x14ac:dyDescent="0.2">
      <c r="A464" s="133">
        <v>395089815</v>
      </c>
    </row>
    <row r="465" spans="1:1" x14ac:dyDescent="0.2">
      <c r="A465" s="133">
        <v>395014424</v>
      </c>
    </row>
    <row r="466" spans="1:1" x14ac:dyDescent="0.2">
      <c r="A466" s="133">
        <v>395028234</v>
      </c>
    </row>
    <row r="467" spans="1:1" x14ac:dyDescent="0.2">
      <c r="A467" s="133">
        <v>395270760</v>
      </c>
    </row>
    <row r="468" spans="1:1" x14ac:dyDescent="0.2">
      <c r="A468" s="133">
        <v>395269843</v>
      </c>
    </row>
    <row r="469" spans="1:1" x14ac:dyDescent="0.2">
      <c r="A469" s="133">
        <v>395271438</v>
      </c>
    </row>
    <row r="470" spans="1:1" x14ac:dyDescent="0.2">
      <c r="A470" s="133">
        <v>394091886</v>
      </c>
    </row>
    <row r="471" spans="1:1" x14ac:dyDescent="0.2">
      <c r="A471" s="133">
        <v>395048070</v>
      </c>
    </row>
    <row r="472" spans="1:1" x14ac:dyDescent="0.2">
      <c r="A472" s="133">
        <v>395276413</v>
      </c>
    </row>
    <row r="473" spans="1:1" x14ac:dyDescent="0.2">
      <c r="A473" s="133">
        <v>395050860</v>
      </c>
    </row>
    <row r="474" spans="1:1" x14ac:dyDescent="0.2">
      <c r="A474" s="133">
        <v>396278686</v>
      </c>
    </row>
    <row r="475" spans="1:1" x14ac:dyDescent="0.2">
      <c r="A475" s="133">
        <v>395277381</v>
      </c>
    </row>
    <row r="476" spans="1:1" x14ac:dyDescent="0.2">
      <c r="A476" s="133">
        <v>395277697</v>
      </c>
    </row>
    <row r="477" spans="1:1" x14ac:dyDescent="0.2">
      <c r="A477" s="133">
        <v>395059221</v>
      </c>
    </row>
    <row r="478" spans="1:1" x14ac:dyDescent="0.2">
      <c r="A478" s="133">
        <v>395280635</v>
      </c>
    </row>
    <row r="479" spans="1:1" x14ac:dyDescent="0.2">
      <c r="A479" s="133">
        <v>394913490</v>
      </c>
    </row>
    <row r="480" spans="1:1" x14ac:dyDescent="0.2">
      <c r="A480" s="133">
        <v>395250847</v>
      </c>
    </row>
    <row r="481" spans="1:1" x14ac:dyDescent="0.2">
      <c r="A481" s="133">
        <v>395068561</v>
      </c>
    </row>
    <row r="482" spans="1:1" x14ac:dyDescent="0.2">
      <c r="A482" s="133">
        <v>395282958</v>
      </c>
    </row>
    <row r="483" spans="1:1" x14ac:dyDescent="0.2">
      <c r="A483" s="133">
        <v>395288401</v>
      </c>
    </row>
    <row r="484" spans="1:1" x14ac:dyDescent="0.2">
      <c r="A484" s="133">
        <v>395287402</v>
      </c>
    </row>
    <row r="485" spans="1:1" x14ac:dyDescent="0.2">
      <c r="A485" s="133">
        <v>395287404</v>
      </c>
    </row>
    <row r="486" spans="1:1" x14ac:dyDescent="0.2">
      <c r="A486" s="133">
        <v>395287694</v>
      </c>
    </row>
    <row r="487" spans="1:1" x14ac:dyDescent="0.2">
      <c r="A487" s="133">
        <v>395288518</v>
      </c>
    </row>
    <row r="488" spans="1:1" x14ac:dyDescent="0.2">
      <c r="A488" s="133">
        <v>395278675</v>
      </c>
    </row>
    <row r="489" spans="1:1" x14ac:dyDescent="0.2">
      <c r="A489" s="133">
        <v>396273237</v>
      </c>
    </row>
    <row r="490" spans="1:1" x14ac:dyDescent="0.2">
      <c r="A490" s="133">
        <v>395773107</v>
      </c>
    </row>
    <row r="491" spans="1:1" x14ac:dyDescent="0.2">
      <c r="A491" s="133">
        <v>395292951</v>
      </c>
    </row>
    <row r="492" spans="1:1" x14ac:dyDescent="0.2">
      <c r="A492" s="133">
        <v>395294098</v>
      </c>
    </row>
    <row r="493" spans="1:1" x14ac:dyDescent="0.2">
      <c r="A493" s="133">
        <v>395295301</v>
      </c>
    </row>
    <row r="494" spans="1:1" x14ac:dyDescent="0.2">
      <c r="A494" s="133">
        <v>395404680</v>
      </c>
    </row>
    <row r="495" spans="1:1" x14ac:dyDescent="0.2">
      <c r="A495" s="133">
        <v>395457079</v>
      </c>
    </row>
    <row r="496" spans="1:1" x14ac:dyDescent="0.2">
      <c r="A496" s="133">
        <v>393110153</v>
      </c>
    </row>
    <row r="497" spans="1:1" x14ac:dyDescent="0.2">
      <c r="A497" s="133">
        <v>395118089</v>
      </c>
    </row>
    <row r="498" spans="1:1" x14ac:dyDescent="0.2">
      <c r="A498" s="133">
        <v>395794645</v>
      </c>
    </row>
    <row r="499" spans="1:1" x14ac:dyDescent="0.2">
      <c r="A499" s="133">
        <v>395120409</v>
      </c>
    </row>
    <row r="500" spans="1:1" x14ac:dyDescent="0.2">
      <c r="A500" s="133">
        <v>393566000</v>
      </c>
    </row>
    <row r="501" spans="1:1" x14ac:dyDescent="0.2">
      <c r="A501" s="133">
        <v>395557410</v>
      </c>
    </row>
    <row r="502" spans="1:1" x14ac:dyDescent="0.2">
      <c r="A502" s="133">
        <v>395603062</v>
      </c>
    </row>
    <row r="503" spans="1:1" x14ac:dyDescent="0.2">
      <c r="A503" s="133">
        <v>395303916</v>
      </c>
    </row>
    <row r="504" spans="1:1" x14ac:dyDescent="0.2">
      <c r="A504" s="133">
        <v>394062846</v>
      </c>
    </row>
    <row r="505" spans="1:1" x14ac:dyDescent="0.2">
      <c r="A505" s="133">
        <v>394997348</v>
      </c>
    </row>
    <row r="506" spans="1:1" x14ac:dyDescent="0.2">
      <c r="A506" s="133">
        <v>394788718</v>
      </c>
    </row>
    <row r="507" spans="1:1" x14ac:dyDescent="0.2">
      <c r="A507" s="133">
        <v>395373085</v>
      </c>
    </row>
    <row r="508" spans="1:1" x14ac:dyDescent="0.2">
      <c r="A508" s="133">
        <v>394993768</v>
      </c>
    </row>
    <row r="509" spans="1:1" x14ac:dyDescent="0.2">
      <c r="A509" s="133">
        <v>395170255</v>
      </c>
    </row>
    <row r="510" spans="1:1" x14ac:dyDescent="0.2">
      <c r="A510" s="133">
        <v>395148927</v>
      </c>
    </row>
    <row r="511" spans="1:1" x14ac:dyDescent="0.2">
      <c r="A511" s="133">
        <v>395261149</v>
      </c>
    </row>
    <row r="512" spans="1:1" x14ac:dyDescent="0.2">
      <c r="A512" s="133">
        <v>395473982</v>
      </c>
    </row>
    <row r="513" spans="1:1" x14ac:dyDescent="0.2">
      <c r="A513" s="133">
        <v>395262284</v>
      </c>
    </row>
    <row r="514" spans="1:1" x14ac:dyDescent="0.2">
      <c r="A514" s="133">
        <v>395263191</v>
      </c>
    </row>
    <row r="515" spans="1:1" x14ac:dyDescent="0.2">
      <c r="A515" s="133">
        <v>395507690</v>
      </c>
    </row>
    <row r="516" spans="1:1" x14ac:dyDescent="0.2">
      <c r="A516" s="133">
        <v>395670991</v>
      </c>
    </row>
    <row r="517" spans="1:1" x14ac:dyDescent="0.2">
      <c r="A517" s="133">
        <v>394997577</v>
      </c>
    </row>
    <row r="518" spans="1:1" x14ac:dyDescent="0.2">
      <c r="A518" s="133">
        <v>395120524</v>
      </c>
    </row>
    <row r="519" spans="1:1" x14ac:dyDescent="0.2">
      <c r="A519" s="133">
        <v>394797676</v>
      </c>
    </row>
    <row r="520" spans="1:1" x14ac:dyDescent="0.2">
      <c r="A520" s="133">
        <v>395070093</v>
      </c>
    </row>
    <row r="521" spans="1:1" x14ac:dyDescent="0.2">
      <c r="A521" s="133">
        <v>395052219</v>
      </c>
    </row>
    <row r="522" spans="1:1" x14ac:dyDescent="0.2">
      <c r="A522" s="133">
        <v>394984880</v>
      </c>
    </row>
    <row r="523" spans="1:1" x14ac:dyDescent="0.2">
      <c r="A523" s="133">
        <v>394964864</v>
      </c>
    </row>
    <row r="524" spans="1:1" x14ac:dyDescent="0.2">
      <c r="A524" s="133">
        <v>395019382</v>
      </c>
    </row>
    <row r="525" spans="1:1" x14ac:dyDescent="0.2">
      <c r="A525" s="133">
        <v>395168316</v>
      </c>
    </row>
    <row r="526" spans="1:1" x14ac:dyDescent="0.2">
      <c r="A526" s="133">
        <v>395161899</v>
      </c>
    </row>
    <row r="527" spans="1:1" x14ac:dyDescent="0.2">
      <c r="A527" s="133">
        <v>395235566</v>
      </c>
    </row>
    <row r="528" spans="1:1" x14ac:dyDescent="0.2">
      <c r="A528" s="133">
        <v>395227273</v>
      </c>
    </row>
    <row r="529" spans="1:1" x14ac:dyDescent="0.2">
      <c r="A529" s="133">
        <v>395180883</v>
      </c>
    </row>
    <row r="530" spans="1:1" x14ac:dyDescent="0.2">
      <c r="A530" s="133">
        <v>395199914</v>
      </c>
    </row>
    <row r="531" spans="1:1" x14ac:dyDescent="0.2">
      <c r="A531" s="133">
        <v>395194167</v>
      </c>
    </row>
    <row r="532" spans="1:1" x14ac:dyDescent="0.2">
      <c r="A532" s="133">
        <v>395183794</v>
      </c>
    </row>
    <row r="533" spans="1:1" x14ac:dyDescent="0.2">
      <c r="A533" s="133">
        <v>395189500</v>
      </c>
    </row>
    <row r="534" spans="1:1" x14ac:dyDescent="0.2">
      <c r="A534" s="133">
        <v>395195156</v>
      </c>
    </row>
    <row r="535" spans="1:1" x14ac:dyDescent="0.2">
      <c r="A535" s="133">
        <v>395196283</v>
      </c>
    </row>
    <row r="536" spans="1:1" x14ac:dyDescent="0.2">
      <c r="A536" s="133">
        <v>395611147</v>
      </c>
    </row>
    <row r="537" spans="1:1" x14ac:dyDescent="0.2">
      <c r="A537" s="133">
        <v>395204083</v>
      </c>
    </row>
    <row r="538" spans="1:1" x14ac:dyDescent="0.2">
      <c r="A538" s="133">
        <v>395618900</v>
      </c>
    </row>
    <row r="539" spans="1:1" x14ac:dyDescent="0.2">
      <c r="A539" s="133">
        <v>395204794</v>
      </c>
    </row>
    <row r="540" spans="1:1" x14ac:dyDescent="0.2">
      <c r="A540" s="133">
        <v>395208099</v>
      </c>
    </row>
    <row r="541" spans="1:1" x14ac:dyDescent="0.2">
      <c r="A541" s="133">
        <v>395210008</v>
      </c>
    </row>
    <row r="542" spans="1:1" x14ac:dyDescent="0.2">
      <c r="A542" s="133">
        <v>395210009</v>
      </c>
    </row>
    <row r="543" spans="1:1" x14ac:dyDescent="0.2">
      <c r="A543" s="133">
        <v>395210638</v>
      </c>
    </row>
    <row r="544" spans="1:1" x14ac:dyDescent="0.2">
      <c r="A544" s="133">
        <v>395210914</v>
      </c>
    </row>
    <row r="545" spans="1:1" x14ac:dyDescent="0.2">
      <c r="A545" s="133">
        <v>395214351</v>
      </c>
    </row>
    <row r="546" spans="1:1" x14ac:dyDescent="0.2">
      <c r="A546" s="133">
        <v>395215234</v>
      </c>
    </row>
    <row r="547" spans="1:1" x14ac:dyDescent="0.2">
      <c r="A547" s="133">
        <v>395216261</v>
      </c>
    </row>
    <row r="548" spans="1:1" x14ac:dyDescent="0.2">
      <c r="A548" s="133">
        <v>395761238</v>
      </c>
    </row>
    <row r="549" spans="1:1" x14ac:dyDescent="0.2">
      <c r="A549" s="133">
        <v>395221037</v>
      </c>
    </row>
    <row r="550" spans="1:1" x14ac:dyDescent="0.2">
      <c r="A550" s="133">
        <v>395769729</v>
      </c>
    </row>
    <row r="551" spans="1:1" x14ac:dyDescent="0.2">
      <c r="A551" s="133">
        <v>395222653</v>
      </c>
    </row>
    <row r="552" spans="1:1" x14ac:dyDescent="0.2">
      <c r="A552" s="133">
        <v>395226615</v>
      </c>
    </row>
    <row r="553" spans="1:1" x14ac:dyDescent="0.2">
      <c r="A553" s="133">
        <v>395226842</v>
      </c>
    </row>
    <row r="554" spans="1:1" x14ac:dyDescent="0.2">
      <c r="A554" s="133">
        <v>395228112</v>
      </c>
    </row>
    <row r="555" spans="1:1" x14ac:dyDescent="0.2">
      <c r="A555" s="133">
        <v>395230031</v>
      </c>
    </row>
    <row r="556" spans="1:1" x14ac:dyDescent="0.2">
      <c r="A556" s="133">
        <v>395231276</v>
      </c>
    </row>
    <row r="557" spans="1:1" x14ac:dyDescent="0.2">
      <c r="A557" s="133">
        <v>395231959</v>
      </c>
    </row>
    <row r="558" spans="1:1" x14ac:dyDescent="0.2">
      <c r="A558" s="133">
        <v>395232584</v>
      </c>
    </row>
    <row r="559" spans="1:1" x14ac:dyDescent="0.2">
      <c r="A559" s="133">
        <v>395233492</v>
      </c>
    </row>
    <row r="560" spans="1:1" x14ac:dyDescent="0.2">
      <c r="A560" s="133">
        <v>395233558</v>
      </c>
    </row>
    <row r="561" spans="1:1" x14ac:dyDescent="0.2">
      <c r="A561" s="133">
        <v>395232746</v>
      </c>
    </row>
    <row r="562" spans="1:1" x14ac:dyDescent="0.2">
      <c r="A562" s="133">
        <v>395233675</v>
      </c>
    </row>
    <row r="563" spans="1:1" x14ac:dyDescent="0.2">
      <c r="A563" s="133">
        <v>395234630</v>
      </c>
    </row>
    <row r="564" spans="1:1" x14ac:dyDescent="0.2">
      <c r="A564" s="133">
        <v>395220636</v>
      </c>
    </row>
    <row r="565" spans="1:1" x14ac:dyDescent="0.2">
      <c r="A565" s="133">
        <v>395235927</v>
      </c>
    </row>
    <row r="566" spans="1:1" x14ac:dyDescent="0.2">
      <c r="A566" s="133">
        <v>395236879</v>
      </c>
    </row>
    <row r="567" spans="1:1" x14ac:dyDescent="0.2">
      <c r="A567" s="133">
        <v>395237603</v>
      </c>
    </row>
    <row r="568" spans="1:1" x14ac:dyDescent="0.2">
      <c r="A568" s="133">
        <v>395238805</v>
      </c>
    </row>
    <row r="569" spans="1:1" x14ac:dyDescent="0.2">
      <c r="A569" s="133">
        <v>395242361</v>
      </c>
    </row>
    <row r="570" spans="1:1" x14ac:dyDescent="0.2">
      <c r="A570" s="133">
        <v>393970768</v>
      </c>
    </row>
    <row r="571" spans="1:1" x14ac:dyDescent="0.2">
      <c r="A571" s="133">
        <v>395241742</v>
      </c>
    </row>
    <row r="572" spans="1:1" x14ac:dyDescent="0.2">
      <c r="A572" s="133">
        <v>395244592</v>
      </c>
    </row>
    <row r="573" spans="1:1" x14ac:dyDescent="0.2">
      <c r="A573" s="133">
        <v>395245615</v>
      </c>
    </row>
    <row r="574" spans="1:1" x14ac:dyDescent="0.2">
      <c r="A574" s="133">
        <v>395246696</v>
      </c>
    </row>
    <row r="575" spans="1:1" x14ac:dyDescent="0.2">
      <c r="A575" s="133">
        <v>395250065</v>
      </c>
    </row>
    <row r="576" spans="1:1" x14ac:dyDescent="0.2">
      <c r="A576" s="133">
        <v>394968897</v>
      </c>
    </row>
    <row r="577" spans="1:1" x14ac:dyDescent="0.2">
      <c r="A577" s="133">
        <v>394755769</v>
      </c>
    </row>
    <row r="578" spans="1:1" x14ac:dyDescent="0.2">
      <c r="A578" s="133">
        <v>395254928</v>
      </c>
    </row>
    <row r="579" spans="1:1" x14ac:dyDescent="0.2">
      <c r="A579" s="133">
        <v>395256136</v>
      </c>
    </row>
    <row r="580" spans="1:1" x14ac:dyDescent="0.2">
      <c r="A580" s="133">
        <v>395256167</v>
      </c>
    </row>
    <row r="581" spans="1:1" x14ac:dyDescent="0.2">
      <c r="A581" s="133">
        <v>395257140</v>
      </c>
    </row>
    <row r="582" spans="1:1" x14ac:dyDescent="0.2">
      <c r="A582" s="133">
        <v>395256475</v>
      </c>
    </row>
    <row r="583" spans="1:1" x14ac:dyDescent="0.2">
      <c r="A583" s="133">
        <v>395391501</v>
      </c>
    </row>
    <row r="584" spans="1:1" x14ac:dyDescent="0.2">
      <c r="A584" s="133">
        <v>395226322</v>
      </c>
    </row>
    <row r="585" spans="1:1" x14ac:dyDescent="0.2">
      <c r="A585" s="133">
        <v>393045894</v>
      </c>
    </row>
    <row r="586" spans="1:1" x14ac:dyDescent="0.2">
      <c r="A586" s="133">
        <v>395329633</v>
      </c>
    </row>
    <row r="587" spans="1:1" x14ac:dyDescent="0.2">
      <c r="A587" s="133">
        <v>395226741</v>
      </c>
    </row>
    <row r="588" spans="1:1" x14ac:dyDescent="0.2">
      <c r="A588" s="133">
        <v>395265946</v>
      </c>
    </row>
    <row r="589" spans="1:1" x14ac:dyDescent="0.2">
      <c r="A589" s="133">
        <v>395226740</v>
      </c>
    </row>
    <row r="590" spans="1:1" x14ac:dyDescent="0.2">
      <c r="A590" s="133">
        <v>395267159</v>
      </c>
    </row>
    <row r="591" spans="1:1" x14ac:dyDescent="0.2">
      <c r="A591" s="133">
        <v>395266987</v>
      </c>
    </row>
    <row r="592" spans="1:1" x14ac:dyDescent="0.2">
      <c r="A592" s="133">
        <v>395392444</v>
      </c>
    </row>
    <row r="593" spans="1:1" x14ac:dyDescent="0.2">
      <c r="A593" s="133">
        <v>395268856</v>
      </c>
    </row>
    <row r="594" spans="1:1" x14ac:dyDescent="0.2">
      <c r="A594" s="133">
        <v>395191242</v>
      </c>
    </row>
    <row r="595" spans="1:1" x14ac:dyDescent="0.2">
      <c r="A595" s="133">
        <v>394751490</v>
      </c>
    </row>
    <row r="596" spans="1:1" x14ac:dyDescent="0.2">
      <c r="A596" s="133">
        <v>395179236</v>
      </c>
    </row>
    <row r="597" spans="1:1" x14ac:dyDescent="0.2">
      <c r="A597" s="133">
        <v>395104218</v>
      </c>
    </row>
    <row r="598" spans="1:1" x14ac:dyDescent="0.2">
      <c r="A598" s="133">
        <v>395087675</v>
      </c>
    </row>
    <row r="599" spans="1:1" x14ac:dyDescent="0.2">
      <c r="A599" s="133">
        <v>395201223</v>
      </c>
    </row>
    <row r="600" spans="1:1" x14ac:dyDescent="0.2">
      <c r="A600" s="133">
        <v>395124552</v>
      </c>
    </row>
    <row r="601" spans="1:1" x14ac:dyDescent="0.2">
      <c r="A601" s="133">
        <v>395196178</v>
      </c>
    </row>
    <row r="602" spans="1:1" x14ac:dyDescent="0.2">
      <c r="A602" s="133">
        <v>395206811</v>
      </c>
    </row>
    <row r="603" spans="1:1" x14ac:dyDescent="0.2">
      <c r="A603" s="133">
        <v>395048267</v>
      </c>
    </row>
    <row r="604" spans="1:1" x14ac:dyDescent="0.2">
      <c r="A604" s="133">
        <v>395135381</v>
      </c>
    </row>
    <row r="605" spans="1:1" x14ac:dyDescent="0.2">
      <c r="A605" s="133">
        <v>395144773</v>
      </c>
    </row>
    <row r="606" spans="1:1" x14ac:dyDescent="0.2">
      <c r="A606" s="133">
        <v>395161394</v>
      </c>
    </row>
    <row r="607" spans="1:1" x14ac:dyDescent="0.2">
      <c r="A607" s="133">
        <v>395331894</v>
      </c>
    </row>
    <row r="608" spans="1:1" x14ac:dyDescent="0.2">
      <c r="A608" s="133">
        <v>395120974</v>
      </c>
    </row>
    <row r="609" spans="1:1" x14ac:dyDescent="0.2">
      <c r="A609" s="133">
        <v>395127088</v>
      </c>
    </row>
    <row r="610" spans="1:1" x14ac:dyDescent="0.2">
      <c r="A610" s="133">
        <v>393961354</v>
      </c>
    </row>
    <row r="611" spans="1:1" x14ac:dyDescent="0.2">
      <c r="A611" s="133">
        <v>395192241</v>
      </c>
    </row>
    <row r="612" spans="1:1" x14ac:dyDescent="0.2">
      <c r="A612" s="133">
        <v>395099761</v>
      </c>
    </row>
    <row r="613" spans="1:1" x14ac:dyDescent="0.2">
      <c r="A613" s="133">
        <v>395099762</v>
      </c>
    </row>
    <row r="614" spans="1:1" x14ac:dyDescent="0.2">
      <c r="A614" s="133">
        <v>395217129</v>
      </c>
    </row>
    <row r="615" spans="1:1" x14ac:dyDescent="0.2">
      <c r="A615" s="133">
        <v>395247041</v>
      </c>
    </row>
    <row r="616" spans="1:1" x14ac:dyDescent="0.2">
      <c r="A616" s="133">
        <v>395058194</v>
      </c>
    </row>
    <row r="617" spans="1:1" x14ac:dyDescent="0.2">
      <c r="A617" s="133">
        <v>395177520</v>
      </c>
    </row>
    <row r="618" spans="1:1" x14ac:dyDescent="0.2">
      <c r="A618" s="133">
        <v>395179661</v>
      </c>
    </row>
    <row r="619" spans="1:1" x14ac:dyDescent="0.2">
      <c r="A619" s="133">
        <v>395102134</v>
      </c>
    </row>
    <row r="620" spans="1:1" x14ac:dyDescent="0.2">
      <c r="A620" s="133">
        <v>395041272</v>
      </c>
    </row>
    <row r="621" spans="1:1" x14ac:dyDescent="0.2">
      <c r="A621" s="133">
        <v>395834836</v>
      </c>
    </row>
    <row r="622" spans="1:1" x14ac:dyDescent="0.2">
      <c r="A622" s="133">
        <v>395224656</v>
      </c>
    </row>
    <row r="623" spans="1:1" x14ac:dyDescent="0.2">
      <c r="A623" s="133">
        <v>395695966</v>
      </c>
    </row>
    <row r="624" spans="1:1" x14ac:dyDescent="0.2">
      <c r="A624" s="133">
        <v>395334838</v>
      </c>
    </row>
    <row r="625" spans="1:1" x14ac:dyDescent="0.2">
      <c r="A625" s="133">
        <v>395272659</v>
      </c>
    </row>
    <row r="626" spans="1:1" x14ac:dyDescent="0.2">
      <c r="A626" s="133">
        <v>396386016</v>
      </c>
    </row>
    <row r="627" spans="1:1" x14ac:dyDescent="0.2">
      <c r="A627" s="133">
        <v>395400137</v>
      </c>
    </row>
    <row r="628" spans="1:1" x14ac:dyDescent="0.2">
      <c r="A628" s="133">
        <v>395273357</v>
      </c>
    </row>
    <row r="629" spans="1:1" x14ac:dyDescent="0.2">
      <c r="A629" s="133">
        <v>395336366</v>
      </c>
    </row>
    <row r="630" spans="1:1" x14ac:dyDescent="0.2">
      <c r="A630" s="133">
        <v>395335862</v>
      </c>
    </row>
    <row r="631" spans="1:1" x14ac:dyDescent="0.2">
      <c r="A631" s="133">
        <v>395336824</v>
      </c>
    </row>
    <row r="632" spans="1:1" x14ac:dyDescent="0.2">
      <c r="A632" s="133">
        <v>395339211</v>
      </c>
    </row>
    <row r="633" spans="1:1" x14ac:dyDescent="0.2">
      <c r="A633" s="133">
        <v>395408626</v>
      </c>
    </row>
    <row r="634" spans="1:1" x14ac:dyDescent="0.2">
      <c r="A634" s="133">
        <v>395879951</v>
      </c>
    </row>
    <row r="635" spans="1:1" x14ac:dyDescent="0.2">
      <c r="A635" s="133">
        <v>395340272</v>
      </c>
    </row>
    <row r="636" spans="1:1" x14ac:dyDescent="0.2">
      <c r="A636" s="133">
        <v>395340293</v>
      </c>
    </row>
    <row r="637" spans="1:1" x14ac:dyDescent="0.2">
      <c r="A637" s="133">
        <v>395280577</v>
      </c>
    </row>
    <row r="638" spans="1:1" x14ac:dyDescent="0.2">
      <c r="A638" s="133">
        <v>395282196</v>
      </c>
    </row>
    <row r="639" spans="1:1" x14ac:dyDescent="0.2">
      <c r="A639" s="133">
        <v>395345123</v>
      </c>
    </row>
    <row r="640" spans="1:1" x14ac:dyDescent="0.2">
      <c r="A640" s="133">
        <v>395283968</v>
      </c>
    </row>
    <row r="641" spans="1:1" x14ac:dyDescent="0.2">
      <c r="A641" s="133">
        <v>395284629</v>
      </c>
    </row>
    <row r="642" spans="1:1" x14ac:dyDescent="0.2">
      <c r="A642" s="133">
        <v>395345823</v>
      </c>
    </row>
    <row r="643" spans="1:1" x14ac:dyDescent="0.2">
      <c r="A643" s="133">
        <v>395347296</v>
      </c>
    </row>
    <row r="644" spans="1:1" x14ac:dyDescent="0.2">
      <c r="A644" s="133">
        <v>395418724</v>
      </c>
    </row>
    <row r="645" spans="1:1" x14ac:dyDescent="0.2">
      <c r="A645" s="133">
        <v>395287261</v>
      </c>
    </row>
    <row r="646" spans="1:1" x14ac:dyDescent="0.2">
      <c r="A646" s="133">
        <v>395420115</v>
      </c>
    </row>
    <row r="647" spans="1:1" x14ac:dyDescent="0.2">
      <c r="A647" s="133">
        <v>395347689</v>
      </c>
    </row>
    <row r="648" spans="1:1" x14ac:dyDescent="0.2">
      <c r="A648" s="133">
        <v>395419818</v>
      </c>
    </row>
    <row r="649" spans="1:1" x14ac:dyDescent="0.2">
      <c r="A649" s="133">
        <v>395288158</v>
      </c>
    </row>
    <row r="650" spans="1:1" x14ac:dyDescent="0.2">
      <c r="A650" s="133">
        <v>395425020</v>
      </c>
    </row>
    <row r="651" spans="1:1" x14ac:dyDescent="0.2">
      <c r="A651" s="133">
        <v>395290646</v>
      </c>
    </row>
    <row r="652" spans="1:1" x14ac:dyDescent="0.2">
      <c r="A652" s="133">
        <v>395291343</v>
      </c>
    </row>
    <row r="653" spans="1:1" x14ac:dyDescent="0.2">
      <c r="A653" s="133">
        <v>395292127</v>
      </c>
    </row>
    <row r="654" spans="1:1" x14ac:dyDescent="0.2">
      <c r="A654" s="133">
        <v>395292504</v>
      </c>
    </row>
    <row r="655" spans="1:1" x14ac:dyDescent="0.2">
      <c r="A655" s="133">
        <v>395352625</v>
      </c>
    </row>
    <row r="656" spans="1:1" x14ac:dyDescent="0.2">
      <c r="A656" s="133">
        <v>395702547</v>
      </c>
    </row>
    <row r="657" spans="1:1" x14ac:dyDescent="0.2">
      <c r="A657" s="133">
        <v>395424124</v>
      </c>
    </row>
    <row r="658" spans="1:1" x14ac:dyDescent="0.2">
      <c r="A658" s="133">
        <v>395723237</v>
      </c>
    </row>
    <row r="659" spans="1:1" x14ac:dyDescent="0.2">
      <c r="A659" s="133">
        <v>395353585</v>
      </c>
    </row>
    <row r="660" spans="1:1" x14ac:dyDescent="0.2">
      <c r="A660" s="133">
        <v>395293645</v>
      </c>
    </row>
    <row r="661" spans="1:1" x14ac:dyDescent="0.2">
      <c r="A661" s="133">
        <v>395354440</v>
      </c>
    </row>
    <row r="662" spans="1:1" x14ac:dyDescent="0.2">
      <c r="A662" s="133">
        <v>395429172</v>
      </c>
    </row>
    <row r="663" spans="1:1" x14ac:dyDescent="0.2">
      <c r="A663" s="133">
        <v>395353776</v>
      </c>
    </row>
    <row r="664" spans="1:1" x14ac:dyDescent="0.2">
      <c r="A664" s="133">
        <v>395295207</v>
      </c>
    </row>
    <row r="665" spans="1:1" x14ac:dyDescent="0.2">
      <c r="A665" s="133">
        <v>395431184</v>
      </c>
    </row>
    <row r="666" spans="1:1" x14ac:dyDescent="0.2">
      <c r="A666" s="133">
        <v>395299095</v>
      </c>
    </row>
    <row r="667" spans="1:1" x14ac:dyDescent="0.2">
      <c r="A667" s="133">
        <v>395300133</v>
      </c>
    </row>
    <row r="668" spans="1:1" x14ac:dyDescent="0.2">
      <c r="A668" s="133">
        <v>395411712</v>
      </c>
    </row>
    <row r="669" spans="1:1" x14ac:dyDescent="0.2">
      <c r="A669" s="133">
        <v>395649585</v>
      </c>
    </row>
    <row r="670" spans="1:1" x14ac:dyDescent="0.2">
      <c r="A670" s="133">
        <v>395437134</v>
      </c>
    </row>
    <row r="671" spans="1:1" x14ac:dyDescent="0.2">
      <c r="A671" s="133">
        <v>395301279</v>
      </c>
    </row>
    <row r="672" spans="1:1" x14ac:dyDescent="0.2">
      <c r="A672" s="133">
        <v>395361342</v>
      </c>
    </row>
    <row r="673" spans="1:1" x14ac:dyDescent="0.2">
      <c r="A673" s="133">
        <v>395371146</v>
      </c>
    </row>
    <row r="674" spans="1:1" x14ac:dyDescent="0.2">
      <c r="A674" s="133">
        <v>395304138</v>
      </c>
    </row>
    <row r="675" spans="1:1" x14ac:dyDescent="0.2">
      <c r="A675" s="133">
        <v>395303846</v>
      </c>
    </row>
    <row r="676" spans="1:1" x14ac:dyDescent="0.2">
      <c r="A676" s="133">
        <v>395306427</v>
      </c>
    </row>
    <row r="677" spans="1:1" x14ac:dyDescent="0.2">
      <c r="A677" s="133">
        <v>395799998</v>
      </c>
    </row>
    <row r="678" spans="1:1" x14ac:dyDescent="0.2">
      <c r="A678" s="133">
        <v>395448389</v>
      </c>
    </row>
    <row r="679" spans="1:1" x14ac:dyDescent="0.2">
      <c r="A679" s="133">
        <v>395448388</v>
      </c>
    </row>
    <row r="680" spans="1:1" x14ac:dyDescent="0.2">
      <c r="A680" s="133">
        <v>395307462</v>
      </c>
    </row>
    <row r="681" spans="1:1" x14ac:dyDescent="0.2">
      <c r="A681" s="133">
        <v>395306954</v>
      </c>
    </row>
    <row r="682" spans="1:1" x14ac:dyDescent="0.2">
      <c r="A682" s="133">
        <v>395309652</v>
      </c>
    </row>
    <row r="683" spans="1:1" x14ac:dyDescent="0.2">
      <c r="A683" s="133">
        <v>395450651</v>
      </c>
    </row>
    <row r="684" spans="1:1" x14ac:dyDescent="0.2">
      <c r="A684" s="133">
        <v>395450914</v>
      </c>
    </row>
    <row r="685" spans="1:1" x14ac:dyDescent="0.2">
      <c r="A685" s="133">
        <v>395937808</v>
      </c>
    </row>
    <row r="686" spans="1:1" x14ac:dyDescent="0.2">
      <c r="A686" s="133">
        <v>395368625</v>
      </c>
    </row>
    <row r="687" spans="1:1" x14ac:dyDescent="0.2">
      <c r="A687" s="133">
        <v>395369819</v>
      </c>
    </row>
    <row r="688" spans="1:1" x14ac:dyDescent="0.2">
      <c r="A688" s="133">
        <v>395369838</v>
      </c>
    </row>
    <row r="689" spans="1:1" x14ac:dyDescent="0.2">
      <c r="A689" s="133">
        <v>395935020</v>
      </c>
    </row>
    <row r="690" spans="1:1" x14ac:dyDescent="0.2">
      <c r="A690" s="133">
        <v>395310867</v>
      </c>
    </row>
    <row r="691" spans="1:1" x14ac:dyDescent="0.2">
      <c r="A691" s="133">
        <v>395941702</v>
      </c>
    </row>
    <row r="692" spans="1:1" x14ac:dyDescent="0.2">
      <c r="A692" s="133">
        <v>395299489</v>
      </c>
    </row>
    <row r="693" spans="1:1" x14ac:dyDescent="0.2">
      <c r="A693" s="133">
        <v>394987931</v>
      </c>
    </row>
    <row r="694" spans="1:1" x14ac:dyDescent="0.2">
      <c r="A694" s="133">
        <v>395374378</v>
      </c>
    </row>
    <row r="695" spans="1:1" x14ac:dyDescent="0.2">
      <c r="A695" s="133">
        <v>395375356</v>
      </c>
    </row>
    <row r="696" spans="1:1" x14ac:dyDescent="0.2">
      <c r="A696" s="133">
        <v>395315721</v>
      </c>
    </row>
    <row r="697" spans="1:1" x14ac:dyDescent="0.2">
      <c r="A697" s="133">
        <v>395460729</v>
      </c>
    </row>
    <row r="698" spans="1:1" x14ac:dyDescent="0.2">
      <c r="A698" s="133">
        <v>395318052</v>
      </c>
    </row>
    <row r="699" spans="1:1" x14ac:dyDescent="0.2">
      <c r="A699" s="133">
        <v>394994764</v>
      </c>
    </row>
    <row r="700" spans="1:1" x14ac:dyDescent="0.2">
      <c r="A700" s="133">
        <v>395461816</v>
      </c>
    </row>
    <row r="701" spans="1:1" x14ac:dyDescent="0.2">
      <c r="A701" s="133">
        <v>395317408</v>
      </c>
    </row>
    <row r="702" spans="1:1" x14ac:dyDescent="0.2">
      <c r="A702" s="133">
        <v>395464704</v>
      </c>
    </row>
    <row r="703" spans="1:1" x14ac:dyDescent="0.2">
      <c r="A703" s="133">
        <v>395319977</v>
      </c>
    </row>
    <row r="704" spans="1:1" x14ac:dyDescent="0.2">
      <c r="A704" s="133">
        <v>395379638</v>
      </c>
    </row>
    <row r="705" spans="1:1" x14ac:dyDescent="0.2">
      <c r="A705" s="133">
        <v>395320830</v>
      </c>
    </row>
    <row r="706" spans="1:1" x14ac:dyDescent="0.2">
      <c r="A706" s="133">
        <v>395381995</v>
      </c>
    </row>
    <row r="707" spans="1:1" x14ac:dyDescent="0.2">
      <c r="A707" s="133">
        <v>395323421</v>
      </c>
    </row>
    <row r="708" spans="1:1" x14ac:dyDescent="0.2">
      <c r="A708" s="133">
        <v>395384460</v>
      </c>
    </row>
    <row r="709" spans="1:1" x14ac:dyDescent="0.2">
      <c r="A709" s="133">
        <v>395351179</v>
      </c>
    </row>
    <row r="710" spans="1:1" x14ac:dyDescent="0.2">
      <c r="A710" s="133">
        <v>395260751</v>
      </c>
    </row>
    <row r="711" spans="1:1" x14ac:dyDescent="0.2">
      <c r="A711" s="133">
        <v>395262838</v>
      </c>
    </row>
    <row r="712" spans="1:1" x14ac:dyDescent="0.2">
      <c r="A712" s="133">
        <v>395962539</v>
      </c>
    </row>
    <row r="713" spans="1:1" x14ac:dyDescent="0.2">
      <c r="A713" s="133">
        <v>395411890</v>
      </c>
    </row>
    <row r="714" spans="1:1" x14ac:dyDescent="0.2">
      <c r="A714" s="133">
        <v>395484735</v>
      </c>
    </row>
    <row r="715" spans="1:1" x14ac:dyDescent="0.2">
      <c r="A715" s="133">
        <v>394138895</v>
      </c>
    </row>
    <row r="716" spans="1:1" x14ac:dyDescent="0.2">
      <c r="A716" s="133">
        <v>395327957</v>
      </c>
    </row>
    <row r="717" spans="1:1" x14ac:dyDescent="0.2">
      <c r="A717" s="133">
        <v>395345185</v>
      </c>
    </row>
    <row r="718" spans="1:1" x14ac:dyDescent="0.2">
      <c r="A718" s="133">
        <v>395221378</v>
      </c>
    </row>
    <row r="719" spans="1:1" x14ac:dyDescent="0.2">
      <c r="A719" s="133">
        <v>395270118</v>
      </c>
    </row>
    <row r="720" spans="1:1" x14ac:dyDescent="0.2">
      <c r="A720" s="133">
        <v>395404033</v>
      </c>
    </row>
    <row r="721" spans="1:1" x14ac:dyDescent="0.2">
      <c r="A721" s="133">
        <v>395362321</v>
      </c>
    </row>
    <row r="722" spans="1:1" x14ac:dyDescent="0.2">
      <c r="A722" s="133">
        <v>395232950</v>
      </c>
    </row>
    <row r="723" spans="1:1" x14ac:dyDescent="0.2">
      <c r="A723" s="133">
        <v>395339004</v>
      </c>
    </row>
    <row r="724" spans="1:1" x14ac:dyDescent="0.2">
      <c r="A724" s="133">
        <v>395279136</v>
      </c>
    </row>
    <row r="725" spans="1:1" x14ac:dyDescent="0.2">
      <c r="A725" s="133">
        <v>395246714</v>
      </c>
    </row>
    <row r="726" spans="1:1" x14ac:dyDescent="0.2">
      <c r="A726" s="133">
        <v>395278367</v>
      </c>
    </row>
    <row r="727" spans="1:1" x14ac:dyDescent="0.2">
      <c r="A727" s="133">
        <v>395286599</v>
      </c>
    </row>
    <row r="728" spans="1:1" x14ac:dyDescent="0.2">
      <c r="A728" s="133">
        <v>395185343</v>
      </c>
    </row>
    <row r="729" spans="1:1" x14ac:dyDescent="0.2">
      <c r="A729" s="133">
        <v>395297706</v>
      </c>
    </row>
    <row r="730" spans="1:1" x14ac:dyDescent="0.2">
      <c r="A730" s="133">
        <v>395231154</v>
      </c>
    </row>
    <row r="731" spans="1:1" x14ac:dyDescent="0.2">
      <c r="A731" s="133">
        <v>395382393</v>
      </c>
    </row>
    <row r="732" spans="1:1" x14ac:dyDescent="0.2">
      <c r="A732" s="133">
        <v>395226865</v>
      </c>
    </row>
    <row r="733" spans="1:1" x14ac:dyDescent="0.2">
      <c r="A733" s="133">
        <v>395276890</v>
      </c>
    </row>
    <row r="734" spans="1:1" x14ac:dyDescent="0.2">
      <c r="A734" s="133">
        <v>395435924</v>
      </c>
    </row>
    <row r="735" spans="1:1" x14ac:dyDescent="0.2">
      <c r="A735" s="133">
        <v>395403405</v>
      </c>
    </row>
    <row r="736" spans="1:1" x14ac:dyDescent="0.2">
      <c r="A736" s="133">
        <v>395333399</v>
      </c>
    </row>
    <row r="737" spans="1:1" x14ac:dyDescent="0.2">
      <c r="A737" s="133">
        <v>395241298</v>
      </c>
    </row>
    <row r="738" spans="1:1" x14ac:dyDescent="0.2">
      <c r="A738" s="133">
        <v>395394908</v>
      </c>
    </row>
    <row r="739" spans="1:1" x14ac:dyDescent="0.2">
      <c r="A739" s="133">
        <v>395204747</v>
      </c>
    </row>
    <row r="740" spans="1:1" x14ac:dyDescent="0.2">
      <c r="A740" s="133">
        <v>395302179</v>
      </c>
    </row>
    <row r="741" spans="1:1" x14ac:dyDescent="0.2">
      <c r="A741" s="133">
        <v>395288273</v>
      </c>
    </row>
    <row r="742" spans="1:1" x14ac:dyDescent="0.2">
      <c r="A742" s="133">
        <v>395209194</v>
      </c>
    </row>
    <row r="743" spans="1:1" x14ac:dyDescent="0.2">
      <c r="A743" s="133">
        <v>395318755</v>
      </c>
    </row>
    <row r="744" spans="1:1" x14ac:dyDescent="0.2">
      <c r="A744" s="133">
        <v>395294102</v>
      </c>
    </row>
    <row r="745" spans="1:1" x14ac:dyDescent="0.2">
      <c r="A745" s="133">
        <v>395488938</v>
      </c>
    </row>
    <row r="746" spans="1:1" x14ac:dyDescent="0.2">
      <c r="A746" s="133">
        <v>395493977</v>
      </c>
    </row>
    <row r="747" spans="1:1" x14ac:dyDescent="0.2">
      <c r="A747" s="133">
        <v>395496448</v>
      </c>
    </row>
    <row r="748" spans="1:1" x14ac:dyDescent="0.2">
      <c r="A748" s="133">
        <v>395499161</v>
      </c>
    </row>
    <row r="749" spans="1:1" x14ac:dyDescent="0.2">
      <c r="A749" s="133">
        <v>395500449</v>
      </c>
    </row>
    <row r="750" spans="1:1" x14ac:dyDescent="0.2">
      <c r="A750" s="133">
        <v>395506951</v>
      </c>
    </row>
    <row r="751" spans="1:1" x14ac:dyDescent="0.2">
      <c r="A751" s="133">
        <v>395743002</v>
      </c>
    </row>
    <row r="752" spans="1:1" x14ac:dyDescent="0.2">
      <c r="A752" s="133">
        <v>395744262</v>
      </c>
    </row>
    <row r="753" spans="1:1" x14ac:dyDescent="0.2">
      <c r="A753" s="133">
        <v>395736024</v>
      </c>
    </row>
    <row r="754" spans="1:1" x14ac:dyDescent="0.2">
      <c r="A754" s="133">
        <v>395744347</v>
      </c>
    </row>
    <row r="755" spans="1:1" x14ac:dyDescent="0.2">
      <c r="A755" s="133">
        <v>395745011</v>
      </c>
    </row>
    <row r="756" spans="1:1" x14ac:dyDescent="0.2">
      <c r="A756" s="133">
        <v>395745998</v>
      </c>
    </row>
    <row r="757" spans="1:1" x14ac:dyDescent="0.2">
      <c r="A757" s="133">
        <v>395746532</v>
      </c>
    </row>
    <row r="758" spans="1:1" x14ac:dyDescent="0.2">
      <c r="A758" s="133">
        <v>395748203</v>
      </c>
    </row>
    <row r="759" spans="1:1" x14ac:dyDescent="0.2">
      <c r="A759" s="133">
        <v>395750093</v>
      </c>
    </row>
    <row r="760" spans="1:1" x14ac:dyDescent="0.2">
      <c r="A760" s="133">
        <v>395748607</v>
      </c>
    </row>
    <row r="761" spans="1:1" x14ac:dyDescent="0.2">
      <c r="A761" s="133">
        <v>395512557</v>
      </c>
    </row>
    <row r="762" spans="1:1" x14ac:dyDescent="0.2">
      <c r="A762" s="133">
        <v>395750733</v>
      </c>
    </row>
    <row r="763" spans="1:1" x14ac:dyDescent="0.2">
      <c r="A763" s="133">
        <v>395750812</v>
      </c>
    </row>
    <row r="764" spans="1:1" x14ac:dyDescent="0.2">
      <c r="A764" s="133">
        <v>395750948</v>
      </c>
    </row>
    <row r="765" spans="1:1" x14ac:dyDescent="0.2">
      <c r="A765" s="133">
        <v>395751237</v>
      </c>
    </row>
    <row r="766" spans="1:1" x14ac:dyDescent="0.2">
      <c r="A766" s="133">
        <v>395754206</v>
      </c>
    </row>
    <row r="767" spans="1:1" x14ac:dyDescent="0.2">
      <c r="A767" s="133">
        <v>395753576</v>
      </c>
    </row>
    <row r="768" spans="1:1" x14ac:dyDescent="0.2">
      <c r="A768" s="133">
        <v>395753953</v>
      </c>
    </row>
    <row r="769" spans="1:1" x14ac:dyDescent="0.2">
      <c r="A769" s="133">
        <v>395517348</v>
      </c>
    </row>
    <row r="770" spans="1:1" x14ac:dyDescent="0.2">
      <c r="A770" s="133">
        <v>395756683</v>
      </c>
    </row>
    <row r="771" spans="1:1" x14ac:dyDescent="0.2">
      <c r="A771" s="133">
        <v>395756878</v>
      </c>
    </row>
    <row r="772" spans="1:1" x14ac:dyDescent="0.2">
      <c r="A772" s="133">
        <v>395757303</v>
      </c>
    </row>
    <row r="773" spans="1:1" x14ac:dyDescent="0.2">
      <c r="A773" s="133">
        <v>395758047</v>
      </c>
    </row>
    <row r="774" spans="1:1" x14ac:dyDescent="0.2">
      <c r="A774" s="133">
        <v>395758121</v>
      </c>
    </row>
    <row r="775" spans="1:1" x14ac:dyDescent="0.2">
      <c r="A775" s="133">
        <v>395472197</v>
      </c>
    </row>
    <row r="776" spans="1:1" x14ac:dyDescent="0.2">
      <c r="A776" s="133">
        <v>395760255</v>
      </c>
    </row>
    <row r="777" spans="1:1" x14ac:dyDescent="0.2">
      <c r="A777" s="133">
        <v>395759887</v>
      </c>
    </row>
    <row r="778" spans="1:1" x14ac:dyDescent="0.2">
      <c r="A778" s="133">
        <v>395522014</v>
      </c>
    </row>
    <row r="779" spans="1:1" x14ac:dyDescent="0.2">
      <c r="A779" s="133">
        <v>395727948</v>
      </c>
    </row>
    <row r="780" spans="1:1" x14ac:dyDescent="0.2">
      <c r="A780" s="133">
        <v>395763110</v>
      </c>
    </row>
    <row r="781" spans="1:1" x14ac:dyDescent="0.2">
      <c r="A781" s="133">
        <v>395522589</v>
      </c>
    </row>
    <row r="782" spans="1:1" x14ac:dyDescent="0.2">
      <c r="A782" s="133">
        <v>395762785</v>
      </c>
    </row>
    <row r="783" spans="1:1" x14ac:dyDescent="0.2">
      <c r="A783" s="133">
        <v>395523449</v>
      </c>
    </row>
    <row r="784" spans="1:1" x14ac:dyDescent="0.2">
      <c r="A784" s="133">
        <v>395522821</v>
      </c>
    </row>
    <row r="785" spans="1:1" x14ac:dyDescent="0.2">
      <c r="A785" s="133">
        <v>395523795</v>
      </c>
    </row>
    <row r="786" spans="1:1" x14ac:dyDescent="0.2">
      <c r="A786" s="133">
        <v>395164259</v>
      </c>
    </row>
    <row r="787" spans="1:1" x14ac:dyDescent="0.2">
      <c r="A787" s="133">
        <v>395217221</v>
      </c>
    </row>
    <row r="788" spans="1:1" x14ac:dyDescent="0.2">
      <c r="A788" s="133">
        <v>395525200</v>
      </c>
    </row>
    <row r="789" spans="1:1" x14ac:dyDescent="0.2">
      <c r="A789" s="133">
        <v>395524304</v>
      </c>
    </row>
    <row r="790" spans="1:1" x14ac:dyDescent="0.2">
      <c r="A790" s="133">
        <v>395766100</v>
      </c>
    </row>
    <row r="791" spans="1:1" x14ac:dyDescent="0.2">
      <c r="A791" s="133">
        <v>395767437</v>
      </c>
    </row>
    <row r="792" spans="1:1" x14ac:dyDescent="0.2">
      <c r="A792" s="133">
        <v>395526693</v>
      </c>
    </row>
    <row r="793" spans="1:1" x14ac:dyDescent="0.2">
      <c r="A793" s="133">
        <v>395769160</v>
      </c>
    </row>
    <row r="794" spans="1:1" x14ac:dyDescent="0.2">
      <c r="A794" s="133">
        <v>395769197</v>
      </c>
    </row>
    <row r="795" spans="1:1" x14ac:dyDescent="0.2">
      <c r="A795" s="133">
        <v>395769707</v>
      </c>
    </row>
    <row r="796" spans="1:1" x14ac:dyDescent="0.2">
      <c r="A796" s="133">
        <v>395771014</v>
      </c>
    </row>
    <row r="797" spans="1:1" x14ac:dyDescent="0.2">
      <c r="A797" s="133">
        <v>395715439</v>
      </c>
    </row>
    <row r="798" spans="1:1" x14ac:dyDescent="0.2">
      <c r="A798" s="133">
        <v>395770773</v>
      </c>
    </row>
    <row r="799" spans="1:1" x14ac:dyDescent="0.2">
      <c r="A799" s="133">
        <v>395772180</v>
      </c>
    </row>
    <row r="800" spans="1:1" x14ac:dyDescent="0.2">
      <c r="A800" s="133">
        <v>395773567</v>
      </c>
    </row>
    <row r="801" spans="1:1" x14ac:dyDescent="0.2">
      <c r="A801" s="133">
        <v>395772947</v>
      </c>
    </row>
    <row r="802" spans="1:1" x14ac:dyDescent="0.2">
      <c r="A802" s="133">
        <v>395533025</v>
      </c>
    </row>
    <row r="803" spans="1:1" x14ac:dyDescent="0.2">
      <c r="A803" s="133">
        <v>395776182</v>
      </c>
    </row>
    <row r="804" spans="1:1" x14ac:dyDescent="0.2">
      <c r="A804" s="133">
        <v>395775567</v>
      </c>
    </row>
    <row r="805" spans="1:1" x14ac:dyDescent="0.2">
      <c r="A805" s="133">
        <v>395775952</v>
      </c>
    </row>
    <row r="806" spans="1:1" x14ac:dyDescent="0.2">
      <c r="A806" s="133">
        <v>395777011</v>
      </c>
    </row>
    <row r="807" spans="1:1" x14ac:dyDescent="0.2">
      <c r="A807" s="133">
        <v>395778627</v>
      </c>
    </row>
    <row r="808" spans="1:1" x14ac:dyDescent="0.2">
      <c r="A808" s="133">
        <v>395533713</v>
      </c>
    </row>
    <row r="809" spans="1:1" x14ac:dyDescent="0.2">
      <c r="A809" s="133">
        <v>395778726</v>
      </c>
    </row>
    <row r="810" spans="1:1" x14ac:dyDescent="0.2">
      <c r="A810" s="133">
        <v>395766333</v>
      </c>
    </row>
    <row r="811" spans="1:1" x14ac:dyDescent="0.2">
      <c r="A811" s="133">
        <v>395779616</v>
      </c>
    </row>
    <row r="812" spans="1:1" x14ac:dyDescent="0.2">
      <c r="A812" s="133">
        <v>395781081</v>
      </c>
    </row>
    <row r="813" spans="1:1" x14ac:dyDescent="0.2">
      <c r="A813" s="133">
        <v>395781158</v>
      </c>
    </row>
    <row r="814" spans="1:1" x14ac:dyDescent="0.2">
      <c r="A814" s="133">
        <v>395781159</v>
      </c>
    </row>
    <row r="815" spans="1:1" x14ac:dyDescent="0.2">
      <c r="A815" s="133">
        <v>395782763</v>
      </c>
    </row>
    <row r="816" spans="1:1" x14ac:dyDescent="0.2">
      <c r="A816" s="133">
        <v>395785237</v>
      </c>
    </row>
    <row r="817" spans="1:1" x14ac:dyDescent="0.2">
      <c r="A817" s="133">
        <v>395539662</v>
      </c>
    </row>
    <row r="818" spans="1:1" x14ac:dyDescent="0.2">
      <c r="A818" s="133">
        <v>395784843</v>
      </c>
    </row>
    <row r="819" spans="1:1" x14ac:dyDescent="0.2">
      <c r="A819" s="133">
        <v>395786001</v>
      </c>
    </row>
    <row r="820" spans="1:1" x14ac:dyDescent="0.2">
      <c r="A820" s="133">
        <v>395594739</v>
      </c>
    </row>
    <row r="821" spans="1:1" x14ac:dyDescent="0.2">
      <c r="A821" s="133">
        <v>395787092</v>
      </c>
    </row>
    <row r="822" spans="1:1" x14ac:dyDescent="0.2">
      <c r="A822" s="133">
        <v>395787189</v>
      </c>
    </row>
    <row r="823" spans="1:1" x14ac:dyDescent="0.2">
      <c r="A823" s="133">
        <v>395787969</v>
      </c>
    </row>
    <row r="824" spans="1:1" x14ac:dyDescent="0.2">
      <c r="A824" s="133">
        <v>395793372</v>
      </c>
    </row>
    <row r="825" spans="1:1" x14ac:dyDescent="0.2">
      <c r="A825" s="133">
        <v>395793374</v>
      </c>
    </row>
    <row r="826" spans="1:1" x14ac:dyDescent="0.2">
      <c r="A826" s="133">
        <v>395793410</v>
      </c>
    </row>
    <row r="827" spans="1:1" x14ac:dyDescent="0.2">
      <c r="A827" s="133">
        <v>395793680</v>
      </c>
    </row>
    <row r="828" spans="1:1" x14ac:dyDescent="0.2">
      <c r="A828" s="133">
        <v>395793825</v>
      </c>
    </row>
    <row r="829" spans="1:1" x14ac:dyDescent="0.2">
      <c r="A829" s="133">
        <v>395793903</v>
      </c>
    </row>
    <row r="830" spans="1:1" x14ac:dyDescent="0.2">
      <c r="A830" s="133">
        <v>395794116</v>
      </c>
    </row>
    <row r="831" spans="1:1" x14ac:dyDescent="0.2">
      <c r="A831" s="133">
        <v>395795037</v>
      </c>
    </row>
    <row r="832" spans="1:1" x14ac:dyDescent="0.2">
      <c r="A832" s="133">
        <v>395795172</v>
      </c>
    </row>
    <row r="833" spans="1:1" x14ac:dyDescent="0.2">
      <c r="A833" s="133">
        <v>395794783</v>
      </c>
    </row>
    <row r="834" spans="1:1" x14ac:dyDescent="0.2">
      <c r="A834" s="133">
        <v>395539943</v>
      </c>
    </row>
    <row r="835" spans="1:1" x14ac:dyDescent="0.2">
      <c r="A835" s="133">
        <v>395795045</v>
      </c>
    </row>
    <row r="836" spans="1:1" x14ac:dyDescent="0.2">
      <c r="A836" s="133">
        <v>395796476</v>
      </c>
    </row>
    <row r="837" spans="1:1" x14ac:dyDescent="0.2">
      <c r="A837" s="133">
        <v>395550379</v>
      </c>
    </row>
    <row r="838" spans="1:1" x14ac:dyDescent="0.2">
      <c r="A838" s="133">
        <v>395796778</v>
      </c>
    </row>
    <row r="839" spans="1:1" x14ac:dyDescent="0.2">
      <c r="A839" s="133">
        <v>395797381</v>
      </c>
    </row>
    <row r="840" spans="1:1" x14ac:dyDescent="0.2">
      <c r="A840" s="133">
        <v>395789192</v>
      </c>
    </row>
    <row r="841" spans="1:1" x14ac:dyDescent="0.2">
      <c r="A841" s="133">
        <v>395791433</v>
      </c>
    </row>
    <row r="842" spans="1:1" x14ac:dyDescent="0.2">
      <c r="A842" s="133">
        <v>395526499</v>
      </c>
    </row>
    <row r="843" spans="1:1" x14ac:dyDescent="0.2">
      <c r="A843" s="133">
        <v>395551120</v>
      </c>
    </row>
    <row r="844" spans="1:1" x14ac:dyDescent="0.2">
      <c r="A844" s="133">
        <v>395798710</v>
      </c>
    </row>
    <row r="845" spans="1:1" x14ac:dyDescent="0.2">
      <c r="A845" s="133">
        <v>395647647</v>
      </c>
    </row>
    <row r="846" spans="1:1" x14ac:dyDescent="0.2">
      <c r="A846" s="133">
        <v>395551652</v>
      </c>
    </row>
    <row r="847" spans="1:1" x14ac:dyDescent="0.2">
      <c r="A847" s="133">
        <v>395800266</v>
      </c>
    </row>
    <row r="848" spans="1:1" x14ac:dyDescent="0.2">
      <c r="A848" s="133">
        <v>395799316</v>
      </c>
    </row>
    <row r="849" spans="1:1" x14ac:dyDescent="0.2">
      <c r="A849" s="133">
        <v>395800438</v>
      </c>
    </row>
    <row r="850" spans="1:1" x14ac:dyDescent="0.2">
      <c r="A850" s="133">
        <v>395801046</v>
      </c>
    </row>
    <row r="851" spans="1:1" x14ac:dyDescent="0.2">
      <c r="A851" s="133">
        <v>395802341</v>
      </c>
    </row>
    <row r="852" spans="1:1" x14ac:dyDescent="0.2">
      <c r="A852" s="133">
        <v>395802342</v>
      </c>
    </row>
    <row r="853" spans="1:1" x14ac:dyDescent="0.2">
      <c r="A853" s="133">
        <v>395547249</v>
      </c>
    </row>
    <row r="854" spans="1:1" x14ac:dyDescent="0.2">
      <c r="A854" s="133">
        <v>395803171</v>
      </c>
    </row>
    <row r="855" spans="1:1" x14ac:dyDescent="0.2">
      <c r="A855" s="133">
        <v>395802991</v>
      </c>
    </row>
    <row r="856" spans="1:1" x14ac:dyDescent="0.2">
      <c r="A856" s="133">
        <v>395803844</v>
      </c>
    </row>
    <row r="857" spans="1:1" x14ac:dyDescent="0.2">
      <c r="A857" s="133">
        <v>395804383</v>
      </c>
    </row>
    <row r="858" spans="1:1" x14ac:dyDescent="0.2">
      <c r="A858" s="133">
        <v>395806490</v>
      </c>
    </row>
    <row r="859" spans="1:1" x14ac:dyDescent="0.2">
      <c r="A859" s="133">
        <v>395808038</v>
      </c>
    </row>
    <row r="860" spans="1:1" x14ac:dyDescent="0.2">
      <c r="A860" s="133">
        <v>395561047</v>
      </c>
    </row>
    <row r="861" spans="1:1" x14ac:dyDescent="0.2">
      <c r="A861" s="133">
        <v>395809610</v>
      </c>
    </row>
    <row r="862" spans="1:1" x14ac:dyDescent="0.2">
      <c r="A862" s="133">
        <v>395810411</v>
      </c>
    </row>
    <row r="863" spans="1:1" x14ac:dyDescent="0.2">
      <c r="A863" s="133">
        <v>395811378</v>
      </c>
    </row>
    <row r="864" spans="1:1" x14ac:dyDescent="0.2">
      <c r="A864" s="133">
        <v>395812153</v>
      </c>
    </row>
    <row r="865" spans="1:1" x14ac:dyDescent="0.2">
      <c r="A865" s="133">
        <v>395564323</v>
      </c>
    </row>
    <row r="866" spans="1:1" x14ac:dyDescent="0.2">
      <c r="A866" s="133">
        <v>395564326</v>
      </c>
    </row>
    <row r="867" spans="1:1" x14ac:dyDescent="0.2">
      <c r="A867" s="133">
        <v>395812394</v>
      </c>
    </row>
    <row r="868" spans="1:1" x14ac:dyDescent="0.2">
      <c r="A868" s="133">
        <v>395813116</v>
      </c>
    </row>
    <row r="869" spans="1:1" x14ac:dyDescent="0.2">
      <c r="A869" s="133">
        <v>395567818</v>
      </c>
    </row>
    <row r="870" spans="1:1" x14ac:dyDescent="0.2">
      <c r="A870" s="133">
        <v>395816677</v>
      </c>
    </row>
    <row r="871" spans="1:1" x14ac:dyDescent="0.2">
      <c r="A871" s="133">
        <v>395816443</v>
      </c>
    </row>
    <row r="872" spans="1:1" x14ac:dyDescent="0.2">
      <c r="A872" s="133">
        <v>395815484</v>
      </c>
    </row>
    <row r="873" spans="1:1" x14ac:dyDescent="0.2">
      <c r="A873" s="133">
        <v>395815286</v>
      </c>
    </row>
    <row r="874" spans="1:1" x14ac:dyDescent="0.2">
      <c r="A874" s="133">
        <v>395816238</v>
      </c>
    </row>
    <row r="875" spans="1:1" x14ac:dyDescent="0.2">
      <c r="A875" s="133">
        <v>394864728</v>
      </c>
    </row>
    <row r="876" spans="1:1" x14ac:dyDescent="0.2">
      <c r="A876" s="133">
        <v>394933459</v>
      </c>
    </row>
    <row r="877" spans="1:1" x14ac:dyDescent="0.2">
      <c r="A877" s="133">
        <v>395045359</v>
      </c>
    </row>
    <row r="878" spans="1:1" x14ac:dyDescent="0.2">
      <c r="A878" s="133">
        <v>395818480</v>
      </c>
    </row>
    <row r="879" spans="1:1" x14ac:dyDescent="0.2">
      <c r="A879" s="133">
        <v>395817938</v>
      </c>
    </row>
    <row r="880" spans="1:1" x14ac:dyDescent="0.2">
      <c r="A880" s="133">
        <v>395569827</v>
      </c>
    </row>
    <row r="881" spans="1:1" x14ac:dyDescent="0.2">
      <c r="A881" s="133">
        <v>395128617</v>
      </c>
    </row>
    <row r="882" spans="1:1" x14ac:dyDescent="0.2">
      <c r="A882" s="133">
        <v>395819081</v>
      </c>
    </row>
    <row r="883" spans="1:1" x14ac:dyDescent="0.2">
      <c r="A883" s="133">
        <v>395820791</v>
      </c>
    </row>
    <row r="884" spans="1:1" x14ac:dyDescent="0.2">
      <c r="A884" s="133">
        <v>394894943</v>
      </c>
    </row>
    <row r="885" spans="1:1" x14ac:dyDescent="0.2">
      <c r="A885" s="133">
        <v>395820525</v>
      </c>
    </row>
    <row r="886" spans="1:1" x14ac:dyDescent="0.2">
      <c r="A886" s="133">
        <v>395820876</v>
      </c>
    </row>
    <row r="887" spans="1:1" x14ac:dyDescent="0.2">
      <c r="A887" s="133">
        <v>395821222</v>
      </c>
    </row>
    <row r="888" spans="1:1" x14ac:dyDescent="0.2">
      <c r="A888" s="133">
        <v>395824119</v>
      </c>
    </row>
    <row r="889" spans="1:1" x14ac:dyDescent="0.2">
      <c r="A889" s="133">
        <v>395823530</v>
      </c>
    </row>
    <row r="890" spans="1:1" x14ac:dyDescent="0.2">
      <c r="A890" s="133">
        <v>395823271</v>
      </c>
    </row>
    <row r="891" spans="1:1" x14ac:dyDescent="0.2">
      <c r="A891" s="133">
        <v>395823667</v>
      </c>
    </row>
    <row r="892" spans="1:1" x14ac:dyDescent="0.2">
      <c r="A892" s="133">
        <v>395823906</v>
      </c>
    </row>
    <row r="893" spans="1:1" x14ac:dyDescent="0.2">
      <c r="A893" s="133">
        <v>395574021</v>
      </c>
    </row>
    <row r="894" spans="1:1" x14ac:dyDescent="0.2">
      <c r="A894" s="133">
        <v>395823539</v>
      </c>
    </row>
    <row r="895" spans="1:1" x14ac:dyDescent="0.2">
      <c r="A895" s="133">
        <v>395826054</v>
      </c>
    </row>
    <row r="896" spans="1:1" x14ac:dyDescent="0.2">
      <c r="A896" s="133">
        <v>395824229</v>
      </c>
    </row>
    <row r="897" spans="1:1" x14ac:dyDescent="0.2">
      <c r="A897" s="133">
        <v>395828388</v>
      </c>
    </row>
    <row r="898" spans="1:1" x14ac:dyDescent="0.2">
      <c r="A898" s="133">
        <v>395828389</v>
      </c>
    </row>
    <row r="899" spans="1:1" x14ac:dyDescent="0.2">
      <c r="A899" s="133">
        <v>395828772</v>
      </c>
    </row>
    <row r="900" spans="1:1" x14ac:dyDescent="0.2">
      <c r="A900" s="133">
        <v>395828421</v>
      </c>
    </row>
    <row r="901" spans="1:1" x14ac:dyDescent="0.2">
      <c r="A901" s="133">
        <v>395828864</v>
      </c>
    </row>
    <row r="902" spans="1:1" x14ac:dyDescent="0.2">
      <c r="A902" s="133">
        <v>395829416</v>
      </c>
    </row>
    <row r="903" spans="1:1" x14ac:dyDescent="0.2">
      <c r="A903" s="133">
        <v>394894942</v>
      </c>
    </row>
    <row r="904" spans="1:1" x14ac:dyDescent="0.2">
      <c r="A904" s="133">
        <v>395831655</v>
      </c>
    </row>
    <row r="905" spans="1:1" x14ac:dyDescent="0.2">
      <c r="A905" s="133">
        <v>395832195</v>
      </c>
    </row>
    <row r="906" spans="1:1" x14ac:dyDescent="0.2">
      <c r="A906" s="133">
        <v>395833101</v>
      </c>
    </row>
    <row r="907" spans="1:1" x14ac:dyDescent="0.2">
      <c r="A907" s="133">
        <v>395579538</v>
      </c>
    </row>
    <row r="908" spans="1:1" x14ac:dyDescent="0.2">
      <c r="A908" s="133">
        <v>395832864</v>
      </c>
    </row>
    <row r="909" spans="1:1" x14ac:dyDescent="0.2">
      <c r="A909" s="133">
        <v>395834087</v>
      </c>
    </row>
    <row r="910" spans="1:1" x14ac:dyDescent="0.2">
      <c r="A910" s="133">
        <v>395835015</v>
      </c>
    </row>
    <row r="911" spans="1:1" x14ac:dyDescent="0.2">
      <c r="A911" s="133">
        <v>395835050</v>
      </c>
    </row>
    <row r="912" spans="1:1" x14ac:dyDescent="0.2">
      <c r="A912" s="133">
        <v>395835449</v>
      </c>
    </row>
    <row r="913" spans="1:1" x14ac:dyDescent="0.2">
      <c r="A913" s="133">
        <v>395834900</v>
      </c>
    </row>
    <row r="914" spans="1:1" x14ac:dyDescent="0.2">
      <c r="A914" s="133">
        <v>395835709</v>
      </c>
    </row>
    <row r="915" spans="1:1" x14ac:dyDescent="0.2">
      <c r="A915" s="133">
        <v>395582209</v>
      </c>
    </row>
    <row r="916" spans="1:1" x14ac:dyDescent="0.2">
      <c r="A916" s="133">
        <v>395837193</v>
      </c>
    </row>
    <row r="917" spans="1:1" x14ac:dyDescent="0.2">
      <c r="A917" s="133">
        <v>395837645</v>
      </c>
    </row>
    <row r="918" spans="1:1" x14ac:dyDescent="0.2">
      <c r="A918" s="133">
        <v>394972837</v>
      </c>
    </row>
    <row r="919" spans="1:1" x14ac:dyDescent="0.2">
      <c r="A919" s="133">
        <v>394853615</v>
      </c>
    </row>
    <row r="920" spans="1:1" x14ac:dyDescent="0.2">
      <c r="A920" s="133">
        <v>395475022</v>
      </c>
    </row>
    <row r="921" spans="1:1" x14ac:dyDescent="0.2">
      <c r="A921" s="133">
        <v>395724462</v>
      </c>
    </row>
    <row r="922" spans="1:1" x14ac:dyDescent="0.2">
      <c r="A922" s="133">
        <v>395477572</v>
      </c>
    </row>
    <row r="923" spans="1:1" x14ac:dyDescent="0.2">
      <c r="A923" s="133">
        <v>395327142</v>
      </c>
    </row>
    <row r="924" spans="1:1" x14ac:dyDescent="0.2">
      <c r="A924" s="133">
        <v>395388345</v>
      </c>
    </row>
    <row r="925" spans="1:1" x14ac:dyDescent="0.2">
      <c r="A925" s="133">
        <v>395389727</v>
      </c>
    </row>
    <row r="926" spans="1:1" x14ac:dyDescent="0.2">
      <c r="A926" s="133">
        <v>395853454</v>
      </c>
    </row>
    <row r="927" spans="1:1" x14ac:dyDescent="0.2">
      <c r="A927" s="133">
        <v>395853929</v>
      </c>
    </row>
    <row r="928" spans="1:1" x14ac:dyDescent="0.2">
      <c r="A928" s="133">
        <v>394894940</v>
      </c>
    </row>
    <row r="929" spans="1:1" x14ac:dyDescent="0.2">
      <c r="A929" s="133">
        <v>393921851</v>
      </c>
    </row>
    <row r="930" spans="1:1" x14ac:dyDescent="0.2">
      <c r="A930" s="133">
        <v>395064706</v>
      </c>
    </row>
    <row r="931" spans="1:1" x14ac:dyDescent="0.2">
      <c r="A931" s="133">
        <v>395856921</v>
      </c>
    </row>
    <row r="932" spans="1:1" x14ac:dyDescent="0.2">
      <c r="A932" s="133">
        <v>395856565</v>
      </c>
    </row>
    <row r="933" spans="1:1" x14ac:dyDescent="0.2">
      <c r="A933" s="133">
        <v>395666438</v>
      </c>
    </row>
    <row r="934" spans="1:1" x14ac:dyDescent="0.2">
      <c r="A934" s="133">
        <v>395681053</v>
      </c>
    </row>
    <row r="935" spans="1:1" x14ac:dyDescent="0.2">
      <c r="A935" s="133">
        <v>395773033</v>
      </c>
    </row>
    <row r="936" spans="1:1" x14ac:dyDescent="0.2">
      <c r="A936" s="133">
        <v>395738928</v>
      </c>
    </row>
    <row r="937" spans="1:1" x14ac:dyDescent="0.2">
      <c r="A937" s="133">
        <v>395651217</v>
      </c>
    </row>
    <row r="938" spans="1:1" x14ac:dyDescent="0.2">
      <c r="A938" s="133">
        <v>395745593</v>
      </c>
    </row>
    <row r="939" spans="1:1" x14ac:dyDescent="0.2">
      <c r="A939" s="133">
        <v>395665296</v>
      </c>
    </row>
    <row r="940" spans="1:1" x14ac:dyDescent="0.2">
      <c r="A940" s="133">
        <v>395693007</v>
      </c>
    </row>
    <row r="941" spans="1:1" x14ac:dyDescent="0.2">
      <c r="A941" s="133">
        <v>395753343</v>
      </c>
    </row>
    <row r="942" spans="1:1" x14ac:dyDescent="0.2">
      <c r="A942" s="133">
        <v>395763809</v>
      </c>
    </row>
    <row r="943" spans="1:1" x14ac:dyDescent="0.2">
      <c r="A943" s="133">
        <v>395641204</v>
      </c>
    </row>
    <row r="944" spans="1:1" x14ac:dyDescent="0.2">
      <c r="A944" s="133">
        <v>395685641</v>
      </c>
    </row>
    <row r="945" spans="1:1" x14ac:dyDescent="0.2">
      <c r="A945" s="133">
        <v>395723427</v>
      </c>
    </row>
    <row r="946" spans="1:1" x14ac:dyDescent="0.2">
      <c r="A946" s="133">
        <v>395774335</v>
      </c>
    </row>
    <row r="947" spans="1:1" x14ac:dyDescent="0.2">
      <c r="A947" s="133">
        <v>395820551</v>
      </c>
    </row>
    <row r="948" spans="1:1" x14ac:dyDescent="0.2">
      <c r="A948" s="133">
        <v>395817122</v>
      </c>
    </row>
    <row r="949" spans="1:1" x14ac:dyDescent="0.2">
      <c r="A949" s="133">
        <v>395723852</v>
      </c>
    </row>
    <row r="950" spans="1:1" x14ac:dyDescent="0.2">
      <c r="A950" s="133">
        <v>395723714</v>
      </c>
    </row>
    <row r="951" spans="1:1" x14ac:dyDescent="0.2">
      <c r="A951" s="133">
        <v>395692258</v>
      </c>
    </row>
    <row r="952" spans="1:1" x14ac:dyDescent="0.2">
      <c r="A952" s="133">
        <v>395621484</v>
      </c>
    </row>
    <row r="953" spans="1:1" x14ac:dyDescent="0.2">
      <c r="A953" s="133">
        <v>395757212</v>
      </c>
    </row>
    <row r="954" spans="1:1" x14ac:dyDescent="0.2">
      <c r="A954" s="133">
        <v>395828068</v>
      </c>
    </row>
    <row r="955" spans="1:1" x14ac:dyDescent="0.2">
      <c r="A955" s="133">
        <v>395747331</v>
      </c>
    </row>
    <row r="956" spans="1:1" x14ac:dyDescent="0.2">
      <c r="A956" s="133">
        <v>395716644</v>
      </c>
    </row>
    <row r="957" spans="1:1" x14ac:dyDescent="0.2">
      <c r="A957" s="133">
        <v>395737399</v>
      </c>
    </row>
    <row r="958" spans="1:1" x14ac:dyDescent="0.2">
      <c r="A958" s="133">
        <v>395820386</v>
      </c>
    </row>
    <row r="959" spans="1:1" x14ac:dyDescent="0.2">
      <c r="A959" s="133">
        <v>395674786</v>
      </c>
    </row>
    <row r="960" spans="1:1" x14ac:dyDescent="0.2">
      <c r="A960" s="133">
        <v>395823101</v>
      </c>
    </row>
    <row r="961" spans="1:1" x14ac:dyDescent="0.2">
      <c r="A961" s="133">
        <v>395788395</v>
      </c>
    </row>
    <row r="962" spans="1:1" x14ac:dyDescent="0.2">
      <c r="A962" s="133">
        <v>395619905</v>
      </c>
    </row>
    <row r="963" spans="1:1" x14ac:dyDescent="0.2">
      <c r="A963" s="133">
        <v>395628739</v>
      </c>
    </row>
    <row r="964" spans="1:1" x14ac:dyDescent="0.2">
      <c r="A964" s="133">
        <v>395615889</v>
      </c>
    </row>
    <row r="965" spans="1:1" x14ac:dyDescent="0.2">
      <c r="A965" s="133">
        <v>395611648</v>
      </c>
    </row>
    <row r="966" spans="1:1" x14ac:dyDescent="0.2">
      <c r="A966" s="133">
        <v>395726395</v>
      </c>
    </row>
    <row r="967" spans="1:1" x14ac:dyDescent="0.2">
      <c r="A967" s="133">
        <v>395741224</v>
      </c>
    </row>
    <row r="968" spans="1:1" x14ac:dyDescent="0.2">
      <c r="A968" s="133">
        <v>395692302</v>
      </c>
    </row>
    <row r="969" spans="1:1" x14ac:dyDescent="0.2">
      <c r="A969" s="133">
        <v>395645891</v>
      </c>
    </row>
    <row r="970" spans="1:1" x14ac:dyDescent="0.2">
      <c r="A970" s="133">
        <v>395716297</v>
      </c>
    </row>
    <row r="971" spans="1:1" x14ac:dyDescent="0.2">
      <c r="A971" s="133">
        <v>395666229</v>
      </c>
    </row>
    <row r="972" spans="1:1" x14ac:dyDescent="0.2">
      <c r="A972" s="133">
        <v>395680489</v>
      </c>
    </row>
    <row r="973" spans="1:1" x14ac:dyDescent="0.2">
      <c r="A973" s="133">
        <v>395693502</v>
      </c>
    </row>
    <row r="974" spans="1:1" x14ac:dyDescent="0.2">
      <c r="A974" s="133">
        <v>395806615</v>
      </c>
    </row>
    <row r="975" spans="1:1" x14ac:dyDescent="0.2">
      <c r="A975" s="133">
        <v>395682157</v>
      </c>
    </row>
    <row r="976" spans="1:1" x14ac:dyDescent="0.2">
      <c r="A976" s="133">
        <v>395761897</v>
      </c>
    </row>
    <row r="977" spans="1:1" x14ac:dyDescent="0.2">
      <c r="A977" s="133">
        <v>395726587</v>
      </c>
    </row>
    <row r="978" spans="1:1" x14ac:dyDescent="0.2">
      <c r="A978" s="133">
        <v>395601462</v>
      </c>
    </row>
    <row r="979" spans="1:1" x14ac:dyDescent="0.2">
      <c r="A979" s="133">
        <v>395751360</v>
      </c>
    </row>
    <row r="980" spans="1:1" x14ac:dyDescent="0.2">
      <c r="A980" s="133">
        <v>395743269</v>
      </c>
    </row>
    <row r="981" spans="1:1" x14ac:dyDescent="0.2">
      <c r="A981" s="133">
        <v>395606717</v>
      </c>
    </row>
    <row r="982" spans="1:1" x14ac:dyDescent="0.2">
      <c r="A982" s="133">
        <v>395686917</v>
      </c>
    </row>
    <row r="983" spans="1:1" x14ac:dyDescent="0.2">
      <c r="A983" s="133">
        <v>395800234</v>
      </c>
    </row>
    <row r="984" spans="1:1" x14ac:dyDescent="0.2">
      <c r="A984" s="133">
        <v>395780377</v>
      </c>
    </row>
    <row r="985" spans="1:1" x14ac:dyDescent="0.2">
      <c r="A985" s="133">
        <v>395607563</v>
      </c>
    </row>
    <row r="986" spans="1:1" x14ac:dyDescent="0.2">
      <c r="A986" s="133">
        <v>395594254</v>
      </c>
    </row>
    <row r="987" spans="1:1" x14ac:dyDescent="0.2">
      <c r="A987" s="133">
        <v>395816450</v>
      </c>
    </row>
    <row r="988" spans="1:1" x14ac:dyDescent="0.2">
      <c r="A988" s="133">
        <v>395685646</v>
      </c>
    </row>
    <row r="989" spans="1:1" x14ac:dyDescent="0.2">
      <c r="A989" s="133">
        <v>395596002</v>
      </c>
    </row>
    <row r="990" spans="1:1" x14ac:dyDescent="0.2">
      <c r="A990" s="133">
        <v>395665220</v>
      </c>
    </row>
    <row r="991" spans="1:1" x14ac:dyDescent="0.2">
      <c r="A991" s="133">
        <v>395811715</v>
      </c>
    </row>
    <row r="992" spans="1:1" x14ac:dyDescent="0.2">
      <c r="A992" s="133">
        <v>395693071</v>
      </c>
    </row>
    <row r="993" spans="1:1" x14ac:dyDescent="0.2">
      <c r="A993" s="133">
        <v>395742502</v>
      </c>
    </row>
    <row r="994" spans="1:1" x14ac:dyDescent="0.2">
      <c r="A994" s="133">
        <v>395770804</v>
      </c>
    </row>
    <row r="995" spans="1:1" x14ac:dyDescent="0.2">
      <c r="A995" s="133">
        <v>395599175</v>
      </c>
    </row>
    <row r="996" spans="1:1" x14ac:dyDescent="0.2">
      <c r="A996" s="133">
        <v>395779841</v>
      </c>
    </row>
    <row r="997" spans="1:1" x14ac:dyDescent="0.2">
      <c r="A997" s="133">
        <v>395669672</v>
      </c>
    </row>
    <row r="998" spans="1:1" x14ac:dyDescent="0.2">
      <c r="A998" s="133">
        <v>395634722</v>
      </c>
    </row>
    <row r="999" spans="1:1" x14ac:dyDescent="0.2">
      <c r="A999" s="133">
        <v>395685650</v>
      </c>
    </row>
    <row r="1000" spans="1:1" x14ac:dyDescent="0.2">
      <c r="A1000" s="133">
        <v>395692567</v>
      </c>
    </row>
    <row r="1001" spans="1:1" x14ac:dyDescent="0.2">
      <c r="A1001" s="133">
        <v>395719993</v>
      </c>
    </row>
    <row r="1002" spans="1:1" x14ac:dyDescent="0.2">
      <c r="A1002" s="133">
        <v>395831175</v>
      </c>
    </row>
    <row r="1003" spans="1:1" x14ac:dyDescent="0.2">
      <c r="A1003" s="133">
        <v>395725822</v>
      </c>
    </row>
    <row r="1004" spans="1:1" x14ac:dyDescent="0.2">
      <c r="A1004" s="133">
        <v>395775778</v>
      </c>
    </row>
    <row r="1005" spans="1:1" x14ac:dyDescent="0.2">
      <c r="A1005" s="133">
        <v>395715086</v>
      </c>
    </row>
    <row r="1006" spans="1:1" x14ac:dyDescent="0.2">
      <c r="A1006" s="133">
        <v>395594371</v>
      </c>
    </row>
    <row r="1007" spans="1:1" x14ac:dyDescent="0.2">
      <c r="A1007" s="133">
        <v>395695859</v>
      </c>
    </row>
    <row r="1008" spans="1:1" x14ac:dyDescent="0.2">
      <c r="A1008" s="133">
        <v>395858749</v>
      </c>
    </row>
    <row r="1009" spans="1:1" x14ac:dyDescent="0.2">
      <c r="A1009" s="133">
        <v>395858761</v>
      </c>
    </row>
    <row r="1010" spans="1:1" x14ac:dyDescent="0.2">
      <c r="A1010" s="133">
        <v>395798651</v>
      </c>
    </row>
    <row r="1011" spans="1:1" x14ac:dyDescent="0.2">
      <c r="A1011" s="133">
        <v>395860084</v>
      </c>
    </row>
    <row r="1012" spans="1:1" x14ac:dyDescent="0.2">
      <c r="A1012" s="133">
        <v>395527473</v>
      </c>
    </row>
    <row r="1013" spans="1:1" x14ac:dyDescent="0.2">
      <c r="A1013" s="133">
        <v>395415308</v>
      </c>
    </row>
    <row r="1014" spans="1:1" x14ac:dyDescent="0.2">
      <c r="A1014" s="133">
        <v>395500687</v>
      </c>
    </row>
    <row r="1015" spans="1:1" x14ac:dyDescent="0.2">
      <c r="A1015" s="133">
        <v>395471233</v>
      </c>
    </row>
    <row r="1016" spans="1:1" x14ac:dyDescent="0.2">
      <c r="A1016" s="133">
        <v>395514488</v>
      </c>
    </row>
    <row r="1017" spans="1:1" x14ac:dyDescent="0.2">
      <c r="A1017" s="133">
        <v>395454608</v>
      </c>
    </row>
    <row r="1018" spans="1:1" x14ac:dyDescent="0.2">
      <c r="A1018" s="133">
        <v>395563467</v>
      </c>
    </row>
    <row r="1019" spans="1:1" x14ac:dyDescent="0.2">
      <c r="A1019" s="133">
        <v>395488619</v>
      </c>
    </row>
    <row r="1020" spans="1:1" x14ac:dyDescent="0.2">
      <c r="A1020" s="133">
        <v>395434481</v>
      </c>
    </row>
    <row r="1021" spans="1:1" x14ac:dyDescent="0.2">
      <c r="A1021" s="133">
        <v>395524786</v>
      </c>
    </row>
    <row r="1022" spans="1:1" x14ac:dyDescent="0.2">
      <c r="A1022" s="133">
        <v>395529165</v>
      </c>
    </row>
    <row r="1023" spans="1:1" x14ac:dyDescent="0.2">
      <c r="A1023" s="133">
        <v>395490427</v>
      </c>
    </row>
    <row r="1024" spans="1:1" x14ac:dyDescent="0.2">
      <c r="A1024" s="133">
        <v>395583189</v>
      </c>
    </row>
    <row r="1025" spans="1:1" x14ac:dyDescent="0.2">
      <c r="A1025" s="133">
        <v>395859499</v>
      </c>
    </row>
    <row r="1026" spans="1:1" x14ac:dyDescent="0.2">
      <c r="A1026" s="133">
        <v>395862183</v>
      </c>
    </row>
    <row r="1027" spans="1:1" x14ac:dyDescent="0.2">
      <c r="A1027" s="133">
        <v>395862465</v>
      </c>
    </row>
    <row r="1028" spans="1:1" x14ac:dyDescent="0.2">
      <c r="A1028" s="133">
        <v>395862519</v>
      </c>
    </row>
    <row r="1029" spans="1:1" x14ac:dyDescent="0.2">
      <c r="A1029" s="133">
        <v>395622066</v>
      </c>
    </row>
    <row r="1030" spans="1:1" x14ac:dyDescent="0.2">
      <c r="A1030" s="133">
        <v>395863747</v>
      </c>
    </row>
    <row r="1031" spans="1:1" x14ac:dyDescent="0.2">
      <c r="A1031" s="133">
        <v>395828538</v>
      </c>
    </row>
    <row r="1032" spans="1:1" x14ac:dyDescent="0.2">
      <c r="A1032" s="133">
        <v>395864732</v>
      </c>
    </row>
    <row r="1033" spans="1:1" x14ac:dyDescent="0.2">
      <c r="A1033" s="133">
        <v>395865496</v>
      </c>
    </row>
    <row r="1034" spans="1:1" x14ac:dyDescent="0.2">
      <c r="A1034" s="133">
        <v>395867036</v>
      </c>
    </row>
    <row r="1035" spans="1:1" x14ac:dyDescent="0.2">
      <c r="A1035" s="133">
        <v>395602299</v>
      </c>
    </row>
    <row r="1036" spans="1:1" x14ac:dyDescent="0.2">
      <c r="A1036" s="133">
        <v>395603344</v>
      </c>
    </row>
    <row r="1037" spans="1:1" x14ac:dyDescent="0.2">
      <c r="A1037" s="133">
        <v>395867363</v>
      </c>
    </row>
    <row r="1038" spans="1:1" x14ac:dyDescent="0.2">
      <c r="A1038" s="133">
        <v>395866677</v>
      </c>
    </row>
    <row r="1039" spans="1:1" x14ac:dyDescent="0.2">
      <c r="A1039" s="133">
        <v>395870336</v>
      </c>
    </row>
    <row r="1040" spans="1:1" x14ac:dyDescent="0.2">
      <c r="A1040" s="133">
        <v>395871661</v>
      </c>
    </row>
    <row r="1041" spans="1:1" x14ac:dyDescent="0.2">
      <c r="A1041" s="133">
        <v>395756757</v>
      </c>
    </row>
    <row r="1042" spans="1:1" x14ac:dyDescent="0.2">
      <c r="A1042" s="133">
        <v>396418893</v>
      </c>
    </row>
    <row r="1043" spans="1:1" x14ac:dyDescent="0.2">
      <c r="A1043" s="133">
        <v>395608243</v>
      </c>
    </row>
    <row r="1044" spans="1:1" x14ac:dyDescent="0.2">
      <c r="A1044" s="133">
        <v>395594886</v>
      </c>
    </row>
    <row r="1045" spans="1:1" x14ac:dyDescent="0.2">
      <c r="A1045" s="133">
        <v>395874099</v>
      </c>
    </row>
    <row r="1046" spans="1:1" x14ac:dyDescent="0.2">
      <c r="A1046" s="133">
        <v>395875164</v>
      </c>
    </row>
    <row r="1047" spans="1:1" x14ac:dyDescent="0.2">
      <c r="A1047" s="133">
        <v>395875590</v>
      </c>
    </row>
    <row r="1048" spans="1:1" x14ac:dyDescent="0.2">
      <c r="A1048" s="133">
        <v>395875732</v>
      </c>
    </row>
    <row r="1049" spans="1:1" x14ac:dyDescent="0.2">
      <c r="A1049" s="133">
        <v>395875761</v>
      </c>
    </row>
    <row r="1050" spans="1:1" x14ac:dyDescent="0.2">
      <c r="A1050" s="133">
        <v>395876032</v>
      </c>
    </row>
    <row r="1051" spans="1:1" x14ac:dyDescent="0.2">
      <c r="A1051" s="133">
        <v>395335156</v>
      </c>
    </row>
    <row r="1052" spans="1:1" x14ac:dyDescent="0.2">
      <c r="A1052" s="133">
        <v>395876101</v>
      </c>
    </row>
    <row r="1053" spans="1:1" x14ac:dyDescent="0.2">
      <c r="A1053" s="133">
        <v>395877337</v>
      </c>
    </row>
    <row r="1054" spans="1:1" x14ac:dyDescent="0.2">
      <c r="A1054" s="133">
        <v>395877416</v>
      </c>
    </row>
    <row r="1055" spans="1:1" x14ac:dyDescent="0.2">
      <c r="A1055" s="133">
        <v>395876446</v>
      </c>
    </row>
    <row r="1056" spans="1:1" x14ac:dyDescent="0.2">
      <c r="A1056" s="133">
        <v>395877542</v>
      </c>
    </row>
    <row r="1057" spans="1:1" x14ac:dyDescent="0.2">
      <c r="A1057" s="133">
        <v>395876872</v>
      </c>
    </row>
    <row r="1058" spans="1:1" x14ac:dyDescent="0.2">
      <c r="A1058" s="133">
        <v>395769441</v>
      </c>
    </row>
    <row r="1059" spans="1:1" x14ac:dyDescent="0.2">
      <c r="A1059" s="133">
        <v>396864983</v>
      </c>
    </row>
    <row r="1060" spans="1:1" x14ac:dyDescent="0.2">
      <c r="A1060" s="133">
        <v>395877000</v>
      </c>
    </row>
    <row r="1061" spans="1:1" x14ac:dyDescent="0.2">
      <c r="A1061" s="133">
        <v>395881143</v>
      </c>
    </row>
    <row r="1062" spans="1:1" x14ac:dyDescent="0.2">
      <c r="A1062" s="133">
        <v>395880944</v>
      </c>
    </row>
    <row r="1063" spans="1:1" x14ac:dyDescent="0.2">
      <c r="A1063" s="133">
        <v>395880945</v>
      </c>
    </row>
    <row r="1064" spans="1:1" x14ac:dyDescent="0.2">
      <c r="A1064" s="133">
        <v>395881445</v>
      </c>
    </row>
    <row r="1065" spans="1:1" x14ac:dyDescent="0.2">
      <c r="A1065" s="133">
        <v>395881646</v>
      </c>
    </row>
    <row r="1066" spans="1:1" x14ac:dyDescent="0.2">
      <c r="A1066" s="133">
        <v>395755101</v>
      </c>
    </row>
    <row r="1067" spans="1:1" x14ac:dyDescent="0.2">
      <c r="A1067" s="133">
        <v>395881834</v>
      </c>
    </row>
    <row r="1068" spans="1:1" x14ac:dyDescent="0.2">
      <c r="A1068" s="133">
        <v>395883034</v>
      </c>
    </row>
    <row r="1069" spans="1:1" x14ac:dyDescent="0.2">
      <c r="A1069" s="133">
        <v>395883231</v>
      </c>
    </row>
    <row r="1070" spans="1:1" x14ac:dyDescent="0.2">
      <c r="A1070" s="133">
        <v>395617129</v>
      </c>
    </row>
    <row r="1071" spans="1:1" x14ac:dyDescent="0.2">
      <c r="A1071" s="133">
        <v>395617149</v>
      </c>
    </row>
    <row r="1072" spans="1:1" x14ac:dyDescent="0.2">
      <c r="A1072" s="133">
        <v>395884108</v>
      </c>
    </row>
    <row r="1073" spans="1:1" x14ac:dyDescent="0.2">
      <c r="A1073" s="133">
        <v>395618167</v>
      </c>
    </row>
    <row r="1074" spans="1:1" x14ac:dyDescent="0.2">
      <c r="A1074" s="133">
        <v>394526011</v>
      </c>
    </row>
    <row r="1075" spans="1:1" x14ac:dyDescent="0.2">
      <c r="A1075" s="133">
        <v>395884551</v>
      </c>
    </row>
    <row r="1076" spans="1:1" x14ac:dyDescent="0.2">
      <c r="A1076" s="133">
        <v>395410416</v>
      </c>
    </row>
    <row r="1077" spans="1:1" x14ac:dyDescent="0.2">
      <c r="A1077" s="133">
        <v>395884761</v>
      </c>
    </row>
    <row r="1078" spans="1:1" x14ac:dyDescent="0.2">
      <c r="A1078" s="133">
        <v>395618837</v>
      </c>
    </row>
    <row r="1079" spans="1:1" x14ac:dyDescent="0.2">
      <c r="A1079" s="133">
        <v>395694354</v>
      </c>
    </row>
    <row r="1080" spans="1:1" x14ac:dyDescent="0.2">
      <c r="A1080" s="133">
        <v>395885778</v>
      </c>
    </row>
    <row r="1081" spans="1:1" x14ac:dyDescent="0.2">
      <c r="A1081" s="133">
        <v>395620021</v>
      </c>
    </row>
    <row r="1082" spans="1:1" x14ac:dyDescent="0.2">
      <c r="A1082" s="133">
        <v>395887265</v>
      </c>
    </row>
    <row r="1083" spans="1:1" x14ac:dyDescent="0.2">
      <c r="A1083" s="133">
        <v>395887954</v>
      </c>
    </row>
    <row r="1084" spans="1:1" x14ac:dyDescent="0.2">
      <c r="A1084" s="133">
        <v>395621404</v>
      </c>
    </row>
    <row r="1085" spans="1:1" x14ac:dyDescent="0.2">
      <c r="A1085" s="133">
        <v>395623104</v>
      </c>
    </row>
    <row r="1086" spans="1:1" x14ac:dyDescent="0.2">
      <c r="A1086" s="133">
        <v>395892414</v>
      </c>
    </row>
    <row r="1087" spans="1:1" x14ac:dyDescent="0.2">
      <c r="A1087" s="133">
        <v>395891711</v>
      </c>
    </row>
    <row r="1088" spans="1:1" x14ac:dyDescent="0.2">
      <c r="A1088" s="133">
        <v>395890760</v>
      </c>
    </row>
    <row r="1089" spans="1:1" x14ac:dyDescent="0.2">
      <c r="A1089" s="133">
        <v>395894331</v>
      </c>
    </row>
    <row r="1090" spans="1:1" x14ac:dyDescent="0.2">
      <c r="A1090" s="133">
        <v>395894615</v>
      </c>
    </row>
    <row r="1091" spans="1:1" x14ac:dyDescent="0.2">
      <c r="A1091" s="133">
        <v>395893659</v>
      </c>
    </row>
    <row r="1092" spans="1:1" x14ac:dyDescent="0.2">
      <c r="A1092" s="133">
        <v>395894943</v>
      </c>
    </row>
    <row r="1093" spans="1:1" x14ac:dyDescent="0.2">
      <c r="A1093" s="133">
        <v>395895484</v>
      </c>
    </row>
    <row r="1094" spans="1:1" x14ac:dyDescent="0.2">
      <c r="A1094" s="133">
        <v>395478880</v>
      </c>
    </row>
    <row r="1095" spans="1:1" x14ac:dyDescent="0.2">
      <c r="A1095" s="133">
        <v>395772698</v>
      </c>
    </row>
    <row r="1096" spans="1:1" x14ac:dyDescent="0.2">
      <c r="A1096" s="133">
        <v>395895077</v>
      </c>
    </row>
    <row r="1097" spans="1:1" x14ac:dyDescent="0.2">
      <c r="A1097" s="133">
        <v>395898191</v>
      </c>
    </row>
    <row r="1098" spans="1:1" x14ac:dyDescent="0.2">
      <c r="A1098" s="133">
        <v>395897505</v>
      </c>
    </row>
    <row r="1099" spans="1:1" x14ac:dyDescent="0.2">
      <c r="A1099" s="133">
        <v>395898354</v>
      </c>
    </row>
    <row r="1100" spans="1:1" x14ac:dyDescent="0.2">
      <c r="A1100" s="133">
        <v>395897722</v>
      </c>
    </row>
    <row r="1101" spans="1:1" x14ac:dyDescent="0.2">
      <c r="A1101" s="133">
        <v>395898512</v>
      </c>
    </row>
    <row r="1102" spans="1:1" x14ac:dyDescent="0.2">
      <c r="A1102" s="133">
        <v>395897891</v>
      </c>
    </row>
    <row r="1103" spans="1:1" x14ac:dyDescent="0.2">
      <c r="A1103" s="133">
        <v>395899197</v>
      </c>
    </row>
    <row r="1104" spans="1:1" x14ac:dyDescent="0.2">
      <c r="A1104" s="133">
        <v>395897739</v>
      </c>
    </row>
    <row r="1105" spans="1:1" x14ac:dyDescent="0.2">
      <c r="A1105" s="133">
        <v>395899535</v>
      </c>
    </row>
    <row r="1106" spans="1:1" x14ac:dyDescent="0.2">
      <c r="A1106" s="133">
        <v>395899603</v>
      </c>
    </row>
    <row r="1107" spans="1:1" x14ac:dyDescent="0.2">
      <c r="A1107" s="133">
        <v>395901147</v>
      </c>
    </row>
    <row r="1108" spans="1:1" x14ac:dyDescent="0.2">
      <c r="A1108" s="133">
        <v>395902175</v>
      </c>
    </row>
    <row r="1109" spans="1:1" x14ac:dyDescent="0.2">
      <c r="A1109" s="133">
        <v>395902545</v>
      </c>
    </row>
    <row r="1110" spans="1:1" x14ac:dyDescent="0.2">
      <c r="A1110" s="133">
        <v>395903402</v>
      </c>
    </row>
    <row r="1111" spans="1:1" x14ac:dyDescent="0.2">
      <c r="A1111" s="133">
        <v>395904261</v>
      </c>
    </row>
    <row r="1112" spans="1:1" x14ac:dyDescent="0.2">
      <c r="A1112" s="133">
        <v>395903672</v>
      </c>
    </row>
    <row r="1113" spans="1:1" x14ac:dyDescent="0.2">
      <c r="A1113" s="133">
        <v>395903563</v>
      </c>
    </row>
    <row r="1114" spans="1:1" x14ac:dyDescent="0.2">
      <c r="A1114" s="133">
        <v>395903558</v>
      </c>
    </row>
    <row r="1115" spans="1:1" x14ac:dyDescent="0.2">
      <c r="A1115" s="133">
        <v>395903940</v>
      </c>
    </row>
    <row r="1116" spans="1:1" x14ac:dyDescent="0.2">
      <c r="A1116" s="133">
        <v>395906437</v>
      </c>
    </row>
    <row r="1117" spans="1:1" x14ac:dyDescent="0.2">
      <c r="A1117" s="133">
        <v>395806368</v>
      </c>
    </row>
    <row r="1118" spans="1:1" x14ac:dyDescent="0.2">
      <c r="A1118" s="133">
        <v>395907278</v>
      </c>
    </row>
    <row r="1119" spans="1:1" x14ac:dyDescent="0.2">
      <c r="A1119" s="133">
        <v>395908330</v>
      </c>
    </row>
    <row r="1120" spans="1:1" x14ac:dyDescent="0.2">
      <c r="A1120" s="133">
        <v>395909188</v>
      </c>
    </row>
    <row r="1121" spans="1:1" x14ac:dyDescent="0.2">
      <c r="A1121" s="133">
        <v>395908457</v>
      </c>
    </row>
    <row r="1122" spans="1:1" x14ac:dyDescent="0.2">
      <c r="A1122" s="133">
        <v>395639842</v>
      </c>
    </row>
    <row r="1123" spans="1:1" x14ac:dyDescent="0.2">
      <c r="A1123" s="133">
        <v>395909784</v>
      </c>
    </row>
    <row r="1124" spans="1:1" x14ac:dyDescent="0.2">
      <c r="A1124" s="133">
        <v>395908867</v>
      </c>
    </row>
    <row r="1125" spans="1:1" x14ac:dyDescent="0.2">
      <c r="A1125" s="133">
        <v>395911362</v>
      </c>
    </row>
    <row r="1126" spans="1:1" x14ac:dyDescent="0.2">
      <c r="A1126" s="133">
        <v>395913185</v>
      </c>
    </row>
    <row r="1127" spans="1:1" x14ac:dyDescent="0.2">
      <c r="A1127" s="133">
        <v>395912214</v>
      </c>
    </row>
    <row r="1128" spans="1:1" x14ac:dyDescent="0.2">
      <c r="A1128" s="133">
        <v>395913229</v>
      </c>
    </row>
    <row r="1129" spans="1:1" x14ac:dyDescent="0.2">
      <c r="A1129" s="133">
        <v>395914047</v>
      </c>
    </row>
    <row r="1130" spans="1:1" x14ac:dyDescent="0.2">
      <c r="A1130" s="133">
        <v>395913728</v>
      </c>
    </row>
    <row r="1131" spans="1:1" x14ac:dyDescent="0.2">
      <c r="A1131" s="133">
        <v>395915715</v>
      </c>
    </row>
    <row r="1132" spans="1:1" x14ac:dyDescent="0.2">
      <c r="A1132" s="133">
        <v>395914832</v>
      </c>
    </row>
    <row r="1133" spans="1:1" x14ac:dyDescent="0.2">
      <c r="A1133" s="133">
        <v>395915803</v>
      </c>
    </row>
    <row r="1134" spans="1:1" x14ac:dyDescent="0.2">
      <c r="A1134" s="133">
        <v>395914997</v>
      </c>
    </row>
    <row r="1135" spans="1:1" x14ac:dyDescent="0.2">
      <c r="A1135" s="133">
        <v>395916064</v>
      </c>
    </row>
    <row r="1136" spans="1:1" x14ac:dyDescent="0.2">
      <c r="A1136" s="133">
        <v>395919226</v>
      </c>
    </row>
    <row r="1137" spans="1:1" x14ac:dyDescent="0.2">
      <c r="A1137" s="133">
        <v>395919346</v>
      </c>
    </row>
    <row r="1138" spans="1:1" x14ac:dyDescent="0.2">
      <c r="A1138" s="133">
        <v>395918595</v>
      </c>
    </row>
    <row r="1139" spans="1:1" x14ac:dyDescent="0.2">
      <c r="A1139" s="133">
        <v>395921102</v>
      </c>
    </row>
    <row r="1140" spans="1:1" x14ac:dyDescent="0.2">
      <c r="A1140" s="133">
        <v>395650450</v>
      </c>
    </row>
    <row r="1141" spans="1:1" x14ac:dyDescent="0.2">
      <c r="A1141" s="133">
        <v>392446751</v>
      </c>
    </row>
    <row r="1142" spans="1:1" x14ac:dyDescent="0.2">
      <c r="A1142" s="133">
        <v>392659207</v>
      </c>
    </row>
    <row r="1143" spans="1:1" x14ac:dyDescent="0.2">
      <c r="A1143" s="133">
        <v>395921656</v>
      </c>
    </row>
    <row r="1144" spans="1:1" x14ac:dyDescent="0.2">
      <c r="A1144" s="133">
        <v>395923160</v>
      </c>
    </row>
    <row r="1145" spans="1:1" x14ac:dyDescent="0.2">
      <c r="A1145" s="133">
        <v>395924294</v>
      </c>
    </row>
    <row r="1146" spans="1:1" x14ac:dyDescent="0.2">
      <c r="A1146" s="133">
        <v>395923829</v>
      </c>
    </row>
    <row r="1147" spans="1:1" x14ac:dyDescent="0.2">
      <c r="A1147" s="133">
        <v>395924415</v>
      </c>
    </row>
    <row r="1148" spans="1:1" x14ac:dyDescent="0.2">
      <c r="A1148" s="133">
        <v>395924442</v>
      </c>
    </row>
    <row r="1149" spans="1:1" x14ac:dyDescent="0.2">
      <c r="A1149" s="133">
        <v>395924683</v>
      </c>
    </row>
    <row r="1150" spans="1:1" x14ac:dyDescent="0.2">
      <c r="A1150" s="133">
        <v>395926517</v>
      </c>
    </row>
    <row r="1151" spans="1:1" x14ac:dyDescent="0.2">
      <c r="A1151" s="133">
        <v>395926894</v>
      </c>
    </row>
    <row r="1152" spans="1:1" x14ac:dyDescent="0.2">
      <c r="A1152" s="133">
        <v>395928794</v>
      </c>
    </row>
    <row r="1153" spans="1:1" x14ac:dyDescent="0.2">
      <c r="A1153" s="133">
        <v>396613995</v>
      </c>
    </row>
    <row r="1154" spans="1:1" x14ac:dyDescent="0.2">
      <c r="A1154" s="133">
        <v>395878193</v>
      </c>
    </row>
    <row r="1155" spans="1:1" x14ac:dyDescent="0.2">
      <c r="A1155" s="133">
        <v>395929807</v>
      </c>
    </row>
    <row r="1156" spans="1:1" x14ac:dyDescent="0.2">
      <c r="A1156" s="133">
        <v>395882133</v>
      </c>
    </row>
    <row r="1157" spans="1:1" x14ac:dyDescent="0.2">
      <c r="A1157" s="133">
        <v>395932044</v>
      </c>
    </row>
    <row r="1158" spans="1:1" x14ac:dyDescent="0.2">
      <c r="A1158" s="133">
        <v>395929508</v>
      </c>
    </row>
    <row r="1159" spans="1:1" x14ac:dyDescent="0.2">
      <c r="A1159" s="133">
        <v>395931250</v>
      </c>
    </row>
    <row r="1160" spans="1:1" x14ac:dyDescent="0.2">
      <c r="A1160" s="133">
        <v>395932354</v>
      </c>
    </row>
    <row r="1161" spans="1:1" x14ac:dyDescent="0.2">
      <c r="A1161" s="133">
        <v>395906996</v>
      </c>
    </row>
    <row r="1162" spans="1:1" x14ac:dyDescent="0.2">
      <c r="A1162" s="133">
        <v>395485468</v>
      </c>
    </row>
    <row r="1163" spans="1:1" x14ac:dyDescent="0.2">
      <c r="A1163" s="133">
        <v>395932773</v>
      </c>
    </row>
    <row r="1164" spans="1:1" x14ac:dyDescent="0.2">
      <c r="A1164" s="133">
        <v>395916294</v>
      </c>
    </row>
    <row r="1165" spans="1:1" x14ac:dyDescent="0.2">
      <c r="A1165" s="133">
        <v>395933261</v>
      </c>
    </row>
    <row r="1166" spans="1:1" x14ac:dyDescent="0.2">
      <c r="A1166" s="133">
        <v>395934571</v>
      </c>
    </row>
    <row r="1167" spans="1:1" x14ac:dyDescent="0.2">
      <c r="A1167" s="133">
        <v>395909726</v>
      </c>
    </row>
    <row r="1168" spans="1:1" x14ac:dyDescent="0.2">
      <c r="A1168" s="133">
        <v>395934662</v>
      </c>
    </row>
    <row r="1169" spans="1:1" x14ac:dyDescent="0.2">
      <c r="A1169" s="133">
        <v>395894265</v>
      </c>
    </row>
    <row r="1170" spans="1:1" x14ac:dyDescent="0.2">
      <c r="A1170" s="133">
        <v>395934832</v>
      </c>
    </row>
    <row r="1171" spans="1:1" x14ac:dyDescent="0.2">
      <c r="A1171" s="133">
        <v>395936377</v>
      </c>
    </row>
    <row r="1172" spans="1:1" x14ac:dyDescent="0.2">
      <c r="A1172" s="133">
        <v>394167915</v>
      </c>
    </row>
    <row r="1173" spans="1:1" x14ac:dyDescent="0.2">
      <c r="A1173" s="133">
        <v>395935911</v>
      </c>
    </row>
    <row r="1174" spans="1:1" x14ac:dyDescent="0.2">
      <c r="A1174" s="133">
        <v>395935788</v>
      </c>
    </row>
    <row r="1175" spans="1:1" x14ac:dyDescent="0.2">
      <c r="A1175" s="133">
        <v>395936788</v>
      </c>
    </row>
    <row r="1176" spans="1:1" x14ac:dyDescent="0.2">
      <c r="A1176" s="133">
        <v>395937166</v>
      </c>
    </row>
    <row r="1177" spans="1:1" x14ac:dyDescent="0.2">
      <c r="A1177" s="133">
        <v>395938242</v>
      </c>
    </row>
    <row r="1178" spans="1:1" x14ac:dyDescent="0.2">
      <c r="A1178" s="133">
        <v>395294415</v>
      </c>
    </row>
    <row r="1179" spans="1:1" x14ac:dyDescent="0.2">
      <c r="A1179" s="133">
        <v>395670771</v>
      </c>
    </row>
    <row r="1180" spans="1:1" x14ac:dyDescent="0.2">
      <c r="A1180" s="133">
        <v>395939136</v>
      </c>
    </row>
    <row r="1181" spans="1:1" x14ac:dyDescent="0.2">
      <c r="A1181" s="133">
        <v>395940095</v>
      </c>
    </row>
    <row r="1182" spans="1:1" x14ac:dyDescent="0.2">
      <c r="A1182" s="133">
        <v>395939298</v>
      </c>
    </row>
    <row r="1183" spans="1:1" x14ac:dyDescent="0.2">
      <c r="A1183" s="133">
        <v>395940474</v>
      </c>
    </row>
    <row r="1184" spans="1:1" x14ac:dyDescent="0.2">
      <c r="A1184" s="133">
        <v>395674251</v>
      </c>
    </row>
    <row r="1185" spans="1:1" x14ac:dyDescent="0.2">
      <c r="A1185" s="133">
        <v>395942866</v>
      </c>
    </row>
    <row r="1186" spans="1:1" x14ac:dyDescent="0.2">
      <c r="A1186" s="133">
        <v>395943398</v>
      </c>
    </row>
    <row r="1187" spans="1:1" x14ac:dyDescent="0.2">
      <c r="A1187" s="133">
        <v>395944846</v>
      </c>
    </row>
    <row r="1188" spans="1:1" x14ac:dyDescent="0.2">
      <c r="A1188" s="133">
        <v>395554822</v>
      </c>
    </row>
    <row r="1189" spans="1:1" x14ac:dyDescent="0.2">
      <c r="A1189" s="133">
        <v>395335157</v>
      </c>
    </row>
    <row r="1190" spans="1:1" x14ac:dyDescent="0.2">
      <c r="A1190" s="133">
        <v>394788401</v>
      </c>
    </row>
    <row r="1191" spans="1:1" x14ac:dyDescent="0.2">
      <c r="A1191" s="133">
        <v>395947947</v>
      </c>
    </row>
    <row r="1192" spans="1:1" x14ac:dyDescent="0.2">
      <c r="A1192" s="133">
        <v>395948700</v>
      </c>
    </row>
    <row r="1193" spans="1:1" x14ac:dyDescent="0.2">
      <c r="A1193" s="133">
        <v>395949660</v>
      </c>
    </row>
    <row r="1194" spans="1:1" x14ac:dyDescent="0.2">
      <c r="A1194" s="133">
        <v>395673661</v>
      </c>
    </row>
    <row r="1195" spans="1:1" x14ac:dyDescent="0.2">
      <c r="A1195" s="133">
        <v>395950306</v>
      </c>
    </row>
    <row r="1196" spans="1:1" x14ac:dyDescent="0.2">
      <c r="A1196" s="133">
        <v>395949836</v>
      </c>
    </row>
    <row r="1197" spans="1:1" x14ac:dyDescent="0.2">
      <c r="A1197" s="133">
        <v>395950355</v>
      </c>
    </row>
    <row r="1198" spans="1:1" x14ac:dyDescent="0.2">
      <c r="A1198" s="133">
        <v>395950620</v>
      </c>
    </row>
    <row r="1199" spans="1:1" x14ac:dyDescent="0.2">
      <c r="A1199" s="133">
        <v>395947845</v>
      </c>
    </row>
    <row r="1200" spans="1:1" x14ac:dyDescent="0.2">
      <c r="A1200" s="133">
        <v>395950576</v>
      </c>
    </row>
    <row r="1201" spans="1:1" x14ac:dyDescent="0.2">
      <c r="A1201" s="133">
        <v>395951832</v>
      </c>
    </row>
    <row r="1202" spans="1:1" x14ac:dyDescent="0.2">
      <c r="A1202" s="133">
        <v>395953011</v>
      </c>
    </row>
    <row r="1203" spans="1:1" x14ac:dyDescent="0.2">
      <c r="A1203" s="133">
        <v>395833896</v>
      </c>
    </row>
    <row r="1204" spans="1:1" x14ac:dyDescent="0.2">
      <c r="A1204" s="133">
        <v>395953624</v>
      </c>
    </row>
    <row r="1205" spans="1:1" x14ac:dyDescent="0.2">
      <c r="A1205" s="133">
        <v>395954282</v>
      </c>
    </row>
    <row r="1206" spans="1:1" x14ac:dyDescent="0.2">
      <c r="A1206" s="133">
        <v>395953978</v>
      </c>
    </row>
    <row r="1207" spans="1:1" x14ac:dyDescent="0.2">
      <c r="A1207" s="133">
        <v>394661162</v>
      </c>
    </row>
    <row r="1208" spans="1:1" x14ac:dyDescent="0.2">
      <c r="A1208" s="133">
        <v>395955321</v>
      </c>
    </row>
    <row r="1209" spans="1:1" x14ac:dyDescent="0.2">
      <c r="A1209" s="133">
        <v>395955331</v>
      </c>
    </row>
    <row r="1210" spans="1:1" x14ac:dyDescent="0.2">
      <c r="A1210" s="133">
        <v>395956005</v>
      </c>
    </row>
    <row r="1211" spans="1:1" x14ac:dyDescent="0.2">
      <c r="A1211" s="133">
        <v>395693779</v>
      </c>
    </row>
    <row r="1212" spans="1:1" x14ac:dyDescent="0.2">
      <c r="A1212" s="133">
        <v>395956198</v>
      </c>
    </row>
    <row r="1213" spans="1:1" x14ac:dyDescent="0.2">
      <c r="A1213" s="133">
        <v>395956568</v>
      </c>
    </row>
    <row r="1214" spans="1:1" x14ac:dyDescent="0.2">
      <c r="A1214" s="133">
        <v>395721214</v>
      </c>
    </row>
    <row r="1215" spans="1:1" x14ac:dyDescent="0.2">
      <c r="A1215" s="133">
        <v>395723851</v>
      </c>
    </row>
    <row r="1216" spans="1:1" x14ac:dyDescent="0.2">
      <c r="A1216" s="133">
        <v>395594501</v>
      </c>
    </row>
    <row r="1217" spans="1:1" x14ac:dyDescent="0.2">
      <c r="A1217" s="133">
        <v>395602763</v>
      </c>
    </row>
    <row r="1218" spans="1:1" x14ac:dyDescent="0.2">
      <c r="A1218" s="133">
        <v>395959004</v>
      </c>
    </row>
    <row r="1219" spans="1:1" x14ac:dyDescent="0.2">
      <c r="A1219" s="133">
        <v>395837733</v>
      </c>
    </row>
    <row r="1220" spans="1:1" x14ac:dyDescent="0.2">
      <c r="A1220" s="133">
        <v>395838610</v>
      </c>
    </row>
    <row r="1221" spans="1:1" x14ac:dyDescent="0.2">
      <c r="A1221" s="133">
        <v>395838622</v>
      </c>
    </row>
    <row r="1222" spans="1:1" x14ac:dyDescent="0.2">
      <c r="A1222" s="133">
        <v>395839639</v>
      </c>
    </row>
    <row r="1223" spans="1:1" x14ac:dyDescent="0.2">
      <c r="A1223" s="133">
        <v>395838672</v>
      </c>
    </row>
    <row r="1224" spans="1:1" x14ac:dyDescent="0.2">
      <c r="A1224" s="133">
        <v>395838790</v>
      </c>
    </row>
    <row r="1225" spans="1:1" x14ac:dyDescent="0.2">
      <c r="A1225" s="133">
        <v>395841029</v>
      </c>
    </row>
    <row r="1226" spans="1:1" x14ac:dyDescent="0.2">
      <c r="A1226" s="133">
        <v>395841277</v>
      </c>
    </row>
    <row r="1227" spans="1:1" x14ac:dyDescent="0.2">
      <c r="A1227" s="133">
        <v>395840828</v>
      </c>
    </row>
    <row r="1228" spans="1:1" x14ac:dyDescent="0.2">
      <c r="A1228" s="133">
        <v>395841682</v>
      </c>
    </row>
    <row r="1229" spans="1:1" x14ac:dyDescent="0.2">
      <c r="A1229" s="133">
        <v>395843079</v>
      </c>
    </row>
    <row r="1230" spans="1:1" x14ac:dyDescent="0.2">
      <c r="A1230" s="133">
        <v>395842526</v>
      </c>
    </row>
    <row r="1231" spans="1:1" x14ac:dyDescent="0.2">
      <c r="A1231" s="133">
        <v>395843372</v>
      </c>
    </row>
    <row r="1232" spans="1:1" x14ac:dyDescent="0.2">
      <c r="A1232" s="133">
        <v>395844574</v>
      </c>
    </row>
    <row r="1233" spans="1:1" x14ac:dyDescent="0.2">
      <c r="A1233" s="133">
        <v>395587985</v>
      </c>
    </row>
    <row r="1234" spans="1:1" x14ac:dyDescent="0.2">
      <c r="A1234" s="133">
        <v>395262677</v>
      </c>
    </row>
    <row r="1235" spans="1:1" x14ac:dyDescent="0.2">
      <c r="A1235" s="133">
        <v>395590430</v>
      </c>
    </row>
    <row r="1236" spans="1:1" x14ac:dyDescent="0.2">
      <c r="A1236" s="133">
        <v>395846499</v>
      </c>
    </row>
    <row r="1237" spans="1:1" x14ac:dyDescent="0.2">
      <c r="A1237" s="133">
        <v>395845751</v>
      </c>
    </row>
    <row r="1238" spans="1:1" x14ac:dyDescent="0.2">
      <c r="A1238" s="133">
        <v>395592055</v>
      </c>
    </row>
    <row r="1239" spans="1:1" x14ac:dyDescent="0.2">
      <c r="A1239" s="133">
        <v>395849087</v>
      </c>
    </row>
    <row r="1240" spans="1:1" x14ac:dyDescent="0.2">
      <c r="A1240" s="133">
        <v>395848419</v>
      </c>
    </row>
    <row r="1241" spans="1:1" x14ac:dyDescent="0.2">
      <c r="A1241" s="133">
        <v>395591381</v>
      </c>
    </row>
    <row r="1242" spans="1:1" x14ac:dyDescent="0.2">
      <c r="A1242" s="133">
        <v>395848944</v>
      </c>
    </row>
    <row r="1243" spans="1:1" x14ac:dyDescent="0.2">
      <c r="A1243" s="133">
        <v>395848037</v>
      </c>
    </row>
    <row r="1244" spans="1:1" x14ac:dyDescent="0.2">
      <c r="A1244" s="133">
        <v>395591513</v>
      </c>
    </row>
    <row r="1245" spans="1:1" x14ac:dyDescent="0.2">
      <c r="A1245" s="133">
        <v>395848428</v>
      </c>
    </row>
    <row r="1246" spans="1:1" x14ac:dyDescent="0.2">
      <c r="A1246" s="133">
        <v>395591586</v>
      </c>
    </row>
    <row r="1247" spans="1:1" x14ac:dyDescent="0.2">
      <c r="A1247" s="133">
        <v>395849487</v>
      </c>
    </row>
    <row r="1248" spans="1:1" x14ac:dyDescent="0.2">
      <c r="A1248" s="133">
        <v>395968851</v>
      </c>
    </row>
    <row r="1249" spans="1:1" x14ac:dyDescent="0.2">
      <c r="A1249" s="133">
        <v>395969852</v>
      </c>
    </row>
    <row r="1250" spans="1:1" x14ac:dyDescent="0.2">
      <c r="A1250" s="133">
        <v>395592943</v>
      </c>
    </row>
    <row r="1251" spans="1:1" x14ac:dyDescent="0.2">
      <c r="A1251" s="133">
        <v>395849514</v>
      </c>
    </row>
    <row r="1252" spans="1:1" x14ac:dyDescent="0.2">
      <c r="A1252" s="133">
        <v>395850554</v>
      </c>
    </row>
    <row r="1253" spans="1:1" x14ac:dyDescent="0.2">
      <c r="A1253" s="133">
        <v>395849679</v>
      </c>
    </row>
    <row r="1254" spans="1:1" x14ac:dyDescent="0.2">
      <c r="A1254" s="133">
        <v>395716314</v>
      </c>
    </row>
    <row r="1255" spans="1:1" x14ac:dyDescent="0.2">
      <c r="A1255" s="133">
        <v>395717066</v>
      </c>
    </row>
    <row r="1256" spans="1:1" x14ac:dyDescent="0.2">
      <c r="A1256" s="133">
        <v>395485729</v>
      </c>
    </row>
    <row r="1257" spans="1:1" x14ac:dyDescent="0.2">
      <c r="A1257" s="133">
        <v>395852214</v>
      </c>
    </row>
    <row r="1258" spans="1:1" x14ac:dyDescent="0.2">
      <c r="A1258" s="133">
        <v>395971419</v>
      </c>
    </row>
    <row r="1259" spans="1:1" x14ac:dyDescent="0.2">
      <c r="A1259" s="133">
        <v>395852126</v>
      </c>
    </row>
    <row r="1260" spans="1:1" x14ac:dyDescent="0.2">
      <c r="A1260" s="133">
        <v>395971658</v>
      </c>
    </row>
    <row r="1261" spans="1:1" x14ac:dyDescent="0.2">
      <c r="A1261" s="133">
        <v>395705967</v>
      </c>
    </row>
    <row r="1262" spans="1:1" x14ac:dyDescent="0.2">
      <c r="A1262" s="133">
        <v>395702077</v>
      </c>
    </row>
    <row r="1263" spans="1:1" x14ac:dyDescent="0.2">
      <c r="A1263" s="133">
        <v>395706999</v>
      </c>
    </row>
    <row r="1264" spans="1:1" x14ac:dyDescent="0.2">
      <c r="A1264" s="133">
        <v>395703623</v>
      </c>
    </row>
    <row r="1265" spans="1:1" x14ac:dyDescent="0.2">
      <c r="A1265" s="133">
        <v>395706988</v>
      </c>
    </row>
    <row r="1266" spans="1:1" x14ac:dyDescent="0.2">
      <c r="A1266" s="133">
        <v>395706628</v>
      </c>
    </row>
    <row r="1267" spans="1:1" x14ac:dyDescent="0.2">
      <c r="A1267" s="133">
        <v>395704410</v>
      </c>
    </row>
    <row r="1268" spans="1:1" x14ac:dyDescent="0.2">
      <c r="A1268" s="133">
        <v>395861387</v>
      </c>
    </row>
    <row r="1269" spans="1:1" x14ac:dyDescent="0.2">
      <c r="A1269" s="133">
        <v>395925364</v>
      </c>
    </row>
    <row r="1270" spans="1:1" x14ac:dyDescent="0.2">
      <c r="A1270" s="133">
        <v>395746557</v>
      </c>
    </row>
    <row r="1271" spans="1:1" x14ac:dyDescent="0.2">
      <c r="A1271" s="133">
        <v>395863519</v>
      </c>
    </row>
    <row r="1272" spans="1:1" x14ac:dyDescent="0.2">
      <c r="A1272" s="133">
        <v>395818257</v>
      </c>
    </row>
    <row r="1273" spans="1:1" x14ac:dyDescent="0.2">
      <c r="A1273" s="133">
        <v>395803624</v>
      </c>
    </row>
    <row r="1274" spans="1:1" x14ac:dyDescent="0.2">
      <c r="A1274" s="133">
        <v>395932148</v>
      </c>
    </row>
    <row r="1275" spans="1:1" x14ac:dyDescent="0.2">
      <c r="A1275" s="133">
        <v>395858859</v>
      </c>
    </row>
    <row r="1276" spans="1:1" x14ac:dyDescent="0.2">
      <c r="A1276" s="133">
        <v>395946818</v>
      </c>
    </row>
    <row r="1277" spans="1:1" x14ac:dyDescent="0.2">
      <c r="A1277" s="133">
        <v>395721844</v>
      </c>
    </row>
    <row r="1278" spans="1:1" x14ac:dyDescent="0.2">
      <c r="A1278" s="133">
        <v>395733943</v>
      </c>
    </row>
    <row r="1279" spans="1:1" x14ac:dyDescent="0.2">
      <c r="A1279" s="133">
        <v>395871204</v>
      </c>
    </row>
    <row r="1280" spans="1:1" x14ac:dyDescent="0.2">
      <c r="A1280" s="133">
        <v>395891946</v>
      </c>
    </row>
    <row r="1281" spans="1:1" x14ac:dyDescent="0.2">
      <c r="A1281" s="133">
        <v>395895728</v>
      </c>
    </row>
    <row r="1282" spans="1:1" x14ac:dyDescent="0.2">
      <c r="A1282" s="133">
        <v>395820845</v>
      </c>
    </row>
    <row r="1283" spans="1:1" x14ac:dyDescent="0.2">
      <c r="A1283" s="133">
        <v>395869634</v>
      </c>
    </row>
    <row r="1284" spans="1:1" x14ac:dyDescent="0.2">
      <c r="A1284" s="133">
        <v>395828685</v>
      </c>
    </row>
    <row r="1285" spans="1:1" x14ac:dyDescent="0.2">
      <c r="A1285" s="133">
        <v>395870777</v>
      </c>
    </row>
    <row r="1286" spans="1:1" x14ac:dyDescent="0.2">
      <c r="A1286" s="133">
        <v>395746523</v>
      </c>
    </row>
    <row r="1287" spans="1:1" x14ac:dyDescent="0.2">
      <c r="A1287" s="133">
        <v>395791599</v>
      </c>
    </row>
    <row r="1288" spans="1:1" x14ac:dyDescent="0.2">
      <c r="A1288" s="133">
        <v>395792486</v>
      </c>
    </row>
    <row r="1289" spans="1:1" x14ac:dyDescent="0.2">
      <c r="A1289" s="133">
        <v>395780638</v>
      </c>
    </row>
    <row r="1290" spans="1:1" x14ac:dyDescent="0.2">
      <c r="A1290" s="133">
        <v>395670392</v>
      </c>
    </row>
    <row r="1291" spans="1:1" x14ac:dyDescent="0.2">
      <c r="A1291" s="133">
        <v>395501524</v>
      </c>
    </row>
    <row r="1292" spans="1:1" x14ac:dyDescent="0.2">
      <c r="A1292" s="133">
        <v>395771227</v>
      </c>
    </row>
    <row r="1293" spans="1:1" x14ac:dyDescent="0.2">
      <c r="A1293" s="133">
        <v>395833180</v>
      </c>
    </row>
    <row r="1294" spans="1:1" x14ac:dyDescent="0.2">
      <c r="A1294" s="133">
        <v>395887538</v>
      </c>
    </row>
    <row r="1295" spans="1:1" x14ac:dyDescent="0.2">
      <c r="A1295" s="133">
        <v>395927916</v>
      </c>
    </row>
    <row r="1296" spans="1:1" x14ac:dyDescent="0.2">
      <c r="A1296" s="133">
        <v>395768684</v>
      </c>
    </row>
    <row r="1297" spans="1:1" x14ac:dyDescent="0.2">
      <c r="A1297" s="133">
        <v>395743938</v>
      </c>
    </row>
    <row r="1298" spans="1:1" x14ac:dyDescent="0.2">
      <c r="A1298" s="133">
        <v>395761817</v>
      </c>
    </row>
    <row r="1299" spans="1:1" x14ac:dyDescent="0.2">
      <c r="A1299" s="133">
        <v>395880990</v>
      </c>
    </row>
    <row r="1300" spans="1:1" x14ac:dyDescent="0.2">
      <c r="A1300" s="133">
        <v>395765552</v>
      </c>
    </row>
    <row r="1301" spans="1:1" x14ac:dyDescent="0.2">
      <c r="A1301" s="133">
        <v>395917409</v>
      </c>
    </row>
    <row r="1302" spans="1:1" x14ac:dyDescent="0.2">
      <c r="A1302" s="133">
        <v>395830620</v>
      </c>
    </row>
    <row r="1303" spans="1:1" x14ac:dyDescent="0.2">
      <c r="A1303" s="133">
        <v>395822884</v>
      </c>
    </row>
    <row r="1304" spans="1:1" x14ac:dyDescent="0.2">
      <c r="A1304" s="133">
        <v>395760670</v>
      </c>
    </row>
    <row r="1305" spans="1:1" x14ac:dyDescent="0.2">
      <c r="A1305" s="133">
        <v>395764879</v>
      </c>
    </row>
    <row r="1306" spans="1:1" x14ac:dyDescent="0.2">
      <c r="A1306" s="133">
        <v>395772033</v>
      </c>
    </row>
    <row r="1307" spans="1:1" x14ac:dyDescent="0.2">
      <c r="A1307" s="133">
        <v>395817727</v>
      </c>
    </row>
    <row r="1308" spans="1:1" x14ac:dyDescent="0.2">
      <c r="A1308" s="133">
        <v>395913712</v>
      </c>
    </row>
    <row r="1309" spans="1:1" x14ac:dyDescent="0.2">
      <c r="A1309" s="133">
        <v>395719155</v>
      </c>
    </row>
    <row r="1310" spans="1:1" x14ac:dyDescent="0.2">
      <c r="A1310" s="133">
        <v>395801236</v>
      </c>
    </row>
    <row r="1311" spans="1:1" x14ac:dyDescent="0.2">
      <c r="A1311" s="133">
        <v>395752621</v>
      </c>
    </row>
    <row r="1312" spans="1:1" x14ac:dyDescent="0.2">
      <c r="A1312" s="133">
        <v>395431982</v>
      </c>
    </row>
    <row r="1313" spans="1:1" x14ac:dyDescent="0.2">
      <c r="A1313" s="133">
        <v>395847404</v>
      </c>
    </row>
    <row r="1314" spans="1:1" x14ac:dyDescent="0.2">
      <c r="A1314" s="133">
        <v>395838667</v>
      </c>
    </row>
    <row r="1315" spans="1:1" x14ac:dyDescent="0.2">
      <c r="A1315" s="133">
        <v>395846879</v>
      </c>
    </row>
    <row r="1316" spans="1:1" x14ac:dyDescent="0.2">
      <c r="A1316" s="133">
        <v>395655565</v>
      </c>
    </row>
    <row r="1317" spans="1:1" x14ac:dyDescent="0.2">
      <c r="A1317" s="133">
        <v>395720525</v>
      </c>
    </row>
    <row r="1318" spans="1:1" x14ac:dyDescent="0.2">
      <c r="A1318" s="133">
        <v>395975758</v>
      </c>
    </row>
    <row r="1319" spans="1:1" x14ac:dyDescent="0.2">
      <c r="A1319" s="133">
        <v>395729193</v>
      </c>
    </row>
    <row r="1320" spans="1:1" x14ac:dyDescent="0.2">
      <c r="A1320" s="133">
        <v>395735355</v>
      </c>
    </row>
    <row r="1321" spans="1:1" x14ac:dyDescent="0.2">
      <c r="A1321" s="133">
        <v>395738931</v>
      </c>
    </row>
    <row r="1322" spans="1:1" x14ac:dyDescent="0.2">
      <c r="A1322" s="133">
        <v>395740359</v>
      </c>
    </row>
    <row r="1323" spans="1:1" x14ac:dyDescent="0.2">
      <c r="A1323" s="133">
        <v>395739272</v>
      </c>
    </row>
    <row r="1324" spans="1:1" x14ac:dyDescent="0.2">
      <c r="A1324" s="133">
        <v>395744728</v>
      </c>
    </row>
    <row r="1325" spans="1:1" x14ac:dyDescent="0.2">
      <c r="A1325" s="133">
        <v>395667254</v>
      </c>
    </row>
    <row r="1326" spans="1:1" x14ac:dyDescent="0.2">
      <c r="A1326" s="133">
        <v>395750480</v>
      </c>
    </row>
    <row r="1327" spans="1:1" x14ac:dyDescent="0.2">
      <c r="A1327" s="133">
        <v>395750655</v>
      </c>
    </row>
    <row r="1328" spans="1:1" x14ac:dyDescent="0.2">
      <c r="A1328" s="133">
        <v>395751853</v>
      </c>
    </row>
    <row r="1329" spans="1:1" x14ac:dyDescent="0.2">
      <c r="A1329" s="133">
        <v>395753034</v>
      </c>
    </row>
    <row r="1330" spans="1:1" x14ac:dyDescent="0.2">
      <c r="A1330" s="133">
        <v>395754840</v>
      </c>
    </row>
    <row r="1331" spans="1:1" x14ac:dyDescent="0.2">
      <c r="A1331" s="133">
        <v>395757028</v>
      </c>
    </row>
    <row r="1332" spans="1:1" x14ac:dyDescent="0.2">
      <c r="A1332" s="133">
        <v>395716242</v>
      </c>
    </row>
    <row r="1333" spans="1:1" x14ac:dyDescent="0.2">
      <c r="A1333" s="133">
        <v>395625313</v>
      </c>
    </row>
    <row r="1334" spans="1:1" x14ac:dyDescent="0.2">
      <c r="A1334" s="133">
        <v>395762184</v>
      </c>
    </row>
    <row r="1335" spans="1:1" x14ac:dyDescent="0.2">
      <c r="A1335" s="133">
        <v>395763473</v>
      </c>
    </row>
    <row r="1336" spans="1:1" x14ac:dyDescent="0.2">
      <c r="A1336" s="133">
        <v>395763909</v>
      </c>
    </row>
    <row r="1337" spans="1:1" x14ac:dyDescent="0.2">
      <c r="A1337" s="133">
        <v>395765986</v>
      </c>
    </row>
    <row r="1338" spans="1:1" x14ac:dyDescent="0.2">
      <c r="A1338" s="133">
        <v>395766649</v>
      </c>
    </row>
    <row r="1339" spans="1:1" x14ac:dyDescent="0.2">
      <c r="A1339" s="133">
        <v>395769407</v>
      </c>
    </row>
    <row r="1340" spans="1:1" x14ac:dyDescent="0.2">
      <c r="A1340" s="133">
        <v>395715910</v>
      </c>
    </row>
    <row r="1341" spans="1:1" x14ac:dyDescent="0.2">
      <c r="A1341" s="133">
        <v>395774236</v>
      </c>
    </row>
    <row r="1342" spans="1:1" x14ac:dyDescent="0.2">
      <c r="A1342" s="133">
        <v>395767850</v>
      </c>
    </row>
    <row r="1343" spans="1:1" x14ac:dyDescent="0.2">
      <c r="A1343" s="133">
        <v>395782755</v>
      </c>
    </row>
    <row r="1344" spans="1:1" x14ac:dyDescent="0.2">
      <c r="A1344" s="133">
        <v>395785435</v>
      </c>
    </row>
    <row r="1345" spans="1:1" x14ac:dyDescent="0.2">
      <c r="A1345" s="133">
        <v>395787139</v>
      </c>
    </row>
    <row r="1346" spans="1:1" x14ac:dyDescent="0.2">
      <c r="A1346" s="133">
        <v>395709821</v>
      </c>
    </row>
    <row r="1347" spans="1:1" x14ac:dyDescent="0.2">
      <c r="A1347" s="133">
        <v>395788722</v>
      </c>
    </row>
    <row r="1348" spans="1:1" x14ac:dyDescent="0.2">
      <c r="A1348" s="133">
        <v>395790757</v>
      </c>
    </row>
    <row r="1349" spans="1:1" x14ac:dyDescent="0.2">
      <c r="A1349" s="133">
        <v>396518950</v>
      </c>
    </row>
    <row r="1350" spans="1:1" x14ac:dyDescent="0.2">
      <c r="A1350" s="133">
        <v>395792123</v>
      </c>
    </row>
    <row r="1351" spans="1:1" x14ac:dyDescent="0.2">
      <c r="A1351" s="133">
        <v>395799123</v>
      </c>
    </row>
    <row r="1352" spans="1:1" x14ac:dyDescent="0.2">
      <c r="A1352" s="133">
        <v>395789505</v>
      </c>
    </row>
    <row r="1353" spans="1:1" x14ac:dyDescent="0.2">
      <c r="A1353" s="133">
        <v>395800247</v>
      </c>
    </row>
    <row r="1354" spans="1:1" x14ac:dyDescent="0.2">
      <c r="A1354" s="133">
        <v>395799859</v>
      </c>
    </row>
    <row r="1355" spans="1:1" x14ac:dyDescent="0.2">
      <c r="A1355" s="133">
        <v>395807091</v>
      </c>
    </row>
    <row r="1356" spans="1:1" x14ac:dyDescent="0.2">
      <c r="A1356" s="133">
        <v>395807114</v>
      </c>
    </row>
    <row r="1357" spans="1:1" x14ac:dyDescent="0.2">
      <c r="A1357" s="133">
        <v>395807650</v>
      </c>
    </row>
    <row r="1358" spans="1:1" x14ac:dyDescent="0.2">
      <c r="A1358" s="133">
        <v>395813323</v>
      </c>
    </row>
    <row r="1359" spans="1:1" x14ac:dyDescent="0.2">
      <c r="A1359" s="133">
        <v>395813438</v>
      </c>
    </row>
    <row r="1360" spans="1:1" x14ac:dyDescent="0.2">
      <c r="A1360" s="133">
        <v>395817644</v>
      </c>
    </row>
    <row r="1361" spans="1:1" x14ac:dyDescent="0.2">
      <c r="A1361" s="133">
        <v>395472544</v>
      </c>
    </row>
    <row r="1362" spans="1:1" x14ac:dyDescent="0.2">
      <c r="A1362" s="133">
        <v>395819602</v>
      </c>
    </row>
    <row r="1363" spans="1:1" x14ac:dyDescent="0.2">
      <c r="A1363" s="133">
        <v>395822525</v>
      </c>
    </row>
    <row r="1364" spans="1:1" x14ac:dyDescent="0.2">
      <c r="A1364" s="133">
        <v>395821782</v>
      </c>
    </row>
    <row r="1365" spans="1:1" x14ac:dyDescent="0.2">
      <c r="A1365" s="133">
        <v>395825190</v>
      </c>
    </row>
    <row r="1366" spans="1:1" x14ac:dyDescent="0.2">
      <c r="A1366" s="133">
        <v>395827861</v>
      </c>
    </row>
    <row r="1367" spans="1:1" x14ac:dyDescent="0.2">
      <c r="A1367" s="133">
        <v>395827676</v>
      </c>
    </row>
    <row r="1368" spans="1:1" x14ac:dyDescent="0.2">
      <c r="A1368" s="133">
        <v>395830157</v>
      </c>
    </row>
    <row r="1369" spans="1:1" x14ac:dyDescent="0.2">
      <c r="A1369" s="133">
        <v>395831039</v>
      </c>
    </row>
    <row r="1370" spans="1:1" x14ac:dyDescent="0.2">
      <c r="A1370" s="133">
        <v>395822524</v>
      </c>
    </row>
    <row r="1371" spans="1:1" x14ac:dyDescent="0.2">
      <c r="A1371" s="133">
        <v>395831486</v>
      </c>
    </row>
    <row r="1372" spans="1:1" x14ac:dyDescent="0.2">
      <c r="A1372" s="133">
        <v>395835122</v>
      </c>
    </row>
    <row r="1373" spans="1:1" x14ac:dyDescent="0.2">
      <c r="A1373" s="133">
        <v>395834546</v>
      </c>
    </row>
    <row r="1374" spans="1:1" x14ac:dyDescent="0.2">
      <c r="A1374" s="133">
        <v>395586646</v>
      </c>
    </row>
    <row r="1375" spans="1:1" x14ac:dyDescent="0.2">
      <c r="A1375" s="133">
        <v>395837062</v>
      </c>
    </row>
    <row r="1376" spans="1:1" x14ac:dyDescent="0.2">
      <c r="A1376" s="133">
        <v>395837343</v>
      </c>
    </row>
    <row r="1377" spans="1:1" x14ac:dyDescent="0.2">
      <c r="A1377" s="133">
        <v>395277791</v>
      </c>
    </row>
    <row r="1378" spans="1:1" x14ac:dyDescent="0.2">
      <c r="A1378" s="133">
        <v>395959965</v>
      </c>
    </row>
    <row r="1379" spans="1:1" x14ac:dyDescent="0.2">
      <c r="A1379" s="133">
        <v>395960924</v>
      </c>
    </row>
    <row r="1380" spans="1:1" x14ac:dyDescent="0.2">
      <c r="A1380" s="133">
        <v>395961208</v>
      </c>
    </row>
    <row r="1381" spans="1:1" x14ac:dyDescent="0.2">
      <c r="A1381" s="133">
        <v>395962074</v>
      </c>
    </row>
    <row r="1382" spans="1:1" x14ac:dyDescent="0.2">
      <c r="A1382" s="133">
        <v>395962348</v>
      </c>
    </row>
    <row r="1383" spans="1:1" x14ac:dyDescent="0.2">
      <c r="A1383" s="133">
        <v>395961591</v>
      </c>
    </row>
    <row r="1384" spans="1:1" x14ac:dyDescent="0.2">
      <c r="A1384" s="133">
        <v>395962712</v>
      </c>
    </row>
    <row r="1385" spans="1:1" x14ac:dyDescent="0.2">
      <c r="A1385" s="133">
        <v>395964481</v>
      </c>
    </row>
    <row r="1386" spans="1:1" x14ac:dyDescent="0.2">
      <c r="A1386" s="133">
        <v>395963815</v>
      </c>
    </row>
    <row r="1387" spans="1:1" x14ac:dyDescent="0.2">
      <c r="A1387" s="133">
        <v>395965044</v>
      </c>
    </row>
    <row r="1388" spans="1:1" x14ac:dyDescent="0.2">
      <c r="A1388" s="133">
        <v>395964796</v>
      </c>
    </row>
    <row r="1389" spans="1:1" x14ac:dyDescent="0.2">
      <c r="A1389" s="133">
        <v>395965407</v>
      </c>
    </row>
    <row r="1390" spans="1:1" x14ac:dyDescent="0.2">
      <c r="A1390" s="133">
        <v>395712015</v>
      </c>
    </row>
    <row r="1391" spans="1:1" x14ac:dyDescent="0.2">
      <c r="A1391" s="133">
        <v>395966736</v>
      </c>
    </row>
    <row r="1392" spans="1:1" x14ac:dyDescent="0.2">
      <c r="A1392" s="133">
        <v>395711918</v>
      </c>
    </row>
    <row r="1393" spans="1:1" x14ac:dyDescent="0.2">
      <c r="A1393" s="133">
        <v>395711919</v>
      </c>
    </row>
    <row r="1394" spans="1:1" x14ac:dyDescent="0.2">
      <c r="A1394" s="133">
        <v>395968154</v>
      </c>
    </row>
    <row r="1395" spans="1:1" x14ac:dyDescent="0.2">
      <c r="A1395" s="133">
        <v>395607345</v>
      </c>
    </row>
    <row r="1396" spans="1:1" x14ac:dyDescent="0.2">
      <c r="A1396" s="133">
        <v>395767012</v>
      </c>
    </row>
    <row r="1397" spans="1:1" x14ac:dyDescent="0.2">
      <c r="A1397" s="133">
        <v>395665222</v>
      </c>
    </row>
    <row r="1398" spans="1:1" x14ac:dyDescent="0.2">
      <c r="A1398" s="133">
        <v>395734587</v>
      </c>
    </row>
    <row r="1399" spans="1:1" x14ac:dyDescent="0.2">
      <c r="A1399" s="133">
        <v>395669811</v>
      </c>
    </row>
    <row r="1400" spans="1:1" x14ac:dyDescent="0.2">
      <c r="A1400" s="133">
        <v>395692415</v>
      </c>
    </row>
    <row r="1401" spans="1:1" x14ac:dyDescent="0.2">
      <c r="A1401" s="133">
        <v>395692286</v>
      </c>
    </row>
    <row r="1402" spans="1:1" x14ac:dyDescent="0.2">
      <c r="A1402" s="133">
        <v>395748601</v>
      </c>
    </row>
    <row r="1403" spans="1:1" x14ac:dyDescent="0.2">
      <c r="A1403" s="133">
        <v>394307241</v>
      </c>
    </row>
    <row r="1404" spans="1:1" x14ac:dyDescent="0.2">
      <c r="A1404" s="133">
        <v>395676410</v>
      </c>
    </row>
    <row r="1405" spans="1:1" x14ac:dyDescent="0.2">
      <c r="A1405" s="133">
        <v>395780459</v>
      </c>
    </row>
    <row r="1406" spans="1:1" x14ac:dyDescent="0.2">
      <c r="A1406" s="133">
        <v>395698246</v>
      </c>
    </row>
    <row r="1407" spans="1:1" x14ac:dyDescent="0.2">
      <c r="A1407" s="133">
        <v>395770815</v>
      </c>
    </row>
    <row r="1408" spans="1:1" x14ac:dyDescent="0.2">
      <c r="A1408" s="133">
        <v>395630784</v>
      </c>
    </row>
    <row r="1409" spans="1:1" x14ac:dyDescent="0.2">
      <c r="A1409" s="133">
        <v>395784227</v>
      </c>
    </row>
    <row r="1410" spans="1:1" x14ac:dyDescent="0.2">
      <c r="A1410" s="133">
        <v>395682940</v>
      </c>
    </row>
    <row r="1411" spans="1:1" x14ac:dyDescent="0.2">
      <c r="A1411" s="133">
        <v>395767928</v>
      </c>
    </row>
    <row r="1412" spans="1:1" x14ac:dyDescent="0.2">
      <c r="A1412" s="133">
        <v>395745385</v>
      </c>
    </row>
    <row r="1413" spans="1:1" x14ac:dyDescent="0.2">
      <c r="A1413" s="133">
        <v>395714751</v>
      </c>
    </row>
    <row r="1414" spans="1:1" x14ac:dyDescent="0.2">
      <c r="A1414" s="133">
        <v>395679475</v>
      </c>
    </row>
    <row r="1415" spans="1:1" x14ac:dyDescent="0.2">
      <c r="A1415" s="133">
        <v>395628292</v>
      </c>
    </row>
    <row r="1416" spans="1:1" x14ac:dyDescent="0.2">
      <c r="A1416" s="133">
        <v>395725279</v>
      </c>
    </row>
    <row r="1417" spans="1:1" x14ac:dyDescent="0.2">
      <c r="A1417" s="133">
        <v>395693667</v>
      </c>
    </row>
    <row r="1418" spans="1:1" x14ac:dyDescent="0.2">
      <c r="A1418" s="133">
        <v>395679599</v>
      </c>
    </row>
    <row r="1419" spans="1:1" x14ac:dyDescent="0.2">
      <c r="A1419" s="133">
        <v>395768233</v>
      </c>
    </row>
    <row r="1420" spans="1:1" x14ac:dyDescent="0.2">
      <c r="A1420" s="133">
        <v>395596179</v>
      </c>
    </row>
    <row r="1421" spans="1:1" x14ac:dyDescent="0.2">
      <c r="A1421" s="133">
        <v>395792945</v>
      </c>
    </row>
    <row r="1422" spans="1:1" x14ac:dyDescent="0.2">
      <c r="A1422" s="133">
        <v>395677314</v>
      </c>
    </row>
    <row r="1423" spans="1:1" x14ac:dyDescent="0.2">
      <c r="A1423" s="133">
        <v>395844000</v>
      </c>
    </row>
    <row r="1424" spans="1:1" x14ac:dyDescent="0.2">
      <c r="A1424" s="133">
        <v>395847532</v>
      </c>
    </row>
    <row r="1425" spans="1:1" x14ac:dyDescent="0.2">
      <c r="A1425" s="133">
        <v>395842166</v>
      </c>
    </row>
    <row r="1426" spans="1:1" x14ac:dyDescent="0.2">
      <c r="A1426" s="133">
        <v>395846921</v>
      </c>
    </row>
    <row r="1427" spans="1:1" x14ac:dyDescent="0.2">
      <c r="A1427" s="133">
        <v>395839435</v>
      </c>
    </row>
    <row r="1428" spans="1:1" x14ac:dyDescent="0.2">
      <c r="A1428" s="133">
        <v>395847408</v>
      </c>
    </row>
    <row r="1429" spans="1:1" x14ac:dyDescent="0.2">
      <c r="A1429" s="133">
        <v>395250765</v>
      </c>
    </row>
    <row r="1430" spans="1:1" x14ac:dyDescent="0.2">
      <c r="A1430" s="133">
        <v>395866273</v>
      </c>
    </row>
    <row r="1431" spans="1:1" x14ac:dyDescent="0.2">
      <c r="A1431" s="133">
        <v>395867567</v>
      </c>
    </row>
    <row r="1432" spans="1:1" x14ac:dyDescent="0.2">
      <c r="A1432" s="133">
        <v>395867713</v>
      </c>
    </row>
    <row r="1433" spans="1:1" x14ac:dyDescent="0.2">
      <c r="A1433" s="133">
        <v>395870227</v>
      </c>
    </row>
    <row r="1434" spans="1:1" x14ac:dyDescent="0.2">
      <c r="A1434" s="133">
        <v>395870554</v>
      </c>
    </row>
    <row r="1435" spans="1:1" x14ac:dyDescent="0.2">
      <c r="A1435" s="133">
        <v>395873915</v>
      </c>
    </row>
    <row r="1436" spans="1:1" x14ac:dyDescent="0.2">
      <c r="A1436" s="133">
        <v>395877532</v>
      </c>
    </row>
    <row r="1437" spans="1:1" x14ac:dyDescent="0.2">
      <c r="A1437" s="133">
        <v>395879766</v>
      </c>
    </row>
    <row r="1438" spans="1:1" x14ac:dyDescent="0.2">
      <c r="A1438" s="133">
        <v>395880584</v>
      </c>
    </row>
    <row r="1439" spans="1:1" x14ac:dyDescent="0.2">
      <c r="A1439" s="133">
        <v>395885936</v>
      </c>
    </row>
    <row r="1440" spans="1:1" x14ac:dyDescent="0.2">
      <c r="A1440" s="133">
        <v>395886678</v>
      </c>
    </row>
    <row r="1441" spans="1:1" x14ac:dyDescent="0.2">
      <c r="A1441" s="133">
        <v>395886743</v>
      </c>
    </row>
    <row r="1442" spans="1:1" x14ac:dyDescent="0.2">
      <c r="A1442" s="133">
        <v>395888651</v>
      </c>
    </row>
    <row r="1443" spans="1:1" x14ac:dyDescent="0.2">
      <c r="A1443" s="133">
        <v>395889469</v>
      </c>
    </row>
    <row r="1444" spans="1:1" x14ac:dyDescent="0.2">
      <c r="A1444" s="133">
        <v>395889833</v>
      </c>
    </row>
    <row r="1445" spans="1:1" x14ac:dyDescent="0.2">
      <c r="A1445" s="133">
        <v>395893492</v>
      </c>
    </row>
    <row r="1446" spans="1:1" x14ac:dyDescent="0.2">
      <c r="A1446" s="133">
        <v>395900260</v>
      </c>
    </row>
    <row r="1447" spans="1:1" x14ac:dyDescent="0.2">
      <c r="A1447" s="133">
        <v>395794564</v>
      </c>
    </row>
    <row r="1448" spans="1:1" x14ac:dyDescent="0.2">
      <c r="A1448" s="133">
        <v>395899853</v>
      </c>
    </row>
    <row r="1449" spans="1:1" x14ac:dyDescent="0.2">
      <c r="A1449" s="133">
        <v>395901059</v>
      </c>
    </row>
    <row r="1450" spans="1:1" x14ac:dyDescent="0.2">
      <c r="A1450" s="133">
        <v>395901140</v>
      </c>
    </row>
    <row r="1451" spans="1:1" x14ac:dyDescent="0.2">
      <c r="A1451" s="133">
        <v>395901581</v>
      </c>
    </row>
    <row r="1452" spans="1:1" x14ac:dyDescent="0.2">
      <c r="A1452" s="133">
        <v>395902727</v>
      </c>
    </row>
    <row r="1453" spans="1:1" x14ac:dyDescent="0.2">
      <c r="A1453" s="133">
        <v>395907299</v>
      </c>
    </row>
    <row r="1454" spans="1:1" x14ac:dyDescent="0.2">
      <c r="A1454" s="133">
        <v>395909303</v>
      </c>
    </row>
    <row r="1455" spans="1:1" x14ac:dyDescent="0.2">
      <c r="A1455" s="133">
        <v>395908976</v>
      </c>
    </row>
    <row r="1456" spans="1:1" x14ac:dyDescent="0.2">
      <c r="A1456" s="133">
        <v>395917733</v>
      </c>
    </row>
    <row r="1457" spans="1:1" x14ac:dyDescent="0.2">
      <c r="A1457" s="133">
        <v>395918440</v>
      </c>
    </row>
    <row r="1458" spans="1:1" x14ac:dyDescent="0.2">
      <c r="A1458" s="133">
        <v>395921531</v>
      </c>
    </row>
    <row r="1459" spans="1:1" x14ac:dyDescent="0.2">
      <c r="A1459" s="133">
        <v>395934876</v>
      </c>
    </row>
    <row r="1460" spans="1:1" x14ac:dyDescent="0.2">
      <c r="A1460" s="133">
        <v>395178091</v>
      </c>
    </row>
    <row r="1461" spans="1:1" x14ac:dyDescent="0.2">
      <c r="A1461" s="133">
        <v>395941189</v>
      </c>
    </row>
    <row r="1462" spans="1:1" x14ac:dyDescent="0.2">
      <c r="A1462" s="133">
        <v>395943549</v>
      </c>
    </row>
    <row r="1463" spans="1:1" x14ac:dyDescent="0.2">
      <c r="A1463" s="133">
        <v>395899207</v>
      </c>
    </row>
    <row r="1464" spans="1:1" x14ac:dyDescent="0.2">
      <c r="A1464" s="133">
        <v>395945072</v>
      </c>
    </row>
    <row r="1465" spans="1:1" x14ac:dyDescent="0.2">
      <c r="A1465" s="133">
        <v>395944748</v>
      </c>
    </row>
    <row r="1466" spans="1:1" x14ac:dyDescent="0.2">
      <c r="A1466" s="133">
        <v>395942711</v>
      </c>
    </row>
    <row r="1467" spans="1:1" x14ac:dyDescent="0.2">
      <c r="A1467" s="133">
        <v>395948168</v>
      </c>
    </row>
    <row r="1468" spans="1:1" x14ac:dyDescent="0.2">
      <c r="A1468" s="133">
        <v>395949576</v>
      </c>
    </row>
    <row r="1469" spans="1:1" x14ac:dyDescent="0.2">
      <c r="A1469" s="133">
        <v>395949686</v>
      </c>
    </row>
    <row r="1470" spans="1:1" x14ac:dyDescent="0.2">
      <c r="A1470" s="133">
        <v>395949843</v>
      </c>
    </row>
    <row r="1471" spans="1:1" x14ac:dyDescent="0.2">
      <c r="A1471" s="133">
        <v>395948391</v>
      </c>
    </row>
    <row r="1472" spans="1:1" x14ac:dyDescent="0.2">
      <c r="A1472" s="133">
        <v>395951474</v>
      </c>
    </row>
    <row r="1473" spans="1:1" x14ac:dyDescent="0.2">
      <c r="A1473" s="133">
        <v>395952644</v>
      </c>
    </row>
    <row r="1474" spans="1:1" x14ac:dyDescent="0.2">
      <c r="A1474" s="133">
        <v>395955073</v>
      </c>
    </row>
    <row r="1475" spans="1:1" x14ac:dyDescent="0.2">
      <c r="A1475" s="133">
        <v>395954778</v>
      </c>
    </row>
    <row r="1476" spans="1:1" x14ac:dyDescent="0.2">
      <c r="A1476" s="133">
        <v>395956076</v>
      </c>
    </row>
    <row r="1477" spans="1:1" x14ac:dyDescent="0.2">
      <c r="A1477" s="133">
        <v>395603128</v>
      </c>
    </row>
    <row r="1478" spans="1:1" x14ac:dyDescent="0.2">
      <c r="A1478" s="133">
        <v>395838607</v>
      </c>
    </row>
    <row r="1479" spans="1:1" x14ac:dyDescent="0.2">
      <c r="A1479" s="133">
        <v>395838920</v>
      </c>
    </row>
    <row r="1480" spans="1:1" x14ac:dyDescent="0.2">
      <c r="A1480" s="133">
        <v>395841742</v>
      </c>
    </row>
    <row r="1481" spans="1:1" x14ac:dyDescent="0.2">
      <c r="A1481" s="133">
        <v>395843003</v>
      </c>
    </row>
    <row r="1482" spans="1:1" x14ac:dyDescent="0.2">
      <c r="A1482" s="133">
        <v>395844875</v>
      </c>
    </row>
    <row r="1483" spans="1:1" x14ac:dyDescent="0.2">
      <c r="A1483" s="133">
        <v>395848328</v>
      </c>
    </row>
    <row r="1484" spans="1:1" x14ac:dyDescent="0.2">
      <c r="A1484" s="133">
        <v>395848327</v>
      </c>
    </row>
    <row r="1485" spans="1:1" x14ac:dyDescent="0.2">
      <c r="A1485" s="133">
        <v>395968969</v>
      </c>
    </row>
    <row r="1486" spans="1:1" x14ac:dyDescent="0.2">
      <c r="A1486" s="133">
        <v>395850559</v>
      </c>
    </row>
    <row r="1487" spans="1:1" x14ac:dyDescent="0.2">
      <c r="A1487" s="133">
        <v>395851022</v>
      </c>
    </row>
    <row r="1488" spans="1:1" x14ac:dyDescent="0.2">
      <c r="A1488" s="133">
        <v>395851153</v>
      </c>
    </row>
    <row r="1489" spans="1:1" x14ac:dyDescent="0.2">
      <c r="A1489" s="133">
        <v>395971221</v>
      </c>
    </row>
    <row r="1490" spans="1:1" x14ac:dyDescent="0.2">
      <c r="A1490" s="133">
        <v>395706073</v>
      </c>
    </row>
    <row r="1491" spans="1:1" x14ac:dyDescent="0.2">
      <c r="A1491" s="133">
        <v>395712663</v>
      </c>
    </row>
    <row r="1492" spans="1:1" x14ac:dyDescent="0.2">
      <c r="A1492" s="133">
        <v>395702519</v>
      </c>
    </row>
    <row r="1493" spans="1:1" x14ac:dyDescent="0.2">
      <c r="A1493" s="133">
        <v>395709538</v>
      </c>
    </row>
    <row r="1494" spans="1:1" x14ac:dyDescent="0.2">
      <c r="A1494" s="133">
        <v>395854981</v>
      </c>
    </row>
    <row r="1495" spans="1:1" x14ac:dyDescent="0.2">
      <c r="A1495" s="133">
        <v>395822631</v>
      </c>
    </row>
    <row r="1496" spans="1:1" x14ac:dyDescent="0.2">
      <c r="A1496" s="133">
        <v>395911410</v>
      </c>
    </row>
    <row r="1497" spans="1:1" x14ac:dyDescent="0.2">
      <c r="A1497" s="133">
        <v>395810834</v>
      </c>
    </row>
    <row r="1498" spans="1:1" x14ac:dyDescent="0.2">
      <c r="A1498" s="133">
        <v>395891065</v>
      </c>
    </row>
    <row r="1499" spans="1:1" x14ac:dyDescent="0.2">
      <c r="A1499" s="133">
        <v>395931073</v>
      </c>
    </row>
    <row r="1500" spans="1:1" x14ac:dyDescent="0.2">
      <c r="A1500" s="133">
        <v>395741307</v>
      </c>
    </row>
    <row r="1501" spans="1:1" x14ac:dyDescent="0.2">
      <c r="A1501" s="133">
        <v>395770274</v>
      </c>
    </row>
    <row r="1502" spans="1:1" x14ac:dyDescent="0.2">
      <c r="A1502" s="133">
        <v>395903851</v>
      </c>
    </row>
    <row r="1503" spans="1:1" x14ac:dyDescent="0.2">
      <c r="A1503" s="133">
        <v>395807644</v>
      </c>
    </row>
    <row r="1504" spans="1:1" x14ac:dyDescent="0.2">
      <c r="A1504" s="133">
        <v>395868793</v>
      </c>
    </row>
    <row r="1505" spans="1:1" x14ac:dyDescent="0.2">
      <c r="A1505" s="133">
        <v>395918189</v>
      </c>
    </row>
    <row r="1506" spans="1:1" x14ac:dyDescent="0.2">
      <c r="A1506" s="133">
        <v>395911096</v>
      </c>
    </row>
    <row r="1507" spans="1:1" x14ac:dyDescent="0.2">
      <c r="A1507" s="133">
        <v>395762520</v>
      </c>
    </row>
    <row r="1508" spans="1:1" x14ac:dyDescent="0.2">
      <c r="A1508" s="133">
        <v>395679640</v>
      </c>
    </row>
    <row r="1509" spans="1:1" x14ac:dyDescent="0.2">
      <c r="A1509" s="133">
        <v>397127363</v>
      </c>
    </row>
    <row r="1510" spans="1:1" x14ac:dyDescent="0.2">
      <c r="A1510" s="133">
        <v>394783964</v>
      </c>
    </row>
    <row r="1511" spans="1:1" x14ac:dyDescent="0.2">
      <c r="A1511" s="133">
        <v>395959918</v>
      </c>
    </row>
    <row r="1512" spans="1:1" x14ac:dyDescent="0.2">
      <c r="A1512" s="133">
        <v>395962664</v>
      </c>
    </row>
    <row r="1513" spans="1:1" x14ac:dyDescent="0.2">
      <c r="A1513" s="133">
        <v>395965581</v>
      </c>
    </row>
    <row r="1514" spans="1:1" x14ac:dyDescent="0.2">
      <c r="A1514" s="133">
        <v>395841409</v>
      </c>
    </row>
    <row r="1515" spans="1:1" x14ac:dyDescent="0.2">
      <c r="A1515" s="133">
        <v>395838011</v>
      </c>
    </row>
    <row r="1516" spans="1:1" x14ac:dyDescent="0.2">
      <c r="A1516" s="133">
        <v>395846307</v>
      </c>
    </row>
    <row r="1517" spans="1:1" x14ac:dyDescent="0.2">
      <c r="A1517" s="133">
        <v>395848127</v>
      </c>
    </row>
    <row r="1518" spans="1:1" x14ac:dyDescent="0.2">
      <c r="A1518" s="133">
        <v>397322403</v>
      </c>
    </row>
    <row r="1519" spans="1:1" x14ac:dyDescent="0.2">
      <c r="A1519" s="133">
        <v>397337007</v>
      </c>
    </row>
    <row r="1520" spans="1:1" x14ac:dyDescent="0.2">
      <c r="A1520" s="133">
        <v>397005066</v>
      </c>
    </row>
    <row r="1521" spans="1:1" x14ac:dyDescent="0.2">
      <c r="A1521" s="133">
        <v>397149209</v>
      </c>
    </row>
    <row r="1522" spans="1:1" x14ac:dyDescent="0.2">
      <c r="A1522" s="133">
        <v>397162794</v>
      </c>
    </row>
    <row r="1523" spans="1:1" x14ac:dyDescent="0.2">
      <c r="A1523" s="133">
        <v>397748704</v>
      </c>
    </row>
    <row r="1524" spans="1:1" x14ac:dyDescent="0.2">
      <c r="A1524" s="133">
        <v>397099379</v>
      </c>
    </row>
    <row r="1525" spans="1:1" x14ac:dyDescent="0.2">
      <c r="A1525" s="133">
        <v>397864276</v>
      </c>
    </row>
    <row r="1526" spans="1:1" x14ac:dyDescent="0.2">
      <c r="A1526" s="133">
        <v>397859341</v>
      </c>
    </row>
    <row r="1527" spans="1:1" x14ac:dyDescent="0.2">
      <c r="A1527" s="133">
        <v>700391830602</v>
      </c>
    </row>
    <row r="1528" spans="1:1" x14ac:dyDescent="0.2">
      <c r="A1528" s="133">
        <v>261776622701</v>
      </c>
    </row>
    <row r="1529" spans="1:1" x14ac:dyDescent="0.2">
      <c r="A1529" s="133">
        <v>261874480401</v>
      </c>
    </row>
    <row r="1530" spans="1:1" x14ac:dyDescent="0.2">
      <c r="A1530" s="133">
        <v>261893524301</v>
      </c>
    </row>
    <row r="1531" spans="1:1" x14ac:dyDescent="0.2">
      <c r="A1531" s="133">
        <v>261839711601</v>
      </c>
    </row>
    <row r="1532" spans="1:1" x14ac:dyDescent="0.2">
      <c r="A1532" s="133">
        <v>261878737602</v>
      </c>
    </row>
    <row r="1533" spans="1:1" x14ac:dyDescent="0.2">
      <c r="A1533" s="133">
        <v>348169730601</v>
      </c>
    </row>
    <row r="1534" spans="1:1" x14ac:dyDescent="0.2">
      <c r="A1534" s="133">
        <v>348184988001</v>
      </c>
    </row>
    <row r="1535" spans="1:1" x14ac:dyDescent="0.2">
      <c r="A1535" s="133">
        <v>261849849201</v>
      </c>
    </row>
    <row r="1536" spans="1:1" x14ac:dyDescent="0.2">
      <c r="A1536" s="133">
        <v>261837389301</v>
      </c>
    </row>
    <row r="1537" spans="1:1" x14ac:dyDescent="0.2">
      <c r="A1537" s="133">
        <v>348171178901</v>
      </c>
    </row>
    <row r="1538" spans="1:1" x14ac:dyDescent="0.2">
      <c r="A1538" s="133">
        <v>348176368401</v>
      </c>
    </row>
    <row r="1539" spans="1:1" x14ac:dyDescent="0.2">
      <c r="A1539" s="133">
        <v>261892762301</v>
      </c>
    </row>
    <row r="1540" spans="1:1" x14ac:dyDescent="0.2">
      <c r="A1540" s="133">
        <v>348272227901</v>
      </c>
    </row>
    <row r="1541" spans="1:1" x14ac:dyDescent="0.2">
      <c r="A1541" s="133">
        <v>262045929501</v>
      </c>
    </row>
    <row r="1542" spans="1:1" x14ac:dyDescent="0.2">
      <c r="A1542" s="133">
        <v>348272312501</v>
      </c>
    </row>
    <row r="1543" spans="1:1" x14ac:dyDescent="0.2">
      <c r="A1543" s="133">
        <v>262036819001</v>
      </c>
    </row>
    <row r="1544" spans="1:1" x14ac:dyDescent="0.2">
      <c r="A1544" s="133">
        <v>398914713</v>
      </c>
    </row>
    <row r="1545" spans="1:1" x14ac:dyDescent="0.2">
      <c r="A1545" s="133">
        <v>348267540701</v>
      </c>
    </row>
    <row r="1546" spans="1:1" x14ac:dyDescent="0.2">
      <c r="A1546" s="133">
        <v>262040488401</v>
      </c>
    </row>
    <row r="1547" spans="1:1" x14ac:dyDescent="0.2">
      <c r="A1547" s="133">
        <v>262037035101</v>
      </c>
    </row>
    <row r="1548" spans="1:1" x14ac:dyDescent="0.2">
      <c r="A1548" s="133">
        <v>262043493701</v>
      </c>
    </row>
    <row r="1549" spans="1:1" x14ac:dyDescent="0.2">
      <c r="A1549" s="133">
        <v>262044146601</v>
      </c>
    </row>
    <row r="1550" spans="1:1" x14ac:dyDescent="0.2">
      <c r="A1550" s="133">
        <v>348272703301</v>
      </c>
    </row>
    <row r="1551" spans="1:1" x14ac:dyDescent="0.2">
      <c r="A1551" s="133">
        <v>262044852801</v>
      </c>
    </row>
    <row r="1552" spans="1:1" x14ac:dyDescent="0.2">
      <c r="A1552" s="133">
        <v>262045143601</v>
      </c>
    </row>
    <row r="1553" spans="1:1" x14ac:dyDescent="0.2">
      <c r="A1553" s="133">
        <v>262045306301</v>
      </c>
    </row>
    <row r="1554" spans="1:1" x14ac:dyDescent="0.2">
      <c r="A1554" s="133">
        <v>398918006</v>
      </c>
    </row>
    <row r="1555" spans="1:1" x14ac:dyDescent="0.2">
      <c r="A1555" s="133">
        <v>348273298801</v>
      </c>
    </row>
    <row r="1556" spans="1:1" x14ac:dyDescent="0.2">
      <c r="A1556" s="133">
        <v>348272796301</v>
      </c>
    </row>
    <row r="1557" spans="1:1" x14ac:dyDescent="0.2">
      <c r="A1557" s="133">
        <v>262026706301</v>
      </c>
    </row>
    <row r="1558" spans="1:1" x14ac:dyDescent="0.2">
      <c r="A1558" s="133">
        <v>348272527701</v>
      </c>
    </row>
    <row r="1559" spans="1:1" x14ac:dyDescent="0.2">
      <c r="A1559" s="133">
        <v>348271581201</v>
      </c>
    </row>
    <row r="1560" spans="1:1" x14ac:dyDescent="0.2">
      <c r="A1560" s="133">
        <v>348272468301</v>
      </c>
    </row>
    <row r="1561" spans="1:1" x14ac:dyDescent="0.2">
      <c r="A1561" s="133">
        <v>261970003101</v>
      </c>
    </row>
    <row r="1562" spans="1:1" x14ac:dyDescent="0.2">
      <c r="A1562" s="133">
        <v>105633533201</v>
      </c>
    </row>
    <row r="1563" spans="1:1" x14ac:dyDescent="0.2">
      <c r="A1563" s="133">
        <v>398837503</v>
      </c>
    </row>
    <row r="1564" spans="1:1" x14ac:dyDescent="0.2">
      <c r="A1564" s="133">
        <v>261535877001</v>
      </c>
    </row>
    <row r="1565" spans="1:1" x14ac:dyDescent="0.2">
      <c r="A1565" s="133">
        <v>261538634601</v>
      </c>
    </row>
    <row r="1566" spans="1:1" x14ac:dyDescent="0.2">
      <c r="A1566" s="133">
        <v>398915104</v>
      </c>
    </row>
    <row r="1567" spans="1:1" x14ac:dyDescent="0.2">
      <c r="A1567" s="133">
        <v>348240684001</v>
      </c>
    </row>
    <row r="1568" spans="1:1" x14ac:dyDescent="0.2">
      <c r="A1568" s="133">
        <v>262039653001</v>
      </c>
    </row>
    <row r="1569" spans="1:1" x14ac:dyDescent="0.2">
      <c r="A1569" s="133">
        <v>262042534301</v>
      </c>
    </row>
    <row r="1570" spans="1:1" x14ac:dyDescent="0.2">
      <c r="A1570" s="133">
        <v>262043344602</v>
      </c>
    </row>
    <row r="1571" spans="1:1" x14ac:dyDescent="0.2">
      <c r="A1571" s="133">
        <v>262043664301</v>
      </c>
    </row>
    <row r="1572" spans="1:1" x14ac:dyDescent="0.2">
      <c r="A1572" s="133">
        <v>262043703201</v>
      </c>
    </row>
    <row r="1573" spans="1:1" x14ac:dyDescent="0.2">
      <c r="A1573" s="133">
        <v>262043746201</v>
      </c>
    </row>
    <row r="1574" spans="1:1" x14ac:dyDescent="0.2">
      <c r="A1574" s="133">
        <v>262043776002</v>
      </c>
    </row>
    <row r="1575" spans="1:1" x14ac:dyDescent="0.2">
      <c r="A1575" s="133">
        <v>262043844501</v>
      </c>
    </row>
    <row r="1576" spans="1:1" x14ac:dyDescent="0.2">
      <c r="A1576" s="133">
        <v>262043863802</v>
      </c>
    </row>
    <row r="1577" spans="1:1" x14ac:dyDescent="0.2">
      <c r="A1577" s="133">
        <v>262043878901</v>
      </c>
    </row>
    <row r="1578" spans="1:1" x14ac:dyDescent="0.2">
      <c r="A1578" s="133">
        <v>262044030401</v>
      </c>
    </row>
    <row r="1579" spans="1:1" x14ac:dyDescent="0.2">
      <c r="A1579" s="133">
        <v>262044200401</v>
      </c>
    </row>
    <row r="1580" spans="1:1" x14ac:dyDescent="0.2">
      <c r="A1580" s="133">
        <v>262044233801</v>
      </c>
    </row>
    <row r="1581" spans="1:1" x14ac:dyDescent="0.2">
      <c r="A1581" s="133">
        <v>262044281401</v>
      </c>
    </row>
    <row r="1582" spans="1:1" x14ac:dyDescent="0.2">
      <c r="A1582" s="133">
        <v>262044514802</v>
      </c>
    </row>
    <row r="1583" spans="1:1" x14ac:dyDescent="0.2">
      <c r="A1583" s="133">
        <v>262044644701</v>
      </c>
    </row>
    <row r="1584" spans="1:1" x14ac:dyDescent="0.2">
      <c r="A1584" s="133">
        <v>262044839401</v>
      </c>
    </row>
    <row r="1585" spans="1:1" x14ac:dyDescent="0.2">
      <c r="A1585" s="133">
        <v>262045185001</v>
      </c>
    </row>
    <row r="1586" spans="1:1" x14ac:dyDescent="0.2">
      <c r="A1586" s="133">
        <v>348272160701</v>
      </c>
    </row>
    <row r="1587" spans="1:1" x14ac:dyDescent="0.2">
      <c r="A1587" s="133">
        <v>348272178001</v>
      </c>
    </row>
    <row r="1588" spans="1:1" x14ac:dyDescent="0.2">
      <c r="A1588" s="133">
        <v>348272208801</v>
      </c>
    </row>
    <row r="1589" spans="1:1" x14ac:dyDescent="0.2">
      <c r="A1589" s="133">
        <v>348272242101</v>
      </c>
    </row>
    <row r="1590" spans="1:1" x14ac:dyDescent="0.2">
      <c r="A1590" s="133">
        <v>348272256701</v>
      </c>
    </row>
    <row r="1591" spans="1:1" x14ac:dyDescent="0.2">
      <c r="A1591" s="133">
        <v>348272258501</v>
      </c>
    </row>
    <row r="1592" spans="1:1" x14ac:dyDescent="0.2">
      <c r="A1592" s="133">
        <v>348272325801</v>
      </c>
    </row>
    <row r="1593" spans="1:1" x14ac:dyDescent="0.2">
      <c r="A1593" s="133">
        <v>348272376601</v>
      </c>
    </row>
    <row r="1594" spans="1:1" x14ac:dyDescent="0.2">
      <c r="A1594" s="133">
        <v>348272389501</v>
      </c>
    </row>
    <row r="1595" spans="1:1" x14ac:dyDescent="0.2">
      <c r="A1595" s="133">
        <v>348272438401</v>
      </c>
    </row>
    <row r="1596" spans="1:1" x14ac:dyDescent="0.2">
      <c r="A1596" s="133">
        <v>348272455701</v>
      </c>
    </row>
    <row r="1597" spans="1:1" x14ac:dyDescent="0.2">
      <c r="A1597" s="133">
        <v>348272519501</v>
      </c>
    </row>
    <row r="1598" spans="1:1" x14ac:dyDescent="0.2">
      <c r="A1598" s="133">
        <v>348272556501</v>
      </c>
    </row>
    <row r="1599" spans="1:1" x14ac:dyDescent="0.2">
      <c r="A1599" s="133">
        <v>348272587401</v>
      </c>
    </row>
    <row r="1600" spans="1:1" x14ac:dyDescent="0.2">
      <c r="A1600" s="133">
        <v>348272593301</v>
      </c>
    </row>
    <row r="1601" spans="1:1" x14ac:dyDescent="0.2">
      <c r="A1601" s="133">
        <v>348272596701</v>
      </c>
    </row>
    <row r="1602" spans="1:1" x14ac:dyDescent="0.2">
      <c r="A1602" s="133">
        <v>348272617001</v>
      </c>
    </row>
    <row r="1603" spans="1:1" x14ac:dyDescent="0.2">
      <c r="A1603" s="133">
        <v>348272671801</v>
      </c>
    </row>
    <row r="1604" spans="1:1" x14ac:dyDescent="0.2">
      <c r="A1604" s="133">
        <v>348272687801</v>
      </c>
    </row>
    <row r="1605" spans="1:1" x14ac:dyDescent="0.2">
      <c r="A1605" s="133">
        <v>348272699901</v>
      </c>
    </row>
    <row r="1606" spans="1:1" x14ac:dyDescent="0.2">
      <c r="A1606" s="133">
        <v>348272777701</v>
      </c>
    </row>
    <row r="1607" spans="1:1" x14ac:dyDescent="0.2">
      <c r="A1607" s="133">
        <v>348272782001</v>
      </c>
    </row>
    <row r="1608" spans="1:1" x14ac:dyDescent="0.2">
      <c r="A1608" s="133">
        <v>348272831301</v>
      </c>
    </row>
    <row r="1609" spans="1:1" x14ac:dyDescent="0.2">
      <c r="A1609" s="133">
        <v>348272952101</v>
      </c>
    </row>
    <row r="1610" spans="1:1" x14ac:dyDescent="0.2">
      <c r="A1610" s="133">
        <v>348273021001</v>
      </c>
    </row>
    <row r="1611" spans="1:1" x14ac:dyDescent="0.2">
      <c r="A1611" s="133">
        <v>700415517902</v>
      </c>
    </row>
    <row r="1612" spans="1:1" x14ac:dyDescent="0.2">
      <c r="A1612" s="133">
        <v>700415522901</v>
      </c>
    </row>
    <row r="1613" spans="1:1" x14ac:dyDescent="0.2">
      <c r="A1613" s="133">
        <v>105648694801</v>
      </c>
    </row>
    <row r="1614" spans="1:1" x14ac:dyDescent="0.2">
      <c r="A1614" s="133">
        <v>262026193501</v>
      </c>
    </row>
    <row r="1615" spans="1:1" x14ac:dyDescent="0.2">
      <c r="A1615" s="133">
        <v>348262925301</v>
      </c>
    </row>
    <row r="1616" spans="1:1" x14ac:dyDescent="0.2">
      <c r="A1616" s="133">
        <v>105654707601</v>
      </c>
    </row>
    <row r="1617" spans="1:1" x14ac:dyDescent="0.2">
      <c r="A1617" s="133">
        <v>262042531001</v>
      </c>
    </row>
    <row r="1618" spans="1:1" x14ac:dyDescent="0.2">
      <c r="A1618" s="133">
        <v>105654729301</v>
      </c>
    </row>
    <row r="1619" spans="1:1" x14ac:dyDescent="0.2">
      <c r="A1619" s="133">
        <v>348271738801</v>
      </c>
    </row>
    <row r="1620" spans="1:1" x14ac:dyDescent="0.2">
      <c r="A1620" s="133">
        <v>105654762901</v>
      </c>
    </row>
    <row r="1621" spans="1:1" x14ac:dyDescent="0.2">
      <c r="A1621" s="133">
        <v>105654804501</v>
      </c>
    </row>
    <row r="1622" spans="1:1" x14ac:dyDescent="0.2">
      <c r="A1622" s="133">
        <v>105654805301</v>
      </c>
    </row>
    <row r="1623" spans="1:1" x14ac:dyDescent="0.2">
      <c r="A1623" s="133">
        <v>105654806801</v>
      </c>
    </row>
    <row r="1624" spans="1:1" x14ac:dyDescent="0.2">
      <c r="A1624" s="133">
        <v>262042833201</v>
      </c>
    </row>
    <row r="1625" spans="1:1" x14ac:dyDescent="0.2">
      <c r="A1625" s="133">
        <v>105654826401</v>
      </c>
    </row>
    <row r="1626" spans="1:1" x14ac:dyDescent="0.2">
      <c r="A1626" s="133">
        <v>262042931801</v>
      </c>
    </row>
    <row r="1627" spans="1:1" x14ac:dyDescent="0.2">
      <c r="A1627" s="133">
        <v>262042995301</v>
      </c>
    </row>
    <row r="1628" spans="1:1" x14ac:dyDescent="0.2">
      <c r="A1628" s="133">
        <v>105653814701</v>
      </c>
    </row>
    <row r="1629" spans="1:1" x14ac:dyDescent="0.2">
      <c r="A1629" s="133">
        <v>105654861701</v>
      </c>
    </row>
    <row r="1630" spans="1:1" x14ac:dyDescent="0.2">
      <c r="A1630" s="133">
        <v>105654877901</v>
      </c>
    </row>
    <row r="1631" spans="1:1" x14ac:dyDescent="0.2">
      <c r="A1631" s="133">
        <v>105654889901</v>
      </c>
    </row>
    <row r="1632" spans="1:1" x14ac:dyDescent="0.2">
      <c r="A1632" s="133">
        <v>262043264601</v>
      </c>
    </row>
    <row r="1633" spans="1:1" x14ac:dyDescent="0.2">
      <c r="A1633" s="133">
        <v>105654928901</v>
      </c>
    </row>
    <row r="1634" spans="1:1" x14ac:dyDescent="0.2">
      <c r="A1634" s="133">
        <v>262043357901</v>
      </c>
    </row>
    <row r="1635" spans="1:1" x14ac:dyDescent="0.2">
      <c r="A1635" s="133">
        <v>348272097001</v>
      </c>
    </row>
    <row r="1636" spans="1:1" x14ac:dyDescent="0.2">
      <c r="A1636" s="133">
        <v>262043269701</v>
      </c>
    </row>
    <row r="1637" spans="1:1" x14ac:dyDescent="0.2">
      <c r="A1637" s="133">
        <v>262043437402</v>
      </c>
    </row>
    <row r="1638" spans="1:1" x14ac:dyDescent="0.2">
      <c r="A1638" s="133">
        <v>262043546001</v>
      </c>
    </row>
    <row r="1639" spans="1:1" x14ac:dyDescent="0.2">
      <c r="A1639" s="133">
        <v>398911692</v>
      </c>
    </row>
    <row r="1640" spans="1:1" x14ac:dyDescent="0.2">
      <c r="A1640" s="133">
        <v>262043554801</v>
      </c>
    </row>
    <row r="1641" spans="1:1" x14ac:dyDescent="0.2">
      <c r="A1641" s="133">
        <v>348272157801</v>
      </c>
    </row>
    <row r="1642" spans="1:1" x14ac:dyDescent="0.2">
      <c r="A1642" s="133">
        <v>700415587502</v>
      </c>
    </row>
    <row r="1643" spans="1:1" x14ac:dyDescent="0.2">
      <c r="A1643" s="133">
        <v>262043600002</v>
      </c>
    </row>
    <row r="1644" spans="1:1" x14ac:dyDescent="0.2">
      <c r="A1644" s="133">
        <v>700415588601</v>
      </c>
    </row>
    <row r="1645" spans="1:1" x14ac:dyDescent="0.2">
      <c r="A1645" s="133">
        <v>105654994602</v>
      </c>
    </row>
    <row r="1646" spans="1:1" x14ac:dyDescent="0.2">
      <c r="A1646" s="133">
        <v>262043653601</v>
      </c>
    </row>
    <row r="1647" spans="1:1" x14ac:dyDescent="0.2">
      <c r="A1647" s="133">
        <v>348272213901</v>
      </c>
    </row>
    <row r="1648" spans="1:1" x14ac:dyDescent="0.2">
      <c r="A1648" s="133">
        <v>348272238101</v>
      </c>
    </row>
    <row r="1649" spans="1:1" x14ac:dyDescent="0.2">
      <c r="A1649" s="133">
        <v>262043687401</v>
      </c>
    </row>
    <row r="1650" spans="1:1" x14ac:dyDescent="0.2">
      <c r="A1650" s="133">
        <v>398913018</v>
      </c>
    </row>
    <row r="1651" spans="1:1" x14ac:dyDescent="0.2">
      <c r="A1651" s="133">
        <v>262043702901</v>
      </c>
    </row>
    <row r="1652" spans="1:1" x14ac:dyDescent="0.2">
      <c r="A1652" s="133">
        <v>348272260201</v>
      </c>
    </row>
    <row r="1653" spans="1:1" x14ac:dyDescent="0.2">
      <c r="A1653" s="133">
        <v>105655026501</v>
      </c>
    </row>
    <row r="1654" spans="1:1" x14ac:dyDescent="0.2">
      <c r="A1654" s="133">
        <v>262043744301</v>
      </c>
    </row>
    <row r="1655" spans="1:1" x14ac:dyDescent="0.2">
      <c r="A1655" s="133">
        <v>262043642301</v>
      </c>
    </row>
    <row r="1656" spans="1:1" x14ac:dyDescent="0.2">
      <c r="A1656" s="133">
        <v>348272274201</v>
      </c>
    </row>
    <row r="1657" spans="1:1" x14ac:dyDescent="0.2">
      <c r="A1657" s="133">
        <v>262043641801</v>
      </c>
    </row>
    <row r="1658" spans="1:1" x14ac:dyDescent="0.2">
      <c r="A1658" s="133">
        <v>348272282301</v>
      </c>
    </row>
    <row r="1659" spans="1:1" x14ac:dyDescent="0.2">
      <c r="A1659" s="133">
        <v>262043741001</v>
      </c>
    </row>
    <row r="1660" spans="1:1" x14ac:dyDescent="0.2">
      <c r="A1660" s="133">
        <v>262043702501</v>
      </c>
    </row>
    <row r="1661" spans="1:1" x14ac:dyDescent="0.2">
      <c r="A1661" s="133">
        <v>262043725101</v>
      </c>
    </row>
    <row r="1662" spans="1:1" x14ac:dyDescent="0.2">
      <c r="A1662" s="133">
        <v>398912250</v>
      </c>
    </row>
    <row r="1663" spans="1:1" x14ac:dyDescent="0.2">
      <c r="A1663" s="133">
        <v>700415597101</v>
      </c>
    </row>
    <row r="1664" spans="1:1" x14ac:dyDescent="0.2">
      <c r="A1664" s="133">
        <v>348272305201</v>
      </c>
    </row>
    <row r="1665" spans="1:1" x14ac:dyDescent="0.2">
      <c r="A1665" s="133">
        <v>398913394</v>
      </c>
    </row>
    <row r="1666" spans="1:1" x14ac:dyDescent="0.2">
      <c r="A1666" s="133">
        <v>348272314001</v>
      </c>
    </row>
    <row r="1667" spans="1:1" x14ac:dyDescent="0.2">
      <c r="A1667" s="133">
        <v>262043848801</v>
      </c>
    </row>
    <row r="1668" spans="1:1" x14ac:dyDescent="0.2">
      <c r="A1668" s="133">
        <v>262043863801</v>
      </c>
    </row>
    <row r="1669" spans="1:1" x14ac:dyDescent="0.2">
      <c r="A1669" s="133">
        <v>348272338601</v>
      </c>
    </row>
    <row r="1670" spans="1:1" x14ac:dyDescent="0.2">
      <c r="A1670" s="133">
        <v>348272340702</v>
      </c>
    </row>
    <row r="1671" spans="1:1" x14ac:dyDescent="0.2">
      <c r="A1671" s="133">
        <v>105655069701</v>
      </c>
    </row>
    <row r="1672" spans="1:1" x14ac:dyDescent="0.2">
      <c r="A1672" s="133">
        <v>262043623701</v>
      </c>
    </row>
    <row r="1673" spans="1:1" x14ac:dyDescent="0.2">
      <c r="A1673" s="133">
        <v>700415601501</v>
      </c>
    </row>
    <row r="1674" spans="1:1" x14ac:dyDescent="0.2">
      <c r="A1674" s="133">
        <v>105655081101</v>
      </c>
    </row>
    <row r="1675" spans="1:1" x14ac:dyDescent="0.2">
      <c r="A1675" s="133">
        <v>262043937501</v>
      </c>
    </row>
    <row r="1676" spans="1:1" x14ac:dyDescent="0.2">
      <c r="A1676" s="133">
        <v>262043954101</v>
      </c>
    </row>
    <row r="1677" spans="1:1" x14ac:dyDescent="0.2">
      <c r="A1677" s="133">
        <v>262043995101</v>
      </c>
    </row>
    <row r="1678" spans="1:1" x14ac:dyDescent="0.2">
      <c r="A1678" s="133">
        <v>262044005701</v>
      </c>
    </row>
    <row r="1679" spans="1:1" x14ac:dyDescent="0.2">
      <c r="A1679" s="133">
        <v>262044012901</v>
      </c>
    </row>
    <row r="1680" spans="1:1" x14ac:dyDescent="0.2">
      <c r="A1680" s="133">
        <v>348265571501</v>
      </c>
    </row>
    <row r="1681" spans="1:1" x14ac:dyDescent="0.2">
      <c r="A1681" s="133">
        <v>262044028501</v>
      </c>
    </row>
    <row r="1682" spans="1:1" x14ac:dyDescent="0.2">
      <c r="A1682" s="133">
        <v>348272422501</v>
      </c>
    </row>
    <row r="1683" spans="1:1" x14ac:dyDescent="0.2">
      <c r="A1683" s="133">
        <v>398912584</v>
      </c>
    </row>
    <row r="1684" spans="1:1" x14ac:dyDescent="0.2">
      <c r="A1684" s="133">
        <v>262044026802</v>
      </c>
    </row>
    <row r="1685" spans="1:1" x14ac:dyDescent="0.2">
      <c r="A1685" s="133">
        <v>262044091301</v>
      </c>
    </row>
    <row r="1686" spans="1:1" x14ac:dyDescent="0.2">
      <c r="A1686" s="133">
        <v>262044092601</v>
      </c>
    </row>
    <row r="1687" spans="1:1" x14ac:dyDescent="0.2">
      <c r="A1687" s="133">
        <v>262044118601</v>
      </c>
    </row>
    <row r="1688" spans="1:1" x14ac:dyDescent="0.2">
      <c r="A1688" s="133">
        <v>262044118602</v>
      </c>
    </row>
    <row r="1689" spans="1:1" x14ac:dyDescent="0.2">
      <c r="A1689" s="133">
        <v>348264410801</v>
      </c>
    </row>
    <row r="1690" spans="1:1" x14ac:dyDescent="0.2">
      <c r="A1690" s="133">
        <v>398883920</v>
      </c>
    </row>
    <row r="1691" spans="1:1" x14ac:dyDescent="0.2">
      <c r="A1691" s="133">
        <v>262044164201</v>
      </c>
    </row>
    <row r="1692" spans="1:1" x14ac:dyDescent="0.2">
      <c r="A1692" s="133">
        <v>348272476501</v>
      </c>
    </row>
    <row r="1693" spans="1:1" x14ac:dyDescent="0.2">
      <c r="A1693" s="133">
        <v>348272490501</v>
      </c>
    </row>
    <row r="1694" spans="1:1" x14ac:dyDescent="0.2">
      <c r="A1694" s="133">
        <v>105655148801</v>
      </c>
    </row>
    <row r="1695" spans="1:1" x14ac:dyDescent="0.2">
      <c r="A1695" s="133">
        <v>105655154301</v>
      </c>
    </row>
    <row r="1696" spans="1:1" x14ac:dyDescent="0.2">
      <c r="A1696" s="133">
        <v>700415618701</v>
      </c>
    </row>
    <row r="1697" spans="1:1" x14ac:dyDescent="0.2">
      <c r="A1697" s="133">
        <v>348272507801</v>
      </c>
    </row>
    <row r="1698" spans="1:1" x14ac:dyDescent="0.2">
      <c r="A1698" s="133">
        <v>348272513602</v>
      </c>
    </row>
    <row r="1699" spans="1:1" x14ac:dyDescent="0.2">
      <c r="A1699" s="133">
        <v>262044135101</v>
      </c>
    </row>
    <row r="1700" spans="1:1" x14ac:dyDescent="0.2">
      <c r="A1700" s="133">
        <v>262044291601</v>
      </c>
    </row>
    <row r="1701" spans="1:1" x14ac:dyDescent="0.2">
      <c r="A1701" s="133">
        <v>348272530101</v>
      </c>
    </row>
    <row r="1702" spans="1:1" x14ac:dyDescent="0.2">
      <c r="A1702" s="133">
        <v>105655173001</v>
      </c>
    </row>
    <row r="1703" spans="1:1" x14ac:dyDescent="0.2">
      <c r="A1703" s="133">
        <v>348272549101</v>
      </c>
    </row>
    <row r="1704" spans="1:1" x14ac:dyDescent="0.2">
      <c r="A1704" s="133">
        <v>262044333301</v>
      </c>
    </row>
    <row r="1705" spans="1:1" x14ac:dyDescent="0.2">
      <c r="A1705" s="133">
        <v>348272550301</v>
      </c>
    </row>
    <row r="1706" spans="1:1" x14ac:dyDescent="0.2">
      <c r="A1706" s="133">
        <v>262044339901</v>
      </c>
    </row>
    <row r="1707" spans="1:1" x14ac:dyDescent="0.2">
      <c r="A1707" s="133">
        <v>262039474501</v>
      </c>
    </row>
    <row r="1708" spans="1:1" x14ac:dyDescent="0.2">
      <c r="A1708" s="133">
        <v>262044420501</v>
      </c>
    </row>
    <row r="1709" spans="1:1" x14ac:dyDescent="0.2">
      <c r="A1709" s="133">
        <v>348272600901</v>
      </c>
    </row>
    <row r="1710" spans="1:1" x14ac:dyDescent="0.2">
      <c r="A1710" s="133">
        <v>105655210601</v>
      </c>
    </row>
    <row r="1711" spans="1:1" x14ac:dyDescent="0.2">
      <c r="A1711" s="133">
        <v>348272601502</v>
      </c>
    </row>
    <row r="1712" spans="1:1" x14ac:dyDescent="0.2">
      <c r="A1712" s="133">
        <v>262044440601</v>
      </c>
    </row>
    <row r="1713" spans="1:1" x14ac:dyDescent="0.2">
      <c r="A1713" s="133">
        <v>262044478401</v>
      </c>
    </row>
    <row r="1714" spans="1:1" x14ac:dyDescent="0.2">
      <c r="A1714" s="133">
        <v>262044482001</v>
      </c>
    </row>
    <row r="1715" spans="1:1" x14ac:dyDescent="0.2">
      <c r="A1715" s="133">
        <v>105655218601</v>
      </c>
    </row>
    <row r="1716" spans="1:1" x14ac:dyDescent="0.2">
      <c r="A1716" s="133">
        <v>105655221001</v>
      </c>
    </row>
    <row r="1717" spans="1:1" x14ac:dyDescent="0.2">
      <c r="A1717" s="133">
        <v>262044514801</v>
      </c>
    </row>
    <row r="1718" spans="1:1" x14ac:dyDescent="0.2">
      <c r="A1718" s="133">
        <v>262044454501</v>
      </c>
    </row>
    <row r="1719" spans="1:1" x14ac:dyDescent="0.2">
      <c r="A1719" s="133">
        <v>262044463401</v>
      </c>
    </row>
    <row r="1720" spans="1:1" x14ac:dyDescent="0.2">
      <c r="A1720" s="133">
        <v>262044593901</v>
      </c>
    </row>
    <row r="1721" spans="1:1" x14ac:dyDescent="0.2">
      <c r="A1721" s="133">
        <v>105655225601</v>
      </c>
    </row>
    <row r="1722" spans="1:1" x14ac:dyDescent="0.2">
      <c r="A1722" s="133">
        <v>262044635902</v>
      </c>
    </row>
    <row r="1723" spans="1:1" x14ac:dyDescent="0.2">
      <c r="A1723" s="133">
        <v>348272707801</v>
      </c>
    </row>
    <row r="1724" spans="1:1" x14ac:dyDescent="0.2">
      <c r="A1724" s="133">
        <v>348272709401</v>
      </c>
    </row>
    <row r="1725" spans="1:1" x14ac:dyDescent="0.2">
      <c r="A1725" s="133">
        <v>348272717101</v>
      </c>
    </row>
    <row r="1726" spans="1:1" x14ac:dyDescent="0.2">
      <c r="A1726" s="133">
        <v>262044662401</v>
      </c>
    </row>
    <row r="1727" spans="1:1" x14ac:dyDescent="0.2">
      <c r="A1727" s="133">
        <v>348272726501</v>
      </c>
    </row>
    <row r="1728" spans="1:1" x14ac:dyDescent="0.2">
      <c r="A1728" s="133">
        <v>262044758601</v>
      </c>
    </row>
    <row r="1729" spans="1:1" x14ac:dyDescent="0.2">
      <c r="A1729" s="133">
        <v>348272805401</v>
      </c>
    </row>
    <row r="1730" spans="1:1" x14ac:dyDescent="0.2">
      <c r="A1730" s="133">
        <v>348272816701</v>
      </c>
    </row>
    <row r="1731" spans="1:1" x14ac:dyDescent="0.2">
      <c r="A1731" s="133">
        <v>262044844701</v>
      </c>
    </row>
    <row r="1732" spans="1:1" x14ac:dyDescent="0.2">
      <c r="A1732" s="133">
        <v>348272818201</v>
      </c>
    </row>
    <row r="1733" spans="1:1" x14ac:dyDescent="0.2">
      <c r="A1733" s="133">
        <v>262044860301</v>
      </c>
    </row>
    <row r="1734" spans="1:1" x14ac:dyDescent="0.2">
      <c r="A1734" s="133">
        <v>262040617901</v>
      </c>
    </row>
    <row r="1735" spans="1:1" x14ac:dyDescent="0.2">
      <c r="A1735" s="133">
        <v>348272885901</v>
      </c>
    </row>
    <row r="1736" spans="1:1" x14ac:dyDescent="0.2">
      <c r="A1736" s="133">
        <v>262044969201</v>
      </c>
    </row>
    <row r="1737" spans="1:1" x14ac:dyDescent="0.2">
      <c r="A1737" s="133">
        <v>348272908901</v>
      </c>
    </row>
    <row r="1738" spans="1:1" x14ac:dyDescent="0.2">
      <c r="A1738" s="133">
        <v>262045003301</v>
      </c>
    </row>
    <row r="1739" spans="1:1" x14ac:dyDescent="0.2">
      <c r="A1739" s="133">
        <v>348272925701</v>
      </c>
    </row>
    <row r="1740" spans="1:1" x14ac:dyDescent="0.2">
      <c r="A1740" s="133">
        <v>262045061701</v>
      </c>
    </row>
    <row r="1741" spans="1:1" x14ac:dyDescent="0.2">
      <c r="A1741" s="133">
        <v>700415669801</v>
      </c>
    </row>
    <row r="1742" spans="1:1" x14ac:dyDescent="0.2">
      <c r="A1742" s="133">
        <v>348270670001</v>
      </c>
    </row>
    <row r="1743" spans="1:1" x14ac:dyDescent="0.2">
      <c r="A1743" s="133">
        <v>262037844703</v>
      </c>
    </row>
    <row r="1744" spans="1:1" x14ac:dyDescent="0.2">
      <c r="A1744" s="133">
        <v>262037881101</v>
      </c>
    </row>
    <row r="1745" spans="1:1" x14ac:dyDescent="0.2">
      <c r="A1745" s="133">
        <v>261888755801</v>
      </c>
    </row>
    <row r="1746" spans="1:1" x14ac:dyDescent="0.2">
      <c r="A1746" s="133">
        <v>261871191401</v>
      </c>
    </row>
    <row r="1747" spans="1:1" x14ac:dyDescent="0.2">
      <c r="A1747" s="133">
        <v>261896900401</v>
      </c>
    </row>
    <row r="1748" spans="1:1" x14ac:dyDescent="0.2">
      <c r="A1748" s="133">
        <v>261882963001</v>
      </c>
    </row>
    <row r="1749" spans="1:1" x14ac:dyDescent="0.2">
      <c r="A1749" s="133">
        <v>262041638301</v>
      </c>
    </row>
    <row r="1750" spans="1:1" x14ac:dyDescent="0.2">
      <c r="A1750" s="133">
        <v>262038075401</v>
      </c>
    </row>
    <row r="1751" spans="1:1" x14ac:dyDescent="0.2">
      <c r="A1751" s="133">
        <v>105654456001</v>
      </c>
    </row>
    <row r="1752" spans="1:1" x14ac:dyDescent="0.2">
      <c r="A1752" s="133">
        <v>348269211501</v>
      </c>
    </row>
    <row r="1753" spans="1:1" x14ac:dyDescent="0.2">
      <c r="A1753" s="133">
        <v>262013221001</v>
      </c>
    </row>
    <row r="1754" spans="1:1" x14ac:dyDescent="0.2">
      <c r="A1754" s="133">
        <v>261864531801</v>
      </c>
    </row>
    <row r="1755" spans="1:1" x14ac:dyDescent="0.2">
      <c r="A1755" s="133">
        <v>261936378001</v>
      </c>
    </row>
    <row r="1756" spans="1:1" x14ac:dyDescent="0.2">
      <c r="A1756" s="133">
        <v>348263223401</v>
      </c>
    </row>
    <row r="1757" spans="1:1" x14ac:dyDescent="0.2">
      <c r="A1757" s="133">
        <v>261846041901</v>
      </c>
    </row>
    <row r="1758" spans="1:1" x14ac:dyDescent="0.2">
      <c r="A1758" s="133">
        <v>262036108101</v>
      </c>
    </row>
    <row r="1759" spans="1:1" x14ac:dyDescent="0.2">
      <c r="A1759" s="133">
        <v>262079180501</v>
      </c>
    </row>
    <row r="1760" spans="1:1" x14ac:dyDescent="0.2">
      <c r="A1760" s="133">
        <v>105667108201</v>
      </c>
    </row>
    <row r="1761" spans="1:1" x14ac:dyDescent="0.2">
      <c r="A1761" s="133">
        <v>399017892</v>
      </c>
    </row>
    <row r="1762" spans="1:1" x14ac:dyDescent="0.2">
      <c r="A1762" s="133">
        <v>399018904</v>
      </c>
    </row>
    <row r="1763" spans="1:1" x14ac:dyDescent="0.2">
      <c r="A1763" s="133">
        <v>399019431</v>
      </c>
    </row>
    <row r="1764" spans="1:1" x14ac:dyDescent="0.2">
      <c r="A1764" s="133">
        <v>262076731401</v>
      </c>
    </row>
    <row r="1765" spans="1:1" x14ac:dyDescent="0.2">
      <c r="A1765" s="133">
        <v>262072874201</v>
      </c>
    </row>
    <row r="1766" spans="1:1" x14ac:dyDescent="0.2">
      <c r="A1766" s="133">
        <v>262074383201</v>
      </c>
    </row>
    <row r="1767" spans="1:1" x14ac:dyDescent="0.2">
      <c r="A1767" s="133">
        <v>262078941602</v>
      </c>
    </row>
    <row r="1768" spans="1:1" x14ac:dyDescent="0.2">
      <c r="A1768" s="133">
        <v>262080987801</v>
      </c>
    </row>
    <row r="1769" spans="1:1" x14ac:dyDescent="0.2">
      <c r="A1769" s="133">
        <v>262081184201</v>
      </c>
    </row>
    <row r="1770" spans="1:1" x14ac:dyDescent="0.2">
      <c r="A1770" s="133">
        <v>262081224301</v>
      </c>
    </row>
    <row r="1771" spans="1:1" x14ac:dyDescent="0.2">
      <c r="A1771" s="133">
        <v>262077093301</v>
      </c>
    </row>
    <row r="1772" spans="1:1" x14ac:dyDescent="0.2">
      <c r="A1772" s="133">
        <v>262081556901</v>
      </c>
    </row>
    <row r="1773" spans="1:1" x14ac:dyDescent="0.2">
      <c r="A1773" s="133">
        <v>262077636301</v>
      </c>
    </row>
    <row r="1774" spans="1:1" x14ac:dyDescent="0.2">
      <c r="A1774" s="133">
        <v>262053843101</v>
      </c>
    </row>
    <row r="1775" spans="1:1" x14ac:dyDescent="0.2">
      <c r="A1775" s="133">
        <v>262076737001</v>
      </c>
    </row>
    <row r="1776" spans="1:1" x14ac:dyDescent="0.2">
      <c r="A1776" s="133">
        <v>262078492101</v>
      </c>
    </row>
    <row r="1777" spans="1:1" x14ac:dyDescent="0.2">
      <c r="A1777" s="133">
        <v>262078660901</v>
      </c>
    </row>
    <row r="1778" spans="1:1" x14ac:dyDescent="0.2">
      <c r="A1778" s="133">
        <v>262026422201</v>
      </c>
    </row>
    <row r="1779" spans="1:1" x14ac:dyDescent="0.2">
      <c r="A1779" s="133">
        <v>262079433401</v>
      </c>
    </row>
    <row r="1780" spans="1:1" x14ac:dyDescent="0.2">
      <c r="A1780" s="133">
        <v>262008697201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93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7</vt:i4>
      </vt:variant>
    </vt:vector>
  </HeadingPairs>
  <TitlesOfParts>
    <vt:vector size="25" baseType="lpstr">
      <vt:lpstr>entrada</vt:lpstr>
      <vt:lpstr>debito</vt:lpstr>
      <vt:lpstr>credito</vt:lpstr>
      <vt:lpstr>mercado</vt:lpstr>
      <vt:lpstr>planilha</vt:lpstr>
      <vt:lpstr>terceiro</vt:lpstr>
      <vt:lpstr>pendente</vt:lpstr>
      <vt:lpstr>gasto</vt:lpstr>
      <vt:lpstr>Plan1</vt:lpstr>
      <vt:lpstr>old</vt:lpstr>
      <vt:lpstr>divida empresa</vt:lpstr>
      <vt:lpstr>divida carro</vt:lpstr>
      <vt:lpstr>divida moto</vt:lpstr>
      <vt:lpstr>Plan2</vt:lpstr>
      <vt:lpstr>Plan3</vt:lpstr>
      <vt:lpstr>Plan5</vt:lpstr>
      <vt:lpstr>Plan4</vt:lpstr>
      <vt:lpstr>Plan6</vt:lpstr>
      <vt:lpstr>credito!_FilterDatabase_0</vt:lpstr>
      <vt:lpstr>gasto!_FilterDatabase_0</vt:lpstr>
      <vt:lpstr>credito!_FilterDatabase_0_0</vt:lpstr>
      <vt:lpstr>gasto!_FilterDatabase_0_0</vt:lpstr>
      <vt:lpstr>gasto!_FiltrarBancodeDados</vt:lpstr>
      <vt:lpstr>mercado!_FiltrarBancodeDados</vt:lpstr>
      <vt:lpstr>pendente!_FiltrarBancodeDados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andre</cp:lastModifiedBy>
  <cp:revision>9</cp:revision>
  <cp:lastPrinted>2011-06-01T19:00:57Z</cp:lastPrinted>
  <dcterms:created xsi:type="dcterms:W3CDTF">2011-04-26T13:46:03Z</dcterms:created>
  <dcterms:modified xsi:type="dcterms:W3CDTF">2017-07-14T23:30:07Z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
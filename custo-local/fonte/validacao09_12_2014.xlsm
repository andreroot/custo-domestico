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C999D3B4-68BB-379E-E534-F0D661931E69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ndre\Documents\custo\parametros\csv\validacao\"/>
    </mc:Choice>
  </mc:AlternateContent>
  <bookViews>
    <workbookView xWindow="2835" yWindow="960" windowWidth="12525" windowHeight="3390" tabRatio="834" activeTab="2"/>
  </bookViews>
  <sheets>
    <sheet name="entrada" sheetId="16" r:id="rId1"/>
    <sheet name="debito" sheetId="39" r:id="rId2"/>
    <sheet name="credito" sheetId="41" r:id="rId3"/>
    <sheet name="Planilha2" sheetId="45" r:id="rId4"/>
    <sheet name="pendente" sheetId="40" r:id="rId5"/>
    <sheet name="gasto" sheetId="38" r:id="rId6"/>
    <sheet name="planilha" sheetId="28" r:id="rId7"/>
    <sheet name="tipopagto" sheetId="27" r:id="rId8"/>
    <sheet name="Plan1" sheetId="29" r:id="rId9"/>
    <sheet name="mercado" sheetId="42" r:id="rId10"/>
    <sheet name="Plan2" sheetId="43" r:id="rId11"/>
    <sheet name="Planilha1" sheetId="44" r:id="rId12"/>
  </sheets>
  <definedNames>
    <definedName name="_xlnm._FilterDatabase" localSheetId="2" hidden="1">credito!$A$1:$J$96</definedName>
    <definedName name="_xlnm._FilterDatabase" localSheetId="1" hidden="1">debito!$A$1:$J$304</definedName>
    <definedName name="_xlnm._FilterDatabase" localSheetId="5" hidden="1">gasto!$A$1:$K$74</definedName>
    <definedName name="_xlnm._FilterDatabase" localSheetId="9" hidden="1">mercado!$A$1:$H$527</definedName>
    <definedName name="_xlnm._FilterDatabase" localSheetId="4" hidden="1">pendente!$A$1:$E$46</definedName>
  </definedNames>
  <calcPr calcId="162913"/>
</workbook>
</file>

<file path=xl/calcChain.xml><?xml version="1.0" encoding="utf-8"?>
<calcChain xmlns="http://schemas.openxmlformats.org/spreadsheetml/2006/main">
  <c r="B88" i="45" l="1"/>
  <c r="B80" i="45"/>
  <c r="B73" i="45"/>
  <c r="B353" i="44"/>
  <c r="B329" i="44"/>
  <c r="B304" i="44"/>
  <c r="B278" i="44"/>
  <c r="B247" i="44"/>
  <c r="B148" i="44"/>
  <c r="B65" i="44"/>
  <c r="B1" i="44"/>
  <c r="G601" i="42"/>
  <c r="G600" i="42"/>
  <c r="G599" i="42"/>
  <c r="G598" i="42"/>
  <c r="G597" i="42"/>
  <c r="G596" i="42"/>
  <c r="G595" i="42"/>
  <c r="G594" i="42"/>
  <c r="G590" i="42"/>
  <c r="G589" i="42"/>
  <c r="G588" i="42"/>
  <c r="G587" i="42"/>
  <c r="G586" i="42"/>
  <c r="G585" i="42"/>
  <c r="F9" i="28"/>
  <c r="G9" i="28"/>
  <c r="E622" i="42"/>
  <c r="E621" i="42"/>
  <c r="E620" i="42"/>
  <c r="E619" i="42"/>
  <c r="E618" i="42"/>
  <c r="E617" i="42"/>
  <c r="E616" i="42"/>
  <c r="E615" i="42"/>
  <c r="E614" i="42"/>
  <c r="E613" i="42"/>
  <c r="E612" i="42"/>
  <c r="E611" i="42"/>
  <c r="E610" i="42"/>
  <c r="E609" i="42"/>
  <c r="E608" i="42"/>
  <c r="E607" i="42"/>
  <c r="E606" i="42"/>
  <c r="E605" i="42"/>
  <c r="E604" i="42"/>
  <c r="E603" i="42"/>
  <c r="E602" i="42"/>
  <c r="E601" i="42"/>
  <c r="E600" i="42"/>
  <c r="E599" i="42"/>
  <c r="E598" i="42"/>
  <c r="E597" i="42"/>
  <c r="E596" i="42"/>
  <c r="E595" i="42"/>
  <c r="E594" i="42"/>
  <c r="E593" i="42"/>
  <c r="E592" i="42"/>
  <c r="E591" i="42"/>
  <c r="E590" i="42"/>
  <c r="E589" i="42"/>
  <c r="E588" i="42"/>
  <c r="E587" i="42"/>
  <c r="E586" i="42"/>
  <c r="E585" i="42"/>
  <c r="E584" i="42"/>
  <c r="E583" i="42"/>
  <c r="E582" i="42"/>
  <c r="E581" i="42"/>
  <c r="E580" i="42"/>
  <c r="E579" i="42"/>
  <c r="E578" i="42"/>
  <c r="E577" i="42"/>
  <c r="E576" i="42"/>
  <c r="E575" i="42"/>
  <c r="E574" i="42"/>
  <c r="E573" i="42"/>
  <c r="E572" i="42"/>
  <c r="E571" i="42"/>
  <c r="E570" i="42"/>
  <c r="E569" i="42"/>
  <c r="E568" i="42"/>
  <c r="E567" i="42"/>
  <c r="E566" i="42"/>
  <c r="E565" i="42"/>
  <c r="E564" i="42"/>
  <c r="E563" i="42"/>
  <c r="E562" i="42"/>
  <c r="E561" i="42"/>
  <c r="E560" i="42"/>
  <c r="E559" i="42"/>
  <c r="E558" i="42"/>
  <c r="E557" i="42"/>
  <c r="E556" i="42"/>
  <c r="E555" i="42"/>
  <c r="E554" i="42"/>
  <c r="E553" i="42"/>
  <c r="E552" i="42"/>
  <c r="E551" i="42"/>
  <c r="E550" i="42"/>
  <c r="E549" i="42"/>
  <c r="E548" i="42"/>
  <c r="E547" i="42"/>
  <c r="E546" i="42"/>
  <c r="E545" i="42"/>
  <c r="E544" i="42"/>
  <c r="E543" i="42"/>
  <c r="E542" i="42"/>
  <c r="E541" i="42"/>
  <c r="E540" i="42"/>
  <c r="E539" i="42"/>
  <c r="E538" i="42"/>
  <c r="E537" i="42"/>
  <c r="E536" i="42"/>
  <c r="E535" i="42"/>
  <c r="E534" i="42"/>
  <c r="E533" i="42"/>
  <c r="E532" i="42"/>
  <c r="E531" i="42"/>
  <c r="E530" i="42"/>
  <c r="E529" i="42"/>
  <c r="E528" i="42"/>
  <c r="E527" i="42"/>
  <c r="E526" i="42"/>
  <c r="E525" i="42"/>
  <c r="E524" i="42"/>
  <c r="E523" i="42"/>
  <c r="E522" i="42"/>
  <c r="E521" i="42"/>
  <c r="E520" i="42"/>
  <c r="E519" i="42"/>
  <c r="E518" i="42"/>
  <c r="E517" i="42"/>
  <c r="E516" i="42"/>
  <c r="E515" i="42"/>
  <c r="E514" i="42"/>
  <c r="E513" i="42"/>
  <c r="E512" i="42"/>
  <c r="E511" i="42"/>
  <c r="E510" i="42"/>
  <c r="E509" i="42"/>
  <c r="E508" i="42"/>
  <c r="E507" i="42"/>
  <c r="E506" i="42"/>
  <c r="E505" i="42"/>
  <c r="E504" i="42"/>
  <c r="E503" i="42"/>
  <c r="E502" i="42"/>
  <c r="E501" i="42"/>
  <c r="E500" i="42"/>
  <c r="E499" i="42"/>
  <c r="E498" i="42"/>
  <c r="E497" i="42"/>
  <c r="E496" i="42"/>
  <c r="E495" i="42"/>
  <c r="E494" i="42"/>
  <c r="E493" i="42"/>
  <c r="E492" i="42"/>
  <c r="E491" i="42"/>
  <c r="E490" i="42"/>
  <c r="E489" i="42"/>
  <c r="E488" i="42"/>
  <c r="E487" i="42"/>
  <c r="E486" i="42"/>
  <c r="E485" i="42"/>
  <c r="E484" i="42"/>
  <c r="E483" i="42"/>
  <c r="E482" i="42"/>
  <c r="E481" i="42"/>
  <c r="E480" i="42"/>
  <c r="E479" i="42"/>
  <c r="E478" i="42"/>
  <c r="E477" i="42"/>
  <c r="E476" i="42"/>
  <c r="E475" i="42"/>
  <c r="E474" i="42"/>
  <c r="E473" i="42"/>
  <c r="E472" i="42"/>
  <c r="E471" i="42"/>
  <c r="E470" i="42"/>
  <c r="E469" i="42"/>
  <c r="E468" i="42"/>
  <c r="E467" i="42"/>
  <c r="E466" i="42"/>
  <c r="E465" i="42"/>
  <c r="E464" i="42"/>
  <c r="E463" i="42"/>
  <c r="E462" i="42"/>
  <c r="E461" i="42"/>
  <c r="E460" i="42"/>
  <c r="E459" i="42"/>
  <c r="E458" i="42"/>
  <c r="E457" i="42"/>
  <c r="E456" i="42"/>
  <c r="E455" i="42"/>
  <c r="E454" i="42"/>
  <c r="E453" i="42"/>
  <c r="E452" i="42"/>
  <c r="E451" i="42"/>
  <c r="E450" i="42"/>
  <c r="E449" i="42"/>
  <c r="E448" i="42"/>
  <c r="E447" i="42"/>
  <c r="E446" i="42"/>
  <c r="E445" i="42"/>
  <c r="E444" i="42"/>
  <c r="E443" i="42"/>
  <c r="E442" i="42"/>
  <c r="E441" i="42"/>
  <c r="E440" i="42"/>
  <c r="F17" i="28"/>
  <c r="G17" i="28"/>
  <c r="F16" i="28"/>
  <c r="G16" i="28"/>
  <c r="F15" i="28"/>
  <c r="G15" i="28"/>
  <c r="F14" i="28"/>
  <c r="G14" i="28"/>
  <c r="F13" i="28"/>
  <c r="G13" i="28"/>
  <c r="E439" i="42"/>
  <c r="E438" i="42"/>
  <c r="E437" i="42"/>
  <c r="E436" i="42"/>
  <c r="E435" i="42"/>
  <c r="E434" i="42"/>
  <c r="E433" i="42"/>
  <c r="E432" i="42"/>
  <c r="E431" i="42"/>
  <c r="E430" i="42"/>
  <c r="E429" i="42"/>
  <c r="E428" i="42"/>
  <c r="E427" i="42"/>
  <c r="E426" i="42"/>
  <c r="E425" i="42"/>
  <c r="E424" i="42"/>
  <c r="E423" i="42"/>
  <c r="E422" i="42"/>
  <c r="E421" i="42"/>
  <c r="E420" i="42"/>
  <c r="E419" i="42"/>
  <c r="E418" i="42"/>
  <c r="E417" i="42"/>
  <c r="E416" i="42"/>
  <c r="E415" i="42"/>
  <c r="E414" i="42"/>
  <c r="E413" i="42"/>
  <c r="E412" i="42"/>
  <c r="E411" i="42"/>
  <c r="E410" i="42"/>
  <c r="E409" i="42"/>
  <c r="E408" i="42"/>
  <c r="E407" i="42"/>
  <c r="E406" i="42"/>
  <c r="E405" i="42"/>
  <c r="E404" i="42"/>
  <c r="F12" i="28"/>
  <c r="G12" i="28"/>
  <c r="F11" i="28"/>
  <c r="G11" i="28"/>
  <c r="E403" i="42"/>
  <c r="E402" i="42"/>
  <c r="E401" i="42"/>
  <c r="E400" i="42"/>
  <c r="E399" i="42"/>
  <c r="E398" i="42"/>
  <c r="E397" i="42"/>
  <c r="E396" i="42"/>
  <c r="E395" i="42"/>
  <c r="E394" i="42"/>
  <c r="E393" i="42"/>
  <c r="E392" i="42"/>
  <c r="E391" i="42"/>
  <c r="E390" i="42"/>
  <c r="E389" i="42"/>
  <c r="E388" i="42"/>
  <c r="E387" i="42"/>
  <c r="E386" i="42"/>
  <c r="E385" i="42"/>
  <c r="E384" i="42"/>
  <c r="E383" i="42"/>
  <c r="E382" i="42"/>
  <c r="E381" i="42"/>
  <c r="E380" i="42"/>
  <c r="E379" i="42"/>
  <c r="E378" i="42"/>
  <c r="E377" i="42"/>
  <c r="E376" i="42"/>
  <c r="E375" i="42"/>
  <c r="E374" i="42"/>
  <c r="E373" i="42"/>
  <c r="E372" i="42"/>
  <c r="E371" i="42"/>
  <c r="E370" i="42"/>
  <c r="E369" i="42"/>
  <c r="E368" i="42"/>
  <c r="E367" i="42"/>
  <c r="E366" i="42"/>
  <c r="E365" i="42"/>
  <c r="E364" i="42"/>
  <c r="E363" i="42"/>
  <c r="E362" i="42"/>
  <c r="E361" i="42"/>
  <c r="E360" i="42"/>
  <c r="E359" i="42"/>
  <c r="E358" i="42"/>
  <c r="E357" i="42"/>
  <c r="E356" i="42"/>
  <c r="E355" i="42"/>
  <c r="E354" i="42"/>
  <c r="E353" i="42"/>
  <c r="E352" i="42"/>
  <c r="E351" i="42"/>
  <c r="E350" i="42"/>
  <c r="E349" i="42"/>
  <c r="E348" i="42"/>
  <c r="E347" i="42"/>
  <c r="E346" i="42"/>
  <c r="E345" i="42"/>
  <c r="B41" i="29"/>
  <c r="A41" i="29"/>
  <c r="D31" i="29"/>
  <c r="A31" i="29"/>
  <c r="E28" i="29"/>
  <c r="F28" i="29"/>
  <c r="E29" i="29"/>
  <c r="F29" i="29"/>
  <c r="E30" i="29"/>
  <c r="F30" i="29"/>
  <c r="E27" i="29"/>
  <c r="F27" i="29"/>
  <c r="E344" i="42"/>
  <c r="E343" i="42"/>
  <c r="E342" i="42"/>
  <c r="E341" i="42"/>
  <c r="E340" i="42"/>
  <c r="E339" i="42"/>
  <c r="E338" i="42"/>
  <c r="E337" i="42"/>
  <c r="E336" i="42"/>
  <c r="E335" i="42"/>
  <c r="F10" i="28"/>
  <c r="G10" i="28"/>
  <c r="F2" i="28"/>
  <c r="G2" i="28"/>
  <c r="F3" i="28"/>
  <c r="G3" i="28"/>
  <c r="F4" i="28"/>
  <c r="G4" i="28"/>
  <c r="F5" i="28"/>
  <c r="G5" i="28"/>
  <c r="F6" i="28"/>
  <c r="G6" i="28"/>
  <c r="F7" i="28"/>
  <c r="G7" i="28"/>
  <c r="F8" i="28"/>
  <c r="G8" i="28"/>
  <c r="H4" i="40"/>
  <c r="H5" i="40"/>
  <c r="H6" i="40"/>
  <c r="H7" i="40"/>
  <c r="H8" i="40"/>
  <c r="H9" i="40"/>
  <c r="H10" i="40"/>
  <c r="H3" i="40"/>
  <c r="E275" i="42"/>
  <c r="E138" i="42"/>
  <c r="E28" i="42"/>
  <c r="D2" i="16"/>
  <c r="E2" i="16"/>
  <c r="F2" i="16"/>
  <c r="E334" i="42"/>
  <c r="E333" i="42"/>
  <c r="E332" i="42"/>
  <c r="E331" i="42"/>
  <c r="E330" i="42"/>
  <c r="E329" i="42"/>
  <c r="E328" i="42"/>
  <c r="E327" i="42"/>
  <c r="E326" i="42"/>
  <c r="E325" i="42"/>
  <c r="E324" i="42"/>
  <c r="E323" i="42"/>
  <c r="E322" i="42"/>
  <c r="E321" i="42"/>
  <c r="E320" i="42"/>
  <c r="E319" i="42"/>
  <c r="E318" i="42"/>
  <c r="E317" i="42"/>
  <c r="E316" i="42"/>
  <c r="E315" i="42"/>
  <c r="E314" i="42"/>
  <c r="E313" i="42"/>
  <c r="E312" i="42"/>
  <c r="E311" i="42"/>
  <c r="E310" i="42"/>
  <c r="E309" i="42"/>
  <c r="E308" i="42"/>
  <c r="E307" i="42"/>
  <c r="E306" i="42"/>
  <c r="E305" i="42"/>
  <c r="E304" i="42"/>
  <c r="E303" i="42"/>
  <c r="E302" i="42"/>
  <c r="E301" i="42"/>
  <c r="E300" i="42"/>
  <c r="E299" i="42"/>
  <c r="E298" i="42"/>
  <c r="E297" i="42"/>
  <c r="E296" i="42"/>
  <c r="E295" i="42"/>
  <c r="E294" i="42"/>
  <c r="E280" i="42"/>
  <c r="E281" i="42"/>
  <c r="E282" i="42"/>
  <c r="E283" i="42"/>
  <c r="E284" i="42"/>
  <c r="E285" i="42"/>
  <c r="E286" i="42"/>
  <c r="E287" i="42"/>
  <c r="E288" i="42"/>
  <c r="E289" i="42"/>
  <c r="E290" i="42"/>
  <c r="E291" i="42"/>
  <c r="E292" i="42"/>
  <c r="E293" i="42"/>
  <c r="E268" i="42"/>
  <c r="E269" i="42"/>
  <c r="E270" i="42"/>
  <c r="E271" i="42"/>
  <c r="E272" i="42"/>
  <c r="E273" i="42"/>
  <c r="E274" i="42"/>
  <c r="E276" i="42"/>
  <c r="E277" i="42"/>
  <c r="E278" i="42"/>
  <c r="E279" i="42"/>
  <c r="E267" i="42"/>
  <c r="E266" i="42"/>
  <c r="E265" i="42"/>
  <c r="E264" i="42"/>
  <c r="E263" i="42"/>
  <c r="E262" i="42"/>
  <c r="E261" i="42"/>
  <c r="E260" i="42"/>
  <c r="E259" i="42"/>
  <c r="E258" i="42"/>
  <c r="E257" i="42"/>
  <c r="E256" i="42"/>
  <c r="E255" i="42"/>
  <c r="E254" i="42"/>
  <c r="E253" i="42"/>
  <c r="E252" i="42"/>
  <c r="E251" i="42"/>
  <c r="E250" i="42"/>
  <c r="E249" i="42"/>
  <c r="E248" i="42"/>
  <c r="E247" i="42"/>
  <c r="E246" i="42"/>
  <c r="E245" i="42"/>
  <c r="E244" i="42"/>
  <c r="E243" i="42"/>
  <c r="E242" i="42"/>
  <c r="E241" i="42"/>
  <c r="E240" i="42"/>
  <c r="E239" i="42"/>
  <c r="E238" i="42"/>
  <c r="E237" i="42"/>
  <c r="E236" i="42"/>
  <c r="E235" i="42"/>
  <c r="E234" i="42"/>
  <c r="E233" i="42"/>
  <c r="E232" i="42"/>
  <c r="E231" i="42"/>
  <c r="E230" i="42"/>
  <c r="E229" i="42"/>
  <c r="E228" i="42"/>
  <c r="E227" i="42"/>
  <c r="E226" i="42"/>
  <c r="E225" i="42"/>
  <c r="E224" i="42"/>
  <c r="E223" i="42"/>
  <c r="E222" i="42"/>
  <c r="E221" i="42"/>
  <c r="E220" i="42"/>
  <c r="E219" i="42"/>
  <c r="E218" i="42"/>
  <c r="E217" i="42"/>
  <c r="E216" i="42"/>
  <c r="E215" i="42"/>
  <c r="E214" i="42"/>
  <c r="E213" i="42"/>
  <c r="E212" i="42"/>
  <c r="E211" i="42"/>
  <c r="E210" i="42"/>
  <c r="E209" i="42"/>
  <c r="E208" i="42"/>
  <c r="E207" i="42"/>
  <c r="E206" i="42"/>
  <c r="E205" i="42"/>
  <c r="B47" i="39"/>
  <c r="E204" i="42"/>
  <c r="E203" i="42"/>
  <c r="E202" i="42"/>
  <c r="E201" i="42"/>
  <c r="E200" i="42"/>
  <c r="E199" i="42"/>
  <c r="E198" i="42"/>
  <c r="E197" i="42"/>
  <c r="E196" i="42"/>
  <c r="B89" i="41"/>
  <c r="B129" i="39"/>
  <c r="E195" i="42"/>
  <c r="E194" i="42"/>
  <c r="E193" i="42"/>
  <c r="E192" i="42"/>
  <c r="E191" i="42"/>
  <c r="E190" i="42"/>
  <c r="E189" i="42"/>
  <c r="E188" i="42"/>
  <c r="E187" i="42"/>
  <c r="E186" i="42"/>
  <c r="E185" i="42"/>
  <c r="E184" i="42"/>
  <c r="E183" i="42"/>
  <c r="E182" i="42"/>
  <c r="E181" i="42"/>
  <c r="E180" i="42"/>
  <c r="E179" i="42"/>
  <c r="E178" i="42"/>
  <c r="E177" i="42"/>
  <c r="E176" i="42"/>
  <c r="E175" i="42"/>
  <c r="E174" i="42"/>
  <c r="E173" i="42"/>
  <c r="E172" i="42"/>
  <c r="E171" i="42"/>
  <c r="E170" i="42"/>
  <c r="E169" i="42"/>
  <c r="E168" i="42"/>
  <c r="E167" i="42"/>
  <c r="E166" i="42"/>
  <c r="E165" i="42"/>
  <c r="E164" i="42"/>
  <c r="E163" i="42"/>
  <c r="E162" i="42"/>
  <c r="E161" i="42"/>
  <c r="E159" i="42"/>
  <c r="E160" i="42"/>
  <c r="B5" i="27"/>
  <c r="B2" i="27"/>
  <c r="B3" i="27"/>
  <c r="B4" i="27"/>
  <c r="B1" i="27"/>
  <c r="B17" i="29"/>
  <c r="B16" i="29"/>
  <c r="E16" i="29"/>
  <c r="B19" i="29"/>
  <c r="I16" i="29"/>
  <c r="F2" i="29"/>
  <c r="F16" i="29"/>
  <c r="F3" i="29"/>
  <c r="D3" i="29"/>
  <c r="F4" i="29"/>
  <c r="D4" i="29"/>
  <c r="F5" i="29"/>
  <c r="D5" i="29"/>
  <c r="F6" i="29"/>
  <c r="D6" i="29"/>
  <c r="F7" i="29"/>
  <c r="D7" i="29"/>
  <c r="F8" i="29"/>
  <c r="D8" i="29"/>
  <c r="G2" i="29"/>
  <c r="G16" i="29"/>
  <c r="G3" i="29"/>
  <c r="G4" i="29"/>
  <c r="G5" i="29"/>
  <c r="G6" i="29"/>
  <c r="G7" i="29"/>
  <c r="G8" i="29"/>
  <c r="F9" i="29"/>
  <c r="D9" i="29"/>
  <c r="B92" i="41"/>
  <c r="B211" i="39"/>
  <c r="G61" i="38"/>
  <c r="G62" i="38"/>
  <c r="G63" i="38"/>
  <c r="G64" i="38"/>
  <c r="G65" i="38"/>
  <c r="G66" i="38"/>
  <c r="G67" i="38"/>
  <c r="G68" i="38"/>
  <c r="G69" i="38"/>
  <c r="D70" i="38"/>
  <c r="G70" i="38"/>
  <c r="D71" i="38"/>
  <c r="G71" i="38"/>
  <c r="D72" i="38"/>
  <c r="G72" i="38"/>
  <c r="D73" i="38"/>
  <c r="G73" i="38"/>
  <c r="D74" i="38"/>
  <c r="G74" i="38"/>
  <c r="D78" i="38"/>
  <c r="G78" i="38"/>
  <c r="D79" i="38"/>
  <c r="G79" i="38"/>
  <c r="D80" i="38"/>
  <c r="G80" i="38"/>
  <c r="D81" i="38"/>
  <c r="G81" i="38"/>
  <c r="D82" i="38"/>
  <c r="G82" i="38"/>
  <c r="D83" i="38"/>
  <c r="G83" i="38"/>
  <c r="D84" i="38"/>
  <c r="G84" i="38"/>
  <c r="D85" i="38"/>
  <c r="G85" i="38"/>
  <c r="D86" i="38"/>
  <c r="G86" i="38"/>
  <c r="D87" i="38"/>
  <c r="G87" i="38"/>
  <c r="D88" i="38"/>
  <c r="G88" i="38"/>
  <c r="D89" i="38"/>
  <c r="G89" i="38"/>
  <c r="D90" i="38"/>
  <c r="G90" i="38"/>
  <c r="D91" i="38"/>
  <c r="G91" i="38"/>
  <c r="D92" i="38"/>
  <c r="G92" i="38"/>
  <c r="D93" i="38"/>
  <c r="G93" i="38"/>
  <c r="D94" i="38"/>
  <c r="G94" i="38"/>
  <c r="D95" i="38"/>
  <c r="G95" i="38"/>
  <c r="D96" i="38"/>
  <c r="G96" i="38"/>
  <c r="D97" i="38"/>
  <c r="G97" i="38"/>
  <c r="D98" i="38"/>
  <c r="G98" i="38"/>
  <c r="D99" i="38"/>
  <c r="G99" i="38"/>
  <c r="D100" i="38"/>
  <c r="G100" i="38"/>
  <c r="D101" i="38"/>
  <c r="G101" i="38"/>
  <c r="D102" i="38"/>
  <c r="G102" i="38"/>
  <c r="D103" i="38"/>
  <c r="G103" i="38"/>
  <c r="D104" i="38"/>
  <c r="G104" i="38"/>
  <c r="D105" i="38"/>
  <c r="G105" i="38"/>
  <c r="D106" i="38"/>
  <c r="G106" i="38"/>
  <c r="D107" i="38"/>
  <c r="G107" i="38"/>
  <c r="D108" i="38"/>
  <c r="G108" i="38"/>
  <c r="D109" i="38"/>
  <c r="G109" i="38"/>
  <c r="D110" i="38"/>
  <c r="G110" i="38"/>
  <c r="D111" i="38"/>
  <c r="G111" i="38"/>
  <c r="D112" i="38"/>
  <c r="G112" i="38"/>
  <c r="D113" i="38"/>
  <c r="G113" i="38"/>
  <c r="D114" i="38"/>
  <c r="G114" i="38"/>
  <c r="D115" i="38"/>
  <c r="G115" i="38"/>
  <c r="D116" i="38"/>
  <c r="G116" i="38"/>
  <c r="D117" i="38"/>
  <c r="G117" i="38"/>
  <c r="D118" i="38"/>
  <c r="G118" i="38"/>
  <c r="D119" i="38"/>
  <c r="G119" i="38"/>
  <c r="B45" i="41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B22" i="29"/>
  <c r="B20" i="29"/>
  <c r="B21" i="29"/>
  <c r="D2" i="29"/>
  <c r="D16" i="29"/>
  <c r="B18" i="29"/>
  <c r="B23" i="29"/>
  <c r="E31" i="29"/>
  <c r="E32" i="29"/>
  <c r="K2" i="29"/>
  <c r="K4" i="29"/>
  <c r="K6" i="29"/>
  <c r="K7" i="29"/>
  <c r="K8" i="29"/>
  <c r="K3" i="29"/>
  <c r="K5" i="29"/>
  <c r="B24" i="29"/>
</calcChain>
</file>

<file path=xl/sharedStrings.xml><?xml version="1.0" encoding="utf-8"?>
<sst xmlns="http://schemas.openxmlformats.org/spreadsheetml/2006/main" count="4947" uniqueCount="764">
  <si>
    <t>condominio</t>
  </si>
  <si>
    <t>net</t>
  </si>
  <si>
    <t>UNICEF</t>
  </si>
  <si>
    <t>luz</t>
  </si>
  <si>
    <t>data</t>
  </si>
  <si>
    <t>salario</t>
  </si>
  <si>
    <t>descrição</t>
  </si>
  <si>
    <t>dia</t>
  </si>
  <si>
    <t>valor disponivel</t>
  </si>
  <si>
    <t>valor bruto</t>
  </si>
  <si>
    <t>valor liquido</t>
  </si>
  <si>
    <t>valor desconto</t>
  </si>
  <si>
    <t>consorcio</t>
  </si>
  <si>
    <t>debito</t>
  </si>
  <si>
    <t>mês</t>
  </si>
  <si>
    <t>credito</t>
  </si>
  <si>
    <t>total</t>
  </si>
  <si>
    <t>semana</t>
  </si>
  <si>
    <t>pendente</t>
  </si>
  <si>
    <t>tipo</t>
  </si>
  <si>
    <t>saldo inicial</t>
  </si>
  <si>
    <t>cartão</t>
  </si>
  <si>
    <t>importante</t>
  </si>
  <si>
    <t>cond</t>
  </si>
  <si>
    <t>cond atrso</t>
  </si>
  <si>
    <t>contador</t>
  </si>
  <si>
    <t>emprestimo1</t>
  </si>
  <si>
    <t>emprestimo3</t>
  </si>
  <si>
    <t>emprestimo2</t>
  </si>
  <si>
    <t>seguro</t>
  </si>
  <si>
    <t>dpvat 2013</t>
  </si>
  <si>
    <t>dpvat 2014</t>
  </si>
  <si>
    <t>ipva 2014</t>
  </si>
  <si>
    <t>ipva 2013</t>
  </si>
  <si>
    <t>ipva 2012</t>
  </si>
  <si>
    <t>ipva 2011</t>
  </si>
  <si>
    <t>ipva 2010</t>
  </si>
  <si>
    <t>moto</t>
  </si>
  <si>
    <t>TAXA CONTA JURIDICA</t>
  </si>
  <si>
    <t>TAXA CONTA FISICA</t>
  </si>
  <si>
    <t>SEGURO CARTÃO</t>
  </si>
  <si>
    <t>urgente</t>
  </si>
  <si>
    <t>data pagamento</t>
  </si>
  <si>
    <t>gasolina</t>
  </si>
  <si>
    <t>sptransp</t>
  </si>
  <si>
    <t>mc donalds</t>
  </si>
  <si>
    <t>celular</t>
  </si>
  <si>
    <t>1ª semana</t>
  </si>
  <si>
    <t>saque</t>
  </si>
  <si>
    <t>fim de semana</t>
  </si>
  <si>
    <t>alimentação</t>
  </si>
  <si>
    <t>2ª semana</t>
  </si>
  <si>
    <t>mercado</t>
  </si>
  <si>
    <t>café da manha</t>
  </si>
  <si>
    <t>3ª semana</t>
  </si>
  <si>
    <t>4ª semana</t>
  </si>
  <si>
    <t>padaria arizona</t>
  </si>
  <si>
    <t>custo</t>
  </si>
  <si>
    <t>limite usado</t>
  </si>
  <si>
    <t>litro</t>
  </si>
  <si>
    <t>transporte</t>
  </si>
  <si>
    <t>custo variavel</t>
  </si>
  <si>
    <t>km</t>
  </si>
  <si>
    <t>preço/litro</t>
  </si>
  <si>
    <t>kmpercorrido</t>
  </si>
  <si>
    <t>litro real</t>
  </si>
  <si>
    <t>media / litro</t>
  </si>
  <si>
    <t>media / custo</t>
  </si>
  <si>
    <t>media / pr litro</t>
  </si>
  <si>
    <t>media / km</t>
  </si>
  <si>
    <t>cada litro faz(km)</t>
  </si>
  <si>
    <t>cada km percorrido custa($)</t>
  </si>
  <si>
    <t>custo fixo</t>
  </si>
  <si>
    <t>doces</t>
  </si>
  <si>
    <t>padaria - noite</t>
  </si>
  <si>
    <t>valor pago</t>
  </si>
  <si>
    <t>para percorrer min são ltrs</t>
  </si>
  <si>
    <t>valida</t>
  </si>
  <si>
    <t>s</t>
  </si>
  <si>
    <t>qtde</t>
  </si>
  <si>
    <t>preço dif</t>
  </si>
  <si>
    <t>almoço - sexta</t>
  </si>
  <si>
    <t>multas municipal</t>
  </si>
  <si>
    <t>multas DER</t>
  </si>
  <si>
    <t>Multas DETRAN</t>
  </si>
  <si>
    <t>LICENCIAMENTO</t>
  </si>
  <si>
    <t>padaria - arizona</t>
  </si>
  <si>
    <t>juros</t>
  </si>
  <si>
    <t>sptrasnp</t>
  </si>
  <si>
    <t>tx conta</t>
  </si>
  <si>
    <t>mercado vl olimpia</t>
  </si>
  <si>
    <t>padaria - mandaqui</t>
  </si>
  <si>
    <t>doceria metro</t>
  </si>
  <si>
    <t>almoço - quinta</t>
  </si>
  <si>
    <t>cafézinho - vl olimpia</t>
  </si>
  <si>
    <t>suco bagaço - tatuape</t>
  </si>
  <si>
    <t>almoço</t>
  </si>
  <si>
    <t>sorvete - noite</t>
  </si>
  <si>
    <t>pizza</t>
  </si>
  <si>
    <t>farmacia - nebaciti</t>
  </si>
  <si>
    <t>doces saida do trampo</t>
  </si>
  <si>
    <t>padaria manha</t>
  </si>
  <si>
    <t>farmacia - noite</t>
  </si>
  <si>
    <t>farmacia - manha</t>
  </si>
  <si>
    <t>farmacia - celular</t>
  </si>
  <si>
    <t>almoço - mocoto</t>
  </si>
  <si>
    <t>mc donalds - noite</t>
  </si>
  <si>
    <t>farmacia</t>
  </si>
  <si>
    <t>valor debito</t>
  </si>
  <si>
    <t>credito celular</t>
  </si>
  <si>
    <t>doces tucuruvi</t>
  </si>
  <si>
    <t>data pagto</t>
  </si>
  <si>
    <t>pao de queijo</t>
  </si>
  <si>
    <t>bezerra(2x380)</t>
  </si>
  <si>
    <t>mercado sonda</t>
  </si>
  <si>
    <t>agua padaria</t>
  </si>
  <si>
    <t>cabelereiro</t>
  </si>
  <si>
    <t>imposto</t>
  </si>
  <si>
    <t>imposto IRPJ 10/2013</t>
  </si>
  <si>
    <t>imposto IRPJ 01/2014</t>
  </si>
  <si>
    <t>imposto IRPJ 04/2014</t>
  </si>
  <si>
    <t>imposto CSLL 10/2013</t>
  </si>
  <si>
    <t>imposto CSLL 01/2014</t>
  </si>
  <si>
    <t>imposto CSLL 04/2014</t>
  </si>
  <si>
    <t>imposto CONTRIB 10/2013</t>
  </si>
  <si>
    <t>imposto CONTRIB 12/2013</t>
  </si>
  <si>
    <t>imposto CONTRIB 04/2014</t>
  </si>
  <si>
    <t>imposto CONTRIB 05/2014</t>
  </si>
  <si>
    <t>CASA DAS ALIANCAS 02/02</t>
  </si>
  <si>
    <t>WORLD TENIS 02/02</t>
  </si>
  <si>
    <t>CENTRO AUTOMOTIVO 02/02</t>
  </si>
  <si>
    <t>SONDA SUPERMERCADO02/02</t>
  </si>
  <si>
    <t>iss 03/2014</t>
  </si>
  <si>
    <t>csll tri 03/2014</t>
  </si>
  <si>
    <t>irpj 03/2014</t>
  </si>
  <si>
    <t>iss 04/2014</t>
  </si>
  <si>
    <t>csll tri 04/2014</t>
  </si>
  <si>
    <t>irpj 04/2014</t>
  </si>
  <si>
    <t>iss 05/2014</t>
  </si>
  <si>
    <t>csll tri 05/2014</t>
  </si>
  <si>
    <t>irpj 05/2014</t>
  </si>
  <si>
    <t>iss 06/2014</t>
  </si>
  <si>
    <t>csll tri 06/2014</t>
  </si>
  <si>
    <t>irpj 06/2014</t>
  </si>
  <si>
    <t>iss 07/2014</t>
  </si>
  <si>
    <t>csll tri 07/2014</t>
  </si>
  <si>
    <t>irpj 07/2014</t>
  </si>
  <si>
    <t>iss 08/2014</t>
  </si>
  <si>
    <t>csll tri 08/2014</t>
  </si>
  <si>
    <t>irpj 08/2014</t>
  </si>
  <si>
    <t>iss 09/2014</t>
  </si>
  <si>
    <t>csll tri 09/2014</t>
  </si>
  <si>
    <t>irpj 09/2014</t>
  </si>
  <si>
    <t>carro</t>
  </si>
  <si>
    <t>bezerra 02/02</t>
  </si>
  <si>
    <t>parcela</t>
  </si>
  <si>
    <t>condominio acordo</t>
  </si>
  <si>
    <t>condominio atrasado(08/2014)</t>
  </si>
  <si>
    <t>condominio acordo atrasado(08/2014)</t>
  </si>
  <si>
    <t>custo realizado</t>
  </si>
  <si>
    <t>custo pendente</t>
  </si>
  <si>
    <t>saldo</t>
  </si>
  <si>
    <t>custo total</t>
  </si>
  <si>
    <t>mercado extra</t>
  </si>
  <si>
    <t>doces - doceria</t>
  </si>
  <si>
    <t>doces - metro</t>
  </si>
  <si>
    <t>bezerra 01/02</t>
  </si>
  <si>
    <t>drogasil</t>
  </si>
  <si>
    <t>acessorio para celular</t>
  </si>
  <si>
    <t>plano pre pago tim</t>
  </si>
  <si>
    <t>roupa- broksfield 1/3</t>
  </si>
  <si>
    <t>roupa- broksfield 2/3</t>
  </si>
  <si>
    <t>roupa- broksfield 3/3</t>
  </si>
  <si>
    <t>café - metro</t>
  </si>
  <si>
    <t>mercado - vila olimpia</t>
  </si>
  <si>
    <t>cartão de memoria</t>
  </si>
  <si>
    <t>sorvete macdonalds</t>
  </si>
  <si>
    <t>padaria a noite</t>
  </si>
  <si>
    <t>canelone - roland garros</t>
  </si>
  <si>
    <t>5ª semana</t>
  </si>
  <si>
    <t>farmacia - periogard</t>
  </si>
  <si>
    <t>iof - juros</t>
  </si>
  <si>
    <t>sorvete</t>
  </si>
  <si>
    <t>starbucks - shopping</t>
  </si>
  <si>
    <t>livros</t>
  </si>
  <si>
    <t>pao - arizona</t>
  </si>
  <si>
    <t>lis/juros</t>
  </si>
  <si>
    <t>bobs - segunda</t>
  </si>
  <si>
    <t>pizza hut</t>
  </si>
  <si>
    <t>padaria</t>
  </si>
  <si>
    <t>jantar - sexta</t>
  </si>
  <si>
    <t>café - salgado monte - sabado</t>
  </si>
  <si>
    <t>mocoto - domingo</t>
  </si>
  <si>
    <t>parcelamento 1/5</t>
  </si>
  <si>
    <t>previsão economia</t>
  </si>
  <si>
    <t>iss 10/2014</t>
  </si>
  <si>
    <t>csll tri 10/2014</t>
  </si>
  <si>
    <t>irpj 10/2014</t>
  </si>
  <si>
    <t>iss 12/2014</t>
  </si>
  <si>
    <t>csll tri 12/2014</t>
  </si>
  <si>
    <t>irpj 12/2014</t>
  </si>
  <si>
    <t>hotel</t>
  </si>
  <si>
    <t>SEGURO RESIDENCIA 04/12</t>
  </si>
  <si>
    <t>credito rafael</t>
  </si>
  <si>
    <t>conserto - zelito - carro</t>
  </si>
  <si>
    <t>bar aurora</t>
  </si>
  <si>
    <t>lazer</t>
  </si>
  <si>
    <t>presente</t>
  </si>
  <si>
    <t>bmart - parcela 1/2</t>
  </si>
  <si>
    <t>bmart - parcela 2/2</t>
  </si>
  <si>
    <t xml:space="preserve">TIM LIBERTY*1amajl </t>
  </si>
  <si>
    <t>tempero</t>
  </si>
  <si>
    <t>forma pra torta</t>
  </si>
  <si>
    <t>descricao</t>
  </si>
  <si>
    <t>data_compra</t>
  </si>
  <si>
    <t>valor</t>
  </si>
  <si>
    <t>departamento</t>
  </si>
  <si>
    <t xml:space="preserve">sorvete </t>
  </si>
  <si>
    <t>leite</t>
  </si>
  <si>
    <t>salsa</t>
  </si>
  <si>
    <t>folha louro</t>
  </si>
  <si>
    <t>alface</t>
  </si>
  <si>
    <t>arroz</t>
  </si>
  <si>
    <t>agua bonafonte pcte (8)</t>
  </si>
  <si>
    <t>sobremesa</t>
  </si>
  <si>
    <t>liquido</t>
  </si>
  <si>
    <t>valor unitarioa</t>
  </si>
  <si>
    <t>oleo</t>
  </si>
  <si>
    <t>bolo suiço</t>
  </si>
  <si>
    <t>aveia</t>
  </si>
  <si>
    <t>pao frances</t>
  </si>
  <si>
    <t>bolo fuba</t>
  </si>
  <si>
    <t>feijao</t>
  </si>
  <si>
    <t>tomate</t>
  </si>
  <si>
    <t>melao</t>
  </si>
  <si>
    <t>mamao</t>
  </si>
  <si>
    <t>morango</t>
  </si>
  <si>
    <t>suco</t>
  </si>
  <si>
    <t>manteiga</t>
  </si>
  <si>
    <t>maragarina</t>
  </si>
  <si>
    <t>requeijao</t>
  </si>
  <si>
    <t>file peito frango</t>
  </si>
  <si>
    <t>coxa frango</t>
  </si>
  <si>
    <t>frango sadia</t>
  </si>
  <si>
    <t>agua sanitaria</t>
  </si>
  <si>
    <t>amaciante</t>
  </si>
  <si>
    <t>omo</t>
  </si>
  <si>
    <t>detergente</t>
  </si>
  <si>
    <t>luva</t>
  </si>
  <si>
    <t>desinfetante</t>
  </si>
  <si>
    <t>fosforo</t>
  </si>
  <si>
    <t>papel toalha</t>
  </si>
  <si>
    <t>iogurte litro</t>
  </si>
  <si>
    <t>agua bonafonte 6,25l</t>
  </si>
  <si>
    <t>coador papel café</t>
  </si>
  <si>
    <t>vagem</t>
  </si>
  <si>
    <t>banana</t>
  </si>
  <si>
    <t>refrigerante</t>
  </si>
  <si>
    <t>leite ninho</t>
  </si>
  <si>
    <t>pao queijo congelado</t>
  </si>
  <si>
    <t>sustagen</t>
  </si>
  <si>
    <t>pac dcol</t>
  </si>
  <si>
    <t>palm culti</t>
  </si>
  <si>
    <t>far mand</t>
  </si>
  <si>
    <t>lentilha</t>
  </si>
  <si>
    <t>frigideira</t>
  </si>
  <si>
    <t>ketchup</t>
  </si>
  <si>
    <t>molho masterf</t>
  </si>
  <si>
    <t>waffer</t>
  </si>
  <si>
    <t>ac de marc</t>
  </si>
  <si>
    <t>bolo</t>
  </si>
  <si>
    <t>b panc</t>
  </si>
  <si>
    <t>ovos</t>
  </si>
  <si>
    <t>sc pl metodo</t>
  </si>
  <si>
    <t>esponja</t>
  </si>
  <si>
    <t>rodo</t>
  </si>
  <si>
    <t>puri verd</t>
  </si>
  <si>
    <t>alvejante</t>
  </si>
  <si>
    <t>esponja soft</t>
  </si>
  <si>
    <t>sabao pedaco coco</t>
  </si>
  <si>
    <t>suco uva</t>
  </si>
  <si>
    <t>suco nectar</t>
  </si>
  <si>
    <t>frutas</t>
  </si>
  <si>
    <t>legumes</t>
  </si>
  <si>
    <t>fast food</t>
  </si>
  <si>
    <t>limpeza</t>
  </si>
  <si>
    <t>linguiça defumada</t>
  </si>
  <si>
    <t>bacon</t>
  </si>
  <si>
    <t>alcatra</t>
  </si>
  <si>
    <t xml:space="preserve">alcatra </t>
  </si>
  <si>
    <t>utensilios</t>
  </si>
  <si>
    <t>filet mignon</t>
  </si>
  <si>
    <t>peito frango</t>
  </si>
  <si>
    <t>cupim</t>
  </si>
  <si>
    <t>musculo</t>
  </si>
  <si>
    <t>contra filet</t>
  </si>
  <si>
    <t>bife patinho</t>
  </si>
  <si>
    <t>queijo minas</t>
  </si>
  <si>
    <t>mussarela</t>
  </si>
  <si>
    <t>peito peru</t>
  </si>
  <si>
    <t>fator_calculo</t>
  </si>
  <si>
    <t>unidade</t>
  </si>
  <si>
    <t>kg</t>
  </si>
  <si>
    <t>pimentao verde</t>
  </si>
  <si>
    <t>pimentao vermelho</t>
  </si>
  <si>
    <t>maça</t>
  </si>
  <si>
    <t>laranja</t>
  </si>
  <si>
    <t>batata</t>
  </si>
  <si>
    <t>mexerica</t>
  </si>
  <si>
    <t>abacate</t>
  </si>
  <si>
    <t>cebola</t>
  </si>
  <si>
    <t>manga</t>
  </si>
  <si>
    <t>coxao mole</t>
  </si>
  <si>
    <t>pessego</t>
  </si>
  <si>
    <t>limao</t>
  </si>
  <si>
    <t>abobora</t>
  </si>
  <si>
    <t>cenoura</t>
  </si>
  <si>
    <t>rucula</t>
  </si>
  <si>
    <t>alho</t>
  </si>
  <si>
    <t>batata seara congelada</t>
  </si>
  <si>
    <t>iogurte bandeja</t>
  </si>
  <si>
    <t>patinho</t>
  </si>
  <si>
    <t>bauduco</t>
  </si>
  <si>
    <t>papel higienico</t>
  </si>
  <si>
    <t>bombril aço</t>
  </si>
  <si>
    <t>higiene</t>
  </si>
  <si>
    <t>lanche</t>
  </si>
  <si>
    <t>oleo para carro</t>
  </si>
  <si>
    <t>jantar</t>
  </si>
  <si>
    <t>pneu para carro</t>
  </si>
  <si>
    <t>parcela 1/3 - renner</t>
  </si>
  <si>
    <t>parcela 2/3 - renner</t>
  </si>
  <si>
    <t>parcela 3/3 - renner</t>
  </si>
  <si>
    <t>guincho</t>
  </si>
  <si>
    <t>agasalho são paulo 1/2</t>
  </si>
  <si>
    <t>agasalho são paulo 2/2</t>
  </si>
  <si>
    <t>parcelar_cartão</t>
  </si>
  <si>
    <t>bolsa</t>
  </si>
  <si>
    <t>cartão credito</t>
  </si>
  <si>
    <t>batida carro terceiro</t>
  </si>
  <si>
    <t>combustivel</t>
  </si>
  <si>
    <t>bone amigo secreto</t>
  </si>
  <si>
    <t>refrigerante - almoço</t>
  </si>
  <si>
    <t>bolo - gceu</t>
  </si>
  <si>
    <t>pessoal</t>
  </si>
  <si>
    <t>banco</t>
  </si>
  <si>
    <t>casa</t>
  </si>
  <si>
    <t>empresa</t>
  </si>
  <si>
    <t>investimento</t>
  </si>
  <si>
    <t>unicef</t>
  </si>
  <si>
    <t>divida</t>
  </si>
  <si>
    <t>caixa de bis</t>
  </si>
  <si>
    <t>salame</t>
  </si>
  <si>
    <t>pao forma</t>
  </si>
  <si>
    <t>leite parmalat</t>
  </si>
  <si>
    <t>leite vida inteira</t>
  </si>
  <si>
    <t>miojo</t>
  </si>
  <si>
    <t>iogurte frasquinho</t>
  </si>
  <si>
    <t>valor_parcelado</t>
  </si>
  <si>
    <t>conta juridica</t>
  </si>
  <si>
    <t>conserto - carro - bezerra</t>
  </si>
  <si>
    <t>oleo hidraulico para carro</t>
  </si>
  <si>
    <t>custo_credito</t>
  </si>
  <si>
    <t>valor_credito</t>
  </si>
  <si>
    <t>custo_fixo_credito</t>
  </si>
  <si>
    <t>custo_variavel_credito</t>
  </si>
  <si>
    <t>pendente_credito</t>
  </si>
  <si>
    <t>data_pagto_credito</t>
  </si>
  <si>
    <t>semana_credito</t>
  </si>
  <si>
    <t>data_pagamento_credito</t>
  </si>
  <si>
    <t>tipo_credito</t>
  </si>
  <si>
    <t>igreja</t>
  </si>
  <si>
    <t>almoço - acompanhado</t>
  </si>
  <si>
    <t>lanche - acompanhado</t>
  </si>
  <si>
    <t>agua</t>
  </si>
  <si>
    <t>escova de dente</t>
  </si>
  <si>
    <t>cafeteira</t>
  </si>
  <si>
    <t>SEGURO RESIDENCIA 06/12</t>
  </si>
  <si>
    <t>lanche noite shopping</t>
  </si>
  <si>
    <t>cinema</t>
  </si>
  <si>
    <t>suco - noite shopping</t>
  </si>
  <si>
    <t>lanche noite santana</t>
  </si>
  <si>
    <t>pão manhã</t>
  </si>
  <si>
    <t>café manhã domingo concilio</t>
  </si>
  <si>
    <t>lanche tarde</t>
  </si>
  <si>
    <t>barra chocolate tarde</t>
  </si>
  <si>
    <t>café da manhã</t>
  </si>
  <si>
    <t>dolce gusto - capsula</t>
  </si>
  <si>
    <t>lanche noite</t>
  </si>
  <si>
    <t>higiene pessoal</t>
  </si>
  <si>
    <t>panetone</t>
  </si>
  <si>
    <t>extra</t>
  </si>
  <si>
    <t>jantar burger</t>
  </si>
  <si>
    <t>benção</t>
  </si>
  <si>
    <t>bezerra 1/2</t>
  </si>
  <si>
    <t>bezerra 2/2</t>
  </si>
  <si>
    <t>parcelamento 2/5</t>
  </si>
  <si>
    <t>parcelamento 3/5</t>
  </si>
  <si>
    <t>parcelamento 4/5</t>
  </si>
  <si>
    <t>parcelamento 5/5</t>
  </si>
  <si>
    <t>feira</t>
  </si>
  <si>
    <t>advogada</t>
  </si>
  <si>
    <t>cinto</t>
  </si>
  <si>
    <t>blusa</t>
  </si>
  <si>
    <t>peça de carro</t>
  </si>
  <si>
    <t>sitio - mercado</t>
  </si>
  <si>
    <t>esponja BomBril</t>
  </si>
  <si>
    <t>bom ar</t>
  </si>
  <si>
    <t>Veja multi uso</t>
  </si>
  <si>
    <t>lustra moveis</t>
  </si>
  <si>
    <t>danone actimel</t>
  </si>
  <si>
    <t>mortadela</t>
  </si>
  <si>
    <t>zelito</t>
  </si>
  <si>
    <t>pão tarde</t>
  </si>
  <si>
    <t>zelito 1/2</t>
  </si>
  <si>
    <t>zelito 2/2</t>
  </si>
  <si>
    <t>cereja importada</t>
  </si>
  <si>
    <t>batata palha</t>
  </si>
  <si>
    <t>presunto</t>
  </si>
  <si>
    <t>suco kapo</t>
  </si>
  <si>
    <t>kinder ovo</t>
  </si>
  <si>
    <t>iogurte grego</t>
  </si>
  <si>
    <t>creme pentear</t>
  </si>
  <si>
    <t>pasta de dente</t>
  </si>
  <si>
    <t>pao de mel</t>
  </si>
  <si>
    <t>azeitona</t>
  </si>
  <si>
    <t>coentro</t>
  </si>
  <si>
    <t>panetone bauducco</t>
  </si>
  <si>
    <t>chinelo havaiana</t>
  </si>
  <si>
    <t>molho com salsa</t>
  </si>
  <si>
    <t>biscoito equilibrio</t>
  </si>
  <si>
    <t>biscoito cookies</t>
  </si>
  <si>
    <t>bis</t>
  </si>
  <si>
    <t>leite danone</t>
  </si>
  <si>
    <t>agua mineral</t>
  </si>
  <si>
    <t>nutella</t>
  </si>
  <si>
    <t>salsicha</t>
  </si>
  <si>
    <t>sal</t>
  </si>
  <si>
    <t>nuggets</t>
  </si>
  <si>
    <t>iogurte natural</t>
  </si>
  <si>
    <t>mandioquinha</t>
  </si>
  <si>
    <t>panos microfiba</t>
  </si>
  <si>
    <t>cueca microfiba</t>
  </si>
  <si>
    <t>shampoo</t>
  </si>
  <si>
    <t>sabonete</t>
  </si>
  <si>
    <t>fluor</t>
  </si>
  <si>
    <t>mel organico</t>
  </si>
  <si>
    <t>alface crespa</t>
  </si>
  <si>
    <t>suco maguary</t>
  </si>
  <si>
    <t>agua bonafonte</t>
  </si>
  <si>
    <t>congelado</t>
  </si>
  <si>
    <t>pasta de dente pct 2 unid</t>
  </si>
  <si>
    <t>localiza 1/2</t>
  </si>
  <si>
    <t>localiza 2/2</t>
  </si>
  <si>
    <t>café de manha</t>
  </si>
  <si>
    <t>gasolina - localiza</t>
  </si>
  <si>
    <t>pizza - praia</t>
  </si>
  <si>
    <t>pedagio - ida</t>
  </si>
  <si>
    <t>pedagio - volta</t>
  </si>
  <si>
    <t>açai - praia</t>
  </si>
  <si>
    <t>agua- praia</t>
  </si>
  <si>
    <t>gatorade</t>
  </si>
  <si>
    <t>hamburguer caio</t>
  </si>
  <si>
    <t>PT Kit</t>
  </si>
  <si>
    <t>panetone nestle</t>
  </si>
  <si>
    <t>nescafe dolce gusto</t>
  </si>
  <si>
    <t>suco 1.5</t>
  </si>
  <si>
    <t>biscoito</t>
  </si>
  <si>
    <t>arroz andorinha</t>
  </si>
  <si>
    <t>massa baril</t>
  </si>
  <si>
    <t>iogurte</t>
  </si>
  <si>
    <t>picanha</t>
  </si>
  <si>
    <t>salsao</t>
  </si>
  <si>
    <t>refrigerante schwepps</t>
  </si>
  <si>
    <t>Veja Cl a Banho</t>
  </si>
  <si>
    <t>Veja L Pesada</t>
  </si>
  <si>
    <t>iogurte vigor</t>
  </si>
  <si>
    <t>cereal kellong</t>
  </si>
  <si>
    <t>feijão</t>
  </si>
  <si>
    <t>iogurte batavo</t>
  </si>
  <si>
    <t>percentual</t>
  </si>
  <si>
    <t>csll</t>
  </si>
  <si>
    <t>irpj</t>
  </si>
  <si>
    <t>contribuicao previdencia fatura brut</t>
  </si>
  <si>
    <t>iss</t>
  </si>
  <si>
    <t>pis</t>
  </si>
  <si>
    <t>confis</t>
  </si>
  <si>
    <t>IR</t>
  </si>
  <si>
    <t>pão de manhã</t>
  </si>
  <si>
    <t>lanche a noite</t>
  </si>
  <si>
    <t>habibs - jantar</t>
  </si>
  <si>
    <t>sorvete - shopping noite</t>
  </si>
  <si>
    <t>sorvete - após almoço</t>
  </si>
  <si>
    <t>conserto janela do carro</t>
  </si>
  <si>
    <t>agua - reuniao igreja</t>
  </si>
  <si>
    <t>oleo pra carro</t>
  </si>
  <si>
    <t>agua/sorvete - posto</t>
  </si>
  <si>
    <t>marmitex - benção</t>
  </si>
  <si>
    <t>lanche da tarde</t>
  </si>
  <si>
    <t>frutas - entrada bit</t>
  </si>
  <si>
    <t>lanche - tapioca saida bit</t>
  </si>
  <si>
    <t>lanche - metro saida bit</t>
  </si>
  <si>
    <t>tapioca - saida bit</t>
  </si>
  <si>
    <t>jantar - shopping interlagos</t>
  </si>
  <si>
    <t>açai - shopping interlagos</t>
  </si>
  <si>
    <t>michelle</t>
  </si>
  <si>
    <t>almoço fim de semana</t>
  </si>
  <si>
    <t>confraternizacao bit</t>
  </si>
  <si>
    <t>vestido - shopping tatuape 1/2</t>
  </si>
  <si>
    <t>vestido - shopping tatuape 2/2</t>
  </si>
  <si>
    <t>mistura - canelone</t>
  </si>
  <si>
    <t>localiza 1/3</t>
  </si>
  <si>
    <t>localiza 2/3</t>
  </si>
  <si>
    <t>localiza 3/3</t>
  </si>
  <si>
    <t>sorvete - mercado bit</t>
  </si>
  <si>
    <t>estacionamento bit</t>
  </si>
  <si>
    <t>subway - interlago</t>
  </si>
  <si>
    <t>pao de noite - mandaqui</t>
  </si>
  <si>
    <t>leite batavo</t>
  </si>
  <si>
    <t>pão integral</t>
  </si>
  <si>
    <t>vitamina</t>
  </si>
  <si>
    <t>estacionamento tatuape</t>
  </si>
  <si>
    <t>vite a sec</t>
  </si>
  <si>
    <t>refeição graal - viagem</t>
  </si>
  <si>
    <t>saque - viagem</t>
  </si>
  <si>
    <t>gravata</t>
  </si>
  <si>
    <t>café viagem</t>
  </si>
  <si>
    <t>km iniciado</t>
  </si>
  <si>
    <t>km abastecido</t>
  </si>
  <si>
    <t>pedagio volta</t>
  </si>
  <si>
    <t>pedagio ida</t>
  </si>
  <si>
    <t>parcelamento 1/4</t>
  </si>
  <si>
    <t>parcelamento 2/4</t>
  </si>
  <si>
    <t>parcelamento 3/4</t>
  </si>
  <si>
    <t>parcelamento 4/4</t>
  </si>
  <si>
    <t>almoço aniversario</t>
  </si>
  <si>
    <t>socio torcedor</t>
  </si>
  <si>
    <t>bolo/lanche/pão</t>
  </si>
  <si>
    <t>mercado car - peças</t>
  </si>
  <si>
    <t>almoço - michelle</t>
  </si>
  <si>
    <t>pao/frios</t>
  </si>
  <si>
    <t>mercado legumes</t>
  </si>
  <si>
    <t>café da tarde</t>
  </si>
  <si>
    <t>pão/queijo/presunto</t>
  </si>
  <si>
    <t>caldo de cana</t>
  </si>
  <si>
    <t>caixa organizadora</t>
  </si>
  <si>
    <t>travesseiro</t>
  </si>
  <si>
    <t>sapolio</t>
  </si>
  <si>
    <t>removedor</t>
  </si>
  <si>
    <t>pct sabonete dove</t>
  </si>
  <si>
    <t>detergente limpol</t>
  </si>
  <si>
    <t>limpador veja</t>
  </si>
  <si>
    <t>limpador cloro</t>
  </si>
  <si>
    <t>confort</t>
  </si>
  <si>
    <t>outro</t>
  </si>
  <si>
    <t>lava roupa omo</t>
  </si>
  <si>
    <t>limpador tira veja</t>
  </si>
  <si>
    <t>oleo milho</t>
  </si>
  <si>
    <t>feijao carioca</t>
  </si>
  <si>
    <t>biscoito bauducco</t>
  </si>
  <si>
    <t>biscoito calipso</t>
  </si>
  <si>
    <t>leite paulista</t>
  </si>
  <si>
    <t>suco del valle</t>
  </si>
  <si>
    <t>maça fuji</t>
  </si>
  <si>
    <t>linguiça aurora</t>
  </si>
  <si>
    <t>file mignon</t>
  </si>
  <si>
    <t>alcatra c/ maminha</t>
  </si>
  <si>
    <t>acerola</t>
  </si>
  <si>
    <t>laranja pera</t>
  </si>
  <si>
    <t>pera</t>
  </si>
  <si>
    <t>sobrecoxa sadia</t>
  </si>
  <si>
    <t>bolo palm bondue</t>
  </si>
  <si>
    <t>requeijão vigor</t>
  </si>
  <si>
    <t>café soluvel</t>
  </si>
  <si>
    <t>frango passarinho</t>
  </si>
  <si>
    <t>pao caseiro panco</t>
  </si>
  <si>
    <t>cha matte</t>
  </si>
  <si>
    <t>saco de lixo</t>
  </si>
  <si>
    <t>shampoo clear</t>
  </si>
  <si>
    <t>café/agua</t>
  </si>
  <si>
    <t>doce</t>
  </si>
  <si>
    <t>milkshake - shopping</t>
  </si>
  <si>
    <t>almoço - sabado</t>
  </si>
  <si>
    <t>pizzaria - jantar</t>
  </si>
  <si>
    <t>custo total aluguel</t>
  </si>
  <si>
    <t>lanche - mc donalds</t>
  </si>
  <si>
    <t>mercado - jantar</t>
  </si>
  <si>
    <t>mercado - padaria</t>
  </si>
  <si>
    <t>chocolate</t>
  </si>
  <si>
    <t>agua mercado</t>
  </si>
  <si>
    <t>fita kilometrica</t>
  </si>
  <si>
    <t>pão / leite</t>
  </si>
  <si>
    <t>nuggets frango</t>
  </si>
  <si>
    <t>empanado sadia</t>
  </si>
  <si>
    <t>iogurte nestle</t>
  </si>
  <si>
    <t>filez perdigão</t>
  </si>
  <si>
    <t>lacta danone</t>
  </si>
  <si>
    <t>sorvete nestle</t>
  </si>
  <si>
    <t>queijo minas fresco</t>
  </si>
  <si>
    <t>queijo ralado</t>
  </si>
  <si>
    <t>biscoito belvita</t>
  </si>
  <si>
    <t>misf satis</t>
  </si>
  <si>
    <t>club social</t>
  </si>
  <si>
    <t>baston topz</t>
  </si>
  <si>
    <t>aveia quaker</t>
  </si>
  <si>
    <t>iogurte activia</t>
  </si>
  <si>
    <t>pao de forma</t>
  </si>
  <si>
    <t>adoçante</t>
  </si>
  <si>
    <t>melão</t>
  </si>
  <si>
    <t>sabão ufe</t>
  </si>
  <si>
    <t>sabão pedra coco</t>
  </si>
  <si>
    <t>carnes</t>
  </si>
  <si>
    <t>biscoito bono</t>
  </si>
  <si>
    <t>biscoito triunfo</t>
  </si>
  <si>
    <t>biscoito leite</t>
  </si>
  <si>
    <t>biscoito maril</t>
  </si>
  <si>
    <t>linguiça</t>
  </si>
  <si>
    <t>frango</t>
  </si>
  <si>
    <t>diferença</t>
  </si>
  <si>
    <t>massa</t>
  </si>
  <si>
    <t>molho</t>
  </si>
  <si>
    <t>chocolatado</t>
  </si>
  <si>
    <t>pão</t>
  </si>
  <si>
    <t>cereal</t>
  </si>
  <si>
    <t>cha</t>
  </si>
  <si>
    <t>cartorio</t>
  </si>
  <si>
    <t>Refrigerador / Geladeira Electrolux Frost Free DF36A Branco 310L</t>
  </si>
  <si>
    <t>Cozinha Completa Palmeira Tamara III 5 Peças - Preto/Café</t>
  </si>
  <si>
    <t>Refrigerador / Geladeira Electrolux Frost Free DF36X Inox 310L</t>
  </si>
  <si>
    <t>Lavadora de Roupas Consul Facilite CWE 8Kg</t>
  </si>
  <si>
    <t>Lavadora Clean 8 kg BWB08AB - Brastemp</t>
  </si>
  <si>
    <t>Cozinha Compacta Telasul Cristal com 4 peças: Paneleiro Duplo, Armário Aéreo, Armário de Geladeira e Balcão - Branco</t>
  </si>
  <si>
    <t>Cozinha compacta Nobilis XII Palmeira 5 Peças com 10 Portas e 1 Gaveta - Branco/Café</t>
  </si>
  <si>
    <t>899,91 x 1</t>
  </si>
  <si>
    <t>Cozinha Compacta Colormaq Class Slim 4 Peças: Paneleiros, Armário Aéreo, Armário Geladeira e Balcão com Tampo</t>
  </si>
  <si>
    <t>Cozinha Compacta Telasul Star 4 Peças: Armário Aéreo, Armário Geladeira, Paneleiro e Balcão com Tampo</t>
  </si>
  <si>
    <t>Cozinha Compacta Poliman Suíça Branco/Teca/Preto 4 Peças: Paneleiro Duplo, Armário Triplo, Armário Geladeira e Balcão</t>
  </si>
  <si>
    <t>Cozinha Compacta Poliman Suíça Branco/Rovele/Amendoa 4 Peças: Paneleiro Duplo, Armário Triplo, Armário Geladeira e Balcão</t>
  </si>
  <si>
    <t>Refrigerador Electrolux Duplex DC35A - 260L - Branco</t>
  </si>
  <si>
    <t>casas bahia</t>
  </si>
  <si>
    <t>ponto frio</t>
  </si>
  <si>
    <t>Depurador Suggar Vênus Parede BR 60cm</t>
  </si>
  <si>
    <t>Cozinha Compacta Suiça 3 Peças Poliman - Bege Claro</t>
  </si>
  <si>
    <t>Cozinha Compacta Aramóveis Renata 3 Peças - Branco com Preto</t>
  </si>
  <si>
    <t>agua / chocolate</t>
  </si>
  <si>
    <t>ultragas</t>
  </si>
  <si>
    <t>makro restaurante</t>
  </si>
  <si>
    <t>sanduicheira</t>
  </si>
  <si>
    <t>almoço - pastel kibe</t>
  </si>
  <si>
    <t>celular credito</t>
  </si>
  <si>
    <t>janta - shopping interlagos</t>
  </si>
  <si>
    <t>agua / sorvete</t>
  </si>
  <si>
    <t>MARABRAZ LOJA 114 01/04 - COZINHA</t>
  </si>
  <si>
    <t>MARABRAZ LOJA 114 01/04 - GUARDA ROUPA</t>
  </si>
  <si>
    <t>MARABRAZ LOJA 114 02/04 - GUARDA ROUPA</t>
  </si>
  <si>
    <t>MARABRAZ LOJA 114 02/04 - COZINHA</t>
  </si>
  <si>
    <t>MARABRAZ LOJA 114 03/04 - GUARDA ROUPA</t>
  </si>
  <si>
    <t>MARABRAZ LOJA 114 03/04 - COZINHA</t>
  </si>
  <si>
    <t>MARABRAZ LOJA 114 04/04 - GUARDA ROUPA</t>
  </si>
  <si>
    <t>MARABRAZ LOJA 114 04/04 - COZINHA</t>
  </si>
  <si>
    <t>bolacha</t>
  </si>
  <si>
    <t>material para conserto</t>
  </si>
  <si>
    <t>material para casa</t>
  </si>
  <si>
    <t>ultrasom morfologico</t>
  </si>
  <si>
    <t>casa bahia - telefone</t>
  </si>
  <si>
    <t>sucos - shopping</t>
  </si>
  <si>
    <t>LOJA MATERIAL PRA CASA 1/2</t>
  </si>
  <si>
    <t>material pra casa</t>
  </si>
  <si>
    <t>varão cortina</t>
  </si>
  <si>
    <t>açougue</t>
  </si>
  <si>
    <t>LOJA MATERIAL PRA CASA 2/2</t>
  </si>
  <si>
    <t>casas bahia via varejo 1/2</t>
  </si>
  <si>
    <t>casas bahia via varejo 3/3</t>
  </si>
  <si>
    <t>casas bahia via varejo 2/3</t>
  </si>
  <si>
    <t>regulador gas</t>
  </si>
  <si>
    <t>mamão</t>
  </si>
  <si>
    <t>frios</t>
  </si>
  <si>
    <t>pao wickbold</t>
  </si>
  <si>
    <t>calipso bolacha</t>
  </si>
  <si>
    <t>nesfit</t>
  </si>
  <si>
    <t>pao</t>
  </si>
  <si>
    <t>oregano</t>
  </si>
  <si>
    <t>tenis pe</t>
  </si>
  <si>
    <t>bolo de coco</t>
  </si>
  <si>
    <t>maionese</t>
  </si>
  <si>
    <t>shampoo seda</t>
  </si>
  <si>
    <t>maça verde</t>
  </si>
  <si>
    <t>açucar</t>
  </si>
  <si>
    <t>coador café</t>
  </si>
  <si>
    <t>bolo de banana</t>
  </si>
  <si>
    <t>salsisha</t>
  </si>
  <si>
    <t>margarina</t>
  </si>
  <si>
    <t>crystal</t>
  </si>
  <si>
    <t>macarrão</t>
  </si>
  <si>
    <t>suflair</t>
  </si>
  <si>
    <t>pao de coco</t>
  </si>
  <si>
    <t>arroz prato fino</t>
  </si>
  <si>
    <t>passatempo bolacha</t>
  </si>
  <si>
    <t>caldo sazon</t>
  </si>
  <si>
    <t>danone</t>
  </si>
  <si>
    <t>legumes picado</t>
  </si>
  <si>
    <t>coxao duro</t>
  </si>
  <si>
    <t>coxinha</t>
  </si>
  <si>
    <t>farinha mandioca</t>
  </si>
  <si>
    <t>grãos</t>
  </si>
  <si>
    <t>escorredor macarrão</t>
  </si>
  <si>
    <t>kitakat chocolate</t>
  </si>
  <si>
    <t>bolo panco</t>
  </si>
  <si>
    <t>coador plastico</t>
  </si>
  <si>
    <t>utensilios casa</t>
  </si>
  <si>
    <t>papelaria</t>
  </si>
  <si>
    <t>conserto do carro - bezerra 2/3</t>
  </si>
  <si>
    <t>conserto do carro - bezerra 3/3</t>
  </si>
  <si>
    <t>conserto do carro - bezerra 1/3</t>
  </si>
  <si>
    <t>CARREFOUR TUCURUVI 286</t>
  </si>
  <si>
    <t>data_pagamento</t>
  </si>
  <si>
    <t>montagem de armario</t>
  </si>
  <si>
    <t>saboneteira</t>
  </si>
  <si>
    <t>cotonetes</t>
  </si>
  <si>
    <t>desodorante</t>
  </si>
  <si>
    <t>lapis dallus</t>
  </si>
  <si>
    <t>sombra</t>
  </si>
  <si>
    <t>condor</t>
  </si>
  <si>
    <t>tempero mais sabor</t>
  </si>
  <si>
    <t>bolo de laranja</t>
  </si>
  <si>
    <t>creme de leite</t>
  </si>
  <si>
    <t>linguiça calabresa</t>
  </si>
  <si>
    <t>steak</t>
  </si>
  <si>
    <t>steak perdigão</t>
  </si>
  <si>
    <t>file frango</t>
  </si>
  <si>
    <t>milho verde</t>
  </si>
  <si>
    <t>patinho moido</t>
  </si>
  <si>
    <t>cheiro verde</t>
  </si>
  <si>
    <t>caldo knor carne</t>
  </si>
  <si>
    <t>caldo knor galinha</t>
  </si>
  <si>
    <t>tempero amarelo frango</t>
  </si>
  <si>
    <t>tempero chimichurri</t>
  </si>
  <si>
    <t>tempero ervas churrasco</t>
  </si>
  <si>
    <t>tempero kisabor carne</t>
  </si>
  <si>
    <t>tempero kisabor frango</t>
  </si>
  <si>
    <t>creme leite</t>
  </si>
  <si>
    <t>mamao papaya</t>
  </si>
  <si>
    <t>suco caju</t>
  </si>
  <si>
    <t>sabao neutro</t>
  </si>
  <si>
    <t>veja limpeza</t>
  </si>
  <si>
    <t>pao leve</t>
  </si>
  <si>
    <t>farinha rosca</t>
  </si>
  <si>
    <t>batata doce</t>
  </si>
  <si>
    <t>figado</t>
  </si>
  <si>
    <t>pepino</t>
  </si>
  <si>
    <t>limpa casa</t>
  </si>
  <si>
    <t>desodarante</t>
  </si>
  <si>
    <t>aparelho depilação</t>
  </si>
  <si>
    <t>mistura de bolo</t>
  </si>
  <si>
    <t>danete</t>
  </si>
  <si>
    <t>fermento</t>
  </si>
  <si>
    <t>pao pullman</t>
  </si>
  <si>
    <t>sabonete nivea</t>
  </si>
  <si>
    <t>sabonete protex</t>
  </si>
  <si>
    <t>ferramenta</t>
  </si>
  <si>
    <t>farinha</t>
  </si>
  <si>
    <t>tim</t>
  </si>
  <si>
    <t>doação</t>
  </si>
  <si>
    <t>roupa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</si>
</sst>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(&quot;R$ &quot;* #,##0.00_);_(&quot;R$ &quot;* \(#,##0.00\);_(&quot;R$ &quot;* &quot;-&quot;??_);_(@_)"/>
    <numFmt numFmtId="166" formatCode="0.000"/>
  </numFmts>
  <fonts count="13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9"/>
      <color rgb="FF666666"/>
      <name val="Arial"/>
      <family val="2"/>
    </font>
    <font>
      <sz val="8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/>
  </cellStyleXfs>
  <cellXfs count="113">
    <xf numFmtId="0" fontId="0" fillId="0" borderId="0" xfId="0"/>
    <xf numFmtId="0" fontId="3" fillId="0" borderId="0" xfId="0" applyFont="1"/>
    <xf numFmtId="0" fontId="0" fillId="0" borderId="1" xfId="0" applyBorder="1"/>
    <xf numFmtId="0" fontId="2" fillId="0" borderId="0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left"/>
    </xf>
    <xf numFmtId="165" fontId="9" fillId="0" borderId="1" xfId="1" applyFont="1" applyFill="1" applyBorder="1" applyAlignment="1">
      <alignment horizontal="center"/>
    </xf>
    <xf numFmtId="165" fontId="0" fillId="0" borderId="0" xfId="1" applyFont="1"/>
    <xf numFmtId="43" fontId="0" fillId="0" borderId="0" xfId="0" applyNumberFormat="1"/>
    <xf numFmtId="165" fontId="9" fillId="0" borderId="0" xfId="1" applyFont="1" applyFill="1"/>
    <xf numFmtId="0" fontId="9" fillId="0" borderId="0" xfId="0" applyFont="1" applyFill="1"/>
    <xf numFmtId="0" fontId="3" fillId="0" borderId="0" xfId="0" applyFont="1" applyFill="1"/>
    <xf numFmtId="0" fontId="3" fillId="2" borderId="1" xfId="0" applyFont="1" applyFill="1" applyBorder="1"/>
    <xf numFmtId="0" fontId="9" fillId="3" borderId="0" xfId="0" applyFont="1" applyFill="1"/>
    <xf numFmtId="165" fontId="9" fillId="3" borderId="0" xfId="0" applyNumberFormat="1" applyFont="1" applyFill="1"/>
    <xf numFmtId="43" fontId="9" fillId="3" borderId="0" xfId="0" applyNumberFormat="1" applyFont="1" applyFill="1"/>
    <xf numFmtId="0" fontId="10" fillId="0" borderId="1" xfId="0" applyFont="1" applyFill="1" applyBorder="1" applyAlignment="1">
      <alignment horizontal="left"/>
    </xf>
    <xf numFmtId="165" fontId="10" fillId="0" borderId="1" xfId="1" applyFont="1" applyFill="1" applyBorder="1" applyAlignment="1">
      <alignment horizontal="center"/>
    </xf>
    <xf numFmtId="16" fontId="10" fillId="0" borderId="1" xfId="0" applyNumberFormat="1" applyFont="1" applyFill="1" applyBorder="1" applyAlignment="1">
      <alignment horizontal="center"/>
    </xf>
    <xf numFmtId="16" fontId="0" fillId="0" borderId="0" xfId="0" applyNumberFormat="1"/>
    <xf numFmtId="1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43" fontId="9" fillId="0" borderId="0" xfId="0" applyNumberFormat="1" applyFont="1" applyFill="1"/>
    <xf numFmtId="2" fontId="9" fillId="3" borderId="0" xfId="0" applyNumberFormat="1" applyFont="1" applyFill="1"/>
    <xf numFmtId="0" fontId="9" fillId="2" borderId="0" xfId="0" applyFont="1" applyFill="1"/>
    <xf numFmtId="43" fontId="9" fillId="2" borderId="0" xfId="0" applyNumberFormat="1" applyFont="1" applyFill="1"/>
    <xf numFmtId="0" fontId="0" fillId="2" borderId="0" xfId="0" applyFill="1"/>
    <xf numFmtId="0" fontId="0" fillId="3" borderId="0" xfId="0" applyFill="1"/>
    <xf numFmtId="0" fontId="10" fillId="0" borderId="0" xfId="0" applyFont="1" applyFill="1" applyBorder="1" applyAlignment="1">
      <alignment horizontal="left"/>
    </xf>
    <xf numFmtId="165" fontId="10" fillId="0" borderId="0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4" fillId="4" borderId="0" xfId="1" applyFont="1" applyFill="1"/>
    <xf numFmtId="0" fontId="0" fillId="0" borderId="0" xfId="0" applyNumberFormat="1"/>
    <xf numFmtId="0" fontId="3" fillId="2" borderId="1" xfId="0" applyNumberFormat="1" applyFont="1" applyFill="1" applyBorder="1"/>
    <xf numFmtId="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2" borderId="1" xfId="1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3" fillId="5" borderId="1" xfId="0" applyFont="1" applyFill="1" applyBorder="1"/>
    <xf numFmtId="0" fontId="3" fillId="5" borderId="1" xfId="0" applyFont="1" applyFill="1" applyBorder="1" applyAlignment="1">
      <alignment horizontal="left"/>
    </xf>
    <xf numFmtId="165" fontId="9" fillId="5" borderId="1" xfId="1" applyFont="1" applyFill="1" applyBorder="1" applyAlignment="1">
      <alignment horizontal="center"/>
    </xf>
    <xf numFmtId="165" fontId="8" fillId="5" borderId="1" xfId="1" applyFont="1" applyFill="1" applyBorder="1"/>
    <xf numFmtId="165" fontId="8" fillId="5" borderId="1" xfId="1" applyFont="1" applyFill="1" applyBorder="1" applyAlignment="1">
      <alignment horizontal="center"/>
    </xf>
    <xf numFmtId="165" fontId="8" fillId="5" borderId="1" xfId="1" applyFont="1" applyFill="1" applyBorder="1" applyAlignment="1">
      <alignment horizontal="left" wrapText="1"/>
    </xf>
    <xf numFmtId="16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left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0" fontId="3" fillId="4" borderId="1" xfId="1" applyNumberFormat="1" applyFont="1" applyFill="1" applyBorder="1" applyAlignment="1">
      <alignment horizontal="center"/>
    </xf>
    <xf numFmtId="0" fontId="10" fillId="4" borderId="1" xfId="1" applyNumberFormat="1" applyFon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10" fillId="4" borderId="1" xfId="0" applyNumberFormat="1" applyFont="1" applyFill="1" applyBorder="1" applyAlignment="1">
      <alignment horizontal="center"/>
    </xf>
    <xf numFmtId="0" fontId="4" fillId="4" borderId="1" xfId="1" applyNumberFormat="1" applyFont="1" applyFill="1" applyBorder="1" applyAlignment="1">
      <alignment horizontal="center"/>
    </xf>
    <xf numFmtId="0" fontId="3" fillId="4" borderId="1" xfId="0" applyNumberFormat="1" applyFont="1" applyFill="1" applyBorder="1" applyAlignment="1">
      <alignment horizontal="center"/>
    </xf>
    <xf numFmtId="0" fontId="3" fillId="4" borderId="0" xfId="0" applyFont="1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NumberFormat="1" applyFill="1"/>
    <xf numFmtId="0" fontId="0" fillId="4" borderId="0" xfId="0" applyNumberFormat="1" applyFill="1" applyAlignment="1">
      <alignment horizontal="center"/>
    </xf>
    <xf numFmtId="165" fontId="8" fillId="0" borderId="1" xfId="1" applyFont="1" applyFill="1" applyBorder="1" applyAlignment="1">
      <alignment horizontal="center"/>
    </xf>
    <xf numFmtId="165" fontId="8" fillId="0" borderId="1" xfId="1" applyFont="1" applyBorder="1"/>
    <xf numFmtId="165" fontId="8" fillId="5" borderId="1" xfId="1" applyFont="1" applyFill="1" applyBorder="1" applyAlignment="1">
      <alignment horizontal="left" vertical="center" wrapText="1"/>
    </xf>
    <xf numFmtId="165" fontId="8" fillId="5" borderId="1" xfId="1" applyFont="1" applyFill="1" applyBorder="1" applyAlignment="1">
      <alignment horizontal="left"/>
    </xf>
    <xf numFmtId="0" fontId="8" fillId="0" borderId="0" xfId="0" applyFont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4" borderId="1" xfId="0" applyNumberFormat="1" applyFill="1" applyBorder="1"/>
    <xf numFmtId="0" fontId="5" fillId="5" borderId="1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 wrapText="1"/>
    </xf>
    <xf numFmtId="165" fontId="8" fillId="5" borderId="1" xfId="1" applyFont="1" applyFill="1" applyBorder="1" applyAlignment="1">
      <alignment horizontal="right" vertical="center" wrapText="1"/>
    </xf>
    <xf numFmtId="14" fontId="0" fillId="0" borderId="0" xfId="0" applyNumberFormat="1"/>
    <xf numFmtId="14" fontId="3" fillId="0" borderId="0" xfId="0" applyNumberFormat="1" applyFont="1"/>
    <xf numFmtId="165" fontId="3" fillId="0" borderId="0" xfId="1" applyFont="1" applyFill="1" applyBorder="1"/>
    <xf numFmtId="165" fontId="3" fillId="0" borderId="0" xfId="1" applyFont="1" applyFill="1"/>
    <xf numFmtId="165" fontId="4" fillId="0" borderId="0" xfId="1" applyFont="1" applyFill="1"/>
    <xf numFmtId="165" fontId="0" fillId="0" borderId="0" xfId="0" applyNumberFormat="1" applyFill="1"/>
    <xf numFmtId="165" fontId="9" fillId="0" borderId="0" xfId="0" applyNumberFormat="1" applyFont="1" applyFill="1"/>
    <xf numFmtId="0" fontId="9" fillId="0" borderId="0" xfId="0" applyFont="1"/>
    <xf numFmtId="14" fontId="9" fillId="0" borderId="0" xfId="0" applyNumberFormat="1" applyFont="1"/>
    <xf numFmtId="14" fontId="0" fillId="0" borderId="0" xfId="0" applyNumberFormat="1" applyFont="1"/>
    <xf numFmtId="165" fontId="0" fillId="0" borderId="0" xfId="0" applyNumberFormat="1"/>
    <xf numFmtId="166" fontId="0" fillId="0" borderId="0" xfId="0" applyNumberFormat="1"/>
    <xf numFmtId="14" fontId="0" fillId="3" borderId="0" xfId="0" applyNumberFormat="1" applyFill="1"/>
    <xf numFmtId="0" fontId="0" fillId="3" borderId="0" xfId="0" applyNumberFormat="1" applyFill="1"/>
    <xf numFmtId="165" fontId="9" fillId="3" borderId="0" xfId="1" applyFont="1" applyFill="1"/>
    <xf numFmtId="0" fontId="9" fillId="0" borderId="0" xfId="0" applyNumberFormat="1" applyFont="1"/>
    <xf numFmtId="14" fontId="0" fillId="0" borderId="0" xfId="0" applyNumberFormat="1" applyFill="1"/>
    <xf numFmtId="165" fontId="3" fillId="0" borderId="0" xfId="1" applyFont="1"/>
    <xf numFmtId="0" fontId="3" fillId="0" borderId="0" xfId="0" applyNumberFormat="1" applyFont="1"/>
    <xf numFmtId="0" fontId="9" fillId="3" borderId="0" xfId="0" applyNumberFormat="1" applyFont="1" applyFill="1"/>
    <xf numFmtId="14" fontId="9" fillId="3" borderId="0" xfId="0" applyNumberFormat="1" applyFont="1" applyFill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65" fontId="0" fillId="0" borderId="8" xfId="1" applyFont="1" applyBorder="1"/>
    <xf numFmtId="165" fontId="0" fillId="0" borderId="1" xfId="1" applyFont="1" applyBorder="1"/>
    <xf numFmtId="165" fontId="0" fillId="0" borderId="9" xfId="1" applyFont="1" applyBorder="1"/>
    <xf numFmtId="0" fontId="3" fillId="0" borderId="0" xfId="0" applyFont="1" applyFill="1" applyBorder="1"/>
    <xf numFmtId="0" fontId="0" fillId="0" borderId="0" xfId="0" applyFill="1"/>
    <xf numFmtId="0" fontId="0" fillId="0" borderId="0" xfId="0" applyNumberFormat="1" applyFill="1"/>
    <xf numFmtId="0" fontId="3" fillId="0" borderId="0" xfId="0" applyNumberFormat="1" applyFont="1" applyFill="1"/>
    <xf numFmtId="14" fontId="3" fillId="0" borderId="0" xfId="0" applyNumberFormat="1" applyFont="1" applyFill="1"/>
    <xf numFmtId="0" fontId="3" fillId="3" borderId="0" xfId="0" applyNumberFormat="1" applyFont="1" applyFill="1"/>
    <xf numFmtId="0" fontId="11" fillId="0" borderId="0" xfId="0" applyFont="1"/>
    <xf numFmtId="0" fontId="12" fillId="0" borderId="0" xfId="0" applyFont="1"/>
    <xf numFmtId="165" fontId="3" fillId="0" borderId="10" xfId="1" applyFont="1" applyBorder="1" applyAlignment="1">
      <alignment horizontal="center" vertical="distributed"/>
    </xf>
    <xf numFmtId="165" fontId="3" fillId="0" borderId="11" xfId="1" applyFont="1" applyBorder="1" applyAlignment="1">
      <alignment horizontal="center" vertical="distributed"/>
    </xf>
    <xf numFmtId="165" fontId="3" fillId="0" borderId="12" xfId="1" applyFont="1" applyBorder="1" applyAlignment="1">
      <alignment horizontal="center" vertical="distributed"/>
    </xf>
  </cellXfs>
  <cellStyles count="4">
    <cellStyle name="Moeda" xfId="1" builtinId="4"/>
    <cellStyle name="Moeda 2" xfId="2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F6"/>
  <sheetViews>
    <sheetView workbookViewId="0">
      <selection activeCell="C3" sqref="C3"/>
    </sheetView>
  </sheetViews>
  <sheetFormatPr defaultRowHeight="12.75" x14ac:dyDescent="0.2"/>
  <cols>
    <col min="4" max="4" width="12.85546875" bestFit="1" customWidth="1"/>
    <col min="5" max="5" width="10.5703125" bestFit="1" customWidth="1"/>
    <col min="6" max="6" width="13.42578125" bestFit="1" customWidth="1"/>
  </cols>
  <sheetData>
    <row r="1" spans="1:6" x14ac:dyDescent="0.2">
      <c r="A1" t="s">
        <v>6</v>
      </c>
      <c r="B1" t="s">
        <v>7</v>
      </c>
      <c r="C1" s="1" t="s">
        <v>9</v>
      </c>
      <c r="D1" s="1" t="s">
        <v>11</v>
      </c>
      <c r="E1" s="1" t="s">
        <v>10</v>
      </c>
      <c r="F1" s="1" t="s">
        <v>8</v>
      </c>
    </row>
    <row r="2" spans="1:6" x14ac:dyDescent="0.2">
      <c r="A2" t="s">
        <v>5</v>
      </c>
      <c r="B2">
        <v>10</v>
      </c>
      <c r="C2">
        <v>7400.48</v>
      </c>
      <c r="D2">
        <f>SUM(D3:D6)</f>
        <v>455.12</v>
      </c>
      <c r="E2">
        <f>C2-D2</f>
        <v>6945.36</v>
      </c>
      <c r="F2">
        <f>E2</f>
        <v>6945.36</v>
      </c>
    </row>
    <row r="3" spans="1:6" x14ac:dyDescent="0.2">
      <c r="D3">
        <v>111.01</v>
      </c>
    </row>
    <row r="4" spans="1:6" x14ac:dyDescent="0.2">
      <c r="D4">
        <v>48.1</v>
      </c>
    </row>
    <row r="5" spans="1:6" x14ac:dyDescent="0.2">
      <c r="D5">
        <v>222.01</v>
      </c>
    </row>
    <row r="6" spans="1:6" x14ac:dyDescent="0.2">
      <c r="D6">
        <v>74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K680"/>
  <sheetViews>
    <sheetView workbookViewId="0">
      <selection activeCell="I91" sqref="I91"/>
    </sheetView>
  </sheetViews>
  <sheetFormatPr defaultRowHeight="12.75" x14ac:dyDescent="0.2"/>
  <cols>
    <col min="1" max="1" width="32.7109375" bestFit="1" customWidth="1"/>
    <col min="2" max="2" width="10.5703125" bestFit="1" customWidth="1"/>
    <col min="4" max="4" width="12" bestFit="1" customWidth="1"/>
    <col min="5" max="5" width="10.140625" style="32" bestFit="1" customWidth="1"/>
    <col min="6" max="6" width="10.140625" style="72" bestFit="1" customWidth="1"/>
    <col min="8" max="8" width="10.140625" style="72" bestFit="1" customWidth="1"/>
  </cols>
  <sheetData>
    <row r="1" spans="1:10" x14ac:dyDescent="0.2">
      <c r="A1" t="s">
        <v>57</v>
      </c>
      <c r="B1" t="s">
        <v>108</v>
      </c>
      <c r="C1" t="s">
        <v>72</v>
      </c>
      <c r="D1" t="s">
        <v>61</v>
      </c>
      <c r="E1" t="s">
        <v>18</v>
      </c>
      <c r="F1" t="s">
        <v>111</v>
      </c>
      <c r="G1" t="s">
        <v>17</v>
      </c>
      <c r="H1" t="s">
        <v>42</v>
      </c>
      <c r="I1" t="s">
        <v>19</v>
      </c>
    </row>
    <row r="2" spans="1:10" x14ac:dyDescent="0.2">
      <c r="A2" t="s">
        <v>326</v>
      </c>
      <c r="B2">
        <v>6.5</v>
      </c>
      <c r="C2">
        <v>0</v>
      </c>
      <c r="D2">
        <v>1</v>
      </c>
      <c r="E2">
        <v>0</v>
      </c>
      <c r="F2" s="72">
        <v>41861</v>
      </c>
      <c r="G2" t="s">
        <v>47</v>
      </c>
      <c r="H2" s="72">
        <v>41883</v>
      </c>
      <c r="I2" t="s">
        <v>50</v>
      </c>
    </row>
    <row r="3" spans="1:10" x14ac:dyDescent="0.2">
      <c r="A3" t="s">
        <v>761</v>
      </c>
      <c r="B3">
        <v>18</v>
      </c>
      <c r="C3">
        <v>0</v>
      </c>
      <c r="D3">
        <v>1</v>
      </c>
      <c r="E3">
        <v>0</v>
      </c>
      <c r="F3" s="72">
        <v>41861</v>
      </c>
      <c r="G3" t="s">
        <v>47</v>
      </c>
      <c r="H3" s="72">
        <v>41883</v>
      </c>
      <c r="I3" t="s">
        <v>46</v>
      </c>
    </row>
    <row r="4" spans="1:10" x14ac:dyDescent="0.2">
      <c r="A4" t="s">
        <v>87</v>
      </c>
      <c r="B4">
        <v>1.94</v>
      </c>
      <c r="C4">
        <v>1</v>
      </c>
      <c r="D4">
        <v>0</v>
      </c>
      <c r="E4">
        <v>0</v>
      </c>
      <c r="F4" s="72">
        <v>41861</v>
      </c>
      <c r="G4" t="s">
        <v>47</v>
      </c>
      <c r="H4" s="72">
        <v>41883</v>
      </c>
      <c r="I4" t="s">
        <v>345</v>
      </c>
    </row>
    <row r="5" spans="1:10" x14ac:dyDescent="0.2">
      <c r="A5" t="s">
        <v>89</v>
      </c>
      <c r="B5">
        <v>41</v>
      </c>
      <c r="C5">
        <v>1</v>
      </c>
      <c r="D5">
        <v>0</v>
      </c>
      <c r="E5">
        <v>0</v>
      </c>
      <c r="F5" s="72">
        <v>41861</v>
      </c>
      <c r="G5" t="s">
        <v>47</v>
      </c>
      <c r="H5" s="72">
        <v>41883</v>
      </c>
      <c r="I5" t="s">
        <v>345</v>
      </c>
    </row>
    <row r="6" spans="1:10" x14ac:dyDescent="0.2">
      <c r="A6" t="s">
        <v>87</v>
      </c>
      <c r="B6">
        <v>9.06</v>
      </c>
      <c r="C6">
        <v>1</v>
      </c>
      <c r="D6">
        <v>0</v>
      </c>
      <c r="E6">
        <v>0</v>
      </c>
      <c r="F6" s="72">
        <v>41861</v>
      </c>
      <c r="G6" t="s">
        <v>47</v>
      </c>
      <c r="H6" s="72">
        <v>41883</v>
      </c>
      <c r="I6" t="s">
        <v>345</v>
      </c>
    </row>
    <row r="7" spans="1:10" x14ac:dyDescent="0.2">
      <c r="A7" t="s">
        <v>44</v>
      </c>
      <c r="B7">
        <v>30</v>
      </c>
      <c r="C7">
        <v>1</v>
      </c>
      <c r="D7">
        <v>0</v>
      </c>
      <c r="E7">
        <v>0</v>
      </c>
      <c r="F7" s="72">
        <v>41861</v>
      </c>
      <c r="G7" t="s">
        <v>47</v>
      </c>
      <c r="H7" s="72">
        <v>41884</v>
      </c>
      <c r="I7" t="s">
        <v>60</v>
      </c>
    </row>
    <row r="8" spans="1:10" x14ac:dyDescent="0.2">
      <c r="A8" t="s">
        <v>326</v>
      </c>
      <c r="B8">
        <v>2</v>
      </c>
      <c r="C8">
        <v>0</v>
      </c>
      <c r="D8">
        <v>1</v>
      </c>
      <c r="E8">
        <v>0</v>
      </c>
      <c r="F8" s="72">
        <v>41861</v>
      </c>
      <c r="G8" t="s">
        <v>47</v>
      </c>
      <c r="H8" s="72">
        <v>41887</v>
      </c>
      <c r="I8" t="s">
        <v>50</v>
      </c>
    </row>
    <row r="9" spans="1:10" x14ac:dyDescent="0.2">
      <c r="A9" t="s">
        <v>44</v>
      </c>
      <c r="B9">
        <v>30</v>
      </c>
      <c r="C9">
        <v>1</v>
      </c>
      <c r="D9">
        <v>0</v>
      </c>
      <c r="E9">
        <v>0</v>
      </c>
      <c r="F9" s="72">
        <v>41861</v>
      </c>
      <c r="G9" t="s">
        <v>47</v>
      </c>
      <c r="H9" s="72">
        <v>41887</v>
      </c>
      <c r="I9" t="s">
        <v>60</v>
      </c>
    </row>
    <row r="10" spans="1:10" x14ac:dyDescent="0.2">
      <c r="A10" s="27" t="s">
        <v>21</v>
      </c>
      <c r="B10" s="27">
        <v>2445.1999999999998</v>
      </c>
      <c r="C10" s="27">
        <v>1</v>
      </c>
      <c r="D10" s="27">
        <v>0</v>
      </c>
      <c r="E10" s="27">
        <v>0</v>
      </c>
      <c r="F10" s="84">
        <v>41892</v>
      </c>
      <c r="G10" s="27" t="s">
        <v>47</v>
      </c>
      <c r="H10" s="84">
        <v>41892</v>
      </c>
      <c r="I10" s="27" t="s">
        <v>338</v>
      </c>
      <c r="J10" s="27"/>
    </row>
    <row r="11" spans="1:10" x14ac:dyDescent="0.2">
      <c r="A11" t="s">
        <v>44</v>
      </c>
      <c r="B11">
        <v>10</v>
      </c>
      <c r="C11">
        <v>1</v>
      </c>
      <c r="D11">
        <v>0</v>
      </c>
      <c r="E11">
        <v>0</v>
      </c>
      <c r="F11" s="72">
        <v>41892</v>
      </c>
      <c r="G11" t="s">
        <v>51</v>
      </c>
      <c r="H11" s="72">
        <v>41892</v>
      </c>
      <c r="I11" t="s">
        <v>60</v>
      </c>
    </row>
    <row r="12" spans="1:10" x14ac:dyDescent="0.2">
      <c r="A12" t="s">
        <v>0</v>
      </c>
      <c r="B12">
        <v>347.25</v>
      </c>
      <c r="C12">
        <v>1</v>
      </c>
      <c r="D12">
        <v>0</v>
      </c>
      <c r="E12">
        <v>0</v>
      </c>
      <c r="F12" s="72">
        <v>41892</v>
      </c>
      <c r="G12" t="s">
        <v>47</v>
      </c>
      <c r="H12" s="72">
        <v>41892</v>
      </c>
      <c r="I12" t="s">
        <v>346</v>
      </c>
    </row>
    <row r="13" spans="1:10" x14ac:dyDescent="0.2">
      <c r="A13" t="s">
        <v>3</v>
      </c>
      <c r="B13">
        <v>88.94</v>
      </c>
      <c r="C13">
        <v>1</v>
      </c>
      <c r="D13">
        <v>0</v>
      </c>
      <c r="E13">
        <v>0</v>
      </c>
      <c r="F13" s="72">
        <v>41892</v>
      </c>
      <c r="G13" t="s">
        <v>47</v>
      </c>
      <c r="H13" s="72">
        <v>41892</v>
      </c>
      <c r="I13" t="s">
        <v>346</v>
      </c>
    </row>
    <row r="14" spans="1:10" x14ac:dyDescent="0.2">
      <c r="A14" t="s">
        <v>1</v>
      </c>
      <c r="B14">
        <v>237.49</v>
      </c>
      <c r="C14">
        <v>1</v>
      </c>
      <c r="D14">
        <v>0</v>
      </c>
      <c r="E14">
        <v>0</v>
      </c>
      <c r="F14" s="72">
        <v>41892</v>
      </c>
      <c r="G14" t="s">
        <v>47</v>
      </c>
      <c r="H14" s="72">
        <v>41892</v>
      </c>
      <c r="I14" t="s">
        <v>346</v>
      </c>
    </row>
    <row r="15" spans="1:10" x14ac:dyDescent="0.2">
      <c r="A15" t="s">
        <v>58</v>
      </c>
      <c r="B15">
        <v>171</v>
      </c>
      <c r="C15">
        <v>1</v>
      </c>
      <c r="D15">
        <v>0</v>
      </c>
      <c r="E15">
        <v>0</v>
      </c>
      <c r="F15" s="72">
        <v>41892</v>
      </c>
      <c r="G15" t="s">
        <v>47</v>
      </c>
      <c r="H15" s="72">
        <v>41892</v>
      </c>
      <c r="I15" t="s">
        <v>345</v>
      </c>
    </row>
    <row r="16" spans="1:10" x14ac:dyDescent="0.2">
      <c r="A16" t="s">
        <v>1</v>
      </c>
      <c r="B16">
        <v>164.8</v>
      </c>
      <c r="C16">
        <v>1</v>
      </c>
      <c r="D16">
        <v>0</v>
      </c>
      <c r="E16">
        <v>0</v>
      </c>
      <c r="F16" s="72">
        <v>41892</v>
      </c>
      <c r="G16" t="s">
        <v>47</v>
      </c>
      <c r="H16" s="72">
        <v>41892</v>
      </c>
      <c r="I16" t="s">
        <v>346</v>
      </c>
    </row>
    <row r="17" spans="1:9" x14ac:dyDescent="0.2">
      <c r="A17" t="s">
        <v>26</v>
      </c>
      <c r="B17">
        <v>501.76</v>
      </c>
      <c r="C17">
        <v>1</v>
      </c>
      <c r="D17">
        <v>0</v>
      </c>
      <c r="E17">
        <v>0</v>
      </c>
      <c r="F17" s="72">
        <v>41892</v>
      </c>
      <c r="G17" t="s">
        <v>47</v>
      </c>
      <c r="H17" s="72">
        <v>41892</v>
      </c>
      <c r="I17" t="s">
        <v>345</v>
      </c>
    </row>
    <row r="18" spans="1:9" x14ac:dyDescent="0.2">
      <c r="A18" t="s">
        <v>28</v>
      </c>
      <c r="B18">
        <v>38.5</v>
      </c>
      <c r="C18">
        <v>1</v>
      </c>
      <c r="D18">
        <v>0</v>
      </c>
      <c r="E18">
        <v>0</v>
      </c>
      <c r="F18" s="72">
        <v>41892</v>
      </c>
      <c r="G18" t="s">
        <v>47</v>
      </c>
      <c r="H18" s="72">
        <v>41892</v>
      </c>
      <c r="I18" t="s">
        <v>345</v>
      </c>
    </row>
    <row r="19" spans="1:9" x14ac:dyDescent="0.2">
      <c r="A19" t="s">
        <v>27</v>
      </c>
      <c r="B19">
        <v>282.25</v>
      </c>
      <c r="C19">
        <v>1</v>
      </c>
      <c r="D19">
        <v>0</v>
      </c>
      <c r="E19">
        <v>0</v>
      </c>
      <c r="F19" s="72">
        <v>41892</v>
      </c>
      <c r="G19" t="s">
        <v>47</v>
      </c>
      <c r="H19" s="72">
        <v>41892</v>
      </c>
      <c r="I19" t="s">
        <v>345</v>
      </c>
    </row>
    <row r="20" spans="1:9" x14ac:dyDescent="0.2">
      <c r="A20" t="s">
        <v>29</v>
      </c>
      <c r="B20">
        <v>40.78</v>
      </c>
      <c r="C20">
        <v>1</v>
      </c>
      <c r="D20">
        <v>0</v>
      </c>
      <c r="E20">
        <v>0</v>
      </c>
      <c r="F20" s="72">
        <v>41892</v>
      </c>
      <c r="G20" t="s">
        <v>47</v>
      </c>
      <c r="H20" s="72">
        <v>41892</v>
      </c>
      <c r="I20" t="s">
        <v>345</v>
      </c>
    </row>
    <row r="21" spans="1:9" x14ac:dyDescent="0.2">
      <c r="A21" t="s">
        <v>2</v>
      </c>
      <c r="B21">
        <v>50</v>
      </c>
      <c r="C21">
        <v>1</v>
      </c>
      <c r="D21">
        <v>0</v>
      </c>
      <c r="E21">
        <v>0</v>
      </c>
      <c r="F21" s="72">
        <v>41892</v>
      </c>
      <c r="G21" t="s">
        <v>47</v>
      </c>
      <c r="H21" s="72">
        <v>41892</v>
      </c>
      <c r="I21" t="s">
        <v>762</v>
      </c>
    </row>
    <row r="22" spans="1:9" x14ac:dyDescent="0.2">
      <c r="A22" t="s">
        <v>38</v>
      </c>
      <c r="B22">
        <v>51.9</v>
      </c>
      <c r="C22">
        <v>1</v>
      </c>
      <c r="D22">
        <v>0</v>
      </c>
      <c r="E22">
        <v>0</v>
      </c>
      <c r="F22" s="72">
        <v>41892</v>
      </c>
      <c r="G22" t="s">
        <v>47</v>
      </c>
      <c r="H22" s="72">
        <v>41892</v>
      </c>
      <c r="I22" t="s">
        <v>345</v>
      </c>
    </row>
    <row r="23" spans="1:9" x14ac:dyDescent="0.2">
      <c r="A23" t="s">
        <v>39</v>
      </c>
      <c r="B23">
        <v>41</v>
      </c>
      <c r="C23">
        <v>1</v>
      </c>
      <c r="D23">
        <v>0</v>
      </c>
      <c r="E23">
        <v>0</v>
      </c>
      <c r="F23" s="72">
        <v>41892</v>
      </c>
      <c r="G23" t="s">
        <v>47</v>
      </c>
      <c r="H23" s="72">
        <v>41892</v>
      </c>
      <c r="I23" t="s">
        <v>345</v>
      </c>
    </row>
    <row r="24" spans="1:9" x14ac:dyDescent="0.2">
      <c r="A24" t="s">
        <v>40</v>
      </c>
      <c r="B24">
        <v>4.99</v>
      </c>
      <c r="C24">
        <v>1</v>
      </c>
      <c r="D24">
        <v>0</v>
      </c>
      <c r="E24">
        <v>0</v>
      </c>
      <c r="F24" s="72">
        <v>41892</v>
      </c>
      <c r="G24" t="s">
        <v>47</v>
      </c>
      <c r="H24" s="72">
        <v>41892</v>
      </c>
      <c r="I24" t="s">
        <v>345</v>
      </c>
    </row>
    <row r="25" spans="1:9" x14ac:dyDescent="0.2">
      <c r="A25" t="s">
        <v>25</v>
      </c>
      <c r="B25">
        <v>120</v>
      </c>
      <c r="C25">
        <v>1</v>
      </c>
      <c r="D25">
        <v>0</v>
      </c>
      <c r="E25">
        <v>0</v>
      </c>
      <c r="F25" s="72">
        <v>41892</v>
      </c>
      <c r="G25" t="s">
        <v>47</v>
      </c>
      <c r="H25" s="72">
        <v>41892</v>
      </c>
      <c r="I25" t="s">
        <v>347</v>
      </c>
    </row>
    <row r="26" spans="1:9" x14ac:dyDescent="0.2">
      <c r="A26" t="s">
        <v>12</v>
      </c>
      <c r="B26">
        <v>536.46</v>
      </c>
      <c r="C26">
        <v>1</v>
      </c>
      <c r="D26">
        <v>0</v>
      </c>
      <c r="E26">
        <v>0</v>
      </c>
      <c r="F26" s="72">
        <v>41892</v>
      </c>
      <c r="G26" t="s">
        <v>47</v>
      </c>
      <c r="H26" s="72">
        <v>41892</v>
      </c>
      <c r="I26" t="s">
        <v>348</v>
      </c>
    </row>
    <row r="27" spans="1:9" x14ac:dyDescent="0.2">
      <c r="A27" t="s">
        <v>158</v>
      </c>
      <c r="B27">
        <v>400</v>
      </c>
      <c r="C27">
        <v>1</v>
      </c>
      <c r="D27">
        <v>0</v>
      </c>
      <c r="E27">
        <v>0</v>
      </c>
      <c r="F27" s="72">
        <v>41892</v>
      </c>
      <c r="G27" t="s">
        <v>47</v>
      </c>
      <c r="H27" s="72">
        <v>41892</v>
      </c>
      <c r="I27" t="s">
        <v>346</v>
      </c>
    </row>
    <row r="28" spans="1:9" x14ac:dyDescent="0.2">
      <c r="A28" t="s">
        <v>44</v>
      </c>
      <c r="B28">
        <v>100</v>
      </c>
      <c r="C28">
        <v>1</v>
      </c>
      <c r="D28">
        <v>0</v>
      </c>
      <c r="E28">
        <v>0</v>
      </c>
      <c r="F28" s="72">
        <v>41892</v>
      </c>
      <c r="G28" t="s">
        <v>51</v>
      </c>
      <c r="H28" s="72">
        <v>41894</v>
      </c>
      <c r="I28" t="s">
        <v>60</v>
      </c>
    </row>
    <row r="29" spans="1:9" x14ac:dyDescent="0.2">
      <c r="A29" t="s">
        <v>761</v>
      </c>
      <c r="B29">
        <v>10</v>
      </c>
      <c r="C29">
        <v>0</v>
      </c>
      <c r="D29">
        <v>1</v>
      </c>
      <c r="E29">
        <v>0</v>
      </c>
      <c r="F29" s="72">
        <v>41892</v>
      </c>
      <c r="G29" t="s">
        <v>51</v>
      </c>
      <c r="H29" s="72">
        <v>41894</v>
      </c>
      <c r="I29" t="s">
        <v>46</v>
      </c>
    </row>
    <row r="30" spans="1:9" x14ac:dyDescent="0.2">
      <c r="A30" t="s">
        <v>761</v>
      </c>
      <c r="B30">
        <v>14</v>
      </c>
      <c r="C30">
        <v>0</v>
      </c>
      <c r="D30">
        <v>1</v>
      </c>
      <c r="E30">
        <v>0</v>
      </c>
      <c r="F30" s="72">
        <v>41892</v>
      </c>
      <c r="G30" t="s">
        <v>49</v>
      </c>
      <c r="H30" s="72">
        <v>41896</v>
      </c>
      <c r="I30" t="s">
        <v>46</v>
      </c>
    </row>
    <row r="31" spans="1:9" x14ac:dyDescent="0.2">
      <c r="A31" s="1" t="s">
        <v>382</v>
      </c>
      <c r="B31">
        <v>5</v>
      </c>
      <c r="C31">
        <v>0</v>
      </c>
      <c r="D31">
        <v>1</v>
      </c>
      <c r="E31">
        <v>0</v>
      </c>
      <c r="F31" s="72">
        <v>41892</v>
      </c>
      <c r="G31" t="s">
        <v>54</v>
      </c>
      <c r="H31" s="72">
        <v>41898</v>
      </c>
      <c r="I31" t="s">
        <v>189</v>
      </c>
    </row>
    <row r="32" spans="1:9" x14ac:dyDescent="0.2">
      <c r="A32" t="s">
        <v>48</v>
      </c>
      <c r="B32">
        <v>10</v>
      </c>
      <c r="C32">
        <v>0</v>
      </c>
      <c r="D32">
        <v>1</v>
      </c>
      <c r="E32">
        <v>0</v>
      </c>
      <c r="F32" s="72">
        <v>41892</v>
      </c>
      <c r="G32" t="s">
        <v>54</v>
      </c>
      <c r="H32" s="72">
        <v>41899</v>
      </c>
      <c r="I32" t="s">
        <v>48</v>
      </c>
    </row>
    <row r="33" spans="1:9" x14ac:dyDescent="0.2">
      <c r="A33" t="s">
        <v>116</v>
      </c>
      <c r="B33">
        <v>30</v>
      </c>
      <c r="C33">
        <v>1</v>
      </c>
      <c r="D33">
        <v>0</v>
      </c>
      <c r="E33">
        <v>0</v>
      </c>
      <c r="F33" s="72">
        <v>41892</v>
      </c>
      <c r="G33" t="s">
        <v>49</v>
      </c>
      <c r="H33" s="72">
        <v>41902</v>
      </c>
      <c r="I33" t="s">
        <v>344</v>
      </c>
    </row>
    <row r="34" spans="1:9" x14ac:dyDescent="0.2">
      <c r="A34" t="s">
        <v>761</v>
      </c>
      <c r="B34">
        <v>14</v>
      </c>
      <c r="C34">
        <v>0</v>
      </c>
      <c r="D34">
        <v>1</v>
      </c>
      <c r="E34">
        <v>0</v>
      </c>
      <c r="F34" s="72">
        <v>41892</v>
      </c>
      <c r="G34" t="s">
        <v>49</v>
      </c>
      <c r="H34" s="72">
        <v>41902</v>
      </c>
      <c r="I34" t="s">
        <v>46</v>
      </c>
    </row>
    <row r="35" spans="1:9" x14ac:dyDescent="0.2">
      <c r="A35" t="s">
        <v>44</v>
      </c>
      <c r="B35">
        <v>100</v>
      </c>
      <c r="C35">
        <v>1</v>
      </c>
      <c r="D35">
        <v>0</v>
      </c>
      <c r="E35">
        <v>0</v>
      </c>
      <c r="F35" s="72">
        <v>41892</v>
      </c>
      <c r="G35" t="s">
        <v>55</v>
      </c>
      <c r="H35" s="72">
        <v>41907</v>
      </c>
      <c r="I35" t="s">
        <v>60</v>
      </c>
    </row>
    <row r="36" spans="1:9" x14ac:dyDescent="0.2">
      <c r="A36" t="s">
        <v>48</v>
      </c>
      <c r="B36">
        <v>100</v>
      </c>
      <c r="C36">
        <v>0</v>
      </c>
      <c r="D36">
        <v>1</v>
      </c>
      <c r="E36">
        <v>0</v>
      </c>
      <c r="F36" s="72">
        <v>41892</v>
      </c>
      <c r="G36" t="s">
        <v>55</v>
      </c>
      <c r="H36" s="72">
        <v>41907</v>
      </c>
      <c r="I36" t="s">
        <v>48</v>
      </c>
    </row>
    <row r="37" spans="1:9" x14ac:dyDescent="0.2">
      <c r="A37" t="s">
        <v>48</v>
      </c>
      <c r="B37">
        <v>20</v>
      </c>
      <c r="C37">
        <v>0</v>
      </c>
      <c r="D37">
        <v>1</v>
      </c>
      <c r="E37">
        <v>0</v>
      </c>
      <c r="F37" s="72">
        <v>41892</v>
      </c>
      <c r="G37" t="s">
        <v>55</v>
      </c>
      <c r="H37" s="72">
        <v>41907</v>
      </c>
      <c r="I37" t="s">
        <v>48</v>
      </c>
    </row>
    <row r="38" spans="1:9" x14ac:dyDescent="0.2">
      <c r="A38" t="s">
        <v>326</v>
      </c>
      <c r="B38">
        <v>9</v>
      </c>
      <c r="C38">
        <v>0</v>
      </c>
      <c r="D38">
        <v>1</v>
      </c>
      <c r="E38">
        <v>0</v>
      </c>
      <c r="F38" s="72">
        <v>41892</v>
      </c>
      <c r="G38" t="s">
        <v>55</v>
      </c>
      <c r="H38" s="72">
        <v>41908</v>
      </c>
      <c r="I38" t="s">
        <v>50</v>
      </c>
    </row>
    <row r="39" spans="1:9" x14ac:dyDescent="0.2">
      <c r="A39" t="s">
        <v>181</v>
      </c>
      <c r="B39">
        <v>0.56000000000000005</v>
      </c>
      <c r="C39">
        <v>1</v>
      </c>
      <c r="D39">
        <v>0</v>
      </c>
      <c r="E39">
        <v>0</v>
      </c>
      <c r="F39" s="72">
        <v>41892</v>
      </c>
      <c r="G39" t="s">
        <v>47</v>
      </c>
      <c r="H39" s="72">
        <v>41913</v>
      </c>
      <c r="I39" t="s">
        <v>345</v>
      </c>
    </row>
    <row r="40" spans="1:9" x14ac:dyDescent="0.2">
      <c r="A40" t="s">
        <v>89</v>
      </c>
      <c r="B40">
        <v>41</v>
      </c>
      <c r="C40">
        <v>1</v>
      </c>
      <c r="D40">
        <v>0</v>
      </c>
      <c r="E40">
        <v>0</v>
      </c>
      <c r="F40" s="72">
        <v>41892</v>
      </c>
      <c r="G40" t="s">
        <v>47</v>
      </c>
      <c r="H40" s="72">
        <v>41914</v>
      </c>
      <c r="I40" t="s">
        <v>345</v>
      </c>
    </row>
    <row r="41" spans="1:9" x14ac:dyDescent="0.2">
      <c r="A41" t="s">
        <v>48</v>
      </c>
      <c r="B41">
        <v>20</v>
      </c>
      <c r="C41">
        <v>0</v>
      </c>
      <c r="D41">
        <v>1</v>
      </c>
      <c r="E41">
        <v>0</v>
      </c>
      <c r="F41" s="72">
        <v>41892</v>
      </c>
      <c r="G41" t="s">
        <v>51</v>
      </c>
      <c r="H41" s="72">
        <v>41918</v>
      </c>
      <c r="I41" t="s">
        <v>48</v>
      </c>
    </row>
    <row r="42" spans="1:9" x14ac:dyDescent="0.2">
      <c r="A42" t="s">
        <v>186</v>
      </c>
      <c r="B42">
        <v>2.39</v>
      </c>
      <c r="C42">
        <v>1</v>
      </c>
      <c r="D42">
        <v>0</v>
      </c>
      <c r="E42">
        <v>0</v>
      </c>
      <c r="F42" s="72">
        <v>41892</v>
      </c>
      <c r="G42" t="s">
        <v>51</v>
      </c>
      <c r="H42" s="72">
        <v>41918</v>
      </c>
      <c r="I42" t="s">
        <v>345</v>
      </c>
    </row>
    <row r="43" spans="1:9" x14ac:dyDescent="0.2">
      <c r="A43" s="1" t="s">
        <v>382</v>
      </c>
      <c r="B43">
        <v>7</v>
      </c>
      <c r="C43">
        <v>0</v>
      </c>
      <c r="D43">
        <v>1</v>
      </c>
      <c r="E43">
        <v>0</v>
      </c>
      <c r="F43" s="72">
        <v>41892</v>
      </c>
      <c r="G43" t="s">
        <v>51</v>
      </c>
      <c r="H43" s="72">
        <v>41921</v>
      </c>
      <c r="I43" t="s">
        <v>189</v>
      </c>
    </row>
    <row r="44" spans="1:9" x14ac:dyDescent="0.2">
      <c r="A44" t="s">
        <v>44</v>
      </c>
      <c r="B44">
        <v>20</v>
      </c>
      <c r="C44">
        <v>1</v>
      </c>
      <c r="D44">
        <v>0</v>
      </c>
      <c r="E44">
        <v>0</v>
      </c>
      <c r="F44" s="72">
        <v>41892</v>
      </c>
      <c r="G44" t="s">
        <v>51</v>
      </c>
      <c r="H44" s="72">
        <v>41921</v>
      </c>
      <c r="I44" t="s">
        <v>60</v>
      </c>
    </row>
    <row r="45" spans="1:9" x14ac:dyDescent="0.2">
      <c r="A45" t="s">
        <v>326</v>
      </c>
      <c r="B45">
        <v>4</v>
      </c>
      <c r="C45">
        <v>0</v>
      </c>
      <c r="D45">
        <v>1</v>
      </c>
      <c r="E45">
        <v>0</v>
      </c>
      <c r="F45" s="72">
        <v>41892</v>
      </c>
      <c r="G45" t="s">
        <v>51</v>
      </c>
      <c r="H45" s="72">
        <v>41921</v>
      </c>
      <c r="I45" t="s">
        <v>50</v>
      </c>
    </row>
    <row r="46" spans="1:9" x14ac:dyDescent="0.2">
      <c r="A46" t="s">
        <v>156</v>
      </c>
      <c r="B46">
        <v>400</v>
      </c>
      <c r="C46">
        <v>1</v>
      </c>
      <c r="D46">
        <v>0</v>
      </c>
      <c r="E46">
        <v>0</v>
      </c>
      <c r="F46" s="72">
        <v>41892</v>
      </c>
      <c r="G46" t="s">
        <v>51</v>
      </c>
      <c r="H46" s="72">
        <v>41922</v>
      </c>
      <c r="I46" t="s">
        <v>346</v>
      </c>
    </row>
    <row r="47" spans="1:9" x14ac:dyDescent="0.2">
      <c r="A47" s="27" t="s">
        <v>21</v>
      </c>
      <c r="B47" s="85">
        <f>SUMIFS(credito!B2:B101,credito!F2:F101,debito!F47,credito!G2:G101,0)</f>
        <v>654.73</v>
      </c>
      <c r="C47" s="27">
        <v>1</v>
      </c>
      <c r="D47" s="27">
        <v>0</v>
      </c>
      <c r="E47" s="27">
        <v>0</v>
      </c>
      <c r="F47" s="84">
        <v>41922</v>
      </c>
      <c r="G47" s="27" t="s">
        <v>54</v>
      </c>
      <c r="H47" s="84">
        <v>41929</v>
      </c>
      <c r="I47" s="27" t="s">
        <v>338</v>
      </c>
    </row>
    <row r="48" spans="1:9" x14ac:dyDescent="0.2">
      <c r="A48" t="s">
        <v>157</v>
      </c>
      <c r="B48">
        <v>365.57</v>
      </c>
      <c r="C48">
        <v>1</v>
      </c>
      <c r="D48">
        <v>0</v>
      </c>
      <c r="E48">
        <v>0</v>
      </c>
      <c r="F48" s="72">
        <v>41922</v>
      </c>
      <c r="G48" t="s">
        <v>51</v>
      </c>
      <c r="H48" s="72">
        <v>41922</v>
      </c>
      <c r="I48" t="s">
        <v>346</v>
      </c>
    </row>
    <row r="49" spans="1:10" x14ac:dyDescent="0.2">
      <c r="A49" t="s">
        <v>0</v>
      </c>
      <c r="B49">
        <v>368.56</v>
      </c>
      <c r="C49">
        <v>1</v>
      </c>
      <c r="D49">
        <v>0</v>
      </c>
      <c r="E49">
        <v>0</v>
      </c>
      <c r="F49" s="72">
        <v>41922</v>
      </c>
      <c r="G49" t="s">
        <v>51</v>
      </c>
      <c r="H49" s="72">
        <v>41922</v>
      </c>
      <c r="I49" t="s">
        <v>346</v>
      </c>
    </row>
    <row r="50" spans="1:10" x14ac:dyDescent="0.2">
      <c r="A50" t="s">
        <v>3</v>
      </c>
      <c r="B50">
        <v>58.1</v>
      </c>
      <c r="C50">
        <v>1</v>
      </c>
      <c r="D50">
        <v>0</v>
      </c>
      <c r="E50">
        <v>0</v>
      </c>
      <c r="F50" s="72">
        <v>41922</v>
      </c>
      <c r="G50" t="s">
        <v>51</v>
      </c>
      <c r="H50" s="72">
        <v>41922</v>
      </c>
      <c r="I50" t="s">
        <v>346</v>
      </c>
    </row>
    <row r="51" spans="1:10" x14ac:dyDescent="0.2">
      <c r="A51" t="s">
        <v>1</v>
      </c>
      <c r="B51">
        <v>414.56</v>
      </c>
      <c r="C51">
        <v>1</v>
      </c>
      <c r="D51">
        <v>0</v>
      </c>
      <c r="E51">
        <v>0</v>
      </c>
      <c r="F51" s="72">
        <v>41922</v>
      </c>
      <c r="G51" t="s">
        <v>51</v>
      </c>
      <c r="H51" s="72">
        <v>41922</v>
      </c>
      <c r="I51" t="s">
        <v>346</v>
      </c>
    </row>
    <row r="52" spans="1:10" x14ac:dyDescent="0.2">
      <c r="A52" t="s">
        <v>25</v>
      </c>
      <c r="B52">
        <v>120</v>
      </c>
      <c r="C52">
        <v>1</v>
      </c>
      <c r="D52">
        <v>0</v>
      </c>
      <c r="E52">
        <v>0</v>
      </c>
      <c r="F52" s="72">
        <v>41922</v>
      </c>
      <c r="G52" t="s">
        <v>51</v>
      </c>
      <c r="H52" s="72">
        <v>41922</v>
      </c>
      <c r="I52" t="s">
        <v>347</v>
      </c>
    </row>
    <row r="53" spans="1:10" x14ac:dyDescent="0.2">
      <c r="A53" t="s">
        <v>761</v>
      </c>
      <c r="B53">
        <v>370</v>
      </c>
      <c r="C53">
        <v>0</v>
      </c>
      <c r="D53">
        <v>1</v>
      </c>
      <c r="E53">
        <v>0</v>
      </c>
      <c r="F53" s="72">
        <v>41922</v>
      </c>
      <c r="G53" t="s">
        <v>51</v>
      </c>
      <c r="H53" s="72">
        <v>41922</v>
      </c>
      <c r="I53" t="s">
        <v>46</v>
      </c>
    </row>
    <row r="54" spans="1:10" x14ac:dyDescent="0.2">
      <c r="A54" t="s">
        <v>26</v>
      </c>
      <c r="B54">
        <v>501.76</v>
      </c>
      <c r="C54">
        <v>1</v>
      </c>
      <c r="D54">
        <v>0</v>
      </c>
      <c r="E54">
        <v>0</v>
      </c>
      <c r="F54" s="72">
        <v>41922</v>
      </c>
      <c r="G54" t="s">
        <v>51</v>
      </c>
      <c r="H54" s="72">
        <v>41922</v>
      </c>
      <c r="I54" t="s">
        <v>345</v>
      </c>
    </row>
    <row r="55" spans="1:10" x14ac:dyDescent="0.2">
      <c r="A55" t="s">
        <v>28</v>
      </c>
      <c r="B55">
        <v>38.5</v>
      </c>
      <c r="C55">
        <v>1</v>
      </c>
      <c r="D55">
        <v>0</v>
      </c>
      <c r="E55">
        <v>0</v>
      </c>
      <c r="F55" s="72">
        <v>41922</v>
      </c>
      <c r="G55" t="s">
        <v>51</v>
      </c>
      <c r="H55" s="72">
        <v>41922</v>
      </c>
      <c r="I55" t="s">
        <v>345</v>
      </c>
    </row>
    <row r="56" spans="1:10" x14ac:dyDescent="0.2">
      <c r="A56" t="s">
        <v>27</v>
      </c>
      <c r="B56">
        <v>282.25</v>
      </c>
      <c r="C56">
        <v>1</v>
      </c>
      <c r="D56">
        <v>0</v>
      </c>
      <c r="E56">
        <v>0</v>
      </c>
      <c r="F56" s="72">
        <v>41922</v>
      </c>
      <c r="G56" t="s">
        <v>51</v>
      </c>
      <c r="H56" s="72">
        <v>41922</v>
      </c>
      <c r="I56" t="s">
        <v>345</v>
      </c>
    </row>
    <row r="57" spans="1:10" x14ac:dyDescent="0.2">
      <c r="A57" t="s">
        <v>12</v>
      </c>
      <c r="B57">
        <v>536.46</v>
      </c>
      <c r="C57">
        <v>1</v>
      </c>
      <c r="D57">
        <v>0</v>
      </c>
      <c r="E57">
        <v>0</v>
      </c>
      <c r="F57" s="72">
        <v>41922</v>
      </c>
      <c r="G57" t="s">
        <v>51</v>
      </c>
      <c r="H57" s="72">
        <v>41922</v>
      </c>
      <c r="I57" t="s">
        <v>348</v>
      </c>
    </row>
    <row r="58" spans="1:10" x14ac:dyDescent="0.2">
      <c r="A58" t="s">
        <v>38</v>
      </c>
      <c r="B58">
        <v>51.9</v>
      </c>
      <c r="C58">
        <v>1</v>
      </c>
      <c r="D58">
        <v>0</v>
      </c>
      <c r="E58">
        <v>0</v>
      </c>
      <c r="F58" s="72">
        <v>41922</v>
      </c>
      <c r="G58" t="s">
        <v>51</v>
      </c>
      <c r="H58" s="72">
        <v>41922</v>
      </c>
      <c r="I58" t="s">
        <v>345</v>
      </c>
      <c r="J58" s="27">
        <v>51.9</v>
      </c>
    </row>
    <row r="59" spans="1:10" x14ac:dyDescent="0.2">
      <c r="A59" t="s">
        <v>202</v>
      </c>
      <c r="B59">
        <v>40.78</v>
      </c>
      <c r="C59">
        <v>1</v>
      </c>
      <c r="D59">
        <v>0</v>
      </c>
      <c r="E59">
        <v>0</v>
      </c>
      <c r="F59" s="72">
        <v>41922</v>
      </c>
      <c r="G59" t="s">
        <v>51</v>
      </c>
      <c r="H59" s="72">
        <v>41922</v>
      </c>
      <c r="I59" t="s">
        <v>345</v>
      </c>
    </row>
    <row r="60" spans="1:10" x14ac:dyDescent="0.2">
      <c r="A60" t="s">
        <v>40</v>
      </c>
      <c r="B60">
        <v>4.99</v>
      </c>
      <c r="C60">
        <v>1</v>
      </c>
      <c r="D60">
        <v>0</v>
      </c>
      <c r="E60">
        <v>0</v>
      </c>
      <c r="F60" s="72">
        <v>41922</v>
      </c>
      <c r="G60" t="s">
        <v>51</v>
      </c>
      <c r="H60" s="72">
        <v>41922</v>
      </c>
      <c r="I60" t="s">
        <v>345</v>
      </c>
    </row>
    <row r="61" spans="1:10" x14ac:dyDescent="0.2">
      <c r="A61" t="s">
        <v>44</v>
      </c>
      <c r="B61">
        <v>20</v>
      </c>
      <c r="C61">
        <v>1</v>
      </c>
      <c r="D61">
        <v>0</v>
      </c>
      <c r="E61">
        <v>0</v>
      </c>
      <c r="F61" s="72">
        <v>41922</v>
      </c>
      <c r="G61" t="s">
        <v>54</v>
      </c>
      <c r="H61" s="72">
        <v>41925</v>
      </c>
      <c r="I61" t="s">
        <v>60</v>
      </c>
    </row>
    <row r="62" spans="1:10" x14ac:dyDescent="0.2">
      <c r="A62" t="s">
        <v>326</v>
      </c>
      <c r="B62">
        <v>6.5</v>
      </c>
      <c r="C62">
        <v>0</v>
      </c>
      <c r="D62">
        <v>1</v>
      </c>
      <c r="E62">
        <v>0</v>
      </c>
      <c r="F62" s="72">
        <v>41922</v>
      </c>
      <c r="G62" t="s">
        <v>54</v>
      </c>
      <c r="H62" s="72">
        <v>41926</v>
      </c>
      <c r="I62" t="s">
        <v>50</v>
      </c>
    </row>
    <row r="63" spans="1:10" x14ac:dyDescent="0.2">
      <c r="A63" t="s">
        <v>326</v>
      </c>
      <c r="B63">
        <v>9</v>
      </c>
      <c r="C63">
        <v>0</v>
      </c>
      <c r="D63">
        <v>1</v>
      </c>
      <c r="E63">
        <v>0</v>
      </c>
      <c r="F63" s="72">
        <v>41922</v>
      </c>
      <c r="G63" t="s">
        <v>54</v>
      </c>
      <c r="H63" s="72">
        <v>41926</v>
      </c>
      <c r="I63" t="s">
        <v>50</v>
      </c>
    </row>
    <row r="64" spans="1:10" x14ac:dyDescent="0.2">
      <c r="A64" t="s">
        <v>44</v>
      </c>
      <c r="B64">
        <v>100</v>
      </c>
      <c r="C64">
        <v>1</v>
      </c>
      <c r="D64">
        <v>0</v>
      </c>
      <c r="E64">
        <v>0</v>
      </c>
      <c r="F64" s="72">
        <v>41922</v>
      </c>
      <c r="G64" t="s">
        <v>54</v>
      </c>
      <c r="H64" s="72">
        <v>41926</v>
      </c>
      <c r="I64" t="s">
        <v>60</v>
      </c>
    </row>
    <row r="65" spans="1:10" x14ac:dyDescent="0.2">
      <c r="A65" t="s">
        <v>48</v>
      </c>
      <c r="B65">
        <v>20</v>
      </c>
      <c r="C65">
        <v>0</v>
      </c>
      <c r="D65">
        <v>1</v>
      </c>
      <c r="E65">
        <v>0</v>
      </c>
      <c r="F65" s="72">
        <v>41922</v>
      </c>
      <c r="G65" t="s">
        <v>54</v>
      </c>
      <c r="H65" s="72">
        <v>41926</v>
      </c>
      <c r="I65" t="s">
        <v>48</v>
      </c>
    </row>
    <row r="66" spans="1:10" x14ac:dyDescent="0.2">
      <c r="A66" t="s">
        <v>96</v>
      </c>
      <c r="B66">
        <v>16.579999999999998</v>
      </c>
      <c r="C66">
        <v>0</v>
      </c>
      <c r="D66">
        <v>1</v>
      </c>
      <c r="E66">
        <v>0</v>
      </c>
      <c r="F66" s="72">
        <v>41922</v>
      </c>
      <c r="G66" t="s">
        <v>54</v>
      </c>
      <c r="H66" s="72">
        <v>41927</v>
      </c>
      <c r="I66" t="s">
        <v>96</v>
      </c>
    </row>
    <row r="67" spans="1:10" x14ac:dyDescent="0.2">
      <c r="A67" t="s">
        <v>326</v>
      </c>
      <c r="B67">
        <v>8.5</v>
      </c>
      <c r="C67">
        <v>0</v>
      </c>
      <c r="D67">
        <v>1</v>
      </c>
      <c r="E67">
        <v>0</v>
      </c>
      <c r="F67" s="72">
        <v>41922</v>
      </c>
      <c r="G67" t="s">
        <v>54</v>
      </c>
      <c r="H67" s="72">
        <v>41927</v>
      </c>
      <c r="I67" t="s">
        <v>50</v>
      </c>
    </row>
    <row r="68" spans="1:10" x14ac:dyDescent="0.2">
      <c r="A68" t="s">
        <v>327</v>
      </c>
      <c r="B68">
        <v>19.899999999999999</v>
      </c>
      <c r="C68">
        <v>0</v>
      </c>
      <c r="D68">
        <v>1</v>
      </c>
      <c r="E68">
        <v>0</v>
      </c>
      <c r="F68" s="72">
        <v>41922</v>
      </c>
      <c r="G68" t="s">
        <v>54</v>
      </c>
      <c r="H68" s="72">
        <v>41927</v>
      </c>
      <c r="I68" t="s">
        <v>153</v>
      </c>
    </row>
    <row r="69" spans="1:10" x14ac:dyDescent="0.2">
      <c r="A69" t="s">
        <v>2</v>
      </c>
      <c r="B69">
        <v>50</v>
      </c>
      <c r="C69">
        <v>1</v>
      </c>
      <c r="D69">
        <v>0</v>
      </c>
      <c r="E69">
        <v>0</v>
      </c>
      <c r="F69" s="72">
        <v>41922</v>
      </c>
      <c r="G69" t="s">
        <v>54</v>
      </c>
      <c r="H69" s="72">
        <v>41927</v>
      </c>
      <c r="I69" t="s">
        <v>762</v>
      </c>
    </row>
    <row r="70" spans="1:10" x14ac:dyDescent="0.2">
      <c r="A70" t="s">
        <v>48</v>
      </c>
      <c r="B70">
        <v>60</v>
      </c>
      <c r="C70">
        <v>0</v>
      </c>
      <c r="D70">
        <v>1</v>
      </c>
      <c r="E70">
        <v>0</v>
      </c>
      <c r="F70" s="72">
        <v>41922</v>
      </c>
      <c r="G70" t="s">
        <v>54</v>
      </c>
      <c r="H70" s="72">
        <v>41928</v>
      </c>
      <c r="I70" t="s">
        <v>48</v>
      </c>
      <c r="J70" s="27">
        <v>0</v>
      </c>
    </row>
    <row r="71" spans="1:10" x14ac:dyDescent="0.2">
      <c r="A71" t="s">
        <v>48</v>
      </c>
      <c r="B71">
        <v>20</v>
      </c>
      <c r="C71">
        <v>0</v>
      </c>
      <c r="D71">
        <v>1</v>
      </c>
      <c r="E71">
        <v>0</v>
      </c>
      <c r="F71" s="72">
        <v>41922</v>
      </c>
      <c r="G71" t="s">
        <v>54</v>
      </c>
      <c r="H71" s="72">
        <v>41928</v>
      </c>
      <c r="I71" t="s">
        <v>48</v>
      </c>
    </row>
    <row r="72" spans="1:10" x14ac:dyDescent="0.2">
      <c r="A72" t="s">
        <v>52</v>
      </c>
      <c r="B72">
        <v>24.96</v>
      </c>
      <c r="C72">
        <v>0</v>
      </c>
      <c r="D72">
        <v>1</v>
      </c>
      <c r="E72">
        <v>0</v>
      </c>
      <c r="F72" s="72">
        <v>41922</v>
      </c>
      <c r="G72" t="s">
        <v>54</v>
      </c>
      <c r="H72" s="72">
        <v>41928</v>
      </c>
      <c r="I72" t="s">
        <v>52</v>
      </c>
    </row>
    <row r="73" spans="1:10" x14ac:dyDescent="0.2">
      <c r="A73" t="s">
        <v>761</v>
      </c>
      <c r="B73">
        <v>27</v>
      </c>
      <c r="C73">
        <v>0</v>
      </c>
      <c r="D73">
        <v>1</v>
      </c>
      <c r="E73">
        <v>0</v>
      </c>
      <c r="F73" s="72">
        <v>41922</v>
      </c>
      <c r="G73" t="s">
        <v>54</v>
      </c>
      <c r="H73" s="72">
        <v>41928</v>
      </c>
      <c r="I73" t="s">
        <v>46</v>
      </c>
    </row>
    <row r="74" spans="1:10" x14ac:dyDescent="0.2">
      <c r="A74" t="s">
        <v>52</v>
      </c>
      <c r="B74">
        <v>46.68</v>
      </c>
      <c r="C74">
        <v>0</v>
      </c>
      <c r="D74">
        <v>1</v>
      </c>
      <c r="E74">
        <v>0</v>
      </c>
      <c r="F74" s="72">
        <v>41922</v>
      </c>
      <c r="G74" t="s">
        <v>54</v>
      </c>
      <c r="H74" s="72">
        <v>41928</v>
      </c>
      <c r="I74" t="s">
        <v>52</v>
      </c>
    </row>
    <row r="75" spans="1:10" x14ac:dyDescent="0.2">
      <c r="A75" t="s">
        <v>96</v>
      </c>
      <c r="B75">
        <v>20</v>
      </c>
      <c r="C75">
        <v>0</v>
      </c>
      <c r="D75">
        <v>1</v>
      </c>
      <c r="E75">
        <v>0</v>
      </c>
      <c r="F75" s="72">
        <v>41922</v>
      </c>
      <c r="G75" t="s">
        <v>54</v>
      </c>
      <c r="H75" s="72">
        <v>41929</v>
      </c>
      <c r="I75" t="s">
        <v>96</v>
      </c>
    </row>
    <row r="76" spans="1:10" x14ac:dyDescent="0.2">
      <c r="A76" t="s">
        <v>224</v>
      </c>
      <c r="B76">
        <v>7</v>
      </c>
      <c r="C76">
        <v>0</v>
      </c>
      <c r="D76">
        <v>1</v>
      </c>
      <c r="E76">
        <v>0</v>
      </c>
      <c r="F76" s="72">
        <v>41922</v>
      </c>
      <c r="G76" t="s">
        <v>54</v>
      </c>
      <c r="H76" s="72">
        <v>41929</v>
      </c>
      <c r="I76" t="s">
        <v>50</v>
      </c>
    </row>
    <row r="77" spans="1:10" x14ac:dyDescent="0.2">
      <c r="A77" t="s">
        <v>96</v>
      </c>
      <c r="B77">
        <v>25</v>
      </c>
      <c r="C77">
        <v>0</v>
      </c>
      <c r="D77">
        <v>1</v>
      </c>
      <c r="E77">
        <v>0</v>
      </c>
      <c r="F77" s="72">
        <v>41922</v>
      </c>
      <c r="G77" t="s">
        <v>49</v>
      </c>
      <c r="H77" s="72">
        <v>41930</v>
      </c>
      <c r="I77" t="s">
        <v>96</v>
      </c>
    </row>
    <row r="78" spans="1:10" x14ac:dyDescent="0.2">
      <c r="A78" t="s">
        <v>326</v>
      </c>
      <c r="B78">
        <v>2.5</v>
      </c>
      <c r="C78">
        <v>0</v>
      </c>
      <c r="D78">
        <v>1</v>
      </c>
      <c r="E78">
        <v>0</v>
      </c>
      <c r="F78" s="72">
        <v>41922</v>
      </c>
      <c r="G78" t="s">
        <v>49</v>
      </c>
      <c r="H78" s="72">
        <v>41930</v>
      </c>
      <c r="I78" t="s">
        <v>50</v>
      </c>
    </row>
    <row r="79" spans="1:10" x14ac:dyDescent="0.2">
      <c r="A79" t="s">
        <v>201</v>
      </c>
      <c r="B79">
        <v>78</v>
      </c>
      <c r="C79">
        <v>0</v>
      </c>
      <c r="D79">
        <v>1</v>
      </c>
      <c r="E79">
        <v>0</v>
      </c>
      <c r="F79" s="72">
        <v>41922</v>
      </c>
      <c r="G79" t="s">
        <v>49</v>
      </c>
      <c r="H79" s="72">
        <v>41930</v>
      </c>
      <c r="I79" t="s">
        <v>344</v>
      </c>
    </row>
    <row r="80" spans="1:10" x14ac:dyDescent="0.2">
      <c r="A80" t="s">
        <v>52</v>
      </c>
      <c r="B80">
        <v>10.51</v>
      </c>
      <c r="C80">
        <v>0</v>
      </c>
      <c r="D80">
        <v>1</v>
      </c>
      <c r="E80">
        <v>0</v>
      </c>
      <c r="F80" s="72">
        <v>41922</v>
      </c>
      <c r="G80" t="s">
        <v>49</v>
      </c>
      <c r="H80" s="72">
        <v>41930</v>
      </c>
      <c r="I80" t="s">
        <v>52</v>
      </c>
    </row>
    <row r="81" spans="1:9" x14ac:dyDescent="0.2">
      <c r="A81" t="s">
        <v>48</v>
      </c>
      <c r="B81">
        <v>20</v>
      </c>
      <c r="C81">
        <v>0</v>
      </c>
      <c r="D81">
        <v>1</v>
      </c>
      <c r="E81">
        <v>0</v>
      </c>
      <c r="F81" s="72">
        <v>41922</v>
      </c>
      <c r="G81" t="s">
        <v>49</v>
      </c>
      <c r="H81" s="72">
        <v>41931</v>
      </c>
      <c r="I81" t="s">
        <v>48</v>
      </c>
    </row>
    <row r="82" spans="1:9" x14ac:dyDescent="0.2">
      <c r="A82" t="s">
        <v>43</v>
      </c>
      <c r="B82">
        <v>30</v>
      </c>
      <c r="C82">
        <v>1</v>
      </c>
      <c r="D82">
        <v>0</v>
      </c>
      <c r="E82">
        <v>0</v>
      </c>
      <c r="F82" s="72">
        <v>41922</v>
      </c>
      <c r="G82" t="s">
        <v>49</v>
      </c>
      <c r="H82" s="72">
        <v>41931</v>
      </c>
      <c r="I82" t="s">
        <v>153</v>
      </c>
    </row>
    <row r="83" spans="1:9" x14ac:dyDescent="0.2">
      <c r="A83" t="s">
        <v>156</v>
      </c>
      <c r="B83">
        <v>400</v>
      </c>
      <c r="C83">
        <v>1</v>
      </c>
      <c r="D83">
        <v>0</v>
      </c>
      <c r="E83">
        <v>0</v>
      </c>
      <c r="F83" s="72">
        <v>41922</v>
      </c>
      <c r="G83" t="s">
        <v>55</v>
      </c>
      <c r="H83" s="72">
        <v>41932</v>
      </c>
      <c r="I83" t="s">
        <v>346</v>
      </c>
    </row>
    <row r="84" spans="1:9" x14ac:dyDescent="0.2">
      <c r="A84" s="1" t="s">
        <v>382</v>
      </c>
      <c r="B84">
        <v>10.56</v>
      </c>
      <c r="C84">
        <v>0</v>
      </c>
      <c r="D84">
        <v>1</v>
      </c>
      <c r="E84">
        <v>0</v>
      </c>
      <c r="F84" s="72">
        <v>41922</v>
      </c>
      <c r="G84" t="s">
        <v>55</v>
      </c>
      <c r="H84" s="72">
        <v>41932</v>
      </c>
      <c r="I84" t="s">
        <v>189</v>
      </c>
    </row>
    <row r="85" spans="1:9" x14ac:dyDescent="0.2">
      <c r="A85" t="s">
        <v>48</v>
      </c>
      <c r="B85">
        <v>20</v>
      </c>
      <c r="C85">
        <v>0</v>
      </c>
      <c r="D85">
        <v>1</v>
      </c>
      <c r="E85">
        <v>0</v>
      </c>
      <c r="F85" s="72">
        <v>41922</v>
      </c>
      <c r="G85" t="s">
        <v>55</v>
      </c>
      <c r="H85" s="72">
        <v>41932</v>
      </c>
      <c r="I85" t="s">
        <v>48</v>
      </c>
    </row>
    <row r="86" spans="1:9" x14ac:dyDescent="0.2">
      <c r="A86" t="s">
        <v>224</v>
      </c>
      <c r="B86">
        <v>5.36</v>
      </c>
      <c r="C86">
        <v>0</v>
      </c>
      <c r="D86">
        <v>1</v>
      </c>
      <c r="E86">
        <v>0</v>
      </c>
      <c r="F86" s="72">
        <v>41922</v>
      </c>
      <c r="G86" t="s">
        <v>55</v>
      </c>
      <c r="H86" s="72">
        <v>41933</v>
      </c>
      <c r="I86" t="s">
        <v>50</v>
      </c>
    </row>
    <row r="87" spans="1:9" x14ac:dyDescent="0.2">
      <c r="A87" t="s">
        <v>96</v>
      </c>
      <c r="B87">
        <v>18.8</v>
      </c>
      <c r="C87">
        <v>0</v>
      </c>
      <c r="D87">
        <v>1</v>
      </c>
      <c r="E87">
        <v>0</v>
      </c>
      <c r="F87" s="72">
        <v>41922</v>
      </c>
      <c r="G87" t="s">
        <v>55</v>
      </c>
      <c r="H87" s="72">
        <v>41936</v>
      </c>
      <c r="I87" t="s">
        <v>96</v>
      </c>
    </row>
    <row r="88" spans="1:9" x14ac:dyDescent="0.2">
      <c r="A88" t="s">
        <v>224</v>
      </c>
      <c r="B88">
        <v>4.29</v>
      </c>
      <c r="C88">
        <v>0</v>
      </c>
      <c r="D88">
        <v>1</v>
      </c>
      <c r="E88">
        <v>0</v>
      </c>
      <c r="F88" s="72">
        <v>41922</v>
      </c>
      <c r="G88" t="s">
        <v>55</v>
      </c>
      <c r="H88" s="72">
        <v>41936</v>
      </c>
      <c r="I88" t="s">
        <v>50</v>
      </c>
    </row>
    <row r="89" spans="1:9" x14ac:dyDescent="0.2">
      <c r="A89" s="1" t="s">
        <v>382</v>
      </c>
      <c r="B89">
        <v>25.4</v>
      </c>
      <c r="C89">
        <v>0</v>
      </c>
      <c r="D89">
        <v>1</v>
      </c>
      <c r="E89">
        <v>0</v>
      </c>
      <c r="F89" s="72">
        <v>41922</v>
      </c>
      <c r="G89" t="s">
        <v>55</v>
      </c>
      <c r="H89" s="72">
        <v>41936</v>
      </c>
      <c r="I89" t="s">
        <v>189</v>
      </c>
    </row>
    <row r="90" spans="1:9" x14ac:dyDescent="0.2">
      <c r="A90" t="s">
        <v>326</v>
      </c>
      <c r="B90">
        <v>15.5</v>
      </c>
      <c r="C90">
        <v>0</v>
      </c>
      <c r="D90">
        <v>1</v>
      </c>
      <c r="E90">
        <v>0</v>
      </c>
      <c r="F90" s="72">
        <v>41922</v>
      </c>
      <c r="G90" t="s">
        <v>55</v>
      </c>
      <c r="H90" s="72">
        <v>41936</v>
      </c>
      <c r="I90" t="s">
        <v>50</v>
      </c>
    </row>
    <row r="91" spans="1:9" x14ac:dyDescent="0.2">
      <c r="A91" t="s">
        <v>203</v>
      </c>
      <c r="B91">
        <v>0</v>
      </c>
      <c r="C91">
        <v>1</v>
      </c>
      <c r="D91">
        <v>0</v>
      </c>
      <c r="E91">
        <v>0</v>
      </c>
      <c r="F91" s="72">
        <v>41922</v>
      </c>
      <c r="G91" t="s">
        <v>55</v>
      </c>
      <c r="H91" s="72">
        <v>41936</v>
      </c>
      <c r="I91" t="s">
        <v>344</v>
      </c>
    </row>
    <row r="92" spans="1:9" x14ac:dyDescent="0.2">
      <c r="A92" t="s">
        <v>44</v>
      </c>
      <c r="B92">
        <v>100</v>
      </c>
      <c r="C92">
        <v>1</v>
      </c>
      <c r="D92">
        <v>0</v>
      </c>
      <c r="E92">
        <v>0</v>
      </c>
      <c r="F92" s="72">
        <v>41922</v>
      </c>
      <c r="G92" t="s">
        <v>49</v>
      </c>
      <c r="H92" s="72">
        <v>41937</v>
      </c>
      <c r="I92" t="s">
        <v>60</v>
      </c>
    </row>
    <row r="93" spans="1:9" x14ac:dyDescent="0.2">
      <c r="A93" t="s">
        <v>204</v>
      </c>
      <c r="B93">
        <v>300</v>
      </c>
      <c r="C93">
        <v>0</v>
      </c>
      <c r="D93">
        <v>1</v>
      </c>
      <c r="E93">
        <v>0</v>
      </c>
      <c r="F93" s="72">
        <v>41922</v>
      </c>
      <c r="G93" t="s">
        <v>49</v>
      </c>
      <c r="H93" s="72">
        <v>41937</v>
      </c>
      <c r="I93" t="s">
        <v>153</v>
      </c>
    </row>
    <row r="94" spans="1:9" x14ac:dyDescent="0.2">
      <c r="A94" t="s">
        <v>48</v>
      </c>
      <c r="B94">
        <v>50</v>
      </c>
      <c r="C94">
        <v>0</v>
      </c>
      <c r="D94">
        <v>1</v>
      </c>
      <c r="E94">
        <v>0</v>
      </c>
      <c r="F94" s="72">
        <v>41922</v>
      </c>
      <c r="G94" t="s">
        <v>49</v>
      </c>
      <c r="H94" s="72">
        <v>41937</v>
      </c>
      <c r="I94" t="s">
        <v>48</v>
      </c>
    </row>
    <row r="95" spans="1:9" x14ac:dyDescent="0.2">
      <c r="A95" s="1" t="s">
        <v>382</v>
      </c>
      <c r="B95">
        <v>2.21</v>
      </c>
      <c r="C95">
        <v>0</v>
      </c>
      <c r="D95">
        <v>1</v>
      </c>
      <c r="E95">
        <v>0</v>
      </c>
      <c r="F95" s="72">
        <v>41922</v>
      </c>
      <c r="G95" t="s">
        <v>49</v>
      </c>
      <c r="H95" s="72">
        <v>41937</v>
      </c>
      <c r="I95" t="s">
        <v>189</v>
      </c>
    </row>
    <row r="96" spans="1:9" x14ac:dyDescent="0.2">
      <c r="A96" t="s">
        <v>43</v>
      </c>
      <c r="B96">
        <v>30</v>
      </c>
      <c r="C96">
        <v>1</v>
      </c>
      <c r="D96">
        <v>0</v>
      </c>
      <c r="E96">
        <v>0</v>
      </c>
      <c r="F96" s="72">
        <v>41922</v>
      </c>
      <c r="G96" t="s">
        <v>49</v>
      </c>
      <c r="H96" s="72">
        <v>41938</v>
      </c>
      <c r="I96" t="s">
        <v>153</v>
      </c>
    </row>
    <row r="97" spans="1:9" x14ac:dyDescent="0.2">
      <c r="A97" s="1" t="s">
        <v>382</v>
      </c>
      <c r="B97">
        <v>6.98</v>
      </c>
      <c r="C97">
        <v>0</v>
      </c>
      <c r="D97">
        <v>1</v>
      </c>
      <c r="E97">
        <v>0</v>
      </c>
      <c r="F97" s="72">
        <v>41922</v>
      </c>
      <c r="G97" t="s">
        <v>49</v>
      </c>
      <c r="H97" s="72">
        <v>41938</v>
      </c>
      <c r="I97" t="s">
        <v>189</v>
      </c>
    </row>
    <row r="98" spans="1:9" x14ac:dyDescent="0.2">
      <c r="A98" s="1" t="s">
        <v>382</v>
      </c>
      <c r="B98">
        <v>8.25</v>
      </c>
      <c r="C98">
        <v>0</v>
      </c>
      <c r="D98">
        <v>1</v>
      </c>
      <c r="E98">
        <v>0</v>
      </c>
      <c r="F98" s="72">
        <v>41922</v>
      </c>
      <c r="G98" t="s">
        <v>179</v>
      </c>
      <c r="H98" s="72">
        <v>41940</v>
      </c>
      <c r="I98" t="s">
        <v>189</v>
      </c>
    </row>
    <row r="99" spans="1:9" x14ac:dyDescent="0.2">
      <c r="A99" s="1" t="s">
        <v>382</v>
      </c>
      <c r="B99">
        <v>5.9</v>
      </c>
      <c r="C99">
        <v>0</v>
      </c>
      <c r="D99">
        <v>1</v>
      </c>
      <c r="E99">
        <v>0</v>
      </c>
      <c r="F99" s="72">
        <v>41922</v>
      </c>
      <c r="G99" t="s">
        <v>179</v>
      </c>
      <c r="H99" s="72">
        <v>41941</v>
      </c>
      <c r="I99" t="s">
        <v>189</v>
      </c>
    </row>
    <row r="100" spans="1:9" x14ac:dyDescent="0.2">
      <c r="A100" t="s">
        <v>48</v>
      </c>
      <c r="B100">
        <v>20</v>
      </c>
      <c r="C100">
        <v>0</v>
      </c>
      <c r="D100">
        <v>1</v>
      </c>
      <c r="E100">
        <v>0</v>
      </c>
      <c r="F100" s="72">
        <v>41922</v>
      </c>
      <c r="G100" t="s">
        <v>179</v>
      </c>
      <c r="H100" s="72">
        <v>41941</v>
      </c>
      <c r="I100" t="s">
        <v>48</v>
      </c>
    </row>
    <row r="101" spans="1:9" x14ac:dyDescent="0.2">
      <c r="A101" t="s">
        <v>43</v>
      </c>
      <c r="B101">
        <v>30</v>
      </c>
      <c r="C101">
        <v>1</v>
      </c>
      <c r="D101">
        <v>0</v>
      </c>
      <c r="E101">
        <v>0</v>
      </c>
      <c r="F101" s="72">
        <v>41922</v>
      </c>
      <c r="G101" t="s">
        <v>179</v>
      </c>
      <c r="H101" s="72">
        <v>41942</v>
      </c>
      <c r="I101" t="s">
        <v>153</v>
      </c>
    </row>
    <row r="102" spans="1:9" x14ac:dyDescent="0.2">
      <c r="A102" t="s">
        <v>96</v>
      </c>
      <c r="B102">
        <v>20.86</v>
      </c>
      <c r="C102">
        <v>0</v>
      </c>
      <c r="D102">
        <v>1</v>
      </c>
      <c r="E102">
        <v>0</v>
      </c>
      <c r="F102" s="72">
        <v>41922</v>
      </c>
      <c r="G102" t="s">
        <v>179</v>
      </c>
      <c r="H102" s="72">
        <v>41942</v>
      </c>
      <c r="I102" t="s">
        <v>96</v>
      </c>
    </row>
    <row r="103" spans="1:9" x14ac:dyDescent="0.2">
      <c r="A103" s="1" t="s">
        <v>382</v>
      </c>
      <c r="B103">
        <v>8</v>
      </c>
      <c r="C103">
        <v>0</v>
      </c>
      <c r="D103">
        <v>1</v>
      </c>
      <c r="E103">
        <v>0</v>
      </c>
      <c r="F103" s="72">
        <v>41922</v>
      </c>
      <c r="G103" t="s">
        <v>179</v>
      </c>
      <c r="H103" s="72">
        <v>41942</v>
      </c>
      <c r="I103" t="s">
        <v>189</v>
      </c>
    </row>
    <row r="104" spans="1:9" x14ac:dyDescent="0.2">
      <c r="A104" t="s">
        <v>43</v>
      </c>
      <c r="B104">
        <v>30</v>
      </c>
      <c r="C104">
        <v>1</v>
      </c>
      <c r="D104">
        <v>0</v>
      </c>
      <c r="E104">
        <v>0</v>
      </c>
      <c r="F104" s="72">
        <v>41922</v>
      </c>
      <c r="G104" t="s">
        <v>179</v>
      </c>
      <c r="H104" s="72">
        <v>41943</v>
      </c>
      <c r="I104" t="s">
        <v>153</v>
      </c>
    </row>
    <row r="105" spans="1:9" x14ac:dyDescent="0.2">
      <c r="A105" s="1" t="s">
        <v>382</v>
      </c>
      <c r="B105">
        <v>14</v>
      </c>
      <c r="C105">
        <v>0</v>
      </c>
      <c r="D105">
        <v>1</v>
      </c>
      <c r="E105">
        <v>0</v>
      </c>
      <c r="F105" s="72">
        <v>41922</v>
      </c>
      <c r="G105" t="s">
        <v>49</v>
      </c>
      <c r="H105" s="72">
        <v>41944</v>
      </c>
      <c r="I105" t="s">
        <v>189</v>
      </c>
    </row>
    <row r="106" spans="1:9" x14ac:dyDescent="0.2">
      <c r="A106" t="s">
        <v>761</v>
      </c>
      <c r="B106">
        <v>14</v>
      </c>
      <c r="C106">
        <v>0</v>
      </c>
      <c r="D106">
        <v>1</v>
      </c>
      <c r="E106">
        <v>0</v>
      </c>
      <c r="F106" s="72">
        <v>41922</v>
      </c>
      <c r="G106" t="s">
        <v>49</v>
      </c>
      <c r="H106" s="72">
        <v>41944</v>
      </c>
      <c r="I106" t="s">
        <v>46</v>
      </c>
    </row>
    <row r="107" spans="1:9" x14ac:dyDescent="0.2">
      <c r="A107" t="s">
        <v>205</v>
      </c>
      <c r="B107">
        <v>22</v>
      </c>
      <c r="C107">
        <v>0</v>
      </c>
      <c r="D107">
        <v>1</v>
      </c>
      <c r="E107">
        <v>0</v>
      </c>
      <c r="F107" s="72">
        <v>41922</v>
      </c>
      <c r="G107" t="s">
        <v>49</v>
      </c>
      <c r="H107" s="72">
        <v>41944</v>
      </c>
      <c r="I107" t="s">
        <v>206</v>
      </c>
    </row>
    <row r="108" spans="1:9" x14ac:dyDescent="0.2">
      <c r="A108" t="s">
        <v>205</v>
      </c>
      <c r="B108">
        <v>29</v>
      </c>
      <c r="C108">
        <v>0</v>
      </c>
      <c r="D108">
        <v>1</v>
      </c>
      <c r="E108">
        <v>0</v>
      </c>
      <c r="F108" s="72">
        <v>41922</v>
      </c>
      <c r="G108" t="s">
        <v>49</v>
      </c>
      <c r="H108" s="72">
        <v>41944</v>
      </c>
      <c r="I108" t="s">
        <v>206</v>
      </c>
    </row>
    <row r="109" spans="1:9" x14ac:dyDescent="0.2">
      <c r="A109" t="s">
        <v>43</v>
      </c>
      <c r="B109">
        <v>30</v>
      </c>
      <c r="C109">
        <v>1</v>
      </c>
      <c r="D109">
        <v>0</v>
      </c>
      <c r="E109">
        <v>0</v>
      </c>
      <c r="F109" s="72">
        <v>41922</v>
      </c>
      <c r="G109" t="s">
        <v>49</v>
      </c>
      <c r="H109" s="72">
        <v>41945</v>
      </c>
      <c r="I109" t="s">
        <v>153</v>
      </c>
    </row>
    <row r="110" spans="1:9" x14ac:dyDescent="0.2">
      <c r="A110" t="s">
        <v>43</v>
      </c>
      <c r="B110">
        <v>0</v>
      </c>
      <c r="C110">
        <v>1</v>
      </c>
      <c r="D110">
        <v>0</v>
      </c>
      <c r="E110">
        <v>0</v>
      </c>
      <c r="F110" s="72">
        <v>41922</v>
      </c>
      <c r="G110" t="s">
        <v>49</v>
      </c>
      <c r="H110" s="72">
        <v>41945</v>
      </c>
      <c r="I110" t="s">
        <v>153</v>
      </c>
    </row>
    <row r="111" spans="1:9" x14ac:dyDescent="0.2">
      <c r="A111" t="s">
        <v>48</v>
      </c>
      <c r="B111">
        <v>50</v>
      </c>
      <c r="C111">
        <v>0</v>
      </c>
      <c r="D111">
        <v>1</v>
      </c>
      <c r="E111">
        <v>0</v>
      </c>
      <c r="F111" s="72">
        <v>41922</v>
      </c>
      <c r="G111" t="s">
        <v>49</v>
      </c>
      <c r="H111" s="72">
        <v>41945</v>
      </c>
      <c r="I111" t="s">
        <v>48</v>
      </c>
    </row>
    <row r="112" spans="1:9" x14ac:dyDescent="0.2">
      <c r="A112" s="1" t="s">
        <v>404</v>
      </c>
      <c r="B112">
        <v>44.08</v>
      </c>
      <c r="C112">
        <v>0</v>
      </c>
      <c r="D112">
        <v>1</v>
      </c>
      <c r="E112">
        <v>0</v>
      </c>
      <c r="F112" s="72">
        <v>41922</v>
      </c>
      <c r="G112" t="s">
        <v>49</v>
      </c>
      <c r="H112" s="72">
        <v>41945</v>
      </c>
      <c r="I112" t="s">
        <v>153</v>
      </c>
    </row>
    <row r="113" spans="1:9" x14ac:dyDescent="0.2">
      <c r="A113" t="s">
        <v>339</v>
      </c>
      <c r="B113">
        <v>250</v>
      </c>
      <c r="C113">
        <v>0</v>
      </c>
      <c r="D113">
        <v>1</v>
      </c>
      <c r="E113">
        <v>0</v>
      </c>
      <c r="F113" s="72">
        <v>41922</v>
      </c>
      <c r="G113" t="s">
        <v>47</v>
      </c>
      <c r="H113" s="72">
        <v>41947</v>
      </c>
      <c r="I113" t="s">
        <v>153</v>
      </c>
    </row>
    <row r="114" spans="1:9" x14ac:dyDescent="0.2">
      <c r="A114" t="s">
        <v>48</v>
      </c>
      <c r="B114">
        <v>10</v>
      </c>
      <c r="C114">
        <v>0</v>
      </c>
      <c r="D114">
        <v>1</v>
      </c>
      <c r="E114">
        <v>0</v>
      </c>
      <c r="F114" s="72">
        <v>41922</v>
      </c>
      <c r="G114" t="s">
        <v>47</v>
      </c>
      <c r="H114" s="72">
        <v>41947</v>
      </c>
      <c r="I114" t="s">
        <v>48</v>
      </c>
    </row>
    <row r="115" spans="1:9" x14ac:dyDescent="0.2">
      <c r="A115" s="1" t="s">
        <v>382</v>
      </c>
      <c r="B115">
        <v>11.49</v>
      </c>
      <c r="C115">
        <v>0</v>
      </c>
      <c r="D115">
        <v>1</v>
      </c>
      <c r="E115">
        <v>0</v>
      </c>
      <c r="F115" s="72">
        <v>41922</v>
      </c>
      <c r="G115" t="s">
        <v>47</v>
      </c>
      <c r="H115" s="72">
        <v>41948</v>
      </c>
      <c r="I115" t="s">
        <v>189</v>
      </c>
    </row>
    <row r="116" spans="1:9" x14ac:dyDescent="0.2">
      <c r="A116" s="1" t="s">
        <v>382</v>
      </c>
      <c r="B116">
        <v>16.73</v>
      </c>
      <c r="C116">
        <v>0</v>
      </c>
      <c r="D116">
        <v>1</v>
      </c>
      <c r="E116">
        <v>0</v>
      </c>
      <c r="F116" s="72">
        <v>41922</v>
      </c>
      <c r="G116" t="s">
        <v>47</v>
      </c>
      <c r="H116" s="72">
        <v>41949</v>
      </c>
      <c r="I116" t="s">
        <v>189</v>
      </c>
    </row>
    <row r="117" spans="1:9" x14ac:dyDescent="0.2">
      <c r="A117" t="s">
        <v>761</v>
      </c>
      <c r="B117">
        <v>14</v>
      </c>
      <c r="C117">
        <v>0</v>
      </c>
      <c r="D117">
        <v>1</v>
      </c>
      <c r="E117">
        <v>0</v>
      </c>
      <c r="F117" s="72">
        <v>41922</v>
      </c>
      <c r="G117" t="s">
        <v>47</v>
      </c>
      <c r="H117" s="72">
        <v>41948</v>
      </c>
      <c r="I117" t="s">
        <v>46</v>
      </c>
    </row>
    <row r="118" spans="1:9" x14ac:dyDescent="0.2">
      <c r="A118" s="1" t="s">
        <v>382</v>
      </c>
      <c r="B118">
        <v>18.04</v>
      </c>
      <c r="C118">
        <v>0</v>
      </c>
      <c r="D118">
        <v>1</v>
      </c>
      <c r="E118">
        <v>0</v>
      </c>
      <c r="F118" s="72">
        <v>41922</v>
      </c>
      <c r="G118" t="s">
        <v>47</v>
      </c>
      <c r="H118" s="72">
        <v>41947</v>
      </c>
      <c r="I118" t="s">
        <v>189</v>
      </c>
    </row>
    <row r="119" spans="1:9" x14ac:dyDescent="0.2">
      <c r="A119" t="s">
        <v>43</v>
      </c>
      <c r="B119">
        <v>30</v>
      </c>
      <c r="C119">
        <v>1</v>
      </c>
      <c r="D119">
        <v>0</v>
      </c>
      <c r="E119">
        <v>0</v>
      </c>
      <c r="F119" s="72">
        <v>41922</v>
      </c>
      <c r="G119" t="s">
        <v>47</v>
      </c>
      <c r="H119" s="72">
        <v>41948</v>
      </c>
      <c r="I119" t="s">
        <v>153</v>
      </c>
    </row>
    <row r="120" spans="1:9" x14ac:dyDescent="0.2">
      <c r="A120" t="s">
        <v>224</v>
      </c>
      <c r="B120">
        <v>8</v>
      </c>
      <c r="C120">
        <v>0</v>
      </c>
      <c r="D120">
        <v>1</v>
      </c>
      <c r="E120">
        <v>0</v>
      </c>
      <c r="F120" s="72">
        <v>41922</v>
      </c>
      <c r="G120" t="s">
        <v>47</v>
      </c>
      <c r="H120" s="72">
        <v>41948</v>
      </c>
      <c r="I120" t="s">
        <v>50</v>
      </c>
    </row>
    <row r="121" spans="1:9" x14ac:dyDescent="0.2">
      <c r="A121" t="s">
        <v>96</v>
      </c>
      <c r="B121">
        <v>24.9</v>
      </c>
      <c r="C121">
        <v>0</v>
      </c>
      <c r="D121">
        <v>1</v>
      </c>
      <c r="E121">
        <v>0</v>
      </c>
      <c r="F121" s="72">
        <v>41922</v>
      </c>
      <c r="G121" t="s">
        <v>47</v>
      </c>
      <c r="H121" s="72">
        <v>41949</v>
      </c>
      <c r="I121" t="s">
        <v>96</v>
      </c>
    </row>
    <row r="122" spans="1:9" x14ac:dyDescent="0.2">
      <c r="A122" t="s">
        <v>328</v>
      </c>
      <c r="B122">
        <v>59.73</v>
      </c>
      <c r="C122">
        <v>0</v>
      </c>
      <c r="D122">
        <v>1</v>
      </c>
      <c r="E122">
        <v>0</v>
      </c>
      <c r="F122" s="72">
        <v>41922</v>
      </c>
      <c r="G122" t="s">
        <v>47</v>
      </c>
      <c r="H122" s="72">
        <v>41948</v>
      </c>
      <c r="I122" s="1" t="s">
        <v>50</v>
      </c>
    </row>
    <row r="123" spans="1:9" x14ac:dyDescent="0.2">
      <c r="A123" t="s">
        <v>224</v>
      </c>
      <c r="B123">
        <v>9.9</v>
      </c>
      <c r="C123">
        <v>0</v>
      </c>
      <c r="D123">
        <v>1</v>
      </c>
      <c r="E123">
        <v>0</v>
      </c>
      <c r="F123" s="72">
        <v>41922</v>
      </c>
      <c r="G123" t="s">
        <v>47</v>
      </c>
      <c r="H123" s="72">
        <v>41949</v>
      </c>
      <c r="I123" t="s">
        <v>50</v>
      </c>
    </row>
    <row r="124" spans="1:9" x14ac:dyDescent="0.2">
      <c r="A124" t="s">
        <v>39</v>
      </c>
      <c r="B124">
        <v>41</v>
      </c>
      <c r="C124">
        <v>1</v>
      </c>
      <c r="D124">
        <v>0</v>
      </c>
      <c r="E124">
        <v>0</v>
      </c>
      <c r="F124" s="72">
        <v>41922</v>
      </c>
      <c r="G124" t="s">
        <v>47</v>
      </c>
      <c r="H124" s="72">
        <v>41947</v>
      </c>
      <c r="I124" t="s">
        <v>345</v>
      </c>
    </row>
    <row r="125" spans="1:9" x14ac:dyDescent="0.2">
      <c r="A125" t="s">
        <v>44</v>
      </c>
      <c r="B125">
        <v>100</v>
      </c>
      <c r="C125">
        <v>1</v>
      </c>
      <c r="D125">
        <v>0</v>
      </c>
      <c r="E125">
        <v>0</v>
      </c>
      <c r="F125" s="72">
        <v>41922</v>
      </c>
      <c r="G125" t="s">
        <v>47</v>
      </c>
      <c r="H125" s="72">
        <v>41950</v>
      </c>
      <c r="I125" t="s">
        <v>60</v>
      </c>
    </row>
    <row r="126" spans="1:9" x14ac:dyDescent="0.2">
      <c r="A126" t="s">
        <v>96</v>
      </c>
      <c r="B126">
        <v>24.7</v>
      </c>
      <c r="C126">
        <v>0</v>
      </c>
      <c r="D126">
        <v>1</v>
      </c>
      <c r="E126">
        <v>0</v>
      </c>
      <c r="F126" s="72">
        <v>41922</v>
      </c>
      <c r="G126" t="s">
        <v>47</v>
      </c>
      <c r="H126" s="72">
        <v>41950</v>
      </c>
      <c r="I126" t="s">
        <v>96</v>
      </c>
    </row>
    <row r="127" spans="1:9" x14ac:dyDescent="0.2">
      <c r="A127" t="s">
        <v>326</v>
      </c>
      <c r="B127">
        <v>34.75</v>
      </c>
      <c r="C127">
        <v>0</v>
      </c>
      <c r="D127">
        <v>1</v>
      </c>
      <c r="E127">
        <v>0</v>
      </c>
      <c r="F127" s="72">
        <v>41922</v>
      </c>
      <c r="G127" t="s">
        <v>47</v>
      </c>
      <c r="H127" s="72">
        <v>41951</v>
      </c>
      <c r="I127" t="s">
        <v>50</v>
      </c>
    </row>
    <row r="128" spans="1:9" x14ac:dyDescent="0.2">
      <c r="A128" t="s">
        <v>207</v>
      </c>
      <c r="B128">
        <v>20</v>
      </c>
      <c r="C128">
        <v>0</v>
      </c>
      <c r="D128">
        <v>1</v>
      </c>
      <c r="E128">
        <v>0</v>
      </c>
      <c r="F128" s="72">
        <v>41922</v>
      </c>
      <c r="G128" t="s">
        <v>47</v>
      </c>
      <c r="H128" s="72">
        <v>41950</v>
      </c>
      <c r="I128" t="s">
        <v>344</v>
      </c>
    </row>
    <row r="129" spans="1:9" x14ac:dyDescent="0.2">
      <c r="A129" s="27" t="s">
        <v>21</v>
      </c>
      <c r="B129" s="27">
        <f>SUMIF(credito!F2:F101,F129,credito!B2:B101)</f>
        <v>1536.54</v>
      </c>
      <c r="C129" s="27">
        <v>1</v>
      </c>
      <c r="D129" s="27">
        <v>0</v>
      </c>
      <c r="E129" s="27">
        <v>0</v>
      </c>
      <c r="F129" s="84">
        <v>41953</v>
      </c>
      <c r="G129" s="27" t="s">
        <v>54</v>
      </c>
      <c r="H129" s="84">
        <v>41960</v>
      </c>
      <c r="I129" s="27" t="s">
        <v>338</v>
      </c>
    </row>
    <row r="130" spans="1:9" x14ac:dyDescent="0.2">
      <c r="A130" t="s">
        <v>40</v>
      </c>
      <c r="B130">
        <v>4.99</v>
      </c>
      <c r="C130">
        <v>1</v>
      </c>
      <c r="D130">
        <v>0</v>
      </c>
      <c r="E130">
        <v>0</v>
      </c>
      <c r="F130" s="72">
        <v>41953</v>
      </c>
      <c r="G130" t="s">
        <v>51</v>
      </c>
      <c r="H130" s="72">
        <v>41953</v>
      </c>
      <c r="I130" t="s">
        <v>345</v>
      </c>
    </row>
    <row r="131" spans="1:9" x14ac:dyDescent="0.2">
      <c r="A131" t="s">
        <v>2</v>
      </c>
      <c r="B131">
        <v>50</v>
      </c>
      <c r="C131">
        <v>1</v>
      </c>
      <c r="D131">
        <v>0</v>
      </c>
      <c r="E131">
        <v>0</v>
      </c>
      <c r="F131" s="72">
        <v>41953</v>
      </c>
      <c r="G131" t="s">
        <v>51</v>
      </c>
      <c r="H131" s="72">
        <v>41953</v>
      </c>
      <c r="I131" t="s">
        <v>762</v>
      </c>
    </row>
    <row r="132" spans="1:9" x14ac:dyDescent="0.2">
      <c r="A132" t="s">
        <v>38</v>
      </c>
      <c r="B132">
        <v>51.9</v>
      </c>
      <c r="C132">
        <v>1</v>
      </c>
      <c r="D132">
        <v>0</v>
      </c>
      <c r="E132">
        <v>0</v>
      </c>
      <c r="F132" s="72">
        <v>41953</v>
      </c>
      <c r="G132" t="s">
        <v>51</v>
      </c>
      <c r="H132" s="72">
        <v>41953</v>
      </c>
      <c r="I132" t="s">
        <v>345</v>
      </c>
    </row>
    <row r="133" spans="1:9" x14ac:dyDescent="0.2">
      <c r="A133" t="s">
        <v>202</v>
      </c>
      <c r="B133">
        <v>40.78</v>
      </c>
      <c r="C133">
        <v>1</v>
      </c>
      <c r="D133">
        <v>0</v>
      </c>
      <c r="E133">
        <v>0</v>
      </c>
      <c r="F133" s="72">
        <v>41953</v>
      </c>
      <c r="G133" t="s">
        <v>51</v>
      </c>
      <c r="H133" s="72">
        <v>41953</v>
      </c>
      <c r="I133" t="s">
        <v>345</v>
      </c>
    </row>
    <row r="134" spans="1:9" x14ac:dyDescent="0.2">
      <c r="A134" t="s">
        <v>0</v>
      </c>
      <c r="B134">
        <v>362.25</v>
      </c>
      <c r="C134">
        <v>1</v>
      </c>
      <c r="D134">
        <v>0</v>
      </c>
      <c r="E134">
        <v>0</v>
      </c>
      <c r="F134" s="72">
        <v>41953</v>
      </c>
      <c r="G134" t="s">
        <v>51</v>
      </c>
      <c r="H134" s="72">
        <v>41953</v>
      </c>
      <c r="I134" t="s">
        <v>346</v>
      </c>
    </row>
    <row r="135" spans="1:9" x14ac:dyDescent="0.2">
      <c r="A135" t="s">
        <v>3</v>
      </c>
      <c r="B135">
        <v>61.38</v>
      </c>
      <c r="C135">
        <v>1</v>
      </c>
      <c r="D135">
        <v>0</v>
      </c>
      <c r="E135">
        <v>0</v>
      </c>
      <c r="F135" s="72">
        <v>41953</v>
      </c>
      <c r="G135" t="s">
        <v>51</v>
      </c>
      <c r="H135" s="72">
        <v>41953</v>
      </c>
      <c r="I135" t="s">
        <v>346</v>
      </c>
    </row>
    <row r="136" spans="1:9" x14ac:dyDescent="0.2">
      <c r="A136" t="s">
        <v>1</v>
      </c>
      <c r="B136">
        <v>421.12</v>
      </c>
      <c r="C136">
        <v>1</v>
      </c>
      <c r="D136">
        <v>0</v>
      </c>
      <c r="E136">
        <v>0</v>
      </c>
      <c r="F136" s="72">
        <v>41953</v>
      </c>
      <c r="G136" t="s">
        <v>51</v>
      </c>
      <c r="H136" s="72">
        <v>41953</v>
      </c>
      <c r="I136" t="s">
        <v>346</v>
      </c>
    </row>
    <row r="137" spans="1:9" x14ac:dyDescent="0.2">
      <c r="A137" t="s">
        <v>156</v>
      </c>
      <c r="B137">
        <v>450</v>
      </c>
      <c r="C137">
        <v>1</v>
      </c>
      <c r="D137">
        <v>0</v>
      </c>
      <c r="E137">
        <v>0</v>
      </c>
      <c r="F137" s="72">
        <v>41953</v>
      </c>
      <c r="G137" t="s">
        <v>51</v>
      </c>
      <c r="H137" s="72">
        <v>41953</v>
      </c>
      <c r="I137" t="s">
        <v>346</v>
      </c>
    </row>
    <row r="138" spans="1:9" x14ac:dyDescent="0.2">
      <c r="A138" t="s">
        <v>26</v>
      </c>
      <c r="B138">
        <v>501.76</v>
      </c>
      <c r="C138">
        <v>1</v>
      </c>
      <c r="D138">
        <v>0</v>
      </c>
      <c r="E138">
        <v>0</v>
      </c>
      <c r="F138" s="72">
        <v>41953</v>
      </c>
      <c r="G138" t="s">
        <v>51</v>
      </c>
      <c r="H138" s="72">
        <v>41953</v>
      </c>
      <c r="I138" t="s">
        <v>345</v>
      </c>
    </row>
    <row r="139" spans="1:9" x14ac:dyDescent="0.2">
      <c r="A139" t="s">
        <v>28</v>
      </c>
      <c r="B139">
        <v>38.5</v>
      </c>
      <c r="C139">
        <v>1</v>
      </c>
      <c r="D139">
        <v>0</v>
      </c>
      <c r="E139">
        <v>0</v>
      </c>
      <c r="F139" s="72">
        <v>41953</v>
      </c>
      <c r="G139" t="s">
        <v>51</v>
      </c>
      <c r="H139" s="72">
        <v>41953</v>
      </c>
      <c r="I139" t="s">
        <v>345</v>
      </c>
    </row>
    <row r="140" spans="1:9" x14ac:dyDescent="0.2">
      <c r="A140" t="s">
        <v>27</v>
      </c>
      <c r="B140">
        <v>282.25</v>
      </c>
      <c r="C140">
        <v>1</v>
      </c>
      <c r="D140">
        <v>0</v>
      </c>
      <c r="E140">
        <v>0</v>
      </c>
      <c r="F140" s="72">
        <v>41953</v>
      </c>
      <c r="G140" t="s">
        <v>51</v>
      </c>
      <c r="H140" s="72">
        <v>41953</v>
      </c>
      <c r="I140" t="s">
        <v>345</v>
      </c>
    </row>
    <row r="141" spans="1:9" x14ac:dyDescent="0.2">
      <c r="A141" t="s">
        <v>12</v>
      </c>
      <c r="B141">
        <v>536.46</v>
      </c>
      <c r="C141">
        <v>1</v>
      </c>
      <c r="D141">
        <v>0</v>
      </c>
      <c r="E141">
        <v>0</v>
      </c>
      <c r="F141" s="72">
        <v>41953</v>
      </c>
      <c r="G141" t="s">
        <v>51</v>
      </c>
      <c r="H141" s="72">
        <v>41953</v>
      </c>
      <c r="I141" t="s">
        <v>348</v>
      </c>
    </row>
    <row r="142" spans="1:9" x14ac:dyDescent="0.2">
      <c r="A142" t="s">
        <v>25</v>
      </c>
      <c r="B142">
        <v>120</v>
      </c>
      <c r="C142">
        <v>1</v>
      </c>
      <c r="D142">
        <v>0</v>
      </c>
      <c r="E142">
        <v>0</v>
      </c>
      <c r="F142" s="72">
        <v>41953</v>
      </c>
      <c r="G142" t="s">
        <v>51</v>
      </c>
      <c r="H142" s="72">
        <v>41953</v>
      </c>
      <c r="I142" t="s">
        <v>347</v>
      </c>
    </row>
    <row r="143" spans="1:9" x14ac:dyDescent="0.2">
      <c r="A143" t="s">
        <v>39</v>
      </c>
      <c r="B143">
        <v>41</v>
      </c>
      <c r="C143">
        <v>1</v>
      </c>
      <c r="D143">
        <v>0</v>
      </c>
      <c r="E143">
        <v>0</v>
      </c>
      <c r="F143" s="72">
        <v>41953</v>
      </c>
      <c r="G143" t="s">
        <v>51</v>
      </c>
      <c r="H143" s="72">
        <v>41977</v>
      </c>
      <c r="I143" t="s">
        <v>345</v>
      </c>
    </row>
    <row r="144" spans="1:9" x14ac:dyDescent="0.2">
      <c r="A144" t="s">
        <v>43</v>
      </c>
      <c r="B144">
        <v>60</v>
      </c>
      <c r="C144">
        <v>1</v>
      </c>
      <c r="D144">
        <v>0</v>
      </c>
      <c r="E144">
        <v>0</v>
      </c>
      <c r="F144" s="72">
        <v>41953</v>
      </c>
      <c r="G144" t="s">
        <v>49</v>
      </c>
      <c r="H144" s="72">
        <v>41952</v>
      </c>
      <c r="I144" t="s">
        <v>153</v>
      </c>
    </row>
    <row r="145" spans="1:9" x14ac:dyDescent="0.2">
      <c r="A145" t="s">
        <v>52</v>
      </c>
      <c r="B145">
        <v>224.11</v>
      </c>
      <c r="C145">
        <v>0</v>
      </c>
      <c r="D145">
        <v>1</v>
      </c>
      <c r="E145">
        <v>0</v>
      </c>
      <c r="F145" s="72">
        <v>41953</v>
      </c>
      <c r="G145" t="s">
        <v>49</v>
      </c>
      <c r="H145" s="72">
        <v>41952</v>
      </c>
      <c r="I145" t="s">
        <v>52</v>
      </c>
    </row>
    <row r="146" spans="1:9" x14ac:dyDescent="0.2">
      <c r="A146" t="s">
        <v>48</v>
      </c>
      <c r="B146">
        <v>50</v>
      </c>
      <c r="C146">
        <v>0</v>
      </c>
      <c r="D146">
        <v>1</v>
      </c>
      <c r="E146">
        <v>0</v>
      </c>
      <c r="F146" s="72">
        <v>41953</v>
      </c>
      <c r="G146" t="s">
        <v>49</v>
      </c>
      <c r="H146" s="72">
        <v>41952</v>
      </c>
      <c r="I146" t="s">
        <v>48</v>
      </c>
    </row>
    <row r="147" spans="1:9" x14ac:dyDescent="0.2">
      <c r="A147" s="1" t="s">
        <v>382</v>
      </c>
      <c r="B147">
        <v>20.8</v>
      </c>
      <c r="C147">
        <v>0</v>
      </c>
      <c r="D147">
        <v>1</v>
      </c>
      <c r="E147">
        <v>0</v>
      </c>
      <c r="F147" s="72">
        <v>41953</v>
      </c>
      <c r="G147" t="s">
        <v>49</v>
      </c>
      <c r="H147" s="72">
        <v>41952</v>
      </c>
      <c r="I147" t="s">
        <v>189</v>
      </c>
    </row>
    <row r="148" spans="1:9" x14ac:dyDescent="0.2">
      <c r="A148" t="s">
        <v>116</v>
      </c>
      <c r="B148">
        <v>20</v>
      </c>
      <c r="C148">
        <v>0</v>
      </c>
      <c r="D148">
        <v>1</v>
      </c>
      <c r="E148">
        <v>0</v>
      </c>
      <c r="F148" s="72">
        <v>41953</v>
      </c>
      <c r="G148" t="s">
        <v>49</v>
      </c>
      <c r="H148" s="72">
        <v>41952</v>
      </c>
      <c r="I148" t="s">
        <v>344</v>
      </c>
    </row>
    <row r="149" spans="1:9" x14ac:dyDescent="0.2">
      <c r="A149" t="s">
        <v>96</v>
      </c>
      <c r="B149">
        <v>19.899999999999999</v>
      </c>
      <c r="C149">
        <v>0</v>
      </c>
      <c r="D149">
        <v>1</v>
      </c>
      <c r="E149">
        <v>0</v>
      </c>
      <c r="F149" s="72">
        <v>41953</v>
      </c>
      <c r="G149" t="s">
        <v>51</v>
      </c>
      <c r="H149" s="72">
        <v>41956</v>
      </c>
      <c r="I149" t="s">
        <v>96</v>
      </c>
    </row>
    <row r="150" spans="1:9" x14ac:dyDescent="0.2">
      <c r="A150" t="s">
        <v>224</v>
      </c>
      <c r="B150">
        <v>15.95</v>
      </c>
      <c r="C150">
        <v>0</v>
      </c>
      <c r="D150">
        <v>1</v>
      </c>
      <c r="E150">
        <v>0</v>
      </c>
      <c r="F150" s="72">
        <v>41953</v>
      </c>
      <c r="G150" t="s">
        <v>51</v>
      </c>
      <c r="H150" s="72">
        <v>41956</v>
      </c>
      <c r="I150" t="s">
        <v>50</v>
      </c>
    </row>
    <row r="151" spans="1:9" x14ac:dyDescent="0.2">
      <c r="A151" s="1" t="s">
        <v>382</v>
      </c>
      <c r="B151">
        <v>2.91</v>
      </c>
      <c r="C151">
        <v>0</v>
      </c>
      <c r="D151">
        <v>1</v>
      </c>
      <c r="E151">
        <v>0</v>
      </c>
      <c r="F151" s="72">
        <v>41953</v>
      </c>
      <c r="G151" t="s">
        <v>51</v>
      </c>
      <c r="H151" s="72">
        <v>41956</v>
      </c>
      <c r="I151" t="s">
        <v>189</v>
      </c>
    </row>
    <row r="152" spans="1:9" x14ac:dyDescent="0.2">
      <c r="A152" t="s">
        <v>96</v>
      </c>
      <c r="B152">
        <v>22</v>
      </c>
      <c r="C152">
        <v>0</v>
      </c>
      <c r="D152">
        <v>1</v>
      </c>
      <c r="E152">
        <v>0</v>
      </c>
      <c r="F152" s="72">
        <v>41953</v>
      </c>
      <c r="G152" t="s">
        <v>51</v>
      </c>
      <c r="H152" s="72">
        <v>41957</v>
      </c>
      <c r="I152" t="s">
        <v>96</v>
      </c>
    </row>
    <row r="153" spans="1:9" x14ac:dyDescent="0.2">
      <c r="A153" s="1" t="s">
        <v>382</v>
      </c>
      <c r="B153">
        <v>3</v>
      </c>
      <c r="C153">
        <v>0</v>
      </c>
      <c r="D153">
        <v>1</v>
      </c>
      <c r="E153">
        <v>0</v>
      </c>
      <c r="F153" s="72">
        <v>41953</v>
      </c>
      <c r="G153" t="s">
        <v>51</v>
      </c>
      <c r="H153" s="72">
        <v>41957</v>
      </c>
      <c r="I153" t="s">
        <v>189</v>
      </c>
    </row>
    <row r="154" spans="1:9" x14ac:dyDescent="0.2">
      <c r="A154" s="1" t="s">
        <v>382</v>
      </c>
      <c r="B154">
        <v>5.99</v>
      </c>
      <c r="C154">
        <v>0</v>
      </c>
      <c r="D154">
        <v>1</v>
      </c>
      <c r="E154">
        <v>0</v>
      </c>
      <c r="F154" s="72">
        <v>41953</v>
      </c>
      <c r="G154" t="s">
        <v>51</v>
      </c>
      <c r="H154" s="72">
        <v>41957</v>
      </c>
      <c r="I154" t="s">
        <v>189</v>
      </c>
    </row>
    <row r="155" spans="1:9" x14ac:dyDescent="0.2">
      <c r="A155" t="s">
        <v>96</v>
      </c>
      <c r="B155">
        <v>28.9</v>
      </c>
      <c r="C155">
        <v>0</v>
      </c>
      <c r="D155">
        <v>1</v>
      </c>
      <c r="E155">
        <v>0</v>
      </c>
      <c r="F155" s="72">
        <v>41953</v>
      </c>
      <c r="G155" t="s">
        <v>49</v>
      </c>
      <c r="H155" s="72">
        <v>41958</v>
      </c>
      <c r="I155" t="s">
        <v>96</v>
      </c>
    </row>
    <row r="156" spans="1:9" x14ac:dyDescent="0.2">
      <c r="A156" t="s">
        <v>43</v>
      </c>
      <c r="B156">
        <v>30</v>
      </c>
      <c r="C156">
        <v>1</v>
      </c>
      <c r="D156">
        <v>0</v>
      </c>
      <c r="E156">
        <v>0</v>
      </c>
      <c r="F156" s="72">
        <v>41953</v>
      </c>
      <c r="G156" t="s">
        <v>49</v>
      </c>
      <c r="H156" s="72">
        <v>41958</v>
      </c>
      <c r="I156" t="s">
        <v>153</v>
      </c>
    </row>
    <row r="157" spans="1:9" x14ac:dyDescent="0.2">
      <c r="A157" s="1" t="s">
        <v>382</v>
      </c>
      <c r="B157">
        <v>3.2</v>
      </c>
      <c r="C157">
        <v>0</v>
      </c>
      <c r="D157">
        <v>1</v>
      </c>
      <c r="E157">
        <v>0</v>
      </c>
      <c r="F157" s="72">
        <v>41953</v>
      </c>
      <c r="G157" t="s">
        <v>49</v>
      </c>
      <c r="H157" s="72">
        <v>41959</v>
      </c>
      <c r="I157" t="s">
        <v>189</v>
      </c>
    </row>
    <row r="158" spans="1:9" x14ac:dyDescent="0.2">
      <c r="A158" t="s">
        <v>52</v>
      </c>
      <c r="B158">
        <v>151.28</v>
      </c>
      <c r="C158">
        <v>0</v>
      </c>
      <c r="D158">
        <v>1</v>
      </c>
      <c r="E158">
        <v>0</v>
      </c>
      <c r="F158" s="72">
        <v>41953</v>
      </c>
      <c r="G158" t="s">
        <v>49</v>
      </c>
      <c r="H158" s="72">
        <v>41959</v>
      </c>
      <c r="I158" t="s">
        <v>52</v>
      </c>
    </row>
    <row r="159" spans="1:9" x14ac:dyDescent="0.2">
      <c r="A159" t="s">
        <v>107</v>
      </c>
      <c r="B159">
        <v>12.46</v>
      </c>
      <c r="C159">
        <v>0</v>
      </c>
      <c r="D159">
        <v>1</v>
      </c>
      <c r="E159">
        <v>0</v>
      </c>
      <c r="F159" s="72">
        <v>41953</v>
      </c>
      <c r="G159" t="s">
        <v>49</v>
      </c>
      <c r="H159" s="72">
        <v>41959</v>
      </c>
      <c r="I159" t="s">
        <v>107</v>
      </c>
    </row>
    <row r="160" spans="1:9" x14ac:dyDescent="0.2">
      <c r="A160" s="1" t="s">
        <v>382</v>
      </c>
      <c r="B160">
        <v>23.06</v>
      </c>
      <c r="C160">
        <v>0</v>
      </c>
      <c r="D160">
        <v>1</v>
      </c>
      <c r="E160">
        <v>0</v>
      </c>
      <c r="F160" s="72">
        <v>41953</v>
      </c>
      <c r="G160" t="s">
        <v>49</v>
      </c>
      <c r="H160" s="72">
        <v>41959</v>
      </c>
      <c r="I160" t="s">
        <v>189</v>
      </c>
    </row>
    <row r="161" spans="1:9" x14ac:dyDescent="0.2">
      <c r="A161" t="s">
        <v>43</v>
      </c>
      <c r="B161">
        <v>10</v>
      </c>
      <c r="C161">
        <v>1</v>
      </c>
      <c r="D161">
        <v>0</v>
      </c>
      <c r="E161">
        <v>0</v>
      </c>
      <c r="F161" s="72">
        <v>41953</v>
      </c>
      <c r="G161" t="s">
        <v>54</v>
      </c>
      <c r="H161" s="72">
        <v>41960</v>
      </c>
      <c r="I161" t="s">
        <v>153</v>
      </c>
    </row>
    <row r="162" spans="1:9" x14ac:dyDescent="0.2">
      <c r="A162" s="1" t="s">
        <v>382</v>
      </c>
      <c r="B162">
        <v>13</v>
      </c>
      <c r="C162">
        <v>0</v>
      </c>
      <c r="D162">
        <v>1</v>
      </c>
      <c r="E162">
        <v>0</v>
      </c>
      <c r="F162" s="72">
        <v>41953</v>
      </c>
      <c r="G162" t="s">
        <v>54</v>
      </c>
      <c r="H162" s="72">
        <v>41960</v>
      </c>
      <c r="I162" t="s">
        <v>189</v>
      </c>
    </row>
    <row r="163" spans="1:9" x14ac:dyDescent="0.2">
      <c r="A163" t="s">
        <v>48</v>
      </c>
      <c r="B163">
        <v>20</v>
      </c>
      <c r="C163">
        <v>0</v>
      </c>
      <c r="D163">
        <v>1</v>
      </c>
      <c r="E163">
        <v>0</v>
      </c>
      <c r="F163" s="72">
        <v>41953</v>
      </c>
      <c r="G163" t="s">
        <v>54</v>
      </c>
      <c r="H163" s="72">
        <v>41960</v>
      </c>
      <c r="I163" t="s">
        <v>48</v>
      </c>
    </row>
    <row r="164" spans="1:9" x14ac:dyDescent="0.2">
      <c r="A164" t="s">
        <v>43</v>
      </c>
      <c r="B164">
        <v>30</v>
      </c>
      <c r="C164">
        <v>1</v>
      </c>
      <c r="D164">
        <v>0</v>
      </c>
      <c r="E164">
        <v>0</v>
      </c>
      <c r="F164" s="72">
        <v>41953</v>
      </c>
      <c r="G164" t="s">
        <v>54</v>
      </c>
      <c r="H164" s="72">
        <v>41962</v>
      </c>
      <c r="I164" t="s">
        <v>153</v>
      </c>
    </row>
    <row r="165" spans="1:9" x14ac:dyDescent="0.2">
      <c r="A165" s="1" t="s">
        <v>382</v>
      </c>
      <c r="B165">
        <v>29.59</v>
      </c>
      <c r="C165">
        <v>0</v>
      </c>
      <c r="D165">
        <v>1</v>
      </c>
      <c r="E165">
        <v>0</v>
      </c>
      <c r="F165" s="72">
        <v>41953</v>
      </c>
      <c r="G165" t="s">
        <v>54</v>
      </c>
      <c r="H165" s="72">
        <v>41962</v>
      </c>
      <c r="I165" t="s">
        <v>189</v>
      </c>
    </row>
    <row r="166" spans="1:9" x14ac:dyDescent="0.2">
      <c r="A166" t="s">
        <v>96</v>
      </c>
      <c r="B166">
        <v>28.9</v>
      </c>
      <c r="C166">
        <v>0</v>
      </c>
      <c r="D166">
        <v>1</v>
      </c>
      <c r="E166">
        <v>0</v>
      </c>
      <c r="F166" s="72">
        <v>41953</v>
      </c>
      <c r="G166" t="s">
        <v>54</v>
      </c>
      <c r="H166" s="72">
        <v>41962</v>
      </c>
      <c r="I166" t="s">
        <v>96</v>
      </c>
    </row>
    <row r="167" spans="1:9" x14ac:dyDescent="0.2">
      <c r="A167" t="s">
        <v>52</v>
      </c>
      <c r="B167">
        <v>36.450000000000003</v>
      </c>
      <c r="C167">
        <v>0</v>
      </c>
      <c r="D167">
        <v>1</v>
      </c>
      <c r="E167">
        <v>0</v>
      </c>
      <c r="F167" s="72">
        <v>41953</v>
      </c>
      <c r="G167" t="s">
        <v>54</v>
      </c>
      <c r="H167" s="72">
        <v>41963</v>
      </c>
      <c r="I167" t="s">
        <v>52</v>
      </c>
    </row>
    <row r="168" spans="1:9" x14ac:dyDescent="0.2">
      <c r="A168" t="s">
        <v>52</v>
      </c>
      <c r="B168">
        <v>7</v>
      </c>
      <c r="C168">
        <v>0</v>
      </c>
      <c r="D168">
        <v>1</v>
      </c>
      <c r="E168">
        <v>0</v>
      </c>
      <c r="F168" s="72">
        <v>41953</v>
      </c>
      <c r="G168" t="s">
        <v>54</v>
      </c>
      <c r="H168" s="72">
        <v>41963</v>
      </c>
      <c r="I168" t="s">
        <v>52</v>
      </c>
    </row>
    <row r="169" spans="1:9" x14ac:dyDescent="0.2">
      <c r="A169" t="s">
        <v>52</v>
      </c>
      <c r="B169">
        <v>3.5</v>
      </c>
      <c r="C169">
        <v>0</v>
      </c>
      <c r="D169">
        <v>1</v>
      </c>
      <c r="E169">
        <v>0</v>
      </c>
      <c r="F169" s="72">
        <v>41953</v>
      </c>
      <c r="G169" t="s">
        <v>54</v>
      </c>
      <c r="H169" s="72">
        <v>41963</v>
      </c>
      <c r="I169" t="s">
        <v>52</v>
      </c>
    </row>
    <row r="170" spans="1:9" x14ac:dyDescent="0.2">
      <c r="A170" t="s">
        <v>212</v>
      </c>
      <c r="B170">
        <v>18</v>
      </c>
      <c r="C170">
        <v>0</v>
      </c>
      <c r="D170">
        <v>1</v>
      </c>
      <c r="E170">
        <v>0</v>
      </c>
      <c r="F170" s="72">
        <v>41953</v>
      </c>
      <c r="G170" t="s">
        <v>54</v>
      </c>
      <c r="H170" s="72">
        <v>41963</v>
      </c>
      <c r="I170" t="s">
        <v>52</v>
      </c>
    </row>
    <row r="171" spans="1:9" x14ac:dyDescent="0.2">
      <c r="A171" s="1" t="s">
        <v>382</v>
      </c>
      <c r="B171">
        <v>6.98</v>
      </c>
      <c r="C171">
        <v>0</v>
      </c>
      <c r="D171">
        <v>1</v>
      </c>
      <c r="E171">
        <v>0</v>
      </c>
      <c r="F171" s="72">
        <v>41953</v>
      </c>
      <c r="G171" t="s">
        <v>54</v>
      </c>
      <c r="H171" s="72">
        <v>41964</v>
      </c>
      <c r="I171" t="s">
        <v>189</v>
      </c>
    </row>
    <row r="172" spans="1:9" x14ac:dyDescent="0.2">
      <c r="A172" t="s">
        <v>326</v>
      </c>
      <c r="B172">
        <v>6</v>
      </c>
      <c r="C172">
        <v>0</v>
      </c>
      <c r="D172">
        <v>1</v>
      </c>
      <c r="E172">
        <v>0</v>
      </c>
      <c r="F172" s="72">
        <v>41953</v>
      </c>
      <c r="G172" t="s">
        <v>54</v>
      </c>
      <c r="H172" s="72">
        <v>41964</v>
      </c>
      <c r="I172" t="s">
        <v>50</v>
      </c>
    </row>
    <row r="173" spans="1:9" x14ac:dyDescent="0.2">
      <c r="A173" t="s">
        <v>326</v>
      </c>
      <c r="B173">
        <v>14.14</v>
      </c>
      <c r="C173">
        <v>0</v>
      </c>
      <c r="D173">
        <v>1</v>
      </c>
      <c r="E173">
        <v>0</v>
      </c>
      <c r="F173" s="72">
        <v>41953</v>
      </c>
      <c r="G173" t="s">
        <v>54</v>
      </c>
      <c r="H173" s="72">
        <v>41964</v>
      </c>
      <c r="I173" t="s">
        <v>50</v>
      </c>
    </row>
    <row r="174" spans="1:9" x14ac:dyDescent="0.2">
      <c r="A174" t="s">
        <v>44</v>
      </c>
      <c r="B174">
        <v>50</v>
      </c>
      <c r="C174">
        <v>1</v>
      </c>
      <c r="D174">
        <v>0</v>
      </c>
      <c r="E174">
        <v>0</v>
      </c>
      <c r="F174" s="72">
        <v>41953</v>
      </c>
      <c r="G174" t="s">
        <v>54</v>
      </c>
      <c r="H174" s="72">
        <v>41964</v>
      </c>
      <c r="I174" t="s">
        <v>60</v>
      </c>
    </row>
    <row r="175" spans="1:9" x14ac:dyDescent="0.2">
      <c r="A175" t="s">
        <v>329</v>
      </c>
      <c r="B175">
        <v>10</v>
      </c>
      <c r="C175">
        <v>0</v>
      </c>
      <c r="D175">
        <v>1</v>
      </c>
      <c r="E175">
        <v>0</v>
      </c>
      <c r="F175" s="72">
        <v>41953</v>
      </c>
      <c r="G175" t="s">
        <v>49</v>
      </c>
      <c r="H175" s="72">
        <v>41965</v>
      </c>
      <c r="I175" t="s">
        <v>153</v>
      </c>
    </row>
    <row r="176" spans="1:9" x14ac:dyDescent="0.2">
      <c r="A176" t="s">
        <v>48</v>
      </c>
      <c r="B176">
        <v>20</v>
      </c>
      <c r="C176">
        <v>0</v>
      </c>
      <c r="D176">
        <v>1</v>
      </c>
      <c r="E176">
        <v>0</v>
      </c>
      <c r="F176" s="72">
        <v>41953</v>
      </c>
      <c r="G176" t="s">
        <v>49</v>
      </c>
      <c r="H176" s="72">
        <v>41965</v>
      </c>
      <c r="I176" t="s">
        <v>48</v>
      </c>
    </row>
    <row r="177" spans="1:9" x14ac:dyDescent="0.2">
      <c r="A177" t="s">
        <v>52</v>
      </c>
      <c r="B177">
        <v>33.71</v>
      </c>
      <c r="C177">
        <v>0</v>
      </c>
      <c r="D177">
        <v>1</v>
      </c>
      <c r="E177">
        <v>0</v>
      </c>
      <c r="F177" s="72">
        <v>41953</v>
      </c>
      <c r="G177" t="s">
        <v>49</v>
      </c>
      <c r="H177" s="72">
        <v>41965</v>
      </c>
      <c r="I177" t="s">
        <v>52</v>
      </c>
    </row>
    <row r="178" spans="1:9" x14ac:dyDescent="0.2">
      <c r="A178" t="s">
        <v>43</v>
      </c>
      <c r="B178">
        <v>30</v>
      </c>
      <c r="C178">
        <v>1</v>
      </c>
      <c r="D178">
        <v>0</v>
      </c>
      <c r="E178">
        <v>0</v>
      </c>
      <c r="F178" s="72">
        <v>41953</v>
      </c>
      <c r="G178" t="s">
        <v>49</v>
      </c>
      <c r="H178" s="72">
        <v>41965</v>
      </c>
      <c r="I178" t="s">
        <v>153</v>
      </c>
    </row>
    <row r="179" spans="1:9" x14ac:dyDescent="0.2">
      <c r="A179" t="s">
        <v>204</v>
      </c>
      <c r="B179">
        <v>100</v>
      </c>
      <c r="C179">
        <v>0</v>
      </c>
      <c r="D179">
        <v>1</v>
      </c>
      <c r="E179">
        <v>0</v>
      </c>
      <c r="F179" s="72">
        <v>41953</v>
      </c>
      <c r="G179" t="s">
        <v>51</v>
      </c>
      <c r="H179" s="72">
        <v>41953</v>
      </c>
      <c r="I179" t="s">
        <v>153</v>
      </c>
    </row>
    <row r="180" spans="1:9" x14ac:dyDescent="0.2">
      <c r="A180" s="1" t="s">
        <v>372</v>
      </c>
      <c r="B180">
        <v>58.5</v>
      </c>
      <c r="C180">
        <v>0</v>
      </c>
      <c r="D180">
        <v>1</v>
      </c>
      <c r="E180">
        <v>0</v>
      </c>
      <c r="F180" s="72">
        <v>41953</v>
      </c>
      <c r="G180" t="s">
        <v>55</v>
      </c>
      <c r="H180" s="72">
        <v>41968</v>
      </c>
      <c r="I180" t="s">
        <v>96</v>
      </c>
    </row>
    <row r="181" spans="1:9" x14ac:dyDescent="0.2">
      <c r="A181" s="1" t="s">
        <v>373</v>
      </c>
      <c r="B181">
        <v>33.1</v>
      </c>
      <c r="C181">
        <v>0</v>
      </c>
      <c r="D181">
        <v>1</v>
      </c>
      <c r="E181">
        <v>0</v>
      </c>
      <c r="F181" s="72">
        <v>41953</v>
      </c>
      <c r="G181" t="s">
        <v>55</v>
      </c>
      <c r="H181" s="72">
        <v>41968</v>
      </c>
      <c r="I181" t="s">
        <v>50</v>
      </c>
    </row>
    <row r="182" spans="1:9" x14ac:dyDescent="0.2">
      <c r="A182" s="1" t="s">
        <v>382</v>
      </c>
      <c r="B182">
        <v>20</v>
      </c>
      <c r="C182">
        <v>0</v>
      </c>
      <c r="D182">
        <v>1</v>
      </c>
      <c r="E182">
        <v>0</v>
      </c>
      <c r="F182" s="72">
        <v>41953</v>
      </c>
      <c r="G182" t="s">
        <v>55</v>
      </c>
      <c r="H182" s="72">
        <v>41969</v>
      </c>
      <c r="I182" t="s">
        <v>189</v>
      </c>
    </row>
    <row r="183" spans="1:9" x14ac:dyDescent="0.2">
      <c r="A183" s="1" t="s">
        <v>382</v>
      </c>
      <c r="B183">
        <v>6.5</v>
      </c>
      <c r="C183">
        <v>0</v>
      </c>
      <c r="D183">
        <v>1</v>
      </c>
      <c r="E183">
        <v>0</v>
      </c>
      <c r="F183" s="72">
        <v>41953</v>
      </c>
      <c r="G183" t="s">
        <v>55</v>
      </c>
      <c r="H183" s="72">
        <v>41969</v>
      </c>
      <c r="I183" t="s">
        <v>189</v>
      </c>
    </row>
    <row r="184" spans="1:9" x14ac:dyDescent="0.2">
      <c r="A184" t="s">
        <v>44</v>
      </c>
      <c r="B184">
        <v>100</v>
      </c>
      <c r="C184">
        <v>1</v>
      </c>
      <c r="D184">
        <v>0</v>
      </c>
      <c r="E184">
        <v>0</v>
      </c>
      <c r="F184" s="72">
        <v>41953</v>
      </c>
      <c r="G184" t="s">
        <v>55</v>
      </c>
      <c r="H184" s="72">
        <v>41969</v>
      </c>
      <c r="I184" t="s">
        <v>60</v>
      </c>
    </row>
    <row r="185" spans="1:9" x14ac:dyDescent="0.2">
      <c r="A185" t="s">
        <v>326</v>
      </c>
      <c r="B185">
        <v>8.8000000000000007</v>
      </c>
      <c r="C185">
        <v>0</v>
      </c>
      <c r="D185">
        <v>1</v>
      </c>
      <c r="E185">
        <v>0</v>
      </c>
      <c r="F185" s="72">
        <v>41953</v>
      </c>
      <c r="G185" t="s">
        <v>55</v>
      </c>
      <c r="H185" s="72">
        <v>41970</v>
      </c>
      <c r="I185" t="s">
        <v>50</v>
      </c>
    </row>
    <row r="186" spans="1:9" x14ac:dyDescent="0.2">
      <c r="A186" t="s">
        <v>96</v>
      </c>
      <c r="B186">
        <v>31</v>
      </c>
      <c r="C186">
        <v>0</v>
      </c>
      <c r="D186">
        <v>1</v>
      </c>
      <c r="E186">
        <v>0</v>
      </c>
      <c r="F186" s="72">
        <v>41953</v>
      </c>
      <c r="G186" t="s">
        <v>55</v>
      </c>
      <c r="H186" s="72">
        <v>41970</v>
      </c>
      <c r="I186" t="s">
        <v>96</v>
      </c>
    </row>
    <row r="187" spans="1:9" x14ac:dyDescent="0.2">
      <c r="A187" t="s">
        <v>333</v>
      </c>
      <c r="B187">
        <v>0</v>
      </c>
      <c r="C187">
        <v>0</v>
      </c>
      <c r="D187">
        <v>1</v>
      </c>
      <c r="E187">
        <v>0</v>
      </c>
      <c r="F187" s="72">
        <v>41953</v>
      </c>
      <c r="G187" t="s">
        <v>49</v>
      </c>
      <c r="H187" s="72">
        <v>41972</v>
      </c>
      <c r="I187" t="s">
        <v>153</v>
      </c>
    </row>
    <row r="188" spans="1:9" x14ac:dyDescent="0.2">
      <c r="A188" t="s">
        <v>48</v>
      </c>
      <c r="B188">
        <v>20</v>
      </c>
      <c r="C188">
        <v>0</v>
      </c>
      <c r="D188">
        <v>1</v>
      </c>
      <c r="E188">
        <v>0</v>
      </c>
      <c r="F188" s="72">
        <v>41953</v>
      </c>
      <c r="G188" t="s">
        <v>55</v>
      </c>
      <c r="H188" s="72">
        <v>41970</v>
      </c>
      <c r="I188" t="s">
        <v>48</v>
      </c>
    </row>
    <row r="189" spans="1:9" x14ac:dyDescent="0.2">
      <c r="A189" s="1" t="s">
        <v>371</v>
      </c>
      <c r="B189">
        <v>120</v>
      </c>
      <c r="C189">
        <v>0</v>
      </c>
      <c r="D189">
        <v>1</v>
      </c>
      <c r="E189">
        <v>0</v>
      </c>
      <c r="F189" s="72">
        <v>41953</v>
      </c>
      <c r="G189" t="s">
        <v>55</v>
      </c>
      <c r="H189" s="72">
        <v>41970</v>
      </c>
      <c r="I189" t="s">
        <v>393</v>
      </c>
    </row>
    <row r="190" spans="1:9" x14ac:dyDescent="0.2">
      <c r="A190" t="s">
        <v>328</v>
      </c>
      <c r="B190">
        <v>46.2</v>
      </c>
      <c r="C190">
        <v>0</v>
      </c>
      <c r="D190">
        <v>1</v>
      </c>
      <c r="E190">
        <v>0</v>
      </c>
      <c r="F190" s="72">
        <v>41953</v>
      </c>
      <c r="G190" t="s">
        <v>55</v>
      </c>
      <c r="H190" s="72">
        <v>41971</v>
      </c>
      <c r="I190" s="1" t="s">
        <v>50</v>
      </c>
    </row>
    <row r="191" spans="1:9" x14ac:dyDescent="0.2">
      <c r="A191" t="s">
        <v>337</v>
      </c>
      <c r="B191">
        <v>255</v>
      </c>
      <c r="C191">
        <v>0</v>
      </c>
      <c r="D191">
        <v>1</v>
      </c>
      <c r="E191">
        <v>0</v>
      </c>
      <c r="F191" s="72">
        <v>41953</v>
      </c>
      <c r="G191" t="s">
        <v>49</v>
      </c>
      <c r="H191" s="72">
        <v>41972</v>
      </c>
      <c r="I191" t="s">
        <v>344</v>
      </c>
    </row>
    <row r="192" spans="1:9" x14ac:dyDescent="0.2">
      <c r="A192" t="s">
        <v>48</v>
      </c>
      <c r="B192">
        <v>15</v>
      </c>
      <c r="C192">
        <v>0</v>
      </c>
      <c r="D192">
        <v>1</v>
      </c>
      <c r="E192">
        <v>0</v>
      </c>
      <c r="F192" s="72">
        <v>41953</v>
      </c>
      <c r="G192" t="s">
        <v>49</v>
      </c>
      <c r="H192" s="72">
        <v>41972</v>
      </c>
      <c r="I192" t="s">
        <v>48</v>
      </c>
    </row>
    <row r="193" spans="1:9" x14ac:dyDescent="0.2">
      <c r="A193" t="s">
        <v>341</v>
      </c>
      <c r="B193">
        <v>35</v>
      </c>
      <c r="C193">
        <v>0</v>
      </c>
      <c r="D193">
        <v>1</v>
      </c>
      <c r="E193">
        <v>0</v>
      </c>
      <c r="F193" s="72">
        <v>41953</v>
      </c>
      <c r="G193" t="s">
        <v>49</v>
      </c>
      <c r="H193" s="72">
        <v>41972</v>
      </c>
      <c r="I193" t="s">
        <v>344</v>
      </c>
    </row>
    <row r="194" spans="1:9" x14ac:dyDescent="0.2">
      <c r="A194" t="s">
        <v>342</v>
      </c>
      <c r="B194">
        <v>5</v>
      </c>
      <c r="C194">
        <v>0</v>
      </c>
      <c r="D194">
        <v>1</v>
      </c>
      <c r="E194">
        <v>0</v>
      </c>
      <c r="F194" s="72">
        <v>41953</v>
      </c>
      <c r="G194" t="s">
        <v>49</v>
      </c>
      <c r="H194" s="72">
        <v>41972</v>
      </c>
      <c r="I194" t="s">
        <v>50</v>
      </c>
    </row>
    <row r="195" spans="1:9" x14ac:dyDescent="0.2">
      <c r="A195" t="s">
        <v>326</v>
      </c>
      <c r="B195">
        <v>17.899999999999999</v>
      </c>
      <c r="C195">
        <v>0</v>
      </c>
      <c r="D195">
        <v>1</v>
      </c>
      <c r="E195">
        <v>0</v>
      </c>
      <c r="F195" s="72">
        <v>41953</v>
      </c>
      <c r="G195" t="s">
        <v>49</v>
      </c>
      <c r="H195" s="72">
        <v>41972</v>
      </c>
      <c r="I195" t="s">
        <v>50</v>
      </c>
    </row>
    <row r="196" spans="1:9" x14ac:dyDescent="0.2">
      <c r="A196" t="s">
        <v>328</v>
      </c>
      <c r="B196">
        <v>32.380000000000003</v>
      </c>
      <c r="C196">
        <v>0</v>
      </c>
      <c r="D196">
        <v>1</v>
      </c>
      <c r="E196">
        <v>0</v>
      </c>
      <c r="F196" s="72">
        <v>41953</v>
      </c>
      <c r="G196" t="s">
        <v>49</v>
      </c>
      <c r="H196" s="72">
        <v>41973</v>
      </c>
      <c r="I196" s="1" t="s">
        <v>50</v>
      </c>
    </row>
    <row r="197" spans="1:9" x14ac:dyDescent="0.2">
      <c r="A197" t="s">
        <v>224</v>
      </c>
      <c r="B197">
        <v>16.38</v>
      </c>
      <c r="C197">
        <v>0</v>
      </c>
      <c r="D197">
        <v>1</v>
      </c>
      <c r="E197">
        <v>0</v>
      </c>
      <c r="F197" s="72">
        <v>41953</v>
      </c>
      <c r="G197" t="s">
        <v>49</v>
      </c>
      <c r="H197" s="72">
        <v>41973</v>
      </c>
      <c r="I197" s="1" t="s">
        <v>50</v>
      </c>
    </row>
    <row r="198" spans="1:9" x14ac:dyDescent="0.2">
      <c r="A198" t="s">
        <v>224</v>
      </c>
      <c r="B198">
        <v>7.6</v>
      </c>
      <c r="C198">
        <v>0</v>
      </c>
      <c r="D198">
        <v>1</v>
      </c>
      <c r="E198">
        <v>0</v>
      </c>
      <c r="F198" s="72">
        <v>41953</v>
      </c>
      <c r="G198" t="s">
        <v>49</v>
      </c>
      <c r="H198" s="72">
        <v>41973</v>
      </c>
      <c r="I198" s="1" t="s">
        <v>50</v>
      </c>
    </row>
    <row r="199" spans="1:9" x14ac:dyDescent="0.2">
      <c r="A199" t="s">
        <v>343</v>
      </c>
      <c r="B199">
        <v>34.93</v>
      </c>
      <c r="C199">
        <v>0</v>
      </c>
      <c r="D199">
        <v>1</v>
      </c>
      <c r="E199">
        <v>0</v>
      </c>
      <c r="F199" s="72">
        <v>41953</v>
      </c>
      <c r="G199" t="s">
        <v>47</v>
      </c>
      <c r="H199" s="72">
        <v>41974</v>
      </c>
      <c r="I199" t="s">
        <v>189</v>
      </c>
    </row>
    <row r="200" spans="1:9" x14ac:dyDescent="0.2">
      <c r="A200" t="s">
        <v>326</v>
      </c>
      <c r="B200">
        <v>7.5</v>
      </c>
      <c r="C200">
        <v>0</v>
      </c>
      <c r="D200">
        <v>1</v>
      </c>
      <c r="E200">
        <v>0</v>
      </c>
      <c r="F200" s="72">
        <v>41953</v>
      </c>
      <c r="G200" t="s">
        <v>47</v>
      </c>
      <c r="H200" s="72">
        <v>41975</v>
      </c>
      <c r="I200" t="s">
        <v>50</v>
      </c>
    </row>
    <row r="201" spans="1:9" x14ac:dyDescent="0.2">
      <c r="A201" t="s">
        <v>96</v>
      </c>
      <c r="B201">
        <v>20.9</v>
      </c>
      <c r="C201">
        <v>0</v>
      </c>
      <c r="D201">
        <v>1</v>
      </c>
      <c r="E201">
        <v>0</v>
      </c>
      <c r="F201" s="72">
        <v>41953</v>
      </c>
      <c r="G201" t="s">
        <v>47</v>
      </c>
      <c r="H201" s="72">
        <v>41977</v>
      </c>
      <c r="I201" t="s">
        <v>96</v>
      </c>
    </row>
    <row r="202" spans="1:9" x14ac:dyDescent="0.2">
      <c r="A202" t="s">
        <v>44</v>
      </c>
      <c r="B202">
        <v>50</v>
      </c>
      <c r="C202">
        <v>1</v>
      </c>
      <c r="D202">
        <v>0</v>
      </c>
      <c r="E202">
        <v>0</v>
      </c>
      <c r="F202" s="72">
        <v>41953</v>
      </c>
      <c r="G202" t="s">
        <v>47</v>
      </c>
      <c r="H202" s="72">
        <v>41977</v>
      </c>
      <c r="I202" t="s">
        <v>60</v>
      </c>
    </row>
    <row r="203" spans="1:9" x14ac:dyDescent="0.2">
      <c r="A203" t="s">
        <v>52</v>
      </c>
      <c r="B203">
        <v>90.97</v>
      </c>
      <c r="C203">
        <v>0</v>
      </c>
      <c r="D203">
        <v>1</v>
      </c>
      <c r="E203">
        <v>0</v>
      </c>
      <c r="F203" s="72">
        <v>41953</v>
      </c>
      <c r="G203" t="s">
        <v>47</v>
      </c>
      <c r="H203" s="72">
        <v>41976</v>
      </c>
      <c r="I203" t="s">
        <v>52</v>
      </c>
    </row>
    <row r="204" spans="1:9" x14ac:dyDescent="0.2">
      <c r="A204" t="s">
        <v>326</v>
      </c>
      <c r="B204">
        <v>5.5</v>
      </c>
      <c r="C204">
        <v>0</v>
      </c>
      <c r="D204">
        <v>1</v>
      </c>
      <c r="E204">
        <v>0</v>
      </c>
      <c r="F204" s="72">
        <v>41953</v>
      </c>
      <c r="G204" t="s">
        <v>47</v>
      </c>
      <c r="H204" s="72">
        <v>41978</v>
      </c>
      <c r="I204" t="s">
        <v>50</v>
      </c>
    </row>
    <row r="205" spans="1:9" x14ac:dyDescent="0.2">
      <c r="A205" s="1" t="s">
        <v>326</v>
      </c>
      <c r="B205" s="1">
        <v>8.4</v>
      </c>
      <c r="C205" s="1">
        <v>0</v>
      </c>
      <c r="D205" s="1">
        <v>1</v>
      </c>
      <c r="E205" s="1">
        <v>0</v>
      </c>
      <c r="F205" s="73">
        <v>41953</v>
      </c>
      <c r="G205" s="1" t="s">
        <v>47</v>
      </c>
      <c r="H205" s="73">
        <v>41978</v>
      </c>
      <c r="I205" s="1" t="s">
        <v>50</v>
      </c>
    </row>
    <row r="206" spans="1:9" x14ac:dyDescent="0.2">
      <c r="A206" s="1" t="s">
        <v>359</v>
      </c>
      <c r="B206" s="1">
        <v>8.1</v>
      </c>
      <c r="C206" s="1">
        <v>0</v>
      </c>
      <c r="D206" s="1">
        <v>1</v>
      </c>
      <c r="E206" s="1">
        <v>0</v>
      </c>
      <c r="F206" s="73">
        <v>41953</v>
      </c>
      <c r="G206" s="1" t="s">
        <v>47</v>
      </c>
      <c r="H206" s="73">
        <v>41978</v>
      </c>
      <c r="I206" s="1" t="s">
        <v>345</v>
      </c>
    </row>
    <row r="207" spans="1:9" x14ac:dyDescent="0.2">
      <c r="A207" s="1" t="s">
        <v>404</v>
      </c>
      <c r="B207" s="1">
        <v>14</v>
      </c>
      <c r="C207" s="1">
        <v>0</v>
      </c>
      <c r="D207" s="1">
        <v>1</v>
      </c>
      <c r="E207" s="1">
        <v>0</v>
      </c>
      <c r="F207" s="73">
        <v>41953</v>
      </c>
      <c r="G207" s="1" t="s">
        <v>47</v>
      </c>
      <c r="H207" s="73">
        <v>41979</v>
      </c>
      <c r="I207" s="1" t="s">
        <v>153</v>
      </c>
    </row>
    <row r="208" spans="1:9" x14ac:dyDescent="0.2">
      <c r="A208" s="1" t="s">
        <v>360</v>
      </c>
      <c r="B208" s="1">
        <v>40</v>
      </c>
      <c r="C208" s="1">
        <v>0</v>
      </c>
      <c r="D208" s="1">
        <v>1</v>
      </c>
      <c r="E208" s="1">
        <v>0</v>
      </c>
      <c r="F208" s="73">
        <v>41953</v>
      </c>
      <c r="G208" s="1" t="s">
        <v>47</v>
      </c>
      <c r="H208" s="73">
        <v>41979</v>
      </c>
      <c r="I208" s="1" t="s">
        <v>153</v>
      </c>
    </row>
    <row r="209" spans="1:11" x14ac:dyDescent="0.2">
      <c r="A209" s="1" t="s">
        <v>361</v>
      </c>
      <c r="B209" s="1">
        <v>24</v>
      </c>
      <c r="C209" s="1">
        <v>0</v>
      </c>
      <c r="D209" s="1">
        <v>1</v>
      </c>
      <c r="E209" s="1">
        <v>0</v>
      </c>
      <c r="F209" s="73">
        <v>41953</v>
      </c>
      <c r="G209" s="1" t="s">
        <v>47</v>
      </c>
      <c r="H209" s="73">
        <v>41979</v>
      </c>
      <c r="I209" s="1" t="s">
        <v>153</v>
      </c>
    </row>
    <row r="210" spans="1:11" x14ac:dyDescent="0.2">
      <c r="A210" t="s">
        <v>116</v>
      </c>
      <c r="B210" s="1">
        <v>40</v>
      </c>
      <c r="C210" s="1">
        <v>0</v>
      </c>
      <c r="D210" s="1">
        <v>1</v>
      </c>
      <c r="E210" s="1">
        <v>0</v>
      </c>
      <c r="F210" s="73">
        <v>41953</v>
      </c>
      <c r="G210" s="1" t="s">
        <v>47</v>
      </c>
      <c r="H210" s="73">
        <v>41979</v>
      </c>
      <c r="I210" t="s">
        <v>344</v>
      </c>
    </row>
    <row r="211" spans="1:11" x14ac:dyDescent="0.2">
      <c r="A211" s="27" t="s">
        <v>21</v>
      </c>
      <c r="B211" s="85">
        <f>SUMIFS(credito!$B$2:$B$198,credito!$F$2:$F$198,debito!F211,credito!$G$2:$G$198,0)</f>
        <v>1041.58</v>
      </c>
      <c r="C211" s="27">
        <v>1</v>
      </c>
      <c r="D211" s="27">
        <v>0</v>
      </c>
      <c r="E211" s="27">
        <v>0</v>
      </c>
      <c r="F211" s="84">
        <v>41983</v>
      </c>
      <c r="G211" s="27" t="s">
        <v>51</v>
      </c>
      <c r="H211" s="84">
        <v>41990</v>
      </c>
      <c r="I211" s="27" t="s">
        <v>338</v>
      </c>
      <c r="K211" s="1"/>
    </row>
    <row r="212" spans="1:11" x14ac:dyDescent="0.2">
      <c r="A212" s="27" t="s">
        <v>330</v>
      </c>
      <c r="B212" s="27">
        <v>234.27</v>
      </c>
      <c r="C212" s="27">
        <v>1</v>
      </c>
      <c r="D212" s="27">
        <v>0</v>
      </c>
      <c r="E212" s="27">
        <v>0</v>
      </c>
      <c r="F212" s="84">
        <v>41983</v>
      </c>
      <c r="G212" s="27" t="s">
        <v>55</v>
      </c>
      <c r="H212" s="84">
        <v>41983</v>
      </c>
      <c r="I212" s="27" t="s">
        <v>350</v>
      </c>
    </row>
    <row r="213" spans="1:11" x14ac:dyDescent="0.2">
      <c r="A213" t="s">
        <v>39</v>
      </c>
      <c r="B213">
        <v>41</v>
      </c>
      <c r="C213">
        <v>1</v>
      </c>
      <c r="D213">
        <v>0</v>
      </c>
      <c r="E213">
        <v>0</v>
      </c>
      <c r="F213" s="72">
        <v>41983</v>
      </c>
      <c r="G213" t="s">
        <v>51</v>
      </c>
      <c r="H213" s="72">
        <v>42008</v>
      </c>
      <c r="I213" t="s">
        <v>345</v>
      </c>
    </row>
    <row r="214" spans="1:11" x14ac:dyDescent="0.2">
      <c r="A214" t="s">
        <v>40</v>
      </c>
      <c r="B214">
        <v>4.99</v>
      </c>
      <c r="C214">
        <v>1</v>
      </c>
      <c r="D214">
        <v>0</v>
      </c>
      <c r="E214">
        <v>0</v>
      </c>
      <c r="F214" s="72">
        <v>41983</v>
      </c>
      <c r="G214" t="s">
        <v>51</v>
      </c>
      <c r="H214" s="72">
        <v>41983</v>
      </c>
      <c r="I214" t="s">
        <v>345</v>
      </c>
    </row>
    <row r="215" spans="1:11" x14ac:dyDescent="0.2">
      <c r="A215" t="s">
        <v>2</v>
      </c>
      <c r="B215">
        <v>50</v>
      </c>
      <c r="C215">
        <v>1</v>
      </c>
      <c r="D215">
        <v>0</v>
      </c>
      <c r="E215">
        <v>0</v>
      </c>
      <c r="F215" s="72">
        <v>41983</v>
      </c>
      <c r="G215" t="s">
        <v>51</v>
      </c>
      <c r="H215" s="72">
        <v>41983</v>
      </c>
      <c r="I215" t="s">
        <v>762</v>
      </c>
    </row>
    <row r="216" spans="1:11" x14ac:dyDescent="0.2">
      <c r="A216" t="s">
        <v>38</v>
      </c>
      <c r="B216">
        <v>51.9</v>
      </c>
      <c r="C216">
        <v>1</v>
      </c>
      <c r="D216">
        <v>0</v>
      </c>
      <c r="E216">
        <v>0</v>
      </c>
      <c r="F216" s="72">
        <v>41983</v>
      </c>
      <c r="G216" t="s">
        <v>51</v>
      </c>
      <c r="H216" s="72">
        <v>41983</v>
      </c>
      <c r="I216" t="s">
        <v>345</v>
      </c>
    </row>
    <row r="217" spans="1:11" x14ac:dyDescent="0.2">
      <c r="A217" t="s">
        <v>377</v>
      </c>
      <c r="B217">
        <v>40.78</v>
      </c>
      <c r="C217">
        <v>1</v>
      </c>
      <c r="D217">
        <v>0</v>
      </c>
      <c r="E217">
        <v>0</v>
      </c>
      <c r="F217" s="72">
        <v>41983</v>
      </c>
      <c r="G217" t="s">
        <v>51</v>
      </c>
      <c r="H217" s="72">
        <v>41983</v>
      </c>
      <c r="I217" t="s">
        <v>345</v>
      </c>
    </row>
    <row r="218" spans="1:11" x14ac:dyDescent="0.2">
      <c r="A218" t="s">
        <v>0</v>
      </c>
      <c r="B218">
        <v>361.31</v>
      </c>
      <c r="C218">
        <v>1</v>
      </c>
      <c r="D218">
        <v>0</v>
      </c>
      <c r="E218">
        <v>0</v>
      </c>
      <c r="F218" s="72">
        <v>41983</v>
      </c>
      <c r="G218" t="s">
        <v>51</v>
      </c>
      <c r="H218" s="72">
        <v>41983</v>
      </c>
      <c r="I218" t="s">
        <v>346</v>
      </c>
    </row>
    <row r="219" spans="1:11" x14ac:dyDescent="0.2">
      <c r="A219" t="s">
        <v>3</v>
      </c>
      <c r="B219">
        <v>59.4</v>
      </c>
      <c r="C219">
        <v>1</v>
      </c>
      <c r="D219">
        <v>0</v>
      </c>
      <c r="E219">
        <v>0</v>
      </c>
      <c r="F219" s="72">
        <v>41983</v>
      </c>
      <c r="G219" t="s">
        <v>51</v>
      </c>
      <c r="H219" s="72">
        <v>41983</v>
      </c>
      <c r="I219" t="s">
        <v>346</v>
      </c>
    </row>
    <row r="220" spans="1:11" x14ac:dyDescent="0.2">
      <c r="A220" t="s">
        <v>1</v>
      </c>
      <c r="B220">
        <v>264.08999999999997</v>
      </c>
      <c r="C220">
        <v>1</v>
      </c>
      <c r="D220">
        <v>0</v>
      </c>
      <c r="E220">
        <v>0</v>
      </c>
      <c r="F220" s="72">
        <v>41983</v>
      </c>
      <c r="G220" t="s">
        <v>51</v>
      </c>
      <c r="H220" s="72">
        <v>41983</v>
      </c>
      <c r="I220" t="s">
        <v>346</v>
      </c>
    </row>
    <row r="221" spans="1:11" x14ac:dyDescent="0.2">
      <c r="A221" t="s">
        <v>156</v>
      </c>
      <c r="B221">
        <v>450</v>
      </c>
      <c r="C221">
        <v>1</v>
      </c>
      <c r="D221">
        <v>0</v>
      </c>
      <c r="E221">
        <v>0</v>
      </c>
      <c r="F221" s="72">
        <v>41983</v>
      </c>
      <c r="G221" t="s">
        <v>51</v>
      </c>
      <c r="H221" s="72">
        <v>41983</v>
      </c>
      <c r="I221" t="s">
        <v>346</v>
      </c>
    </row>
    <row r="222" spans="1:11" x14ac:dyDescent="0.2">
      <c r="A222" t="s">
        <v>26</v>
      </c>
      <c r="B222">
        <v>501.76</v>
      </c>
      <c r="C222">
        <v>1</v>
      </c>
      <c r="D222">
        <v>0</v>
      </c>
      <c r="E222">
        <v>0</v>
      </c>
      <c r="F222" s="72">
        <v>41983</v>
      </c>
      <c r="G222" t="s">
        <v>51</v>
      </c>
      <c r="H222" s="72">
        <v>41983</v>
      </c>
      <c r="I222" t="s">
        <v>345</v>
      </c>
    </row>
    <row r="223" spans="1:11" x14ac:dyDescent="0.2">
      <c r="A223" t="s">
        <v>28</v>
      </c>
      <c r="B223">
        <v>38.5</v>
      </c>
      <c r="C223">
        <v>1</v>
      </c>
      <c r="D223">
        <v>0</v>
      </c>
      <c r="E223">
        <v>0</v>
      </c>
      <c r="F223" s="72">
        <v>41983</v>
      </c>
      <c r="G223" t="s">
        <v>51</v>
      </c>
      <c r="H223" s="72">
        <v>41983</v>
      </c>
      <c r="I223" t="s">
        <v>345</v>
      </c>
    </row>
    <row r="224" spans="1:11" x14ac:dyDescent="0.2">
      <c r="A224" t="s">
        <v>27</v>
      </c>
      <c r="B224">
        <v>282.25</v>
      </c>
      <c r="C224">
        <v>1</v>
      </c>
      <c r="D224">
        <v>0</v>
      </c>
      <c r="E224">
        <v>0</v>
      </c>
      <c r="F224" s="72">
        <v>41983</v>
      </c>
      <c r="G224" t="s">
        <v>51</v>
      </c>
      <c r="H224" s="72">
        <v>41983</v>
      </c>
      <c r="I224" t="s">
        <v>345</v>
      </c>
    </row>
    <row r="225" spans="1:9" x14ac:dyDescent="0.2">
      <c r="A225" t="s">
        <v>12</v>
      </c>
      <c r="B225">
        <v>536.46</v>
      </c>
      <c r="C225">
        <v>1</v>
      </c>
      <c r="D225">
        <v>0</v>
      </c>
      <c r="E225">
        <v>0</v>
      </c>
      <c r="F225" s="72">
        <v>41983</v>
      </c>
      <c r="G225" t="s">
        <v>51</v>
      </c>
      <c r="H225" s="72">
        <v>41983</v>
      </c>
      <c r="I225" t="s">
        <v>348</v>
      </c>
    </row>
    <row r="226" spans="1:9" x14ac:dyDescent="0.2">
      <c r="A226" t="s">
        <v>25</v>
      </c>
      <c r="B226">
        <v>120</v>
      </c>
      <c r="C226">
        <v>1</v>
      </c>
      <c r="D226">
        <v>0</v>
      </c>
      <c r="E226">
        <v>0</v>
      </c>
      <c r="F226" s="72">
        <v>41983</v>
      </c>
      <c r="G226" t="s">
        <v>51</v>
      </c>
      <c r="H226" s="72">
        <v>41983</v>
      </c>
      <c r="I226" t="s">
        <v>347</v>
      </c>
    </row>
    <row r="227" spans="1:9" x14ac:dyDescent="0.2">
      <c r="A227" t="s">
        <v>198</v>
      </c>
      <c r="B227" s="32">
        <v>142</v>
      </c>
      <c r="C227">
        <v>1</v>
      </c>
      <c r="D227">
        <v>0</v>
      </c>
      <c r="E227">
        <v>0</v>
      </c>
      <c r="F227" s="72">
        <v>41983</v>
      </c>
      <c r="G227" t="s">
        <v>51</v>
      </c>
      <c r="H227" s="72">
        <v>41983</v>
      </c>
      <c r="I227" t="s">
        <v>347</v>
      </c>
    </row>
    <row r="228" spans="1:9" x14ac:dyDescent="0.2">
      <c r="A228" t="s">
        <v>199</v>
      </c>
      <c r="B228" s="32">
        <v>133.47999999999999</v>
      </c>
      <c r="C228">
        <v>1</v>
      </c>
      <c r="D228">
        <v>0</v>
      </c>
      <c r="E228">
        <v>0</v>
      </c>
      <c r="F228" s="72">
        <v>41983</v>
      </c>
      <c r="G228" t="s">
        <v>51</v>
      </c>
      <c r="H228" s="72">
        <v>41983</v>
      </c>
      <c r="I228" t="s">
        <v>347</v>
      </c>
    </row>
    <row r="229" spans="1:9" x14ac:dyDescent="0.2">
      <c r="A229" t="s">
        <v>200</v>
      </c>
      <c r="B229" s="32">
        <v>63.9</v>
      </c>
      <c r="C229">
        <v>1</v>
      </c>
      <c r="D229">
        <v>0</v>
      </c>
      <c r="E229">
        <v>0</v>
      </c>
      <c r="F229" s="72">
        <v>41983</v>
      </c>
      <c r="G229" t="s">
        <v>51</v>
      </c>
      <c r="H229" s="72">
        <v>41983</v>
      </c>
      <c r="I229" t="s">
        <v>347</v>
      </c>
    </row>
    <row r="230" spans="1:9" x14ac:dyDescent="0.2">
      <c r="A230" t="s">
        <v>44</v>
      </c>
      <c r="B230" s="32">
        <v>106</v>
      </c>
      <c r="C230">
        <v>1</v>
      </c>
      <c r="D230">
        <v>0</v>
      </c>
      <c r="E230">
        <v>0</v>
      </c>
      <c r="F230" s="72">
        <v>41983</v>
      </c>
      <c r="G230" t="s">
        <v>51</v>
      </c>
      <c r="H230" s="72">
        <v>41983</v>
      </c>
      <c r="I230" t="s">
        <v>60</v>
      </c>
    </row>
    <row r="231" spans="1:9" x14ac:dyDescent="0.2">
      <c r="A231" t="s">
        <v>376</v>
      </c>
      <c r="B231" s="32">
        <v>197.63</v>
      </c>
      <c r="C231">
        <v>0</v>
      </c>
      <c r="D231">
        <v>1</v>
      </c>
      <c r="E231">
        <v>0</v>
      </c>
      <c r="F231" s="72">
        <v>41983</v>
      </c>
      <c r="G231" t="s">
        <v>51</v>
      </c>
      <c r="H231" s="72">
        <v>41983</v>
      </c>
      <c r="I231" t="s">
        <v>50</v>
      </c>
    </row>
    <row r="232" spans="1:9" x14ac:dyDescent="0.2">
      <c r="A232" s="1" t="s">
        <v>386</v>
      </c>
      <c r="B232" s="32">
        <v>15</v>
      </c>
      <c r="C232">
        <v>0</v>
      </c>
      <c r="D232">
        <v>1</v>
      </c>
      <c r="E232">
        <v>0</v>
      </c>
      <c r="F232" s="72">
        <v>41983</v>
      </c>
      <c r="G232" t="s">
        <v>51</v>
      </c>
      <c r="H232" s="72">
        <v>41984</v>
      </c>
      <c r="I232" s="1" t="s">
        <v>50</v>
      </c>
    </row>
    <row r="233" spans="1:9" x14ac:dyDescent="0.2">
      <c r="A233" s="1" t="s">
        <v>381</v>
      </c>
      <c r="B233" s="32">
        <v>15</v>
      </c>
      <c r="C233">
        <v>0</v>
      </c>
      <c r="D233">
        <v>1</v>
      </c>
      <c r="E233">
        <v>0</v>
      </c>
      <c r="F233" s="72">
        <v>41983</v>
      </c>
      <c r="G233" t="s">
        <v>51</v>
      </c>
      <c r="H233" s="72">
        <v>41983</v>
      </c>
      <c r="I233" s="1" t="s">
        <v>50</v>
      </c>
    </row>
    <row r="234" spans="1:9" x14ac:dyDescent="0.2">
      <c r="A234" s="1" t="s">
        <v>224</v>
      </c>
      <c r="B234" s="32">
        <v>11</v>
      </c>
      <c r="C234">
        <v>0</v>
      </c>
      <c r="D234">
        <v>1</v>
      </c>
      <c r="E234">
        <v>0</v>
      </c>
      <c r="F234" s="72">
        <v>41983</v>
      </c>
      <c r="G234" t="s">
        <v>51</v>
      </c>
      <c r="H234" s="72">
        <v>41983</v>
      </c>
      <c r="I234" s="1" t="s">
        <v>50</v>
      </c>
    </row>
    <row r="235" spans="1:9" x14ac:dyDescent="0.2">
      <c r="A235" s="1" t="s">
        <v>96</v>
      </c>
      <c r="B235" s="32">
        <v>20.9</v>
      </c>
      <c r="C235">
        <v>0</v>
      </c>
      <c r="D235">
        <v>1</v>
      </c>
      <c r="E235">
        <v>0</v>
      </c>
      <c r="F235" s="72">
        <v>41983</v>
      </c>
      <c r="G235" t="s">
        <v>51</v>
      </c>
      <c r="H235" s="72">
        <v>41984</v>
      </c>
      <c r="I235" t="s">
        <v>96</v>
      </c>
    </row>
    <row r="236" spans="1:9" x14ac:dyDescent="0.2">
      <c r="A236" s="1" t="s">
        <v>386</v>
      </c>
      <c r="B236" s="32">
        <v>5</v>
      </c>
      <c r="C236">
        <v>0</v>
      </c>
      <c r="D236">
        <v>1</v>
      </c>
      <c r="E236">
        <v>0</v>
      </c>
      <c r="F236" s="72">
        <v>41983</v>
      </c>
      <c r="G236" t="s">
        <v>51</v>
      </c>
      <c r="H236" s="72">
        <v>41985</v>
      </c>
      <c r="I236" s="1" t="s">
        <v>50</v>
      </c>
    </row>
    <row r="237" spans="1:9" x14ac:dyDescent="0.2">
      <c r="A237" s="1" t="s">
        <v>378</v>
      </c>
      <c r="B237" s="32">
        <v>20.9</v>
      </c>
      <c r="C237">
        <v>0</v>
      </c>
      <c r="D237">
        <v>1</v>
      </c>
      <c r="E237">
        <v>0</v>
      </c>
      <c r="F237" s="72">
        <v>41983</v>
      </c>
      <c r="G237" t="s">
        <v>51</v>
      </c>
      <c r="H237" s="72">
        <v>41985</v>
      </c>
      <c r="I237" s="1" t="s">
        <v>50</v>
      </c>
    </row>
    <row r="238" spans="1:9" x14ac:dyDescent="0.2">
      <c r="A238" s="1" t="s">
        <v>380</v>
      </c>
      <c r="B238" s="32">
        <v>12.9</v>
      </c>
      <c r="C238">
        <v>0</v>
      </c>
      <c r="D238">
        <v>1</v>
      </c>
      <c r="E238">
        <v>0</v>
      </c>
      <c r="F238" s="72">
        <v>41983</v>
      </c>
      <c r="G238" t="s">
        <v>51</v>
      </c>
      <c r="H238" s="72">
        <v>41985</v>
      </c>
      <c r="I238" s="1" t="s">
        <v>50</v>
      </c>
    </row>
    <row r="239" spans="1:9" x14ac:dyDescent="0.2">
      <c r="A239" s="1" t="s">
        <v>96</v>
      </c>
      <c r="B239" s="32">
        <v>20</v>
      </c>
      <c r="C239">
        <v>0</v>
      </c>
      <c r="D239">
        <v>1</v>
      </c>
      <c r="E239">
        <v>0</v>
      </c>
      <c r="F239" s="72">
        <v>41983</v>
      </c>
      <c r="G239" t="s">
        <v>51</v>
      </c>
      <c r="H239" s="72">
        <v>41985</v>
      </c>
      <c r="I239" t="s">
        <v>96</v>
      </c>
    </row>
    <row r="240" spans="1:9" x14ac:dyDescent="0.2">
      <c r="A240" s="1" t="s">
        <v>379</v>
      </c>
      <c r="B240" s="32">
        <v>25.5</v>
      </c>
      <c r="C240">
        <v>0</v>
      </c>
      <c r="D240">
        <v>1</v>
      </c>
      <c r="E240">
        <v>0</v>
      </c>
      <c r="F240" s="72">
        <v>41983</v>
      </c>
      <c r="G240" t="s">
        <v>51</v>
      </c>
      <c r="H240" s="72">
        <v>41985</v>
      </c>
      <c r="I240" s="1" t="s">
        <v>206</v>
      </c>
    </row>
    <row r="241" spans="1:9" x14ac:dyDescent="0.2">
      <c r="A241" s="1" t="s">
        <v>386</v>
      </c>
      <c r="B241" s="32">
        <v>10.5</v>
      </c>
      <c r="C241">
        <v>0</v>
      </c>
      <c r="D241">
        <v>1</v>
      </c>
      <c r="E241">
        <v>0</v>
      </c>
      <c r="F241" s="72">
        <v>41983</v>
      </c>
      <c r="G241" s="1" t="s">
        <v>49</v>
      </c>
      <c r="H241" s="72">
        <v>41986</v>
      </c>
      <c r="I241" s="1" t="s">
        <v>50</v>
      </c>
    </row>
    <row r="242" spans="1:9" x14ac:dyDescent="0.2">
      <c r="A242" s="1" t="s">
        <v>382</v>
      </c>
      <c r="B242" s="32">
        <v>1.35</v>
      </c>
      <c r="C242">
        <v>0</v>
      </c>
      <c r="D242">
        <v>1</v>
      </c>
      <c r="E242">
        <v>0</v>
      </c>
      <c r="F242" s="72">
        <v>41983</v>
      </c>
      <c r="G242" t="s">
        <v>54</v>
      </c>
      <c r="H242" s="72">
        <v>41988</v>
      </c>
      <c r="I242" s="1" t="s">
        <v>189</v>
      </c>
    </row>
    <row r="243" spans="1:9" x14ac:dyDescent="0.2">
      <c r="A243" s="1" t="s">
        <v>383</v>
      </c>
      <c r="B243" s="32">
        <v>22.09</v>
      </c>
      <c r="C243">
        <v>0</v>
      </c>
      <c r="D243">
        <v>1</v>
      </c>
      <c r="E243">
        <v>0</v>
      </c>
      <c r="F243" s="72">
        <v>41983</v>
      </c>
      <c r="G243" s="1" t="s">
        <v>49</v>
      </c>
      <c r="H243" s="72">
        <v>41987</v>
      </c>
      <c r="I243" s="1" t="s">
        <v>50</v>
      </c>
    </row>
    <row r="244" spans="1:9" x14ac:dyDescent="0.2">
      <c r="A244" s="1" t="s">
        <v>382</v>
      </c>
      <c r="B244" s="32">
        <v>2.16</v>
      </c>
      <c r="C244">
        <v>0</v>
      </c>
      <c r="D244">
        <v>1</v>
      </c>
      <c r="E244">
        <v>0</v>
      </c>
      <c r="F244" s="72">
        <v>41983</v>
      </c>
      <c r="G244" t="s">
        <v>54</v>
      </c>
      <c r="H244" s="72">
        <v>41989</v>
      </c>
      <c r="I244" s="1" t="s">
        <v>189</v>
      </c>
    </row>
    <row r="245" spans="1:9" x14ac:dyDescent="0.2">
      <c r="A245" s="1" t="s">
        <v>384</v>
      </c>
      <c r="B245" s="32">
        <v>3.5</v>
      </c>
      <c r="C245">
        <v>0</v>
      </c>
      <c r="D245">
        <v>1</v>
      </c>
      <c r="E245">
        <v>0</v>
      </c>
      <c r="F245" s="72">
        <v>41983</v>
      </c>
      <c r="G245" t="s">
        <v>54</v>
      </c>
      <c r="H245" s="72">
        <v>41988</v>
      </c>
      <c r="I245" s="1" t="s">
        <v>50</v>
      </c>
    </row>
    <row r="246" spans="1:9" x14ac:dyDescent="0.2">
      <c r="A246" s="1" t="s">
        <v>385</v>
      </c>
      <c r="B246" s="32">
        <v>5.99</v>
      </c>
      <c r="C246">
        <v>0</v>
      </c>
      <c r="D246">
        <v>1</v>
      </c>
      <c r="E246">
        <v>0</v>
      </c>
      <c r="F246" s="72">
        <v>41983</v>
      </c>
      <c r="G246" t="s">
        <v>54</v>
      </c>
      <c r="H246" s="72">
        <v>41988</v>
      </c>
      <c r="I246" s="1" t="s">
        <v>50</v>
      </c>
    </row>
    <row r="247" spans="1:9" x14ac:dyDescent="0.2">
      <c r="A247" s="1" t="s">
        <v>388</v>
      </c>
      <c r="B247" s="32">
        <v>11.5</v>
      </c>
      <c r="C247">
        <v>0</v>
      </c>
      <c r="D247">
        <v>1</v>
      </c>
      <c r="E247">
        <v>0</v>
      </c>
      <c r="F247" s="72">
        <v>41983</v>
      </c>
      <c r="G247" t="s">
        <v>54</v>
      </c>
      <c r="H247" s="72">
        <v>41989</v>
      </c>
      <c r="I247" s="1" t="s">
        <v>50</v>
      </c>
    </row>
    <row r="248" spans="1:9" x14ac:dyDescent="0.2">
      <c r="A248" s="1" t="s">
        <v>388</v>
      </c>
      <c r="B248" s="32">
        <v>3</v>
      </c>
      <c r="C248">
        <v>0</v>
      </c>
      <c r="D248">
        <v>1</v>
      </c>
      <c r="E248">
        <v>0</v>
      </c>
      <c r="F248" s="72">
        <v>41983</v>
      </c>
      <c r="G248" t="s">
        <v>54</v>
      </c>
      <c r="H248" s="72">
        <v>41989</v>
      </c>
      <c r="I248" s="1" t="s">
        <v>50</v>
      </c>
    </row>
    <row r="249" spans="1:9" x14ac:dyDescent="0.2">
      <c r="A249" s="1" t="s">
        <v>389</v>
      </c>
      <c r="B249" s="32">
        <v>18.59</v>
      </c>
      <c r="C249">
        <v>0</v>
      </c>
      <c r="D249">
        <v>1</v>
      </c>
      <c r="E249">
        <v>0</v>
      </c>
      <c r="F249" s="72">
        <v>41983</v>
      </c>
      <c r="G249" t="s">
        <v>54</v>
      </c>
      <c r="H249" s="72">
        <v>41989</v>
      </c>
      <c r="I249" s="1" t="s">
        <v>344</v>
      </c>
    </row>
    <row r="250" spans="1:9" x14ac:dyDescent="0.2">
      <c r="A250" s="1" t="s">
        <v>386</v>
      </c>
      <c r="B250" s="32">
        <v>13</v>
      </c>
      <c r="C250">
        <v>0</v>
      </c>
      <c r="D250">
        <v>1</v>
      </c>
      <c r="E250">
        <v>0</v>
      </c>
      <c r="F250" s="72">
        <v>41983</v>
      </c>
      <c r="G250" t="s">
        <v>54</v>
      </c>
      <c r="H250" s="72">
        <v>41990</v>
      </c>
      <c r="I250" s="1" t="s">
        <v>50</v>
      </c>
    </row>
    <row r="251" spans="1:9" x14ac:dyDescent="0.2">
      <c r="A251" s="1" t="s">
        <v>96</v>
      </c>
      <c r="B251" s="32">
        <v>22.9</v>
      </c>
      <c r="C251">
        <v>0</v>
      </c>
      <c r="D251">
        <v>1</v>
      </c>
      <c r="E251">
        <v>0</v>
      </c>
      <c r="F251" s="72">
        <v>41983</v>
      </c>
      <c r="G251" t="s">
        <v>54</v>
      </c>
      <c r="H251" s="72">
        <v>41990</v>
      </c>
      <c r="I251" t="s">
        <v>96</v>
      </c>
    </row>
    <row r="252" spans="1:9" x14ac:dyDescent="0.2">
      <c r="A252" s="1" t="s">
        <v>224</v>
      </c>
      <c r="B252" s="32">
        <v>10</v>
      </c>
      <c r="C252">
        <v>0</v>
      </c>
      <c r="D252">
        <v>1</v>
      </c>
      <c r="E252">
        <v>0</v>
      </c>
      <c r="F252" s="72">
        <v>41983</v>
      </c>
      <c r="G252" t="s">
        <v>54</v>
      </c>
      <c r="H252" s="72">
        <v>41990</v>
      </c>
      <c r="I252" s="1" t="s">
        <v>50</v>
      </c>
    </row>
    <row r="253" spans="1:9" x14ac:dyDescent="0.2">
      <c r="A253" s="1" t="s">
        <v>44</v>
      </c>
      <c r="B253" s="32">
        <v>100</v>
      </c>
      <c r="C253">
        <v>1</v>
      </c>
      <c r="D253">
        <v>0</v>
      </c>
      <c r="E253">
        <v>0</v>
      </c>
      <c r="F253" s="72">
        <v>41983</v>
      </c>
      <c r="G253" t="s">
        <v>54</v>
      </c>
      <c r="H253" s="72">
        <v>41991</v>
      </c>
      <c r="I253" s="1" t="s">
        <v>60</v>
      </c>
    </row>
    <row r="254" spans="1:9" x14ac:dyDescent="0.2">
      <c r="A254" s="1" t="s">
        <v>382</v>
      </c>
      <c r="B254" s="32">
        <v>6.09</v>
      </c>
      <c r="C254">
        <v>0</v>
      </c>
      <c r="D254">
        <v>1</v>
      </c>
      <c r="E254">
        <v>0</v>
      </c>
      <c r="F254" s="72">
        <v>41983</v>
      </c>
      <c r="G254" t="s">
        <v>54</v>
      </c>
      <c r="H254" s="72">
        <v>41991</v>
      </c>
      <c r="I254" s="1" t="s">
        <v>189</v>
      </c>
    </row>
    <row r="255" spans="1:9" x14ac:dyDescent="0.2">
      <c r="A255" s="1" t="s">
        <v>390</v>
      </c>
      <c r="B255" s="32">
        <v>18</v>
      </c>
      <c r="C255">
        <v>0</v>
      </c>
      <c r="D255">
        <v>1</v>
      </c>
      <c r="E255">
        <v>0</v>
      </c>
      <c r="F255" s="72">
        <v>41983</v>
      </c>
      <c r="G255" t="s">
        <v>54</v>
      </c>
      <c r="H255" s="72">
        <v>41991</v>
      </c>
      <c r="I255" s="1" t="s">
        <v>189</v>
      </c>
    </row>
    <row r="256" spans="1:9" x14ac:dyDescent="0.2">
      <c r="A256" s="1" t="s">
        <v>386</v>
      </c>
      <c r="B256" s="32">
        <v>5.98</v>
      </c>
      <c r="C256">
        <v>0</v>
      </c>
      <c r="D256">
        <v>1</v>
      </c>
      <c r="E256">
        <v>0</v>
      </c>
      <c r="F256" s="72">
        <v>41983</v>
      </c>
      <c r="G256" t="s">
        <v>54</v>
      </c>
      <c r="H256" s="72">
        <v>41992</v>
      </c>
      <c r="I256" s="1" t="s">
        <v>50</v>
      </c>
    </row>
    <row r="257" spans="1:9" x14ac:dyDescent="0.2">
      <c r="A257" s="1" t="s">
        <v>386</v>
      </c>
      <c r="B257" s="32">
        <v>3</v>
      </c>
      <c r="C257">
        <v>0</v>
      </c>
      <c r="D257">
        <v>1</v>
      </c>
      <c r="E257">
        <v>0</v>
      </c>
      <c r="F257" s="72">
        <v>41983</v>
      </c>
      <c r="G257" t="s">
        <v>54</v>
      </c>
      <c r="H257" s="72">
        <v>41992</v>
      </c>
      <c r="I257" s="1" t="s">
        <v>50</v>
      </c>
    </row>
    <row r="258" spans="1:9" x14ac:dyDescent="0.2">
      <c r="A258" s="1" t="s">
        <v>96</v>
      </c>
      <c r="B258" s="32">
        <v>22</v>
      </c>
      <c r="C258">
        <v>0</v>
      </c>
      <c r="D258">
        <v>1</v>
      </c>
      <c r="E258">
        <v>0</v>
      </c>
      <c r="F258" s="72">
        <v>41983</v>
      </c>
      <c r="G258" t="s">
        <v>54</v>
      </c>
      <c r="H258" s="72">
        <v>41992</v>
      </c>
      <c r="I258" t="s">
        <v>96</v>
      </c>
    </row>
    <row r="259" spans="1:9" x14ac:dyDescent="0.2">
      <c r="A259" s="1" t="s">
        <v>224</v>
      </c>
      <c r="B259" s="32">
        <v>8</v>
      </c>
      <c r="C259">
        <v>0</v>
      </c>
      <c r="D259">
        <v>1</v>
      </c>
      <c r="E259">
        <v>0</v>
      </c>
      <c r="F259" s="72">
        <v>41983</v>
      </c>
      <c r="G259" t="s">
        <v>54</v>
      </c>
      <c r="H259" s="72">
        <v>41992</v>
      </c>
      <c r="I259" s="1" t="s">
        <v>50</v>
      </c>
    </row>
    <row r="260" spans="1:9" x14ac:dyDescent="0.2">
      <c r="A260" s="1" t="s">
        <v>388</v>
      </c>
      <c r="B260" s="32">
        <v>52</v>
      </c>
      <c r="C260">
        <v>0</v>
      </c>
      <c r="D260">
        <v>1</v>
      </c>
      <c r="E260">
        <v>0</v>
      </c>
      <c r="F260" s="72">
        <v>41983</v>
      </c>
      <c r="G260" t="s">
        <v>49</v>
      </c>
      <c r="H260" s="72">
        <v>41994</v>
      </c>
      <c r="I260" s="1" t="s">
        <v>50</v>
      </c>
    </row>
    <row r="261" spans="1:9" x14ac:dyDescent="0.2">
      <c r="A261" s="1" t="s">
        <v>386</v>
      </c>
      <c r="B261" s="32">
        <v>9</v>
      </c>
      <c r="C261">
        <v>0</v>
      </c>
      <c r="D261">
        <v>1</v>
      </c>
      <c r="E261">
        <v>0</v>
      </c>
      <c r="F261" s="72">
        <v>41983</v>
      </c>
      <c r="G261" t="s">
        <v>49</v>
      </c>
      <c r="H261" s="72">
        <v>41993</v>
      </c>
      <c r="I261" s="1" t="s">
        <v>50</v>
      </c>
    </row>
    <row r="262" spans="1:9" x14ac:dyDescent="0.2">
      <c r="A262" s="1" t="s">
        <v>386</v>
      </c>
      <c r="B262" s="32">
        <v>6</v>
      </c>
      <c r="C262">
        <v>0</v>
      </c>
      <c r="D262">
        <v>1</v>
      </c>
      <c r="E262">
        <v>0</v>
      </c>
      <c r="F262" s="72">
        <v>41983</v>
      </c>
      <c r="G262" t="s">
        <v>49</v>
      </c>
      <c r="H262" s="72">
        <v>41993</v>
      </c>
      <c r="I262" s="1" t="s">
        <v>50</v>
      </c>
    </row>
    <row r="263" spans="1:9" x14ac:dyDescent="0.2">
      <c r="A263" s="1" t="s">
        <v>392</v>
      </c>
      <c r="B263" s="32">
        <v>75.900000000000006</v>
      </c>
      <c r="C263">
        <v>0</v>
      </c>
      <c r="D263">
        <v>1</v>
      </c>
      <c r="E263">
        <v>0</v>
      </c>
      <c r="F263" s="72">
        <v>41983</v>
      </c>
      <c r="G263" t="s">
        <v>49</v>
      </c>
      <c r="H263" s="72">
        <v>41993</v>
      </c>
      <c r="I263" s="1" t="s">
        <v>50</v>
      </c>
    </row>
    <row r="264" spans="1:9" x14ac:dyDescent="0.2">
      <c r="A264" s="1" t="s">
        <v>43</v>
      </c>
      <c r="B264" s="32">
        <v>30</v>
      </c>
      <c r="C264">
        <v>1</v>
      </c>
      <c r="D264">
        <v>0</v>
      </c>
      <c r="E264">
        <v>0</v>
      </c>
      <c r="F264" s="72">
        <v>41983</v>
      </c>
      <c r="G264" t="s">
        <v>49</v>
      </c>
      <c r="H264" s="72">
        <v>41993</v>
      </c>
      <c r="I264" t="s">
        <v>153</v>
      </c>
    </row>
    <row r="265" spans="1:9" x14ac:dyDescent="0.2">
      <c r="A265" s="1" t="s">
        <v>393</v>
      </c>
      <c r="B265" s="32">
        <v>30</v>
      </c>
      <c r="C265">
        <v>0</v>
      </c>
      <c r="D265">
        <v>1</v>
      </c>
      <c r="E265">
        <v>0</v>
      </c>
      <c r="F265" s="72">
        <v>41983</v>
      </c>
      <c r="G265" t="s">
        <v>49</v>
      </c>
      <c r="H265" s="72">
        <v>41993</v>
      </c>
      <c r="I265" s="1" t="s">
        <v>393</v>
      </c>
    </row>
    <row r="266" spans="1:9" x14ac:dyDescent="0.2">
      <c r="A266" s="1" t="s">
        <v>400</v>
      </c>
      <c r="B266" s="32">
        <v>10</v>
      </c>
      <c r="C266">
        <v>0</v>
      </c>
      <c r="D266">
        <v>1</v>
      </c>
      <c r="E266">
        <v>0</v>
      </c>
      <c r="F266" s="72">
        <v>41983</v>
      </c>
      <c r="G266" t="s">
        <v>49</v>
      </c>
      <c r="H266" s="72">
        <v>41993</v>
      </c>
      <c r="I266" s="1" t="s">
        <v>400</v>
      </c>
    </row>
    <row r="267" spans="1:9" x14ac:dyDescent="0.2">
      <c r="A267" s="1" t="s">
        <v>382</v>
      </c>
      <c r="B267" s="32">
        <v>4.0999999999999996</v>
      </c>
      <c r="C267">
        <v>0</v>
      </c>
      <c r="D267">
        <v>1</v>
      </c>
      <c r="E267">
        <v>0</v>
      </c>
      <c r="F267" s="72">
        <v>41983</v>
      </c>
      <c r="G267" t="s">
        <v>49</v>
      </c>
      <c r="H267" s="72">
        <v>41993</v>
      </c>
      <c r="I267" s="1" t="s">
        <v>189</v>
      </c>
    </row>
    <row r="268" spans="1:9" x14ac:dyDescent="0.2">
      <c r="A268" s="1" t="s">
        <v>401</v>
      </c>
      <c r="B268" s="89">
        <v>500</v>
      </c>
      <c r="C268">
        <v>1</v>
      </c>
      <c r="D268">
        <v>0</v>
      </c>
      <c r="E268">
        <v>0</v>
      </c>
      <c r="F268" s="72">
        <v>41983</v>
      </c>
      <c r="G268" s="1" t="s">
        <v>55</v>
      </c>
      <c r="H268" s="72">
        <v>41996</v>
      </c>
      <c r="I268" s="1" t="s">
        <v>344</v>
      </c>
    </row>
    <row r="269" spans="1:9" x14ac:dyDescent="0.2">
      <c r="A269" s="1" t="s">
        <v>462</v>
      </c>
      <c r="B269" s="89">
        <v>115.06</v>
      </c>
      <c r="C269">
        <v>0</v>
      </c>
      <c r="D269">
        <v>1</v>
      </c>
      <c r="E269">
        <v>0</v>
      </c>
      <c r="F269" s="72">
        <v>41983</v>
      </c>
      <c r="G269" s="1" t="s">
        <v>55</v>
      </c>
      <c r="H269" s="72">
        <v>41995</v>
      </c>
      <c r="I269" s="1" t="s">
        <v>50</v>
      </c>
    </row>
    <row r="270" spans="1:9" x14ac:dyDescent="0.2">
      <c r="A270" s="1" t="s">
        <v>382</v>
      </c>
      <c r="B270" s="90">
        <v>12.96</v>
      </c>
      <c r="C270">
        <v>0</v>
      </c>
      <c r="D270">
        <v>1</v>
      </c>
      <c r="E270">
        <v>0</v>
      </c>
      <c r="F270" s="72">
        <v>41983</v>
      </c>
      <c r="G270" s="1" t="s">
        <v>55</v>
      </c>
      <c r="H270" s="72">
        <v>41996</v>
      </c>
      <c r="I270" s="1" t="s">
        <v>189</v>
      </c>
    </row>
    <row r="271" spans="1:9" x14ac:dyDescent="0.2">
      <c r="A271" s="1" t="s">
        <v>43</v>
      </c>
      <c r="B271" s="89">
        <v>30</v>
      </c>
      <c r="C271">
        <v>1</v>
      </c>
      <c r="D271">
        <v>0</v>
      </c>
      <c r="E271">
        <v>0</v>
      </c>
      <c r="F271" s="72">
        <v>41983</v>
      </c>
      <c r="G271" s="1" t="s">
        <v>55</v>
      </c>
      <c r="H271" s="72">
        <v>41996</v>
      </c>
      <c r="I271" s="1" t="s">
        <v>153</v>
      </c>
    </row>
    <row r="272" spans="1:9" x14ac:dyDescent="0.2">
      <c r="A272" s="1" t="s">
        <v>96</v>
      </c>
      <c r="B272" s="89">
        <v>27.92</v>
      </c>
      <c r="C272">
        <v>0</v>
      </c>
      <c r="D272">
        <v>1</v>
      </c>
      <c r="E272">
        <v>0</v>
      </c>
      <c r="F272" s="72">
        <v>41983</v>
      </c>
      <c r="G272" s="1" t="s">
        <v>55</v>
      </c>
      <c r="H272" s="72">
        <v>41996</v>
      </c>
      <c r="I272" t="s">
        <v>96</v>
      </c>
    </row>
    <row r="273" spans="1:9" x14ac:dyDescent="0.2">
      <c r="A273" s="1" t="s">
        <v>224</v>
      </c>
      <c r="B273" s="89">
        <v>10</v>
      </c>
      <c r="C273">
        <v>0</v>
      </c>
      <c r="D273">
        <v>1</v>
      </c>
      <c r="E273">
        <v>0</v>
      </c>
      <c r="F273" s="72">
        <v>41983</v>
      </c>
      <c r="G273" s="1" t="s">
        <v>55</v>
      </c>
      <c r="H273" s="72">
        <v>41996</v>
      </c>
      <c r="I273" s="1" t="s">
        <v>50</v>
      </c>
    </row>
    <row r="274" spans="1:9" x14ac:dyDescent="0.2">
      <c r="A274" s="1" t="s">
        <v>402</v>
      </c>
      <c r="B274" s="89">
        <v>20</v>
      </c>
      <c r="C274">
        <v>0</v>
      </c>
      <c r="D274">
        <v>1</v>
      </c>
      <c r="E274">
        <v>0</v>
      </c>
      <c r="F274" s="72">
        <v>41983</v>
      </c>
      <c r="G274" s="1" t="s">
        <v>55</v>
      </c>
      <c r="H274" s="72">
        <v>41997</v>
      </c>
      <c r="I274" s="1" t="s">
        <v>344</v>
      </c>
    </row>
    <row r="275" spans="1:9" x14ac:dyDescent="0.2">
      <c r="A275" s="1" t="s">
        <v>341</v>
      </c>
      <c r="B275" s="89">
        <v>30</v>
      </c>
      <c r="C275">
        <v>0</v>
      </c>
      <c r="D275">
        <v>1</v>
      </c>
      <c r="E275">
        <v>0</v>
      </c>
      <c r="F275" s="72">
        <v>41983</v>
      </c>
      <c r="G275" s="1" t="s">
        <v>55</v>
      </c>
      <c r="H275" s="72">
        <v>41997</v>
      </c>
      <c r="I275" s="1" t="s">
        <v>344</v>
      </c>
    </row>
    <row r="276" spans="1:9" x14ac:dyDescent="0.2">
      <c r="A276" s="1" t="s">
        <v>403</v>
      </c>
      <c r="B276" s="89">
        <v>65</v>
      </c>
      <c r="C276">
        <v>0</v>
      </c>
      <c r="D276">
        <v>1</v>
      </c>
      <c r="E276">
        <v>0</v>
      </c>
      <c r="F276" s="72">
        <v>41983</v>
      </c>
      <c r="G276" s="1" t="s">
        <v>55</v>
      </c>
      <c r="H276" s="72">
        <v>41997</v>
      </c>
      <c r="I276" s="1" t="s">
        <v>344</v>
      </c>
    </row>
    <row r="277" spans="1:9" x14ac:dyDescent="0.2">
      <c r="A277" s="1" t="s">
        <v>43</v>
      </c>
      <c r="B277" s="89">
        <v>30</v>
      </c>
      <c r="C277">
        <v>1</v>
      </c>
      <c r="D277">
        <v>0</v>
      </c>
      <c r="E277">
        <v>0</v>
      </c>
      <c r="F277" s="72">
        <v>41983</v>
      </c>
      <c r="G277" s="1" t="s">
        <v>55</v>
      </c>
      <c r="H277" s="72">
        <v>41998</v>
      </c>
      <c r="I277" s="1" t="s">
        <v>153</v>
      </c>
    </row>
    <row r="278" spans="1:9" x14ac:dyDescent="0.2">
      <c r="A278" s="1" t="s">
        <v>43</v>
      </c>
      <c r="B278" s="89">
        <v>30</v>
      </c>
      <c r="C278">
        <v>1</v>
      </c>
      <c r="D278">
        <v>0</v>
      </c>
      <c r="E278">
        <v>0</v>
      </c>
      <c r="F278" s="72">
        <v>41983</v>
      </c>
      <c r="G278" s="1" t="s">
        <v>55</v>
      </c>
      <c r="H278" s="72">
        <v>41998</v>
      </c>
      <c r="I278" s="1" t="s">
        <v>153</v>
      </c>
    </row>
    <row r="279" spans="1:9" x14ac:dyDescent="0.2">
      <c r="A279" s="1" t="s">
        <v>386</v>
      </c>
      <c r="B279" s="89">
        <v>10.85</v>
      </c>
      <c r="C279">
        <v>0</v>
      </c>
      <c r="D279">
        <v>1</v>
      </c>
      <c r="E279">
        <v>0</v>
      </c>
      <c r="F279" s="72">
        <v>41983</v>
      </c>
      <c r="G279" s="1" t="s">
        <v>55</v>
      </c>
      <c r="H279" s="72">
        <v>41999</v>
      </c>
      <c r="I279" s="1" t="s">
        <v>189</v>
      </c>
    </row>
    <row r="280" spans="1:9" x14ac:dyDescent="0.2">
      <c r="A280" s="1" t="s">
        <v>374</v>
      </c>
      <c r="B280" s="89">
        <v>2.2000000000000002</v>
      </c>
      <c r="C280">
        <v>0</v>
      </c>
      <c r="D280">
        <v>1</v>
      </c>
      <c r="E280">
        <v>0</v>
      </c>
      <c r="F280" s="72">
        <v>41983</v>
      </c>
      <c r="G280" s="1" t="s">
        <v>55</v>
      </c>
      <c r="H280" s="72">
        <v>41999</v>
      </c>
      <c r="I280" s="1" t="s">
        <v>50</v>
      </c>
    </row>
    <row r="281" spans="1:9" x14ac:dyDescent="0.2">
      <c r="A281" s="1" t="s">
        <v>404</v>
      </c>
      <c r="B281" s="89">
        <v>13</v>
      </c>
      <c r="C281">
        <v>0</v>
      </c>
      <c r="D281">
        <v>1</v>
      </c>
      <c r="E281">
        <v>0</v>
      </c>
      <c r="F281" s="72">
        <v>41983</v>
      </c>
      <c r="G281" s="1" t="s">
        <v>55</v>
      </c>
      <c r="H281" s="72">
        <v>41999</v>
      </c>
      <c r="I281" s="1" t="s">
        <v>153</v>
      </c>
    </row>
    <row r="282" spans="1:9" x14ac:dyDescent="0.2">
      <c r="A282" s="1" t="s">
        <v>404</v>
      </c>
      <c r="B282" s="89">
        <v>30</v>
      </c>
      <c r="C282">
        <v>0</v>
      </c>
      <c r="D282">
        <v>1</v>
      </c>
      <c r="E282">
        <v>0</v>
      </c>
      <c r="F282" s="72">
        <v>41983</v>
      </c>
      <c r="G282" s="1" t="s">
        <v>55</v>
      </c>
      <c r="H282" s="72">
        <v>41999</v>
      </c>
      <c r="I282" s="1" t="s">
        <v>153</v>
      </c>
    </row>
    <row r="283" spans="1:9" x14ac:dyDescent="0.2">
      <c r="A283" s="1" t="s">
        <v>386</v>
      </c>
      <c r="B283" s="89">
        <v>9</v>
      </c>
      <c r="C283">
        <v>0</v>
      </c>
      <c r="D283">
        <v>1</v>
      </c>
      <c r="E283">
        <v>0</v>
      </c>
      <c r="F283" s="72">
        <v>41983</v>
      </c>
      <c r="G283" s="1" t="s">
        <v>49</v>
      </c>
      <c r="H283" s="72">
        <v>42000</v>
      </c>
      <c r="I283" s="1" t="s">
        <v>50</v>
      </c>
    </row>
    <row r="284" spans="1:9" x14ac:dyDescent="0.2">
      <c r="A284" s="1" t="s">
        <v>224</v>
      </c>
      <c r="B284" s="89">
        <v>8</v>
      </c>
      <c r="C284">
        <v>0</v>
      </c>
      <c r="D284">
        <v>1</v>
      </c>
      <c r="E284">
        <v>0</v>
      </c>
      <c r="F284" s="72">
        <v>41983</v>
      </c>
      <c r="G284" s="1" t="s">
        <v>49</v>
      </c>
      <c r="H284" s="72">
        <v>42000</v>
      </c>
      <c r="I284" s="1" t="s">
        <v>50</v>
      </c>
    </row>
    <row r="285" spans="1:9" x14ac:dyDescent="0.2">
      <c r="A285" s="1" t="s">
        <v>405</v>
      </c>
      <c r="B285" s="89">
        <v>86.79</v>
      </c>
      <c r="C285">
        <v>0</v>
      </c>
      <c r="D285">
        <v>1</v>
      </c>
      <c r="E285">
        <v>0</v>
      </c>
      <c r="F285" s="72">
        <v>41983</v>
      </c>
      <c r="G285" s="1" t="s">
        <v>49</v>
      </c>
      <c r="H285" s="72">
        <v>42001</v>
      </c>
      <c r="I285" s="1" t="s">
        <v>206</v>
      </c>
    </row>
    <row r="286" spans="1:9" x14ac:dyDescent="0.2">
      <c r="A286" s="1" t="s">
        <v>96</v>
      </c>
      <c r="B286" s="89">
        <v>40.700000000000003</v>
      </c>
      <c r="C286">
        <v>0</v>
      </c>
      <c r="D286">
        <v>1</v>
      </c>
      <c r="E286">
        <v>0</v>
      </c>
      <c r="F286" s="72">
        <v>41983</v>
      </c>
      <c r="G286" s="1" t="s">
        <v>179</v>
      </c>
      <c r="H286" s="72">
        <v>42002</v>
      </c>
      <c r="I286" t="s">
        <v>96</v>
      </c>
    </row>
    <row r="287" spans="1:9" x14ac:dyDescent="0.2">
      <c r="A287" s="1" t="s">
        <v>48</v>
      </c>
      <c r="B287" s="89">
        <v>60</v>
      </c>
      <c r="C287">
        <v>0</v>
      </c>
      <c r="D287">
        <v>1</v>
      </c>
      <c r="E287">
        <v>0</v>
      </c>
      <c r="F287" s="72">
        <v>41983</v>
      </c>
      <c r="G287" s="1" t="s">
        <v>179</v>
      </c>
      <c r="H287" s="72">
        <v>42002</v>
      </c>
      <c r="I287" s="1" t="s">
        <v>48</v>
      </c>
    </row>
    <row r="288" spans="1:9" x14ac:dyDescent="0.2">
      <c r="A288" s="1" t="s">
        <v>412</v>
      </c>
      <c r="B288" s="89">
        <v>250</v>
      </c>
      <c r="C288">
        <v>0</v>
      </c>
      <c r="D288">
        <v>1</v>
      </c>
      <c r="E288">
        <v>0</v>
      </c>
      <c r="F288" s="72">
        <v>41983</v>
      </c>
      <c r="G288" s="1" t="s">
        <v>179</v>
      </c>
      <c r="H288" s="72">
        <v>42002</v>
      </c>
      <c r="I288" s="1" t="s">
        <v>153</v>
      </c>
    </row>
    <row r="289" spans="1:9" x14ac:dyDescent="0.2">
      <c r="A289" s="1" t="s">
        <v>44</v>
      </c>
      <c r="B289" s="89">
        <v>6</v>
      </c>
      <c r="C289">
        <v>1</v>
      </c>
      <c r="D289">
        <v>0</v>
      </c>
      <c r="E289">
        <v>0</v>
      </c>
      <c r="F289" s="72">
        <v>41983</v>
      </c>
      <c r="G289" s="1" t="s">
        <v>179</v>
      </c>
      <c r="H289" s="72">
        <v>42002</v>
      </c>
      <c r="I289" s="1" t="s">
        <v>60</v>
      </c>
    </row>
    <row r="290" spans="1:9" x14ac:dyDescent="0.2">
      <c r="A290" s="1" t="s">
        <v>413</v>
      </c>
      <c r="B290" s="89">
        <v>17.7</v>
      </c>
      <c r="C290">
        <v>0</v>
      </c>
      <c r="D290">
        <v>1</v>
      </c>
      <c r="E290">
        <v>0</v>
      </c>
      <c r="F290" s="72">
        <v>41983</v>
      </c>
      <c r="G290" s="1" t="s">
        <v>179</v>
      </c>
      <c r="H290" s="72">
        <v>42002</v>
      </c>
      <c r="I290" s="1" t="s">
        <v>189</v>
      </c>
    </row>
    <row r="291" spans="1:9" x14ac:dyDescent="0.2">
      <c r="A291" s="1" t="s">
        <v>96</v>
      </c>
      <c r="B291" s="89">
        <v>24.9</v>
      </c>
      <c r="C291">
        <v>0</v>
      </c>
      <c r="D291">
        <v>1</v>
      </c>
      <c r="E291">
        <v>0</v>
      </c>
      <c r="F291" s="72">
        <v>41983</v>
      </c>
      <c r="G291" s="1" t="s">
        <v>179</v>
      </c>
      <c r="H291" s="72">
        <v>42003</v>
      </c>
      <c r="I291" t="s">
        <v>96</v>
      </c>
    </row>
    <row r="292" spans="1:9" x14ac:dyDescent="0.2">
      <c r="A292" s="1" t="s">
        <v>44</v>
      </c>
      <c r="B292" s="89">
        <v>50</v>
      </c>
      <c r="C292">
        <v>1</v>
      </c>
      <c r="D292">
        <v>0</v>
      </c>
      <c r="E292">
        <v>0</v>
      </c>
      <c r="F292" s="72">
        <v>41983</v>
      </c>
      <c r="G292" s="1" t="s">
        <v>179</v>
      </c>
      <c r="H292" s="72">
        <v>42003</v>
      </c>
      <c r="I292" s="1" t="s">
        <v>60</v>
      </c>
    </row>
    <row r="293" spans="1:9" x14ac:dyDescent="0.2">
      <c r="A293" s="1" t="s">
        <v>52</v>
      </c>
      <c r="B293" s="89">
        <v>100</v>
      </c>
      <c r="C293">
        <v>0</v>
      </c>
      <c r="D293">
        <v>1</v>
      </c>
      <c r="E293">
        <v>0</v>
      </c>
      <c r="F293" s="72">
        <v>41983</v>
      </c>
      <c r="G293" s="1" t="s">
        <v>179</v>
      </c>
      <c r="H293" s="72">
        <v>42369</v>
      </c>
      <c r="I293" s="1" t="s">
        <v>52</v>
      </c>
    </row>
    <row r="294" spans="1:9" x14ac:dyDescent="0.2">
      <c r="A294" s="1" t="s">
        <v>456</v>
      </c>
      <c r="B294" s="89">
        <v>27</v>
      </c>
      <c r="C294">
        <v>0</v>
      </c>
      <c r="D294">
        <v>1</v>
      </c>
      <c r="E294">
        <v>0</v>
      </c>
      <c r="F294" s="72">
        <v>41983</v>
      </c>
      <c r="G294" s="1" t="s">
        <v>47</v>
      </c>
      <c r="H294" s="72">
        <v>42006</v>
      </c>
      <c r="I294" s="1" t="s">
        <v>50</v>
      </c>
    </row>
    <row r="295" spans="1:9" x14ac:dyDescent="0.2">
      <c r="A295" s="1" t="s">
        <v>457</v>
      </c>
      <c r="B295" s="89">
        <v>22</v>
      </c>
      <c r="C295">
        <v>0</v>
      </c>
      <c r="D295">
        <v>1</v>
      </c>
      <c r="E295">
        <v>0</v>
      </c>
      <c r="F295" s="72">
        <v>41983</v>
      </c>
      <c r="G295" s="1" t="s">
        <v>179</v>
      </c>
      <c r="H295" s="72">
        <v>42369</v>
      </c>
      <c r="I295" s="1" t="s">
        <v>206</v>
      </c>
    </row>
    <row r="296" spans="1:9" x14ac:dyDescent="0.2">
      <c r="A296" s="1" t="s">
        <v>458</v>
      </c>
      <c r="B296" s="89">
        <v>6</v>
      </c>
      <c r="C296">
        <v>0</v>
      </c>
      <c r="D296">
        <v>1</v>
      </c>
      <c r="E296">
        <v>0</v>
      </c>
      <c r="F296" s="72">
        <v>41983</v>
      </c>
      <c r="G296" s="1" t="s">
        <v>47</v>
      </c>
      <c r="H296" s="72">
        <v>42006</v>
      </c>
      <c r="I296" s="1" t="s">
        <v>206</v>
      </c>
    </row>
    <row r="297" spans="1:9" x14ac:dyDescent="0.2">
      <c r="A297" s="1" t="s">
        <v>459</v>
      </c>
      <c r="B297" s="89">
        <v>6</v>
      </c>
      <c r="C297">
        <v>0</v>
      </c>
      <c r="D297">
        <v>1</v>
      </c>
      <c r="E297">
        <v>0</v>
      </c>
      <c r="F297" s="72">
        <v>41983</v>
      </c>
      <c r="G297" s="1" t="s">
        <v>47</v>
      </c>
      <c r="H297" s="72">
        <v>42006</v>
      </c>
      <c r="I297" s="1" t="s">
        <v>50</v>
      </c>
    </row>
    <row r="298" spans="1:9" x14ac:dyDescent="0.2">
      <c r="A298" s="1" t="s">
        <v>460</v>
      </c>
      <c r="B298" s="89">
        <v>4.8</v>
      </c>
      <c r="C298">
        <v>0</v>
      </c>
      <c r="D298">
        <v>1</v>
      </c>
      <c r="E298">
        <v>0</v>
      </c>
      <c r="F298" s="72">
        <v>41983</v>
      </c>
      <c r="G298" s="1" t="s">
        <v>47</v>
      </c>
      <c r="H298" s="72">
        <v>42006</v>
      </c>
      <c r="I298" s="1" t="s">
        <v>50</v>
      </c>
    </row>
    <row r="299" spans="1:9" x14ac:dyDescent="0.2">
      <c r="A299" s="1" t="s">
        <v>382</v>
      </c>
      <c r="B299" s="89">
        <v>26.9</v>
      </c>
      <c r="C299">
        <v>0</v>
      </c>
      <c r="D299">
        <v>1</v>
      </c>
      <c r="E299">
        <v>0</v>
      </c>
      <c r="F299" s="72">
        <v>41983</v>
      </c>
      <c r="G299" s="1" t="s">
        <v>49</v>
      </c>
      <c r="H299" s="72">
        <v>42007</v>
      </c>
      <c r="I299" s="1" t="s">
        <v>189</v>
      </c>
    </row>
    <row r="300" spans="1:9" x14ac:dyDescent="0.2">
      <c r="A300" s="1" t="s">
        <v>43</v>
      </c>
      <c r="B300" s="89">
        <v>30</v>
      </c>
      <c r="C300">
        <v>1</v>
      </c>
      <c r="D300">
        <v>0</v>
      </c>
      <c r="E300">
        <v>0</v>
      </c>
      <c r="F300" s="72">
        <v>41983</v>
      </c>
      <c r="G300" s="1" t="s">
        <v>49</v>
      </c>
      <c r="H300" s="72">
        <v>42008</v>
      </c>
      <c r="I300" s="1" t="s">
        <v>153</v>
      </c>
    </row>
    <row r="301" spans="1:9" x14ac:dyDescent="0.2">
      <c r="A301" s="1" t="s">
        <v>96</v>
      </c>
      <c r="B301" s="89">
        <v>31.36</v>
      </c>
      <c r="C301">
        <v>0</v>
      </c>
      <c r="D301">
        <v>1</v>
      </c>
      <c r="E301">
        <v>0</v>
      </c>
      <c r="F301" s="72">
        <v>41983</v>
      </c>
      <c r="G301" t="s">
        <v>51</v>
      </c>
      <c r="H301" s="72">
        <v>42009</v>
      </c>
      <c r="I301" t="s">
        <v>96</v>
      </c>
    </row>
    <row r="302" spans="1:9" x14ac:dyDescent="0.2">
      <c r="A302" s="1" t="s">
        <v>96</v>
      </c>
      <c r="B302" s="89">
        <v>26</v>
      </c>
      <c r="C302">
        <v>0</v>
      </c>
      <c r="D302">
        <v>1</v>
      </c>
      <c r="E302">
        <v>0</v>
      </c>
      <c r="F302" s="72">
        <v>41983</v>
      </c>
      <c r="G302" t="s">
        <v>51</v>
      </c>
      <c r="H302" s="72">
        <v>42010</v>
      </c>
      <c r="I302" t="s">
        <v>96</v>
      </c>
    </row>
    <row r="303" spans="1:9" x14ac:dyDescent="0.2">
      <c r="A303" s="1" t="s">
        <v>44</v>
      </c>
      <c r="B303" s="89">
        <v>50</v>
      </c>
      <c r="C303">
        <v>1</v>
      </c>
      <c r="D303">
        <v>0</v>
      </c>
      <c r="E303">
        <v>0</v>
      </c>
      <c r="F303" s="72">
        <v>41983</v>
      </c>
      <c r="G303" t="s">
        <v>51</v>
      </c>
      <c r="H303" s="72">
        <v>42011</v>
      </c>
      <c r="I303" s="1" t="s">
        <v>60</v>
      </c>
    </row>
    <row r="304" spans="1:9" x14ac:dyDescent="0.2">
      <c r="A304" s="1" t="s">
        <v>15</v>
      </c>
      <c r="B304" s="89">
        <v>18</v>
      </c>
      <c r="C304">
        <v>0</v>
      </c>
      <c r="D304">
        <v>1</v>
      </c>
      <c r="E304">
        <v>0</v>
      </c>
      <c r="F304" s="72">
        <v>41983</v>
      </c>
      <c r="G304" t="s">
        <v>51</v>
      </c>
      <c r="H304" s="72">
        <v>42012</v>
      </c>
      <c r="I304" s="1" t="s">
        <v>46</v>
      </c>
    </row>
    <row r="305" spans="1:9" x14ac:dyDescent="0.2">
      <c r="A305" s="27"/>
      <c r="B305" s="85"/>
      <c r="C305" s="27"/>
      <c r="D305" s="27"/>
      <c r="E305" s="27"/>
      <c r="F305" s="84"/>
      <c r="G305" s="27"/>
      <c r="H305" s="84"/>
      <c r="I305" s="27"/>
    </row>
    <row r="306" spans="1:9" x14ac:dyDescent="0.2">
      <c r="A306" s="27"/>
      <c r="B306" s="27"/>
      <c r="C306" s="27"/>
      <c r="D306" s="27"/>
      <c r="E306" s="27"/>
      <c r="F306" s="84"/>
      <c r="G306" s="27"/>
      <c r="H306" s="84"/>
      <c r="I306" s="27"/>
    </row>
    <row r="307" spans="1:9" x14ac:dyDescent="0.2">
      <c r="B307" s="32"/>
      <c r="E307"/>
    </row>
    <row r="308" spans="1:9" x14ac:dyDescent="0.2">
      <c r="B308" s="32"/>
      <c r="E308"/>
    </row>
    <row r="309" spans="1:9" x14ac:dyDescent="0.2">
      <c r="B309" s="32"/>
      <c r="E309"/>
    </row>
    <row r="310" spans="1:9" x14ac:dyDescent="0.2">
      <c r="B310" s="32"/>
      <c r="E310"/>
    </row>
    <row r="311" spans="1:9" x14ac:dyDescent="0.2">
      <c r="B311" s="32"/>
      <c r="E311"/>
    </row>
    <row r="312" spans="1:9" x14ac:dyDescent="0.2">
      <c r="B312" s="32"/>
      <c r="E312"/>
      <c r="G312" s="27"/>
    </row>
    <row r="313" spans="1:9" x14ac:dyDescent="0.2">
      <c r="B313" s="32"/>
      <c r="E313"/>
    </row>
    <row r="314" spans="1:9" x14ac:dyDescent="0.2">
      <c r="E314"/>
      <c r="G314" s="27"/>
    </row>
    <row r="315" spans="1:9" x14ac:dyDescent="0.2">
      <c r="B315" s="32"/>
      <c r="E315"/>
      <c r="G315" s="27"/>
    </row>
    <row r="316" spans="1:9" x14ac:dyDescent="0.2">
      <c r="B316" s="32"/>
      <c r="E316"/>
    </row>
    <row r="317" spans="1:9" x14ac:dyDescent="0.2">
      <c r="B317" s="32"/>
      <c r="E317"/>
    </row>
    <row r="318" spans="1:9" x14ac:dyDescent="0.2">
      <c r="B318" s="32"/>
      <c r="E318"/>
    </row>
    <row r="319" spans="1:9" x14ac:dyDescent="0.2">
      <c r="B319" s="32"/>
      <c r="E319"/>
    </row>
    <row r="320" spans="1:9" x14ac:dyDescent="0.2">
      <c r="B320" s="32"/>
      <c r="E320"/>
    </row>
    <row r="321" spans="1:9" x14ac:dyDescent="0.2">
      <c r="B321" s="32"/>
      <c r="E321"/>
    </row>
    <row r="322" spans="1:9" x14ac:dyDescent="0.2">
      <c r="B322" s="32"/>
      <c r="E322"/>
    </row>
    <row r="323" spans="1:9" x14ac:dyDescent="0.2">
      <c r="B323" s="32"/>
      <c r="E323"/>
    </row>
    <row r="324" spans="1:9" x14ac:dyDescent="0.2">
      <c r="B324" s="32"/>
      <c r="E324"/>
      <c r="G324" s="27"/>
    </row>
    <row r="325" spans="1:9" x14ac:dyDescent="0.2">
      <c r="B325" s="32"/>
      <c r="E325"/>
      <c r="I325" s="1"/>
    </row>
    <row r="326" spans="1:9" x14ac:dyDescent="0.2">
      <c r="B326" s="32"/>
      <c r="E326"/>
      <c r="G326" s="103"/>
      <c r="I326" s="1"/>
    </row>
    <row r="327" spans="1:9" x14ac:dyDescent="0.2">
      <c r="B327" s="32"/>
      <c r="E327"/>
      <c r="I327" s="1"/>
    </row>
    <row r="328" spans="1:9" x14ac:dyDescent="0.2">
      <c r="A328" s="1"/>
      <c r="B328" s="32"/>
      <c r="E328"/>
      <c r="I328" s="1"/>
    </row>
    <row r="329" spans="1:9" x14ac:dyDescent="0.2">
      <c r="B329" s="32"/>
      <c r="E329"/>
      <c r="I329" s="1"/>
    </row>
    <row r="330" spans="1:9" x14ac:dyDescent="0.2">
      <c r="B330" s="32"/>
      <c r="E330"/>
      <c r="I330" s="1"/>
    </row>
    <row r="331" spans="1:9" x14ac:dyDescent="0.2">
      <c r="B331" s="32"/>
      <c r="E331"/>
      <c r="I331" s="1"/>
    </row>
    <row r="332" spans="1:9" x14ac:dyDescent="0.2">
      <c r="B332" s="32"/>
      <c r="E332"/>
      <c r="I332" s="1"/>
    </row>
    <row r="333" spans="1:9" x14ac:dyDescent="0.2">
      <c r="B333" s="32"/>
      <c r="E333"/>
      <c r="I333" s="1"/>
    </row>
    <row r="334" spans="1:9" x14ac:dyDescent="0.2">
      <c r="B334" s="32"/>
      <c r="E334"/>
      <c r="I334" s="1"/>
    </row>
    <row r="335" spans="1:9" x14ac:dyDescent="0.2">
      <c r="A335" s="103"/>
      <c r="B335" s="103"/>
      <c r="C335" s="103"/>
      <c r="D335" s="103"/>
      <c r="E335" s="103"/>
      <c r="F335" s="88"/>
      <c r="G335" s="103"/>
      <c r="H335" s="88"/>
      <c r="I335" s="103"/>
    </row>
    <row r="336" spans="1:9" x14ac:dyDescent="0.2">
      <c r="A336" s="103"/>
      <c r="B336" s="103"/>
      <c r="C336" s="103"/>
      <c r="D336" s="103"/>
      <c r="E336" s="103"/>
      <c r="F336" s="88"/>
      <c r="G336" s="103"/>
      <c r="H336" s="88"/>
      <c r="I336" s="10"/>
    </row>
    <row r="337" spans="1:9" x14ac:dyDescent="0.2">
      <c r="A337" s="103"/>
      <c r="B337" s="103"/>
      <c r="C337" s="103"/>
      <c r="D337" s="103"/>
      <c r="E337" s="103"/>
      <c r="F337" s="88"/>
      <c r="G337" s="103"/>
      <c r="H337" s="88"/>
      <c r="I337" s="10"/>
    </row>
    <row r="338" spans="1:9" x14ac:dyDescent="0.2">
      <c r="A338" s="103"/>
      <c r="B338" s="103"/>
      <c r="C338" s="103"/>
      <c r="D338" s="103"/>
      <c r="E338" s="103"/>
      <c r="F338" s="88"/>
      <c r="G338" s="103"/>
      <c r="H338" s="88"/>
      <c r="I338" s="10"/>
    </row>
    <row r="339" spans="1:9" x14ac:dyDescent="0.2">
      <c r="A339" s="103"/>
      <c r="B339" s="103"/>
      <c r="C339" s="103"/>
      <c r="D339" s="103"/>
      <c r="E339" s="103"/>
      <c r="F339" s="88"/>
      <c r="G339" s="103"/>
      <c r="H339" s="88"/>
      <c r="I339" s="10"/>
    </row>
    <row r="340" spans="1:9" x14ac:dyDescent="0.2">
      <c r="A340" s="103"/>
      <c r="B340" s="103"/>
      <c r="C340" s="103"/>
      <c r="D340" s="103"/>
      <c r="E340" s="103"/>
      <c r="F340" s="88"/>
      <c r="G340" s="103"/>
      <c r="H340" s="88"/>
      <c r="I340" s="10"/>
    </row>
    <row r="341" spans="1:9" x14ac:dyDescent="0.2">
      <c r="A341" s="103"/>
      <c r="B341" s="103"/>
      <c r="C341" s="103"/>
      <c r="D341" s="103"/>
      <c r="E341" s="103"/>
      <c r="F341" s="88"/>
      <c r="G341" s="103"/>
      <c r="H341" s="88"/>
      <c r="I341" s="10"/>
    </row>
    <row r="342" spans="1:9" x14ac:dyDescent="0.2">
      <c r="A342" s="103"/>
      <c r="B342" s="103"/>
      <c r="C342" s="103"/>
      <c r="D342" s="103"/>
      <c r="E342" s="103"/>
      <c r="F342" s="88"/>
      <c r="G342" s="103"/>
      <c r="H342" s="88"/>
      <c r="I342" s="10"/>
    </row>
    <row r="343" spans="1:9" x14ac:dyDescent="0.2">
      <c r="A343" s="103"/>
      <c r="B343" s="103"/>
      <c r="C343" s="103"/>
      <c r="D343" s="103"/>
      <c r="E343" s="103"/>
      <c r="F343" s="88"/>
      <c r="G343" s="103"/>
      <c r="H343" s="88"/>
      <c r="I343" s="10"/>
    </row>
    <row r="344" spans="1:9" x14ac:dyDescent="0.2">
      <c r="A344" s="103"/>
      <c r="B344" s="103"/>
      <c r="C344" s="103"/>
      <c r="D344" s="103"/>
      <c r="E344" s="103"/>
      <c r="F344" s="88"/>
      <c r="G344" s="103"/>
      <c r="H344" s="88"/>
      <c r="I344" s="10"/>
    </row>
    <row r="345" spans="1:9" x14ac:dyDescent="0.2">
      <c r="A345" s="103"/>
      <c r="B345" s="103"/>
      <c r="C345" s="103"/>
      <c r="D345" s="103"/>
      <c r="E345" s="103"/>
      <c r="F345" s="88"/>
      <c r="G345" s="103"/>
      <c r="H345" s="88"/>
      <c r="I345" s="10"/>
    </row>
    <row r="346" spans="1:9" x14ac:dyDescent="0.2">
      <c r="A346" s="103"/>
      <c r="B346" s="103"/>
      <c r="C346" s="103"/>
      <c r="D346" s="103"/>
      <c r="E346" s="103"/>
      <c r="F346" s="88"/>
      <c r="G346" s="103"/>
      <c r="H346" s="88"/>
      <c r="I346" s="10"/>
    </row>
    <row r="347" spans="1:9" x14ac:dyDescent="0.2">
      <c r="A347" s="103"/>
      <c r="B347" s="103"/>
      <c r="C347" s="103"/>
      <c r="D347" s="103"/>
      <c r="E347" s="103"/>
      <c r="F347" s="88"/>
      <c r="G347" s="103"/>
      <c r="H347" s="88"/>
      <c r="I347" s="10"/>
    </row>
    <row r="348" spans="1:9" x14ac:dyDescent="0.2">
      <c r="A348" s="103"/>
      <c r="B348" s="103"/>
      <c r="C348" s="103"/>
      <c r="D348" s="103"/>
      <c r="E348" s="103"/>
      <c r="F348" s="88"/>
      <c r="G348" s="103"/>
      <c r="H348" s="88"/>
      <c r="I348" s="10"/>
    </row>
    <row r="349" spans="1:9" x14ac:dyDescent="0.2">
      <c r="A349" s="103"/>
      <c r="B349" s="103"/>
      <c r="C349" s="103"/>
      <c r="D349" s="103"/>
      <c r="E349" s="103"/>
      <c r="F349" s="88"/>
      <c r="G349" s="103"/>
      <c r="H349" s="88"/>
      <c r="I349" s="10"/>
    </row>
    <row r="350" spans="1:9" x14ac:dyDescent="0.2">
      <c r="A350" s="27"/>
      <c r="B350" s="27"/>
      <c r="C350" s="27"/>
      <c r="D350" s="27"/>
      <c r="E350" s="27"/>
      <c r="F350" s="84"/>
      <c r="G350" s="103"/>
      <c r="H350" s="84"/>
      <c r="I350" s="27"/>
    </row>
    <row r="351" spans="1:9" x14ac:dyDescent="0.2">
      <c r="A351" s="10"/>
      <c r="B351" s="103"/>
      <c r="C351" s="103"/>
      <c r="D351" s="103"/>
      <c r="E351" s="103"/>
      <c r="F351" s="88"/>
      <c r="G351" s="103"/>
      <c r="H351" s="88"/>
      <c r="I351" s="10"/>
    </row>
    <row r="352" spans="1:9" x14ac:dyDescent="0.2">
      <c r="A352" s="103"/>
      <c r="B352" s="103"/>
      <c r="C352" s="103"/>
      <c r="D352" s="103"/>
      <c r="E352" s="103"/>
      <c r="F352" s="88"/>
      <c r="G352" s="103"/>
      <c r="H352" s="88"/>
      <c r="I352" s="10"/>
    </row>
    <row r="353" spans="1:10" x14ac:dyDescent="0.2">
      <c r="A353" s="103"/>
      <c r="B353" s="103"/>
      <c r="C353" s="103"/>
      <c r="D353" s="103"/>
      <c r="E353" s="103"/>
      <c r="F353" s="88"/>
      <c r="G353" s="103"/>
      <c r="H353" s="88"/>
      <c r="I353" s="10"/>
    </row>
    <row r="354" spans="1:10" x14ac:dyDescent="0.2">
      <c r="A354" s="103"/>
      <c r="B354" s="103"/>
      <c r="C354" s="103"/>
      <c r="D354" s="103"/>
      <c r="E354" s="103"/>
      <c r="F354" s="88"/>
      <c r="G354" s="103"/>
      <c r="H354" s="88"/>
      <c r="I354" s="10"/>
    </row>
    <row r="355" spans="1:10" x14ac:dyDescent="0.2">
      <c r="A355" s="103"/>
      <c r="B355" s="103"/>
      <c r="E355" s="103"/>
      <c r="F355" s="88"/>
      <c r="G355" s="103"/>
      <c r="H355" s="88"/>
      <c r="I355" s="10"/>
    </row>
    <row r="356" spans="1:10" x14ac:dyDescent="0.2">
      <c r="A356" s="103"/>
      <c r="B356" s="103"/>
      <c r="C356" s="103"/>
      <c r="D356" s="103"/>
      <c r="E356" s="103"/>
      <c r="F356" s="88"/>
      <c r="G356" s="103"/>
      <c r="H356" s="88"/>
      <c r="I356" s="10"/>
    </row>
    <row r="357" spans="1:10" x14ac:dyDescent="0.2">
      <c r="A357" s="103"/>
      <c r="B357" s="103"/>
      <c r="C357" s="103"/>
      <c r="D357" s="103"/>
      <c r="E357" s="103"/>
      <c r="F357" s="88"/>
      <c r="G357" s="103"/>
      <c r="H357" s="88"/>
      <c r="I357" s="10"/>
    </row>
    <row r="358" spans="1:10" x14ac:dyDescent="0.2">
      <c r="A358" s="103"/>
      <c r="B358" s="103"/>
      <c r="C358" s="103"/>
      <c r="D358" s="103"/>
      <c r="E358" s="103"/>
      <c r="F358" s="88"/>
      <c r="G358" s="103"/>
      <c r="H358" s="88"/>
      <c r="I358" s="10"/>
    </row>
    <row r="359" spans="1:10" x14ac:dyDescent="0.2">
      <c r="A359" s="103"/>
      <c r="B359" s="103"/>
      <c r="C359" s="103"/>
      <c r="D359" s="103"/>
      <c r="E359" s="103"/>
      <c r="F359" s="88"/>
      <c r="G359" s="103"/>
      <c r="H359" s="88"/>
      <c r="I359" s="10"/>
    </row>
    <row r="360" spans="1:10" x14ac:dyDescent="0.2">
      <c r="A360" s="103"/>
      <c r="B360" s="103"/>
      <c r="C360" s="103"/>
      <c r="D360" s="103"/>
      <c r="E360" s="103"/>
      <c r="F360" s="88"/>
      <c r="G360" s="103"/>
      <c r="H360" s="88"/>
      <c r="I360" s="10"/>
    </row>
    <row r="361" spans="1:10" x14ac:dyDescent="0.2">
      <c r="A361" s="103"/>
      <c r="B361" s="103"/>
      <c r="C361" s="103"/>
      <c r="D361" s="103"/>
      <c r="E361" s="103"/>
      <c r="F361" s="88"/>
      <c r="G361" s="103"/>
      <c r="H361" s="88"/>
      <c r="I361" s="10"/>
    </row>
    <row r="362" spans="1:10" x14ac:dyDescent="0.2">
      <c r="A362" s="103"/>
      <c r="B362" s="103"/>
      <c r="C362" s="103"/>
      <c r="D362" s="103"/>
      <c r="E362" s="103"/>
      <c r="F362" s="88"/>
      <c r="G362" s="103"/>
      <c r="H362" s="88"/>
      <c r="I362" s="10"/>
    </row>
    <row r="363" spans="1:10" x14ac:dyDescent="0.2">
      <c r="A363" s="103"/>
      <c r="B363" s="103"/>
      <c r="E363"/>
      <c r="F363" s="88"/>
      <c r="G363" s="1"/>
      <c r="I363" s="1"/>
      <c r="J363" s="1"/>
    </row>
    <row r="364" spans="1:10" x14ac:dyDescent="0.2">
      <c r="A364" s="103"/>
      <c r="B364" s="103"/>
      <c r="E364" s="103"/>
      <c r="F364" s="88"/>
      <c r="G364" s="103"/>
      <c r="H364" s="88"/>
      <c r="I364" s="10"/>
    </row>
    <row r="365" spans="1:10" x14ac:dyDescent="0.2">
      <c r="A365" s="103"/>
      <c r="B365" s="103"/>
      <c r="E365" s="103"/>
      <c r="F365" s="88"/>
      <c r="G365" s="103"/>
      <c r="H365" s="88"/>
      <c r="I365" s="10"/>
    </row>
    <row r="366" spans="1:10" x14ac:dyDescent="0.2">
      <c r="A366" s="103"/>
      <c r="B366" s="103"/>
      <c r="C366" s="103"/>
      <c r="D366" s="103"/>
      <c r="E366" s="103"/>
      <c r="F366" s="88"/>
      <c r="G366" s="103"/>
      <c r="H366" s="88"/>
      <c r="I366" s="10"/>
    </row>
    <row r="367" spans="1:10" x14ac:dyDescent="0.2">
      <c r="A367" s="103"/>
      <c r="B367" s="103"/>
      <c r="C367" s="103"/>
      <c r="D367" s="103"/>
      <c r="E367" s="103"/>
      <c r="F367" s="88"/>
      <c r="G367" s="103"/>
      <c r="H367" s="88"/>
      <c r="I367" s="10"/>
    </row>
    <row r="368" spans="1:10" x14ac:dyDescent="0.2">
      <c r="A368" s="103"/>
      <c r="B368" s="103"/>
      <c r="E368" s="103"/>
      <c r="F368" s="88"/>
      <c r="G368" s="103"/>
      <c r="H368" s="88"/>
      <c r="I368" s="10"/>
    </row>
    <row r="369" spans="1:9" x14ac:dyDescent="0.2">
      <c r="A369" s="27"/>
      <c r="B369" s="85"/>
      <c r="C369" s="27"/>
      <c r="D369" s="27"/>
      <c r="E369" s="27"/>
      <c r="F369" s="84"/>
      <c r="G369" s="27"/>
      <c r="H369" s="84"/>
      <c r="I369" s="27"/>
    </row>
    <row r="370" spans="1:9" x14ac:dyDescent="0.2">
      <c r="B370" s="32"/>
      <c r="E370"/>
    </row>
    <row r="371" spans="1:9" x14ac:dyDescent="0.2">
      <c r="B371" s="32"/>
      <c r="E371"/>
    </row>
    <row r="372" spans="1:9" x14ac:dyDescent="0.2">
      <c r="B372" s="32"/>
      <c r="E372"/>
    </row>
    <row r="373" spans="1:9" x14ac:dyDescent="0.2">
      <c r="B373" s="32"/>
      <c r="E373"/>
    </row>
    <row r="374" spans="1:9" x14ac:dyDescent="0.2">
      <c r="B374" s="32"/>
      <c r="E374"/>
    </row>
    <row r="375" spans="1:9" x14ac:dyDescent="0.2">
      <c r="B375" s="32"/>
      <c r="E375"/>
    </row>
    <row r="376" spans="1:9" x14ac:dyDescent="0.2">
      <c r="B376" s="32"/>
      <c r="E376"/>
    </row>
    <row r="377" spans="1:9" x14ac:dyDescent="0.2">
      <c r="E377"/>
    </row>
    <row r="378" spans="1:9" x14ac:dyDescent="0.2">
      <c r="B378" s="32"/>
      <c r="E378"/>
    </row>
    <row r="379" spans="1:9" x14ac:dyDescent="0.2">
      <c r="B379" s="32"/>
      <c r="E379"/>
    </row>
    <row r="380" spans="1:9" x14ac:dyDescent="0.2">
      <c r="B380" s="32"/>
      <c r="E380"/>
    </row>
    <row r="381" spans="1:9" x14ac:dyDescent="0.2">
      <c r="B381" s="32"/>
      <c r="E381"/>
    </row>
    <row r="382" spans="1:9" x14ac:dyDescent="0.2">
      <c r="B382" s="32"/>
      <c r="E382"/>
    </row>
    <row r="383" spans="1:9" x14ac:dyDescent="0.2">
      <c r="B383" s="32"/>
      <c r="E383"/>
    </row>
    <row r="384" spans="1:9" x14ac:dyDescent="0.2">
      <c r="B384" s="32"/>
      <c r="E384"/>
    </row>
    <row r="385" spans="1:9" x14ac:dyDescent="0.2">
      <c r="B385" s="32"/>
      <c r="E385"/>
    </row>
    <row r="386" spans="1:9" x14ac:dyDescent="0.2">
      <c r="B386" s="32"/>
      <c r="E386"/>
    </row>
    <row r="387" spans="1:9" x14ac:dyDescent="0.2">
      <c r="A387" s="10"/>
      <c r="B387" s="105"/>
      <c r="C387" s="10"/>
      <c r="D387" s="10"/>
      <c r="E387"/>
      <c r="F387" s="106"/>
      <c r="G387" s="1"/>
      <c r="H387" s="106"/>
      <c r="I387" s="10"/>
    </row>
    <row r="388" spans="1:9" x14ac:dyDescent="0.2">
      <c r="A388" s="10"/>
      <c r="B388" s="107"/>
      <c r="C388" s="10"/>
      <c r="D388" s="10"/>
      <c r="E388"/>
      <c r="F388" s="106"/>
      <c r="G388" s="1"/>
      <c r="H388" s="106"/>
      <c r="I388" s="10"/>
    </row>
    <row r="389" spans="1:9" x14ac:dyDescent="0.2">
      <c r="A389" s="10"/>
      <c r="B389" s="105"/>
      <c r="C389" s="10"/>
      <c r="D389" s="10"/>
      <c r="E389"/>
      <c r="F389" s="106"/>
      <c r="G389" s="1"/>
      <c r="H389" s="106"/>
      <c r="I389" s="10"/>
    </row>
    <row r="390" spans="1:9" x14ac:dyDescent="0.2">
      <c r="A390" s="10"/>
      <c r="B390" s="105"/>
      <c r="C390" s="10"/>
      <c r="D390" s="10"/>
      <c r="E390"/>
      <c r="F390" s="106"/>
      <c r="G390" s="1"/>
      <c r="H390" s="106"/>
      <c r="I390" s="10"/>
    </row>
    <row r="391" spans="1:9" x14ac:dyDescent="0.2">
      <c r="A391" s="10"/>
      <c r="B391" s="105"/>
      <c r="C391" s="10"/>
      <c r="D391" s="10"/>
      <c r="E391"/>
      <c r="F391" s="106"/>
      <c r="G391" s="1"/>
      <c r="H391" s="106"/>
      <c r="I391" s="10"/>
    </row>
    <row r="392" spans="1:9" x14ac:dyDescent="0.2">
      <c r="A392" s="10"/>
      <c r="B392" s="107"/>
      <c r="C392" s="10"/>
      <c r="D392" s="10"/>
      <c r="E392"/>
      <c r="F392" s="106"/>
      <c r="G392" s="1"/>
      <c r="H392" s="106"/>
      <c r="I392" s="10"/>
    </row>
    <row r="393" spans="1:9" x14ac:dyDescent="0.2">
      <c r="A393" s="10"/>
      <c r="B393" s="105"/>
      <c r="C393" s="10"/>
      <c r="D393" s="10"/>
      <c r="E393"/>
      <c r="F393" s="106"/>
      <c r="G393" s="1"/>
      <c r="H393" s="106"/>
      <c r="I393" s="10"/>
    </row>
    <row r="394" spans="1:9" x14ac:dyDescent="0.2">
      <c r="A394" s="10"/>
      <c r="B394" s="105"/>
      <c r="E394"/>
      <c r="F394" s="106"/>
      <c r="G394" s="1"/>
      <c r="H394" s="106"/>
      <c r="I394" s="10"/>
    </row>
    <row r="395" spans="1:9" x14ac:dyDescent="0.2">
      <c r="A395" s="10"/>
      <c r="B395" s="105"/>
      <c r="E395"/>
      <c r="F395" s="106"/>
      <c r="G395" s="1"/>
      <c r="H395" s="106"/>
      <c r="I395" s="10"/>
    </row>
    <row r="396" spans="1:9" x14ac:dyDescent="0.2">
      <c r="A396" s="10"/>
      <c r="B396" s="105"/>
      <c r="E396"/>
      <c r="F396" s="106"/>
      <c r="G396" s="1"/>
      <c r="H396" s="106"/>
      <c r="I396" s="10"/>
    </row>
    <row r="397" spans="1:9" x14ac:dyDescent="0.2">
      <c r="A397" s="10"/>
      <c r="B397" s="105"/>
      <c r="C397" s="10"/>
      <c r="D397" s="10"/>
      <c r="E397"/>
      <c r="F397" s="106"/>
      <c r="G397" s="1"/>
      <c r="H397" s="106"/>
      <c r="I397" s="10"/>
    </row>
    <row r="398" spans="1:9" x14ac:dyDescent="0.2">
      <c r="A398" s="10"/>
      <c r="B398" s="105"/>
      <c r="C398" s="10"/>
      <c r="D398" s="10"/>
      <c r="E398"/>
      <c r="F398" s="106"/>
      <c r="G398" s="1"/>
      <c r="H398" s="106"/>
      <c r="I398" s="10"/>
    </row>
    <row r="399" spans="1:9" x14ac:dyDescent="0.2">
      <c r="A399" s="10"/>
      <c r="B399" s="105"/>
      <c r="C399" s="10"/>
      <c r="D399" s="10"/>
      <c r="E399"/>
      <c r="F399" s="106"/>
      <c r="G399" s="1"/>
      <c r="H399" s="106"/>
      <c r="I399" s="10"/>
    </row>
    <row r="400" spans="1:9" x14ac:dyDescent="0.2">
      <c r="A400" s="10"/>
      <c r="B400" s="105"/>
      <c r="C400" s="10"/>
      <c r="D400" s="10"/>
      <c r="E400"/>
      <c r="F400" s="106"/>
      <c r="G400" s="1"/>
      <c r="H400" s="106"/>
      <c r="I400" s="10"/>
    </row>
    <row r="401" spans="1:9" x14ac:dyDescent="0.2">
      <c r="A401" s="10"/>
      <c r="B401" s="105"/>
      <c r="C401" s="10"/>
      <c r="D401" s="10"/>
      <c r="E401"/>
      <c r="F401" s="106"/>
      <c r="G401" s="1"/>
      <c r="H401" s="106"/>
      <c r="I401" s="10"/>
    </row>
    <row r="402" spans="1:9" x14ac:dyDescent="0.2">
      <c r="A402" s="10"/>
      <c r="B402" s="107"/>
      <c r="C402" s="10"/>
      <c r="D402" s="10"/>
      <c r="E402" s="10"/>
      <c r="F402" s="106"/>
      <c r="G402" s="1"/>
      <c r="H402" s="106"/>
      <c r="I402" s="10"/>
    </row>
    <row r="403" spans="1:9" x14ac:dyDescent="0.2">
      <c r="A403" s="10"/>
      <c r="B403" s="105"/>
      <c r="E403" s="10"/>
      <c r="F403" s="106"/>
      <c r="G403" s="1"/>
      <c r="H403" s="106"/>
      <c r="I403" s="10"/>
    </row>
    <row r="404" spans="1:9" x14ac:dyDescent="0.2">
      <c r="A404" s="10"/>
      <c r="B404" s="105"/>
      <c r="E404" s="10"/>
      <c r="F404" s="106"/>
      <c r="G404" s="1"/>
      <c r="H404" s="106"/>
      <c r="I404" s="10"/>
    </row>
    <row r="405" spans="1:9" x14ac:dyDescent="0.2">
      <c r="A405" s="10"/>
      <c r="B405" s="105"/>
      <c r="C405" s="10"/>
      <c r="D405" s="10"/>
      <c r="E405" s="10"/>
      <c r="F405" s="106"/>
      <c r="G405" s="1"/>
      <c r="H405" s="106"/>
      <c r="I405" s="10"/>
    </row>
    <row r="406" spans="1:9" x14ac:dyDescent="0.2">
      <c r="A406" s="10"/>
      <c r="B406" s="105"/>
      <c r="C406" s="10"/>
      <c r="D406" s="10"/>
      <c r="E406" s="10"/>
      <c r="F406" s="106"/>
      <c r="G406" s="1"/>
      <c r="H406" s="106"/>
      <c r="I406" s="10"/>
    </row>
    <row r="407" spans="1:9" x14ac:dyDescent="0.2">
      <c r="A407" s="10"/>
      <c r="B407" s="105"/>
      <c r="C407" s="10"/>
      <c r="D407" s="10"/>
      <c r="E407" s="10"/>
      <c r="F407" s="106"/>
      <c r="G407" s="1"/>
      <c r="H407" s="106"/>
      <c r="I407" s="10"/>
    </row>
    <row r="408" spans="1:9" x14ac:dyDescent="0.2">
      <c r="A408" s="10"/>
      <c r="B408" s="105"/>
      <c r="C408" s="10"/>
      <c r="D408" s="10"/>
      <c r="E408" s="10"/>
      <c r="F408" s="106"/>
      <c r="G408" s="1"/>
      <c r="H408" s="106"/>
      <c r="I408" s="10"/>
    </row>
    <row r="409" spans="1:9" x14ac:dyDescent="0.2">
      <c r="A409" s="10"/>
      <c r="B409" s="105"/>
      <c r="C409" s="10"/>
      <c r="D409" s="10"/>
      <c r="E409" s="10"/>
      <c r="F409" s="106"/>
      <c r="G409" s="1"/>
      <c r="H409" s="106"/>
      <c r="I409" s="10"/>
    </row>
    <row r="410" spans="1:9" x14ac:dyDescent="0.2">
      <c r="A410" s="10"/>
      <c r="B410" s="105"/>
      <c r="C410" s="10"/>
      <c r="D410" s="10"/>
      <c r="E410" s="10"/>
      <c r="F410" s="106"/>
      <c r="G410" s="1"/>
      <c r="H410" s="106"/>
      <c r="I410" s="10"/>
    </row>
    <row r="411" spans="1:9" x14ac:dyDescent="0.2">
      <c r="A411" s="10"/>
      <c r="B411" s="105"/>
      <c r="E411" s="10"/>
      <c r="F411" s="106"/>
      <c r="G411" s="1"/>
      <c r="H411" s="106"/>
      <c r="I411" s="10"/>
    </row>
    <row r="412" spans="1:9" x14ac:dyDescent="0.2">
      <c r="A412" s="10"/>
      <c r="B412" s="105"/>
      <c r="C412" s="10"/>
      <c r="D412" s="10"/>
      <c r="E412" s="10"/>
      <c r="F412" s="106"/>
      <c r="G412" s="1"/>
      <c r="H412" s="106"/>
      <c r="I412" s="10"/>
    </row>
    <row r="413" spans="1:9" x14ac:dyDescent="0.2">
      <c r="A413" s="10"/>
      <c r="B413" s="105"/>
      <c r="C413" s="10"/>
      <c r="D413" s="10"/>
      <c r="E413" s="10"/>
      <c r="F413" s="106"/>
      <c r="G413" s="1"/>
      <c r="H413" s="106"/>
      <c r="I413" s="10"/>
    </row>
    <row r="414" spans="1:9" x14ac:dyDescent="0.2">
      <c r="A414" s="10"/>
      <c r="B414" s="105"/>
      <c r="C414" s="10"/>
      <c r="D414" s="10"/>
      <c r="E414" s="10"/>
      <c r="F414" s="106"/>
      <c r="G414" s="1"/>
      <c r="H414" s="106"/>
      <c r="I414" s="10"/>
    </row>
    <row r="415" spans="1:9" x14ac:dyDescent="0.2">
      <c r="A415" s="10"/>
      <c r="B415" s="105"/>
      <c r="C415" s="10"/>
      <c r="D415" s="10"/>
      <c r="E415" s="10"/>
      <c r="F415" s="106"/>
      <c r="G415" s="1"/>
      <c r="H415" s="106"/>
      <c r="I415" s="10"/>
    </row>
    <row r="416" spans="1:9" x14ac:dyDescent="0.2">
      <c r="A416" s="10"/>
      <c r="B416" s="105"/>
      <c r="C416" s="10"/>
      <c r="D416" s="10"/>
      <c r="E416" s="10"/>
      <c r="F416" s="106"/>
      <c r="G416" s="1"/>
      <c r="H416" s="106"/>
      <c r="I416" s="10"/>
    </row>
    <row r="417" spans="1:9" x14ac:dyDescent="0.2">
      <c r="A417" s="10"/>
      <c r="B417" s="105"/>
      <c r="C417" s="10"/>
      <c r="D417" s="10"/>
      <c r="E417" s="10"/>
      <c r="F417" s="106"/>
      <c r="G417" s="1"/>
      <c r="H417" s="106"/>
      <c r="I417" s="10"/>
    </row>
    <row r="418" spans="1:9" x14ac:dyDescent="0.2">
      <c r="A418" s="10"/>
      <c r="B418" s="105"/>
      <c r="C418" s="10"/>
      <c r="D418" s="10"/>
      <c r="E418" s="10"/>
      <c r="F418" s="106"/>
      <c r="G418" s="1"/>
      <c r="H418" s="106"/>
      <c r="I418" s="10"/>
    </row>
    <row r="419" spans="1:9" x14ac:dyDescent="0.2">
      <c r="A419" s="10"/>
      <c r="B419" s="105"/>
      <c r="C419" s="10"/>
      <c r="D419" s="10"/>
      <c r="E419" s="10"/>
      <c r="F419" s="106"/>
      <c r="G419" s="1"/>
      <c r="H419" s="106"/>
      <c r="I419" s="10"/>
    </row>
    <row r="420" spans="1:9" x14ac:dyDescent="0.2">
      <c r="A420" s="10"/>
      <c r="B420" s="105"/>
      <c r="C420" s="10"/>
      <c r="D420" s="10"/>
      <c r="E420" s="10"/>
      <c r="F420" s="106"/>
      <c r="G420" s="1"/>
      <c r="H420" s="106"/>
      <c r="I420" s="10"/>
    </row>
    <row r="421" spans="1:9" x14ac:dyDescent="0.2">
      <c r="A421" s="10"/>
      <c r="B421" s="105"/>
      <c r="C421" s="10"/>
      <c r="D421" s="10"/>
      <c r="E421" s="10"/>
      <c r="F421" s="106"/>
      <c r="G421" s="1"/>
      <c r="H421" s="106"/>
      <c r="I421" s="10"/>
    </row>
    <row r="422" spans="1:9" x14ac:dyDescent="0.2">
      <c r="A422" s="10"/>
      <c r="B422" s="105"/>
      <c r="C422" s="10"/>
      <c r="D422" s="10"/>
      <c r="E422" s="10"/>
      <c r="F422" s="106"/>
      <c r="G422" s="1"/>
      <c r="H422" s="106"/>
      <c r="I422" s="10"/>
    </row>
    <row r="423" spans="1:9" x14ac:dyDescent="0.2">
      <c r="A423" s="10"/>
      <c r="B423" s="105"/>
      <c r="C423" s="10"/>
      <c r="D423" s="10"/>
      <c r="E423" s="10"/>
      <c r="F423" s="106"/>
      <c r="G423" s="1"/>
      <c r="H423" s="106"/>
      <c r="I423" s="10"/>
    </row>
    <row r="424" spans="1:9" x14ac:dyDescent="0.2">
      <c r="A424" s="10"/>
      <c r="B424" s="107"/>
      <c r="C424" s="10"/>
      <c r="D424" s="10"/>
      <c r="E424" s="10"/>
      <c r="F424" s="106"/>
      <c r="G424" s="1"/>
      <c r="H424" s="106"/>
      <c r="I424" s="10"/>
    </row>
    <row r="425" spans="1:9" x14ac:dyDescent="0.2">
      <c r="A425" s="10"/>
      <c r="B425" s="105"/>
      <c r="C425" s="10"/>
      <c r="D425" s="10"/>
      <c r="E425" s="10"/>
      <c r="F425" s="106"/>
      <c r="G425" s="1"/>
      <c r="H425" s="106"/>
      <c r="I425" s="10"/>
    </row>
    <row r="426" spans="1:9" x14ac:dyDescent="0.2">
      <c r="A426" s="10"/>
      <c r="B426" s="105"/>
      <c r="C426" s="10"/>
      <c r="D426" s="10"/>
      <c r="E426" s="10"/>
      <c r="F426" s="106"/>
      <c r="G426" s="1"/>
      <c r="H426" s="106"/>
      <c r="I426" s="10"/>
    </row>
    <row r="427" spans="1:9" x14ac:dyDescent="0.2">
      <c r="A427" s="10"/>
      <c r="B427" s="105"/>
      <c r="C427" s="10"/>
      <c r="D427" s="10"/>
      <c r="E427" s="10"/>
      <c r="F427" s="106"/>
      <c r="G427" s="1"/>
      <c r="H427" s="106"/>
      <c r="I427" s="10"/>
    </row>
    <row r="428" spans="1:9" x14ac:dyDescent="0.2">
      <c r="A428" s="10"/>
      <c r="B428" s="107"/>
      <c r="C428" s="10"/>
      <c r="D428" s="10"/>
      <c r="E428" s="10"/>
      <c r="F428" s="106"/>
      <c r="G428" s="1"/>
      <c r="H428" s="106"/>
      <c r="I428" s="10"/>
    </row>
    <row r="429" spans="1:9" x14ac:dyDescent="0.2">
      <c r="A429" s="10"/>
      <c r="B429" s="105"/>
      <c r="C429" s="10"/>
      <c r="D429" s="10"/>
      <c r="E429" s="10"/>
      <c r="F429" s="106"/>
      <c r="G429" s="1"/>
      <c r="H429" s="106"/>
      <c r="I429" s="10"/>
    </row>
    <row r="430" spans="1:9" x14ac:dyDescent="0.2">
      <c r="A430" s="10"/>
      <c r="B430" s="105"/>
      <c r="C430" s="10"/>
      <c r="D430" s="10"/>
      <c r="E430" s="10"/>
      <c r="F430" s="106"/>
      <c r="G430" s="1"/>
      <c r="H430" s="106"/>
      <c r="I430" s="10"/>
    </row>
    <row r="431" spans="1:9" x14ac:dyDescent="0.2">
      <c r="A431" s="10"/>
      <c r="B431" s="105"/>
      <c r="C431" s="10"/>
      <c r="D431" s="10"/>
      <c r="E431" s="10"/>
      <c r="F431" s="106"/>
      <c r="G431" s="1"/>
      <c r="H431" s="106"/>
      <c r="I431" s="10"/>
    </row>
    <row r="432" spans="1:9" x14ac:dyDescent="0.2">
      <c r="A432" s="10"/>
      <c r="B432" s="105"/>
      <c r="C432" s="10"/>
      <c r="D432" s="10"/>
      <c r="E432" s="10"/>
      <c r="F432" s="106"/>
      <c r="G432" s="1"/>
      <c r="H432" s="106"/>
      <c r="I432" s="10"/>
    </row>
    <row r="433" spans="1:9" x14ac:dyDescent="0.2">
      <c r="A433" s="10"/>
      <c r="B433" s="105"/>
      <c r="C433" s="10"/>
      <c r="D433" s="10"/>
      <c r="E433" s="10"/>
      <c r="F433" s="106"/>
      <c r="G433" s="1"/>
      <c r="H433" s="106"/>
      <c r="I433" s="10"/>
    </row>
    <row r="434" spans="1:9" x14ac:dyDescent="0.2">
      <c r="A434" s="10"/>
      <c r="B434" s="105"/>
      <c r="C434" s="10"/>
      <c r="D434" s="10"/>
      <c r="E434" s="10"/>
      <c r="F434" s="106"/>
      <c r="G434" s="1"/>
      <c r="H434" s="106"/>
      <c r="I434" s="10"/>
    </row>
    <row r="435" spans="1:9" x14ac:dyDescent="0.2">
      <c r="A435" s="10"/>
      <c r="B435" s="105"/>
      <c r="C435" s="10"/>
      <c r="D435" s="10"/>
      <c r="E435" s="10"/>
      <c r="F435" s="106"/>
      <c r="G435" s="1"/>
      <c r="H435" s="106"/>
      <c r="I435" s="10"/>
    </row>
    <row r="436" spans="1:9" x14ac:dyDescent="0.2">
      <c r="A436" s="10"/>
      <c r="B436" s="105"/>
      <c r="C436" s="10"/>
      <c r="D436" s="10"/>
      <c r="E436" s="10"/>
      <c r="F436" s="106"/>
      <c r="G436" s="1"/>
      <c r="H436" s="106"/>
      <c r="I436" s="10"/>
    </row>
    <row r="437" spans="1:9" x14ac:dyDescent="0.2">
      <c r="A437" s="10"/>
      <c r="B437" s="105"/>
      <c r="C437" s="10"/>
      <c r="D437" s="10"/>
      <c r="E437" s="10"/>
      <c r="F437" s="106"/>
      <c r="G437" s="1"/>
      <c r="H437" s="106"/>
      <c r="I437" s="10"/>
    </row>
    <row r="438" spans="1:9" x14ac:dyDescent="0.2">
      <c r="A438" s="10"/>
      <c r="B438" s="105"/>
      <c r="C438" s="10"/>
      <c r="D438" s="10"/>
      <c r="E438" s="10"/>
      <c r="F438" s="106"/>
      <c r="G438" s="1"/>
      <c r="H438" s="106"/>
      <c r="I438" s="10"/>
    </row>
    <row r="439" spans="1:9" x14ac:dyDescent="0.2">
      <c r="A439" s="10"/>
      <c r="B439" s="105"/>
      <c r="C439" s="10"/>
      <c r="D439" s="10"/>
      <c r="E439" s="10"/>
      <c r="F439" s="106"/>
      <c r="G439" s="1"/>
      <c r="H439" s="106"/>
      <c r="I439" s="10"/>
    </row>
    <row r="440" spans="1:9" x14ac:dyDescent="0.2">
      <c r="A440" s="10"/>
      <c r="B440" s="105"/>
      <c r="C440" s="10"/>
      <c r="D440" s="10"/>
      <c r="E440" s="10"/>
      <c r="F440" s="106"/>
      <c r="G440" s="1"/>
      <c r="H440" s="106"/>
      <c r="I440" s="10"/>
    </row>
    <row r="441" spans="1:9" x14ac:dyDescent="0.2">
      <c r="A441" s="10"/>
      <c r="B441" s="105"/>
      <c r="C441" s="10"/>
      <c r="D441" s="10"/>
      <c r="E441" s="10"/>
      <c r="F441" s="106"/>
      <c r="G441" s="1"/>
      <c r="H441" s="106"/>
      <c r="I441" s="10"/>
    </row>
    <row r="442" spans="1:9" x14ac:dyDescent="0.2">
      <c r="A442" s="10"/>
      <c r="B442" s="105"/>
      <c r="C442" s="10"/>
      <c r="D442" s="10"/>
      <c r="E442" s="10"/>
      <c r="F442" s="106"/>
      <c r="G442" s="1"/>
      <c r="H442" s="106"/>
      <c r="I442" s="10"/>
    </row>
    <row r="443" spans="1:9" x14ac:dyDescent="0.2">
      <c r="A443" s="10"/>
      <c r="B443" s="105"/>
      <c r="C443" s="10"/>
      <c r="D443" s="10"/>
      <c r="E443" s="10"/>
      <c r="F443" s="106"/>
      <c r="G443" s="1"/>
      <c r="H443" s="106"/>
      <c r="I443" s="10"/>
    </row>
    <row r="444" spans="1:9" x14ac:dyDescent="0.2">
      <c r="A444" s="10"/>
      <c r="B444" s="105"/>
      <c r="C444" s="10"/>
      <c r="D444" s="10"/>
      <c r="E444" s="10"/>
      <c r="F444" s="106"/>
      <c r="G444" s="1"/>
      <c r="H444" s="106"/>
      <c r="I444" s="10"/>
    </row>
    <row r="445" spans="1:9" x14ac:dyDescent="0.2">
      <c r="A445" s="10"/>
      <c r="B445" s="105"/>
      <c r="C445" s="10"/>
      <c r="D445" s="10"/>
      <c r="E445" s="10"/>
      <c r="F445" s="106"/>
      <c r="G445" s="1"/>
      <c r="H445" s="106"/>
      <c r="I445" s="10"/>
    </row>
    <row r="446" spans="1:9" x14ac:dyDescent="0.2">
      <c r="A446" s="10"/>
      <c r="B446" s="105"/>
      <c r="C446" s="10"/>
      <c r="D446" s="10"/>
      <c r="E446" s="10"/>
      <c r="F446" s="106"/>
      <c r="G446" s="1"/>
      <c r="H446" s="106"/>
      <c r="I446" s="10"/>
    </row>
    <row r="447" spans="1:9" x14ac:dyDescent="0.2">
      <c r="A447" s="10"/>
      <c r="B447" s="105"/>
      <c r="C447" s="10"/>
      <c r="D447" s="10"/>
      <c r="E447" s="10"/>
      <c r="F447" s="106"/>
      <c r="G447" s="1"/>
      <c r="H447" s="106"/>
      <c r="I447" s="10"/>
    </row>
    <row r="448" spans="1:9" x14ac:dyDescent="0.2">
      <c r="A448" s="10"/>
      <c r="B448" s="105"/>
      <c r="C448" s="10"/>
      <c r="D448" s="10"/>
      <c r="E448" s="10"/>
      <c r="F448" s="106"/>
      <c r="G448" s="1"/>
      <c r="H448" s="106"/>
      <c r="I448" s="10"/>
    </row>
    <row r="449" spans="1:9" x14ac:dyDescent="0.2">
      <c r="A449" s="10"/>
      <c r="B449" s="105"/>
      <c r="C449" s="10"/>
      <c r="D449" s="10"/>
      <c r="E449" s="10"/>
      <c r="F449" s="106"/>
      <c r="G449" s="1"/>
      <c r="H449" s="106"/>
      <c r="I449" s="10"/>
    </row>
    <row r="450" spans="1:9" x14ac:dyDescent="0.2">
      <c r="A450" s="10"/>
      <c r="B450" s="105"/>
      <c r="C450" s="10"/>
      <c r="D450" s="10"/>
      <c r="E450" s="10"/>
      <c r="F450" s="106"/>
      <c r="G450" s="1"/>
      <c r="H450" s="106"/>
      <c r="I450" s="10"/>
    </row>
    <row r="451" spans="1:9" x14ac:dyDescent="0.2">
      <c r="A451" s="10"/>
      <c r="B451" s="105"/>
      <c r="C451" s="10"/>
      <c r="D451" s="10"/>
      <c r="E451" s="10"/>
      <c r="F451" s="106"/>
      <c r="G451" s="1"/>
      <c r="H451" s="106"/>
      <c r="I451" s="10"/>
    </row>
    <row r="452" spans="1:9" x14ac:dyDescent="0.2">
      <c r="A452" s="27"/>
      <c r="B452" s="85"/>
      <c r="C452" s="27"/>
      <c r="D452" s="27"/>
      <c r="E452" s="27"/>
      <c r="F452" s="84"/>
      <c r="G452" s="27"/>
      <c r="H452" s="84"/>
      <c r="I452" s="27"/>
    </row>
    <row r="453" spans="1:9" x14ac:dyDescent="0.2">
      <c r="B453" s="32"/>
      <c r="E453"/>
      <c r="F453" s="88"/>
    </row>
    <row r="454" spans="1:9" x14ac:dyDescent="0.2">
      <c r="B454" s="32"/>
      <c r="E454"/>
      <c r="F454" s="88"/>
    </row>
    <row r="455" spans="1:9" x14ac:dyDescent="0.2">
      <c r="B455" s="32"/>
      <c r="E455"/>
      <c r="F455" s="88"/>
    </row>
    <row r="456" spans="1:9" x14ac:dyDescent="0.2">
      <c r="B456" s="32"/>
      <c r="E456"/>
      <c r="F456" s="88"/>
    </row>
    <row r="457" spans="1:9" x14ac:dyDescent="0.2">
      <c r="B457" s="32"/>
      <c r="E457"/>
      <c r="F457" s="88"/>
    </row>
    <row r="458" spans="1:9" x14ac:dyDescent="0.2">
      <c r="B458" s="32"/>
      <c r="E458"/>
      <c r="F458" s="88"/>
    </row>
    <row r="459" spans="1:9" x14ac:dyDescent="0.2">
      <c r="B459" s="32"/>
      <c r="E459"/>
      <c r="F459" s="88"/>
    </row>
    <row r="460" spans="1:9" x14ac:dyDescent="0.2">
      <c r="E460"/>
      <c r="F460" s="88"/>
    </row>
    <row r="461" spans="1:9" x14ac:dyDescent="0.2">
      <c r="B461" s="32"/>
      <c r="E461"/>
      <c r="F461" s="88"/>
    </row>
    <row r="462" spans="1:9" x14ac:dyDescent="0.2">
      <c r="B462" s="32"/>
      <c r="E462"/>
      <c r="F462" s="88"/>
    </row>
    <row r="463" spans="1:9" x14ac:dyDescent="0.2">
      <c r="B463" s="32"/>
      <c r="E463"/>
      <c r="F463" s="88"/>
    </row>
    <row r="464" spans="1:9" x14ac:dyDescent="0.2">
      <c r="B464" s="32"/>
      <c r="E464"/>
      <c r="F464" s="88"/>
    </row>
    <row r="465" spans="1:9" x14ac:dyDescent="0.2">
      <c r="B465" s="32"/>
      <c r="E465"/>
      <c r="F465" s="88"/>
    </row>
    <row r="466" spans="1:9" x14ac:dyDescent="0.2">
      <c r="B466" s="32"/>
      <c r="E466"/>
      <c r="F466" s="88"/>
    </row>
    <row r="467" spans="1:9" x14ac:dyDescent="0.2">
      <c r="B467" s="32"/>
      <c r="E467"/>
      <c r="F467" s="88"/>
    </row>
    <row r="468" spans="1:9" x14ac:dyDescent="0.2">
      <c r="B468" s="32"/>
      <c r="E468"/>
      <c r="F468" s="88"/>
    </row>
    <row r="469" spans="1:9" x14ac:dyDescent="0.2">
      <c r="B469" s="32"/>
      <c r="E469"/>
      <c r="F469" s="88"/>
    </row>
    <row r="470" spans="1:9" x14ac:dyDescent="0.2">
      <c r="A470" s="103"/>
      <c r="B470" s="104"/>
      <c r="E470"/>
      <c r="F470" s="88"/>
      <c r="I470" s="1"/>
    </row>
    <row r="471" spans="1:9" x14ac:dyDescent="0.2">
      <c r="A471" s="103"/>
      <c r="B471" s="104"/>
      <c r="E471"/>
      <c r="F471" s="88"/>
      <c r="I471" s="1"/>
    </row>
    <row r="472" spans="1:9" x14ac:dyDescent="0.2">
      <c r="A472" s="103"/>
      <c r="B472" s="104"/>
      <c r="E472"/>
      <c r="F472" s="88"/>
      <c r="I472" s="1"/>
    </row>
    <row r="473" spans="1:9" x14ac:dyDescent="0.2">
      <c r="A473" s="103"/>
      <c r="B473" s="104"/>
      <c r="E473"/>
      <c r="F473" s="88"/>
      <c r="I473" s="1"/>
    </row>
    <row r="474" spans="1:9" x14ac:dyDescent="0.2">
      <c r="A474" s="103"/>
      <c r="B474" s="104"/>
      <c r="E474"/>
      <c r="F474" s="88"/>
      <c r="I474" s="1"/>
    </row>
    <row r="475" spans="1:9" x14ac:dyDescent="0.2">
      <c r="A475" s="103"/>
      <c r="B475" s="104"/>
      <c r="E475"/>
      <c r="F475" s="88"/>
      <c r="I475" s="1"/>
    </row>
    <row r="476" spans="1:9" x14ac:dyDescent="0.2">
      <c r="A476" s="103"/>
      <c r="B476" s="104"/>
      <c r="E476"/>
      <c r="F476" s="88"/>
      <c r="I476" s="1"/>
    </row>
    <row r="477" spans="1:9" x14ac:dyDescent="0.2">
      <c r="A477" s="103"/>
      <c r="B477" s="104"/>
      <c r="E477"/>
      <c r="F477" s="88"/>
      <c r="I477" s="1"/>
    </row>
    <row r="478" spans="1:9" x14ac:dyDescent="0.2">
      <c r="A478" s="103"/>
      <c r="B478" s="104"/>
      <c r="E478"/>
      <c r="F478" s="88"/>
      <c r="I478" s="1"/>
    </row>
    <row r="479" spans="1:9" x14ac:dyDescent="0.2">
      <c r="A479" s="103"/>
      <c r="B479" s="104"/>
      <c r="E479"/>
      <c r="F479" s="88"/>
      <c r="I479" s="1"/>
    </row>
    <row r="480" spans="1:9" x14ac:dyDescent="0.2">
      <c r="A480" s="103"/>
      <c r="B480" s="104"/>
      <c r="E480"/>
      <c r="F480" s="88"/>
      <c r="I480" s="1"/>
    </row>
    <row r="481" spans="1:9" x14ac:dyDescent="0.2">
      <c r="A481" s="103"/>
      <c r="B481" s="104"/>
      <c r="E481"/>
      <c r="F481" s="88"/>
      <c r="I481" s="1"/>
    </row>
    <row r="482" spans="1:9" x14ac:dyDescent="0.2">
      <c r="A482" s="103"/>
      <c r="B482" s="104"/>
      <c r="E482"/>
      <c r="F482" s="88"/>
      <c r="I482" s="1"/>
    </row>
    <row r="483" spans="1:9" x14ac:dyDescent="0.2">
      <c r="A483" s="103"/>
      <c r="B483" s="104"/>
      <c r="E483"/>
      <c r="F483" s="88"/>
      <c r="I483" s="1"/>
    </row>
    <row r="484" spans="1:9" x14ac:dyDescent="0.2">
      <c r="A484" s="103"/>
      <c r="B484" s="104"/>
      <c r="E484"/>
      <c r="F484" s="88"/>
      <c r="I484" s="1"/>
    </row>
    <row r="485" spans="1:9" x14ac:dyDescent="0.2">
      <c r="A485" s="10"/>
      <c r="B485" s="104"/>
      <c r="E485"/>
      <c r="F485" s="88"/>
      <c r="I485" s="1"/>
    </row>
    <row r="486" spans="1:9" x14ac:dyDescent="0.2">
      <c r="A486" s="103"/>
      <c r="B486" s="104"/>
      <c r="E486"/>
      <c r="F486" s="88"/>
      <c r="I486" s="1"/>
    </row>
    <row r="487" spans="1:9" x14ac:dyDescent="0.2">
      <c r="A487" s="103"/>
      <c r="B487" s="104"/>
      <c r="E487"/>
      <c r="F487" s="88"/>
      <c r="I487" s="1"/>
    </row>
    <row r="488" spans="1:9" x14ac:dyDescent="0.2">
      <c r="A488" s="103"/>
      <c r="B488" s="104"/>
      <c r="E488"/>
      <c r="F488" s="88"/>
      <c r="I488" s="1"/>
    </row>
    <row r="489" spans="1:9" x14ac:dyDescent="0.2">
      <c r="A489" s="103"/>
      <c r="B489" s="104"/>
      <c r="E489"/>
      <c r="F489" s="88"/>
      <c r="I489" s="1"/>
    </row>
    <row r="490" spans="1:9" x14ac:dyDescent="0.2">
      <c r="A490" s="103"/>
      <c r="B490" s="104"/>
      <c r="E490"/>
      <c r="F490" s="88"/>
      <c r="I490" s="1"/>
    </row>
    <row r="491" spans="1:9" x14ac:dyDescent="0.2">
      <c r="A491" s="103"/>
      <c r="B491" s="104"/>
      <c r="E491"/>
      <c r="F491" s="88"/>
      <c r="I491" s="1"/>
    </row>
    <row r="492" spans="1:9" x14ac:dyDescent="0.2">
      <c r="A492" s="103"/>
      <c r="B492" s="104"/>
      <c r="E492"/>
      <c r="F492" s="88"/>
      <c r="I492" s="1"/>
    </row>
    <row r="493" spans="1:9" x14ac:dyDescent="0.2">
      <c r="A493" s="103"/>
      <c r="B493" s="104"/>
      <c r="E493"/>
      <c r="F493" s="88"/>
      <c r="I493" s="1"/>
    </row>
    <row r="494" spans="1:9" x14ac:dyDescent="0.2">
      <c r="A494" s="103"/>
      <c r="B494" s="104"/>
      <c r="E494"/>
      <c r="F494" s="88"/>
      <c r="I494" s="1"/>
    </row>
    <row r="495" spans="1:9" x14ac:dyDescent="0.2">
      <c r="A495" s="103"/>
      <c r="B495" s="104"/>
      <c r="E495"/>
      <c r="F495" s="88"/>
      <c r="I495" s="1"/>
    </row>
    <row r="496" spans="1:9" x14ac:dyDescent="0.2">
      <c r="A496" s="103"/>
      <c r="B496" s="104"/>
      <c r="E496"/>
      <c r="F496" s="88"/>
      <c r="I496" s="1"/>
    </row>
    <row r="497" spans="1:9" x14ac:dyDescent="0.2">
      <c r="A497" s="103"/>
      <c r="B497" s="104"/>
      <c r="E497"/>
      <c r="F497" s="88"/>
      <c r="H497" s="88"/>
      <c r="I497" s="1"/>
    </row>
    <row r="498" spans="1:9" x14ac:dyDescent="0.2">
      <c r="A498" s="103"/>
      <c r="B498" s="104"/>
      <c r="E498"/>
      <c r="F498" s="88"/>
      <c r="I498" s="1"/>
    </row>
    <row r="499" spans="1:9" x14ac:dyDescent="0.2">
      <c r="A499" s="103"/>
      <c r="B499" s="104"/>
      <c r="E499"/>
      <c r="F499" s="88"/>
      <c r="I499" s="1"/>
    </row>
    <row r="500" spans="1:9" x14ac:dyDescent="0.2">
      <c r="A500" s="103"/>
      <c r="B500" s="104"/>
      <c r="E500"/>
      <c r="F500" s="88"/>
      <c r="I500" s="1"/>
    </row>
    <row r="501" spans="1:9" x14ac:dyDescent="0.2">
      <c r="A501" s="103"/>
      <c r="B501" s="104"/>
      <c r="E501"/>
      <c r="F501" s="88"/>
      <c r="I501" s="1"/>
    </row>
    <row r="502" spans="1:9" x14ac:dyDescent="0.2">
      <c r="A502" s="103"/>
      <c r="B502" s="104"/>
      <c r="E502"/>
      <c r="F502" s="88"/>
      <c r="I502" s="1"/>
    </row>
    <row r="503" spans="1:9" x14ac:dyDescent="0.2">
      <c r="A503" s="103"/>
      <c r="B503" s="104"/>
      <c r="E503"/>
      <c r="F503" s="88"/>
      <c r="I503" s="1"/>
    </row>
    <row r="504" spans="1:9" x14ac:dyDescent="0.2">
      <c r="A504" s="103"/>
      <c r="B504" s="104"/>
      <c r="E504"/>
      <c r="F504" s="88"/>
      <c r="I504" s="1"/>
    </row>
    <row r="505" spans="1:9" x14ac:dyDescent="0.2">
      <c r="A505" s="103"/>
      <c r="B505" s="104"/>
      <c r="E505"/>
      <c r="F505" s="88"/>
      <c r="I505" s="1"/>
    </row>
    <row r="506" spans="1:9" x14ac:dyDescent="0.2">
      <c r="A506" s="103"/>
      <c r="B506" s="104"/>
      <c r="E506"/>
      <c r="F506" s="88"/>
      <c r="I506" s="1"/>
    </row>
    <row r="507" spans="1:9" x14ac:dyDescent="0.2">
      <c r="A507" s="103"/>
      <c r="B507" s="104"/>
      <c r="E507"/>
      <c r="F507" s="88"/>
      <c r="I507" s="1"/>
    </row>
    <row r="508" spans="1:9" x14ac:dyDescent="0.2">
      <c r="A508" s="103"/>
      <c r="B508" s="104"/>
      <c r="E508"/>
      <c r="F508" s="88"/>
      <c r="I508" s="1"/>
    </row>
    <row r="509" spans="1:9" x14ac:dyDescent="0.2">
      <c r="A509" s="103"/>
      <c r="B509" s="104"/>
      <c r="E509"/>
      <c r="F509" s="88"/>
      <c r="I509" s="1"/>
    </row>
    <row r="510" spans="1:9" x14ac:dyDescent="0.2">
      <c r="A510" s="103"/>
      <c r="B510" s="104"/>
      <c r="E510"/>
      <c r="F510" s="88"/>
      <c r="I510" s="1"/>
    </row>
    <row r="511" spans="1:9" x14ac:dyDescent="0.2">
      <c r="A511" s="103"/>
      <c r="B511" s="104"/>
      <c r="E511"/>
      <c r="F511" s="88"/>
      <c r="I511" s="1"/>
    </row>
    <row r="512" spans="1:9" x14ac:dyDescent="0.2">
      <c r="A512" s="10"/>
      <c r="B512" s="105"/>
      <c r="C512" s="10"/>
      <c r="D512" s="10"/>
      <c r="E512" s="10"/>
      <c r="F512" s="106"/>
      <c r="H512" s="106"/>
      <c r="I512" s="1"/>
    </row>
    <row r="513" spans="1:9" x14ac:dyDescent="0.2">
      <c r="A513" s="10"/>
      <c r="B513" s="105"/>
      <c r="C513" s="10"/>
      <c r="D513" s="10"/>
      <c r="E513" s="10"/>
      <c r="F513" s="106"/>
      <c r="H513" s="106"/>
      <c r="I513" s="10"/>
    </row>
    <row r="514" spans="1:9" x14ac:dyDescent="0.2">
      <c r="A514" s="10"/>
      <c r="B514" s="105"/>
      <c r="C514" s="10"/>
      <c r="D514" s="10"/>
      <c r="E514" s="10"/>
      <c r="F514" s="106"/>
      <c r="H514" s="106"/>
      <c r="I514" s="10"/>
    </row>
    <row r="515" spans="1:9" x14ac:dyDescent="0.2">
      <c r="A515" s="10"/>
      <c r="B515" s="105"/>
      <c r="C515" s="10"/>
      <c r="D515" s="10"/>
      <c r="E515" s="10"/>
      <c r="F515" s="106"/>
      <c r="H515" s="106"/>
      <c r="I515" s="10"/>
    </row>
    <row r="516" spans="1:9" x14ac:dyDescent="0.2">
      <c r="A516" s="10"/>
      <c r="B516" s="105"/>
      <c r="C516" s="10"/>
      <c r="D516" s="10"/>
      <c r="E516" s="10"/>
      <c r="F516" s="106"/>
      <c r="H516" s="106"/>
      <c r="I516" s="10"/>
    </row>
    <row r="517" spans="1:9" x14ac:dyDescent="0.2">
      <c r="A517" s="10"/>
      <c r="B517" s="105"/>
      <c r="C517" s="10"/>
      <c r="D517" s="10"/>
      <c r="E517" s="10"/>
      <c r="F517" s="106"/>
      <c r="H517" s="106"/>
      <c r="I517" s="10"/>
    </row>
    <row r="518" spans="1:9" x14ac:dyDescent="0.2">
      <c r="A518" s="10"/>
      <c r="B518" s="105"/>
      <c r="C518" s="10"/>
      <c r="D518" s="10"/>
      <c r="E518" s="10"/>
      <c r="F518" s="106"/>
      <c r="H518" s="106"/>
      <c r="I518" s="10"/>
    </row>
    <row r="519" spans="1:9" x14ac:dyDescent="0.2">
      <c r="A519" s="10"/>
      <c r="B519" s="105"/>
      <c r="C519" s="10"/>
      <c r="D519" s="10"/>
      <c r="E519" s="10"/>
      <c r="F519" s="106"/>
      <c r="H519" s="106"/>
      <c r="I519" s="10"/>
    </row>
    <row r="520" spans="1:9" x14ac:dyDescent="0.2">
      <c r="A520" s="10"/>
      <c r="B520" s="105"/>
      <c r="C520" s="10"/>
      <c r="D520" s="10"/>
      <c r="E520" s="10"/>
      <c r="F520" s="106"/>
      <c r="H520" s="106"/>
      <c r="I520" s="10"/>
    </row>
    <row r="521" spans="1:9" x14ac:dyDescent="0.2">
      <c r="A521" s="10"/>
      <c r="B521" s="105"/>
      <c r="C521" s="10"/>
      <c r="D521" s="10"/>
      <c r="E521" s="10"/>
      <c r="F521" s="106"/>
      <c r="H521" s="106"/>
      <c r="I521" s="10"/>
    </row>
    <row r="522" spans="1:9" x14ac:dyDescent="0.2">
      <c r="A522" s="10"/>
      <c r="B522" s="105"/>
      <c r="C522" s="10"/>
      <c r="D522" s="10"/>
      <c r="E522" s="10"/>
      <c r="F522" s="106"/>
      <c r="H522" s="106"/>
      <c r="I522" s="10"/>
    </row>
    <row r="523" spans="1:9" x14ac:dyDescent="0.2">
      <c r="A523" s="10"/>
      <c r="B523" s="105"/>
      <c r="C523" s="10"/>
      <c r="D523" s="10"/>
      <c r="E523" s="10"/>
      <c r="F523" s="106"/>
      <c r="H523" s="106"/>
      <c r="I523" s="10"/>
    </row>
    <row r="524" spans="1:9" x14ac:dyDescent="0.2">
      <c r="A524" s="10"/>
      <c r="B524" s="105"/>
      <c r="C524" s="10"/>
      <c r="D524" s="10"/>
      <c r="E524" s="10"/>
      <c r="F524" s="106"/>
      <c r="H524" s="106"/>
      <c r="I524" s="10"/>
    </row>
    <row r="525" spans="1:9" x14ac:dyDescent="0.2">
      <c r="A525" s="10"/>
      <c r="B525" s="105"/>
      <c r="C525" s="10"/>
      <c r="D525" s="10"/>
      <c r="E525" s="10"/>
      <c r="F525" s="106"/>
      <c r="H525" s="106"/>
      <c r="I525" s="10"/>
    </row>
    <row r="526" spans="1:9" x14ac:dyDescent="0.2">
      <c r="A526" s="10"/>
      <c r="B526" s="105"/>
      <c r="C526" s="10"/>
      <c r="D526" s="10"/>
      <c r="E526" s="10"/>
      <c r="F526" s="106"/>
      <c r="H526" s="106"/>
      <c r="I526" s="10"/>
    </row>
    <row r="527" spans="1:9" x14ac:dyDescent="0.2">
      <c r="A527" s="10"/>
      <c r="B527" s="105"/>
      <c r="C527" s="10"/>
      <c r="D527" s="10"/>
      <c r="E527" s="10"/>
      <c r="F527" s="106"/>
      <c r="H527" s="106"/>
      <c r="I527" s="10"/>
    </row>
    <row r="528" spans="1:9" x14ac:dyDescent="0.2">
      <c r="A528" s="10"/>
      <c r="B528" s="105"/>
      <c r="C528" s="10"/>
      <c r="D528" s="10"/>
      <c r="E528" s="10"/>
      <c r="F528" s="106"/>
      <c r="H528" s="106"/>
      <c r="I528" s="10"/>
    </row>
    <row r="529" spans="1:9" x14ac:dyDescent="0.2">
      <c r="A529" s="10"/>
      <c r="B529" s="105"/>
      <c r="C529" s="10"/>
      <c r="D529" s="10"/>
      <c r="E529" s="10"/>
      <c r="F529" s="106"/>
      <c r="H529" s="106"/>
      <c r="I529" s="10"/>
    </row>
    <row r="530" spans="1:9" x14ac:dyDescent="0.2">
      <c r="A530" s="10"/>
      <c r="B530" s="105"/>
      <c r="C530" s="10"/>
      <c r="D530" s="10"/>
      <c r="E530" s="10"/>
      <c r="F530" s="106"/>
      <c r="H530" s="106"/>
      <c r="I530" s="10"/>
    </row>
    <row r="531" spans="1:9" x14ac:dyDescent="0.2">
      <c r="A531" s="10"/>
      <c r="B531" s="105"/>
      <c r="C531" s="10"/>
      <c r="D531" s="10"/>
      <c r="E531" s="10"/>
      <c r="F531" s="106"/>
      <c r="H531" s="106"/>
      <c r="I531" s="10"/>
    </row>
    <row r="532" spans="1:9" x14ac:dyDescent="0.2">
      <c r="A532" s="10"/>
      <c r="B532" s="105"/>
      <c r="C532" s="10"/>
      <c r="D532" s="10"/>
      <c r="E532" s="10"/>
      <c r="F532" s="106"/>
      <c r="H532" s="106"/>
      <c r="I532" s="10"/>
    </row>
    <row r="533" spans="1:9" x14ac:dyDescent="0.2">
      <c r="A533" s="10"/>
      <c r="B533" s="105"/>
      <c r="C533" s="10"/>
      <c r="D533" s="10"/>
      <c r="E533" s="10"/>
      <c r="F533" s="106"/>
      <c r="H533" s="106"/>
      <c r="I533" s="10"/>
    </row>
    <row r="534" spans="1:9" x14ac:dyDescent="0.2">
      <c r="A534" s="10"/>
      <c r="B534" s="105"/>
      <c r="C534" s="10"/>
      <c r="D534" s="10"/>
      <c r="E534" s="10"/>
      <c r="F534" s="106"/>
      <c r="H534" s="106"/>
      <c r="I534" s="10"/>
    </row>
    <row r="535" spans="1:9" x14ac:dyDescent="0.2">
      <c r="A535" s="10"/>
      <c r="B535" s="105"/>
      <c r="C535" s="10"/>
      <c r="D535" s="10"/>
      <c r="E535" s="10"/>
      <c r="F535" s="106"/>
      <c r="H535" s="106"/>
      <c r="I535" s="10"/>
    </row>
    <row r="536" spans="1:9" x14ac:dyDescent="0.2">
      <c r="A536" s="10"/>
      <c r="B536" s="105"/>
      <c r="C536" s="10"/>
      <c r="D536" s="10"/>
      <c r="E536" s="10"/>
      <c r="F536" s="106"/>
      <c r="H536" s="106"/>
      <c r="I536" s="10"/>
    </row>
    <row r="537" spans="1:9" x14ac:dyDescent="0.2">
      <c r="A537" s="10"/>
      <c r="B537" s="105"/>
      <c r="C537" s="10"/>
      <c r="D537" s="10"/>
      <c r="E537" s="10"/>
      <c r="F537" s="106"/>
      <c r="H537" s="106"/>
      <c r="I537" s="10"/>
    </row>
    <row r="538" spans="1:9" x14ac:dyDescent="0.2">
      <c r="A538" s="10"/>
      <c r="B538" s="105"/>
      <c r="C538" s="10"/>
      <c r="D538" s="10"/>
      <c r="E538" s="10"/>
      <c r="F538" s="106"/>
      <c r="H538" s="106"/>
      <c r="I538" s="10"/>
    </row>
    <row r="539" spans="1:9" x14ac:dyDescent="0.2">
      <c r="A539" s="10"/>
      <c r="B539" s="105"/>
      <c r="C539" s="10"/>
      <c r="D539" s="10"/>
      <c r="E539" s="10"/>
      <c r="F539" s="106"/>
      <c r="H539" s="106"/>
      <c r="I539" s="10"/>
    </row>
    <row r="540" spans="1:9" x14ac:dyDescent="0.2">
      <c r="A540" s="10"/>
      <c r="B540" s="105"/>
      <c r="C540" s="10"/>
      <c r="D540" s="10"/>
      <c r="E540" s="10"/>
      <c r="F540" s="106"/>
      <c r="H540" s="106"/>
      <c r="I540" s="10"/>
    </row>
    <row r="541" spans="1:9" x14ac:dyDescent="0.2">
      <c r="A541" s="10"/>
      <c r="B541" s="105"/>
      <c r="C541" s="10"/>
      <c r="D541" s="10"/>
      <c r="E541" s="10"/>
      <c r="F541" s="106"/>
      <c r="H541" s="106"/>
      <c r="I541" s="10"/>
    </row>
    <row r="542" spans="1:9" x14ac:dyDescent="0.2">
      <c r="A542" s="10"/>
      <c r="B542" s="105"/>
      <c r="C542" s="10"/>
      <c r="D542" s="10"/>
      <c r="E542" s="10"/>
      <c r="F542" s="106"/>
      <c r="H542" s="106"/>
      <c r="I542" s="10"/>
    </row>
    <row r="543" spans="1:9" x14ac:dyDescent="0.2">
      <c r="A543" s="10"/>
      <c r="B543" s="105"/>
      <c r="C543" s="10"/>
      <c r="D543" s="10"/>
      <c r="E543" s="10"/>
      <c r="F543" s="106"/>
      <c r="H543" s="106"/>
      <c r="I543" s="10"/>
    </row>
    <row r="544" spans="1:9" x14ac:dyDescent="0.2">
      <c r="A544" s="10"/>
      <c r="B544" s="105"/>
      <c r="C544" s="10"/>
      <c r="D544" s="10"/>
      <c r="E544" s="10"/>
      <c r="F544" s="106"/>
      <c r="H544" s="106"/>
      <c r="I544" s="10"/>
    </row>
    <row r="545" spans="1:9" x14ac:dyDescent="0.2">
      <c r="A545" s="10"/>
      <c r="B545" s="105"/>
      <c r="C545" s="10"/>
      <c r="D545" s="10"/>
      <c r="E545" s="10"/>
      <c r="F545" s="106"/>
      <c r="H545" s="106"/>
      <c r="I545" s="10"/>
    </row>
    <row r="546" spans="1:9" x14ac:dyDescent="0.2">
      <c r="A546" s="10"/>
      <c r="B546" s="105"/>
      <c r="C546" s="10"/>
      <c r="D546" s="10"/>
      <c r="E546" s="10"/>
      <c r="F546" s="106"/>
      <c r="H546" s="106"/>
      <c r="I546" s="10"/>
    </row>
    <row r="547" spans="1:9" x14ac:dyDescent="0.2">
      <c r="A547" s="10"/>
      <c r="B547" s="105"/>
      <c r="C547" s="10"/>
      <c r="D547" s="10"/>
      <c r="E547" s="10"/>
      <c r="F547" s="106"/>
      <c r="H547" s="106"/>
      <c r="I547" s="10"/>
    </row>
    <row r="548" spans="1:9" x14ac:dyDescent="0.2">
      <c r="A548" s="10"/>
      <c r="B548" s="105"/>
      <c r="C548" s="10"/>
      <c r="D548" s="10"/>
      <c r="E548" s="10"/>
      <c r="F548" s="106"/>
      <c r="H548" s="106"/>
      <c r="I548" s="10"/>
    </row>
    <row r="549" spans="1:9" x14ac:dyDescent="0.2">
      <c r="A549" s="10"/>
      <c r="B549" s="105"/>
      <c r="C549" s="10"/>
      <c r="D549" s="10"/>
      <c r="E549" s="10"/>
      <c r="F549" s="106"/>
      <c r="H549" s="106"/>
      <c r="I549" s="10"/>
    </row>
    <row r="550" spans="1:9" x14ac:dyDescent="0.2">
      <c r="A550" s="10"/>
      <c r="B550" s="105"/>
      <c r="C550" s="10"/>
      <c r="D550" s="10"/>
      <c r="E550" s="10"/>
      <c r="F550" s="106"/>
      <c r="H550" s="106"/>
      <c r="I550" s="10"/>
    </row>
    <row r="551" spans="1:9" x14ac:dyDescent="0.2">
      <c r="A551" s="27"/>
      <c r="B551" s="85"/>
      <c r="C551" s="27"/>
      <c r="D551" s="27"/>
      <c r="E551" s="27"/>
      <c r="F551" s="84"/>
      <c r="G551" s="27"/>
      <c r="H551" s="84"/>
      <c r="I551" s="27"/>
    </row>
    <row r="552" spans="1:9" x14ac:dyDescent="0.2">
      <c r="B552" s="32"/>
      <c r="E552"/>
      <c r="F552" s="88"/>
    </row>
    <row r="553" spans="1:9" x14ac:dyDescent="0.2">
      <c r="B553" s="32"/>
      <c r="E553"/>
      <c r="F553" s="88"/>
    </row>
    <row r="554" spans="1:9" x14ac:dyDescent="0.2">
      <c r="B554" s="32"/>
      <c r="E554"/>
      <c r="F554" s="88"/>
    </row>
    <row r="555" spans="1:9" x14ac:dyDescent="0.2">
      <c r="B555" s="32"/>
      <c r="E555"/>
      <c r="F555" s="88"/>
    </row>
    <row r="556" spans="1:9" x14ac:dyDescent="0.2">
      <c r="B556" s="32"/>
      <c r="E556"/>
      <c r="F556" s="88"/>
    </row>
    <row r="557" spans="1:9" x14ac:dyDescent="0.2">
      <c r="E557"/>
      <c r="F557" s="88"/>
    </row>
    <row r="558" spans="1:9" x14ac:dyDescent="0.2">
      <c r="B558" s="32"/>
      <c r="E558"/>
      <c r="F558" s="88"/>
    </row>
    <row r="559" spans="1:9" x14ac:dyDescent="0.2">
      <c r="B559" s="32"/>
      <c r="E559"/>
      <c r="F559" s="88"/>
    </row>
    <row r="560" spans="1:9" x14ac:dyDescent="0.2">
      <c r="B560" s="32"/>
      <c r="E560"/>
      <c r="F560" s="88"/>
    </row>
    <row r="561" spans="1:9" x14ac:dyDescent="0.2">
      <c r="B561" s="32"/>
      <c r="E561"/>
      <c r="F561" s="88"/>
    </row>
    <row r="562" spans="1:9" x14ac:dyDescent="0.2">
      <c r="B562" s="32"/>
      <c r="E562"/>
      <c r="F562" s="88"/>
    </row>
    <row r="563" spans="1:9" x14ac:dyDescent="0.2">
      <c r="B563" s="32"/>
      <c r="E563"/>
      <c r="F563" s="88"/>
    </row>
    <row r="564" spans="1:9" x14ac:dyDescent="0.2">
      <c r="B564" s="32"/>
      <c r="E564"/>
      <c r="F564" s="88"/>
    </row>
    <row r="565" spans="1:9" x14ac:dyDescent="0.2">
      <c r="B565" s="32"/>
      <c r="E565"/>
      <c r="F565" s="88"/>
    </row>
    <row r="566" spans="1:9" x14ac:dyDescent="0.2">
      <c r="A566" s="103"/>
      <c r="B566" s="104"/>
      <c r="E566"/>
      <c r="F566" s="88"/>
      <c r="I566" s="1"/>
    </row>
    <row r="567" spans="1:9" x14ac:dyDescent="0.2">
      <c r="A567" s="103"/>
      <c r="B567" s="104"/>
      <c r="E567"/>
      <c r="F567" s="88"/>
      <c r="I567" s="1"/>
    </row>
    <row r="568" spans="1:9" x14ac:dyDescent="0.2">
      <c r="A568" s="103"/>
      <c r="B568" s="104"/>
      <c r="E568"/>
      <c r="F568" s="88"/>
      <c r="I568" s="1"/>
    </row>
    <row r="569" spans="1:9" x14ac:dyDescent="0.2">
      <c r="A569" s="103"/>
      <c r="B569" s="104"/>
      <c r="E569"/>
      <c r="F569" s="88"/>
      <c r="I569" s="1"/>
    </row>
    <row r="570" spans="1:9" x14ac:dyDescent="0.2">
      <c r="A570" s="103"/>
      <c r="B570" s="104"/>
      <c r="E570"/>
      <c r="F570" s="88"/>
      <c r="I570" s="1"/>
    </row>
    <row r="571" spans="1:9" x14ac:dyDescent="0.2">
      <c r="A571" s="103"/>
      <c r="B571" s="104"/>
      <c r="E571"/>
      <c r="F571" s="88"/>
      <c r="I571" s="1"/>
    </row>
    <row r="572" spans="1:9" x14ac:dyDescent="0.2">
      <c r="A572" s="103"/>
      <c r="B572" s="104"/>
      <c r="E572"/>
      <c r="F572" s="88"/>
      <c r="I572" s="1"/>
    </row>
    <row r="573" spans="1:9" x14ac:dyDescent="0.2">
      <c r="A573" s="103"/>
      <c r="B573" s="104"/>
      <c r="E573"/>
      <c r="F573" s="88"/>
      <c r="I573" s="1"/>
    </row>
    <row r="574" spans="1:9" x14ac:dyDescent="0.2">
      <c r="A574" s="103"/>
      <c r="B574" s="104"/>
      <c r="E574"/>
      <c r="F574" s="88"/>
      <c r="I574" s="1"/>
    </row>
    <row r="575" spans="1:9" x14ac:dyDescent="0.2">
      <c r="A575" s="103"/>
      <c r="B575" s="104"/>
      <c r="E575"/>
      <c r="F575" s="88"/>
      <c r="I575" s="1"/>
    </row>
    <row r="576" spans="1:9" x14ac:dyDescent="0.2">
      <c r="A576" s="10"/>
      <c r="B576" s="105"/>
      <c r="C576" s="10"/>
      <c r="D576" s="10"/>
      <c r="E576"/>
      <c r="F576" s="88"/>
      <c r="H576" s="106"/>
      <c r="I576" s="10"/>
    </row>
    <row r="577" spans="1:9" x14ac:dyDescent="0.2">
      <c r="A577" s="10"/>
      <c r="B577" s="105"/>
      <c r="C577" s="10"/>
      <c r="D577" s="10"/>
      <c r="E577"/>
      <c r="F577" s="88"/>
      <c r="H577" s="106"/>
      <c r="I577" s="10"/>
    </row>
    <row r="578" spans="1:9" x14ac:dyDescent="0.2">
      <c r="A578" s="10"/>
      <c r="B578" s="105"/>
      <c r="C578" s="10"/>
      <c r="D578" s="10"/>
      <c r="E578"/>
      <c r="F578" s="88"/>
      <c r="H578" s="106"/>
      <c r="I578" s="10"/>
    </row>
    <row r="579" spans="1:9" x14ac:dyDescent="0.2">
      <c r="A579" s="10"/>
      <c r="B579" s="105"/>
      <c r="C579" s="10"/>
      <c r="D579" s="10"/>
      <c r="E579"/>
      <c r="F579" s="88"/>
      <c r="H579" s="106"/>
      <c r="I579" s="10"/>
    </row>
    <row r="580" spans="1:9" x14ac:dyDescent="0.2">
      <c r="A580" s="10"/>
      <c r="B580" s="105"/>
      <c r="C580" s="10"/>
      <c r="D580" s="10"/>
      <c r="E580"/>
      <c r="F580" s="88"/>
      <c r="H580" s="106"/>
      <c r="I580" s="10"/>
    </row>
    <row r="581" spans="1:9" x14ac:dyDescent="0.2">
      <c r="A581" s="10"/>
      <c r="B581" s="105"/>
      <c r="C581" s="10"/>
      <c r="D581" s="10"/>
      <c r="E581"/>
      <c r="F581" s="88"/>
      <c r="H581" s="106"/>
      <c r="I581" s="10"/>
    </row>
    <row r="582" spans="1:9" x14ac:dyDescent="0.2">
      <c r="A582" s="27"/>
      <c r="B582" s="85"/>
      <c r="C582" s="27"/>
      <c r="D582" s="27"/>
      <c r="E582" s="27"/>
      <c r="F582" s="84"/>
      <c r="G582" s="27"/>
      <c r="H582" s="84"/>
      <c r="I582" s="27"/>
    </row>
    <row r="583" spans="1:9" x14ac:dyDescent="0.2">
      <c r="B583" s="32"/>
      <c r="E583"/>
      <c r="F583" s="88"/>
    </row>
    <row r="584" spans="1:9" x14ac:dyDescent="0.2">
      <c r="B584" s="32"/>
      <c r="E584"/>
      <c r="F584" s="88"/>
      <c r="H584" s="88"/>
    </row>
    <row r="585" spans="1:9" x14ac:dyDescent="0.2">
      <c r="B585" s="32"/>
      <c r="E585"/>
      <c r="F585" s="88"/>
      <c r="H585" s="88"/>
    </row>
    <row r="586" spans="1:9" x14ac:dyDescent="0.2">
      <c r="B586" s="32"/>
      <c r="E586"/>
      <c r="F586" s="88"/>
      <c r="H586" s="88"/>
    </row>
    <row r="587" spans="1:9" x14ac:dyDescent="0.2">
      <c r="B587" s="32"/>
      <c r="E587"/>
      <c r="F587" s="88"/>
      <c r="H587" s="88"/>
    </row>
    <row r="588" spans="1:9" x14ac:dyDescent="0.2">
      <c r="B588" s="32"/>
      <c r="E588"/>
      <c r="F588" s="88"/>
      <c r="H588" s="88"/>
    </row>
    <row r="589" spans="1:9" x14ac:dyDescent="0.2">
      <c r="B589" s="32"/>
      <c r="E589"/>
      <c r="F589" s="88"/>
      <c r="H589" s="88"/>
    </row>
    <row r="590" spans="1:9" x14ac:dyDescent="0.2">
      <c r="E590"/>
      <c r="F590" s="88"/>
      <c r="H590" s="88"/>
    </row>
    <row r="591" spans="1:9" x14ac:dyDescent="0.2">
      <c r="B591" s="32"/>
      <c r="E591"/>
      <c r="F591" s="88"/>
      <c r="H591" s="88"/>
    </row>
    <row r="592" spans="1:9" x14ac:dyDescent="0.2">
      <c r="B592" s="32"/>
      <c r="E592"/>
      <c r="F592" s="88"/>
      <c r="H592" s="88"/>
    </row>
    <row r="593" spans="1:9" x14ac:dyDescent="0.2">
      <c r="B593" s="32"/>
      <c r="E593"/>
      <c r="F593" s="88"/>
      <c r="H593" s="88"/>
    </row>
    <row r="594" spans="1:9" x14ac:dyDescent="0.2">
      <c r="B594" s="32"/>
      <c r="E594"/>
      <c r="F594" s="88"/>
      <c r="H594" s="88"/>
    </row>
    <row r="595" spans="1:9" x14ac:dyDescent="0.2">
      <c r="B595" s="32"/>
      <c r="E595"/>
      <c r="F595" s="88"/>
      <c r="H595" s="88"/>
    </row>
    <row r="596" spans="1:9" x14ac:dyDescent="0.2">
      <c r="B596" s="32"/>
      <c r="E596"/>
      <c r="F596" s="88"/>
      <c r="H596" s="88"/>
    </row>
    <row r="597" spans="1:9" x14ac:dyDescent="0.2">
      <c r="B597" s="32"/>
      <c r="E597"/>
      <c r="F597" s="88"/>
      <c r="H597" s="88"/>
    </row>
    <row r="598" spans="1:9" x14ac:dyDescent="0.2">
      <c r="B598" s="32"/>
      <c r="E598"/>
      <c r="F598" s="88"/>
      <c r="H598" s="88"/>
    </row>
    <row r="599" spans="1:9" x14ac:dyDescent="0.2">
      <c r="B599" s="32"/>
      <c r="E599"/>
      <c r="F599" s="88"/>
      <c r="H599" s="88"/>
    </row>
    <row r="600" spans="1:9" x14ac:dyDescent="0.2">
      <c r="A600" s="103"/>
      <c r="B600" s="104"/>
      <c r="E600" s="103"/>
      <c r="F600" s="88"/>
      <c r="H600" s="88"/>
      <c r="I600" s="1"/>
    </row>
    <row r="601" spans="1:9" x14ac:dyDescent="0.2">
      <c r="A601" s="103"/>
      <c r="B601" s="104"/>
      <c r="E601"/>
      <c r="F601" s="88"/>
      <c r="H601" s="88"/>
      <c r="I601" s="1"/>
    </row>
    <row r="602" spans="1:9" x14ac:dyDescent="0.2">
      <c r="A602" s="103"/>
      <c r="B602" s="104"/>
      <c r="E602"/>
      <c r="F602" s="88"/>
      <c r="H602" s="88"/>
      <c r="I602" s="1"/>
    </row>
    <row r="603" spans="1:9" x14ac:dyDescent="0.2">
      <c r="A603" s="103"/>
      <c r="B603" s="104"/>
      <c r="E603"/>
      <c r="F603" s="88"/>
      <c r="H603" s="88"/>
      <c r="I603" s="1"/>
    </row>
    <row r="604" spans="1:9" x14ac:dyDescent="0.2">
      <c r="A604" s="103"/>
      <c r="B604" s="104"/>
      <c r="E604"/>
      <c r="F604" s="88"/>
      <c r="H604" s="88"/>
      <c r="I604" s="1"/>
    </row>
    <row r="605" spans="1:9" x14ac:dyDescent="0.2">
      <c r="A605" s="103"/>
      <c r="B605" s="104"/>
      <c r="E605"/>
      <c r="F605" s="88"/>
      <c r="H605" s="88"/>
      <c r="I605" s="1"/>
    </row>
    <row r="606" spans="1:9" x14ac:dyDescent="0.2">
      <c r="A606" s="103"/>
      <c r="B606" s="104"/>
      <c r="E606"/>
      <c r="F606" s="88"/>
      <c r="H606" s="88"/>
      <c r="I606" s="1"/>
    </row>
    <row r="607" spans="1:9" x14ac:dyDescent="0.2">
      <c r="A607" s="103"/>
      <c r="B607" s="104"/>
      <c r="E607"/>
      <c r="F607" s="88"/>
      <c r="H607" s="88"/>
      <c r="I607" s="1"/>
    </row>
    <row r="608" spans="1:9" x14ac:dyDescent="0.2">
      <c r="A608" s="27"/>
      <c r="B608" s="85"/>
      <c r="C608" s="27"/>
      <c r="D608" s="27"/>
      <c r="E608" s="27"/>
      <c r="F608" s="84"/>
      <c r="G608" s="27"/>
      <c r="H608" s="84"/>
      <c r="I608" s="27"/>
    </row>
    <row r="609" spans="2:8" x14ac:dyDescent="0.2">
      <c r="B609" s="32"/>
      <c r="E609"/>
      <c r="F609" s="84"/>
    </row>
    <row r="610" spans="2:8" x14ac:dyDescent="0.2">
      <c r="B610" s="32"/>
      <c r="E610"/>
      <c r="F610" s="88"/>
      <c r="H610" s="88"/>
    </row>
    <row r="611" spans="2:8" x14ac:dyDescent="0.2">
      <c r="B611" s="32"/>
      <c r="E611"/>
      <c r="F611" s="88"/>
      <c r="H611" s="88"/>
    </row>
    <row r="612" spans="2:8" x14ac:dyDescent="0.2">
      <c r="B612" s="32"/>
      <c r="E612"/>
      <c r="F612" s="88"/>
      <c r="H612" s="88"/>
    </row>
    <row r="613" spans="2:8" x14ac:dyDescent="0.2">
      <c r="B613" s="32"/>
      <c r="E613"/>
      <c r="F613" s="88"/>
      <c r="H613" s="88"/>
    </row>
    <row r="614" spans="2:8" x14ac:dyDescent="0.2">
      <c r="B614" s="32"/>
      <c r="E614"/>
      <c r="F614" s="88"/>
      <c r="H614" s="88"/>
    </row>
    <row r="615" spans="2:8" x14ac:dyDescent="0.2">
      <c r="B615" s="32"/>
      <c r="E615"/>
      <c r="F615" s="88"/>
      <c r="H615" s="88"/>
    </row>
    <row r="616" spans="2:8" x14ac:dyDescent="0.2">
      <c r="E616"/>
      <c r="F616" s="88"/>
      <c r="H616" s="88"/>
    </row>
    <row r="617" spans="2:8" x14ac:dyDescent="0.2">
      <c r="B617" s="32"/>
      <c r="E617"/>
      <c r="F617" s="88"/>
      <c r="H617" s="88"/>
    </row>
    <row r="618" spans="2:8" x14ac:dyDescent="0.2">
      <c r="B618" s="32"/>
      <c r="E618"/>
      <c r="F618" s="88"/>
      <c r="H618" s="88"/>
    </row>
    <row r="619" spans="2:8" x14ac:dyDescent="0.2">
      <c r="B619" s="32"/>
      <c r="E619"/>
      <c r="F619" s="88"/>
      <c r="H619" s="88"/>
    </row>
    <row r="620" spans="2:8" x14ac:dyDescent="0.2">
      <c r="B620" s="32"/>
      <c r="E620"/>
      <c r="F620" s="88"/>
      <c r="H620" s="88"/>
    </row>
    <row r="621" spans="2:8" x14ac:dyDescent="0.2">
      <c r="B621" s="32"/>
      <c r="E621"/>
      <c r="F621" s="88"/>
      <c r="H621" s="88"/>
    </row>
    <row r="622" spans="2:8" x14ac:dyDescent="0.2">
      <c r="B622" s="32"/>
      <c r="E622"/>
      <c r="F622" s="88"/>
      <c r="H622" s="88"/>
    </row>
    <row r="623" spans="2:8" x14ac:dyDescent="0.2">
      <c r="B623" s="32"/>
      <c r="E623"/>
      <c r="F623" s="88"/>
      <c r="H623" s="88"/>
    </row>
    <row r="624" spans="2:8" x14ac:dyDescent="0.2">
      <c r="B624" s="32"/>
      <c r="E624"/>
      <c r="F624" s="88"/>
      <c r="H624" s="88"/>
    </row>
    <row r="625" spans="1:9" x14ac:dyDescent="0.2">
      <c r="B625" s="32"/>
      <c r="E625"/>
      <c r="F625" s="88"/>
      <c r="H625" s="88"/>
    </row>
    <row r="626" spans="1:9" x14ac:dyDescent="0.2">
      <c r="A626" s="103"/>
      <c r="B626" s="104"/>
      <c r="E626" s="103"/>
      <c r="F626" s="88"/>
      <c r="H626" s="88"/>
      <c r="I626" s="1"/>
    </row>
    <row r="627" spans="1:9" x14ac:dyDescent="0.2">
      <c r="A627" s="103"/>
      <c r="B627" s="104"/>
      <c r="E627"/>
      <c r="F627" s="88"/>
      <c r="H627" s="88"/>
      <c r="I627" s="1"/>
    </row>
    <row r="628" spans="1:9" x14ac:dyDescent="0.2">
      <c r="A628" s="103"/>
      <c r="B628" s="104"/>
      <c r="E628"/>
      <c r="F628" s="88"/>
      <c r="H628" s="88"/>
      <c r="I628" s="1"/>
    </row>
    <row r="629" spans="1:9" x14ac:dyDescent="0.2">
      <c r="A629" s="103"/>
      <c r="B629" s="104"/>
      <c r="E629"/>
      <c r="F629" s="88"/>
      <c r="H629" s="88"/>
      <c r="I629" s="1"/>
    </row>
    <row r="630" spans="1:9" x14ac:dyDescent="0.2">
      <c r="A630" s="103"/>
      <c r="B630" s="104"/>
      <c r="E630"/>
      <c r="F630" s="88"/>
      <c r="H630" s="88"/>
      <c r="I630" s="1"/>
    </row>
    <row r="631" spans="1:9" x14ac:dyDescent="0.2">
      <c r="A631" s="103"/>
      <c r="B631" s="104"/>
      <c r="E631"/>
      <c r="F631" s="88"/>
      <c r="H631" s="88"/>
      <c r="I631" s="1"/>
    </row>
    <row r="632" spans="1:9" x14ac:dyDescent="0.2">
      <c r="A632" s="103"/>
      <c r="B632" s="104"/>
      <c r="E632"/>
      <c r="F632" s="88"/>
      <c r="H632" s="88"/>
      <c r="I632" s="1"/>
    </row>
    <row r="633" spans="1:9" x14ac:dyDescent="0.2">
      <c r="A633" s="27"/>
      <c r="B633" s="85"/>
      <c r="C633" s="27"/>
      <c r="D633" s="27"/>
      <c r="E633" s="27"/>
      <c r="F633" s="84"/>
      <c r="G633" s="27"/>
      <c r="H633" s="84"/>
      <c r="I633" s="27"/>
    </row>
    <row r="634" spans="1:9" x14ac:dyDescent="0.2">
      <c r="B634" s="32"/>
      <c r="E634"/>
      <c r="F634" s="88"/>
    </row>
    <row r="635" spans="1:9" x14ac:dyDescent="0.2">
      <c r="B635" s="32"/>
      <c r="E635"/>
      <c r="F635" s="88"/>
      <c r="H635" s="88"/>
    </row>
    <row r="636" spans="1:9" x14ac:dyDescent="0.2">
      <c r="B636" s="32"/>
      <c r="E636"/>
      <c r="F636" s="88"/>
      <c r="H636" s="88"/>
    </row>
    <row r="637" spans="1:9" x14ac:dyDescent="0.2">
      <c r="B637" s="32"/>
      <c r="E637"/>
      <c r="F637" s="88"/>
      <c r="H637" s="88"/>
    </row>
    <row r="638" spans="1:9" x14ac:dyDescent="0.2">
      <c r="B638" s="32"/>
      <c r="E638"/>
      <c r="F638" s="88"/>
      <c r="H638" s="88"/>
    </row>
    <row r="639" spans="1:9" x14ac:dyDescent="0.2">
      <c r="B639" s="32"/>
      <c r="E639"/>
      <c r="F639" s="88"/>
      <c r="H639" s="88"/>
    </row>
    <row r="640" spans="1:9" x14ac:dyDescent="0.2">
      <c r="B640" s="32"/>
      <c r="E640"/>
      <c r="F640" s="88"/>
      <c r="H640" s="88"/>
    </row>
    <row r="641" spans="1:9" x14ac:dyDescent="0.2">
      <c r="E641"/>
      <c r="F641" s="88"/>
      <c r="H641" s="88"/>
    </row>
    <row r="642" spans="1:9" x14ac:dyDescent="0.2">
      <c r="B642" s="32"/>
      <c r="E642"/>
      <c r="F642" s="88"/>
      <c r="H642" s="88"/>
    </row>
    <row r="643" spans="1:9" x14ac:dyDescent="0.2">
      <c r="B643" s="32"/>
      <c r="E643"/>
      <c r="F643" s="88"/>
      <c r="H643" s="88"/>
    </row>
    <row r="644" spans="1:9" x14ac:dyDescent="0.2">
      <c r="B644" s="32"/>
      <c r="E644"/>
      <c r="F644" s="88"/>
      <c r="H644" s="88"/>
    </row>
    <row r="645" spans="1:9" x14ac:dyDescent="0.2">
      <c r="B645" s="32"/>
      <c r="E645"/>
      <c r="F645" s="88"/>
      <c r="H645" s="88"/>
    </row>
    <row r="646" spans="1:9" x14ac:dyDescent="0.2">
      <c r="B646" s="32"/>
      <c r="E646"/>
      <c r="F646" s="88"/>
      <c r="H646" s="88"/>
    </row>
    <row r="647" spans="1:9" x14ac:dyDescent="0.2">
      <c r="B647" s="32"/>
      <c r="E647"/>
      <c r="F647" s="88"/>
      <c r="H647" s="88"/>
    </row>
    <row r="648" spans="1:9" x14ac:dyDescent="0.2">
      <c r="B648" s="32"/>
      <c r="E648"/>
      <c r="F648" s="88"/>
      <c r="H648" s="88"/>
    </row>
    <row r="649" spans="1:9" x14ac:dyDescent="0.2">
      <c r="B649" s="32"/>
      <c r="E649"/>
      <c r="F649" s="88"/>
      <c r="H649" s="88"/>
    </row>
    <row r="650" spans="1:9" x14ac:dyDescent="0.2">
      <c r="B650" s="32"/>
      <c r="E650"/>
      <c r="F650" s="88"/>
      <c r="H650" s="88"/>
    </row>
    <row r="651" spans="1:9" x14ac:dyDescent="0.2">
      <c r="A651" s="103"/>
      <c r="B651" s="104"/>
      <c r="E651" s="103"/>
      <c r="F651" s="88"/>
      <c r="H651" s="88"/>
      <c r="I651" s="1"/>
    </row>
    <row r="652" spans="1:9" x14ac:dyDescent="0.2">
      <c r="A652" s="103"/>
      <c r="B652" s="104"/>
      <c r="E652"/>
      <c r="F652" s="88"/>
      <c r="H652" s="88"/>
      <c r="I652" s="1"/>
    </row>
    <row r="653" spans="1:9" x14ac:dyDescent="0.2">
      <c r="A653" s="103"/>
      <c r="B653" s="104"/>
      <c r="E653"/>
      <c r="F653" s="88"/>
      <c r="H653" s="88"/>
      <c r="I653" s="1"/>
    </row>
    <row r="654" spans="1:9" x14ac:dyDescent="0.2">
      <c r="A654" s="103"/>
      <c r="B654" s="104"/>
      <c r="E654"/>
      <c r="F654" s="88"/>
      <c r="H654" s="88"/>
      <c r="I654" s="1"/>
    </row>
    <row r="655" spans="1:9" x14ac:dyDescent="0.2">
      <c r="A655" s="103"/>
      <c r="B655" s="104"/>
      <c r="E655"/>
      <c r="F655" s="88"/>
      <c r="H655" s="88"/>
      <c r="I655" s="1"/>
    </row>
    <row r="656" spans="1:9" x14ac:dyDescent="0.2">
      <c r="A656" s="103"/>
      <c r="B656" s="104"/>
      <c r="E656"/>
      <c r="F656" s="88"/>
      <c r="H656" s="88"/>
      <c r="I656" s="1"/>
    </row>
    <row r="657" spans="1:9" x14ac:dyDescent="0.2">
      <c r="A657" s="27"/>
      <c r="B657" s="85"/>
      <c r="C657" s="27"/>
      <c r="D657" s="27"/>
      <c r="E657" s="27"/>
      <c r="F657" s="84"/>
      <c r="G657" s="27"/>
      <c r="H657" s="84"/>
      <c r="I657" s="27"/>
    </row>
    <row r="658" spans="1:9" x14ac:dyDescent="0.2">
      <c r="B658" s="32"/>
      <c r="E658"/>
      <c r="F658" s="88"/>
    </row>
    <row r="659" spans="1:9" x14ac:dyDescent="0.2">
      <c r="B659" s="32"/>
      <c r="E659"/>
      <c r="F659" s="88"/>
      <c r="H659" s="88"/>
    </row>
    <row r="660" spans="1:9" x14ac:dyDescent="0.2">
      <c r="B660" s="32"/>
      <c r="E660"/>
      <c r="F660" s="88"/>
      <c r="H660" s="88"/>
    </row>
    <row r="661" spans="1:9" x14ac:dyDescent="0.2">
      <c r="B661" s="32"/>
      <c r="E661"/>
      <c r="F661" s="88"/>
      <c r="H661" s="88"/>
    </row>
    <row r="662" spans="1:9" x14ac:dyDescent="0.2">
      <c r="B662" s="32"/>
      <c r="E662"/>
      <c r="F662" s="88"/>
      <c r="H662" s="88"/>
    </row>
    <row r="663" spans="1:9" x14ac:dyDescent="0.2">
      <c r="B663" s="32"/>
      <c r="E663"/>
      <c r="F663" s="88"/>
      <c r="H663" s="88"/>
    </row>
    <row r="664" spans="1:9" x14ac:dyDescent="0.2">
      <c r="B664" s="32"/>
      <c r="E664"/>
      <c r="F664" s="88"/>
      <c r="H664" s="88"/>
    </row>
    <row r="665" spans="1:9" x14ac:dyDescent="0.2">
      <c r="E665"/>
      <c r="F665" s="88"/>
      <c r="H665" s="88"/>
    </row>
    <row r="666" spans="1:9" x14ac:dyDescent="0.2">
      <c r="B666" s="32"/>
      <c r="E666"/>
      <c r="F666" s="88"/>
      <c r="H666" s="88"/>
    </row>
    <row r="667" spans="1:9" x14ac:dyDescent="0.2">
      <c r="B667" s="32"/>
      <c r="E667"/>
      <c r="F667" s="88"/>
      <c r="H667" s="88"/>
    </row>
    <row r="668" spans="1:9" x14ac:dyDescent="0.2">
      <c r="B668" s="32"/>
      <c r="E668"/>
      <c r="F668" s="88"/>
      <c r="H668" s="88"/>
    </row>
    <row r="669" spans="1:9" x14ac:dyDescent="0.2">
      <c r="B669" s="32"/>
      <c r="E669"/>
      <c r="F669" s="88"/>
      <c r="H669" s="88"/>
    </row>
    <row r="670" spans="1:9" x14ac:dyDescent="0.2">
      <c r="B670" s="32"/>
      <c r="E670"/>
      <c r="F670" s="88"/>
      <c r="H670" s="88"/>
    </row>
    <row r="671" spans="1:9" x14ac:dyDescent="0.2">
      <c r="B671" s="32"/>
      <c r="E671"/>
      <c r="F671" s="88"/>
      <c r="H671" s="88"/>
    </row>
    <row r="672" spans="1:9" x14ac:dyDescent="0.2">
      <c r="B672" s="32"/>
      <c r="E672"/>
      <c r="F672" s="88"/>
      <c r="H672" s="88"/>
    </row>
    <row r="673" spans="1:9" x14ac:dyDescent="0.2">
      <c r="B673" s="32"/>
      <c r="E673"/>
      <c r="F673" s="88"/>
      <c r="H673" s="88"/>
    </row>
    <row r="674" spans="1:9" x14ac:dyDescent="0.2">
      <c r="B674" s="32"/>
      <c r="E674"/>
      <c r="F674" s="88"/>
      <c r="H674" s="88"/>
    </row>
    <row r="675" spans="1:9" x14ac:dyDescent="0.2">
      <c r="A675" s="103"/>
      <c r="B675" s="104"/>
      <c r="E675" s="103"/>
      <c r="F675" s="88"/>
      <c r="H675" s="88"/>
      <c r="I675" s="1"/>
    </row>
    <row r="676" spans="1:9" x14ac:dyDescent="0.2">
      <c r="A676" s="103"/>
      <c r="B676" s="104"/>
      <c r="E676"/>
      <c r="F676" s="88"/>
      <c r="H676" s="88"/>
      <c r="I676" s="1"/>
    </row>
    <row r="677" spans="1:9" x14ac:dyDescent="0.2">
      <c r="A677" s="103"/>
      <c r="B677" s="104"/>
      <c r="E677"/>
      <c r="F677" s="88"/>
      <c r="H677" s="88"/>
      <c r="I677" s="1"/>
    </row>
    <row r="678" spans="1:9" x14ac:dyDescent="0.2">
      <c r="A678" s="103"/>
      <c r="B678" s="104"/>
      <c r="E678"/>
      <c r="F678" s="88"/>
      <c r="H678" s="88"/>
      <c r="I678" s="1"/>
    </row>
    <row r="679" spans="1:9" x14ac:dyDescent="0.2">
      <c r="A679" s="103"/>
      <c r="B679" s="104"/>
      <c r="E679"/>
      <c r="F679" s="88"/>
      <c r="H679" s="88"/>
      <c r="I679" s="1"/>
    </row>
    <row r="680" spans="1:9" x14ac:dyDescent="0.2">
      <c r="A680" s="103"/>
      <c r="B680" s="104"/>
      <c r="E680"/>
      <c r="F680" s="88"/>
      <c r="H680" s="88"/>
      <c r="I680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M195"/>
  <sheetViews>
    <sheetView tabSelected="1" workbookViewId="0">
      <selection activeCell="G1" sqref="G1"/>
    </sheetView>
  </sheetViews>
  <sheetFormatPr defaultRowHeight="12.75" x14ac:dyDescent="0.2"/>
  <cols>
    <col min="1" max="1" width="29.140625" bestFit="1" customWidth="1"/>
    <col min="2" max="2" width="10.28515625" bestFit="1" customWidth="1"/>
    <col min="6" max="6" width="10.140625" style="72" bestFit="1" customWidth="1"/>
    <col min="7" max="7" width="13.85546875" style="32" bestFit="1" customWidth="1"/>
    <col min="8" max="8" width="13.28515625" bestFit="1" customWidth="1"/>
    <col min="9" max="9" width="14.42578125" style="72" bestFit="1" customWidth="1"/>
    <col min="10" max="10" width="11" bestFit="1" customWidth="1"/>
    <col min="11" max="11" width="10.140625" bestFit="1" customWidth="1"/>
    <col min="13" max="13" width="10.140625" bestFit="1" customWidth="1"/>
  </cols>
  <sheetData>
    <row r="1" spans="1:11" x14ac:dyDescent="0.2">
      <c r="A1" t="s">
        <v>362</v>
      </c>
      <c r="B1" t="s">
        <v>363</v>
      </c>
      <c r="C1" t="s">
        <v>364</v>
      </c>
      <c r="D1" t="s">
        <v>365</v>
      </c>
      <c r="E1" t="s">
        <v>366</v>
      </c>
      <c r="F1" s="72" t="s">
        <v>367</v>
      </c>
      <c r="G1" s="32" t="s">
        <v>358</v>
      </c>
      <c r="H1" t="s">
        <v>368</v>
      </c>
      <c r="I1" s="72" t="s">
        <v>369</v>
      </c>
      <c r="J1" t="s">
        <v>370</v>
      </c>
      <c r="K1" s="81"/>
    </row>
    <row r="2" spans="1:11" x14ac:dyDescent="0.2">
      <c r="A2" t="s">
        <v>90</v>
      </c>
      <c r="B2">
        <v>9.1999999999999993</v>
      </c>
      <c r="C2">
        <v>0</v>
      </c>
      <c r="D2">
        <v>1</v>
      </c>
      <c r="E2">
        <v>0</v>
      </c>
      <c r="F2" s="80">
        <v>41892</v>
      </c>
      <c r="G2" s="87">
        <v>0</v>
      </c>
      <c r="H2" t="s">
        <v>47</v>
      </c>
      <c r="I2" s="72">
        <v>41883</v>
      </c>
      <c r="J2" s="1" t="s">
        <v>52</v>
      </c>
    </row>
    <row r="3" spans="1:11" x14ac:dyDescent="0.2">
      <c r="A3" t="s">
        <v>53</v>
      </c>
      <c r="B3">
        <v>4.8</v>
      </c>
      <c r="C3">
        <v>0</v>
      </c>
      <c r="D3">
        <v>1</v>
      </c>
      <c r="E3">
        <v>0</v>
      </c>
      <c r="F3" s="80">
        <v>41922</v>
      </c>
      <c r="G3" s="32">
        <v>1</v>
      </c>
      <c r="H3" t="s">
        <v>47</v>
      </c>
      <c r="I3" s="72">
        <v>41886</v>
      </c>
      <c r="J3" t="s">
        <v>50</v>
      </c>
      <c r="K3" s="80"/>
    </row>
    <row r="4" spans="1:11" x14ac:dyDescent="0.2">
      <c r="A4" t="s">
        <v>96</v>
      </c>
      <c r="B4">
        <v>20</v>
      </c>
      <c r="C4">
        <v>0</v>
      </c>
      <c r="D4">
        <v>1</v>
      </c>
      <c r="E4">
        <v>0</v>
      </c>
      <c r="F4" s="80">
        <v>41922</v>
      </c>
      <c r="G4" s="32">
        <v>1</v>
      </c>
      <c r="H4" t="s">
        <v>47</v>
      </c>
      <c r="I4" s="72">
        <v>41886</v>
      </c>
      <c r="J4" t="s">
        <v>96</v>
      </c>
      <c r="K4" s="80"/>
    </row>
    <row r="5" spans="1:11" x14ac:dyDescent="0.2">
      <c r="A5" t="s">
        <v>91</v>
      </c>
      <c r="B5">
        <v>19.95</v>
      </c>
      <c r="C5">
        <v>0</v>
      </c>
      <c r="D5">
        <v>1</v>
      </c>
      <c r="E5">
        <v>0</v>
      </c>
      <c r="F5" s="80">
        <v>41922</v>
      </c>
      <c r="G5" s="32">
        <v>1</v>
      </c>
      <c r="H5" t="s">
        <v>47</v>
      </c>
      <c r="I5" s="72">
        <v>41887</v>
      </c>
      <c r="J5" t="s">
        <v>50</v>
      </c>
      <c r="K5" s="80"/>
    </row>
    <row r="6" spans="1:11" x14ac:dyDescent="0.2">
      <c r="A6" t="s">
        <v>92</v>
      </c>
      <c r="B6">
        <v>8</v>
      </c>
      <c r="C6">
        <v>0</v>
      </c>
      <c r="D6">
        <v>1</v>
      </c>
      <c r="E6">
        <v>0</v>
      </c>
      <c r="F6" s="80">
        <v>41922</v>
      </c>
      <c r="G6" s="32">
        <v>1</v>
      </c>
      <c r="H6" t="s">
        <v>47</v>
      </c>
      <c r="I6" s="72">
        <v>41887</v>
      </c>
      <c r="J6" t="s">
        <v>50</v>
      </c>
      <c r="K6" s="80"/>
    </row>
    <row r="7" spans="1:11" x14ac:dyDescent="0.2">
      <c r="A7" t="s">
        <v>96</v>
      </c>
      <c r="B7">
        <v>27.92</v>
      </c>
      <c r="C7">
        <v>0</v>
      </c>
      <c r="D7">
        <v>1</v>
      </c>
      <c r="E7">
        <v>0</v>
      </c>
      <c r="F7" s="80">
        <v>41922</v>
      </c>
      <c r="G7" s="32">
        <v>1</v>
      </c>
      <c r="H7" t="s">
        <v>47</v>
      </c>
      <c r="I7" s="72">
        <v>41887</v>
      </c>
      <c r="J7" t="s">
        <v>96</v>
      </c>
      <c r="K7" s="80"/>
    </row>
    <row r="8" spans="1:11" x14ac:dyDescent="0.2">
      <c r="A8" t="s">
        <v>52</v>
      </c>
      <c r="B8">
        <v>26.41</v>
      </c>
      <c r="C8">
        <v>0</v>
      </c>
      <c r="D8">
        <v>1</v>
      </c>
      <c r="E8">
        <v>0</v>
      </c>
      <c r="F8" s="80">
        <v>41922</v>
      </c>
      <c r="G8" s="32">
        <v>1</v>
      </c>
      <c r="H8" t="s">
        <v>49</v>
      </c>
      <c r="I8" s="72">
        <v>41888</v>
      </c>
      <c r="J8" s="1" t="s">
        <v>52</v>
      </c>
      <c r="K8" s="80"/>
    </row>
    <row r="9" spans="1:11" x14ac:dyDescent="0.2">
      <c r="A9" t="s">
        <v>43</v>
      </c>
      <c r="B9">
        <v>60</v>
      </c>
      <c r="C9">
        <v>1</v>
      </c>
      <c r="D9">
        <v>0</v>
      </c>
      <c r="E9">
        <v>0</v>
      </c>
      <c r="F9" s="80">
        <v>41922</v>
      </c>
      <c r="G9" s="32">
        <v>1</v>
      </c>
      <c r="H9" t="s">
        <v>49</v>
      </c>
      <c r="I9" s="72">
        <v>41888</v>
      </c>
      <c r="J9" t="s">
        <v>153</v>
      </c>
      <c r="K9" s="80"/>
    </row>
    <row r="10" spans="1:11" x14ac:dyDescent="0.2">
      <c r="A10" t="s">
        <v>95</v>
      </c>
      <c r="B10">
        <v>6.9</v>
      </c>
      <c r="C10">
        <v>0</v>
      </c>
      <c r="D10">
        <v>1</v>
      </c>
      <c r="E10">
        <v>0</v>
      </c>
      <c r="F10" s="80">
        <v>41922</v>
      </c>
      <c r="G10" s="32">
        <v>1</v>
      </c>
      <c r="H10" t="s">
        <v>49</v>
      </c>
      <c r="I10" s="72">
        <v>41888</v>
      </c>
      <c r="J10" t="s">
        <v>50</v>
      </c>
      <c r="K10" s="80"/>
    </row>
    <row r="11" spans="1:11" x14ac:dyDescent="0.2">
      <c r="A11" t="s">
        <v>95</v>
      </c>
      <c r="B11">
        <v>8.9</v>
      </c>
      <c r="C11">
        <v>0</v>
      </c>
      <c r="D11">
        <v>1</v>
      </c>
      <c r="E11">
        <v>0</v>
      </c>
      <c r="F11" s="80">
        <v>41922</v>
      </c>
      <c r="G11" s="32">
        <v>1</v>
      </c>
      <c r="H11" t="s">
        <v>49</v>
      </c>
      <c r="I11" s="72">
        <v>41888</v>
      </c>
      <c r="J11" t="s">
        <v>50</v>
      </c>
      <c r="K11" s="80"/>
    </row>
    <row r="12" spans="1:11" x14ac:dyDescent="0.2">
      <c r="A12" t="s">
        <v>86</v>
      </c>
      <c r="B12">
        <v>26.53</v>
      </c>
      <c r="C12">
        <v>0</v>
      </c>
      <c r="D12">
        <v>1</v>
      </c>
      <c r="E12">
        <v>0</v>
      </c>
      <c r="F12" s="80">
        <v>41922</v>
      </c>
      <c r="G12" s="32">
        <v>1</v>
      </c>
      <c r="H12" t="s">
        <v>49</v>
      </c>
      <c r="I12" s="72">
        <v>41889</v>
      </c>
      <c r="J12" s="1" t="s">
        <v>189</v>
      </c>
      <c r="K12" s="80"/>
    </row>
    <row r="13" spans="1:11" x14ac:dyDescent="0.2">
      <c r="A13" t="s">
        <v>96</v>
      </c>
      <c r="B13">
        <v>24.7</v>
      </c>
      <c r="C13">
        <v>0</v>
      </c>
      <c r="D13">
        <v>1</v>
      </c>
      <c r="E13">
        <v>0</v>
      </c>
      <c r="F13" s="80">
        <v>41922</v>
      </c>
      <c r="G13" s="32">
        <v>1</v>
      </c>
      <c r="H13" t="s">
        <v>51</v>
      </c>
      <c r="I13" s="72">
        <v>41890</v>
      </c>
      <c r="J13" t="s">
        <v>96</v>
      </c>
      <c r="K13" s="80"/>
    </row>
    <row r="14" spans="1:11" x14ac:dyDescent="0.2">
      <c r="A14" t="s">
        <v>97</v>
      </c>
      <c r="B14">
        <v>7.2</v>
      </c>
      <c r="C14">
        <v>0</v>
      </c>
      <c r="D14">
        <v>1</v>
      </c>
      <c r="E14">
        <v>0</v>
      </c>
      <c r="F14" s="80">
        <v>41922</v>
      </c>
      <c r="G14" s="32">
        <v>1</v>
      </c>
      <c r="H14" t="s">
        <v>51</v>
      </c>
      <c r="I14" s="72">
        <v>41891</v>
      </c>
      <c r="J14" t="s">
        <v>50</v>
      </c>
      <c r="K14" s="80"/>
    </row>
    <row r="15" spans="1:11" x14ac:dyDescent="0.2">
      <c r="A15" t="s">
        <v>98</v>
      </c>
      <c r="B15">
        <v>35.200000000000003</v>
      </c>
      <c r="C15">
        <v>0</v>
      </c>
      <c r="D15">
        <v>1</v>
      </c>
      <c r="E15">
        <v>0</v>
      </c>
      <c r="F15" s="80">
        <v>41922</v>
      </c>
      <c r="G15" s="32">
        <v>1</v>
      </c>
      <c r="H15" t="s">
        <v>51</v>
      </c>
      <c r="I15" s="72">
        <v>41891</v>
      </c>
      <c r="J15" t="s">
        <v>50</v>
      </c>
      <c r="K15" s="80"/>
    </row>
    <row r="16" spans="1:11" x14ac:dyDescent="0.2">
      <c r="A16" t="s">
        <v>96</v>
      </c>
      <c r="B16">
        <v>26.9</v>
      </c>
      <c r="C16">
        <v>0</v>
      </c>
      <c r="D16">
        <v>1</v>
      </c>
      <c r="E16">
        <v>0</v>
      </c>
      <c r="F16" s="80">
        <v>41922</v>
      </c>
      <c r="G16" s="32">
        <v>1</v>
      </c>
      <c r="H16" t="s">
        <v>51</v>
      </c>
      <c r="I16" s="72">
        <v>41892</v>
      </c>
      <c r="J16" t="s">
        <v>96</v>
      </c>
      <c r="K16" s="80"/>
    </row>
    <row r="17" spans="1:11" x14ac:dyDescent="0.2">
      <c r="A17" t="s">
        <v>99</v>
      </c>
      <c r="B17">
        <v>12.52</v>
      </c>
      <c r="C17">
        <v>0</v>
      </c>
      <c r="D17">
        <v>1</v>
      </c>
      <c r="E17">
        <v>0</v>
      </c>
      <c r="F17" s="80">
        <v>41922</v>
      </c>
      <c r="G17" s="32">
        <v>1</v>
      </c>
      <c r="H17" t="s">
        <v>51</v>
      </c>
      <c r="I17" s="72">
        <v>41892</v>
      </c>
      <c r="J17" t="s">
        <v>107</v>
      </c>
      <c r="K17" s="80"/>
    </row>
    <row r="18" spans="1:11" x14ac:dyDescent="0.2">
      <c r="A18" t="s">
        <v>100</v>
      </c>
      <c r="B18">
        <v>12.66</v>
      </c>
      <c r="C18">
        <v>0</v>
      </c>
      <c r="D18">
        <v>1</v>
      </c>
      <c r="E18">
        <v>0</v>
      </c>
      <c r="F18" s="80">
        <v>41922</v>
      </c>
      <c r="G18" s="32">
        <v>1</v>
      </c>
      <c r="H18" t="s">
        <v>51</v>
      </c>
      <c r="I18" s="72">
        <v>41893</v>
      </c>
      <c r="J18" t="s">
        <v>50</v>
      </c>
      <c r="K18" s="80"/>
    </row>
    <row r="19" spans="1:11" x14ac:dyDescent="0.2">
      <c r="A19" t="s">
        <v>74</v>
      </c>
      <c r="B19">
        <v>21.5</v>
      </c>
      <c r="C19">
        <v>0</v>
      </c>
      <c r="D19">
        <v>1</v>
      </c>
      <c r="E19">
        <v>0</v>
      </c>
      <c r="F19" s="80">
        <v>41922</v>
      </c>
      <c r="G19" s="32">
        <v>1</v>
      </c>
      <c r="H19" t="s">
        <v>51</v>
      </c>
      <c r="I19" s="72">
        <v>41893</v>
      </c>
      <c r="J19" s="1" t="s">
        <v>189</v>
      </c>
      <c r="K19" s="80"/>
    </row>
    <row r="20" spans="1:11" x14ac:dyDescent="0.2">
      <c r="A20" t="s">
        <v>102</v>
      </c>
      <c r="B20">
        <v>9.74</v>
      </c>
      <c r="C20">
        <v>0</v>
      </c>
      <c r="D20">
        <v>1</v>
      </c>
      <c r="E20">
        <v>0</v>
      </c>
      <c r="F20" s="80">
        <v>41922</v>
      </c>
      <c r="G20" s="32">
        <v>1</v>
      </c>
      <c r="H20" t="s">
        <v>51</v>
      </c>
      <c r="I20" s="72">
        <v>41893</v>
      </c>
      <c r="J20" t="s">
        <v>107</v>
      </c>
      <c r="K20" s="80"/>
    </row>
    <row r="21" spans="1:11" x14ac:dyDescent="0.2">
      <c r="A21" t="s">
        <v>103</v>
      </c>
      <c r="B21">
        <v>8.98</v>
      </c>
      <c r="C21">
        <v>0</v>
      </c>
      <c r="D21">
        <v>1</v>
      </c>
      <c r="E21">
        <v>0</v>
      </c>
      <c r="F21" s="80">
        <v>41922</v>
      </c>
      <c r="G21" s="32">
        <v>1</v>
      </c>
      <c r="H21" t="s">
        <v>51</v>
      </c>
      <c r="I21" s="72">
        <v>41893</v>
      </c>
      <c r="J21" t="s">
        <v>107</v>
      </c>
      <c r="K21" s="80"/>
    </row>
    <row r="22" spans="1:11" x14ac:dyDescent="0.2">
      <c r="A22" t="s">
        <v>101</v>
      </c>
      <c r="B22">
        <v>6.69</v>
      </c>
      <c r="C22">
        <v>0</v>
      </c>
      <c r="D22">
        <v>1</v>
      </c>
      <c r="E22">
        <v>0</v>
      </c>
      <c r="F22" s="80">
        <v>41922</v>
      </c>
      <c r="G22" s="32">
        <v>1</v>
      </c>
      <c r="H22" t="s">
        <v>51</v>
      </c>
      <c r="I22" s="72">
        <v>41894</v>
      </c>
      <c r="J22" s="1" t="s">
        <v>189</v>
      </c>
      <c r="K22" s="80"/>
    </row>
    <row r="23" spans="1:11" x14ac:dyDescent="0.2">
      <c r="A23" t="s">
        <v>96</v>
      </c>
      <c r="B23">
        <v>24.7</v>
      </c>
      <c r="C23">
        <v>0</v>
      </c>
      <c r="D23">
        <v>1</v>
      </c>
      <c r="E23">
        <v>0</v>
      </c>
      <c r="F23" s="80">
        <v>41922</v>
      </c>
      <c r="G23" s="32">
        <v>1</v>
      </c>
      <c r="H23" t="s">
        <v>51</v>
      </c>
      <c r="I23" s="72">
        <v>41894</v>
      </c>
      <c r="J23" t="s">
        <v>96</v>
      </c>
      <c r="K23" s="80"/>
    </row>
    <row r="24" spans="1:11" x14ac:dyDescent="0.2">
      <c r="A24" t="s">
        <v>43</v>
      </c>
      <c r="B24">
        <v>60</v>
      </c>
      <c r="C24">
        <v>1</v>
      </c>
      <c r="D24">
        <v>0</v>
      </c>
      <c r="E24">
        <v>0</v>
      </c>
      <c r="F24" s="80">
        <v>41922</v>
      </c>
      <c r="G24" s="32">
        <v>1</v>
      </c>
      <c r="H24" t="s">
        <v>49</v>
      </c>
      <c r="I24" s="72">
        <v>41895</v>
      </c>
      <c r="J24" t="s">
        <v>153</v>
      </c>
      <c r="K24" s="80"/>
    </row>
    <row r="25" spans="1:11" x14ac:dyDescent="0.2">
      <c r="A25" s="1" t="s">
        <v>506</v>
      </c>
      <c r="B25">
        <v>117.92</v>
      </c>
      <c r="C25">
        <v>0</v>
      </c>
      <c r="D25">
        <v>1</v>
      </c>
      <c r="E25">
        <v>0</v>
      </c>
      <c r="F25" s="80">
        <v>41922</v>
      </c>
      <c r="G25" s="32">
        <v>1</v>
      </c>
      <c r="H25" t="s">
        <v>49</v>
      </c>
      <c r="I25" s="72">
        <v>41895</v>
      </c>
      <c r="J25" t="s">
        <v>96</v>
      </c>
      <c r="K25" s="80"/>
    </row>
    <row r="26" spans="1:11" x14ac:dyDescent="0.2">
      <c r="A26" t="s">
        <v>106</v>
      </c>
      <c r="B26">
        <v>41.5</v>
      </c>
      <c r="C26">
        <v>0</v>
      </c>
      <c r="D26">
        <v>1</v>
      </c>
      <c r="E26">
        <v>0</v>
      </c>
      <c r="F26" s="80">
        <v>41922</v>
      </c>
      <c r="G26" s="32">
        <v>1</v>
      </c>
      <c r="H26" t="s">
        <v>49</v>
      </c>
      <c r="I26" s="72">
        <v>41895</v>
      </c>
      <c r="J26" t="s">
        <v>50</v>
      </c>
      <c r="K26" s="80"/>
    </row>
    <row r="27" spans="1:11" x14ac:dyDescent="0.2">
      <c r="A27" t="s">
        <v>52</v>
      </c>
      <c r="B27">
        <v>300</v>
      </c>
      <c r="C27">
        <v>0</v>
      </c>
      <c r="D27">
        <v>1</v>
      </c>
      <c r="E27">
        <v>0</v>
      </c>
      <c r="F27" s="80">
        <v>41922</v>
      </c>
      <c r="G27" s="32">
        <v>1</v>
      </c>
      <c r="H27" t="s">
        <v>49</v>
      </c>
      <c r="I27" s="72">
        <v>41895</v>
      </c>
      <c r="J27" s="1" t="s">
        <v>52</v>
      </c>
      <c r="K27" s="80"/>
    </row>
    <row r="28" spans="1:11" x14ac:dyDescent="0.2">
      <c r="A28" t="s">
        <v>107</v>
      </c>
      <c r="B28">
        <v>13.45</v>
      </c>
      <c r="C28">
        <v>0</v>
      </c>
      <c r="D28">
        <v>1</v>
      </c>
      <c r="E28">
        <v>0</v>
      </c>
      <c r="F28" s="80">
        <v>41922</v>
      </c>
      <c r="G28" s="32">
        <v>1</v>
      </c>
      <c r="H28" t="s">
        <v>49</v>
      </c>
      <c r="I28" s="72">
        <v>41895</v>
      </c>
      <c r="J28" t="s">
        <v>107</v>
      </c>
      <c r="K28" s="80"/>
    </row>
    <row r="29" spans="1:11" x14ac:dyDescent="0.2">
      <c r="A29" t="s">
        <v>112</v>
      </c>
      <c r="B29">
        <v>6</v>
      </c>
      <c r="C29">
        <v>0</v>
      </c>
      <c r="D29">
        <v>1</v>
      </c>
      <c r="E29">
        <v>0</v>
      </c>
      <c r="F29" s="80">
        <v>41922</v>
      </c>
      <c r="G29" s="32">
        <v>1</v>
      </c>
      <c r="H29" t="s">
        <v>54</v>
      </c>
      <c r="I29" s="72">
        <v>41901</v>
      </c>
      <c r="J29" t="s">
        <v>50</v>
      </c>
      <c r="K29" s="80"/>
    </row>
    <row r="30" spans="1:11" x14ac:dyDescent="0.2">
      <c r="A30" t="s">
        <v>43</v>
      </c>
      <c r="B30">
        <v>60</v>
      </c>
      <c r="C30">
        <v>1</v>
      </c>
      <c r="D30">
        <v>0</v>
      </c>
      <c r="E30">
        <v>0</v>
      </c>
      <c r="F30" s="80">
        <v>41922</v>
      </c>
      <c r="G30" s="32">
        <v>1</v>
      </c>
      <c r="H30" t="s">
        <v>49</v>
      </c>
      <c r="I30" s="72">
        <v>41902</v>
      </c>
      <c r="J30" t="s">
        <v>153</v>
      </c>
      <c r="K30" s="80"/>
    </row>
    <row r="31" spans="1:11" x14ac:dyDescent="0.2">
      <c r="A31" t="s">
        <v>56</v>
      </c>
      <c r="B31">
        <v>4.1100000000000003</v>
      </c>
      <c r="C31">
        <v>0</v>
      </c>
      <c r="D31">
        <v>1</v>
      </c>
      <c r="E31">
        <v>0</v>
      </c>
      <c r="F31" s="80">
        <v>41922</v>
      </c>
      <c r="G31" s="32">
        <v>1</v>
      </c>
      <c r="H31" t="s">
        <v>49</v>
      </c>
      <c r="I31" s="72">
        <v>41902</v>
      </c>
      <c r="J31" s="1" t="s">
        <v>189</v>
      </c>
      <c r="K31" s="80"/>
    </row>
    <row r="32" spans="1:11" x14ac:dyDescent="0.2">
      <c r="A32" t="s">
        <v>114</v>
      </c>
      <c r="B32">
        <v>10.26</v>
      </c>
      <c r="C32">
        <v>0</v>
      </c>
      <c r="D32">
        <v>1</v>
      </c>
      <c r="E32">
        <v>0</v>
      </c>
      <c r="F32" s="80">
        <v>41922</v>
      </c>
      <c r="G32" s="32">
        <v>1</v>
      </c>
      <c r="H32" t="s">
        <v>49</v>
      </c>
      <c r="I32" s="72">
        <v>41902</v>
      </c>
      <c r="J32" s="1" t="s">
        <v>52</v>
      </c>
      <c r="K32" s="80"/>
    </row>
    <row r="33" spans="1:11" x14ac:dyDescent="0.2">
      <c r="A33" t="s">
        <v>115</v>
      </c>
      <c r="B33">
        <v>2.2000000000000002</v>
      </c>
      <c r="C33">
        <v>0</v>
      </c>
      <c r="D33">
        <v>1</v>
      </c>
      <c r="E33">
        <v>0</v>
      </c>
      <c r="F33" s="80">
        <v>41922</v>
      </c>
      <c r="G33" s="32">
        <v>1</v>
      </c>
      <c r="H33" t="s">
        <v>49</v>
      </c>
      <c r="I33" s="72">
        <v>41902</v>
      </c>
      <c r="J33" t="s">
        <v>50</v>
      </c>
      <c r="K33" s="80"/>
    </row>
    <row r="34" spans="1:11" x14ac:dyDescent="0.2">
      <c r="A34" s="1" t="s">
        <v>52</v>
      </c>
      <c r="B34">
        <v>165</v>
      </c>
      <c r="C34">
        <v>0</v>
      </c>
      <c r="D34">
        <v>1</v>
      </c>
      <c r="E34">
        <v>0</v>
      </c>
      <c r="F34" s="80">
        <v>41922</v>
      </c>
      <c r="G34" s="32">
        <v>1</v>
      </c>
      <c r="H34" t="s">
        <v>49</v>
      </c>
      <c r="I34" s="72">
        <v>41903</v>
      </c>
      <c r="J34" s="1" t="s">
        <v>52</v>
      </c>
      <c r="K34" s="80"/>
    </row>
    <row r="35" spans="1:11" x14ac:dyDescent="0.2">
      <c r="A35" s="1" t="s">
        <v>45</v>
      </c>
      <c r="B35">
        <v>12.5</v>
      </c>
      <c r="C35">
        <v>0</v>
      </c>
      <c r="D35">
        <v>1</v>
      </c>
      <c r="E35">
        <v>0</v>
      </c>
      <c r="F35" s="80">
        <v>41922</v>
      </c>
      <c r="G35" s="32">
        <v>1</v>
      </c>
      <c r="H35" t="s">
        <v>49</v>
      </c>
      <c r="I35" s="72">
        <v>41903</v>
      </c>
      <c r="J35" t="s">
        <v>50</v>
      </c>
      <c r="K35" s="80"/>
    </row>
    <row r="36" spans="1:11" x14ac:dyDescent="0.2">
      <c r="A36" s="1" t="s">
        <v>163</v>
      </c>
      <c r="B36">
        <v>32.64</v>
      </c>
      <c r="C36">
        <v>0</v>
      </c>
      <c r="D36">
        <v>1</v>
      </c>
      <c r="E36">
        <v>0</v>
      </c>
      <c r="F36" s="80">
        <v>41922</v>
      </c>
      <c r="G36" s="32">
        <v>1</v>
      </c>
      <c r="H36" t="s">
        <v>49</v>
      </c>
      <c r="I36" s="72">
        <v>41903</v>
      </c>
      <c r="J36" s="1" t="s">
        <v>52</v>
      </c>
      <c r="K36" s="80"/>
    </row>
    <row r="37" spans="1:11" x14ac:dyDescent="0.2">
      <c r="A37" s="1" t="s">
        <v>167</v>
      </c>
      <c r="B37">
        <v>27</v>
      </c>
      <c r="C37">
        <v>0</v>
      </c>
      <c r="D37">
        <v>1</v>
      </c>
      <c r="E37">
        <v>0</v>
      </c>
      <c r="F37" s="80">
        <v>41922</v>
      </c>
      <c r="G37" s="32">
        <v>1</v>
      </c>
      <c r="H37" t="s">
        <v>55</v>
      </c>
      <c r="I37" s="72">
        <v>41904</v>
      </c>
      <c r="J37" t="s">
        <v>107</v>
      </c>
      <c r="K37" s="80"/>
    </row>
    <row r="38" spans="1:11" x14ac:dyDescent="0.2">
      <c r="A38" s="1" t="s">
        <v>107</v>
      </c>
      <c r="B38">
        <v>27</v>
      </c>
      <c r="C38">
        <v>0</v>
      </c>
      <c r="D38">
        <v>1</v>
      </c>
      <c r="E38">
        <v>0</v>
      </c>
      <c r="F38" s="80">
        <v>41922</v>
      </c>
      <c r="G38" s="32">
        <v>1</v>
      </c>
      <c r="H38" t="s">
        <v>55</v>
      </c>
      <c r="I38" s="72">
        <v>41905</v>
      </c>
      <c r="J38" t="s">
        <v>107</v>
      </c>
      <c r="K38" s="80"/>
    </row>
    <row r="39" spans="1:11" x14ac:dyDescent="0.2">
      <c r="A39" s="1" t="s">
        <v>164</v>
      </c>
      <c r="B39">
        <v>10.5</v>
      </c>
      <c r="C39">
        <v>0</v>
      </c>
      <c r="D39">
        <v>1</v>
      </c>
      <c r="E39">
        <v>0</v>
      </c>
      <c r="F39" s="80">
        <v>41922</v>
      </c>
      <c r="G39" s="32">
        <v>1</v>
      </c>
      <c r="H39" t="s">
        <v>55</v>
      </c>
      <c r="I39" s="72">
        <v>41905</v>
      </c>
      <c r="J39" t="s">
        <v>50</v>
      </c>
      <c r="K39" s="80"/>
    </row>
    <row r="40" spans="1:11" x14ac:dyDescent="0.2">
      <c r="A40" s="1" t="s">
        <v>73</v>
      </c>
      <c r="B40">
        <v>11.5</v>
      </c>
      <c r="C40">
        <v>0</v>
      </c>
      <c r="D40">
        <v>1</v>
      </c>
      <c r="E40">
        <v>0</v>
      </c>
      <c r="F40" s="80">
        <v>41922</v>
      </c>
      <c r="G40" s="32">
        <v>1</v>
      </c>
      <c r="H40" t="s">
        <v>55</v>
      </c>
      <c r="I40" s="72">
        <v>41905</v>
      </c>
      <c r="J40" t="s">
        <v>50</v>
      </c>
      <c r="K40" s="80"/>
    </row>
    <row r="41" spans="1:11" x14ac:dyDescent="0.2">
      <c r="A41" s="1" t="s">
        <v>168</v>
      </c>
      <c r="B41">
        <v>70</v>
      </c>
      <c r="C41">
        <v>0</v>
      </c>
      <c r="D41">
        <v>1</v>
      </c>
      <c r="E41">
        <v>0</v>
      </c>
      <c r="F41" s="80">
        <v>41922</v>
      </c>
      <c r="G41" s="32">
        <v>1</v>
      </c>
      <c r="H41" t="s">
        <v>55</v>
      </c>
      <c r="I41" s="72">
        <v>41905</v>
      </c>
      <c r="J41" t="s">
        <v>46</v>
      </c>
      <c r="K41" s="80"/>
    </row>
    <row r="42" spans="1:11" x14ac:dyDescent="0.2">
      <c r="A42" s="1" t="s">
        <v>169</v>
      </c>
      <c r="B42">
        <v>69.900000000000006</v>
      </c>
      <c r="C42">
        <v>1</v>
      </c>
      <c r="D42">
        <v>0</v>
      </c>
      <c r="E42">
        <v>0</v>
      </c>
      <c r="F42" s="80">
        <v>41922</v>
      </c>
      <c r="G42" s="32">
        <v>1</v>
      </c>
      <c r="H42" t="s">
        <v>55</v>
      </c>
      <c r="I42" s="72">
        <v>41905</v>
      </c>
      <c r="J42" t="s">
        <v>46</v>
      </c>
      <c r="K42" s="80"/>
    </row>
    <row r="43" spans="1:11" x14ac:dyDescent="0.2">
      <c r="A43" s="1" t="s">
        <v>165</v>
      </c>
      <c r="B43">
        <v>11</v>
      </c>
      <c r="C43">
        <v>0</v>
      </c>
      <c r="D43">
        <v>1</v>
      </c>
      <c r="E43">
        <v>0</v>
      </c>
      <c r="F43" s="80">
        <v>41922</v>
      </c>
      <c r="G43" s="32">
        <v>1</v>
      </c>
      <c r="H43" t="s">
        <v>55</v>
      </c>
      <c r="I43" s="72">
        <v>41906</v>
      </c>
      <c r="J43" t="s">
        <v>50</v>
      </c>
      <c r="K43" s="80"/>
    </row>
    <row r="44" spans="1:11" x14ac:dyDescent="0.2">
      <c r="A44" s="1" t="s">
        <v>43</v>
      </c>
      <c r="B44">
        <v>60</v>
      </c>
      <c r="C44">
        <v>1</v>
      </c>
      <c r="D44">
        <v>0</v>
      </c>
      <c r="E44">
        <v>0</v>
      </c>
      <c r="F44" s="80">
        <v>41922</v>
      </c>
      <c r="G44" s="32">
        <v>1</v>
      </c>
      <c r="H44" t="s">
        <v>55</v>
      </c>
      <c r="I44" s="72">
        <v>41908</v>
      </c>
      <c r="J44" t="s">
        <v>153</v>
      </c>
      <c r="K44" s="80"/>
    </row>
    <row r="45" spans="1:11" x14ac:dyDescent="0.2">
      <c r="A45" s="1" t="s">
        <v>170</v>
      </c>
      <c r="B45">
        <f>468/3</f>
        <v>156</v>
      </c>
      <c r="C45">
        <v>0</v>
      </c>
      <c r="D45">
        <v>1</v>
      </c>
      <c r="E45">
        <v>0</v>
      </c>
      <c r="F45" s="80">
        <v>41922</v>
      </c>
      <c r="G45" s="32">
        <v>1</v>
      </c>
      <c r="H45" s="1" t="s">
        <v>155</v>
      </c>
      <c r="I45" s="72">
        <v>41908</v>
      </c>
      <c r="J45" t="s">
        <v>763</v>
      </c>
      <c r="K45" s="80"/>
    </row>
    <row r="46" spans="1:11" x14ac:dyDescent="0.2">
      <c r="A46" s="1" t="s">
        <v>173</v>
      </c>
      <c r="B46">
        <v>9</v>
      </c>
      <c r="C46">
        <v>0</v>
      </c>
      <c r="D46">
        <v>1</v>
      </c>
      <c r="E46">
        <v>0</v>
      </c>
      <c r="F46" s="80">
        <v>41922</v>
      </c>
      <c r="G46" s="32">
        <v>1</v>
      </c>
      <c r="H46" t="s">
        <v>55</v>
      </c>
      <c r="I46" s="72">
        <v>41908</v>
      </c>
      <c r="J46" t="s">
        <v>50</v>
      </c>
      <c r="K46" s="80"/>
    </row>
    <row r="47" spans="1:11" x14ac:dyDescent="0.2">
      <c r="A47" s="1" t="s">
        <v>175</v>
      </c>
      <c r="B47">
        <v>29.9</v>
      </c>
      <c r="C47">
        <v>0</v>
      </c>
      <c r="D47">
        <v>1</v>
      </c>
      <c r="E47">
        <v>0</v>
      </c>
      <c r="F47" s="80">
        <v>41922</v>
      </c>
      <c r="G47" s="32">
        <v>1</v>
      </c>
      <c r="H47" t="s">
        <v>55</v>
      </c>
      <c r="I47" s="72">
        <v>41908</v>
      </c>
      <c r="J47" t="s">
        <v>46</v>
      </c>
      <c r="K47" s="80"/>
    </row>
    <row r="48" spans="1:11" x14ac:dyDescent="0.2">
      <c r="A48" s="1" t="s">
        <v>174</v>
      </c>
      <c r="B48">
        <v>16.2</v>
      </c>
      <c r="C48">
        <v>0</v>
      </c>
      <c r="D48">
        <v>1</v>
      </c>
      <c r="E48">
        <v>0</v>
      </c>
      <c r="F48" s="80">
        <v>41922</v>
      </c>
      <c r="G48" s="32">
        <v>1</v>
      </c>
      <c r="H48" t="s">
        <v>49</v>
      </c>
      <c r="I48" s="72">
        <v>41909</v>
      </c>
      <c r="J48" s="1" t="s">
        <v>52</v>
      </c>
      <c r="K48" s="80"/>
    </row>
    <row r="49" spans="1:11" x14ac:dyDescent="0.2">
      <c r="A49" s="1" t="s">
        <v>188</v>
      </c>
      <c r="B49">
        <v>14.9</v>
      </c>
      <c r="C49">
        <v>0</v>
      </c>
      <c r="D49">
        <v>1</v>
      </c>
      <c r="E49">
        <v>0</v>
      </c>
      <c r="F49" s="80">
        <v>41922</v>
      </c>
      <c r="G49" s="32">
        <v>1</v>
      </c>
      <c r="H49" t="s">
        <v>49</v>
      </c>
      <c r="I49" s="72">
        <v>41909</v>
      </c>
      <c r="J49" t="s">
        <v>206</v>
      </c>
      <c r="K49" s="80"/>
    </row>
    <row r="50" spans="1:11" x14ac:dyDescent="0.2">
      <c r="A50" s="1" t="s">
        <v>176</v>
      </c>
      <c r="B50">
        <v>5.5</v>
      </c>
      <c r="C50">
        <v>0</v>
      </c>
      <c r="D50">
        <v>1</v>
      </c>
      <c r="E50">
        <v>0</v>
      </c>
      <c r="F50" s="80">
        <v>41922</v>
      </c>
      <c r="G50" s="32">
        <v>1</v>
      </c>
      <c r="H50" t="s">
        <v>49</v>
      </c>
      <c r="I50" s="72">
        <v>41909</v>
      </c>
      <c r="J50" t="s">
        <v>50</v>
      </c>
      <c r="K50" s="80"/>
    </row>
    <row r="51" spans="1:11" x14ac:dyDescent="0.2">
      <c r="A51" s="1" t="s">
        <v>177</v>
      </c>
      <c r="B51">
        <v>24.49</v>
      </c>
      <c r="C51">
        <v>0</v>
      </c>
      <c r="D51">
        <v>1</v>
      </c>
      <c r="E51">
        <v>0</v>
      </c>
      <c r="F51" s="80">
        <v>41922</v>
      </c>
      <c r="G51" s="32">
        <v>1</v>
      </c>
      <c r="H51" t="s">
        <v>179</v>
      </c>
      <c r="I51" s="72">
        <v>41909</v>
      </c>
      <c r="J51" s="1" t="s">
        <v>189</v>
      </c>
      <c r="K51" s="80"/>
    </row>
    <row r="52" spans="1:11" x14ac:dyDescent="0.2">
      <c r="A52" s="1" t="s">
        <v>178</v>
      </c>
      <c r="B52">
        <v>23.2</v>
      </c>
      <c r="C52">
        <v>0</v>
      </c>
      <c r="D52">
        <v>1</v>
      </c>
      <c r="E52">
        <v>0</v>
      </c>
      <c r="F52" s="80">
        <v>41922</v>
      </c>
      <c r="G52" s="32">
        <v>1</v>
      </c>
      <c r="H52" t="s">
        <v>179</v>
      </c>
      <c r="I52" s="72">
        <v>41910</v>
      </c>
      <c r="J52" t="s">
        <v>50</v>
      </c>
      <c r="K52" s="80"/>
    </row>
    <row r="53" spans="1:11" x14ac:dyDescent="0.2">
      <c r="A53" t="s">
        <v>96</v>
      </c>
      <c r="B53">
        <v>23.5</v>
      </c>
      <c r="C53">
        <v>0</v>
      </c>
      <c r="D53">
        <v>1</v>
      </c>
      <c r="E53">
        <v>0</v>
      </c>
      <c r="F53" s="80">
        <v>41922</v>
      </c>
      <c r="G53" s="32">
        <v>1</v>
      </c>
      <c r="H53" t="s">
        <v>179</v>
      </c>
      <c r="I53" s="72">
        <v>41912</v>
      </c>
      <c r="J53" t="s">
        <v>96</v>
      </c>
      <c r="K53" s="80"/>
    </row>
    <row r="54" spans="1:11" x14ac:dyDescent="0.2">
      <c r="A54" t="s">
        <v>96</v>
      </c>
      <c r="B54">
        <v>32.44</v>
      </c>
      <c r="C54">
        <v>0</v>
      </c>
      <c r="D54">
        <v>1</v>
      </c>
      <c r="E54">
        <v>0</v>
      </c>
      <c r="F54" s="80">
        <v>41922</v>
      </c>
      <c r="G54" s="32">
        <v>1</v>
      </c>
      <c r="H54" t="s">
        <v>47</v>
      </c>
      <c r="I54" s="72">
        <v>41913</v>
      </c>
      <c r="J54" t="s">
        <v>96</v>
      </c>
      <c r="K54" s="80"/>
    </row>
    <row r="55" spans="1:11" x14ac:dyDescent="0.2">
      <c r="A55" s="1" t="s">
        <v>43</v>
      </c>
      <c r="B55">
        <v>10</v>
      </c>
      <c r="C55">
        <v>1</v>
      </c>
      <c r="D55">
        <v>0</v>
      </c>
      <c r="E55">
        <v>0</v>
      </c>
      <c r="F55" s="80">
        <v>41922</v>
      </c>
      <c r="G55" s="32">
        <v>1</v>
      </c>
      <c r="H55" t="s">
        <v>47</v>
      </c>
      <c r="I55" s="72">
        <v>41913</v>
      </c>
      <c r="J55" t="s">
        <v>153</v>
      </c>
      <c r="K55" s="80"/>
    </row>
    <row r="56" spans="1:11" x14ac:dyDescent="0.2">
      <c r="A56" s="1" t="s">
        <v>180</v>
      </c>
      <c r="B56">
        <v>23.32</v>
      </c>
      <c r="C56">
        <v>0</v>
      </c>
      <c r="D56">
        <v>1</v>
      </c>
      <c r="E56">
        <v>0</v>
      </c>
      <c r="F56" s="80">
        <v>41922</v>
      </c>
      <c r="G56" s="32">
        <v>1</v>
      </c>
      <c r="H56" t="s">
        <v>47</v>
      </c>
      <c r="I56" s="72">
        <v>41913</v>
      </c>
      <c r="J56" t="s">
        <v>107</v>
      </c>
      <c r="K56" s="80"/>
    </row>
    <row r="57" spans="1:11" x14ac:dyDescent="0.2">
      <c r="A57" t="s">
        <v>96</v>
      </c>
      <c r="B57">
        <v>17.63</v>
      </c>
      <c r="C57">
        <v>0</v>
      </c>
      <c r="D57">
        <v>1</v>
      </c>
      <c r="E57">
        <v>0</v>
      </c>
      <c r="F57" s="80">
        <v>41922</v>
      </c>
      <c r="G57" s="32">
        <v>1</v>
      </c>
      <c r="H57" t="s">
        <v>47</v>
      </c>
      <c r="I57" s="72">
        <v>41914</v>
      </c>
      <c r="J57" t="s">
        <v>96</v>
      </c>
      <c r="K57" s="80"/>
    </row>
    <row r="58" spans="1:11" x14ac:dyDescent="0.2">
      <c r="A58" s="1" t="s">
        <v>43</v>
      </c>
      <c r="B58">
        <v>60</v>
      </c>
      <c r="C58">
        <v>1</v>
      </c>
      <c r="D58">
        <v>0</v>
      </c>
      <c r="E58">
        <v>0</v>
      </c>
      <c r="F58" s="80">
        <v>41922</v>
      </c>
      <c r="G58" s="32">
        <v>1</v>
      </c>
      <c r="H58" t="s">
        <v>49</v>
      </c>
      <c r="I58" s="72">
        <v>41916</v>
      </c>
      <c r="J58" t="s">
        <v>153</v>
      </c>
      <c r="K58" s="80"/>
    </row>
    <row r="59" spans="1:11" x14ac:dyDescent="0.2">
      <c r="A59" s="1" t="s">
        <v>506</v>
      </c>
      <c r="B59">
        <v>32</v>
      </c>
      <c r="C59">
        <v>0</v>
      </c>
      <c r="D59">
        <v>1</v>
      </c>
      <c r="E59">
        <v>0</v>
      </c>
      <c r="F59" s="80">
        <v>41922</v>
      </c>
      <c r="G59" s="32">
        <v>1</v>
      </c>
      <c r="H59" t="s">
        <v>49</v>
      </c>
      <c r="I59" s="72">
        <v>41916</v>
      </c>
      <c r="J59" t="s">
        <v>96</v>
      </c>
      <c r="K59" s="80"/>
    </row>
    <row r="60" spans="1:11" x14ac:dyDescent="0.2">
      <c r="A60" s="1" t="s">
        <v>182</v>
      </c>
      <c r="B60">
        <v>2.5</v>
      </c>
      <c r="C60">
        <v>0</v>
      </c>
      <c r="D60">
        <v>1</v>
      </c>
      <c r="E60">
        <v>0</v>
      </c>
      <c r="F60" s="80">
        <v>41922</v>
      </c>
      <c r="G60" s="32">
        <v>1</v>
      </c>
      <c r="H60" t="s">
        <v>49</v>
      </c>
      <c r="I60" s="72">
        <v>41916</v>
      </c>
      <c r="J60" t="s">
        <v>50</v>
      </c>
      <c r="K60" s="80"/>
    </row>
    <row r="61" spans="1:11" x14ac:dyDescent="0.2">
      <c r="A61" s="1" t="s">
        <v>183</v>
      </c>
      <c r="B61">
        <v>26.4</v>
      </c>
      <c r="C61">
        <v>0</v>
      </c>
      <c r="D61">
        <v>1</v>
      </c>
      <c r="E61">
        <v>0</v>
      </c>
      <c r="F61" s="80">
        <v>41922</v>
      </c>
      <c r="G61" s="32">
        <v>1</v>
      </c>
      <c r="H61" t="s">
        <v>49</v>
      </c>
      <c r="I61" s="72">
        <v>41916</v>
      </c>
      <c r="J61" t="s">
        <v>50</v>
      </c>
      <c r="K61" s="80"/>
    </row>
    <row r="62" spans="1:11" x14ac:dyDescent="0.2">
      <c r="A62" s="1" t="s">
        <v>184</v>
      </c>
      <c r="B62">
        <v>71</v>
      </c>
      <c r="C62">
        <v>0</v>
      </c>
      <c r="D62">
        <v>1</v>
      </c>
      <c r="E62">
        <v>0</v>
      </c>
      <c r="F62" s="80">
        <v>41922</v>
      </c>
      <c r="G62" s="32">
        <v>1</v>
      </c>
      <c r="H62" t="s">
        <v>49</v>
      </c>
      <c r="I62" s="72">
        <v>41916</v>
      </c>
      <c r="J62" t="s">
        <v>344</v>
      </c>
      <c r="K62" s="80"/>
    </row>
    <row r="63" spans="1:11" x14ac:dyDescent="0.2">
      <c r="A63" s="1" t="s">
        <v>185</v>
      </c>
      <c r="B63">
        <v>3.15</v>
      </c>
      <c r="C63">
        <v>0</v>
      </c>
      <c r="D63">
        <v>1</v>
      </c>
      <c r="E63">
        <v>0</v>
      </c>
      <c r="F63" s="80">
        <v>41922</v>
      </c>
      <c r="G63" s="32">
        <v>1</v>
      </c>
      <c r="H63" t="s">
        <v>49</v>
      </c>
      <c r="I63" s="72">
        <v>41917</v>
      </c>
      <c r="J63" s="1" t="s">
        <v>189</v>
      </c>
      <c r="K63" s="80"/>
    </row>
    <row r="64" spans="1:11" x14ac:dyDescent="0.2">
      <c r="A64" s="1" t="s">
        <v>166</v>
      </c>
      <c r="B64">
        <v>190</v>
      </c>
      <c r="C64">
        <v>0</v>
      </c>
      <c r="D64">
        <v>1</v>
      </c>
      <c r="E64">
        <v>0</v>
      </c>
      <c r="F64" s="80">
        <v>41922</v>
      </c>
      <c r="G64" s="87">
        <v>1</v>
      </c>
      <c r="H64" s="1" t="s">
        <v>54</v>
      </c>
      <c r="I64" s="72">
        <v>41929</v>
      </c>
      <c r="J64" t="s">
        <v>153</v>
      </c>
    </row>
    <row r="65" spans="1:10" x14ac:dyDescent="0.2">
      <c r="A65" t="s">
        <v>128</v>
      </c>
      <c r="B65">
        <v>66.5</v>
      </c>
      <c r="C65">
        <v>0</v>
      </c>
      <c r="D65">
        <v>1</v>
      </c>
      <c r="E65">
        <v>0</v>
      </c>
      <c r="F65" s="80">
        <v>41922</v>
      </c>
      <c r="G65" s="87">
        <v>1</v>
      </c>
      <c r="H65" s="1" t="s">
        <v>54</v>
      </c>
      <c r="I65" s="72">
        <v>41929</v>
      </c>
      <c r="J65" t="s">
        <v>344</v>
      </c>
    </row>
    <row r="66" spans="1:10" x14ac:dyDescent="0.2">
      <c r="A66" t="s">
        <v>129</v>
      </c>
      <c r="B66">
        <v>134.99</v>
      </c>
      <c r="C66">
        <v>0</v>
      </c>
      <c r="D66">
        <v>1</v>
      </c>
      <c r="E66">
        <v>0</v>
      </c>
      <c r="F66" s="80">
        <v>41922</v>
      </c>
      <c r="G66" s="87">
        <v>1</v>
      </c>
      <c r="H66" s="1" t="s">
        <v>54</v>
      </c>
      <c r="I66" s="72">
        <v>41929</v>
      </c>
      <c r="J66" t="s">
        <v>344</v>
      </c>
    </row>
    <row r="67" spans="1:10" x14ac:dyDescent="0.2">
      <c r="A67" t="s">
        <v>130</v>
      </c>
      <c r="B67">
        <v>195</v>
      </c>
      <c r="C67">
        <v>0</v>
      </c>
      <c r="D67">
        <v>1</v>
      </c>
      <c r="E67">
        <v>0</v>
      </c>
      <c r="F67" s="80">
        <v>41922</v>
      </c>
      <c r="G67" s="87">
        <v>1</v>
      </c>
      <c r="H67" s="1" t="s">
        <v>54</v>
      </c>
      <c r="I67" s="72">
        <v>41929</v>
      </c>
      <c r="J67" t="s">
        <v>153</v>
      </c>
    </row>
    <row r="68" spans="1:10" x14ac:dyDescent="0.2">
      <c r="A68" t="s">
        <v>131</v>
      </c>
      <c r="B68">
        <v>143.4</v>
      </c>
      <c r="C68">
        <v>0</v>
      </c>
      <c r="D68">
        <v>1</v>
      </c>
      <c r="E68">
        <v>0</v>
      </c>
      <c r="F68" s="80">
        <v>41922</v>
      </c>
      <c r="G68" s="87">
        <v>1</v>
      </c>
      <c r="H68" s="1" t="s">
        <v>54</v>
      </c>
      <c r="I68" s="72">
        <v>41929</v>
      </c>
      <c r="J68" s="1" t="s">
        <v>52</v>
      </c>
    </row>
    <row r="69" spans="1:10" x14ac:dyDescent="0.2">
      <c r="A69" s="1" t="s">
        <v>193</v>
      </c>
      <c r="B69" s="32">
        <v>654.73</v>
      </c>
      <c r="C69">
        <v>1</v>
      </c>
      <c r="D69">
        <v>0</v>
      </c>
      <c r="E69">
        <v>0</v>
      </c>
      <c r="F69" s="72">
        <v>41922</v>
      </c>
      <c r="G69" s="87">
        <v>0</v>
      </c>
      <c r="H69" s="1" t="s">
        <v>54</v>
      </c>
      <c r="I69" s="72">
        <v>41929</v>
      </c>
      <c r="J69" t="s">
        <v>336</v>
      </c>
    </row>
    <row r="70" spans="1:10" x14ac:dyDescent="0.2">
      <c r="A70" s="1" t="s">
        <v>187</v>
      </c>
      <c r="B70">
        <v>9</v>
      </c>
      <c r="C70">
        <v>0</v>
      </c>
      <c r="D70">
        <v>1</v>
      </c>
      <c r="E70">
        <v>0</v>
      </c>
      <c r="F70" s="72">
        <v>41953</v>
      </c>
      <c r="G70" s="32">
        <v>0</v>
      </c>
      <c r="H70" t="s">
        <v>51</v>
      </c>
      <c r="I70" s="72">
        <v>41918</v>
      </c>
      <c r="J70" t="s">
        <v>50</v>
      </c>
    </row>
    <row r="71" spans="1:10" x14ac:dyDescent="0.2">
      <c r="A71" t="s">
        <v>96</v>
      </c>
      <c r="B71">
        <v>27</v>
      </c>
      <c r="C71">
        <v>0</v>
      </c>
      <c r="D71">
        <v>1</v>
      </c>
      <c r="E71">
        <v>0</v>
      </c>
      <c r="F71" s="72">
        <v>41953</v>
      </c>
      <c r="G71" s="32">
        <v>0</v>
      </c>
      <c r="H71" t="s">
        <v>51</v>
      </c>
      <c r="I71" s="72">
        <v>41918</v>
      </c>
      <c r="J71" t="s">
        <v>96</v>
      </c>
    </row>
    <row r="72" spans="1:10" x14ac:dyDescent="0.2">
      <c r="A72" s="1" t="s">
        <v>188</v>
      </c>
      <c r="B72">
        <v>10</v>
      </c>
      <c r="C72">
        <v>0</v>
      </c>
      <c r="D72">
        <v>1</v>
      </c>
      <c r="E72">
        <v>0</v>
      </c>
      <c r="F72" s="72">
        <v>41953</v>
      </c>
      <c r="G72" s="32">
        <v>0</v>
      </c>
      <c r="H72" t="s">
        <v>51</v>
      </c>
      <c r="I72" s="72">
        <v>41918</v>
      </c>
      <c r="J72" t="s">
        <v>206</v>
      </c>
    </row>
    <row r="73" spans="1:10" x14ac:dyDescent="0.2">
      <c r="A73" t="s">
        <v>96</v>
      </c>
      <c r="B73">
        <v>24.7</v>
      </c>
      <c r="C73">
        <v>0</v>
      </c>
      <c r="D73">
        <v>1</v>
      </c>
      <c r="E73">
        <v>0</v>
      </c>
      <c r="F73" s="72">
        <v>41953</v>
      </c>
      <c r="G73" s="32">
        <v>0</v>
      </c>
      <c r="H73" t="s">
        <v>51</v>
      </c>
      <c r="I73" s="72">
        <v>41920</v>
      </c>
      <c r="J73" t="s">
        <v>96</v>
      </c>
    </row>
    <row r="74" spans="1:10" x14ac:dyDescent="0.2">
      <c r="A74" s="1" t="s">
        <v>189</v>
      </c>
      <c r="B74">
        <v>22.26</v>
      </c>
      <c r="C74">
        <v>0</v>
      </c>
      <c r="D74">
        <v>1</v>
      </c>
      <c r="E74">
        <v>0</v>
      </c>
      <c r="F74" s="72">
        <v>41953</v>
      </c>
      <c r="G74" s="32">
        <v>0</v>
      </c>
      <c r="H74" t="s">
        <v>51</v>
      </c>
      <c r="I74" s="72">
        <v>41922</v>
      </c>
      <c r="J74" s="1" t="s">
        <v>189</v>
      </c>
    </row>
    <row r="75" spans="1:10" x14ac:dyDescent="0.2">
      <c r="A75" t="s">
        <v>96</v>
      </c>
      <c r="B75">
        <v>13.69</v>
      </c>
      <c r="C75">
        <v>0</v>
      </c>
      <c r="D75">
        <v>1</v>
      </c>
      <c r="E75">
        <v>0</v>
      </c>
      <c r="F75" s="72">
        <v>41953</v>
      </c>
      <c r="G75" s="32">
        <v>0</v>
      </c>
      <c r="H75" t="s">
        <v>51</v>
      </c>
      <c r="I75" s="72">
        <v>41922</v>
      </c>
      <c r="J75" t="s">
        <v>96</v>
      </c>
    </row>
    <row r="76" spans="1:10" x14ac:dyDescent="0.2">
      <c r="A76" s="1" t="s">
        <v>190</v>
      </c>
      <c r="B76">
        <v>72.599999999999994</v>
      </c>
      <c r="C76">
        <v>0</v>
      </c>
      <c r="D76">
        <v>1</v>
      </c>
      <c r="E76">
        <v>0</v>
      </c>
      <c r="F76" s="72">
        <v>41953</v>
      </c>
      <c r="G76" s="32">
        <v>0</v>
      </c>
      <c r="H76" t="s">
        <v>51</v>
      </c>
      <c r="I76" s="72">
        <v>41922</v>
      </c>
      <c r="J76" t="s">
        <v>206</v>
      </c>
    </row>
    <row r="77" spans="1:10" x14ac:dyDescent="0.2">
      <c r="A77" s="1" t="s">
        <v>43</v>
      </c>
      <c r="B77">
        <v>60</v>
      </c>
      <c r="C77">
        <v>1</v>
      </c>
      <c r="D77">
        <v>0</v>
      </c>
      <c r="E77">
        <v>0</v>
      </c>
      <c r="F77" s="72">
        <v>41953</v>
      </c>
      <c r="G77" s="32">
        <v>0</v>
      </c>
      <c r="H77" t="s">
        <v>51</v>
      </c>
      <c r="I77" s="72">
        <v>41922</v>
      </c>
      <c r="J77" t="s">
        <v>153</v>
      </c>
    </row>
    <row r="78" spans="1:10" x14ac:dyDescent="0.2">
      <c r="A78" s="1" t="s">
        <v>506</v>
      </c>
      <c r="B78">
        <v>33.9</v>
      </c>
      <c r="C78">
        <v>0</v>
      </c>
      <c r="D78">
        <v>1</v>
      </c>
      <c r="E78">
        <v>0</v>
      </c>
      <c r="F78" s="72">
        <v>41953</v>
      </c>
      <c r="G78" s="32">
        <v>0</v>
      </c>
      <c r="H78" t="s">
        <v>49</v>
      </c>
      <c r="I78" s="72">
        <v>41923</v>
      </c>
      <c r="J78" t="s">
        <v>96</v>
      </c>
    </row>
    <row r="79" spans="1:10" x14ac:dyDescent="0.2">
      <c r="A79" s="1" t="s">
        <v>191</v>
      </c>
      <c r="B79">
        <v>15</v>
      </c>
      <c r="C79">
        <v>0</v>
      </c>
      <c r="D79">
        <v>1</v>
      </c>
      <c r="E79">
        <v>0</v>
      </c>
      <c r="F79" s="72">
        <v>41953</v>
      </c>
      <c r="G79" s="32">
        <v>0</v>
      </c>
      <c r="H79" t="s">
        <v>49</v>
      </c>
      <c r="I79" s="72">
        <v>41923</v>
      </c>
      <c r="J79" t="s">
        <v>50</v>
      </c>
    </row>
    <row r="80" spans="1:10" x14ac:dyDescent="0.2">
      <c r="A80" s="1" t="s">
        <v>189</v>
      </c>
      <c r="B80">
        <v>3.24</v>
      </c>
      <c r="C80">
        <v>0</v>
      </c>
      <c r="D80">
        <v>1</v>
      </c>
      <c r="E80">
        <v>0</v>
      </c>
      <c r="F80" s="72">
        <v>41953</v>
      </c>
      <c r="G80" s="32">
        <v>0</v>
      </c>
      <c r="H80" t="s">
        <v>49</v>
      </c>
      <c r="I80" s="72">
        <v>41923</v>
      </c>
      <c r="J80" s="1" t="s">
        <v>189</v>
      </c>
    </row>
    <row r="81" spans="1:13" x14ac:dyDescent="0.2">
      <c r="A81" s="1" t="s">
        <v>45</v>
      </c>
      <c r="B81">
        <v>7</v>
      </c>
      <c r="C81">
        <v>0</v>
      </c>
      <c r="D81">
        <v>1</v>
      </c>
      <c r="E81">
        <v>0</v>
      </c>
      <c r="F81" s="72">
        <v>41953</v>
      </c>
      <c r="G81" s="32">
        <v>0</v>
      </c>
      <c r="H81" t="s">
        <v>49</v>
      </c>
      <c r="I81" s="72">
        <v>41923</v>
      </c>
      <c r="J81" t="s">
        <v>50</v>
      </c>
    </row>
    <row r="82" spans="1:13" x14ac:dyDescent="0.2">
      <c r="A82" s="1" t="s">
        <v>189</v>
      </c>
      <c r="B82">
        <v>24.05</v>
      </c>
      <c r="C82">
        <v>0</v>
      </c>
      <c r="D82">
        <v>1</v>
      </c>
      <c r="E82">
        <v>0</v>
      </c>
      <c r="F82" s="72">
        <v>41953</v>
      </c>
      <c r="G82" s="32">
        <v>0</v>
      </c>
      <c r="H82" t="s">
        <v>49</v>
      </c>
      <c r="I82" s="72">
        <v>41923</v>
      </c>
      <c r="J82" s="1" t="s">
        <v>189</v>
      </c>
      <c r="K82" s="80"/>
    </row>
    <row r="83" spans="1:13" x14ac:dyDescent="0.2">
      <c r="A83" s="1" t="s">
        <v>192</v>
      </c>
      <c r="B83">
        <v>74.8</v>
      </c>
      <c r="C83">
        <v>0</v>
      </c>
      <c r="D83">
        <v>1</v>
      </c>
      <c r="E83">
        <v>0</v>
      </c>
      <c r="F83" s="72">
        <v>41953</v>
      </c>
      <c r="G83" s="32">
        <v>0</v>
      </c>
      <c r="H83" t="s">
        <v>49</v>
      </c>
      <c r="I83" s="72">
        <v>41924</v>
      </c>
      <c r="J83" t="s">
        <v>96</v>
      </c>
      <c r="K83" s="80"/>
    </row>
    <row r="84" spans="1:13" x14ac:dyDescent="0.2">
      <c r="A84" s="1" t="s">
        <v>192</v>
      </c>
      <c r="B84">
        <v>19.899999999999999</v>
      </c>
      <c r="C84">
        <v>0</v>
      </c>
      <c r="D84">
        <v>1</v>
      </c>
      <c r="E84">
        <v>0</v>
      </c>
      <c r="F84" s="72">
        <v>41953</v>
      </c>
      <c r="G84" s="32">
        <v>0</v>
      </c>
      <c r="H84" t="s">
        <v>49</v>
      </c>
      <c r="I84" s="72">
        <v>41924</v>
      </c>
      <c r="J84" t="s">
        <v>96</v>
      </c>
      <c r="K84" s="80"/>
    </row>
    <row r="85" spans="1:13" x14ac:dyDescent="0.2">
      <c r="A85" s="1" t="s">
        <v>43</v>
      </c>
      <c r="B85">
        <v>60</v>
      </c>
      <c r="C85">
        <v>1</v>
      </c>
      <c r="D85">
        <v>0</v>
      </c>
      <c r="E85">
        <v>0</v>
      </c>
      <c r="F85" s="72">
        <v>41953</v>
      </c>
      <c r="G85" s="32">
        <v>0</v>
      </c>
      <c r="H85" t="s">
        <v>49</v>
      </c>
      <c r="I85" s="72">
        <v>41924</v>
      </c>
      <c r="J85" t="s">
        <v>153</v>
      </c>
      <c r="K85" s="80"/>
    </row>
    <row r="86" spans="1:13" x14ac:dyDescent="0.2">
      <c r="A86" t="s">
        <v>96</v>
      </c>
      <c r="B86">
        <v>17.3</v>
      </c>
      <c r="C86">
        <v>0</v>
      </c>
      <c r="D86">
        <v>1</v>
      </c>
      <c r="E86">
        <v>0</v>
      </c>
      <c r="F86" s="72">
        <v>41953</v>
      </c>
      <c r="G86" s="32">
        <v>0</v>
      </c>
      <c r="H86" s="1" t="s">
        <v>54</v>
      </c>
      <c r="I86" s="72">
        <v>41925</v>
      </c>
      <c r="J86" t="s">
        <v>96</v>
      </c>
      <c r="K86" s="80"/>
    </row>
    <row r="87" spans="1:13" x14ac:dyDescent="0.2">
      <c r="A87" s="1" t="s">
        <v>74</v>
      </c>
      <c r="B87">
        <v>41.37</v>
      </c>
      <c r="C87">
        <v>0</v>
      </c>
      <c r="D87">
        <v>1</v>
      </c>
      <c r="E87">
        <v>0</v>
      </c>
      <c r="F87" s="72">
        <v>41953</v>
      </c>
      <c r="G87" s="32">
        <v>0</v>
      </c>
      <c r="H87" s="1" t="s">
        <v>54</v>
      </c>
      <c r="I87" s="72">
        <v>41926</v>
      </c>
      <c r="J87" t="s">
        <v>50</v>
      </c>
      <c r="K87" s="32"/>
      <c r="M87" s="72"/>
    </row>
    <row r="88" spans="1:13" x14ac:dyDescent="0.2">
      <c r="A88" s="1" t="s">
        <v>396</v>
      </c>
      <c r="B88" s="32">
        <v>654.73</v>
      </c>
      <c r="C88">
        <v>1</v>
      </c>
      <c r="D88">
        <v>0</v>
      </c>
      <c r="E88">
        <v>0</v>
      </c>
      <c r="F88" s="72">
        <v>41953</v>
      </c>
      <c r="G88" s="87">
        <v>0</v>
      </c>
      <c r="H88" s="1" t="s">
        <v>54</v>
      </c>
      <c r="I88" s="72">
        <v>41960</v>
      </c>
      <c r="J88" t="s">
        <v>336</v>
      </c>
      <c r="K88" s="32"/>
      <c r="M88" s="72"/>
    </row>
    <row r="89" spans="1:13" x14ac:dyDescent="0.2">
      <c r="A89" s="1" t="s">
        <v>171</v>
      </c>
      <c r="B89">
        <f>468/3</f>
        <v>156</v>
      </c>
      <c r="C89">
        <v>0</v>
      </c>
      <c r="D89">
        <v>1</v>
      </c>
      <c r="E89">
        <v>0</v>
      </c>
      <c r="F89" s="72">
        <v>41953</v>
      </c>
      <c r="G89" s="87">
        <v>0</v>
      </c>
      <c r="H89" s="1" t="s">
        <v>54</v>
      </c>
      <c r="I89" s="72">
        <v>41960</v>
      </c>
      <c r="J89" t="s">
        <v>763</v>
      </c>
      <c r="K89" s="32"/>
      <c r="M89" s="72"/>
    </row>
    <row r="90" spans="1:13" x14ac:dyDescent="0.2">
      <c r="A90" s="1" t="s">
        <v>154</v>
      </c>
      <c r="B90">
        <v>190</v>
      </c>
      <c r="C90">
        <v>0</v>
      </c>
      <c r="D90">
        <v>1</v>
      </c>
      <c r="E90">
        <v>0</v>
      </c>
      <c r="F90" s="72">
        <v>41953</v>
      </c>
      <c r="G90" s="87">
        <v>0</v>
      </c>
      <c r="H90" s="1" t="s">
        <v>54</v>
      </c>
      <c r="I90" s="72">
        <v>41960</v>
      </c>
      <c r="J90" t="s">
        <v>153</v>
      </c>
      <c r="K90" s="32"/>
      <c r="M90" s="72"/>
    </row>
    <row r="91" spans="1:13" x14ac:dyDescent="0.2">
      <c r="A91" s="1" t="s">
        <v>397</v>
      </c>
      <c r="B91" s="32">
        <v>654.73</v>
      </c>
      <c r="C91">
        <v>1</v>
      </c>
      <c r="D91">
        <v>0</v>
      </c>
      <c r="E91">
        <v>0</v>
      </c>
      <c r="F91" s="72">
        <v>41983</v>
      </c>
      <c r="G91" s="87">
        <v>0</v>
      </c>
      <c r="H91" s="1" t="s">
        <v>54</v>
      </c>
      <c r="I91" s="72">
        <v>41990</v>
      </c>
      <c r="J91" t="s">
        <v>336</v>
      </c>
      <c r="K91" s="32"/>
      <c r="M91" s="72"/>
    </row>
    <row r="92" spans="1:13" x14ac:dyDescent="0.2">
      <c r="A92" s="1" t="s">
        <v>172</v>
      </c>
      <c r="B92">
        <f>468/3</f>
        <v>156</v>
      </c>
      <c r="C92">
        <v>0</v>
      </c>
      <c r="D92">
        <v>1</v>
      </c>
      <c r="E92">
        <v>0</v>
      </c>
      <c r="F92" s="72">
        <v>41983</v>
      </c>
      <c r="G92" s="87">
        <v>0</v>
      </c>
      <c r="H92" s="1" t="s">
        <v>54</v>
      </c>
      <c r="I92" s="72">
        <v>41990</v>
      </c>
      <c r="J92" t="s">
        <v>763</v>
      </c>
      <c r="K92" s="80"/>
    </row>
    <row r="93" spans="1:13" x14ac:dyDescent="0.2">
      <c r="A93" s="1" t="s">
        <v>208</v>
      </c>
      <c r="B93" s="32">
        <v>50</v>
      </c>
      <c r="C93">
        <v>0</v>
      </c>
      <c r="D93">
        <v>1</v>
      </c>
      <c r="E93">
        <v>0</v>
      </c>
      <c r="F93" s="72">
        <v>41983</v>
      </c>
      <c r="G93" s="87">
        <v>0</v>
      </c>
      <c r="H93" s="1" t="s">
        <v>54</v>
      </c>
      <c r="I93" s="72">
        <v>41990</v>
      </c>
      <c r="J93" t="s">
        <v>344</v>
      </c>
      <c r="K93" s="80"/>
    </row>
    <row r="94" spans="1:13" x14ac:dyDescent="0.2">
      <c r="A94" s="1" t="s">
        <v>210</v>
      </c>
      <c r="B94" s="32">
        <v>69.900000000000006</v>
      </c>
      <c r="C94">
        <v>0</v>
      </c>
      <c r="D94">
        <v>1</v>
      </c>
      <c r="E94">
        <v>0</v>
      </c>
      <c r="F94" s="72">
        <v>41983</v>
      </c>
      <c r="G94" s="87">
        <v>0</v>
      </c>
      <c r="H94" s="1" t="s">
        <v>54</v>
      </c>
      <c r="I94" s="72">
        <v>41949</v>
      </c>
      <c r="J94" t="s">
        <v>46</v>
      </c>
      <c r="K94" s="80"/>
    </row>
    <row r="95" spans="1:13" x14ac:dyDescent="0.2">
      <c r="A95" s="1" t="s">
        <v>334</v>
      </c>
      <c r="B95">
        <v>89.95</v>
      </c>
      <c r="C95">
        <v>0</v>
      </c>
      <c r="D95">
        <v>1</v>
      </c>
      <c r="E95">
        <v>0</v>
      </c>
      <c r="F95" s="72">
        <v>41983</v>
      </c>
      <c r="G95" s="87">
        <v>0</v>
      </c>
      <c r="H95" s="1" t="s">
        <v>54</v>
      </c>
      <c r="I95" s="72">
        <v>41990</v>
      </c>
      <c r="J95" t="s">
        <v>763</v>
      </c>
      <c r="K95" s="79"/>
    </row>
    <row r="96" spans="1:13" x14ac:dyDescent="0.2">
      <c r="A96" t="s">
        <v>96</v>
      </c>
      <c r="B96">
        <v>21</v>
      </c>
      <c r="C96">
        <v>0</v>
      </c>
      <c r="D96">
        <v>1</v>
      </c>
      <c r="E96">
        <v>0</v>
      </c>
      <c r="F96" s="72">
        <v>41983</v>
      </c>
      <c r="G96" s="87">
        <v>0</v>
      </c>
      <c r="H96" s="1" t="s">
        <v>55</v>
      </c>
      <c r="I96" s="72">
        <v>41990</v>
      </c>
      <c r="J96" t="s">
        <v>96</v>
      </c>
    </row>
    <row r="97" spans="1:10" x14ac:dyDescent="0.2">
      <c r="A97" s="12"/>
      <c r="B97" s="91"/>
      <c r="C97" s="12"/>
      <c r="D97" s="12"/>
      <c r="F97" s="92"/>
      <c r="G97" s="91"/>
      <c r="H97" s="12"/>
      <c r="I97" s="92"/>
      <c r="J97" s="12"/>
    </row>
    <row r="98" spans="1:10" x14ac:dyDescent="0.2">
      <c r="A98" s="1"/>
      <c r="B98" s="32"/>
      <c r="G98" s="87"/>
      <c r="H98" s="1"/>
    </row>
    <row r="99" spans="1:10" x14ac:dyDescent="0.2">
      <c r="A99" s="1"/>
      <c r="G99" s="87"/>
      <c r="H99" s="1"/>
    </row>
    <row r="100" spans="1:10" x14ac:dyDescent="0.2">
      <c r="G100" s="87"/>
      <c r="H100" s="1"/>
      <c r="J100" s="1"/>
    </row>
    <row r="101" spans="1:10" x14ac:dyDescent="0.2">
      <c r="A101" s="1"/>
      <c r="G101" s="87"/>
      <c r="H101" s="1"/>
      <c r="J101" s="1"/>
    </row>
    <row r="102" spans="1:10" x14ac:dyDescent="0.2">
      <c r="A102" s="1"/>
      <c r="G102" s="87"/>
      <c r="H102" s="1"/>
      <c r="J102" s="1"/>
    </row>
    <row r="103" spans="1:10" x14ac:dyDescent="0.2">
      <c r="A103" s="1"/>
      <c r="B103" s="32"/>
      <c r="G103" s="87"/>
      <c r="H103" s="1"/>
    </row>
    <row r="104" spans="1:10" x14ac:dyDescent="0.2">
      <c r="B104" s="32"/>
      <c r="G104" s="87"/>
      <c r="H104" s="1"/>
      <c r="J104" s="1"/>
    </row>
    <row r="105" spans="1:10" x14ac:dyDescent="0.2">
      <c r="A105" s="1"/>
      <c r="B105" s="32"/>
      <c r="G105" s="87"/>
      <c r="H105" s="1"/>
      <c r="J105" s="1"/>
    </row>
    <row r="106" spans="1:10" x14ac:dyDescent="0.2">
      <c r="A106" s="1"/>
      <c r="B106" s="32"/>
      <c r="G106" s="87"/>
      <c r="H106" s="1"/>
      <c r="J106" s="1"/>
    </row>
    <row r="107" spans="1:10" x14ac:dyDescent="0.2">
      <c r="B107" s="32"/>
      <c r="G107" s="87"/>
      <c r="H107" s="1"/>
      <c r="J107" s="1"/>
    </row>
    <row r="108" spans="1:10" x14ac:dyDescent="0.2">
      <c r="A108" s="1"/>
      <c r="B108" s="32"/>
      <c r="G108" s="87"/>
      <c r="H108" s="1"/>
      <c r="J108" s="1"/>
    </row>
    <row r="109" spans="1:10" x14ac:dyDescent="0.2">
      <c r="A109" s="1"/>
      <c r="G109" s="87"/>
      <c r="H109" s="1"/>
    </row>
    <row r="110" spans="1:10" x14ac:dyDescent="0.2">
      <c r="A110" s="1"/>
      <c r="G110" s="87"/>
      <c r="H110" s="1"/>
      <c r="J110" s="1"/>
    </row>
    <row r="111" spans="1:10" x14ac:dyDescent="0.2">
      <c r="A111" s="1"/>
      <c r="G111" s="87"/>
      <c r="H111" s="1"/>
    </row>
    <row r="112" spans="1:10" x14ac:dyDescent="0.2">
      <c r="A112" s="1"/>
      <c r="G112" s="87"/>
      <c r="H112" s="1"/>
      <c r="J112" s="1"/>
    </row>
    <row r="113" spans="1:10" x14ac:dyDescent="0.2">
      <c r="A113" s="1"/>
      <c r="G113" s="87"/>
      <c r="H113" s="1"/>
      <c r="J113" s="1"/>
    </row>
    <row r="114" spans="1:10" x14ac:dyDescent="0.2">
      <c r="A114" s="1"/>
      <c r="G114" s="87"/>
      <c r="H114" s="1"/>
      <c r="J114" s="1"/>
    </row>
    <row r="115" spans="1:10" x14ac:dyDescent="0.2">
      <c r="A115" s="1"/>
      <c r="G115" s="87"/>
      <c r="H115" s="1"/>
      <c r="J115" s="1"/>
    </row>
    <row r="116" spans="1:10" x14ac:dyDescent="0.2">
      <c r="A116" s="1"/>
      <c r="G116" s="87"/>
      <c r="H116" s="1"/>
    </row>
    <row r="117" spans="1:10" x14ac:dyDescent="0.2">
      <c r="A117" s="1"/>
      <c r="G117" s="87"/>
      <c r="H117" s="1"/>
    </row>
    <row r="118" spans="1:10" x14ac:dyDescent="0.2">
      <c r="G118" s="87"/>
      <c r="H118" s="1"/>
      <c r="J118" s="1"/>
    </row>
    <row r="119" spans="1:10" x14ac:dyDescent="0.2">
      <c r="A119" s="1"/>
      <c r="G119" s="87"/>
      <c r="H119" s="1"/>
    </row>
    <row r="120" spans="1:10" x14ac:dyDescent="0.2">
      <c r="A120" s="1"/>
      <c r="G120" s="87"/>
      <c r="H120" s="1"/>
      <c r="J120" s="1"/>
    </row>
    <row r="121" spans="1:10" x14ac:dyDescent="0.2">
      <c r="A121" s="12"/>
      <c r="B121" s="91"/>
      <c r="C121" s="12"/>
      <c r="D121" s="12"/>
      <c r="F121" s="92"/>
      <c r="G121" s="91"/>
      <c r="H121" s="12"/>
      <c r="I121" s="92"/>
      <c r="J121" s="12"/>
    </row>
    <row r="122" spans="1:10" x14ac:dyDescent="0.2">
      <c r="A122" s="1"/>
      <c r="G122" s="91"/>
      <c r="H122" s="1"/>
    </row>
    <row r="123" spans="1:10" x14ac:dyDescent="0.2">
      <c r="A123" s="1"/>
      <c r="G123" s="91"/>
      <c r="H123" s="1"/>
      <c r="J123" s="1"/>
    </row>
    <row r="124" spans="1:10" x14ac:dyDescent="0.2">
      <c r="A124" s="1"/>
      <c r="G124" s="91"/>
      <c r="H124" s="1"/>
    </row>
    <row r="125" spans="1:10" x14ac:dyDescent="0.2">
      <c r="A125" s="1"/>
      <c r="B125" s="32"/>
      <c r="G125" s="91"/>
      <c r="H125" s="1"/>
    </row>
    <row r="126" spans="1:10" x14ac:dyDescent="0.2">
      <c r="A126" s="1"/>
      <c r="B126" s="32"/>
      <c r="G126" s="91"/>
      <c r="H126" s="1"/>
    </row>
    <row r="127" spans="1:10" x14ac:dyDescent="0.2">
      <c r="A127" s="1"/>
      <c r="B127" s="32"/>
      <c r="G127" s="91"/>
      <c r="H127" s="1"/>
    </row>
    <row r="128" spans="1:10" x14ac:dyDescent="0.2">
      <c r="B128" s="32"/>
      <c r="G128" s="91"/>
      <c r="H128" s="1"/>
      <c r="J128" s="1"/>
    </row>
    <row r="129" spans="1:10" x14ac:dyDescent="0.2">
      <c r="B129" s="32"/>
      <c r="G129" s="91"/>
      <c r="H129" s="1"/>
      <c r="J129" s="1"/>
    </row>
    <row r="130" spans="1:10" x14ac:dyDescent="0.2">
      <c r="B130" s="32"/>
      <c r="G130" s="91"/>
      <c r="H130" s="1"/>
      <c r="J130" s="1"/>
    </row>
    <row r="131" spans="1:10" x14ac:dyDescent="0.2">
      <c r="A131" s="1"/>
      <c r="B131" s="32"/>
      <c r="G131" s="91"/>
      <c r="H131" s="1"/>
      <c r="J131" s="1"/>
    </row>
    <row r="132" spans="1:10" x14ac:dyDescent="0.2">
      <c r="A132" s="1"/>
      <c r="B132" s="32"/>
      <c r="G132" s="91"/>
      <c r="H132" s="1"/>
    </row>
    <row r="133" spans="1:10" x14ac:dyDescent="0.2">
      <c r="A133" s="1"/>
      <c r="B133" s="32"/>
      <c r="G133" s="91"/>
      <c r="H133" s="1"/>
    </row>
    <row r="134" spans="1:10" x14ac:dyDescent="0.2">
      <c r="A134" s="1"/>
      <c r="B134" s="32"/>
      <c r="G134" s="91"/>
      <c r="H134" s="1"/>
      <c r="J134" s="1"/>
    </row>
    <row r="135" spans="1:10" x14ac:dyDescent="0.2">
      <c r="A135" s="1"/>
      <c r="B135" s="32"/>
      <c r="G135" s="91"/>
      <c r="H135" s="1"/>
      <c r="J135" s="1"/>
    </row>
    <row r="136" spans="1:10" x14ac:dyDescent="0.2">
      <c r="A136" s="1"/>
      <c r="B136" s="32"/>
      <c r="G136" s="91"/>
      <c r="H136" s="1"/>
      <c r="J136" s="1"/>
    </row>
    <row r="137" spans="1:10" x14ac:dyDescent="0.2">
      <c r="A137" s="1"/>
      <c r="B137" s="32"/>
      <c r="G137" s="91"/>
      <c r="H137" s="1"/>
    </row>
    <row r="138" spans="1:10" x14ac:dyDescent="0.2">
      <c r="A138" s="1"/>
      <c r="B138" s="32"/>
      <c r="G138" s="91"/>
      <c r="H138" s="1"/>
    </row>
    <row r="139" spans="1:10" x14ac:dyDescent="0.2">
      <c r="A139" s="1"/>
      <c r="B139" s="32"/>
      <c r="G139" s="91"/>
      <c r="H139" s="1"/>
    </row>
    <row r="140" spans="1:10" x14ac:dyDescent="0.2">
      <c r="A140" s="1"/>
      <c r="B140" s="32"/>
      <c r="G140" s="91"/>
      <c r="H140" s="1"/>
      <c r="J140" s="1"/>
    </row>
    <row r="141" spans="1:10" x14ac:dyDescent="0.2">
      <c r="A141" s="1"/>
      <c r="B141" s="32"/>
      <c r="G141" s="91"/>
      <c r="H141" s="1"/>
      <c r="J141" s="1"/>
    </row>
    <row r="142" spans="1:10" x14ac:dyDescent="0.2">
      <c r="B142" s="32"/>
      <c r="G142" s="91"/>
      <c r="H142" s="1"/>
      <c r="J142" s="1"/>
    </row>
    <row r="143" spans="1:10" x14ac:dyDescent="0.2">
      <c r="A143" s="1"/>
      <c r="B143" s="32"/>
      <c r="G143" s="91"/>
      <c r="H143" s="1"/>
      <c r="J143" s="1"/>
    </row>
    <row r="144" spans="1:10" x14ac:dyDescent="0.2">
      <c r="A144" s="1"/>
      <c r="B144" s="32"/>
      <c r="G144" s="91"/>
      <c r="H144" s="1"/>
      <c r="J144" s="1"/>
    </row>
    <row r="145" spans="1:10" x14ac:dyDescent="0.2">
      <c r="A145" s="1"/>
      <c r="B145" s="32"/>
      <c r="G145" s="91"/>
      <c r="H145" s="1"/>
      <c r="J145" s="1"/>
    </row>
    <row r="146" spans="1:10" x14ac:dyDescent="0.2">
      <c r="B146" s="32"/>
      <c r="G146" s="91"/>
      <c r="H146" s="1"/>
      <c r="J146" s="1"/>
    </row>
    <row r="147" spans="1:10" x14ac:dyDescent="0.2">
      <c r="B147" s="32"/>
      <c r="G147" s="91"/>
      <c r="H147" s="1"/>
      <c r="J147" s="1"/>
    </row>
    <row r="148" spans="1:10" x14ac:dyDescent="0.2">
      <c r="B148" s="32"/>
      <c r="G148" s="91"/>
      <c r="H148" s="1"/>
      <c r="J148" s="1"/>
    </row>
    <row r="149" spans="1:10" x14ac:dyDescent="0.2">
      <c r="A149" s="1"/>
      <c r="B149" s="32"/>
      <c r="G149" s="91"/>
      <c r="H149" s="1"/>
      <c r="J149" s="1"/>
    </row>
    <row r="150" spans="1:10" x14ac:dyDescent="0.2">
      <c r="A150" s="1"/>
      <c r="B150" s="32"/>
      <c r="G150" s="91"/>
      <c r="H150" s="1"/>
      <c r="J150" s="1"/>
    </row>
    <row r="151" spans="1:10" x14ac:dyDescent="0.2">
      <c r="A151" s="1"/>
      <c r="B151" s="32"/>
      <c r="G151" s="91"/>
      <c r="H151" s="1"/>
    </row>
    <row r="152" spans="1:10" x14ac:dyDescent="0.2">
      <c r="A152" s="1"/>
      <c r="B152" s="32"/>
      <c r="G152" s="91"/>
      <c r="H152" s="1"/>
      <c r="J152" s="1"/>
    </row>
    <row r="153" spans="1:10" x14ac:dyDescent="0.2">
      <c r="A153" s="1"/>
      <c r="B153" s="32"/>
      <c r="G153" s="91"/>
      <c r="H153" s="1"/>
      <c r="J153" s="1"/>
    </row>
    <row r="154" spans="1:10" x14ac:dyDescent="0.2">
      <c r="A154" s="1"/>
      <c r="B154" s="32"/>
      <c r="G154" s="91"/>
      <c r="H154" s="1"/>
      <c r="J154" s="1"/>
    </row>
    <row r="155" spans="1:10" x14ac:dyDescent="0.2">
      <c r="A155" s="1"/>
      <c r="B155" s="32"/>
      <c r="G155" s="91"/>
      <c r="H155" s="1"/>
    </row>
    <row r="156" spans="1:10" x14ac:dyDescent="0.2">
      <c r="A156" s="1"/>
      <c r="B156" s="32"/>
      <c r="G156" s="91"/>
      <c r="H156" s="1"/>
      <c r="J156" s="1"/>
    </row>
    <row r="157" spans="1:10" x14ac:dyDescent="0.2">
      <c r="A157" s="1"/>
      <c r="B157" s="32"/>
      <c r="G157" s="91"/>
      <c r="H157" s="1"/>
      <c r="J157" s="1"/>
    </row>
    <row r="158" spans="1:10" x14ac:dyDescent="0.2">
      <c r="A158" s="1"/>
      <c r="B158" s="32"/>
      <c r="G158" s="91"/>
      <c r="H158" s="1"/>
      <c r="J158" s="1"/>
    </row>
    <row r="159" spans="1:10" x14ac:dyDescent="0.2">
      <c r="A159" s="1"/>
      <c r="B159" s="32"/>
      <c r="G159" s="91"/>
      <c r="H159" s="1"/>
      <c r="J159" s="1"/>
    </row>
    <row r="160" spans="1:10" x14ac:dyDescent="0.2">
      <c r="A160" s="1"/>
      <c r="B160" s="32"/>
      <c r="G160" s="91"/>
      <c r="H160" s="1"/>
      <c r="J160" s="1"/>
    </row>
    <row r="161" spans="1:10" x14ac:dyDescent="0.2">
      <c r="A161" s="1"/>
      <c r="B161" s="32"/>
      <c r="G161" s="91"/>
      <c r="H161" s="1"/>
    </row>
    <row r="162" spans="1:10" x14ac:dyDescent="0.2">
      <c r="A162" s="1"/>
      <c r="B162" s="32"/>
      <c r="G162" s="91"/>
      <c r="H162" s="1"/>
    </row>
    <row r="163" spans="1:10" x14ac:dyDescent="0.2">
      <c r="A163" s="1"/>
      <c r="B163" s="32"/>
      <c r="G163" s="91"/>
      <c r="H163" s="1"/>
      <c r="J163" s="1"/>
    </row>
    <row r="164" spans="1:10" x14ac:dyDescent="0.2">
      <c r="A164" s="1"/>
      <c r="B164" s="32"/>
      <c r="G164" s="91"/>
      <c r="H164" s="1"/>
      <c r="J164" s="1"/>
    </row>
    <row r="165" spans="1:10" x14ac:dyDescent="0.2">
      <c r="A165" s="1"/>
      <c r="B165" s="32"/>
      <c r="G165" s="91"/>
      <c r="H165" s="1"/>
      <c r="J165" s="1"/>
    </row>
    <row r="166" spans="1:10" x14ac:dyDescent="0.2">
      <c r="A166" s="12"/>
      <c r="B166" s="91"/>
      <c r="C166" s="12"/>
      <c r="D166" s="12"/>
      <c r="F166" s="92"/>
      <c r="G166" s="91"/>
      <c r="H166" s="12"/>
      <c r="I166" s="92"/>
      <c r="J166" s="12"/>
    </row>
    <row r="167" spans="1:10" x14ac:dyDescent="0.2">
      <c r="A167" s="12"/>
      <c r="B167" s="91"/>
      <c r="C167" s="12"/>
      <c r="D167" s="12"/>
      <c r="F167" s="92"/>
      <c r="G167" s="91"/>
      <c r="H167" s="12"/>
      <c r="I167" s="92"/>
      <c r="J167" s="12"/>
    </row>
    <row r="168" spans="1:10" x14ac:dyDescent="0.2">
      <c r="A168" s="1"/>
      <c r="B168" s="32"/>
      <c r="G168" s="87"/>
      <c r="H168" s="1"/>
      <c r="J168" s="1"/>
    </row>
    <row r="169" spans="1:10" x14ac:dyDescent="0.2">
      <c r="A169" s="1"/>
      <c r="G169" s="87"/>
      <c r="H169" s="1"/>
      <c r="J169" s="1"/>
    </row>
    <row r="170" spans="1:10" x14ac:dyDescent="0.2">
      <c r="A170" s="1"/>
      <c r="G170" s="87"/>
      <c r="H170" s="1"/>
      <c r="J170" s="1"/>
    </row>
    <row r="171" spans="1:10" x14ac:dyDescent="0.2">
      <c r="A171" s="103"/>
      <c r="B171" s="103"/>
      <c r="C171" s="103"/>
      <c r="D171" s="103"/>
      <c r="E171" s="103"/>
      <c r="G171" s="87"/>
      <c r="H171" s="103"/>
      <c r="I171" s="88"/>
      <c r="J171" s="10"/>
    </row>
    <row r="172" spans="1:10" x14ac:dyDescent="0.2">
      <c r="A172" s="103"/>
      <c r="B172" s="103"/>
      <c r="C172" s="103"/>
      <c r="D172" s="103"/>
      <c r="E172" s="103"/>
      <c r="G172" s="87"/>
      <c r="H172" s="103"/>
      <c r="I172" s="88"/>
      <c r="J172" s="10"/>
    </row>
    <row r="173" spans="1:10" x14ac:dyDescent="0.2">
      <c r="A173" s="1"/>
      <c r="B173" s="32"/>
      <c r="G173" s="87"/>
      <c r="H173" s="1"/>
    </row>
    <row r="174" spans="1:10" x14ac:dyDescent="0.2">
      <c r="A174" s="12"/>
      <c r="B174" s="91"/>
      <c r="C174" s="12"/>
      <c r="D174" s="12"/>
      <c r="F174" s="92"/>
      <c r="G174" s="91"/>
      <c r="H174" s="12"/>
      <c r="I174" s="92"/>
      <c r="J174" s="12"/>
    </row>
    <row r="175" spans="1:10" x14ac:dyDescent="0.2">
      <c r="A175" s="12"/>
      <c r="B175" s="91"/>
      <c r="C175" s="12"/>
      <c r="D175" s="12"/>
      <c r="E175" s="12"/>
      <c r="G175" s="91"/>
      <c r="H175" s="12"/>
      <c r="I175" s="92"/>
      <c r="J175" s="12"/>
    </row>
    <row r="176" spans="1:10" x14ac:dyDescent="0.2">
      <c r="A176" s="1"/>
      <c r="G176" s="87"/>
      <c r="H176" s="1"/>
      <c r="J176" s="1"/>
    </row>
    <row r="177" spans="1:10" x14ac:dyDescent="0.2">
      <c r="A177" s="12"/>
      <c r="B177" s="91"/>
      <c r="C177" s="12"/>
      <c r="D177" s="12"/>
      <c r="F177" s="92"/>
      <c r="G177" s="91"/>
      <c r="H177" s="12"/>
      <c r="I177" s="92"/>
      <c r="J177" s="12"/>
    </row>
    <row r="178" spans="1:10" x14ac:dyDescent="0.2">
      <c r="A178" s="1"/>
      <c r="B178" s="32"/>
      <c r="G178" s="87"/>
      <c r="H178" s="1"/>
    </row>
    <row r="179" spans="1:10" x14ac:dyDescent="0.2">
      <c r="A179" s="12"/>
      <c r="B179" s="91"/>
      <c r="G179" s="87"/>
      <c r="H179" s="1"/>
    </row>
    <row r="180" spans="1:10" x14ac:dyDescent="0.2">
      <c r="A180" s="12"/>
      <c r="B180" s="91"/>
      <c r="G180" s="87"/>
      <c r="H180" s="1"/>
    </row>
    <row r="181" spans="1:10" x14ac:dyDescent="0.2">
      <c r="A181" s="12"/>
      <c r="B181" s="91"/>
      <c r="G181" s="87"/>
      <c r="H181" s="1"/>
    </row>
    <row r="182" spans="1:10" x14ac:dyDescent="0.2">
      <c r="A182" s="12"/>
      <c r="B182" s="91"/>
      <c r="G182" s="87"/>
      <c r="H182" s="1"/>
    </row>
    <row r="183" spans="1:10" x14ac:dyDescent="0.2">
      <c r="A183" s="109"/>
      <c r="B183" s="91"/>
      <c r="G183" s="87"/>
      <c r="H183" s="1"/>
      <c r="J183" s="1"/>
    </row>
    <row r="184" spans="1:10" x14ac:dyDescent="0.2">
      <c r="A184" s="1"/>
      <c r="G184" s="87"/>
      <c r="H184" s="1"/>
      <c r="J184" s="1"/>
    </row>
    <row r="185" spans="1:10" x14ac:dyDescent="0.2">
      <c r="A185" s="12"/>
      <c r="B185" s="91"/>
      <c r="C185" s="12"/>
      <c r="D185" s="12"/>
      <c r="E185" s="12"/>
      <c r="G185" s="91"/>
      <c r="H185" s="12"/>
      <c r="I185" s="92"/>
      <c r="J185" s="12"/>
    </row>
    <row r="186" spans="1:10" x14ac:dyDescent="0.2">
      <c r="A186" s="1"/>
      <c r="B186" s="32"/>
      <c r="G186" s="87"/>
      <c r="H186" s="1"/>
    </row>
    <row r="187" spans="1:10" x14ac:dyDescent="0.2">
      <c r="A187" s="12"/>
      <c r="B187" s="91"/>
      <c r="G187" s="87"/>
      <c r="H187" s="1"/>
    </row>
    <row r="188" spans="1:10" x14ac:dyDescent="0.2">
      <c r="A188" s="12"/>
      <c r="B188" s="91"/>
      <c r="G188" s="87"/>
      <c r="H188" s="1"/>
    </row>
    <row r="189" spans="1:10" x14ac:dyDescent="0.2">
      <c r="A189" s="12"/>
      <c r="B189" s="91"/>
      <c r="G189" s="87"/>
      <c r="H189" s="1"/>
    </row>
    <row r="190" spans="1:10" x14ac:dyDescent="0.2">
      <c r="A190" s="12"/>
      <c r="B190" s="91"/>
      <c r="G190" s="87"/>
      <c r="H190" s="1"/>
    </row>
    <row r="191" spans="1:10" x14ac:dyDescent="0.2">
      <c r="A191" s="12"/>
      <c r="B191" s="91"/>
      <c r="G191" s="87"/>
      <c r="H191" s="1"/>
    </row>
    <row r="192" spans="1:10" x14ac:dyDescent="0.2">
      <c r="A192" s="12"/>
      <c r="B192" s="91"/>
      <c r="G192" s="87"/>
      <c r="H192" s="1"/>
    </row>
    <row r="193" spans="1:8" x14ac:dyDescent="0.2">
      <c r="A193" s="12"/>
      <c r="B193" s="91"/>
      <c r="G193" s="87"/>
      <c r="H193" s="1"/>
    </row>
    <row r="194" spans="1:8" x14ac:dyDescent="0.2">
      <c r="A194" s="12"/>
      <c r="B194" s="91"/>
      <c r="G194" s="87"/>
      <c r="H194" s="1"/>
    </row>
    <row r="195" spans="1:8" x14ac:dyDescent="0.2">
      <c r="A195" s="12"/>
      <c r="B195" s="91"/>
      <c r="G195" s="87"/>
      <c r="H195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9"/>
  <sheetViews>
    <sheetView workbookViewId="0">
      <selection sqref="A1:J99"/>
    </sheetView>
  </sheetViews>
  <sheetFormatPr defaultRowHeight="12.75" x14ac:dyDescent="0.2"/>
  <sheetData>
    <row r="1" spans="1:10" x14ac:dyDescent="0.2">
      <c r="A1" s="12" t="s">
        <v>398</v>
      </c>
      <c r="B1" s="91">
        <v>654.73</v>
      </c>
      <c r="C1" s="12">
        <v>1</v>
      </c>
      <c r="D1" s="12">
        <v>0</v>
      </c>
      <c r="E1">
        <v>0</v>
      </c>
      <c r="F1" s="92">
        <v>42014</v>
      </c>
      <c r="G1" s="91">
        <v>0</v>
      </c>
      <c r="H1" s="12" t="s">
        <v>54</v>
      </c>
      <c r="I1" s="92">
        <v>42021</v>
      </c>
      <c r="J1" s="12" t="s">
        <v>336</v>
      </c>
    </row>
    <row r="2" spans="1:10" x14ac:dyDescent="0.2">
      <c r="A2" s="1" t="s">
        <v>209</v>
      </c>
      <c r="B2" s="32">
        <v>50</v>
      </c>
      <c r="C2">
        <v>0</v>
      </c>
      <c r="D2">
        <v>1</v>
      </c>
      <c r="E2">
        <v>0</v>
      </c>
      <c r="F2" s="72">
        <v>42014</v>
      </c>
      <c r="G2" s="87">
        <v>0</v>
      </c>
      <c r="H2" s="1" t="s">
        <v>54</v>
      </c>
      <c r="I2" s="72">
        <v>42021</v>
      </c>
      <c r="J2" t="s">
        <v>207</v>
      </c>
    </row>
    <row r="3" spans="1:10" x14ac:dyDescent="0.2">
      <c r="A3" s="1" t="s">
        <v>335</v>
      </c>
      <c r="B3">
        <v>89.95</v>
      </c>
      <c r="C3">
        <v>0</v>
      </c>
      <c r="D3">
        <v>1</v>
      </c>
      <c r="E3">
        <v>0</v>
      </c>
      <c r="F3" s="72">
        <v>42014</v>
      </c>
      <c r="G3" s="87">
        <v>0</v>
      </c>
      <c r="H3" s="1" t="s">
        <v>54</v>
      </c>
      <c r="I3" s="72">
        <v>42021</v>
      </c>
      <c r="J3" t="s">
        <v>207</v>
      </c>
    </row>
    <row r="4" spans="1:10" x14ac:dyDescent="0.2">
      <c r="A4" t="s">
        <v>96</v>
      </c>
      <c r="B4">
        <v>24.7</v>
      </c>
      <c r="C4">
        <v>0</v>
      </c>
      <c r="D4">
        <v>1</v>
      </c>
      <c r="E4">
        <v>0</v>
      </c>
      <c r="F4" s="72">
        <v>42014</v>
      </c>
      <c r="G4" s="87">
        <v>0</v>
      </c>
      <c r="H4" s="1" t="s">
        <v>47</v>
      </c>
      <c r="I4" s="72">
        <v>41978</v>
      </c>
      <c r="J4" s="1" t="s">
        <v>50</v>
      </c>
    </row>
    <row r="5" spans="1:10" x14ac:dyDescent="0.2">
      <c r="A5" s="1" t="s">
        <v>328</v>
      </c>
      <c r="B5">
        <v>12.8</v>
      </c>
      <c r="C5">
        <v>0</v>
      </c>
      <c r="D5">
        <v>1</v>
      </c>
      <c r="E5">
        <v>0</v>
      </c>
      <c r="F5" s="72">
        <v>42014</v>
      </c>
      <c r="G5" s="87">
        <v>0</v>
      </c>
      <c r="H5" s="1" t="s">
        <v>47</v>
      </c>
      <c r="I5" s="72">
        <v>41979</v>
      </c>
      <c r="J5" s="1" t="s">
        <v>50</v>
      </c>
    </row>
    <row r="6" spans="1:10" x14ac:dyDescent="0.2">
      <c r="A6" s="1" t="s">
        <v>224</v>
      </c>
      <c r="B6">
        <v>13.5</v>
      </c>
      <c r="C6">
        <v>0</v>
      </c>
      <c r="D6">
        <v>1</v>
      </c>
      <c r="E6">
        <v>0</v>
      </c>
      <c r="F6" s="72">
        <v>42014</v>
      </c>
      <c r="G6" s="87">
        <v>0</v>
      </c>
      <c r="H6" s="1" t="s">
        <v>47</v>
      </c>
      <c r="I6" s="72">
        <v>41979</v>
      </c>
      <c r="J6" s="1" t="s">
        <v>50</v>
      </c>
    </row>
    <row r="7" spans="1:10" x14ac:dyDescent="0.2">
      <c r="A7" s="1" t="s">
        <v>210</v>
      </c>
      <c r="B7" s="32">
        <v>69.900000000000006</v>
      </c>
      <c r="C7">
        <v>0</v>
      </c>
      <c r="D7">
        <v>1</v>
      </c>
      <c r="E7">
        <v>0</v>
      </c>
      <c r="F7" s="72">
        <v>42014</v>
      </c>
      <c r="G7" s="87">
        <v>0</v>
      </c>
      <c r="H7" s="1" t="s">
        <v>47</v>
      </c>
      <c r="I7" s="72">
        <v>41974</v>
      </c>
      <c r="J7" t="s">
        <v>46</v>
      </c>
    </row>
    <row r="8" spans="1:10" x14ac:dyDescent="0.2">
      <c r="A8" t="s">
        <v>96</v>
      </c>
      <c r="B8" s="32">
        <v>26</v>
      </c>
      <c r="C8">
        <v>0</v>
      </c>
      <c r="D8">
        <v>1</v>
      </c>
      <c r="E8">
        <v>0</v>
      </c>
      <c r="F8" s="72">
        <v>42014</v>
      </c>
      <c r="G8" s="87">
        <v>0</v>
      </c>
      <c r="H8" s="1" t="s">
        <v>47</v>
      </c>
      <c r="I8" s="72">
        <v>41981</v>
      </c>
      <c r="J8" s="1" t="s">
        <v>50</v>
      </c>
    </row>
    <row r="9" spans="1:10" x14ac:dyDescent="0.2">
      <c r="A9" s="1" t="s">
        <v>374</v>
      </c>
      <c r="B9" s="32">
        <v>6</v>
      </c>
      <c r="C9">
        <v>0</v>
      </c>
      <c r="D9">
        <v>1</v>
      </c>
      <c r="E9">
        <v>0</v>
      </c>
      <c r="F9" s="72">
        <v>42014</v>
      </c>
      <c r="G9" s="87">
        <v>0</v>
      </c>
      <c r="H9" s="1" t="s">
        <v>47</v>
      </c>
      <c r="I9" s="72">
        <v>41981</v>
      </c>
      <c r="J9" s="1" t="s">
        <v>189</v>
      </c>
    </row>
    <row r="10" spans="1:10" x14ac:dyDescent="0.2">
      <c r="A10" s="1" t="s">
        <v>375</v>
      </c>
      <c r="B10" s="32">
        <v>8.3000000000000007</v>
      </c>
      <c r="C10">
        <v>0</v>
      </c>
      <c r="D10">
        <v>1</v>
      </c>
      <c r="E10">
        <v>0</v>
      </c>
      <c r="F10" s="72">
        <v>42014</v>
      </c>
      <c r="G10" s="87">
        <v>0</v>
      </c>
      <c r="H10" s="1" t="s">
        <v>47</v>
      </c>
      <c r="I10" s="72">
        <v>41981</v>
      </c>
      <c r="J10" s="1" t="s">
        <v>344</v>
      </c>
    </row>
    <row r="11" spans="1:10" x14ac:dyDescent="0.2">
      <c r="A11" t="s">
        <v>96</v>
      </c>
      <c r="B11" s="32">
        <v>23.9</v>
      </c>
      <c r="C11">
        <v>0</v>
      </c>
      <c r="D11">
        <v>1</v>
      </c>
      <c r="E11">
        <v>0</v>
      </c>
      <c r="F11" s="72">
        <v>42014</v>
      </c>
      <c r="G11" s="87">
        <v>0</v>
      </c>
      <c r="H11" s="1" t="s">
        <v>47</v>
      </c>
      <c r="I11" s="72">
        <v>42347</v>
      </c>
      <c r="J11" s="1" t="s">
        <v>50</v>
      </c>
    </row>
    <row r="12" spans="1:10" x14ac:dyDescent="0.2">
      <c r="A12" s="1" t="s">
        <v>387</v>
      </c>
      <c r="B12" s="32">
        <v>86.04</v>
      </c>
      <c r="C12">
        <v>0</v>
      </c>
      <c r="D12">
        <v>1</v>
      </c>
      <c r="E12">
        <v>0</v>
      </c>
      <c r="F12" s="72">
        <v>42014</v>
      </c>
      <c r="G12" s="87">
        <v>0</v>
      </c>
      <c r="H12" s="1" t="s">
        <v>51</v>
      </c>
      <c r="I12" s="72">
        <v>41989</v>
      </c>
      <c r="J12" s="1" t="s">
        <v>189</v>
      </c>
    </row>
    <row r="13" spans="1:10" x14ac:dyDescent="0.2">
      <c r="A13" s="1" t="s">
        <v>394</v>
      </c>
      <c r="B13">
        <v>125</v>
      </c>
      <c r="C13">
        <v>0</v>
      </c>
      <c r="D13">
        <v>1</v>
      </c>
      <c r="E13">
        <v>0</v>
      </c>
      <c r="F13" s="72">
        <v>42014</v>
      </c>
      <c r="G13" s="87">
        <v>0</v>
      </c>
      <c r="H13" s="1" t="s">
        <v>54</v>
      </c>
      <c r="I13" s="72">
        <v>41993</v>
      </c>
      <c r="J13" t="s">
        <v>153</v>
      </c>
    </row>
    <row r="14" spans="1:10" x14ac:dyDescent="0.2">
      <c r="A14" s="1" t="s">
        <v>452</v>
      </c>
      <c r="B14">
        <v>186.89</v>
      </c>
      <c r="C14">
        <v>0</v>
      </c>
      <c r="D14">
        <v>1</v>
      </c>
      <c r="E14">
        <v>0</v>
      </c>
      <c r="F14" s="72">
        <v>42014</v>
      </c>
      <c r="G14" s="87">
        <v>0</v>
      </c>
      <c r="H14" s="1" t="s">
        <v>179</v>
      </c>
      <c r="I14" s="72">
        <v>42004</v>
      </c>
      <c r="J14" s="1" t="s">
        <v>206</v>
      </c>
    </row>
    <row r="15" spans="1:10" x14ac:dyDescent="0.2">
      <c r="A15" s="1" t="s">
        <v>414</v>
      </c>
      <c r="B15">
        <v>190</v>
      </c>
      <c r="C15">
        <v>0</v>
      </c>
      <c r="D15">
        <v>1</v>
      </c>
      <c r="E15">
        <v>0</v>
      </c>
      <c r="F15" s="72">
        <v>42014</v>
      </c>
      <c r="G15" s="87">
        <v>0</v>
      </c>
      <c r="H15" s="1" t="s">
        <v>179</v>
      </c>
      <c r="I15" s="72">
        <v>42002</v>
      </c>
      <c r="J15" t="s">
        <v>153</v>
      </c>
    </row>
    <row r="16" spans="1:10" x14ac:dyDescent="0.2">
      <c r="A16" s="1" t="s">
        <v>182</v>
      </c>
      <c r="B16">
        <v>28.14</v>
      </c>
      <c r="C16">
        <v>0</v>
      </c>
      <c r="D16">
        <v>1</v>
      </c>
      <c r="E16">
        <v>0</v>
      </c>
      <c r="F16" s="72">
        <v>42014</v>
      </c>
      <c r="G16" s="87">
        <v>0</v>
      </c>
      <c r="H16" s="1" t="s">
        <v>179</v>
      </c>
      <c r="I16" s="72">
        <v>42004</v>
      </c>
      <c r="J16" s="1" t="s">
        <v>50</v>
      </c>
    </row>
    <row r="17" spans="1:10" x14ac:dyDescent="0.2">
      <c r="A17" s="1" t="s">
        <v>374</v>
      </c>
      <c r="B17">
        <v>8</v>
      </c>
      <c r="C17">
        <v>0</v>
      </c>
      <c r="D17">
        <v>1</v>
      </c>
      <c r="E17">
        <v>0</v>
      </c>
      <c r="F17" s="72">
        <v>42014</v>
      </c>
      <c r="G17" s="87">
        <v>0</v>
      </c>
      <c r="H17" s="1" t="s">
        <v>179</v>
      </c>
      <c r="I17" s="72">
        <v>42004</v>
      </c>
      <c r="J17" s="1" t="s">
        <v>50</v>
      </c>
    </row>
    <row r="18" spans="1:10" x14ac:dyDescent="0.2">
      <c r="A18" s="1" t="s">
        <v>454</v>
      </c>
      <c r="B18">
        <v>3.9</v>
      </c>
      <c r="C18">
        <v>0</v>
      </c>
      <c r="D18">
        <v>1</v>
      </c>
      <c r="E18">
        <v>0</v>
      </c>
      <c r="F18" s="72">
        <v>42014</v>
      </c>
      <c r="G18" s="87">
        <v>0</v>
      </c>
      <c r="H18" s="1" t="s">
        <v>47</v>
      </c>
      <c r="I18" s="72">
        <v>42006</v>
      </c>
      <c r="J18" s="1" t="s">
        <v>50</v>
      </c>
    </row>
    <row r="19" spans="1:10" x14ac:dyDescent="0.2">
      <c r="A19" s="1" t="s">
        <v>107</v>
      </c>
      <c r="B19">
        <v>25.7</v>
      </c>
      <c r="C19">
        <v>0</v>
      </c>
      <c r="D19">
        <v>1</v>
      </c>
      <c r="E19">
        <v>0</v>
      </c>
      <c r="F19" s="72">
        <v>42014</v>
      </c>
      <c r="G19" s="87">
        <v>0</v>
      </c>
      <c r="H19" s="1" t="s">
        <v>179</v>
      </c>
      <c r="I19" s="72">
        <v>42004</v>
      </c>
      <c r="J19" s="1" t="s">
        <v>344</v>
      </c>
    </row>
    <row r="20" spans="1:10" x14ac:dyDescent="0.2">
      <c r="A20" s="1" t="s">
        <v>43</v>
      </c>
      <c r="B20">
        <v>30</v>
      </c>
      <c r="C20">
        <v>1</v>
      </c>
      <c r="D20">
        <v>0</v>
      </c>
      <c r="E20">
        <v>0</v>
      </c>
      <c r="F20" s="72">
        <v>42014</v>
      </c>
      <c r="G20" s="87">
        <v>0</v>
      </c>
      <c r="H20" s="1" t="s">
        <v>179</v>
      </c>
      <c r="I20" s="72">
        <v>42004</v>
      </c>
      <c r="J20" t="s">
        <v>340</v>
      </c>
    </row>
    <row r="21" spans="1:10" x14ac:dyDescent="0.2">
      <c r="A21" s="1" t="s">
        <v>455</v>
      </c>
      <c r="B21">
        <v>55.44</v>
      </c>
      <c r="C21">
        <v>1</v>
      </c>
      <c r="D21">
        <v>0</v>
      </c>
      <c r="E21">
        <v>0</v>
      </c>
      <c r="F21" s="72">
        <v>42014</v>
      </c>
      <c r="G21" s="87">
        <v>0</v>
      </c>
      <c r="H21" s="1" t="s">
        <v>47</v>
      </c>
      <c r="I21" s="72">
        <v>42006</v>
      </c>
      <c r="J21" t="s">
        <v>340</v>
      </c>
    </row>
    <row r="22" spans="1:10" x14ac:dyDescent="0.2">
      <c r="A22" t="s">
        <v>96</v>
      </c>
      <c r="B22">
        <v>25.88</v>
      </c>
      <c r="C22">
        <v>0</v>
      </c>
      <c r="D22">
        <v>1</v>
      </c>
      <c r="E22">
        <v>0</v>
      </c>
      <c r="F22" s="72">
        <v>42014</v>
      </c>
      <c r="G22" s="87">
        <v>0</v>
      </c>
      <c r="H22" s="1" t="s">
        <v>47</v>
      </c>
      <c r="I22" s="72">
        <v>42006</v>
      </c>
      <c r="J22" s="1" t="s">
        <v>50</v>
      </c>
    </row>
    <row r="23" spans="1:10" x14ac:dyDescent="0.2">
      <c r="A23" s="1" t="s">
        <v>43</v>
      </c>
      <c r="B23">
        <v>30</v>
      </c>
      <c r="C23">
        <v>1</v>
      </c>
      <c r="D23">
        <v>0</v>
      </c>
      <c r="E23">
        <v>0</v>
      </c>
      <c r="F23" s="72">
        <v>42014</v>
      </c>
      <c r="G23" s="87">
        <v>0</v>
      </c>
      <c r="H23" s="1" t="s">
        <v>47</v>
      </c>
      <c r="I23" s="72">
        <v>42007</v>
      </c>
      <c r="J23" t="s">
        <v>340</v>
      </c>
    </row>
    <row r="24" spans="1:10" x14ac:dyDescent="0.2">
      <c r="A24" s="1" t="s">
        <v>461</v>
      </c>
      <c r="B24">
        <v>6.6</v>
      </c>
      <c r="C24">
        <v>0</v>
      </c>
      <c r="D24">
        <v>1</v>
      </c>
      <c r="E24">
        <v>0</v>
      </c>
      <c r="F24" s="72">
        <v>42014</v>
      </c>
      <c r="G24" s="87">
        <v>0</v>
      </c>
      <c r="H24" s="1" t="s">
        <v>47</v>
      </c>
      <c r="I24" s="72">
        <v>42007</v>
      </c>
      <c r="J24" s="1" t="s">
        <v>50</v>
      </c>
    </row>
    <row r="25" spans="1:10" x14ac:dyDescent="0.2">
      <c r="A25" s="12" t="s">
        <v>399</v>
      </c>
      <c r="B25" s="91">
        <v>654.73</v>
      </c>
      <c r="C25" s="12">
        <v>1</v>
      </c>
      <c r="D25" s="12">
        <v>0</v>
      </c>
      <c r="E25">
        <v>1</v>
      </c>
      <c r="F25" s="92">
        <v>42045</v>
      </c>
      <c r="G25" s="91">
        <v>1</v>
      </c>
      <c r="H25" s="12" t="s">
        <v>54</v>
      </c>
      <c r="I25" s="92">
        <v>42052</v>
      </c>
      <c r="J25" s="12" t="s">
        <v>336</v>
      </c>
    </row>
    <row r="26" spans="1:10" x14ac:dyDescent="0.2">
      <c r="A26" s="1" t="s">
        <v>395</v>
      </c>
      <c r="B26">
        <v>125</v>
      </c>
      <c r="C26">
        <v>0</v>
      </c>
      <c r="D26">
        <v>1</v>
      </c>
      <c r="E26">
        <v>1</v>
      </c>
      <c r="F26" s="72">
        <v>42045</v>
      </c>
      <c r="G26" s="91">
        <v>1</v>
      </c>
      <c r="H26" s="1" t="s">
        <v>54</v>
      </c>
      <c r="I26" s="72">
        <v>41993</v>
      </c>
      <c r="J26" t="s">
        <v>153</v>
      </c>
    </row>
    <row r="27" spans="1:10" x14ac:dyDescent="0.2">
      <c r="A27" s="1" t="s">
        <v>453</v>
      </c>
      <c r="B27">
        <v>186.89</v>
      </c>
      <c r="C27">
        <v>0</v>
      </c>
      <c r="D27">
        <v>1</v>
      </c>
      <c r="E27">
        <v>1</v>
      </c>
      <c r="F27" s="72">
        <v>42045</v>
      </c>
      <c r="G27" s="91">
        <v>1</v>
      </c>
      <c r="H27" s="1" t="s">
        <v>179</v>
      </c>
      <c r="I27" s="72">
        <v>42004</v>
      </c>
      <c r="J27" s="1" t="s">
        <v>206</v>
      </c>
    </row>
    <row r="28" spans="1:10" x14ac:dyDescent="0.2">
      <c r="A28" s="1" t="s">
        <v>415</v>
      </c>
      <c r="B28">
        <v>190</v>
      </c>
      <c r="C28">
        <v>0</v>
      </c>
      <c r="D28">
        <v>1</v>
      </c>
      <c r="E28">
        <v>1</v>
      </c>
      <c r="F28" s="72">
        <v>42045</v>
      </c>
      <c r="G28" s="91">
        <v>1</v>
      </c>
      <c r="H28" s="1" t="s">
        <v>179</v>
      </c>
      <c r="I28" s="72">
        <v>42002</v>
      </c>
      <c r="J28" t="s">
        <v>153</v>
      </c>
    </row>
    <row r="29" spans="1:10" x14ac:dyDescent="0.2">
      <c r="A29" s="1" t="s">
        <v>210</v>
      </c>
      <c r="B29" s="32">
        <v>69.900000000000006</v>
      </c>
      <c r="C29">
        <v>0</v>
      </c>
      <c r="D29">
        <v>1</v>
      </c>
      <c r="E29">
        <v>1</v>
      </c>
      <c r="F29" s="72">
        <v>42045</v>
      </c>
      <c r="G29" s="91">
        <v>1</v>
      </c>
      <c r="H29" s="1" t="s">
        <v>47</v>
      </c>
      <c r="I29" s="72">
        <v>42011</v>
      </c>
      <c r="J29" t="s">
        <v>46</v>
      </c>
    </row>
    <row r="30" spans="1:10" x14ac:dyDescent="0.2">
      <c r="A30" s="1" t="s">
        <v>488</v>
      </c>
      <c r="B30" s="32">
        <v>8.48</v>
      </c>
      <c r="C30">
        <v>0</v>
      </c>
      <c r="D30">
        <v>1</v>
      </c>
      <c r="E30">
        <v>1</v>
      </c>
      <c r="F30" s="72">
        <v>42045</v>
      </c>
      <c r="G30" s="91">
        <v>1</v>
      </c>
      <c r="H30" s="1" t="s">
        <v>47</v>
      </c>
      <c r="I30" s="72">
        <v>42012</v>
      </c>
      <c r="J30" t="s">
        <v>189</v>
      </c>
    </row>
    <row r="31" spans="1:10" x14ac:dyDescent="0.2">
      <c r="A31" s="1" t="s">
        <v>489</v>
      </c>
      <c r="B31" s="32">
        <v>10.5</v>
      </c>
      <c r="C31">
        <v>0</v>
      </c>
      <c r="D31">
        <v>1</v>
      </c>
      <c r="E31">
        <v>1</v>
      </c>
      <c r="F31" s="72">
        <v>42045</v>
      </c>
      <c r="G31" s="91">
        <v>1</v>
      </c>
      <c r="H31" s="1" t="s">
        <v>47</v>
      </c>
      <c r="I31" s="72">
        <v>42013</v>
      </c>
      <c r="J31" t="s">
        <v>50</v>
      </c>
    </row>
    <row r="32" spans="1:10" x14ac:dyDescent="0.2">
      <c r="A32" t="s">
        <v>96</v>
      </c>
      <c r="B32" s="32">
        <v>27.53</v>
      </c>
      <c r="C32">
        <v>0</v>
      </c>
      <c r="D32">
        <v>1</v>
      </c>
      <c r="E32">
        <v>1</v>
      </c>
      <c r="F32" s="72">
        <v>42045</v>
      </c>
      <c r="G32" s="91">
        <v>1</v>
      </c>
      <c r="H32" s="1" t="s">
        <v>47</v>
      </c>
      <c r="I32" s="72">
        <v>42011</v>
      </c>
      <c r="J32" s="1" t="s">
        <v>50</v>
      </c>
    </row>
    <row r="33" spans="1:10" x14ac:dyDescent="0.2">
      <c r="A33" t="s">
        <v>96</v>
      </c>
      <c r="B33" s="32">
        <v>24.7</v>
      </c>
      <c r="C33">
        <v>0</v>
      </c>
      <c r="D33">
        <v>1</v>
      </c>
      <c r="E33">
        <v>1</v>
      </c>
      <c r="F33" s="72">
        <v>42045</v>
      </c>
      <c r="G33" s="91">
        <v>1</v>
      </c>
      <c r="H33" s="1" t="s">
        <v>47</v>
      </c>
      <c r="I33" s="72">
        <v>42012</v>
      </c>
      <c r="J33" s="1" t="s">
        <v>50</v>
      </c>
    </row>
    <row r="34" spans="1:10" x14ac:dyDescent="0.2">
      <c r="A34" t="s">
        <v>96</v>
      </c>
      <c r="B34" s="32">
        <v>28.05</v>
      </c>
      <c r="C34">
        <v>0</v>
      </c>
      <c r="D34">
        <v>1</v>
      </c>
      <c r="E34">
        <v>1</v>
      </c>
      <c r="F34" s="72">
        <v>42045</v>
      </c>
      <c r="G34" s="91">
        <v>1</v>
      </c>
      <c r="H34" s="1" t="s">
        <v>47</v>
      </c>
      <c r="I34" s="72">
        <v>42013</v>
      </c>
      <c r="J34" s="1" t="s">
        <v>50</v>
      </c>
    </row>
    <row r="35" spans="1:10" x14ac:dyDescent="0.2">
      <c r="A35" s="1" t="s">
        <v>490</v>
      </c>
      <c r="B35" s="32">
        <v>49.17</v>
      </c>
      <c r="C35">
        <v>0</v>
      </c>
      <c r="D35">
        <v>1</v>
      </c>
      <c r="E35">
        <v>1</v>
      </c>
      <c r="F35" s="72">
        <v>42045</v>
      </c>
      <c r="G35" s="91">
        <v>1</v>
      </c>
      <c r="H35" s="1" t="s">
        <v>47</v>
      </c>
      <c r="I35" s="72">
        <v>42013</v>
      </c>
      <c r="J35" s="1" t="s">
        <v>50</v>
      </c>
    </row>
    <row r="36" spans="1:10" x14ac:dyDescent="0.2">
      <c r="A36" s="1" t="s">
        <v>43</v>
      </c>
      <c r="B36" s="32">
        <v>30</v>
      </c>
      <c r="C36">
        <v>1</v>
      </c>
      <c r="D36">
        <v>0</v>
      </c>
      <c r="E36">
        <v>1</v>
      </c>
      <c r="F36" s="72">
        <v>42045</v>
      </c>
      <c r="G36" s="91">
        <v>1</v>
      </c>
      <c r="H36" s="1" t="s">
        <v>47</v>
      </c>
      <c r="I36" s="72">
        <v>42013</v>
      </c>
      <c r="J36" t="s">
        <v>340</v>
      </c>
    </row>
    <row r="37" spans="1:10" x14ac:dyDescent="0.2">
      <c r="A37" s="1" t="s">
        <v>43</v>
      </c>
      <c r="B37" s="32">
        <v>30</v>
      </c>
      <c r="C37">
        <v>1</v>
      </c>
      <c r="D37">
        <v>0</v>
      </c>
      <c r="E37">
        <v>1</v>
      </c>
      <c r="F37" s="72">
        <v>42045</v>
      </c>
      <c r="G37" s="91">
        <v>1</v>
      </c>
      <c r="H37" s="1" t="s">
        <v>49</v>
      </c>
      <c r="I37" s="72">
        <v>42015</v>
      </c>
      <c r="J37" t="s">
        <v>340</v>
      </c>
    </row>
    <row r="38" spans="1:10" x14ac:dyDescent="0.2">
      <c r="A38" s="1" t="s">
        <v>387</v>
      </c>
      <c r="B38" s="32">
        <v>81.5</v>
      </c>
      <c r="C38">
        <v>0</v>
      </c>
      <c r="D38">
        <v>1</v>
      </c>
      <c r="E38">
        <v>1</v>
      </c>
      <c r="F38" s="72">
        <v>42045</v>
      </c>
      <c r="G38" s="91">
        <v>1</v>
      </c>
      <c r="H38" s="1" t="s">
        <v>51</v>
      </c>
      <c r="I38" s="72">
        <v>42018</v>
      </c>
      <c r="J38" s="1" t="s">
        <v>50</v>
      </c>
    </row>
    <row r="39" spans="1:10" x14ac:dyDescent="0.2">
      <c r="A39" s="1" t="s">
        <v>494</v>
      </c>
      <c r="B39" s="32">
        <v>6.6</v>
      </c>
      <c r="C39">
        <v>0</v>
      </c>
      <c r="D39">
        <v>1</v>
      </c>
      <c r="E39">
        <v>1</v>
      </c>
      <c r="F39" s="72">
        <v>42045</v>
      </c>
      <c r="G39" s="91">
        <v>1</v>
      </c>
      <c r="H39" s="1" t="s">
        <v>49</v>
      </c>
      <c r="I39" s="72">
        <v>42020</v>
      </c>
      <c r="J39" s="1" t="s">
        <v>50</v>
      </c>
    </row>
    <row r="40" spans="1:10" x14ac:dyDescent="0.2">
      <c r="A40" s="1" t="s">
        <v>506</v>
      </c>
      <c r="B40" s="32">
        <v>20</v>
      </c>
      <c r="C40">
        <v>0</v>
      </c>
      <c r="D40">
        <v>1</v>
      </c>
      <c r="E40">
        <v>1</v>
      </c>
      <c r="F40" s="72">
        <v>42045</v>
      </c>
      <c r="G40" s="91">
        <v>1</v>
      </c>
      <c r="H40" s="1" t="s">
        <v>49</v>
      </c>
      <c r="I40" s="72">
        <v>42020</v>
      </c>
      <c r="J40" s="1" t="s">
        <v>50</v>
      </c>
    </row>
    <row r="41" spans="1:10" x14ac:dyDescent="0.2">
      <c r="A41" s="1" t="s">
        <v>43</v>
      </c>
      <c r="B41" s="32">
        <v>30</v>
      </c>
      <c r="C41">
        <v>1</v>
      </c>
      <c r="D41">
        <v>0</v>
      </c>
      <c r="E41">
        <v>1</v>
      </c>
      <c r="F41" s="72">
        <v>42045</v>
      </c>
      <c r="G41" s="91">
        <v>1</v>
      </c>
      <c r="H41" s="1" t="s">
        <v>49</v>
      </c>
      <c r="I41" s="72">
        <v>42020</v>
      </c>
      <c r="J41" t="s">
        <v>340</v>
      </c>
    </row>
    <row r="42" spans="1:10" x14ac:dyDescent="0.2">
      <c r="A42" s="1" t="s">
        <v>43</v>
      </c>
      <c r="B42" s="32">
        <v>30</v>
      </c>
      <c r="C42">
        <v>1</v>
      </c>
      <c r="D42">
        <v>0</v>
      </c>
      <c r="E42">
        <v>1</v>
      </c>
      <c r="F42" s="72">
        <v>42045</v>
      </c>
      <c r="G42" s="91">
        <v>1</v>
      </c>
      <c r="H42" s="1" t="s">
        <v>49</v>
      </c>
      <c r="I42" s="72">
        <v>42021</v>
      </c>
      <c r="J42" t="s">
        <v>340</v>
      </c>
    </row>
    <row r="43" spans="1:10" x14ac:dyDescent="0.2">
      <c r="A43" s="1" t="s">
        <v>495</v>
      </c>
      <c r="B43" s="32">
        <v>46.7</v>
      </c>
      <c r="C43">
        <v>0</v>
      </c>
      <c r="D43">
        <v>1</v>
      </c>
      <c r="E43">
        <v>1</v>
      </c>
      <c r="F43" s="72">
        <v>42045</v>
      </c>
      <c r="G43" s="91">
        <v>1</v>
      </c>
      <c r="H43" s="1" t="s">
        <v>49</v>
      </c>
      <c r="I43" s="72">
        <v>42020</v>
      </c>
      <c r="J43" t="s">
        <v>153</v>
      </c>
    </row>
    <row r="44" spans="1:10" x14ac:dyDescent="0.2">
      <c r="A44" s="1" t="s">
        <v>496</v>
      </c>
      <c r="B44" s="32">
        <v>7.65</v>
      </c>
      <c r="C44">
        <v>0</v>
      </c>
      <c r="D44">
        <v>1</v>
      </c>
      <c r="E44">
        <v>1</v>
      </c>
      <c r="F44" s="72">
        <v>42045</v>
      </c>
      <c r="G44" s="91">
        <v>1</v>
      </c>
      <c r="H44" s="1" t="s">
        <v>49</v>
      </c>
      <c r="I44" s="72">
        <v>42021</v>
      </c>
      <c r="J44" s="1" t="s">
        <v>50</v>
      </c>
    </row>
    <row r="45" spans="1:10" x14ac:dyDescent="0.2">
      <c r="A45" s="1" t="s">
        <v>107</v>
      </c>
      <c r="B45" s="32">
        <v>30.1</v>
      </c>
      <c r="C45">
        <v>0</v>
      </c>
      <c r="D45">
        <v>1</v>
      </c>
      <c r="E45">
        <v>1</v>
      </c>
      <c r="F45" s="72">
        <v>42045</v>
      </c>
      <c r="G45" s="91">
        <v>1</v>
      </c>
      <c r="H45" s="1" t="s">
        <v>54</v>
      </c>
      <c r="I45" s="72">
        <v>42024</v>
      </c>
      <c r="J45" s="1" t="s">
        <v>107</v>
      </c>
    </row>
    <row r="46" spans="1:10" x14ac:dyDescent="0.2">
      <c r="A46" t="s">
        <v>96</v>
      </c>
      <c r="B46" s="32">
        <v>24.7</v>
      </c>
      <c r="C46">
        <v>0</v>
      </c>
      <c r="D46">
        <v>1</v>
      </c>
      <c r="E46">
        <v>1</v>
      </c>
      <c r="F46" s="72">
        <v>42045</v>
      </c>
      <c r="G46" s="91">
        <v>1</v>
      </c>
      <c r="H46" s="1" t="s">
        <v>54</v>
      </c>
      <c r="I46" s="72">
        <v>42023</v>
      </c>
      <c r="J46" s="1" t="s">
        <v>50</v>
      </c>
    </row>
    <row r="47" spans="1:10" x14ac:dyDescent="0.2">
      <c r="A47" s="1" t="s">
        <v>53</v>
      </c>
      <c r="B47" s="32">
        <v>20.5</v>
      </c>
      <c r="C47">
        <v>0</v>
      </c>
      <c r="D47">
        <v>1</v>
      </c>
      <c r="E47">
        <v>1</v>
      </c>
      <c r="F47" s="72">
        <v>42045</v>
      </c>
      <c r="G47" s="91">
        <v>1</v>
      </c>
      <c r="H47" s="1" t="s">
        <v>54</v>
      </c>
      <c r="I47" s="72">
        <v>42025</v>
      </c>
      <c r="J47" s="1" t="s">
        <v>50</v>
      </c>
    </row>
    <row r="48" spans="1:10" x14ac:dyDescent="0.2">
      <c r="A48" s="1" t="s">
        <v>497</v>
      </c>
      <c r="B48" s="32">
        <v>58</v>
      </c>
      <c r="C48">
        <v>0</v>
      </c>
      <c r="D48">
        <v>1</v>
      </c>
      <c r="E48">
        <v>1</v>
      </c>
      <c r="F48" s="72">
        <v>42045</v>
      </c>
      <c r="G48" s="91">
        <v>1</v>
      </c>
      <c r="H48" s="1" t="s">
        <v>54</v>
      </c>
      <c r="I48" s="72">
        <v>42024</v>
      </c>
      <c r="J48" s="1" t="s">
        <v>344</v>
      </c>
    </row>
    <row r="49" spans="1:10" x14ac:dyDescent="0.2">
      <c r="A49" s="1" t="s">
        <v>498</v>
      </c>
      <c r="B49" s="32">
        <v>14.5</v>
      </c>
      <c r="C49">
        <v>0</v>
      </c>
      <c r="D49">
        <v>1</v>
      </c>
      <c r="E49">
        <v>1</v>
      </c>
      <c r="F49" s="72">
        <v>42045</v>
      </c>
      <c r="G49" s="91">
        <v>1</v>
      </c>
      <c r="H49" s="1" t="s">
        <v>54</v>
      </c>
      <c r="I49" s="72">
        <v>42024</v>
      </c>
      <c r="J49" s="1" t="s">
        <v>50</v>
      </c>
    </row>
    <row r="50" spans="1:10" x14ac:dyDescent="0.2">
      <c r="A50" t="s">
        <v>96</v>
      </c>
      <c r="B50" s="32">
        <v>15.6</v>
      </c>
      <c r="C50">
        <v>0</v>
      </c>
      <c r="D50">
        <v>1</v>
      </c>
      <c r="E50">
        <v>1</v>
      </c>
      <c r="F50" s="72">
        <v>42045</v>
      </c>
      <c r="G50" s="91">
        <v>1</v>
      </c>
      <c r="H50" s="1" t="s">
        <v>54</v>
      </c>
      <c r="I50" s="72">
        <v>42025</v>
      </c>
      <c r="J50" s="1" t="s">
        <v>50</v>
      </c>
    </row>
    <row r="51" spans="1:10" x14ac:dyDescent="0.2">
      <c r="A51" t="s">
        <v>96</v>
      </c>
      <c r="B51" s="32">
        <v>16.489999999999998</v>
      </c>
      <c r="C51">
        <v>0</v>
      </c>
      <c r="D51">
        <v>1</v>
      </c>
      <c r="E51">
        <v>1</v>
      </c>
      <c r="F51" s="72">
        <v>42045</v>
      </c>
      <c r="G51" s="91">
        <v>1</v>
      </c>
      <c r="H51" s="1" t="s">
        <v>54</v>
      </c>
      <c r="I51" s="72">
        <v>42026</v>
      </c>
      <c r="J51" s="1" t="s">
        <v>50</v>
      </c>
    </row>
    <row r="52" spans="1:10" x14ac:dyDescent="0.2">
      <c r="A52" t="s">
        <v>96</v>
      </c>
      <c r="B52" s="32">
        <v>24.36</v>
      </c>
      <c r="C52">
        <v>0</v>
      </c>
      <c r="D52">
        <v>1</v>
      </c>
      <c r="E52">
        <v>1</v>
      </c>
      <c r="F52" s="72">
        <v>42045</v>
      </c>
      <c r="G52" s="91">
        <v>1</v>
      </c>
      <c r="H52" s="1" t="s">
        <v>54</v>
      </c>
      <c r="I52" s="72">
        <v>42027</v>
      </c>
      <c r="J52" s="1" t="s">
        <v>50</v>
      </c>
    </row>
    <row r="53" spans="1:10" x14ac:dyDescent="0.2">
      <c r="A53" s="1" t="s">
        <v>488</v>
      </c>
      <c r="B53" s="32">
        <v>46.3</v>
      </c>
      <c r="C53">
        <v>0</v>
      </c>
      <c r="D53">
        <v>1</v>
      </c>
      <c r="E53">
        <v>1</v>
      </c>
      <c r="F53" s="72">
        <v>42045</v>
      </c>
      <c r="G53" s="91">
        <v>1</v>
      </c>
      <c r="H53" s="1" t="s">
        <v>54</v>
      </c>
      <c r="I53" s="72">
        <v>42021</v>
      </c>
      <c r="J53" s="1" t="s">
        <v>189</v>
      </c>
    </row>
    <row r="54" spans="1:10" x14ac:dyDescent="0.2">
      <c r="A54" s="1" t="s">
        <v>508</v>
      </c>
      <c r="B54" s="32">
        <v>75</v>
      </c>
      <c r="C54">
        <v>0</v>
      </c>
      <c r="D54">
        <v>1</v>
      </c>
      <c r="E54">
        <v>1</v>
      </c>
      <c r="F54" s="72">
        <v>42045</v>
      </c>
      <c r="G54" s="91">
        <v>1</v>
      </c>
      <c r="H54" s="1" t="s">
        <v>55</v>
      </c>
      <c r="I54" s="72">
        <v>42031</v>
      </c>
      <c r="J54" s="1" t="s">
        <v>344</v>
      </c>
    </row>
    <row r="55" spans="1:10" x14ac:dyDescent="0.2">
      <c r="A55" s="1" t="s">
        <v>43</v>
      </c>
      <c r="B55" s="32">
        <v>60</v>
      </c>
      <c r="C55">
        <v>1</v>
      </c>
      <c r="D55">
        <v>0</v>
      </c>
      <c r="E55">
        <v>1</v>
      </c>
      <c r="F55" s="72">
        <v>42045</v>
      </c>
      <c r="G55" s="91">
        <v>1</v>
      </c>
      <c r="H55" s="1" t="s">
        <v>49</v>
      </c>
      <c r="I55" s="72">
        <v>42029</v>
      </c>
      <c r="J55" t="s">
        <v>340</v>
      </c>
    </row>
    <row r="56" spans="1:10" x14ac:dyDescent="0.2">
      <c r="A56" s="1" t="s">
        <v>510</v>
      </c>
      <c r="B56" s="32">
        <v>25</v>
      </c>
      <c r="C56">
        <v>0</v>
      </c>
      <c r="D56">
        <v>1</v>
      </c>
      <c r="E56">
        <v>1</v>
      </c>
      <c r="F56" s="72">
        <v>42045</v>
      </c>
      <c r="G56" s="91">
        <v>1</v>
      </c>
      <c r="H56" s="1" t="s">
        <v>55</v>
      </c>
      <c r="I56" s="72">
        <v>42029</v>
      </c>
      <c r="J56" s="1" t="s">
        <v>50</v>
      </c>
    </row>
    <row r="57" spans="1:10" x14ac:dyDescent="0.2">
      <c r="A57" s="1" t="s">
        <v>96</v>
      </c>
      <c r="B57" s="32">
        <v>13.23</v>
      </c>
      <c r="C57">
        <v>0</v>
      </c>
      <c r="D57">
        <v>1</v>
      </c>
      <c r="E57">
        <v>1</v>
      </c>
      <c r="F57" s="72">
        <v>42045</v>
      </c>
      <c r="G57" s="91">
        <v>1</v>
      </c>
      <c r="H57" s="1" t="s">
        <v>55</v>
      </c>
      <c r="I57" s="72">
        <v>42031</v>
      </c>
      <c r="J57" s="1" t="s">
        <v>50</v>
      </c>
    </row>
    <row r="58" spans="1:10" x14ac:dyDescent="0.2">
      <c r="A58" s="1" t="s">
        <v>95</v>
      </c>
      <c r="B58" s="32">
        <v>9.9</v>
      </c>
      <c r="C58">
        <v>0</v>
      </c>
      <c r="D58">
        <v>1</v>
      </c>
      <c r="E58">
        <v>1</v>
      </c>
      <c r="F58" s="72">
        <v>42045</v>
      </c>
      <c r="G58" s="91">
        <v>1</v>
      </c>
      <c r="H58" s="1" t="s">
        <v>55</v>
      </c>
      <c r="I58" s="72">
        <v>42031</v>
      </c>
      <c r="J58" s="1" t="s">
        <v>50</v>
      </c>
    </row>
    <row r="59" spans="1:10" x14ac:dyDescent="0.2">
      <c r="A59" s="1" t="s">
        <v>43</v>
      </c>
      <c r="B59" s="32">
        <v>30</v>
      </c>
      <c r="C59">
        <v>1</v>
      </c>
      <c r="D59">
        <v>0</v>
      </c>
      <c r="E59">
        <v>1</v>
      </c>
      <c r="F59" s="72">
        <v>42045</v>
      </c>
      <c r="G59" s="91">
        <v>1</v>
      </c>
      <c r="H59" s="1" t="s">
        <v>55</v>
      </c>
      <c r="I59" s="72">
        <v>42033</v>
      </c>
      <c r="J59" t="s">
        <v>340</v>
      </c>
    </row>
    <row r="60" spans="1:10" x14ac:dyDescent="0.2">
      <c r="A60" s="1" t="s">
        <v>96</v>
      </c>
      <c r="B60" s="32">
        <v>15.94</v>
      </c>
      <c r="C60">
        <v>0</v>
      </c>
      <c r="D60">
        <v>1</v>
      </c>
      <c r="E60">
        <v>1</v>
      </c>
      <c r="F60" s="72">
        <v>42045</v>
      </c>
      <c r="G60" s="91">
        <v>1</v>
      </c>
      <c r="H60" s="1" t="s">
        <v>55</v>
      </c>
      <c r="I60" s="72">
        <v>42033</v>
      </c>
      <c r="J60" s="1" t="s">
        <v>50</v>
      </c>
    </row>
    <row r="61" spans="1:10" x14ac:dyDescent="0.2">
      <c r="A61" s="1" t="s">
        <v>107</v>
      </c>
      <c r="B61" s="32">
        <v>29.88</v>
      </c>
      <c r="C61">
        <v>0</v>
      </c>
      <c r="D61">
        <v>1</v>
      </c>
      <c r="E61">
        <v>1</v>
      </c>
      <c r="F61" s="72">
        <v>42045</v>
      </c>
      <c r="G61" s="91">
        <v>1</v>
      </c>
      <c r="H61" s="1" t="s">
        <v>55</v>
      </c>
      <c r="I61" s="72">
        <v>42032</v>
      </c>
      <c r="J61" s="1" t="s">
        <v>344</v>
      </c>
    </row>
    <row r="62" spans="1:10" x14ac:dyDescent="0.2">
      <c r="A62" s="1" t="s">
        <v>107</v>
      </c>
      <c r="B62" s="32">
        <v>13.69</v>
      </c>
      <c r="C62">
        <v>0</v>
      </c>
      <c r="D62">
        <v>1</v>
      </c>
      <c r="E62">
        <v>1</v>
      </c>
      <c r="F62" s="72">
        <v>42045</v>
      </c>
      <c r="G62" s="91">
        <v>1</v>
      </c>
      <c r="H62" s="1" t="s">
        <v>55</v>
      </c>
      <c r="I62" s="72">
        <v>42033</v>
      </c>
      <c r="J62" s="1" t="s">
        <v>344</v>
      </c>
    </row>
    <row r="63" spans="1:10" x14ac:dyDescent="0.2">
      <c r="A63" s="1" t="s">
        <v>53</v>
      </c>
      <c r="B63" s="32">
        <v>9</v>
      </c>
      <c r="C63">
        <v>0</v>
      </c>
      <c r="D63">
        <v>1</v>
      </c>
      <c r="E63">
        <v>1</v>
      </c>
      <c r="F63" s="72">
        <v>42045</v>
      </c>
      <c r="G63" s="91">
        <v>1</v>
      </c>
      <c r="H63" s="1" t="s">
        <v>55</v>
      </c>
      <c r="I63" s="72">
        <v>42033</v>
      </c>
      <c r="J63" s="1" t="s">
        <v>50</v>
      </c>
    </row>
    <row r="64" spans="1:10" x14ac:dyDescent="0.2">
      <c r="A64" s="1" t="s">
        <v>516</v>
      </c>
      <c r="B64" s="32">
        <v>44</v>
      </c>
      <c r="C64">
        <v>0</v>
      </c>
      <c r="D64">
        <v>1</v>
      </c>
      <c r="E64">
        <v>1</v>
      </c>
      <c r="F64" s="72">
        <v>42045</v>
      </c>
      <c r="G64" s="91">
        <v>1</v>
      </c>
      <c r="H64" s="1" t="s">
        <v>55</v>
      </c>
      <c r="I64" s="72">
        <v>42032</v>
      </c>
      <c r="J64" s="1" t="s">
        <v>50</v>
      </c>
    </row>
    <row r="65" spans="1:10" x14ac:dyDescent="0.2">
      <c r="A65" s="1" t="s">
        <v>43</v>
      </c>
      <c r="B65" s="32">
        <v>30</v>
      </c>
      <c r="C65">
        <v>0</v>
      </c>
      <c r="D65">
        <v>1</v>
      </c>
      <c r="E65">
        <v>1</v>
      </c>
      <c r="F65" s="72">
        <v>42045</v>
      </c>
      <c r="G65" s="91">
        <v>1</v>
      </c>
      <c r="H65" s="1" t="s">
        <v>49</v>
      </c>
      <c r="I65" s="72">
        <v>42035</v>
      </c>
      <c r="J65" t="s">
        <v>340</v>
      </c>
    </row>
    <row r="66" spans="1:10" x14ac:dyDescent="0.2">
      <c r="A66" s="1" t="s">
        <v>43</v>
      </c>
      <c r="B66" s="32">
        <v>30</v>
      </c>
      <c r="C66">
        <v>0</v>
      </c>
      <c r="D66">
        <v>1</v>
      </c>
      <c r="E66">
        <v>1</v>
      </c>
      <c r="F66" s="72">
        <v>42045</v>
      </c>
      <c r="G66" s="91">
        <v>1</v>
      </c>
      <c r="H66" s="1" t="s">
        <v>49</v>
      </c>
      <c r="I66" s="72">
        <v>42035</v>
      </c>
      <c r="J66" t="s">
        <v>340</v>
      </c>
    </row>
    <row r="67" spans="1:10" x14ac:dyDescent="0.2">
      <c r="A67" s="1" t="s">
        <v>192</v>
      </c>
      <c r="B67" s="32">
        <v>54.8</v>
      </c>
      <c r="C67">
        <v>0</v>
      </c>
      <c r="D67">
        <v>1</v>
      </c>
      <c r="E67">
        <v>1</v>
      </c>
      <c r="F67" s="72">
        <v>42045</v>
      </c>
      <c r="G67" s="91">
        <v>1</v>
      </c>
      <c r="H67" s="1" t="s">
        <v>49</v>
      </c>
      <c r="I67" s="72">
        <v>42036</v>
      </c>
      <c r="J67" s="1" t="s">
        <v>50</v>
      </c>
    </row>
    <row r="68" spans="1:10" x14ac:dyDescent="0.2">
      <c r="A68" s="1" t="s">
        <v>517</v>
      </c>
      <c r="B68" s="32">
        <v>10.54</v>
      </c>
      <c r="C68">
        <v>0</v>
      </c>
      <c r="D68">
        <v>1</v>
      </c>
      <c r="E68">
        <v>1</v>
      </c>
      <c r="F68" s="72">
        <v>42045</v>
      </c>
      <c r="G68" s="91">
        <v>1</v>
      </c>
      <c r="H68" s="1" t="s">
        <v>49</v>
      </c>
      <c r="I68" s="72">
        <v>42035</v>
      </c>
      <c r="J68" s="1" t="s">
        <v>50</v>
      </c>
    </row>
    <row r="69" spans="1:10" x14ac:dyDescent="0.2">
      <c r="A69" s="1" t="s">
        <v>96</v>
      </c>
      <c r="B69" s="32">
        <v>35</v>
      </c>
      <c r="C69">
        <v>0</v>
      </c>
      <c r="D69">
        <v>1</v>
      </c>
      <c r="E69">
        <v>1</v>
      </c>
      <c r="F69" s="72">
        <v>42045</v>
      </c>
      <c r="G69" s="91">
        <v>1</v>
      </c>
      <c r="H69" s="1" t="s">
        <v>49</v>
      </c>
      <c r="I69" s="72">
        <v>42035</v>
      </c>
      <c r="J69" s="1" t="s">
        <v>50</v>
      </c>
    </row>
    <row r="70" spans="1:10" x14ac:dyDescent="0.2">
      <c r="A70" s="12" t="s">
        <v>531</v>
      </c>
      <c r="B70" s="91">
        <v>670</v>
      </c>
      <c r="C70" s="12">
        <v>1</v>
      </c>
      <c r="D70" s="12">
        <v>0</v>
      </c>
      <c r="E70">
        <v>0</v>
      </c>
      <c r="F70" s="92">
        <v>42045</v>
      </c>
      <c r="G70" s="91">
        <v>0</v>
      </c>
      <c r="H70" s="12" t="s">
        <v>54</v>
      </c>
      <c r="I70" s="92">
        <v>42052</v>
      </c>
      <c r="J70" s="12" t="s">
        <v>336</v>
      </c>
    </row>
    <row r="71" spans="1:10" x14ac:dyDescent="0.2">
      <c r="A71" s="12" t="s">
        <v>399</v>
      </c>
      <c r="B71" s="91">
        <v>706.14</v>
      </c>
      <c r="C71" s="12">
        <v>1</v>
      </c>
      <c r="D71" s="12">
        <v>0</v>
      </c>
      <c r="E71">
        <v>1</v>
      </c>
      <c r="F71" s="92">
        <v>42073</v>
      </c>
      <c r="G71" s="91">
        <v>1</v>
      </c>
      <c r="H71" s="12" t="s">
        <v>54</v>
      </c>
      <c r="I71" s="92">
        <v>42052</v>
      </c>
      <c r="J71" s="12" t="s">
        <v>336</v>
      </c>
    </row>
    <row r="72" spans="1:10" x14ac:dyDescent="0.2">
      <c r="A72" s="1" t="s">
        <v>509</v>
      </c>
      <c r="B72" s="32">
        <v>75</v>
      </c>
      <c r="C72">
        <v>0</v>
      </c>
      <c r="D72">
        <v>1</v>
      </c>
      <c r="E72">
        <v>1</v>
      </c>
      <c r="F72" s="72">
        <v>42073</v>
      </c>
      <c r="G72" s="87">
        <v>0</v>
      </c>
      <c r="H72" s="1" t="s">
        <v>55</v>
      </c>
      <c r="I72" s="72">
        <v>42031</v>
      </c>
      <c r="J72" s="1" t="s">
        <v>344</v>
      </c>
    </row>
    <row r="73" spans="1:10" x14ac:dyDescent="0.2">
      <c r="A73" s="1" t="s">
        <v>511</v>
      </c>
      <c r="B73">
        <f>656.39/3</f>
        <v>218.79666666666665</v>
      </c>
      <c r="C73">
        <v>0</v>
      </c>
      <c r="D73">
        <v>1</v>
      </c>
      <c r="E73">
        <v>1</v>
      </c>
      <c r="F73" s="72">
        <v>42073</v>
      </c>
      <c r="G73" s="87">
        <v>0</v>
      </c>
      <c r="H73" s="1" t="s">
        <v>47</v>
      </c>
      <c r="I73" s="72">
        <v>42041</v>
      </c>
      <c r="J73" s="1" t="s">
        <v>206</v>
      </c>
    </row>
    <row r="74" spans="1:10" x14ac:dyDescent="0.2">
      <c r="A74" s="1" t="s">
        <v>525</v>
      </c>
      <c r="B74">
        <v>64.98</v>
      </c>
      <c r="C74">
        <v>0</v>
      </c>
      <c r="D74">
        <v>1</v>
      </c>
      <c r="E74">
        <v>0</v>
      </c>
      <c r="F74" s="72">
        <v>42073</v>
      </c>
      <c r="G74" s="87">
        <v>0</v>
      </c>
      <c r="H74" s="1" t="s">
        <v>47</v>
      </c>
      <c r="I74" s="72">
        <v>42041</v>
      </c>
      <c r="J74" s="1" t="s">
        <v>344</v>
      </c>
    </row>
    <row r="75" spans="1:10" x14ac:dyDescent="0.2">
      <c r="A75" s="103" t="s">
        <v>455</v>
      </c>
      <c r="B75" s="103">
        <v>50.75</v>
      </c>
      <c r="C75" s="103">
        <v>0</v>
      </c>
      <c r="D75" s="103">
        <v>1</v>
      </c>
      <c r="E75" s="103">
        <v>0</v>
      </c>
      <c r="F75" s="72">
        <v>42073</v>
      </c>
      <c r="G75" s="87">
        <v>0</v>
      </c>
      <c r="H75" s="103" t="s">
        <v>47</v>
      </c>
      <c r="I75" s="88">
        <v>42041</v>
      </c>
      <c r="J75" s="10" t="s">
        <v>340</v>
      </c>
    </row>
    <row r="76" spans="1:10" x14ac:dyDescent="0.2">
      <c r="A76" s="103" t="s">
        <v>523</v>
      </c>
      <c r="B76" s="103">
        <v>145.4</v>
      </c>
      <c r="C76" s="103">
        <v>0</v>
      </c>
      <c r="D76" s="103">
        <v>1</v>
      </c>
      <c r="E76" s="103">
        <v>0</v>
      </c>
      <c r="F76" s="72">
        <v>42073</v>
      </c>
      <c r="G76" s="87">
        <v>0</v>
      </c>
      <c r="H76" s="103" t="s">
        <v>47</v>
      </c>
      <c r="I76" s="88">
        <v>42041</v>
      </c>
      <c r="J76" s="10" t="s">
        <v>50</v>
      </c>
    </row>
    <row r="77" spans="1:10" x14ac:dyDescent="0.2">
      <c r="A77" s="1" t="s">
        <v>210</v>
      </c>
      <c r="B77" s="32">
        <v>69.900000000000006</v>
      </c>
      <c r="C77">
        <v>0</v>
      </c>
      <c r="D77">
        <v>1</v>
      </c>
      <c r="E77">
        <v>0</v>
      </c>
      <c r="F77" s="72">
        <v>42073</v>
      </c>
      <c r="G77" s="87">
        <v>0</v>
      </c>
      <c r="H77" s="1" t="s">
        <v>47</v>
      </c>
      <c r="I77" s="72">
        <v>42011</v>
      </c>
      <c r="J77" t="s">
        <v>46</v>
      </c>
    </row>
    <row r="78" spans="1:10" x14ac:dyDescent="0.2">
      <c r="A78" s="12" t="s">
        <v>532</v>
      </c>
      <c r="B78" s="91">
        <v>670</v>
      </c>
      <c r="C78" s="12">
        <v>1</v>
      </c>
      <c r="D78" s="12">
        <v>0</v>
      </c>
      <c r="E78">
        <v>0</v>
      </c>
      <c r="F78" s="92">
        <v>42073</v>
      </c>
      <c r="G78" s="91">
        <v>0</v>
      </c>
      <c r="H78" s="12" t="s">
        <v>54</v>
      </c>
      <c r="I78" s="92">
        <v>42080</v>
      </c>
      <c r="J78" s="12" t="s">
        <v>336</v>
      </c>
    </row>
    <row r="79" spans="1:10" x14ac:dyDescent="0.2">
      <c r="A79" s="12" t="s">
        <v>87</v>
      </c>
      <c r="B79" s="91">
        <v>17.63</v>
      </c>
      <c r="C79" s="12">
        <v>1</v>
      </c>
      <c r="D79" s="12">
        <v>0</v>
      </c>
      <c r="E79" s="12">
        <v>0</v>
      </c>
      <c r="F79" s="72">
        <v>42073</v>
      </c>
      <c r="G79" s="91">
        <v>0</v>
      </c>
      <c r="H79" s="12" t="s">
        <v>54</v>
      </c>
      <c r="I79" s="92">
        <v>42080</v>
      </c>
      <c r="J79" s="12" t="s">
        <v>87</v>
      </c>
    </row>
    <row r="80" spans="1:10" x14ac:dyDescent="0.2">
      <c r="A80" s="1" t="s">
        <v>512</v>
      </c>
      <c r="B80">
        <f>656.39/3</f>
        <v>218.79666666666665</v>
      </c>
      <c r="C80">
        <v>0</v>
      </c>
      <c r="D80">
        <v>1</v>
      </c>
      <c r="E80">
        <v>0</v>
      </c>
      <c r="F80" s="72">
        <v>42104</v>
      </c>
      <c r="G80" s="87">
        <v>0</v>
      </c>
      <c r="H80" s="1" t="s">
        <v>47</v>
      </c>
      <c r="I80" s="72">
        <v>42041</v>
      </c>
      <c r="J80" s="1" t="s">
        <v>206</v>
      </c>
    </row>
    <row r="81" spans="1:10" x14ac:dyDescent="0.2">
      <c r="A81" s="12" t="s">
        <v>533</v>
      </c>
      <c r="B81" s="91">
        <v>670</v>
      </c>
      <c r="C81" s="12">
        <v>1</v>
      </c>
      <c r="D81" s="12">
        <v>0</v>
      </c>
      <c r="E81">
        <v>0</v>
      </c>
      <c r="F81" s="92">
        <v>42104</v>
      </c>
      <c r="G81" s="91">
        <v>0</v>
      </c>
      <c r="H81" s="12" t="s">
        <v>54</v>
      </c>
      <c r="I81" s="92">
        <v>42111</v>
      </c>
      <c r="J81" s="12" t="s">
        <v>336</v>
      </c>
    </row>
    <row r="82" spans="1:10" x14ac:dyDescent="0.2">
      <c r="A82" s="1" t="s">
        <v>210</v>
      </c>
      <c r="B82" s="32">
        <v>69.900000000000006</v>
      </c>
      <c r="C82">
        <v>0</v>
      </c>
      <c r="D82">
        <v>1</v>
      </c>
      <c r="E82">
        <v>0</v>
      </c>
      <c r="F82" s="72">
        <v>42104</v>
      </c>
      <c r="G82" s="87">
        <v>0</v>
      </c>
      <c r="H82" s="1" t="s">
        <v>47</v>
      </c>
      <c r="I82" s="72">
        <v>42011</v>
      </c>
      <c r="J82" t="s">
        <v>46</v>
      </c>
    </row>
    <row r="83" spans="1:10" x14ac:dyDescent="0.2">
      <c r="A83" s="12" t="s">
        <v>653</v>
      </c>
      <c r="B83" s="91">
        <v>80</v>
      </c>
      <c r="C83">
        <v>0</v>
      </c>
      <c r="D83">
        <v>1</v>
      </c>
      <c r="E83">
        <v>0</v>
      </c>
      <c r="F83" s="72">
        <v>42104</v>
      </c>
      <c r="G83" s="87">
        <v>0</v>
      </c>
      <c r="H83" s="1" t="s">
        <v>47</v>
      </c>
      <c r="I83" s="72">
        <v>42077</v>
      </c>
      <c r="J83" t="s">
        <v>344</v>
      </c>
    </row>
    <row r="84" spans="1:10" x14ac:dyDescent="0.2">
      <c r="A84" s="12" t="s">
        <v>652</v>
      </c>
      <c r="B84" s="91">
        <v>199</v>
      </c>
      <c r="C84">
        <v>0</v>
      </c>
      <c r="D84">
        <v>1</v>
      </c>
      <c r="E84">
        <v>0</v>
      </c>
      <c r="F84" s="72">
        <v>42104</v>
      </c>
      <c r="G84" s="87">
        <v>0</v>
      </c>
      <c r="H84" s="1" t="s">
        <v>47</v>
      </c>
      <c r="I84" s="72">
        <v>42077</v>
      </c>
      <c r="J84" t="s">
        <v>344</v>
      </c>
    </row>
    <row r="85" spans="1:10" x14ac:dyDescent="0.2">
      <c r="A85" s="12" t="s">
        <v>666</v>
      </c>
      <c r="B85" s="91">
        <v>30.48</v>
      </c>
      <c r="C85">
        <v>0</v>
      </c>
      <c r="D85">
        <v>1</v>
      </c>
      <c r="E85">
        <v>0</v>
      </c>
      <c r="F85" s="72">
        <v>42104</v>
      </c>
      <c r="G85" s="87">
        <v>0</v>
      </c>
      <c r="H85" s="1" t="s">
        <v>47</v>
      </c>
      <c r="I85" s="72">
        <v>42087</v>
      </c>
      <c r="J85" t="s">
        <v>344</v>
      </c>
    </row>
    <row r="86" spans="1:10" x14ac:dyDescent="0.2">
      <c r="A86" s="12" t="s">
        <v>671</v>
      </c>
      <c r="B86" s="91">
        <v>49.94</v>
      </c>
      <c r="C86">
        <v>0</v>
      </c>
      <c r="D86">
        <v>1</v>
      </c>
      <c r="E86">
        <v>0</v>
      </c>
      <c r="F86" s="72">
        <v>42104</v>
      </c>
      <c r="G86" s="87">
        <v>0</v>
      </c>
      <c r="H86" s="1" t="s">
        <v>47</v>
      </c>
      <c r="I86" s="72">
        <v>42085</v>
      </c>
      <c r="J86" t="s">
        <v>344</v>
      </c>
    </row>
    <row r="87" spans="1:10" x14ac:dyDescent="0.2">
      <c r="A87" s="109" t="s">
        <v>714</v>
      </c>
      <c r="B87" s="91">
        <v>176.94</v>
      </c>
      <c r="C87">
        <v>0</v>
      </c>
      <c r="D87">
        <v>1</v>
      </c>
      <c r="E87">
        <v>0</v>
      </c>
      <c r="F87" s="72">
        <v>42104</v>
      </c>
      <c r="G87" s="87">
        <v>0</v>
      </c>
      <c r="H87" s="1" t="s">
        <v>47</v>
      </c>
      <c r="I87" s="72">
        <v>42098</v>
      </c>
      <c r="J87" s="1" t="s">
        <v>52</v>
      </c>
    </row>
    <row r="88" spans="1:10" x14ac:dyDescent="0.2">
      <c r="A88" s="1" t="s">
        <v>513</v>
      </c>
      <c r="B88">
        <f>656.39/3</f>
        <v>218.79666666666665</v>
      </c>
      <c r="C88">
        <v>0</v>
      </c>
      <c r="D88">
        <v>1</v>
      </c>
      <c r="E88">
        <v>1</v>
      </c>
      <c r="F88" s="72">
        <v>42134</v>
      </c>
      <c r="G88" s="87">
        <v>0</v>
      </c>
      <c r="H88" s="1" t="s">
        <v>47</v>
      </c>
      <c r="I88" s="72">
        <v>42041</v>
      </c>
      <c r="J88" s="1" t="s">
        <v>206</v>
      </c>
    </row>
    <row r="89" spans="1:10" x14ac:dyDescent="0.2">
      <c r="A89" s="12" t="s">
        <v>534</v>
      </c>
      <c r="B89" s="91">
        <v>670</v>
      </c>
      <c r="C89" s="12">
        <v>1</v>
      </c>
      <c r="D89" s="12">
        <v>0</v>
      </c>
      <c r="E89" s="12">
        <v>1</v>
      </c>
      <c r="F89" s="72">
        <v>42134</v>
      </c>
      <c r="G89" s="91">
        <v>0</v>
      </c>
      <c r="H89" s="12" t="s">
        <v>54</v>
      </c>
      <c r="I89" s="92">
        <v>42141</v>
      </c>
      <c r="J89" s="12" t="s">
        <v>336</v>
      </c>
    </row>
    <row r="90" spans="1:10" x14ac:dyDescent="0.2">
      <c r="A90" s="1" t="s">
        <v>210</v>
      </c>
      <c r="B90" s="32">
        <v>69.900000000000006</v>
      </c>
      <c r="C90">
        <v>0</v>
      </c>
      <c r="D90">
        <v>1</v>
      </c>
      <c r="E90">
        <v>1</v>
      </c>
      <c r="F90" s="72">
        <v>42134</v>
      </c>
      <c r="G90" s="87">
        <v>0</v>
      </c>
      <c r="H90" s="1" t="s">
        <v>47</v>
      </c>
      <c r="I90" s="72">
        <v>42011</v>
      </c>
      <c r="J90" t="s">
        <v>46</v>
      </c>
    </row>
    <row r="91" spans="1:10" x14ac:dyDescent="0.2">
      <c r="A91" s="12" t="s">
        <v>654</v>
      </c>
      <c r="B91" s="91">
        <v>80</v>
      </c>
      <c r="C91">
        <v>0</v>
      </c>
      <c r="D91">
        <v>1</v>
      </c>
      <c r="E91">
        <v>1</v>
      </c>
      <c r="F91" s="72">
        <v>42134</v>
      </c>
      <c r="G91" s="87">
        <v>0</v>
      </c>
      <c r="H91" s="1" t="s">
        <v>47</v>
      </c>
      <c r="I91" s="72">
        <v>42077</v>
      </c>
      <c r="J91" t="s">
        <v>344</v>
      </c>
    </row>
    <row r="92" spans="1:10" x14ac:dyDescent="0.2">
      <c r="A92" s="12" t="s">
        <v>655</v>
      </c>
      <c r="B92" s="91">
        <v>199</v>
      </c>
      <c r="C92">
        <v>0</v>
      </c>
      <c r="D92">
        <v>1</v>
      </c>
      <c r="E92">
        <v>1</v>
      </c>
      <c r="F92" s="72">
        <v>42134</v>
      </c>
      <c r="G92" s="87">
        <v>0</v>
      </c>
      <c r="H92" s="1" t="s">
        <v>47</v>
      </c>
      <c r="I92" s="72">
        <v>42077</v>
      </c>
      <c r="J92" t="s">
        <v>344</v>
      </c>
    </row>
    <row r="93" spans="1:10" x14ac:dyDescent="0.2">
      <c r="A93" s="12" t="s">
        <v>670</v>
      </c>
      <c r="B93" s="91">
        <v>30.48</v>
      </c>
      <c r="C93">
        <v>0</v>
      </c>
      <c r="D93">
        <v>1</v>
      </c>
      <c r="E93">
        <v>1</v>
      </c>
      <c r="F93" s="72">
        <v>42134</v>
      </c>
      <c r="G93" s="87">
        <v>0</v>
      </c>
      <c r="H93" s="1" t="s">
        <v>47</v>
      </c>
      <c r="I93" s="72">
        <v>42087</v>
      </c>
      <c r="J93" t="s">
        <v>344</v>
      </c>
    </row>
    <row r="94" spans="1:10" x14ac:dyDescent="0.2">
      <c r="A94" s="12" t="s">
        <v>673</v>
      </c>
      <c r="B94" s="91">
        <v>49.94</v>
      </c>
      <c r="C94">
        <v>0</v>
      </c>
      <c r="D94">
        <v>1</v>
      </c>
      <c r="E94">
        <v>1</v>
      </c>
      <c r="F94" s="72">
        <v>42134</v>
      </c>
      <c r="G94" s="87">
        <v>0</v>
      </c>
      <c r="H94" s="1" t="s">
        <v>47</v>
      </c>
      <c r="I94" s="72">
        <v>42085</v>
      </c>
      <c r="J94" t="s">
        <v>344</v>
      </c>
    </row>
    <row r="95" spans="1:10" x14ac:dyDescent="0.2">
      <c r="A95" s="12" t="s">
        <v>656</v>
      </c>
      <c r="B95" s="91">
        <v>80</v>
      </c>
      <c r="C95">
        <v>0</v>
      </c>
      <c r="D95">
        <v>1</v>
      </c>
      <c r="E95">
        <v>1</v>
      </c>
      <c r="F95" s="72">
        <v>42165</v>
      </c>
      <c r="G95" s="87">
        <v>0</v>
      </c>
      <c r="H95" s="1" t="s">
        <v>47</v>
      </c>
      <c r="I95" s="72">
        <v>42077</v>
      </c>
      <c r="J95" t="s">
        <v>344</v>
      </c>
    </row>
    <row r="96" spans="1:10" x14ac:dyDescent="0.2">
      <c r="A96" s="12" t="s">
        <v>657</v>
      </c>
      <c r="B96" s="91">
        <v>199</v>
      </c>
      <c r="C96">
        <v>0</v>
      </c>
      <c r="D96">
        <v>1</v>
      </c>
      <c r="E96">
        <v>1</v>
      </c>
      <c r="F96" s="72">
        <v>42165</v>
      </c>
      <c r="G96" s="87">
        <v>0</v>
      </c>
      <c r="H96" s="1" t="s">
        <v>47</v>
      </c>
      <c r="I96" s="72">
        <v>42077</v>
      </c>
      <c r="J96" t="s">
        <v>344</v>
      </c>
    </row>
    <row r="97" spans="1:10" x14ac:dyDescent="0.2">
      <c r="A97" s="12" t="s">
        <v>672</v>
      </c>
      <c r="B97" s="91">
        <v>49.94</v>
      </c>
      <c r="C97">
        <v>0</v>
      </c>
      <c r="D97">
        <v>1</v>
      </c>
      <c r="E97">
        <v>1</v>
      </c>
      <c r="F97" s="72">
        <v>42165</v>
      </c>
      <c r="G97" s="87">
        <v>0</v>
      </c>
      <c r="H97" s="1" t="s">
        <v>47</v>
      </c>
      <c r="I97" s="72">
        <v>42085</v>
      </c>
      <c r="J97" t="s">
        <v>344</v>
      </c>
    </row>
    <row r="98" spans="1:10" x14ac:dyDescent="0.2">
      <c r="A98" s="12" t="s">
        <v>658</v>
      </c>
      <c r="B98" s="91">
        <v>80</v>
      </c>
      <c r="C98">
        <v>0</v>
      </c>
      <c r="D98">
        <v>1</v>
      </c>
      <c r="E98">
        <v>1</v>
      </c>
      <c r="F98" s="72">
        <v>42195</v>
      </c>
      <c r="G98" s="87">
        <v>0</v>
      </c>
      <c r="H98" s="1" t="s">
        <v>47</v>
      </c>
      <c r="I98" s="72">
        <v>42077</v>
      </c>
      <c r="J98" t="s">
        <v>344</v>
      </c>
    </row>
    <row r="99" spans="1:10" x14ac:dyDescent="0.2">
      <c r="A99" s="12" t="s">
        <v>659</v>
      </c>
      <c r="B99" s="91">
        <v>199</v>
      </c>
      <c r="C99">
        <v>0</v>
      </c>
      <c r="D99">
        <v>1</v>
      </c>
      <c r="E99">
        <v>1</v>
      </c>
      <c r="F99" s="72">
        <v>42195</v>
      </c>
      <c r="G99" s="87">
        <v>0</v>
      </c>
      <c r="H99" s="1" t="s">
        <v>47</v>
      </c>
      <c r="I99" s="72">
        <v>42077</v>
      </c>
      <c r="J99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I46"/>
  <sheetViews>
    <sheetView topLeftCell="E1" workbookViewId="0">
      <selection activeCell="I11" sqref="I11"/>
    </sheetView>
  </sheetViews>
  <sheetFormatPr defaultRowHeight="12.75" x14ac:dyDescent="0.2"/>
  <cols>
    <col min="1" max="1" width="23.7109375" bestFit="1" customWidth="1"/>
    <col min="2" max="2" width="10.28515625" bestFit="1" customWidth="1"/>
    <col min="4" max="4" width="12" bestFit="1" customWidth="1"/>
    <col min="6" max="6" width="12.140625" bestFit="1" customWidth="1"/>
    <col min="7" max="7" width="10.5703125" bestFit="1" customWidth="1"/>
    <col min="8" max="8" width="10.7109375" bestFit="1" customWidth="1"/>
  </cols>
  <sheetData>
    <row r="1" spans="1:9" ht="13.5" thickBot="1" x14ac:dyDescent="0.25">
      <c r="A1" t="s">
        <v>57</v>
      </c>
      <c r="B1" t="s">
        <v>108</v>
      </c>
      <c r="C1" t="s">
        <v>72</v>
      </c>
      <c r="D1" t="s">
        <v>61</v>
      </c>
      <c r="E1" t="s">
        <v>19</v>
      </c>
    </row>
    <row r="2" spans="1:9" ht="13.5" thickBot="1" x14ac:dyDescent="0.25">
      <c r="A2" t="s">
        <v>118</v>
      </c>
      <c r="B2">
        <v>183.9</v>
      </c>
      <c r="C2">
        <v>1</v>
      </c>
      <c r="D2">
        <v>0</v>
      </c>
      <c r="E2" s="1" t="s">
        <v>117</v>
      </c>
      <c r="F2" s="96" t="s">
        <v>5</v>
      </c>
      <c r="G2" s="97" t="s">
        <v>117</v>
      </c>
      <c r="H2" s="98" t="s">
        <v>480</v>
      </c>
    </row>
    <row r="3" spans="1:9" x14ac:dyDescent="0.2">
      <c r="A3" t="s">
        <v>119</v>
      </c>
      <c r="B3">
        <v>183.9</v>
      </c>
      <c r="C3">
        <v>1</v>
      </c>
      <c r="D3">
        <v>0</v>
      </c>
      <c r="E3" s="1" t="s">
        <v>117</v>
      </c>
      <c r="F3" s="110">
        <v>7400.48</v>
      </c>
      <c r="G3" s="99">
        <v>148</v>
      </c>
      <c r="H3" s="95">
        <f t="shared" ref="H3:H10" si="0">(G3/$F$3)*100</f>
        <v>1.9998702786846259</v>
      </c>
      <c r="I3" s="1" t="s">
        <v>481</v>
      </c>
    </row>
    <row r="4" spans="1:9" x14ac:dyDescent="0.2">
      <c r="A4" t="s">
        <v>120</v>
      </c>
      <c r="B4">
        <v>191.7</v>
      </c>
      <c r="C4">
        <v>1</v>
      </c>
      <c r="D4">
        <v>0</v>
      </c>
      <c r="E4" s="1" t="s">
        <v>117</v>
      </c>
      <c r="F4" s="111"/>
      <c r="G4" s="100">
        <v>66.599999999999994</v>
      </c>
      <c r="H4" s="93">
        <f t="shared" si="0"/>
        <v>0.89994162540808165</v>
      </c>
      <c r="I4" s="1" t="s">
        <v>482</v>
      </c>
    </row>
    <row r="5" spans="1:9" x14ac:dyDescent="0.2">
      <c r="A5" t="s">
        <v>121</v>
      </c>
      <c r="B5">
        <v>383.67</v>
      </c>
      <c r="C5">
        <v>1</v>
      </c>
      <c r="D5">
        <v>0</v>
      </c>
      <c r="E5" s="1" t="s">
        <v>117</v>
      </c>
      <c r="F5" s="111"/>
      <c r="G5" s="100">
        <v>138.30000000000001</v>
      </c>
      <c r="H5" s="93">
        <f t="shared" si="0"/>
        <v>1.8687976996086744</v>
      </c>
      <c r="I5" s="1" t="s">
        <v>483</v>
      </c>
    </row>
    <row r="6" spans="1:9" x14ac:dyDescent="0.2">
      <c r="A6" t="s">
        <v>122</v>
      </c>
      <c r="B6">
        <v>383.67</v>
      </c>
      <c r="C6">
        <v>1</v>
      </c>
      <c r="D6">
        <v>0</v>
      </c>
      <c r="E6" s="1" t="s">
        <v>117</v>
      </c>
      <c r="F6" s="111"/>
      <c r="G6" s="100">
        <v>148.01</v>
      </c>
      <c r="H6" s="93">
        <f t="shared" si="0"/>
        <v>2.0000054050548073</v>
      </c>
      <c r="I6" s="102" t="s">
        <v>484</v>
      </c>
    </row>
    <row r="7" spans="1:9" x14ac:dyDescent="0.2">
      <c r="A7" t="s">
        <v>123</v>
      </c>
      <c r="B7">
        <v>400.44</v>
      </c>
      <c r="C7">
        <v>1</v>
      </c>
      <c r="D7">
        <v>0</v>
      </c>
      <c r="E7" s="1" t="s">
        <v>117</v>
      </c>
      <c r="F7" s="111"/>
      <c r="G7" s="100">
        <v>48.1</v>
      </c>
      <c r="H7" s="93">
        <f t="shared" si="0"/>
        <v>0.6499578405725035</v>
      </c>
      <c r="I7" s="102" t="s">
        <v>485</v>
      </c>
    </row>
    <row r="8" spans="1:9" x14ac:dyDescent="0.2">
      <c r="A8" t="s">
        <v>124</v>
      </c>
      <c r="B8">
        <v>136.44999999999999</v>
      </c>
      <c r="C8">
        <v>1</v>
      </c>
      <c r="D8">
        <v>0</v>
      </c>
      <c r="E8" s="1" t="s">
        <v>117</v>
      </c>
      <c r="F8" s="111"/>
      <c r="G8" s="100">
        <v>222.01</v>
      </c>
      <c r="H8" s="93">
        <f t="shared" si="0"/>
        <v>2.9999405443971203</v>
      </c>
      <c r="I8" s="102" t="s">
        <v>486</v>
      </c>
    </row>
    <row r="9" spans="1:9" x14ac:dyDescent="0.2">
      <c r="A9" t="s">
        <v>125</v>
      </c>
      <c r="B9">
        <v>136.44999999999999</v>
      </c>
      <c r="C9">
        <v>1</v>
      </c>
      <c r="D9">
        <v>0</v>
      </c>
      <c r="E9" s="1" t="s">
        <v>117</v>
      </c>
      <c r="F9" s="111"/>
      <c r="G9" s="100">
        <v>111.01</v>
      </c>
      <c r="H9" s="93">
        <f t="shared" si="0"/>
        <v>1.5000378353836508</v>
      </c>
      <c r="I9" s="102" t="s">
        <v>487</v>
      </c>
    </row>
    <row r="10" spans="1:9" ht="13.5" thickBot="1" x14ac:dyDescent="0.25">
      <c r="A10" t="s">
        <v>126</v>
      </c>
      <c r="B10">
        <v>142</v>
      </c>
      <c r="C10">
        <v>1</v>
      </c>
      <c r="D10">
        <v>0</v>
      </c>
      <c r="E10" s="1" t="s">
        <v>117</v>
      </c>
      <c r="F10" s="112"/>
      <c r="G10" s="101">
        <v>74</v>
      </c>
      <c r="H10" s="94">
        <f t="shared" si="0"/>
        <v>0.99993513934231293</v>
      </c>
      <c r="I10" s="102" t="s">
        <v>481</v>
      </c>
    </row>
    <row r="11" spans="1:9" x14ac:dyDescent="0.2">
      <c r="A11" t="s">
        <v>127</v>
      </c>
      <c r="B11">
        <v>142</v>
      </c>
      <c r="C11">
        <v>1</v>
      </c>
      <c r="D11">
        <v>0</v>
      </c>
      <c r="E11" s="1" t="s">
        <v>117</v>
      </c>
    </row>
    <row r="12" spans="1:9" x14ac:dyDescent="0.2">
      <c r="A12" t="s">
        <v>132</v>
      </c>
      <c r="B12">
        <v>142</v>
      </c>
      <c r="C12">
        <v>1</v>
      </c>
      <c r="D12">
        <v>0</v>
      </c>
      <c r="E12" s="1" t="s">
        <v>117</v>
      </c>
    </row>
    <row r="13" spans="1:9" x14ac:dyDescent="0.2">
      <c r="A13" t="s">
        <v>133</v>
      </c>
      <c r="B13">
        <v>133.47999999999999</v>
      </c>
      <c r="C13">
        <v>1</v>
      </c>
      <c r="D13">
        <v>0</v>
      </c>
      <c r="E13" s="1" t="s">
        <v>117</v>
      </c>
    </row>
    <row r="14" spans="1:9" x14ac:dyDescent="0.2">
      <c r="A14" t="s">
        <v>134</v>
      </c>
      <c r="B14">
        <v>63.9</v>
      </c>
      <c r="C14">
        <v>1</v>
      </c>
      <c r="D14">
        <v>0</v>
      </c>
      <c r="E14" s="1" t="s">
        <v>117</v>
      </c>
    </row>
    <row r="15" spans="1:9" x14ac:dyDescent="0.2">
      <c r="A15" t="s">
        <v>135</v>
      </c>
      <c r="B15">
        <v>142</v>
      </c>
      <c r="C15">
        <v>1</v>
      </c>
      <c r="D15">
        <v>0</v>
      </c>
      <c r="E15" s="1" t="s">
        <v>117</v>
      </c>
    </row>
    <row r="16" spans="1:9" x14ac:dyDescent="0.2">
      <c r="A16" t="s">
        <v>136</v>
      </c>
      <c r="B16">
        <v>133.47999999999999</v>
      </c>
      <c r="C16">
        <v>1</v>
      </c>
      <c r="D16">
        <v>0</v>
      </c>
      <c r="E16" s="1" t="s">
        <v>117</v>
      </c>
    </row>
    <row r="17" spans="1:5" x14ac:dyDescent="0.2">
      <c r="A17" t="s">
        <v>137</v>
      </c>
      <c r="B17">
        <v>63.9</v>
      </c>
      <c r="C17">
        <v>1</v>
      </c>
      <c r="D17">
        <v>0</v>
      </c>
      <c r="E17" s="1" t="s">
        <v>117</v>
      </c>
    </row>
    <row r="18" spans="1:5" x14ac:dyDescent="0.2">
      <c r="A18" t="s">
        <v>138</v>
      </c>
      <c r="B18">
        <v>142</v>
      </c>
      <c r="C18">
        <v>1</v>
      </c>
      <c r="D18">
        <v>0</v>
      </c>
      <c r="E18" s="1" t="s">
        <v>117</v>
      </c>
    </row>
    <row r="19" spans="1:5" x14ac:dyDescent="0.2">
      <c r="A19" t="s">
        <v>139</v>
      </c>
      <c r="B19">
        <v>133.47999999999999</v>
      </c>
      <c r="C19">
        <v>1</v>
      </c>
      <c r="D19">
        <v>0</v>
      </c>
      <c r="E19" s="1" t="s">
        <v>117</v>
      </c>
    </row>
    <row r="20" spans="1:5" x14ac:dyDescent="0.2">
      <c r="A20" t="s">
        <v>140</v>
      </c>
      <c r="B20">
        <v>63.9</v>
      </c>
      <c r="C20">
        <v>1</v>
      </c>
      <c r="D20">
        <v>0</v>
      </c>
      <c r="E20" s="1" t="s">
        <v>117</v>
      </c>
    </row>
    <row r="21" spans="1:5" x14ac:dyDescent="0.2">
      <c r="A21" t="s">
        <v>141</v>
      </c>
      <c r="B21">
        <v>142</v>
      </c>
      <c r="C21">
        <v>1</v>
      </c>
      <c r="D21">
        <v>0</v>
      </c>
      <c r="E21" s="1" t="s">
        <v>117</v>
      </c>
    </row>
    <row r="22" spans="1:5" x14ac:dyDescent="0.2">
      <c r="A22" t="s">
        <v>142</v>
      </c>
      <c r="B22">
        <v>133.47999999999999</v>
      </c>
      <c r="C22">
        <v>1</v>
      </c>
      <c r="D22">
        <v>0</v>
      </c>
      <c r="E22" s="1" t="s">
        <v>117</v>
      </c>
    </row>
    <row r="23" spans="1:5" x14ac:dyDescent="0.2">
      <c r="A23" t="s">
        <v>143</v>
      </c>
      <c r="B23">
        <v>63.9</v>
      </c>
      <c r="C23">
        <v>1</v>
      </c>
      <c r="D23">
        <v>0</v>
      </c>
      <c r="E23" s="1" t="s">
        <v>117</v>
      </c>
    </row>
    <row r="24" spans="1:5" x14ac:dyDescent="0.2">
      <c r="A24" t="s">
        <v>144</v>
      </c>
      <c r="B24">
        <v>142</v>
      </c>
      <c r="C24">
        <v>1</v>
      </c>
      <c r="D24">
        <v>0</v>
      </c>
      <c r="E24" s="1" t="s">
        <v>117</v>
      </c>
    </row>
    <row r="25" spans="1:5" x14ac:dyDescent="0.2">
      <c r="A25" t="s">
        <v>145</v>
      </c>
      <c r="B25">
        <v>133.47999999999999</v>
      </c>
      <c r="C25">
        <v>1</v>
      </c>
      <c r="D25">
        <v>0</v>
      </c>
      <c r="E25" s="1" t="s">
        <v>117</v>
      </c>
    </row>
    <row r="26" spans="1:5" x14ac:dyDescent="0.2">
      <c r="A26" t="s">
        <v>146</v>
      </c>
      <c r="B26">
        <v>63.9</v>
      </c>
      <c r="C26">
        <v>1</v>
      </c>
      <c r="D26">
        <v>0</v>
      </c>
      <c r="E26" s="1" t="s">
        <v>117</v>
      </c>
    </row>
    <row r="27" spans="1:5" x14ac:dyDescent="0.2">
      <c r="A27" t="s">
        <v>147</v>
      </c>
      <c r="B27">
        <v>142</v>
      </c>
      <c r="C27">
        <v>1</v>
      </c>
      <c r="D27">
        <v>0</v>
      </c>
      <c r="E27" s="1" t="s">
        <v>117</v>
      </c>
    </row>
    <row r="28" spans="1:5" x14ac:dyDescent="0.2">
      <c r="A28" t="s">
        <v>148</v>
      </c>
      <c r="B28">
        <v>133.47999999999999</v>
      </c>
      <c r="C28">
        <v>1</v>
      </c>
      <c r="D28">
        <v>0</v>
      </c>
      <c r="E28" s="1" t="s">
        <v>117</v>
      </c>
    </row>
    <row r="29" spans="1:5" x14ac:dyDescent="0.2">
      <c r="A29" t="s">
        <v>149</v>
      </c>
      <c r="B29">
        <v>63.9</v>
      </c>
      <c r="C29">
        <v>1</v>
      </c>
      <c r="D29">
        <v>0</v>
      </c>
      <c r="E29" s="1" t="s">
        <v>117</v>
      </c>
    </row>
    <row r="30" spans="1:5" x14ac:dyDescent="0.2">
      <c r="A30" t="s">
        <v>150</v>
      </c>
      <c r="B30">
        <v>142</v>
      </c>
      <c r="C30">
        <v>1</v>
      </c>
      <c r="D30">
        <v>0</v>
      </c>
      <c r="E30" s="1" t="s">
        <v>117</v>
      </c>
    </row>
    <row r="31" spans="1:5" x14ac:dyDescent="0.2">
      <c r="A31" t="s">
        <v>151</v>
      </c>
      <c r="B31">
        <v>133.47999999999999</v>
      </c>
      <c r="C31">
        <v>1</v>
      </c>
      <c r="D31">
        <v>0</v>
      </c>
      <c r="E31" s="1" t="s">
        <v>117</v>
      </c>
    </row>
    <row r="32" spans="1:5" x14ac:dyDescent="0.2">
      <c r="A32" t="s">
        <v>152</v>
      </c>
      <c r="B32">
        <v>63.9</v>
      </c>
      <c r="C32">
        <v>1</v>
      </c>
      <c r="D32">
        <v>0</v>
      </c>
      <c r="E32" s="1" t="s">
        <v>117</v>
      </c>
    </row>
    <row r="33" spans="1:5" x14ac:dyDescent="0.2">
      <c r="A33" t="s">
        <v>195</v>
      </c>
      <c r="B33">
        <v>142</v>
      </c>
      <c r="C33">
        <v>1</v>
      </c>
      <c r="D33">
        <v>0</v>
      </c>
      <c r="E33" s="1" t="s">
        <v>117</v>
      </c>
    </row>
    <row r="34" spans="1:5" x14ac:dyDescent="0.2">
      <c r="A34" t="s">
        <v>196</v>
      </c>
      <c r="B34">
        <v>133.47999999999999</v>
      </c>
      <c r="C34">
        <v>1</v>
      </c>
      <c r="D34">
        <v>0</v>
      </c>
      <c r="E34" s="1" t="s">
        <v>117</v>
      </c>
    </row>
    <row r="35" spans="1:5" x14ac:dyDescent="0.2">
      <c r="A35" t="s">
        <v>197</v>
      </c>
      <c r="B35">
        <v>63.9</v>
      </c>
      <c r="C35">
        <v>1</v>
      </c>
      <c r="D35">
        <v>0</v>
      </c>
      <c r="E35" s="1" t="s">
        <v>117</v>
      </c>
    </row>
    <row r="36" spans="1:5" x14ac:dyDescent="0.2">
      <c r="A36" t="s">
        <v>82</v>
      </c>
      <c r="B36">
        <v>1174.68</v>
      </c>
      <c r="C36">
        <v>1</v>
      </c>
      <c r="D36">
        <v>0</v>
      </c>
      <c r="E36" s="1" t="s">
        <v>153</v>
      </c>
    </row>
    <row r="37" spans="1:5" x14ac:dyDescent="0.2">
      <c r="A37" t="s">
        <v>83</v>
      </c>
      <c r="B37">
        <v>127.69</v>
      </c>
      <c r="C37">
        <v>1</v>
      </c>
      <c r="D37">
        <v>0</v>
      </c>
      <c r="E37" s="1" t="s">
        <v>153</v>
      </c>
    </row>
    <row r="38" spans="1:5" x14ac:dyDescent="0.2">
      <c r="A38" t="s">
        <v>84</v>
      </c>
      <c r="B38">
        <v>297.93</v>
      </c>
      <c r="C38">
        <v>1</v>
      </c>
      <c r="D38">
        <v>0</v>
      </c>
      <c r="E38" s="1" t="s">
        <v>153</v>
      </c>
    </row>
    <row r="39" spans="1:5" x14ac:dyDescent="0.2">
      <c r="A39" t="s">
        <v>85</v>
      </c>
      <c r="B39">
        <v>68.48</v>
      </c>
      <c r="C39">
        <v>1</v>
      </c>
      <c r="D39">
        <v>0</v>
      </c>
      <c r="E39" s="1" t="s">
        <v>153</v>
      </c>
    </row>
    <row r="40" spans="1:5" x14ac:dyDescent="0.2">
      <c r="A40" t="s">
        <v>36</v>
      </c>
      <c r="B40">
        <v>434.94</v>
      </c>
      <c r="C40">
        <v>1</v>
      </c>
      <c r="D40">
        <v>0</v>
      </c>
      <c r="E40" s="1" t="s">
        <v>37</v>
      </c>
    </row>
    <row r="41" spans="1:5" x14ac:dyDescent="0.2">
      <c r="A41" t="s">
        <v>35</v>
      </c>
      <c r="B41">
        <v>379.42</v>
      </c>
      <c r="C41">
        <v>1</v>
      </c>
      <c r="D41">
        <v>0</v>
      </c>
      <c r="E41" s="1" t="s">
        <v>37</v>
      </c>
    </row>
    <row r="42" spans="1:5" x14ac:dyDescent="0.2">
      <c r="A42" t="s">
        <v>34</v>
      </c>
      <c r="B42">
        <v>195.73</v>
      </c>
      <c r="C42">
        <v>1</v>
      </c>
      <c r="D42">
        <v>0</v>
      </c>
      <c r="E42" s="1" t="s">
        <v>37</v>
      </c>
    </row>
    <row r="43" spans="1:5" x14ac:dyDescent="0.2">
      <c r="A43" t="s">
        <v>33</v>
      </c>
      <c r="B43">
        <v>186.62</v>
      </c>
      <c r="C43">
        <v>1</v>
      </c>
      <c r="D43">
        <v>0</v>
      </c>
      <c r="E43" s="1" t="s">
        <v>37</v>
      </c>
    </row>
    <row r="44" spans="1:5" x14ac:dyDescent="0.2">
      <c r="A44" t="s">
        <v>32</v>
      </c>
      <c r="B44">
        <v>153.63</v>
      </c>
      <c r="C44">
        <v>1</v>
      </c>
      <c r="D44">
        <v>0</v>
      </c>
      <c r="E44" s="1" t="s">
        <v>37</v>
      </c>
    </row>
    <row r="45" spans="1:5" x14ac:dyDescent="0.2">
      <c r="A45" t="s">
        <v>30</v>
      </c>
      <c r="B45">
        <v>292.01</v>
      </c>
      <c r="C45">
        <v>1</v>
      </c>
      <c r="D45">
        <v>0</v>
      </c>
      <c r="E45" s="1" t="s">
        <v>37</v>
      </c>
    </row>
    <row r="46" spans="1:5" x14ac:dyDescent="0.2">
      <c r="A46" t="s">
        <v>31</v>
      </c>
      <c r="B46">
        <v>292.01</v>
      </c>
      <c r="C46">
        <v>1</v>
      </c>
      <c r="D46">
        <v>0</v>
      </c>
      <c r="E46" s="1" t="s">
        <v>37</v>
      </c>
    </row>
  </sheetData>
  <mergeCells count="1">
    <mergeCell ref="F3:F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filterMode="1"/>
  <dimension ref="A1:K122"/>
  <sheetViews>
    <sheetView workbookViewId="0">
      <pane ySplit="1" topLeftCell="A91" activePane="bottomLeft" state="frozen"/>
      <selection pane="bottomLeft" activeCell="A112" sqref="A112"/>
    </sheetView>
  </sheetViews>
  <sheetFormatPr defaultRowHeight="12.75" x14ac:dyDescent="0.2"/>
  <cols>
    <col min="1" max="1" width="23.7109375" bestFit="1" customWidth="1"/>
    <col min="2" max="2" width="12.140625" style="64" bestFit="1" customWidth="1"/>
    <col min="3" max="3" width="12.140625" style="55" customWidth="1"/>
    <col min="4" max="4" width="12.140625" style="56" customWidth="1"/>
    <col min="5" max="5" width="12.85546875" style="57" bestFit="1" customWidth="1"/>
    <col min="6" max="6" width="9.140625" style="58"/>
    <col min="7" max="7" width="12" style="59" bestFit="1" customWidth="1"/>
    <col min="8" max="8" width="12" style="37" customWidth="1"/>
    <col min="9" max="9" width="13.28515625" style="35" bestFit="1" customWidth="1"/>
    <col min="10" max="10" width="14.42578125" style="35" bestFit="1" customWidth="1"/>
    <col min="11" max="11" width="11" style="35" bestFit="1" customWidth="1"/>
  </cols>
  <sheetData>
    <row r="1" spans="1:11" x14ac:dyDescent="0.2">
      <c r="A1" s="20" t="s">
        <v>57</v>
      </c>
      <c r="B1" s="30" t="s">
        <v>108</v>
      </c>
      <c r="C1" s="11" t="s">
        <v>72</v>
      </c>
      <c r="D1" s="11" t="s">
        <v>61</v>
      </c>
      <c r="E1" s="30" t="s">
        <v>18</v>
      </c>
      <c r="F1" s="33" t="s">
        <v>15</v>
      </c>
      <c r="G1" s="36" t="s">
        <v>13</v>
      </c>
      <c r="H1" s="36" t="s">
        <v>111</v>
      </c>
      <c r="I1" s="30" t="s">
        <v>17</v>
      </c>
      <c r="J1" s="30" t="s">
        <v>42</v>
      </c>
      <c r="K1" s="30" t="s">
        <v>19</v>
      </c>
    </row>
    <row r="2" spans="1:11" x14ac:dyDescent="0.2">
      <c r="A2" s="15" t="s">
        <v>53</v>
      </c>
      <c r="B2" s="60">
        <v>6.5</v>
      </c>
      <c r="C2" s="49">
        <v>0</v>
      </c>
      <c r="D2" s="50">
        <v>1</v>
      </c>
      <c r="E2" s="51">
        <v>0</v>
      </c>
      <c r="F2" s="52">
        <v>0</v>
      </c>
      <c r="G2" s="51">
        <v>1</v>
      </c>
      <c r="H2" s="19">
        <v>41861</v>
      </c>
      <c r="I2" s="21" t="s">
        <v>47</v>
      </c>
      <c r="J2" s="19">
        <v>41883</v>
      </c>
      <c r="K2" s="21" t="s">
        <v>50</v>
      </c>
    </row>
    <row r="3" spans="1:11" x14ac:dyDescent="0.2">
      <c r="A3" s="15" t="s">
        <v>46</v>
      </c>
      <c r="B3" s="60">
        <v>18</v>
      </c>
      <c r="C3" s="49">
        <v>0</v>
      </c>
      <c r="D3" s="50">
        <v>1</v>
      </c>
      <c r="E3" s="51">
        <v>0</v>
      </c>
      <c r="F3" s="52">
        <v>0</v>
      </c>
      <c r="G3" s="51">
        <v>1</v>
      </c>
      <c r="H3" s="19">
        <v>41861</v>
      </c>
      <c r="I3" s="21" t="s">
        <v>47</v>
      </c>
      <c r="J3" s="19">
        <v>41883</v>
      </c>
      <c r="K3" s="21" t="s">
        <v>22</v>
      </c>
    </row>
    <row r="4" spans="1:11" x14ac:dyDescent="0.2">
      <c r="A4" s="15" t="s">
        <v>87</v>
      </c>
      <c r="B4" s="60">
        <v>1.94</v>
      </c>
      <c r="C4" s="49">
        <v>0</v>
      </c>
      <c r="D4" s="50">
        <v>1</v>
      </c>
      <c r="E4" s="51">
        <v>0</v>
      </c>
      <c r="F4" s="52">
        <v>0</v>
      </c>
      <c r="G4" s="51">
        <v>1</v>
      </c>
      <c r="H4" s="19">
        <v>41861</v>
      </c>
      <c r="I4" s="21" t="s">
        <v>47</v>
      </c>
      <c r="J4" s="19">
        <v>41883</v>
      </c>
      <c r="K4" s="21" t="s">
        <v>22</v>
      </c>
    </row>
    <row r="5" spans="1:11" x14ac:dyDescent="0.2">
      <c r="A5" s="15" t="s">
        <v>88</v>
      </c>
      <c r="B5" s="60">
        <v>30</v>
      </c>
      <c r="C5" s="49">
        <v>1</v>
      </c>
      <c r="D5" s="50">
        <v>0</v>
      </c>
      <c r="E5" s="51">
        <v>0</v>
      </c>
      <c r="F5" s="52">
        <v>0</v>
      </c>
      <c r="G5" s="51">
        <v>1</v>
      </c>
      <c r="H5" s="19">
        <v>41861</v>
      </c>
      <c r="I5" s="21" t="s">
        <v>47</v>
      </c>
      <c r="J5" s="19">
        <v>41884</v>
      </c>
      <c r="K5" s="21" t="s">
        <v>60</v>
      </c>
    </row>
    <row r="6" spans="1:11" x14ac:dyDescent="0.2">
      <c r="A6" s="15" t="s">
        <v>89</v>
      </c>
      <c r="B6" s="60">
        <v>41</v>
      </c>
      <c r="C6" s="49">
        <v>1</v>
      </c>
      <c r="D6" s="50">
        <v>0</v>
      </c>
      <c r="E6" s="51">
        <v>0</v>
      </c>
      <c r="F6" s="52">
        <v>0</v>
      </c>
      <c r="G6" s="51">
        <v>1</v>
      </c>
      <c r="H6" s="19">
        <v>41861</v>
      </c>
      <c r="I6" s="21" t="s">
        <v>47</v>
      </c>
      <c r="J6" s="19">
        <v>41883</v>
      </c>
      <c r="K6" s="21" t="s">
        <v>22</v>
      </c>
    </row>
    <row r="7" spans="1:11" x14ac:dyDescent="0.2">
      <c r="A7" s="15" t="s">
        <v>87</v>
      </c>
      <c r="B7" s="60">
        <v>9.06</v>
      </c>
      <c r="C7" s="49">
        <v>0</v>
      </c>
      <c r="D7" s="50">
        <v>1</v>
      </c>
      <c r="E7" s="51">
        <v>0</v>
      </c>
      <c r="F7" s="52">
        <v>0</v>
      </c>
      <c r="G7" s="51">
        <v>1</v>
      </c>
      <c r="H7" s="19">
        <v>41861</v>
      </c>
      <c r="I7" s="21" t="s">
        <v>47</v>
      </c>
      <c r="J7" s="19">
        <v>41883</v>
      </c>
      <c r="K7" s="21" t="s">
        <v>22</v>
      </c>
    </row>
    <row r="8" spans="1:11" x14ac:dyDescent="0.2">
      <c r="A8" s="15" t="s">
        <v>94</v>
      </c>
      <c r="B8" s="60">
        <v>2</v>
      </c>
      <c r="C8" s="49">
        <v>0</v>
      </c>
      <c r="D8" s="50">
        <v>1</v>
      </c>
      <c r="E8" s="51">
        <v>0</v>
      </c>
      <c r="F8" s="52">
        <v>0</v>
      </c>
      <c r="G8" s="51">
        <v>1</v>
      </c>
      <c r="H8" s="19">
        <v>41861</v>
      </c>
      <c r="I8" s="21" t="s">
        <v>47</v>
      </c>
      <c r="J8" s="19">
        <v>41887</v>
      </c>
      <c r="K8" s="21" t="s">
        <v>50</v>
      </c>
    </row>
    <row r="9" spans="1:11" x14ac:dyDescent="0.2">
      <c r="A9" s="15" t="s">
        <v>44</v>
      </c>
      <c r="B9" s="60">
        <v>30</v>
      </c>
      <c r="C9" s="49">
        <v>0</v>
      </c>
      <c r="D9" s="50">
        <v>1</v>
      </c>
      <c r="E9" s="51">
        <v>0</v>
      </c>
      <c r="F9" s="52">
        <v>0</v>
      </c>
      <c r="G9" s="51">
        <v>1</v>
      </c>
      <c r="H9" s="19">
        <v>41861</v>
      </c>
      <c r="I9" s="21" t="s">
        <v>47</v>
      </c>
      <c r="J9" s="19">
        <v>41887</v>
      </c>
      <c r="K9" s="21" t="s">
        <v>60</v>
      </c>
    </row>
    <row r="10" spans="1:11" hidden="1" x14ac:dyDescent="0.2">
      <c r="A10" s="15" t="s">
        <v>90</v>
      </c>
      <c r="B10" s="60">
        <v>9.1999999999999993</v>
      </c>
      <c r="C10" s="49">
        <v>0</v>
      </c>
      <c r="D10" s="50">
        <v>1</v>
      </c>
      <c r="E10" s="51">
        <v>0</v>
      </c>
      <c r="F10" s="52">
        <v>1</v>
      </c>
      <c r="G10" s="50">
        <v>0</v>
      </c>
      <c r="H10" s="19">
        <v>41861</v>
      </c>
      <c r="I10" s="21" t="s">
        <v>47</v>
      </c>
      <c r="J10" s="19">
        <v>41883</v>
      </c>
      <c r="K10" s="21" t="s">
        <v>50</v>
      </c>
    </row>
    <row r="11" spans="1:11" hidden="1" x14ac:dyDescent="0.2">
      <c r="A11" s="15" t="s">
        <v>91</v>
      </c>
      <c r="B11" s="60">
        <v>19.95</v>
      </c>
      <c r="C11" s="49">
        <v>0</v>
      </c>
      <c r="D11" s="50">
        <v>1</v>
      </c>
      <c r="E11" s="51">
        <v>0</v>
      </c>
      <c r="F11" s="52">
        <v>1</v>
      </c>
      <c r="G11" s="50">
        <v>0</v>
      </c>
      <c r="H11" s="19">
        <v>41861</v>
      </c>
      <c r="I11" s="21" t="s">
        <v>47</v>
      </c>
      <c r="J11" s="19">
        <v>41887</v>
      </c>
      <c r="K11" s="21" t="s">
        <v>50</v>
      </c>
    </row>
    <row r="12" spans="1:11" hidden="1" x14ac:dyDescent="0.2">
      <c r="A12" s="15" t="s">
        <v>92</v>
      </c>
      <c r="B12" s="60">
        <v>8</v>
      </c>
      <c r="C12" s="49">
        <v>0</v>
      </c>
      <c r="D12" s="50">
        <v>1</v>
      </c>
      <c r="E12" s="51">
        <v>0</v>
      </c>
      <c r="F12" s="52">
        <v>1</v>
      </c>
      <c r="G12" s="50">
        <v>0</v>
      </c>
      <c r="H12" s="19">
        <v>41861</v>
      </c>
      <c r="I12" s="21" t="s">
        <v>47</v>
      </c>
      <c r="J12" s="19">
        <v>41887</v>
      </c>
      <c r="K12" s="21" t="s">
        <v>50</v>
      </c>
    </row>
    <row r="13" spans="1:11" hidden="1" x14ac:dyDescent="0.2">
      <c r="A13" s="15" t="s">
        <v>53</v>
      </c>
      <c r="B13" s="60">
        <v>4.8</v>
      </c>
      <c r="C13" s="49">
        <v>0</v>
      </c>
      <c r="D13" s="50">
        <v>1</v>
      </c>
      <c r="E13" s="51">
        <v>0</v>
      </c>
      <c r="F13" s="52">
        <v>1</v>
      </c>
      <c r="G13" s="50">
        <v>0</v>
      </c>
      <c r="H13" s="19">
        <v>41861</v>
      </c>
      <c r="I13" s="21" t="s">
        <v>47</v>
      </c>
      <c r="J13" s="19">
        <v>41886</v>
      </c>
      <c r="K13" s="21" t="s">
        <v>50</v>
      </c>
    </row>
    <row r="14" spans="1:11" hidden="1" x14ac:dyDescent="0.2">
      <c r="A14" s="15" t="s">
        <v>93</v>
      </c>
      <c r="B14" s="60">
        <v>20</v>
      </c>
      <c r="C14" s="49">
        <v>0</v>
      </c>
      <c r="D14" s="50">
        <v>1</v>
      </c>
      <c r="E14" s="51">
        <v>0</v>
      </c>
      <c r="F14" s="52">
        <v>1</v>
      </c>
      <c r="G14" s="50">
        <v>0</v>
      </c>
      <c r="H14" s="19">
        <v>41861</v>
      </c>
      <c r="I14" s="21" t="s">
        <v>47</v>
      </c>
      <c r="J14" s="19">
        <v>41886</v>
      </c>
      <c r="K14" s="21" t="s">
        <v>50</v>
      </c>
    </row>
    <row r="15" spans="1:11" hidden="1" x14ac:dyDescent="0.2">
      <c r="A15" s="15" t="s">
        <v>81</v>
      </c>
      <c r="B15" s="60">
        <v>21.92</v>
      </c>
      <c r="C15" s="49">
        <v>0</v>
      </c>
      <c r="D15" s="50">
        <v>1</v>
      </c>
      <c r="E15" s="51">
        <v>0</v>
      </c>
      <c r="F15" s="52">
        <v>1</v>
      </c>
      <c r="G15" s="50">
        <v>0</v>
      </c>
      <c r="H15" s="19">
        <v>41861</v>
      </c>
      <c r="I15" s="21" t="s">
        <v>47</v>
      </c>
      <c r="J15" s="19">
        <v>41887</v>
      </c>
      <c r="K15" s="21" t="s">
        <v>50</v>
      </c>
    </row>
    <row r="16" spans="1:11" hidden="1" x14ac:dyDescent="0.2">
      <c r="A16" s="15" t="s">
        <v>52</v>
      </c>
      <c r="B16" s="60">
        <v>26.41</v>
      </c>
      <c r="C16" s="49">
        <v>0</v>
      </c>
      <c r="D16" s="50">
        <v>1</v>
      </c>
      <c r="E16" s="51">
        <v>0</v>
      </c>
      <c r="F16" s="52">
        <v>1</v>
      </c>
      <c r="G16" s="50">
        <v>0</v>
      </c>
      <c r="H16" s="19">
        <v>41861</v>
      </c>
      <c r="I16" s="17" t="s">
        <v>49</v>
      </c>
      <c r="J16" s="19">
        <v>41888</v>
      </c>
      <c r="K16" s="21" t="s">
        <v>50</v>
      </c>
    </row>
    <row r="17" spans="1:11" hidden="1" x14ac:dyDescent="0.2">
      <c r="A17" s="15" t="s">
        <v>43</v>
      </c>
      <c r="B17" s="60">
        <v>60</v>
      </c>
      <c r="C17" s="49">
        <v>1</v>
      </c>
      <c r="D17" s="50">
        <v>0</v>
      </c>
      <c r="E17" s="51">
        <v>0</v>
      </c>
      <c r="F17" s="52">
        <v>1</v>
      </c>
      <c r="G17" s="50">
        <v>0</v>
      </c>
      <c r="H17" s="19">
        <v>41861</v>
      </c>
      <c r="I17" s="17" t="s">
        <v>49</v>
      </c>
      <c r="J17" s="19">
        <v>41888</v>
      </c>
      <c r="K17" s="21" t="s">
        <v>60</v>
      </c>
    </row>
    <row r="18" spans="1:11" hidden="1" x14ac:dyDescent="0.2">
      <c r="A18" s="15" t="s">
        <v>95</v>
      </c>
      <c r="B18" s="60">
        <v>6.9</v>
      </c>
      <c r="C18" s="49">
        <v>0</v>
      </c>
      <c r="D18" s="50">
        <v>1</v>
      </c>
      <c r="E18" s="51">
        <v>0</v>
      </c>
      <c r="F18" s="52">
        <v>1</v>
      </c>
      <c r="G18" s="50">
        <v>0</v>
      </c>
      <c r="H18" s="19">
        <v>41861</v>
      </c>
      <c r="I18" s="17" t="s">
        <v>49</v>
      </c>
      <c r="J18" s="19">
        <v>41888</v>
      </c>
      <c r="K18" s="21" t="s">
        <v>50</v>
      </c>
    </row>
    <row r="19" spans="1:11" hidden="1" x14ac:dyDescent="0.2">
      <c r="A19" s="15" t="s">
        <v>95</v>
      </c>
      <c r="B19" s="61">
        <v>8.9</v>
      </c>
      <c r="C19" s="49">
        <v>0</v>
      </c>
      <c r="D19" s="50">
        <v>1</v>
      </c>
      <c r="E19" s="51">
        <v>0</v>
      </c>
      <c r="F19" s="52">
        <v>1</v>
      </c>
      <c r="G19" s="53">
        <v>0</v>
      </c>
      <c r="H19" s="19">
        <v>41861</v>
      </c>
      <c r="I19" s="17" t="s">
        <v>49</v>
      </c>
      <c r="J19" s="19">
        <v>41888</v>
      </c>
      <c r="K19" s="21" t="s">
        <v>50</v>
      </c>
    </row>
    <row r="20" spans="1:11" hidden="1" x14ac:dyDescent="0.2">
      <c r="A20" s="2" t="s">
        <v>86</v>
      </c>
      <c r="B20" s="60">
        <v>26.53</v>
      </c>
      <c r="C20" s="49">
        <v>0</v>
      </c>
      <c r="D20" s="50">
        <v>1</v>
      </c>
      <c r="E20" s="51">
        <v>0</v>
      </c>
      <c r="F20" s="52">
        <v>1</v>
      </c>
      <c r="G20" s="50">
        <v>0</v>
      </c>
      <c r="H20" s="19">
        <v>41861</v>
      </c>
      <c r="I20" s="17" t="s">
        <v>49</v>
      </c>
      <c r="J20" s="19">
        <v>41889</v>
      </c>
      <c r="K20" s="21" t="s">
        <v>50</v>
      </c>
    </row>
    <row r="21" spans="1:11" hidden="1" x14ac:dyDescent="0.2">
      <c r="A21" s="15" t="s">
        <v>96</v>
      </c>
      <c r="B21" s="60">
        <v>24.7</v>
      </c>
      <c r="C21" s="49">
        <v>0</v>
      </c>
      <c r="D21" s="50">
        <v>1</v>
      </c>
      <c r="E21" s="51">
        <v>0</v>
      </c>
      <c r="F21" s="52">
        <v>1</v>
      </c>
      <c r="G21" s="50">
        <v>0</v>
      </c>
      <c r="H21" s="19">
        <v>41861</v>
      </c>
      <c r="I21" s="17" t="s">
        <v>51</v>
      </c>
      <c r="J21" s="19">
        <v>41890</v>
      </c>
      <c r="K21" s="21" t="s">
        <v>50</v>
      </c>
    </row>
    <row r="22" spans="1:11" hidden="1" x14ac:dyDescent="0.2">
      <c r="A22" s="15" t="s">
        <v>97</v>
      </c>
      <c r="B22" s="60">
        <v>7.2</v>
      </c>
      <c r="C22" s="49">
        <v>0</v>
      </c>
      <c r="D22" s="50">
        <v>1</v>
      </c>
      <c r="E22" s="51">
        <v>0</v>
      </c>
      <c r="F22" s="52">
        <v>1</v>
      </c>
      <c r="G22" s="50">
        <v>0</v>
      </c>
      <c r="H22" s="19">
        <v>41861</v>
      </c>
      <c r="I22" s="17" t="s">
        <v>51</v>
      </c>
      <c r="J22" s="19">
        <v>41891</v>
      </c>
      <c r="K22" s="21" t="s">
        <v>50</v>
      </c>
    </row>
    <row r="23" spans="1:11" hidden="1" x14ac:dyDescent="0.2">
      <c r="A23" s="15" t="s">
        <v>98</v>
      </c>
      <c r="B23" s="60">
        <v>35.200000000000003</v>
      </c>
      <c r="C23" s="49">
        <v>0</v>
      </c>
      <c r="D23" s="50">
        <v>1</v>
      </c>
      <c r="E23" s="51">
        <v>0</v>
      </c>
      <c r="F23" s="52">
        <v>1</v>
      </c>
      <c r="G23" s="50">
        <v>0</v>
      </c>
      <c r="H23" s="19">
        <v>41861</v>
      </c>
      <c r="I23" s="17" t="s">
        <v>51</v>
      </c>
      <c r="J23" s="19">
        <v>41891</v>
      </c>
      <c r="K23" s="21" t="s">
        <v>50</v>
      </c>
    </row>
    <row r="24" spans="1:11" x14ac:dyDescent="0.2">
      <c r="A24" s="15" t="s">
        <v>44</v>
      </c>
      <c r="B24" s="60">
        <v>10</v>
      </c>
      <c r="C24" s="49">
        <v>1</v>
      </c>
      <c r="D24" s="50">
        <v>0</v>
      </c>
      <c r="E24" s="51">
        <v>0</v>
      </c>
      <c r="F24" s="52">
        <v>0</v>
      </c>
      <c r="G24" s="51">
        <v>1</v>
      </c>
      <c r="H24" s="19">
        <v>41892</v>
      </c>
      <c r="I24" s="17" t="s">
        <v>51</v>
      </c>
      <c r="J24" s="19">
        <v>41892</v>
      </c>
      <c r="K24" s="21" t="s">
        <v>60</v>
      </c>
    </row>
    <row r="25" spans="1:11" hidden="1" x14ac:dyDescent="0.2">
      <c r="A25" s="15" t="s">
        <v>96</v>
      </c>
      <c r="B25" s="60">
        <v>26.9</v>
      </c>
      <c r="C25" s="49">
        <v>0</v>
      </c>
      <c r="D25" s="50">
        <v>1</v>
      </c>
      <c r="E25" s="51">
        <v>0</v>
      </c>
      <c r="F25" s="52">
        <v>1</v>
      </c>
      <c r="G25" s="50">
        <v>0</v>
      </c>
      <c r="H25" s="19">
        <v>41892</v>
      </c>
      <c r="I25" s="17" t="s">
        <v>51</v>
      </c>
      <c r="J25" s="19">
        <v>41892</v>
      </c>
      <c r="K25" s="21" t="s">
        <v>50</v>
      </c>
    </row>
    <row r="26" spans="1:11" hidden="1" x14ac:dyDescent="0.2">
      <c r="A26" s="15" t="s">
        <v>99</v>
      </c>
      <c r="B26" s="60">
        <v>12.52</v>
      </c>
      <c r="C26" s="49">
        <v>0</v>
      </c>
      <c r="D26" s="50">
        <v>1</v>
      </c>
      <c r="E26" s="51">
        <v>0</v>
      </c>
      <c r="F26" s="52">
        <v>1</v>
      </c>
      <c r="G26" s="50">
        <v>0</v>
      </c>
      <c r="H26" s="19">
        <v>41892</v>
      </c>
      <c r="I26" s="17" t="s">
        <v>51</v>
      </c>
      <c r="J26" s="19">
        <v>41892</v>
      </c>
      <c r="K26" s="21" t="s">
        <v>107</v>
      </c>
    </row>
    <row r="27" spans="1:11" hidden="1" x14ac:dyDescent="0.2">
      <c r="A27" s="15" t="s">
        <v>100</v>
      </c>
      <c r="B27" s="60">
        <v>12.66</v>
      </c>
      <c r="C27" s="49">
        <v>0</v>
      </c>
      <c r="D27" s="50">
        <v>1</v>
      </c>
      <c r="E27" s="51">
        <v>0</v>
      </c>
      <c r="F27" s="52">
        <v>1</v>
      </c>
      <c r="G27" s="50">
        <v>0</v>
      </c>
      <c r="H27" s="19">
        <v>41892</v>
      </c>
      <c r="I27" s="17" t="s">
        <v>51</v>
      </c>
      <c r="J27" s="19">
        <v>41893</v>
      </c>
      <c r="K27" s="21" t="s">
        <v>50</v>
      </c>
    </row>
    <row r="28" spans="1:11" hidden="1" x14ac:dyDescent="0.2">
      <c r="A28" s="15" t="s">
        <v>74</v>
      </c>
      <c r="B28" s="60">
        <v>21.5</v>
      </c>
      <c r="C28" s="49">
        <v>0</v>
      </c>
      <c r="D28" s="50">
        <v>1</v>
      </c>
      <c r="E28" s="51">
        <v>0</v>
      </c>
      <c r="F28" s="52">
        <v>1</v>
      </c>
      <c r="G28" s="50">
        <v>0</v>
      </c>
      <c r="H28" s="19">
        <v>41892</v>
      </c>
      <c r="I28" s="17" t="s">
        <v>51</v>
      </c>
      <c r="J28" s="19">
        <v>41893</v>
      </c>
      <c r="K28" s="21" t="s">
        <v>50</v>
      </c>
    </row>
    <row r="29" spans="1:11" hidden="1" x14ac:dyDescent="0.2">
      <c r="A29" s="15" t="s">
        <v>101</v>
      </c>
      <c r="B29" s="60">
        <v>6.69</v>
      </c>
      <c r="C29" s="49">
        <v>0</v>
      </c>
      <c r="D29" s="50">
        <v>1</v>
      </c>
      <c r="E29" s="51">
        <v>0</v>
      </c>
      <c r="F29" s="52">
        <v>1</v>
      </c>
      <c r="G29" s="50">
        <v>0</v>
      </c>
      <c r="H29" s="19">
        <v>41892</v>
      </c>
      <c r="I29" s="17" t="s">
        <v>51</v>
      </c>
      <c r="J29" s="19">
        <v>41894</v>
      </c>
      <c r="K29" s="21" t="s">
        <v>50</v>
      </c>
    </row>
    <row r="30" spans="1:11" hidden="1" x14ac:dyDescent="0.2">
      <c r="A30" s="15" t="s">
        <v>102</v>
      </c>
      <c r="B30" s="60">
        <v>9.74</v>
      </c>
      <c r="C30" s="49">
        <v>0</v>
      </c>
      <c r="D30" s="50">
        <v>1</v>
      </c>
      <c r="E30" s="51">
        <v>0</v>
      </c>
      <c r="F30" s="52">
        <v>1</v>
      </c>
      <c r="G30" s="50">
        <v>0</v>
      </c>
      <c r="H30" s="19">
        <v>41892</v>
      </c>
      <c r="I30" s="17" t="s">
        <v>51</v>
      </c>
      <c r="J30" s="19">
        <v>41893</v>
      </c>
      <c r="K30" s="21" t="s">
        <v>107</v>
      </c>
    </row>
    <row r="31" spans="1:11" hidden="1" x14ac:dyDescent="0.2">
      <c r="A31" s="39" t="s">
        <v>103</v>
      </c>
      <c r="B31" s="42">
        <v>8.98</v>
      </c>
      <c r="C31" s="49">
        <v>0</v>
      </c>
      <c r="D31" s="49">
        <v>1</v>
      </c>
      <c r="E31" s="54">
        <v>0</v>
      </c>
      <c r="F31" s="54">
        <v>1</v>
      </c>
      <c r="G31" s="49">
        <v>0</v>
      </c>
      <c r="H31" s="44">
        <v>41892</v>
      </c>
      <c r="I31" s="44" t="s">
        <v>51</v>
      </c>
      <c r="J31" s="44">
        <v>41893</v>
      </c>
      <c r="K31" s="45" t="s">
        <v>107</v>
      </c>
    </row>
    <row r="32" spans="1:11" x14ac:dyDescent="0.2">
      <c r="A32" s="39" t="s">
        <v>44</v>
      </c>
      <c r="B32" s="42">
        <v>100</v>
      </c>
      <c r="C32" s="49">
        <v>1</v>
      </c>
      <c r="D32" s="49">
        <v>0</v>
      </c>
      <c r="E32" s="54">
        <v>0</v>
      </c>
      <c r="F32" s="54">
        <v>0</v>
      </c>
      <c r="G32" s="54">
        <v>1</v>
      </c>
      <c r="H32" s="44">
        <v>41892</v>
      </c>
      <c r="I32" s="44" t="s">
        <v>51</v>
      </c>
      <c r="J32" s="44">
        <v>41894</v>
      </c>
      <c r="K32" s="45" t="s">
        <v>60</v>
      </c>
    </row>
    <row r="33" spans="1:11" x14ac:dyDescent="0.2">
      <c r="A33" s="39" t="s">
        <v>104</v>
      </c>
      <c r="B33" s="42">
        <v>10</v>
      </c>
      <c r="C33" s="49">
        <v>0</v>
      </c>
      <c r="D33" s="49">
        <v>1</v>
      </c>
      <c r="E33" s="54">
        <v>0</v>
      </c>
      <c r="F33" s="54">
        <v>0</v>
      </c>
      <c r="G33" s="54">
        <v>1</v>
      </c>
      <c r="H33" s="44">
        <v>41892</v>
      </c>
      <c r="I33" s="44" t="s">
        <v>51</v>
      </c>
      <c r="J33" s="44">
        <v>41894</v>
      </c>
      <c r="K33" s="45" t="s">
        <v>107</v>
      </c>
    </row>
    <row r="34" spans="1:11" hidden="1" x14ac:dyDescent="0.2">
      <c r="A34" s="39" t="s">
        <v>43</v>
      </c>
      <c r="B34" s="42">
        <v>60</v>
      </c>
      <c r="C34" s="49">
        <v>1</v>
      </c>
      <c r="D34" s="49">
        <v>0</v>
      </c>
      <c r="E34" s="54">
        <v>0</v>
      </c>
      <c r="F34" s="54">
        <v>1</v>
      </c>
      <c r="G34" s="49">
        <v>0</v>
      </c>
      <c r="H34" s="44">
        <v>41892</v>
      </c>
      <c r="I34" s="44" t="s">
        <v>49</v>
      </c>
      <c r="J34" s="44">
        <v>41895</v>
      </c>
      <c r="K34" s="45" t="s">
        <v>60</v>
      </c>
    </row>
    <row r="35" spans="1:11" hidden="1" x14ac:dyDescent="0.2">
      <c r="A35" s="39" t="s">
        <v>96</v>
      </c>
      <c r="B35" s="42">
        <v>24.7</v>
      </c>
      <c r="C35" s="49">
        <v>0</v>
      </c>
      <c r="D35" s="49">
        <v>1</v>
      </c>
      <c r="E35" s="54">
        <v>0</v>
      </c>
      <c r="F35" s="54">
        <v>1</v>
      </c>
      <c r="G35" s="49">
        <v>0</v>
      </c>
      <c r="H35" s="44">
        <v>41892</v>
      </c>
      <c r="I35" s="44" t="s">
        <v>51</v>
      </c>
      <c r="J35" s="44">
        <v>41894</v>
      </c>
      <c r="K35" s="45" t="s">
        <v>50</v>
      </c>
    </row>
    <row r="36" spans="1:11" hidden="1" x14ac:dyDescent="0.2">
      <c r="A36" s="39" t="s">
        <v>105</v>
      </c>
      <c r="B36" s="40">
        <v>117.92</v>
      </c>
      <c r="C36" s="49">
        <v>0</v>
      </c>
      <c r="D36" s="49">
        <v>1</v>
      </c>
      <c r="E36" s="54">
        <v>0</v>
      </c>
      <c r="F36" s="54">
        <v>1</v>
      </c>
      <c r="G36" s="49">
        <v>0</v>
      </c>
      <c r="H36" s="44">
        <v>41892</v>
      </c>
      <c r="I36" s="44" t="s">
        <v>49</v>
      </c>
      <c r="J36" s="44">
        <v>41895</v>
      </c>
      <c r="K36" s="45" t="s">
        <v>50</v>
      </c>
    </row>
    <row r="37" spans="1:11" hidden="1" x14ac:dyDescent="0.2">
      <c r="A37" s="39" t="s">
        <v>106</v>
      </c>
      <c r="B37" s="42">
        <v>41.5</v>
      </c>
      <c r="C37" s="49">
        <v>0</v>
      </c>
      <c r="D37" s="49">
        <v>1</v>
      </c>
      <c r="E37" s="54">
        <v>0</v>
      </c>
      <c r="F37" s="54">
        <v>1</v>
      </c>
      <c r="G37" s="49">
        <v>0</v>
      </c>
      <c r="H37" s="44">
        <v>41892</v>
      </c>
      <c r="I37" s="44" t="s">
        <v>49</v>
      </c>
      <c r="J37" s="44">
        <v>41895</v>
      </c>
      <c r="K37" s="45" t="s">
        <v>50</v>
      </c>
    </row>
    <row r="38" spans="1:11" hidden="1" x14ac:dyDescent="0.2">
      <c r="A38" s="39" t="s">
        <v>52</v>
      </c>
      <c r="B38" s="42">
        <v>300</v>
      </c>
      <c r="C38" s="49">
        <v>0</v>
      </c>
      <c r="D38" s="49">
        <v>1</v>
      </c>
      <c r="E38" s="54">
        <v>0</v>
      </c>
      <c r="F38" s="54">
        <v>1</v>
      </c>
      <c r="G38" s="49">
        <v>0</v>
      </c>
      <c r="H38" s="44">
        <v>41892</v>
      </c>
      <c r="I38" s="44" t="s">
        <v>49</v>
      </c>
      <c r="J38" s="44">
        <v>41895</v>
      </c>
      <c r="K38" s="45" t="s">
        <v>50</v>
      </c>
    </row>
    <row r="39" spans="1:11" hidden="1" x14ac:dyDescent="0.2">
      <c r="A39" s="39" t="s">
        <v>107</v>
      </c>
      <c r="B39" s="42">
        <v>13.45</v>
      </c>
      <c r="C39" s="49">
        <v>0</v>
      </c>
      <c r="D39" s="49">
        <v>1</v>
      </c>
      <c r="E39" s="54">
        <v>0</v>
      </c>
      <c r="F39" s="54">
        <v>1</v>
      </c>
      <c r="G39" s="49">
        <v>0</v>
      </c>
      <c r="H39" s="44">
        <v>41892</v>
      </c>
      <c r="I39" s="44" t="s">
        <v>49</v>
      </c>
      <c r="J39" s="44">
        <v>41895</v>
      </c>
      <c r="K39" s="45" t="s">
        <v>107</v>
      </c>
    </row>
    <row r="40" spans="1:11" x14ac:dyDescent="0.2">
      <c r="A40" s="39" t="s">
        <v>109</v>
      </c>
      <c r="B40" s="42">
        <v>14</v>
      </c>
      <c r="C40" s="49">
        <v>0</v>
      </c>
      <c r="D40" s="49">
        <v>1</v>
      </c>
      <c r="E40" s="54">
        <v>0</v>
      </c>
      <c r="F40" s="54">
        <v>0</v>
      </c>
      <c r="G40" s="49">
        <v>1</v>
      </c>
      <c r="H40" s="44">
        <v>41892</v>
      </c>
      <c r="I40" s="44" t="s">
        <v>49</v>
      </c>
      <c r="J40" s="44">
        <v>41896</v>
      </c>
      <c r="K40" s="45" t="s">
        <v>22</v>
      </c>
    </row>
    <row r="41" spans="1:11" x14ac:dyDescent="0.2">
      <c r="A41" s="39" t="s">
        <v>110</v>
      </c>
      <c r="B41" s="42">
        <v>5</v>
      </c>
      <c r="C41" s="49">
        <v>0</v>
      </c>
      <c r="D41" s="49">
        <v>1</v>
      </c>
      <c r="E41" s="54">
        <v>0</v>
      </c>
      <c r="F41" s="54">
        <v>0</v>
      </c>
      <c r="G41" s="49">
        <v>1</v>
      </c>
      <c r="H41" s="44">
        <v>41892</v>
      </c>
      <c r="I41" s="44" t="s">
        <v>54</v>
      </c>
      <c r="J41" s="44">
        <v>41898</v>
      </c>
      <c r="K41" s="45" t="s">
        <v>50</v>
      </c>
    </row>
    <row r="42" spans="1:11" x14ac:dyDescent="0.2">
      <c r="A42" s="39" t="s">
        <v>48</v>
      </c>
      <c r="B42" s="42">
        <v>10</v>
      </c>
      <c r="C42" s="49">
        <v>0</v>
      </c>
      <c r="D42" s="49">
        <v>1</v>
      </c>
      <c r="E42" s="54">
        <v>0</v>
      </c>
      <c r="F42" s="54">
        <v>0</v>
      </c>
      <c r="G42" s="49">
        <v>1</v>
      </c>
      <c r="H42" s="44">
        <v>41892</v>
      </c>
      <c r="I42" s="44" t="s">
        <v>54</v>
      </c>
      <c r="J42" s="44">
        <v>41899</v>
      </c>
      <c r="K42" s="45" t="s">
        <v>22</v>
      </c>
    </row>
    <row r="43" spans="1:11" x14ac:dyDescent="0.2">
      <c r="A43" s="38" t="s">
        <v>23</v>
      </c>
      <c r="B43" s="42">
        <v>347.25</v>
      </c>
      <c r="C43" s="49">
        <v>1</v>
      </c>
      <c r="D43" s="49">
        <v>0</v>
      </c>
      <c r="E43" s="54">
        <v>0</v>
      </c>
      <c r="F43" s="54">
        <v>0</v>
      </c>
      <c r="G43" s="49">
        <v>1</v>
      </c>
      <c r="H43" s="44">
        <v>41892</v>
      </c>
      <c r="I43" s="21" t="s">
        <v>47</v>
      </c>
      <c r="J43" s="44">
        <v>41892</v>
      </c>
      <c r="K43" s="45" t="s">
        <v>41</v>
      </c>
    </row>
    <row r="44" spans="1:11" x14ac:dyDescent="0.2">
      <c r="A44" s="38" t="s">
        <v>3</v>
      </c>
      <c r="B44" s="42">
        <v>88.94</v>
      </c>
      <c r="C44" s="49">
        <v>1</v>
      </c>
      <c r="D44" s="49">
        <v>0</v>
      </c>
      <c r="E44" s="54">
        <v>0</v>
      </c>
      <c r="F44" s="54">
        <v>0</v>
      </c>
      <c r="G44" s="49">
        <v>1</v>
      </c>
      <c r="H44" s="44">
        <v>41892</v>
      </c>
      <c r="I44" s="21" t="s">
        <v>47</v>
      </c>
      <c r="J44" s="44">
        <v>41892</v>
      </c>
      <c r="K44" s="45" t="s">
        <v>41</v>
      </c>
    </row>
    <row r="45" spans="1:11" x14ac:dyDescent="0.2">
      <c r="A45" s="39" t="s">
        <v>1</v>
      </c>
      <c r="B45" s="42">
        <v>237.49</v>
      </c>
      <c r="C45" s="49">
        <v>1</v>
      </c>
      <c r="D45" s="49">
        <v>0</v>
      </c>
      <c r="E45" s="54">
        <v>0</v>
      </c>
      <c r="F45" s="54">
        <v>0</v>
      </c>
      <c r="G45" s="49">
        <v>1</v>
      </c>
      <c r="H45" s="44">
        <v>41892</v>
      </c>
      <c r="I45" s="21" t="s">
        <v>47</v>
      </c>
      <c r="J45" s="44">
        <v>41892</v>
      </c>
      <c r="K45" s="45" t="s">
        <v>41</v>
      </c>
    </row>
    <row r="46" spans="1:11" x14ac:dyDescent="0.2">
      <c r="A46" s="38" t="s">
        <v>58</v>
      </c>
      <c r="B46" s="41">
        <v>80</v>
      </c>
      <c r="C46" s="49">
        <v>1</v>
      </c>
      <c r="D46" s="49">
        <v>0</v>
      </c>
      <c r="E46" s="54">
        <v>0</v>
      </c>
      <c r="F46" s="54">
        <v>0</v>
      </c>
      <c r="G46" s="49">
        <v>1</v>
      </c>
      <c r="H46" s="44">
        <v>41892</v>
      </c>
      <c r="I46" s="21" t="s">
        <v>47</v>
      </c>
      <c r="J46" s="44">
        <v>41892</v>
      </c>
      <c r="K46" s="45" t="s">
        <v>41</v>
      </c>
    </row>
    <row r="47" spans="1:11" x14ac:dyDescent="0.2">
      <c r="A47" s="38" t="s">
        <v>1</v>
      </c>
      <c r="B47" s="42">
        <v>164.8</v>
      </c>
      <c r="C47" s="49">
        <v>1</v>
      </c>
      <c r="D47" s="49">
        <v>0</v>
      </c>
      <c r="E47" s="54">
        <v>0</v>
      </c>
      <c r="F47" s="54">
        <v>0</v>
      </c>
      <c r="G47" s="49">
        <v>1</v>
      </c>
      <c r="H47" s="44">
        <v>41892</v>
      </c>
      <c r="I47" s="21" t="s">
        <v>47</v>
      </c>
      <c r="J47" s="44">
        <v>41892</v>
      </c>
      <c r="K47" s="45" t="s">
        <v>41</v>
      </c>
    </row>
    <row r="48" spans="1:11" x14ac:dyDescent="0.2">
      <c r="A48" s="38" t="s">
        <v>26</v>
      </c>
      <c r="B48" s="62">
        <v>501.76</v>
      </c>
      <c r="C48" s="49">
        <v>1</v>
      </c>
      <c r="D48" s="49">
        <v>0</v>
      </c>
      <c r="E48" s="54">
        <v>0</v>
      </c>
      <c r="F48" s="54">
        <v>0</v>
      </c>
      <c r="G48" s="49">
        <v>1</v>
      </c>
      <c r="H48" s="44">
        <v>41892</v>
      </c>
      <c r="I48" s="21" t="s">
        <v>47</v>
      </c>
      <c r="J48" s="44">
        <v>41892</v>
      </c>
      <c r="K48" s="45" t="s">
        <v>41</v>
      </c>
    </row>
    <row r="49" spans="1:11" x14ac:dyDescent="0.2">
      <c r="A49" s="38" t="s">
        <v>28</v>
      </c>
      <c r="B49" s="62">
        <v>38.5</v>
      </c>
      <c r="C49" s="49">
        <v>1</v>
      </c>
      <c r="D49" s="49">
        <v>0</v>
      </c>
      <c r="E49" s="54">
        <v>0</v>
      </c>
      <c r="F49" s="54">
        <v>0</v>
      </c>
      <c r="G49" s="49">
        <v>1</v>
      </c>
      <c r="H49" s="44">
        <v>41892</v>
      </c>
      <c r="I49" s="21" t="s">
        <v>47</v>
      </c>
      <c r="J49" s="44">
        <v>41892</v>
      </c>
      <c r="K49" s="45" t="s">
        <v>41</v>
      </c>
    </row>
    <row r="50" spans="1:11" x14ac:dyDescent="0.2">
      <c r="A50" s="38" t="s">
        <v>27</v>
      </c>
      <c r="B50" s="62">
        <v>282.25</v>
      </c>
      <c r="C50" s="49">
        <v>1</v>
      </c>
      <c r="D50" s="49">
        <v>0</v>
      </c>
      <c r="E50" s="54">
        <v>0</v>
      </c>
      <c r="F50" s="54">
        <v>0</v>
      </c>
      <c r="G50" s="49">
        <v>1</v>
      </c>
      <c r="H50" s="44">
        <v>41892</v>
      </c>
      <c r="I50" s="21" t="s">
        <v>47</v>
      </c>
      <c r="J50" s="44">
        <v>41892</v>
      </c>
      <c r="K50" s="45" t="s">
        <v>41</v>
      </c>
    </row>
    <row r="51" spans="1:11" x14ac:dyDescent="0.2">
      <c r="A51" s="38" t="s">
        <v>29</v>
      </c>
      <c r="B51" s="63">
        <v>40.78</v>
      </c>
      <c r="C51" s="49">
        <v>1</v>
      </c>
      <c r="D51" s="49">
        <v>0</v>
      </c>
      <c r="E51" s="54">
        <v>0</v>
      </c>
      <c r="F51" s="54">
        <v>0</v>
      </c>
      <c r="G51" s="49">
        <v>1</v>
      </c>
      <c r="H51" s="44">
        <v>41892</v>
      </c>
      <c r="I51" s="21" t="s">
        <v>47</v>
      </c>
      <c r="J51" s="44">
        <v>41892</v>
      </c>
      <c r="K51" s="45" t="s">
        <v>41</v>
      </c>
    </row>
    <row r="52" spans="1:11" x14ac:dyDescent="0.2">
      <c r="A52" s="39" t="s">
        <v>2</v>
      </c>
      <c r="B52" s="41">
        <v>50</v>
      </c>
      <c r="C52" s="49">
        <v>1</v>
      </c>
      <c r="D52" s="49">
        <v>0</v>
      </c>
      <c r="E52" s="54">
        <v>0</v>
      </c>
      <c r="F52" s="54">
        <v>0</v>
      </c>
      <c r="G52" s="49">
        <v>1</v>
      </c>
      <c r="H52" s="44">
        <v>41892</v>
      </c>
      <c r="I52" s="21" t="s">
        <v>47</v>
      </c>
      <c r="J52" s="44">
        <v>41892</v>
      </c>
      <c r="K52" s="45" t="s">
        <v>41</v>
      </c>
    </row>
    <row r="53" spans="1:11" x14ac:dyDescent="0.2">
      <c r="A53" s="46" t="s">
        <v>38</v>
      </c>
      <c r="B53" s="63">
        <v>51.9</v>
      </c>
      <c r="C53" s="49">
        <v>1</v>
      </c>
      <c r="D53" s="49">
        <v>0</v>
      </c>
      <c r="E53" s="54">
        <v>0</v>
      </c>
      <c r="F53" s="54">
        <v>0</v>
      </c>
      <c r="G53" s="49">
        <v>1</v>
      </c>
      <c r="H53" s="44">
        <v>41892</v>
      </c>
      <c r="I53" s="21" t="s">
        <v>47</v>
      </c>
      <c r="J53" s="44">
        <v>41892</v>
      </c>
      <c r="K53" s="45" t="s">
        <v>41</v>
      </c>
    </row>
    <row r="54" spans="1:11" x14ac:dyDescent="0.2">
      <c r="A54" s="46" t="s">
        <v>39</v>
      </c>
      <c r="B54" s="63">
        <v>41</v>
      </c>
      <c r="C54" s="49">
        <v>1</v>
      </c>
      <c r="D54" s="49">
        <v>0</v>
      </c>
      <c r="E54" s="54">
        <v>0</v>
      </c>
      <c r="F54" s="54">
        <v>0</v>
      </c>
      <c r="G54" s="49">
        <v>1</v>
      </c>
      <c r="H54" s="44">
        <v>41892</v>
      </c>
      <c r="I54" s="21" t="s">
        <v>47</v>
      </c>
      <c r="J54" s="44">
        <v>41892</v>
      </c>
      <c r="K54" s="45" t="s">
        <v>41</v>
      </c>
    </row>
    <row r="55" spans="1:11" x14ac:dyDescent="0.2">
      <c r="A55" s="38" t="s">
        <v>40</v>
      </c>
      <c r="B55" s="63">
        <v>4.99</v>
      </c>
      <c r="C55" s="49">
        <v>1</v>
      </c>
      <c r="D55" s="49">
        <v>0</v>
      </c>
      <c r="E55" s="54">
        <v>0</v>
      </c>
      <c r="F55" s="54">
        <v>0</v>
      </c>
      <c r="G55" s="49">
        <v>1</v>
      </c>
      <c r="H55" s="44">
        <v>41892</v>
      </c>
      <c r="I55" s="21" t="s">
        <v>47</v>
      </c>
      <c r="J55" s="44">
        <v>41892</v>
      </c>
      <c r="K55" s="45" t="s">
        <v>41</v>
      </c>
    </row>
    <row r="56" spans="1:11" x14ac:dyDescent="0.2">
      <c r="A56" s="38" t="s">
        <v>24</v>
      </c>
      <c r="B56" s="41">
        <v>400</v>
      </c>
      <c r="C56" s="49">
        <v>1</v>
      </c>
      <c r="D56" s="49">
        <v>0</v>
      </c>
      <c r="E56" s="54">
        <v>1</v>
      </c>
      <c r="F56" s="54">
        <v>0</v>
      </c>
      <c r="G56" s="49">
        <v>1</v>
      </c>
      <c r="H56" s="44">
        <v>41922</v>
      </c>
      <c r="I56" s="21" t="s">
        <v>47</v>
      </c>
      <c r="J56" s="44">
        <v>41922</v>
      </c>
      <c r="K56" s="45" t="s">
        <v>41</v>
      </c>
    </row>
    <row r="57" spans="1:11" x14ac:dyDescent="0.2">
      <c r="A57" s="38" t="s">
        <v>25</v>
      </c>
      <c r="B57" s="42">
        <v>120</v>
      </c>
      <c r="C57" s="49">
        <v>1</v>
      </c>
      <c r="D57" s="49">
        <v>0</v>
      </c>
      <c r="E57" s="54">
        <v>0</v>
      </c>
      <c r="F57" s="54">
        <v>0</v>
      </c>
      <c r="G57" s="49">
        <v>1</v>
      </c>
      <c r="H57" s="44">
        <v>41892</v>
      </c>
      <c r="I57" s="21" t="s">
        <v>47</v>
      </c>
      <c r="J57" s="44">
        <v>41892</v>
      </c>
      <c r="K57" s="45" t="s">
        <v>41</v>
      </c>
    </row>
    <row r="58" spans="1:11" x14ac:dyDescent="0.2">
      <c r="A58" s="38" t="s">
        <v>12</v>
      </c>
      <c r="B58" s="43">
        <v>536.46</v>
      </c>
      <c r="C58" s="49">
        <v>1</v>
      </c>
      <c r="D58" s="49">
        <v>0</v>
      </c>
      <c r="E58" s="54">
        <v>0</v>
      </c>
      <c r="F58" s="54">
        <v>0</v>
      </c>
      <c r="G58" s="49">
        <v>1</v>
      </c>
      <c r="H58" s="44">
        <v>41892</v>
      </c>
      <c r="I58" s="21" t="s">
        <v>47</v>
      </c>
      <c r="J58" s="44">
        <v>41892</v>
      </c>
      <c r="K58" s="45" t="s">
        <v>41</v>
      </c>
    </row>
    <row r="59" spans="1:11" x14ac:dyDescent="0.2">
      <c r="A59" s="38" t="s">
        <v>21</v>
      </c>
      <c r="B59" s="41">
        <v>2445.1999999999998</v>
      </c>
      <c r="C59" s="49">
        <v>1</v>
      </c>
      <c r="D59" s="49">
        <v>0</v>
      </c>
      <c r="E59" s="48">
        <v>0</v>
      </c>
      <c r="F59" s="54">
        <v>0</v>
      </c>
      <c r="G59" s="49">
        <v>1</v>
      </c>
      <c r="H59" s="44">
        <v>41892</v>
      </c>
      <c r="I59" s="21" t="s">
        <v>47</v>
      </c>
      <c r="J59" s="44">
        <v>41892</v>
      </c>
      <c r="K59" s="45" t="s">
        <v>41</v>
      </c>
    </row>
    <row r="60" spans="1:11" x14ac:dyDescent="0.2">
      <c r="A60" s="38" t="s">
        <v>24</v>
      </c>
      <c r="B60" s="41">
        <v>400</v>
      </c>
      <c r="C60" s="48">
        <v>1</v>
      </c>
      <c r="D60" s="48">
        <v>0</v>
      </c>
      <c r="E60" s="48">
        <v>0</v>
      </c>
      <c r="F60" s="54">
        <v>0</v>
      </c>
      <c r="G60" s="54">
        <v>1</v>
      </c>
      <c r="H60" s="44">
        <v>41892</v>
      </c>
      <c r="I60" s="21" t="s">
        <v>47</v>
      </c>
      <c r="J60" s="44">
        <v>41892</v>
      </c>
      <c r="K60" s="45" t="s">
        <v>41</v>
      </c>
    </row>
    <row r="61" spans="1:11" x14ac:dyDescent="0.2">
      <c r="A61" s="38" t="s">
        <v>23</v>
      </c>
      <c r="B61" s="60">
        <v>365.57</v>
      </c>
      <c r="C61" s="48">
        <v>1</v>
      </c>
      <c r="D61" s="66">
        <v>0</v>
      </c>
      <c r="E61" s="66">
        <v>1</v>
      </c>
      <c r="F61" s="51">
        <v>0</v>
      </c>
      <c r="G61" s="51" t="e">
        <f>#N/A</f>
        <v>#N/A</v>
      </c>
      <c r="H61" s="44">
        <v>41922</v>
      </c>
      <c r="I61" s="21" t="s">
        <v>47</v>
      </c>
      <c r="J61" s="44">
        <v>41922</v>
      </c>
      <c r="K61" s="45" t="s">
        <v>41</v>
      </c>
    </row>
    <row r="62" spans="1:11" hidden="1" x14ac:dyDescent="0.2">
      <c r="A62" s="38" t="s">
        <v>43</v>
      </c>
      <c r="B62" s="61">
        <v>60</v>
      </c>
      <c r="C62" s="48">
        <v>1</v>
      </c>
      <c r="D62" s="66">
        <v>0</v>
      </c>
      <c r="E62" s="66">
        <v>0</v>
      </c>
      <c r="F62" s="51">
        <v>1</v>
      </c>
      <c r="G62" s="51" t="e">
        <f>#N/A</f>
        <v>#N/A</v>
      </c>
      <c r="H62" s="19">
        <v>41892</v>
      </c>
      <c r="I62" s="67" t="s">
        <v>49</v>
      </c>
      <c r="J62" s="19">
        <v>41902</v>
      </c>
      <c r="K62" s="67" t="s">
        <v>60</v>
      </c>
    </row>
    <row r="63" spans="1:11" hidden="1" x14ac:dyDescent="0.2">
      <c r="A63" s="38" t="s">
        <v>112</v>
      </c>
      <c r="B63" s="61">
        <v>6</v>
      </c>
      <c r="C63" s="48">
        <v>0</v>
      </c>
      <c r="D63" s="66">
        <v>1</v>
      </c>
      <c r="E63" s="66">
        <v>0</v>
      </c>
      <c r="F63" s="51">
        <v>1</v>
      </c>
      <c r="G63" s="51" t="e">
        <f>#N/A</f>
        <v>#N/A</v>
      </c>
      <c r="H63" s="19">
        <v>41892</v>
      </c>
      <c r="I63" s="44" t="s">
        <v>54</v>
      </c>
      <c r="J63" s="19">
        <v>41901</v>
      </c>
      <c r="K63" s="67" t="s">
        <v>50</v>
      </c>
    </row>
    <row r="64" spans="1:11" hidden="1" x14ac:dyDescent="0.2">
      <c r="A64" s="38" t="s">
        <v>113</v>
      </c>
      <c r="B64" s="61">
        <v>190</v>
      </c>
      <c r="C64" s="48">
        <v>0</v>
      </c>
      <c r="D64" s="66">
        <v>1</v>
      </c>
      <c r="E64" s="66">
        <v>0</v>
      </c>
      <c r="F64" s="51">
        <v>1</v>
      </c>
      <c r="G64" s="51" t="e">
        <f>#N/A</f>
        <v>#N/A</v>
      </c>
      <c r="H64" s="19">
        <v>41892</v>
      </c>
      <c r="I64" s="67" t="s">
        <v>49</v>
      </c>
      <c r="J64" s="19">
        <v>41902</v>
      </c>
      <c r="K64" s="67" t="s">
        <v>22</v>
      </c>
    </row>
    <row r="65" spans="1:11" hidden="1" x14ac:dyDescent="0.2">
      <c r="A65" s="38" t="s">
        <v>113</v>
      </c>
      <c r="B65" s="61">
        <v>190</v>
      </c>
      <c r="C65" s="48">
        <v>0</v>
      </c>
      <c r="D65" s="66">
        <v>1</v>
      </c>
      <c r="E65" s="66">
        <v>0</v>
      </c>
      <c r="F65" s="51">
        <v>1</v>
      </c>
      <c r="G65" s="51" t="e">
        <f>#N/A</f>
        <v>#N/A</v>
      </c>
      <c r="H65" s="19">
        <v>41922</v>
      </c>
      <c r="I65" s="67" t="s">
        <v>49</v>
      </c>
      <c r="J65" s="19">
        <v>41902</v>
      </c>
      <c r="K65" s="67" t="s">
        <v>22</v>
      </c>
    </row>
    <row r="66" spans="1:11" hidden="1" x14ac:dyDescent="0.2">
      <c r="A66" s="38" t="s">
        <v>56</v>
      </c>
      <c r="B66" s="61">
        <v>4.1100000000000003</v>
      </c>
      <c r="C66" s="48">
        <v>0</v>
      </c>
      <c r="D66" s="66">
        <v>1</v>
      </c>
      <c r="E66" s="66">
        <v>0</v>
      </c>
      <c r="F66" s="66">
        <v>1</v>
      </c>
      <c r="G66" s="51" t="e">
        <f>#N/A</f>
        <v>#N/A</v>
      </c>
      <c r="H66" s="19">
        <v>41892</v>
      </c>
      <c r="I66" s="67" t="s">
        <v>49</v>
      </c>
      <c r="J66" s="19">
        <v>41902</v>
      </c>
      <c r="K66" s="67" t="s">
        <v>50</v>
      </c>
    </row>
    <row r="67" spans="1:11" hidden="1" x14ac:dyDescent="0.2">
      <c r="A67" s="38" t="s">
        <v>114</v>
      </c>
      <c r="B67" s="61">
        <v>10.26</v>
      </c>
      <c r="C67" s="48">
        <v>0</v>
      </c>
      <c r="D67" s="66">
        <v>1</v>
      </c>
      <c r="E67" s="66">
        <v>0</v>
      </c>
      <c r="F67" s="66">
        <v>1</v>
      </c>
      <c r="G67" s="51" t="e">
        <f>#N/A</f>
        <v>#N/A</v>
      </c>
      <c r="H67" s="19">
        <v>41892</v>
      </c>
      <c r="I67" s="67" t="s">
        <v>49</v>
      </c>
      <c r="J67" s="19">
        <v>41902</v>
      </c>
      <c r="K67" s="67" t="s">
        <v>50</v>
      </c>
    </row>
    <row r="68" spans="1:11" hidden="1" x14ac:dyDescent="0.2">
      <c r="A68" s="38" t="s">
        <v>115</v>
      </c>
      <c r="B68" s="61">
        <v>2.2000000000000002</v>
      </c>
      <c r="C68" s="48">
        <v>0</v>
      </c>
      <c r="D68" s="66">
        <v>1</v>
      </c>
      <c r="E68" s="66">
        <v>0</v>
      </c>
      <c r="F68" s="66">
        <v>1</v>
      </c>
      <c r="G68" s="51" t="e">
        <f>#N/A</f>
        <v>#N/A</v>
      </c>
      <c r="H68" s="19">
        <v>41892</v>
      </c>
      <c r="I68" s="67" t="s">
        <v>49</v>
      </c>
      <c r="J68" s="19">
        <v>41902</v>
      </c>
      <c r="K68" s="67" t="s">
        <v>50</v>
      </c>
    </row>
    <row r="69" spans="1:11" x14ac:dyDescent="0.2">
      <c r="A69" s="38" t="s">
        <v>116</v>
      </c>
      <c r="B69" s="61">
        <v>30</v>
      </c>
      <c r="C69" s="48">
        <v>0</v>
      </c>
      <c r="D69" s="66">
        <v>1</v>
      </c>
      <c r="E69" s="66">
        <v>0</v>
      </c>
      <c r="F69" s="66">
        <v>0</v>
      </c>
      <c r="G69" s="51" t="e">
        <f>#N/A</f>
        <v>#N/A</v>
      </c>
      <c r="H69" s="19">
        <v>41892</v>
      </c>
      <c r="I69" s="67" t="s">
        <v>49</v>
      </c>
      <c r="J69" s="19">
        <v>41902</v>
      </c>
      <c r="K69" s="67" t="s">
        <v>22</v>
      </c>
    </row>
    <row r="70" spans="1:11" x14ac:dyDescent="0.2">
      <c r="A70" s="38" t="s">
        <v>21</v>
      </c>
      <c r="B70" s="61">
        <v>1473.69</v>
      </c>
      <c r="C70" s="47">
        <v>1</v>
      </c>
      <c r="D70" s="65">
        <f>IF(C70=0,1,0)</f>
        <v>0</v>
      </c>
      <c r="E70" s="66">
        <v>1</v>
      </c>
      <c r="F70" s="66">
        <v>0</v>
      </c>
      <c r="G70" s="51" t="e">
        <f>#N/A</f>
        <v>#N/A</v>
      </c>
      <c r="H70" s="34"/>
      <c r="I70" s="21"/>
      <c r="J70" s="21"/>
      <c r="K70" s="21"/>
    </row>
    <row r="71" spans="1:11" hidden="1" x14ac:dyDescent="0.2">
      <c r="A71" s="69" t="s">
        <v>128</v>
      </c>
      <c r="B71" s="71">
        <v>66.5</v>
      </c>
      <c r="C71" s="47">
        <v>0</v>
      </c>
      <c r="D71" s="65">
        <f>IF(C71=0,1,0)</f>
        <v>1</v>
      </c>
      <c r="E71" s="66">
        <v>0</v>
      </c>
      <c r="F71" s="68">
        <v>1</v>
      </c>
      <c r="G71" s="51" t="e">
        <f>#N/A</f>
        <v>#N/A</v>
      </c>
      <c r="H71" s="34"/>
      <c r="I71" s="21"/>
      <c r="J71" s="21"/>
      <c r="K71" s="21"/>
    </row>
    <row r="72" spans="1:11" hidden="1" x14ac:dyDescent="0.2">
      <c r="A72" s="70" t="s">
        <v>129</v>
      </c>
      <c r="B72" s="71">
        <v>134.99</v>
      </c>
      <c r="C72" s="47">
        <v>0</v>
      </c>
      <c r="D72" s="65">
        <f>IF(C72=0,1,0)</f>
        <v>1</v>
      </c>
      <c r="E72" s="66">
        <v>0</v>
      </c>
      <c r="F72" s="68">
        <v>1</v>
      </c>
      <c r="G72" s="51" t="e">
        <f>#N/A</f>
        <v>#N/A</v>
      </c>
      <c r="H72" s="34"/>
      <c r="I72" s="21"/>
      <c r="J72" s="21"/>
      <c r="K72" s="21"/>
    </row>
    <row r="73" spans="1:11" hidden="1" x14ac:dyDescent="0.2">
      <c r="A73" s="70" t="s">
        <v>130</v>
      </c>
      <c r="B73" s="71">
        <v>195</v>
      </c>
      <c r="C73" s="47">
        <v>0</v>
      </c>
      <c r="D73" s="65">
        <f>IF(C73=0,1,0)</f>
        <v>1</v>
      </c>
      <c r="E73" s="66">
        <v>0</v>
      </c>
      <c r="F73" s="68">
        <v>1</v>
      </c>
      <c r="G73" s="51" t="e">
        <f>#N/A</f>
        <v>#N/A</v>
      </c>
      <c r="H73" s="34"/>
      <c r="I73" s="21"/>
      <c r="J73" s="21"/>
      <c r="K73" s="21"/>
    </row>
    <row r="74" spans="1:11" hidden="1" x14ac:dyDescent="0.2">
      <c r="A74" s="70" t="s">
        <v>131</v>
      </c>
      <c r="B74" s="71">
        <v>143.4</v>
      </c>
      <c r="C74" s="47">
        <v>0</v>
      </c>
      <c r="D74" s="65">
        <f>IF(C74=0,1,0)</f>
        <v>1</v>
      </c>
      <c r="E74" s="66">
        <v>0</v>
      </c>
      <c r="F74" s="68">
        <v>1</v>
      </c>
      <c r="G74" s="51" t="e">
        <f>#N/A</f>
        <v>#N/A</v>
      </c>
      <c r="H74" s="34"/>
      <c r="I74" s="21"/>
      <c r="J74" s="21"/>
      <c r="K74" s="21"/>
    </row>
    <row r="75" spans="1:11" x14ac:dyDescent="0.2">
      <c r="A75" s="38"/>
      <c r="B75" s="61"/>
      <c r="C75" s="48"/>
      <c r="D75" s="66"/>
      <c r="E75" s="66"/>
      <c r="F75" s="66"/>
      <c r="G75" s="51"/>
      <c r="H75" s="19"/>
      <c r="I75" s="67"/>
      <c r="J75" s="19"/>
      <c r="K75" s="67"/>
    </row>
    <row r="76" spans="1:11" x14ac:dyDescent="0.2">
      <c r="A76" s="38"/>
      <c r="B76" s="61"/>
      <c r="C76" s="48"/>
      <c r="D76" s="66"/>
      <c r="E76" s="66"/>
      <c r="F76" s="66"/>
      <c r="G76" s="51"/>
      <c r="H76" s="19"/>
      <c r="I76" s="67"/>
      <c r="J76" s="19"/>
      <c r="K76" s="67"/>
    </row>
    <row r="77" spans="1:11" x14ac:dyDescent="0.2">
      <c r="A77" s="38"/>
      <c r="B77" s="61"/>
      <c r="C77" s="48"/>
      <c r="D77" s="66"/>
      <c r="E77" s="66"/>
      <c r="F77" s="66"/>
      <c r="G77" s="51"/>
      <c r="H77" s="19"/>
      <c r="I77" s="67"/>
      <c r="J77" s="19"/>
      <c r="K77" s="67"/>
    </row>
    <row r="78" spans="1:11" x14ac:dyDescent="0.2">
      <c r="A78" s="38" t="s">
        <v>118</v>
      </c>
      <c r="B78" s="61">
        <v>183.9</v>
      </c>
      <c r="C78" s="47">
        <v>0</v>
      </c>
      <c r="D78" s="51" t="e">
        <f>#N/A</f>
        <v>#N/A</v>
      </c>
      <c r="E78" s="66">
        <v>1</v>
      </c>
      <c r="F78" s="66">
        <v>0</v>
      </c>
      <c r="G78" s="51" t="e">
        <f>#N/A</f>
        <v>#N/A</v>
      </c>
      <c r="H78" s="34"/>
      <c r="I78" s="21"/>
      <c r="J78" s="21"/>
      <c r="K78" s="21"/>
    </row>
    <row r="79" spans="1:11" x14ac:dyDescent="0.2">
      <c r="A79" s="38" t="s">
        <v>119</v>
      </c>
      <c r="B79" s="61">
        <v>183.9</v>
      </c>
      <c r="C79" s="47">
        <v>0</v>
      </c>
      <c r="D79" s="51" t="e">
        <f>#N/A</f>
        <v>#N/A</v>
      </c>
      <c r="E79" s="66">
        <v>1</v>
      </c>
      <c r="F79" s="66">
        <v>0</v>
      </c>
      <c r="G79" s="51" t="e">
        <f>#N/A</f>
        <v>#N/A</v>
      </c>
      <c r="H79" s="34"/>
      <c r="I79" s="21"/>
      <c r="J79" s="21"/>
      <c r="K79" s="21"/>
    </row>
    <row r="80" spans="1:11" x14ac:dyDescent="0.2">
      <c r="A80" s="38" t="s">
        <v>120</v>
      </c>
      <c r="B80" s="61">
        <v>191.7</v>
      </c>
      <c r="C80" s="47">
        <v>0</v>
      </c>
      <c r="D80" s="51" t="e">
        <f>#N/A</f>
        <v>#N/A</v>
      </c>
      <c r="E80" s="66">
        <v>1</v>
      </c>
      <c r="F80" s="66">
        <v>0</v>
      </c>
      <c r="G80" s="51" t="e">
        <f>#N/A</f>
        <v>#N/A</v>
      </c>
      <c r="H80" s="34"/>
      <c r="I80" s="21"/>
      <c r="J80" s="21"/>
      <c r="K80" s="21"/>
    </row>
    <row r="81" spans="1:11" x14ac:dyDescent="0.2">
      <c r="A81" s="38" t="s">
        <v>121</v>
      </c>
      <c r="B81" s="61">
        <v>383.67</v>
      </c>
      <c r="C81" s="47">
        <v>0</v>
      </c>
      <c r="D81" s="51" t="e">
        <f>#N/A</f>
        <v>#N/A</v>
      </c>
      <c r="E81" s="66">
        <v>1</v>
      </c>
      <c r="F81" s="66">
        <v>0</v>
      </c>
      <c r="G81" s="51" t="e">
        <f>#N/A</f>
        <v>#N/A</v>
      </c>
      <c r="H81" s="34"/>
      <c r="I81" s="21"/>
      <c r="J81" s="21"/>
      <c r="K81" s="21"/>
    </row>
    <row r="82" spans="1:11" x14ac:dyDescent="0.2">
      <c r="A82" s="38" t="s">
        <v>122</v>
      </c>
      <c r="B82" s="61">
        <v>383.67</v>
      </c>
      <c r="C82" s="47">
        <v>0</v>
      </c>
      <c r="D82" s="51" t="e">
        <f>#N/A</f>
        <v>#N/A</v>
      </c>
      <c r="E82" s="66">
        <v>1</v>
      </c>
      <c r="F82" s="66">
        <v>0</v>
      </c>
      <c r="G82" s="51" t="e">
        <f>#N/A</f>
        <v>#N/A</v>
      </c>
      <c r="H82" s="34"/>
      <c r="I82" s="21"/>
      <c r="J82" s="21"/>
      <c r="K82" s="21"/>
    </row>
    <row r="83" spans="1:11" x14ac:dyDescent="0.2">
      <c r="A83" s="38" t="s">
        <v>123</v>
      </c>
      <c r="B83" s="61">
        <v>400.44</v>
      </c>
      <c r="C83" s="47">
        <v>0</v>
      </c>
      <c r="D83" s="51" t="e">
        <f>#N/A</f>
        <v>#N/A</v>
      </c>
      <c r="E83" s="66">
        <v>1</v>
      </c>
      <c r="F83" s="66">
        <v>0</v>
      </c>
      <c r="G83" s="51" t="e">
        <f>#N/A</f>
        <v>#N/A</v>
      </c>
      <c r="H83" s="34"/>
      <c r="I83" s="21"/>
      <c r="J83" s="21"/>
      <c r="K83" s="21"/>
    </row>
    <row r="84" spans="1:11" x14ac:dyDescent="0.2">
      <c r="A84" s="38" t="s">
        <v>124</v>
      </c>
      <c r="B84" s="61">
        <v>136.44999999999999</v>
      </c>
      <c r="C84" s="47">
        <v>0</v>
      </c>
      <c r="D84" s="51" t="e">
        <f>#N/A</f>
        <v>#N/A</v>
      </c>
      <c r="E84" s="66">
        <v>1</v>
      </c>
      <c r="F84" s="66">
        <v>0</v>
      </c>
      <c r="G84" s="51" t="e">
        <f>#N/A</f>
        <v>#N/A</v>
      </c>
      <c r="H84" s="34"/>
      <c r="I84" s="21"/>
      <c r="J84" s="21"/>
      <c r="K84" s="21"/>
    </row>
    <row r="85" spans="1:11" x14ac:dyDescent="0.2">
      <c r="A85" s="38" t="s">
        <v>125</v>
      </c>
      <c r="B85" s="61">
        <v>136.44999999999999</v>
      </c>
      <c r="C85" s="47">
        <v>0</v>
      </c>
      <c r="D85" s="51" t="e">
        <f>#N/A</f>
        <v>#N/A</v>
      </c>
      <c r="E85" s="66">
        <v>1</v>
      </c>
      <c r="F85" s="66">
        <v>0</v>
      </c>
      <c r="G85" s="51" t="e">
        <f>#N/A</f>
        <v>#N/A</v>
      </c>
      <c r="H85" s="34"/>
      <c r="I85" s="21"/>
      <c r="J85" s="21"/>
      <c r="K85" s="21"/>
    </row>
    <row r="86" spans="1:11" x14ac:dyDescent="0.2">
      <c r="A86" s="38" t="s">
        <v>126</v>
      </c>
      <c r="B86" s="61">
        <v>142</v>
      </c>
      <c r="C86" s="47">
        <v>0</v>
      </c>
      <c r="D86" s="51" t="e">
        <f>#N/A</f>
        <v>#N/A</v>
      </c>
      <c r="E86" s="66">
        <v>1</v>
      </c>
      <c r="F86" s="66">
        <v>0</v>
      </c>
      <c r="G86" s="51" t="e">
        <f>#N/A</f>
        <v>#N/A</v>
      </c>
      <c r="H86" s="34"/>
      <c r="I86" s="21"/>
      <c r="J86" s="21"/>
      <c r="K86" s="21"/>
    </row>
    <row r="87" spans="1:11" x14ac:dyDescent="0.2">
      <c r="A87" s="38" t="s">
        <v>127</v>
      </c>
      <c r="B87" s="61">
        <v>142</v>
      </c>
      <c r="C87" s="47">
        <v>0</v>
      </c>
      <c r="D87" s="51" t="e">
        <f>#N/A</f>
        <v>#N/A</v>
      </c>
      <c r="E87" s="66">
        <v>1</v>
      </c>
      <c r="F87" s="66">
        <v>0</v>
      </c>
      <c r="G87" s="51" t="e">
        <f>#N/A</f>
        <v>#N/A</v>
      </c>
      <c r="H87" s="34"/>
      <c r="I87" s="21"/>
      <c r="J87" s="21"/>
      <c r="K87" s="21"/>
    </row>
    <row r="88" spans="1:11" x14ac:dyDescent="0.2">
      <c r="A88" s="4" t="s">
        <v>132</v>
      </c>
      <c r="B88" s="5">
        <v>142</v>
      </c>
      <c r="C88" s="47">
        <v>1</v>
      </c>
      <c r="D88" s="65" t="e">
        <f>#N/A</f>
        <v>#N/A</v>
      </c>
      <c r="E88" s="66">
        <v>1</v>
      </c>
      <c r="F88" s="68">
        <v>0</v>
      </c>
      <c r="G88" s="51" t="e">
        <f>#N/A</f>
        <v>#N/A</v>
      </c>
      <c r="H88" s="34"/>
      <c r="I88" s="21"/>
      <c r="J88" s="21"/>
      <c r="K88" s="21"/>
    </row>
    <row r="89" spans="1:11" x14ac:dyDescent="0.2">
      <c r="A89" s="4" t="s">
        <v>133</v>
      </c>
      <c r="B89" s="5">
        <v>133.47999999999999</v>
      </c>
      <c r="C89" s="47">
        <v>1</v>
      </c>
      <c r="D89" s="65" t="e">
        <f>#N/A</f>
        <v>#N/A</v>
      </c>
      <c r="E89" s="66">
        <v>1</v>
      </c>
      <c r="F89" s="68">
        <v>0</v>
      </c>
      <c r="G89" s="51" t="e">
        <f>#N/A</f>
        <v>#N/A</v>
      </c>
      <c r="H89" s="34"/>
      <c r="I89" s="21"/>
      <c r="J89" s="21"/>
      <c r="K89" s="21"/>
    </row>
    <row r="90" spans="1:11" x14ac:dyDescent="0.2">
      <c r="A90" s="4" t="s">
        <v>134</v>
      </c>
      <c r="B90" s="5">
        <v>63.9</v>
      </c>
      <c r="C90" s="47">
        <v>1</v>
      </c>
      <c r="D90" s="65" t="e">
        <f>#N/A</f>
        <v>#N/A</v>
      </c>
      <c r="E90" s="66">
        <v>1</v>
      </c>
      <c r="F90" s="68">
        <v>0</v>
      </c>
      <c r="G90" s="51" t="e">
        <f>#N/A</f>
        <v>#N/A</v>
      </c>
      <c r="H90" s="34"/>
      <c r="I90" s="21"/>
      <c r="J90" s="21"/>
      <c r="K90" s="21"/>
    </row>
    <row r="91" spans="1:11" x14ac:dyDescent="0.2">
      <c r="A91" s="4" t="s">
        <v>135</v>
      </c>
      <c r="B91" s="5">
        <v>142</v>
      </c>
      <c r="C91" s="47">
        <v>1</v>
      </c>
      <c r="D91" s="65" t="e">
        <f>#N/A</f>
        <v>#N/A</v>
      </c>
      <c r="E91" s="66">
        <v>1</v>
      </c>
      <c r="F91" s="68">
        <v>0</v>
      </c>
      <c r="G91" s="51" t="e">
        <f>#N/A</f>
        <v>#N/A</v>
      </c>
      <c r="H91" s="34"/>
      <c r="I91" s="21"/>
      <c r="J91" s="21"/>
      <c r="K91" s="21"/>
    </row>
    <row r="92" spans="1:11" x14ac:dyDescent="0.2">
      <c r="A92" s="4" t="s">
        <v>136</v>
      </c>
      <c r="B92" s="5">
        <v>133.47999999999999</v>
      </c>
      <c r="C92" s="47">
        <v>1</v>
      </c>
      <c r="D92" s="65" t="e">
        <f>#N/A</f>
        <v>#N/A</v>
      </c>
      <c r="E92" s="66">
        <v>1</v>
      </c>
      <c r="F92" s="68">
        <v>0</v>
      </c>
      <c r="G92" s="51" t="e">
        <f>#N/A</f>
        <v>#N/A</v>
      </c>
      <c r="H92" s="34"/>
      <c r="I92" s="21"/>
      <c r="J92" s="21"/>
      <c r="K92" s="21"/>
    </row>
    <row r="93" spans="1:11" x14ac:dyDescent="0.2">
      <c r="A93" s="4" t="s">
        <v>137</v>
      </c>
      <c r="B93" s="5">
        <v>63.9</v>
      </c>
      <c r="C93" s="47">
        <v>1</v>
      </c>
      <c r="D93" s="65" t="e">
        <f>#N/A</f>
        <v>#N/A</v>
      </c>
      <c r="E93" s="66">
        <v>1</v>
      </c>
      <c r="F93" s="68">
        <v>0</v>
      </c>
      <c r="G93" s="51" t="e">
        <f>#N/A</f>
        <v>#N/A</v>
      </c>
      <c r="H93" s="34"/>
      <c r="I93" s="21"/>
      <c r="J93" s="21"/>
      <c r="K93" s="21"/>
    </row>
    <row r="94" spans="1:11" x14ac:dyDescent="0.2">
      <c r="A94" s="4" t="s">
        <v>138</v>
      </c>
      <c r="B94" s="5">
        <v>142</v>
      </c>
      <c r="C94" s="47">
        <v>1</v>
      </c>
      <c r="D94" s="65" t="e">
        <f>#N/A</f>
        <v>#N/A</v>
      </c>
      <c r="E94" s="66">
        <v>1</v>
      </c>
      <c r="F94" s="68">
        <v>0</v>
      </c>
      <c r="G94" s="51" t="e">
        <f>#N/A</f>
        <v>#N/A</v>
      </c>
      <c r="H94" s="34"/>
      <c r="I94" s="21"/>
      <c r="J94" s="21"/>
      <c r="K94" s="21"/>
    </row>
    <row r="95" spans="1:11" x14ac:dyDescent="0.2">
      <c r="A95" s="4" t="s">
        <v>139</v>
      </c>
      <c r="B95" s="5">
        <v>133.47999999999999</v>
      </c>
      <c r="C95" s="47">
        <v>1</v>
      </c>
      <c r="D95" s="65" t="e">
        <f>#N/A</f>
        <v>#N/A</v>
      </c>
      <c r="E95" s="66">
        <v>1</v>
      </c>
      <c r="F95" s="68">
        <v>0</v>
      </c>
      <c r="G95" s="51" t="e">
        <f>#N/A</f>
        <v>#N/A</v>
      </c>
      <c r="H95" s="34"/>
      <c r="I95" s="21"/>
      <c r="J95" s="21"/>
      <c r="K95" s="21"/>
    </row>
    <row r="96" spans="1:11" x14ac:dyDescent="0.2">
      <c r="A96" s="4" t="s">
        <v>140</v>
      </c>
      <c r="B96" s="5">
        <v>63.9</v>
      </c>
      <c r="C96" s="47">
        <v>1</v>
      </c>
      <c r="D96" s="65" t="e">
        <f>#N/A</f>
        <v>#N/A</v>
      </c>
      <c r="E96" s="66">
        <v>1</v>
      </c>
      <c r="F96" s="68">
        <v>0</v>
      </c>
      <c r="G96" s="51" t="e">
        <f>#N/A</f>
        <v>#N/A</v>
      </c>
      <c r="H96" s="34"/>
      <c r="I96" s="21"/>
      <c r="J96" s="21"/>
      <c r="K96" s="21"/>
    </row>
    <row r="97" spans="1:11" x14ac:dyDescent="0.2">
      <c r="A97" s="4" t="s">
        <v>141</v>
      </c>
      <c r="B97" s="5">
        <v>142</v>
      </c>
      <c r="C97" s="47">
        <v>1</v>
      </c>
      <c r="D97" s="65" t="e">
        <f>#N/A</f>
        <v>#N/A</v>
      </c>
      <c r="E97" s="66">
        <v>1</v>
      </c>
      <c r="F97" s="68">
        <v>0</v>
      </c>
      <c r="G97" s="51" t="e">
        <f>#N/A</f>
        <v>#N/A</v>
      </c>
      <c r="H97" s="34"/>
      <c r="I97" s="21"/>
      <c r="J97" s="21"/>
      <c r="K97" s="21"/>
    </row>
    <row r="98" spans="1:11" x14ac:dyDescent="0.2">
      <c r="A98" s="4" t="s">
        <v>142</v>
      </c>
      <c r="B98" s="5">
        <v>133.47999999999999</v>
      </c>
      <c r="C98" s="47">
        <v>1</v>
      </c>
      <c r="D98" s="65" t="e">
        <f>#N/A</f>
        <v>#N/A</v>
      </c>
      <c r="E98" s="66">
        <v>1</v>
      </c>
      <c r="F98" s="68">
        <v>0</v>
      </c>
      <c r="G98" s="51" t="e">
        <f>#N/A</f>
        <v>#N/A</v>
      </c>
      <c r="H98" s="34"/>
      <c r="I98" s="21"/>
      <c r="J98" s="21"/>
      <c r="K98" s="21"/>
    </row>
    <row r="99" spans="1:11" x14ac:dyDescent="0.2">
      <c r="A99" s="4" t="s">
        <v>143</v>
      </c>
      <c r="B99" s="5">
        <v>63.9</v>
      </c>
      <c r="C99" s="47">
        <v>1</v>
      </c>
      <c r="D99" s="65" t="e">
        <f>#N/A</f>
        <v>#N/A</v>
      </c>
      <c r="E99" s="66">
        <v>1</v>
      </c>
      <c r="F99" s="68">
        <v>0</v>
      </c>
      <c r="G99" s="51" t="e">
        <f>#N/A</f>
        <v>#N/A</v>
      </c>
      <c r="H99" s="34"/>
      <c r="I99" s="21"/>
      <c r="J99" s="21"/>
      <c r="K99" s="21"/>
    </row>
    <row r="100" spans="1:11" x14ac:dyDescent="0.2">
      <c r="A100" s="4" t="s">
        <v>144</v>
      </c>
      <c r="B100" s="5">
        <v>142</v>
      </c>
      <c r="C100" s="47">
        <v>1</v>
      </c>
      <c r="D100" s="65" t="e">
        <f>#N/A</f>
        <v>#N/A</v>
      </c>
      <c r="E100" s="66">
        <v>1</v>
      </c>
      <c r="F100" s="68">
        <v>0</v>
      </c>
      <c r="G100" s="51" t="e">
        <f>#N/A</f>
        <v>#N/A</v>
      </c>
      <c r="H100" s="34"/>
      <c r="I100" s="21"/>
      <c r="J100" s="21"/>
      <c r="K100" s="21"/>
    </row>
    <row r="101" spans="1:11" x14ac:dyDescent="0.2">
      <c r="A101" s="4" t="s">
        <v>145</v>
      </c>
      <c r="B101" s="5">
        <v>133.47999999999999</v>
      </c>
      <c r="C101" s="47">
        <v>1</v>
      </c>
      <c r="D101" s="65" t="e">
        <f>#N/A</f>
        <v>#N/A</v>
      </c>
      <c r="E101" s="66">
        <v>1</v>
      </c>
      <c r="F101" s="68">
        <v>0</v>
      </c>
      <c r="G101" s="51" t="e">
        <f>#N/A</f>
        <v>#N/A</v>
      </c>
      <c r="H101" s="34"/>
      <c r="I101" s="21"/>
      <c r="J101" s="21"/>
      <c r="K101" s="21"/>
    </row>
    <row r="102" spans="1:11" x14ac:dyDescent="0.2">
      <c r="A102" s="4" t="s">
        <v>146</v>
      </c>
      <c r="B102" s="5">
        <v>63.9</v>
      </c>
      <c r="C102" s="47">
        <v>1</v>
      </c>
      <c r="D102" s="65" t="e">
        <f>#N/A</f>
        <v>#N/A</v>
      </c>
      <c r="E102" s="66">
        <v>1</v>
      </c>
      <c r="F102" s="68">
        <v>0</v>
      </c>
      <c r="G102" s="51" t="e">
        <f>#N/A</f>
        <v>#N/A</v>
      </c>
      <c r="H102" s="34"/>
      <c r="I102" s="21"/>
      <c r="J102" s="21"/>
      <c r="K102" s="21"/>
    </row>
    <row r="103" spans="1:11" x14ac:dyDescent="0.2">
      <c r="A103" s="4" t="s">
        <v>147</v>
      </c>
      <c r="B103" s="5">
        <v>142</v>
      </c>
      <c r="C103" s="47">
        <v>1</v>
      </c>
      <c r="D103" s="65" t="e">
        <f>#N/A</f>
        <v>#N/A</v>
      </c>
      <c r="E103" s="66">
        <v>1</v>
      </c>
      <c r="F103" s="68">
        <v>0</v>
      </c>
      <c r="G103" s="51" t="e">
        <f>#N/A</f>
        <v>#N/A</v>
      </c>
      <c r="H103" s="34"/>
      <c r="I103" s="21"/>
      <c r="J103" s="21"/>
      <c r="K103" s="21"/>
    </row>
    <row r="104" spans="1:11" x14ac:dyDescent="0.2">
      <c r="A104" s="4" t="s">
        <v>148</v>
      </c>
      <c r="B104" s="5">
        <v>133.47999999999999</v>
      </c>
      <c r="C104" s="47">
        <v>1</v>
      </c>
      <c r="D104" s="65" t="e">
        <f>#N/A</f>
        <v>#N/A</v>
      </c>
      <c r="E104" s="66">
        <v>1</v>
      </c>
      <c r="F104" s="68">
        <v>0</v>
      </c>
      <c r="G104" s="51" t="e">
        <f>#N/A</f>
        <v>#N/A</v>
      </c>
      <c r="H104" s="34"/>
      <c r="I104" s="21"/>
      <c r="J104" s="21"/>
      <c r="K104" s="21"/>
    </row>
    <row r="105" spans="1:11" x14ac:dyDescent="0.2">
      <c r="A105" s="4" t="s">
        <v>149</v>
      </c>
      <c r="B105" s="5">
        <v>63.9</v>
      </c>
      <c r="C105" s="47">
        <v>1</v>
      </c>
      <c r="D105" s="65" t="e">
        <f>#N/A</f>
        <v>#N/A</v>
      </c>
      <c r="E105" s="66">
        <v>1</v>
      </c>
      <c r="F105" s="68">
        <v>0</v>
      </c>
      <c r="G105" s="51" t="e">
        <f>#N/A</f>
        <v>#N/A</v>
      </c>
      <c r="H105" s="34"/>
      <c r="I105" s="21"/>
      <c r="J105" s="21"/>
      <c r="K105" s="21"/>
    </row>
    <row r="106" spans="1:11" x14ac:dyDescent="0.2">
      <c r="A106" s="4" t="s">
        <v>150</v>
      </c>
      <c r="B106" s="5">
        <v>142</v>
      </c>
      <c r="C106" s="47">
        <v>1</v>
      </c>
      <c r="D106" s="65" t="e">
        <f>#N/A</f>
        <v>#N/A</v>
      </c>
      <c r="E106" s="66">
        <v>1</v>
      </c>
      <c r="F106" s="68">
        <v>0</v>
      </c>
      <c r="G106" s="51" t="e">
        <f>#N/A</f>
        <v>#N/A</v>
      </c>
      <c r="H106" s="34"/>
      <c r="I106" s="21"/>
      <c r="J106" s="21"/>
      <c r="K106" s="21"/>
    </row>
    <row r="107" spans="1:11" x14ac:dyDescent="0.2">
      <c r="A107" s="4" t="s">
        <v>151</v>
      </c>
      <c r="B107" s="5">
        <v>133.47999999999999</v>
      </c>
      <c r="C107" s="47">
        <v>1</v>
      </c>
      <c r="D107" s="65" t="e">
        <f>#N/A</f>
        <v>#N/A</v>
      </c>
      <c r="E107" s="66">
        <v>1</v>
      </c>
      <c r="F107" s="68">
        <v>0</v>
      </c>
      <c r="G107" s="51" t="e">
        <f>#N/A</f>
        <v>#N/A</v>
      </c>
      <c r="H107" s="34"/>
      <c r="I107" s="21"/>
      <c r="J107" s="21"/>
      <c r="K107" s="21"/>
    </row>
    <row r="108" spans="1:11" x14ac:dyDescent="0.2">
      <c r="A108" s="4" t="s">
        <v>152</v>
      </c>
      <c r="B108" s="5">
        <v>63.9</v>
      </c>
      <c r="C108" s="47">
        <v>1</v>
      </c>
      <c r="D108" s="65" t="e">
        <f>#N/A</f>
        <v>#N/A</v>
      </c>
      <c r="E108" s="66">
        <v>1</v>
      </c>
      <c r="F108" s="68">
        <v>0</v>
      </c>
      <c r="G108" s="51" t="e">
        <f>#N/A</f>
        <v>#N/A</v>
      </c>
      <c r="H108" s="34"/>
      <c r="I108" s="21"/>
      <c r="J108" s="21"/>
      <c r="K108" s="21"/>
    </row>
    <row r="109" spans="1:11" x14ac:dyDescent="0.2">
      <c r="A109" s="4" t="s">
        <v>195</v>
      </c>
      <c r="B109" s="5">
        <v>142</v>
      </c>
      <c r="C109" s="47">
        <v>1</v>
      </c>
      <c r="D109" s="65" t="e">
        <f>#N/A</f>
        <v>#N/A</v>
      </c>
      <c r="E109" s="66">
        <v>1</v>
      </c>
      <c r="F109" s="68">
        <v>0</v>
      </c>
      <c r="G109" s="51" t="e">
        <f>#N/A</f>
        <v>#N/A</v>
      </c>
      <c r="H109" s="34"/>
      <c r="I109" s="21"/>
      <c r="J109" s="21"/>
      <c r="K109" s="21"/>
    </row>
    <row r="110" spans="1:11" x14ac:dyDescent="0.2">
      <c r="A110" s="4" t="s">
        <v>196</v>
      </c>
      <c r="B110" s="5">
        <v>133.47999999999999</v>
      </c>
      <c r="C110" s="47">
        <v>1</v>
      </c>
      <c r="D110" s="65" t="e">
        <f>#N/A</f>
        <v>#N/A</v>
      </c>
      <c r="E110" s="66">
        <v>1</v>
      </c>
      <c r="F110" s="68">
        <v>0</v>
      </c>
      <c r="G110" s="51" t="e">
        <f>#N/A</f>
        <v>#N/A</v>
      </c>
      <c r="H110" s="34"/>
      <c r="I110" s="21"/>
      <c r="J110" s="21"/>
      <c r="K110" s="21"/>
    </row>
    <row r="111" spans="1:11" x14ac:dyDescent="0.2">
      <c r="A111" s="4" t="s">
        <v>197</v>
      </c>
      <c r="B111" s="5">
        <v>63.9</v>
      </c>
      <c r="C111" s="47">
        <v>1</v>
      </c>
      <c r="D111" s="65" t="e">
        <f>#N/A</f>
        <v>#N/A</v>
      </c>
      <c r="E111" s="66">
        <v>1</v>
      </c>
      <c r="F111" s="68">
        <v>0</v>
      </c>
      <c r="G111" s="51" t="e">
        <f>#N/A</f>
        <v>#N/A</v>
      </c>
      <c r="H111" s="34"/>
      <c r="I111" s="21"/>
      <c r="J111" s="21"/>
      <c r="K111" s="21"/>
    </row>
    <row r="112" spans="1:11" x14ac:dyDescent="0.2">
      <c r="A112" s="2" t="s">
        <v>82</v>
      </c>
      <c r="B112" s="2">
        <v>1174.68</v>
      </c>
      <c r="C112" s="47">
        <v>1</v>
      </c>
      <c r="D112" s="65" t="e">
        <f>#N/A</f>
        <v>#N/A</v>
      </c>
      <c r="E112" s="66">
        <v>1</v>
      </c>
      <c r="F112" s="68">
        <v>0</v>
      </c>
      <c r="G112" s="51" t="e">
        <f>#N/A</f>
        <v>#N/A</v>
      </c>
      <c r="H112" s="34"/>
      <c r="I112" s="21"/>
      <c r="J112" s="21"/>
      <c r="K112" s="21"/>
    </row>
    <row r="113" spans="1:11" x14ac:dyDescent="0.2">
      <c r="A113" s="2" t="s">
        <v>83</v>
      </c>
      <c r="B113" s="2">
        <v>127.69</v>
      </c>
      <c r="C113" s="47">
        <v>1</v>
      </c>
      <c r="D113" s="65" t="e">
        <f>#N/A</f>
        <v>#N/A</v>
      </c>
      <c r="E113" s="66">
        <v>1</v>
      </c>
      <c r="F113" s="68">
        <v>0</v>
      </c>
      <c r="G113" s="51" t="e">
        <f>#N/A</f>
        <v>#N/A</v>
      </c>
      <c r="H113" s="34"/>
      <c r="I113" s="21"/>
      <c r="J113" s="21"/>
      <c r="K113" s="21"/>
    </row>
    <row r="114" spans="1:11" x14ac:dyDescent="0.2">
      <c r="A114" s="2" t="s">
        <v>84</v>
      </c>
      <c r="B114" s="2">
        <v>297.93</v>
      </c>
      <c r="C114" s="47">
        <v>1</v>
      </c>
      <c r="D114" s="65" t="e">
        <f>#N/A</f>
        <v>#N/A</v>
      </c>
      <c r="E114" s="66">
        <v>1</v>
      </c>
      <c r="F114" s="68">
        <v>0</v>
      </c>
      <c r="G114" s="51" t="e">
        <f>#N/A</f>
        <v>#N/A</v>
      </c>
      <c r="H114" s="34"/>
      <c r="I114" s="21"/>
      <c r="J114" s="21"/>
      <c r="K114" s="21"/>
    </row>
    <row r="115" spans="1:11" x14ac:dyDescent="0.2">
      <c r="A115" s="2" t="s">
        <v>85</v>
      </c>
      <c r="B115" s="2">
        <v>68.48</v>
      </c>
      <c r="C115" s="47">
        <v>1</v>
      </c>
      <c r="D115" s="65" t="e">
        <f>#N/A</f>
        <v>#N/A</v>
      </c>
      <c r="E115" s="66">
        <v>1</v>
      </c>
      <c r="F115" s="68">
        <v>0</v>
      </c>
      <c r="G115" s="51" t="e">
        <f>#N/A</f>
        <v>#N/A</v>
      </c>
      <c r="H115" s="34"/>
      <c r="I115" s="21"/>
      <c r="J115" s="21"/>
      <c r="K115" s="21"/>
    </row>
    <row r="116" spans="1:11" x14ac:dyDescent="0.2">
      <c r="A116" s="2" t="s">
        <v>36</v>
      </c>
      <c r="B116" s="2">
        <v>434.94</v>
      </c>
      <c r="C116" s="47">
        <v>1</v>
      </c>
      <c r="D116" s="65" t="e">
        <f>#N/A</f>
        <v>#N/A</v>
      </c>
      <c r="E116" s="66">
        <v>1</v>
      </c>
      <c r="F116" s="68">
        <v>0</v>
      </c>
      <c r="G116" s="51" t="e">
        <f>#N/A</f>
        <v>#N/A</v>
      </c>
      <c r="H116" s="34"/>
      <c r="I116" s="21"/>
      <c r="J116" s="21"/>
      <c r="K116" s="21"/>
    </row>
    <row r="117" spans="1:11" x14ac:dyDescent="0.2">
      <c r="A117" s="2" t="s">
        <v>35</v>
      </c>
      <c r="B117" s="2">
        <v>379.42</v>
      </c>
      <c r="C117" s="47">
        <v>1</v>
      </c>
      <c r="D117" s="65" t="e">
        <f>#N/A</f>
        <v>#N/A</v>
      </c>
      <c r="E117" s="66">
        <v>1</v>
      </c>
      <c r="F117" s="68">
        <v>0</v>
      </c>
      <c r="G117" s="51" t="e">
        <f>#N/A</f>
        <v>#N/A</v>
      </c>
      <c r="H117" s="34"/>
      <c r="I117" s="21"/>
      <c r="J117" s="21"/>
      <c r="K117" s="21"/>
    </row>
    <row r="118" spans="1:11" x14ac:dyDescent="0.2">
      <c r="A118" s="2" t="s">
        <v>34</v>
      </c>
      <c r="B118" s="2">
        <v>195.73</v>
      </c>
      <c r="C118" s="47">
        <v>1</v>
      </c>
      <c r="D118" s="65" t="e">
        <f>#N/A</f>
        <v>#N/A</v>
      </c>
      <c r="E118" s="66">
        <v>1</v>
      </c>
      <c r="F118" s="68">
        <v>0</v>
      </c>
      <c r="G118" s="51" t="e">
        <f>#N/A</f>
        <v>#N/A</v>
      </c>
      <c r="H118" s="34"/>
      <c r="I118" s="21"/>
      <c r="J118" s="21"/>
      <c r="K118" s="21"/>
    </row>
    <row r="119" spans="1:11" x14ac:dyDescent="0.2">
      <c r="A119" s="2" t="s">
        <v>33</v>
      </c>
      <c r="B119" s="2">
        <v>186.62</v>
      </c>
      <c r="C119" s="47">
        <v>1</v>
      </c>
      <c r="D119" s="65" t="e">
        <f>#N/A</f>
        <v>#N/A</v>
      </c>
      <c r="E119" s="66">
        <v>1</v>
      </c>
      <c r="F119" s="68">
        <v>0</v>
      </c>
      <c r="G119" s="51" t="e">
        <f>#N/A</f>
        <v>#N/A</v>
      </c>
      <c r="H119" s="34"/>
      <c r="I119" s="21"/>
      <c r="J119" s="21"/>
      <c r="K119" s="21"/>
    </row>
    <row r="120" spans="1:11" x14ac:dyDescent="0.2">
      <c r="A120" s="2" t="s">
        <v>32</v>
      </c>
      <c r="B120" s="2">
        <v>153.63</v>
      </c>
    </row>
    <row r="121" spans="1:11" x14ac:dyDescent="0.2">
      <c r="A121" s="2" t="s">
        <v>30</v>
      </c>
      <c r="B121" s="2">
        <v>292.01</v>
      </c>
    </row>
    <row r="122" spans="1:11" x14ac:dyDescent="0.2">
      <c r="A122" s="2" t="s">
        <v>31</v>
      </c>
      <c r="B122" s="2">
        <v>292.01</v>
      </c>
    </row>
  </sheetData>
  <autoFilter ref="A1:K74">
    <filterColumn colId="5">
      <filters>
        <filter val="0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9"/>
  <sheetViews>
    <sheetView workbookViewId="0">
      <selection activeCell="E10" sqref="E10"/>
    </sheetView>
  </sheetViews>
  <sheetFormatPr defaultRowHeight="12.75" x14ac:dyDescent="0.2"/>
  <cols>
    <col min="1" max="1" width="17.42578125" bestFit="1" customWidth="1"/>
    <col min="2" max="2" width="15.42578125" bestFit="1" customWidth="1"/>
    <col min="3" max="3" width="15.7109375" bestFit="1" customWidth="1"/>
    <col min="4" max="4" width="13.28515625" bestFit="1" customWidth="1"/>
    <col min="5" max="5" width="14.42578125" bestFit="1" customWidth="1"/>
    <col min="6" max="6" width="13.85546875" bestFit="1" customWidth="1"/>
    <col min="7" max="7" width="13.7109375" bestFit="1" customWidth="1"/>
    <col min="8" max="8" width="16.42578125" bestFit="1" customWidth="1"/>
    <col min="9" max="9" width="13.28515625" bestFit="1" customWidth="1"/>
    <col min="10" max="10" width="13.5703125" bestFit="1" customWidth="1"/>
    <col min="11" max="11" width="12.28515625" customWidth="1"/>
    <col min="12" max="12" width="12" bestFit="1" customWidth="1"/>
    <col min="13" max="13" width="12.7109375" bestFit="1" customWidth="1"/>
    <col min="14" max="16" width="12.140625" bestFit="1" customWidth="1"/>
  </cols>
  <sheetData>
    <row r="1" spans="1:15" x14ac:dyDescent="0.2">
      <c r="A1" t="s">
        <v>14</v>
      </c>
      <c r="B1" t="s">
        <v>20</v>
      </c>
      <c r="C1" s="9" t="s">
        <v>159</v>
      </c>
      <c r="D1" s="10" t="s">
        <v>61</v>
      </c>
      <c r="E1" s="10" t="s">
        <v>160</v>
      </c>
      <c r="F1" s="10" t="s">
        <v>162</v>
      </c>
      <c r="G1" s="12" t="s">
        <v>161</v>
      </c>
      <c r="H1" s="10" t="s">
        <v>194</v>
      </c>
      <c r="I1" s="10" t="s">
        <v>391</v>
      </c>
      <c r="J1" s="9"/>
      <c r="K1" s="9"/>
      <c r="L1" s="9"/>
      <c r="M1" s="1"/>
      <c r="N1" s="1"/>
      <c r="O1" s="1"/>
    </row>
    <row r="2" spans="1:15" x14ac:dyDescent="0.2">
      <c r="A2" s="73">
        <v>41892</v>
      </c>
      <c r="B2" s="31">
        <v>6663.8</v>
      </c>
      <c r="C2" s="8">
        <v>6226.27</v>
      </c>
      <c r="D2" s="74">
        <v>213</v>
      </c>
      <c r="E2" s="6">
        <v>0</v>
      </c>
      <c r="F2" s="75">
        <f t="shared" ref="F2:F7" si="0">C2+D2+E2</f>
        <v>6439.27</v>
      </c>
      <c r="G2" s="86">
        <f t="shared" ref="G2:G7" si="1">B2-F2</f>
        <v>224.52999999999975</v>
      </c>
      <c r="H2" s="77">
        <v>0</v>
      </c>
      <c r="I2" s="76"/>
      <c r="J2" s="78"/>
      <c r="K2" s="22"/>
      <c r="L2" s="7"/>
      <c r="M2" s="6"/>
      <c r="N2" s="6"/>
      <c r="O2" s="6"/>
    </row>
    <row r="3" spans="1:15" x14ac:dyDescent="0.2">
      <c r="A3" s="73">
        <v>41922</v>
      </c>
      <c r="B3" s="31">
        <v>6663.8</v>
      </c>
      <c r="C3" s="6">
        <v>4429.16</v>
      </c>
      <c r="D3" s="6">
        <v>1989.5600000000002</v>
      </c>
      <c r="E3" s="6">
        <v>0</v>
      </c>
      <c r="F3" s="75">
        <f t="shared" si="0"/>
        <v>6418.72</v>
      </c>
      <c r="G3" s="86">
        <f t="shared" si="1"/>
        <v>245.07999999999993</v>
      </c>
      <c r="H3" s="75">
        <f>G3+G2-I3</f>
        <v>469.60999999999967</v>
      </c>
    </row>
    <row r="4" spans="1:15" x14ac:dyDescent="0.2">
      <c r="A4" s="73">
        <v>41953</v>
      </c>
      <c r="B4" s="31">
        <v>6663.8</v>
      </c>
      <c r="C4" s="6">
        <v>4858.93</v>
      </c>
      <c r="D4" s="6">
        <v>1973.4900000000005</v>
      </c>
      <c r="E4" s="86">
        <v>0</v>
      </c>
      <c r="F4" s="75">
        <f t="shared" si="0"/>
        <v>6832.420000000001</v>
      </c>
      <c r="G4" s="86">
        <f>((281+B4)-F4)</f>
        <v>112.3799999999992</v>
      </c>
      <c r="H4" s="75">
        <f>G4+H3</f>
        <v>581.98999999999887</v>
      </c>
      <c r="I4" s="82">
        <v>281</v>
      </c>
    </row>
    <row r="5" spans="1:15" x14ac:dyDescent="0.2">
      <c r="A5" s="73">
        <v>41983</v>
      </c>
      <c r="B5" s="31">
        <v>6663.8</v>
      </c>
      <c r="C5" s="6">
        <v>5379.6699999999992</v>
      </c>
      <c r="D5" s="6">
        <v>1820.6200000000001</v>
      </c>
      <c r="E5" s="6">
        <v>0</v>
      </c>
      <c r="F5" s="75">
        <f t="shared" si="0"/>
        <v>7200.2899999999991</v>
      </c>
      <c r="G5" s="86">
        <f>(I5+B5)-F5</f>
        <v>-386.48999999999887</v>
      </c>
      <c r="H5" s="75">
        <f>G5+H4</f>
        <v>195.5</v>
      </c>
      <c r="I5" s="6">
        <v>150</v>
      </c>
    </row>
    <row r="6" spans="1:15" x14ac:dyDescent="0.2">
      <c r="A6" s="73">
        <v>42014</v>
      </c>
      <c r="B6" s="31">
        <v>6945.36</v>
      </c>
      <c r="C6" s="6">
        <v>5861.24</v>
      </c>
      <c r="D6" s="6">
        <v>1126.02</v>
      </c>
      <c r="E6" s="6">
        <v>0</v>
      </c>
      <c r="F6" s="75">
        <f t="shared" si="0"/>
        <v>6987.26</v>
      </c>
      <c r="G6" s="86">
        <f>B6-F6</f>
        <v>-41.900000000000546</v>
      </c>
      <c r="H6" s="75">
        <f>(H5+G6)-J6</f>
        <v>153.59999999999945</v>
      </c>
      <c r="I6" s="6"/>
      <c r="J6" s="82">
        <v>0</v>
      </c>
      <c r="K6" s="6">
        <v>283.2</v>
      </c>
    </row>
    <row r="7" spans="1:15" x14ac:dyDescent="0.2">
      <c r="A7" s="73">
        <v>42045</v>
      </c>
      <c r="B7" s="31">
        <v>6945.36</v>
      </c>
      <c r="C7" s="6">
        <v>4410.1100000000006</v>
      </c>
      <c r="D7" s="6">
        <v>1498.1100000000001</v>
      </c>
      <c r="E7" s="6">
        <v>0</v>
      </c>
      <c r="F7" s="75">
        <f t="shared" si="0"/>
        <v>5908.2200000000012</v>
      </c>
      <c r="G7" s="86">
        <f t="shared" si="1"/>
        <v>1037.1399999999985</v>
      </c>
      <c r="H7" s="75">
        <f>(H6+G7)-J7</f>
        <v>1190.739999999998</v>
      </c>
      <c r="J7" s="6">
        <v>0</v>
      </c>
    </row>
    <row r="8" spans="1:15" x14ac:dyDescent="0.2">
      <c r="A8" s="73">
        <v>42073</v>
      </c>
      <c r="B8" s="31">
        <v>6945.36</v>
      </c>
      <c r="C8" s="6">
        <v>5327.4866666666658</v>
      </c>
      <c r="D8" s="6">
        <v>2115.6700000000005</v>
      </c>
      <c r="E8" s="6">
        <v>0</v>
      </c>
      <c r="F8" s="75">
        <f t="shared" ref="F8:F17" si="2">C8+D8+E8</f>
        <v>7443.1566666666658</v>
      </c>
      <c r="G8" s="86">
        <f t="shared" ref="G8:G17" si="3">B8-F8</f>
        <v>-497.79666666666617</v>
      </c>
      <c r="H8" s="75">
        <f>(H7+G8)-J8</f>
        <v>692.94333333333179</v>
      </c>
      <c r="J8" s="6">
        <v>0</v>
      </c>
    </row>
    <row r="9" spans="1:15" x14ac:dyDescent="0.2">
      <c r="A9" s="73">
        <v>42104</v>
      </c>
      <c r="B9" s="31">
        <v>6945.36</v>
      </c>
      <c r="C9" s="6">
        <v>5386.4466666666667</v>
      </c>
      <c r="D9" s="6">
        <v>431.09000000000003</v>
      </c>
      <c r="E9" s="6">
        <v>0</v>
      </c>
      <c r="F9" s="75">
        <f>C9+D9+E9</f>
        <v>5817.5366666666669</v>
      </c>
      <c r="G9" s="86">
        <f t="shared" si="3"/>
        <v>1127.8233333333328</v>
      </c>
      <c r="H9" s="75">
        <f>G9+H8</f>
        <v>1820.7666666666646</v>
      </c>
      <c r="J9" s="6">
        <v>0</v>
      </c>
    </row>
    <row r="10" spans="1:15" x14ac:dyDescent="0.2">
      <c r="A10" s="73">
        <v>42134</v>
      </c>
      <c r="B10" s="31">
        <v>6945.36</v>
      </c>
      <c r="C10" s="6">
        <v>0</v>
      </c>
      <c r="D10" s="6">
        <v>0</v>
      </c>
      <c r="E10" s="6">
        <v>7024.8966666666674</v>
      </c>
      <c r="F10" s="75">
        <f t="shared" si="2"/>
        <v>7024.8966666666674</v>
      </c>
      <c r="G10" s="86">
        <f t="shared" si="3"/>
        <v>-79.53666666666777</v>
      </c>
      <c r="H10" s="75">
        <f>G10+H9</f>
        <v>1741.2299999999968</v>
      </c>
      <c r="J10" s="6">
        <v>0</v>
      </c>
    </row>
    <row r="11" spans="1:15" x14ac:dyDescent="0.2">
      <c r="A11" s="73">
        <v>42165</v>
      </c>
      <c r="B11" s="31">
        <v>6945.36</v>
      </c>
      <c r="C11" s="6">
        <v>0</v>
      </c>
      <c r="D11" s="6">
        <v>0</v>
      </c>
      <c r="E11" s="6">
        <v>5935.7200000000012</v>
      </c>
      <c r="F11" s="75">
        <f t="shared" si="2"/>
        <v>5935.7200000000012</v>
      </c>
      <c r="G11" s="86">
        <f t="shared" si="3"/>
        <v>1009.6399999999985</v>
      </c>
      <c r="H11" s="75">
        <f t="shared" ref="H11:H17" si="4">G11+H10</f>
        <v>2750.8699999999953</v>
      </c>
      <c r="J11" s="6">
        <v>0</v>
      </c>
    </row>
    <row r="12" spans="1:15" x14ac:dyDescent="0.2">
      <c r="A12" s="73">
        <v>42195</v>
      </c>
      <c r="B12" s="31">
        <v>6945.36</v>
      </c>
      <c r="C12" s="6">
        <v>0</v>
      </c>
      <c r="D12" s="6">
        <v>0</v>
      </c>
      <c r="E12" s="6">
        <v>5309.58</v>
      </c>
      <c r="F12" s="75">
        <f t="shared" si="2"/>
        <v>5309.58</v>
      </c>
      <c r="G12" s="86">
        <f t="shared" si="3"/>
        <v>1635.7799999999997</v>
      </c>
      <c r="H12" s="75">
        <f t="shared" si="4"/>
        <v>4386.6499999999951</v>
      </c>
      <c r="J12" s="6">
        <v>0</v>
      </c>
    </row>
    <row r="13" spans="1:15" x14ac:dyDescent="0.2">
      <c r="A13" s="73">
        <v>42226</v>
      </c>
      <c r="B13" s="31">
        <v>6945.36</v>
      </c>
      <c r="C13" s="6">
        <v>0</v>
      </c>
      <c r="D13" s="6">
        <v>0</v>
      </c>
      <c r="E13" s="6">
        <v>5041.7000000000007</v>
      </c>
      <c r="F13" s="75">
        <f t="shared" si="2"/>
        <v>5041.7000000000007</v>
      </c>
      <c r="G13" s="86">
        <f t="shared" si="3"/>
        <v>1903.6599999999989</v>
      </c>
      <c r="H13" s="75">
        <f t="shared" si="4"/>
        <v>6290.309999999994</v>
      </c>
      <c r="J13" s="6">
        <v>0</v>
      </c>
    </row>
    <row r="14" spans="1:15" x14ac:dyDescent="0.2">
      <c r="A14" s="73">
        <v>42257</v>
      </c>
      <c r="B14" s="31">
        <v>6945.36</v>
      </c>
      <c r="C14" s="6">
        <v>0</v>
      </c>
      <c r="D14" s="6">
        <v>0</v>
      </c>
      <c r="E14" s="6">
        <v>0</v>
      </c>
      <c r="F14" s="75">
        <f t="shared" si="2"/>
        <v>0</v>
      </c>
      <c r="G14" s="86">
        <f t="shared" si="3"/>
        <v>6945.36</v>
      </c>
      <c r="H14" s="75">
        <f t="shared" si="4"/>
        <v>13235.669999999995</v>
      </c>
      <c r="J14" s="6">
        <v>0</v>
      </c>
    </row>
    <row r="15" spans="1:15" x14ac:dyDescent="0.2">
      <c r="A15" s="73">
        <v>42287</v>
      </c>
      <c r="B15" s="31">
        <v>6945.36</v>
      </c>
      <c r="C15" s="6">
        <v>0</v>
      </c>
      <c r="D15" s="6">
        <v>0</v>
      </c>
      <c r="E15" s="6">
        <v>0</v>
      </c>
      <c r="F15" s="75">
        <f t="shared" si="2"/>
        <v>0</v>
      </c>
      <c r="G15" s="86">
        <f t="shared" si="3"/>
        <v>6945.36</v>
      </c>
      <c r="H15" s="75">
        <f t="shared" si="4"/>
        <v>20181.029999999995</v>
      </c>
      <c r="J15" s="6">
        <v>0</v>
      </c>
    </row>
    <row r="16" spans="1:15" x14ac:dyDescent="0.2">
      <c r="A16" s="73">
        <v>42318</v>
      </c>
      <c r="B16" s="31">
        <v>6945.36</v>
      </c>
      <c r="C16" s="6">
        <v>0</v>
      </c>
      <c r="D16" s="6">
        <v>0</v>
      </c>
      <c r="E16" s="6">
        <v>0</v>
      </c>
      <c r="F16" s="75">
        <f t="shared" si="2"/>
        <v>0</v>
      </c>
      <c r="G16" s="86">
        <f t="shared" si="3"/>
        <v>6945.36</v>
      </c>
      <c r="H16" s="75">
        <f t="shared" si="4"/>
        <v>27126.389999999996</v>
      </c>
      <c r="J16" s="6">
        <v>0</v>
      </c>
    </row>
    <row r="17" spans="1:10" x14ac:dyDescent="0.2">
      <c r="A17" s="73">
        <v>42348</v>
      </c>
      <c r="B17" s="31">
        <v>6945.36</v>
      </c>
      <c r="C17" s="6">
        <v>0</v>
      </c>
      <c r="D17" s="6">
        <v>0</v>
      </c>
      <c r="E17" s="6">
        <v>0</v>
      </c>
      <c r="F17" s="75">
        <f t="shared" si="2"/>
        <v>0</v>
      </c>
      <c r="G17" s="86">
        <f t="shared" si="3"/>
        <v>6945.36</v>
      </c>
      <c r="H17" s="75">
        <f t="shared" si="4"/>
        <v>34071.749999999993</v>
      </c>
      <c r="J17" s="6">
        <v>0</v>
      </c>
    </row>
    <row r="18" spans="1:10" x14ac:dyDescent="0.2">
      <c r="E18" s="1"/>
    </row>
    <row r="19" spans="1:10" x14ac:dyDescent="0.2">
      <c r="E19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H7"/>
  <sheetViews>
    <sheetView workbookViewId="0">
      <selection activeCell="C1" sqref="C1"/>
    </sheetView>
  </sheetViews>
  <sheetFormatPr defaultRowHeight="12.75" x14ac:dyDescent="0.2"/>
  <cols>
    <col min="1" max="1" width="11" bestFit="1" customWidth="1"/>
    <col min="3" max="3" width="12.7109375" bestFit="1" customWidth="1"/>
    <col min="4" max="5" width="14.140625" bestFit="1" customWidth="1"/>
    <col min="6" max="6" width="16.85546875" bestFit="1" customWidth="1"/>
    <col min="7" max="7" width="22.28515625" bestFit="1" customWidth="1"/>
  </cols>
  <sheetData>
    <row r="1" spans="1:8" x14ac:dyDescent="0.2">
      <c r="A1" s="21" t="s">
        <v>50</v>
      </c>
      <c r="B1" s="1">
        <f>SUMIF(debito!$I$48:$I$83,tipopagto!A1,debito!$B$48:$B$83)</f>
        <v>33.5</v>
      </c>
      <c r="C1" s="1"/>
      <c r="D1" s="1"/>
      <c r="E1" s="1"/>
      <c r="F1" s="1"/>
      <c r="G1" s="3"/>
      <c r="H1" s="1"/>
    </row>
    <row r="2" spans="1:8" x14ac:dyDescent="0.2">
      <c r="A2" s="21" t="s">
        <v>22</v>
      </c>
      <c r="B2" s="1">
        <f>SUMIF(debito!$I$48:$I$83,tipopagto!A2,debito!$B$48:$B$83)</f>
        <v>0</v>
      </c>
      <c r="C2" s="1"/>
    </row>
    <row r="3" spans="1:8" x14ac:dyDescent="0.2">
      <c r="A3" s="21" t="s">
        <v>60</v>
      </c>
      <c r="B3" s="1">
        <f>SUMIF(debito!$I$48:$I$83,tipopagto!A3,debito!$B$48:$B$83)</f>
        <v>120</v>
      </c>
    </row>
    <row r="4" spans="1:8" x14ac:dyDescent="0.2">
      <c r="A4" s="21" t="s">
        <v>107</v>
      </c>
      <c r="B4" s="1">
        <f>SUMIF(debito!$I$48:$I$83,tipopagto!A4,debito!$B$48:$B$83)</f>
        <v>0</v>
      </c>
    </row>
    <row r="5" spans="1:8" x14ac:dyDescent="0.2">
      <c r="A5" s="45" t="s">
        <v>41</v>
      </c>
      <c r="B5" s="1">
        <f>SUMIF(debito!$I$48:$I$83,tipopagto!A5,debito!$B$48:$B$83)</f>
        <v>0</v>
      </c>
    </row>
    <row r="7" spans="1:8" x14ac:dyDescent="0.2">
      <c r="A7" s="21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K41"/>
  <sheetViews>
    <sheetView topLeftCell="A13" workbookViewId="0">
      <selection activeCell="B41" sqref="B41"/>
    </sheetView>
  </sheetViews>
  <sheetFormatPr defaultRowHeight="12.75" x14ac:dyDescent="0.2"/>
  <cols>
    <col min="1" max="1" width="24.5703125" bestFit="1" customWidth="1"/>
    <col min="2" max="2" width="10.5703125" bestFit="1" customWidth="1"/>
    <col min="4" max="5" width="9.5703125" bestFit="1" customWidth="1"/>
    <col min="14" max="14" width="10.5703125" bestFit="1" customWidth="1"/>
  </cols>
  <sheetData>
    <row r="1" spans="1:11" x14ac:dyDescent="0.2">
      <c r="C1" t="s">
        <v>62</v>
      </c>
      <c r="D1" t="s">
        <v>59</v>
      </c>
      <c r="E1" t="s">
        <v>63</v>
      </c>
      <c r="F1" t="s">
        <v>65</v>
      </c>
      <c r="G1" t="s">
        <v>64</v>
      </c>
      <c r="H1" t="s">
        <v>4</v>
      </c>
      <c r="I1" t="s">
        <v>79</v>
      </c>
      <c r="J1" t="s">
        <v>77</v>
      </c>
      <c r="K1" t="s">
        <v>80</v>
      </c>
    </row>
    <row r="2" spans="1:11" x14ac:dyDescent="0.2">
      <c r="A2" s="28" t="s">
        <v>43</v>
      </c>
      <c r="B2" s="29">
        <v>60</v>
      </c>
      <c r="C2">
        <v>7619</v>
      </c>
      <c r="D2" s="7">
        <f t="shared" ref="D2:D7" si="0">F2</f>
        <v>23.085802231627547</v>
      </c>
      <c r="E2">
        <v>2.5990000000000002</v>
      </c>
      <c r="F2" s="7">
        <f t="shared" ref="F2:F7" si="1">B2/E2</f>
        <v>23.085802231627547</v>
      </c>
      <c r="G2">
        <f t="shared" ref="G2:G8" si="2">C3-C2</f>
        <v>220</v>
      </c>
      <c r="H2" s="18">
        <v>41867</v>
      </c>
      <c r="I2">
        <v>1</v>
      </c>
      <c r="J2" t="s">
        <v>78</v>
      </c>
      <c r="K2" s="7">
        <f t="shared" ref="K2:K8" si="3">E2-$B$22</f>
        <v>-0.97127027027027024</v>
      </c>
    </row>
    <row r="3" spans="1:11" x14ac:dyDescent="0.2">
      <c r="A3" s="28" t="s">
        <v>43</v>
      </c>
      <c r="B3" s="29">
        <v>60</v>
      </c>
      <c r="C3">
        <v>7839</v>
      </c>
      <c r="D3" s="7">
        <f t="shared" si="0"/>
        <v>22.230455724342349</v>
      </c>
      <c r="E3">
        <v>2.6989999999999998</v>
      </c>
      <c r="F3" s="7">
        <f t="shared" si="1"/>
        <v>22.230455724342349</v>
      </c>
      <c r="G3">
        <f t="shared" si="2"/>
        <v>190</v>
      </c>
      <c r="H3" s="18">
        <v>41870</v>
      </c>
      <c r="I3">
        <v>1</v>
      </c>
      <c r="J3" t="s">
        <v>78</v>
      </c>
      <c r="K3" s="7">
        <f t="shared" si="3"/>
        <v>-0.8712702702702706</v>
      </c>
    </row>
    <row r="4" spans="1:11" x14ac:dyDescent="0.2">
      <c r="A4" s="28" t="s">
        <v>43</v>
      </c>
      <c r="B4" s="29">
        <v>60</v>
      </c>
      <c r="C4">
        <v>8029</v>
      </c>
      <c r="D4" s="7">
        <f t="shared" si="0"/>
        <v>23.085802231627547</v>
      </c>
      <c r="E4">
        <v>2.5990000000000002</v>
      </c>
      <c r="F4" s="7">
        <f t="shared" si="1"/>
        <v>23.085802231627547</v>
      </c>
      <c r="G4">
        <f t="shared" si="2"/>
        <v>331</v>
      </c>
      <c r="H4" s="18">
        <v>41908</v>
      </c>
      <c r="I4">
        <v>1</v>
      </c>
      <c r="J4" t="s">
        <v>78</v>
      </c>
      <c r="K4" s="7">
        <f t="shared" si="3"/>
        <v>-0.97127027027027024</v>
      </c>
    </row>
    <row r="5" spans="1:11" x14ac:dyDescent="0.2">
      <c r="A5" s="28" t="s">
        <v>43</v>
      </c>
      <c r="B5" s="16">
        <v>60</v>
      </c>
      <c r="C5">
        <v>8360</v>
      </c>
      <c r="D5" s="7">
        <f t="shared" si="0"/>
        <v>22.230455724342349</v>
      </c>
      <c r="E5">
        <v>2.6989999999999998</v>
      </c>
      <c r="F5" s="7">
        <f t="shared" si="1"/>
        <v>22.230455724342349</v>
      </c>
      <c r="G5">
        <f t="shared" si="2"/>
        <v>183</v>
      </c>
      <c r="H5" s="18"/>
      <c r="I5">
        <v>1</v>
      </c>
      <c r="J5" s="1" t="s">
        <v>78</v>
      </c>
      <c r="K5" s="7">
        <f t="shared" si="3"/>
        <v>-0.8712702702702706</v>
      </c>
    </row>
    <row r="6" spans="1:11" x14ac:dyDescent="0.2">
      <c r="A6" s="28" t="s">
        <v>43</v>
      </c>
      <c r="B6" s="29">
        <v>10</v>
      </c>
      <c r="C6">
        <v>8543</v>
      </c>
      <c r="D6" s="7">
        <f t="shared" si="0"/>
        <v>3.4602076124567471</v>
      </c>
      <c r="E6">
        <v>2.89</v>
      </c>
      <c r="F6" s="7">
        <f t="shared" si="1"/>
        <v>3.4602076124567471</v>
      </c>
      <c r="G6">
        <f t="shared" si="2"/>
        <v>48</v>
      </c>
      <c r="H6" s="18">
        <v>41914</v>
      </c>
      <c r="I6">
        <v>1</v>
      </c>
      <c r="J6" s="1" t="s">
        <v>78</v>
      </c>
      <c r="K6" s="7">
        <f t="shared" si="3"/>
        <v>-0.68027027027027032</v>
      </c>
    </row>
    <row r="7" spans="1:11" x14ac:dyDescent="0.2">
      <c r="A7" s="28" t="s">
        <v>43</v>
      </c>
      <c r="B7" s="29">
        <v>60</v>
      </c>
      <c r="C7">
        <v>8591</v>
      </c>
      <c r="D7" s="7">
        <f t="shared" si="0"/>
        <v>21.826118588577664</v>
      </c>
      <c r="E7">
        <v>2.7490000000000001</v>
      </c>
      <c r="F7" s="7">
        <f t="shared" si="1"/>
        <v>21.826118588577664</v>
      </c>
      <c r="G7">
        <f t="shared" si="2"/>
        <v>150</v>
      </c>
      <c r="H7" s="18">
        <v>41916</v>
      </c>
      <c r="I7">
        <v>1</v>
      </c>
      <c r="J7" s="1" t="s">
        <v>78</v>
      </c>
      <c r="K7" s="7">
        <f t="shared" si="3"/>
        <v>-0.82127027027027033</v>
      </c>
    </row>
    <row r="8" spans="1:11" x14ac:dyDescent="0.2">
      <c r="A8" s="28" t="s">
        <v>43</v>
      </c>
      <c r="B8" s="29">
        <v>60</v>
      </c>
      <c r="C8">
        <v>8741</v>
      </c>
      <c r="D8" s="7">
        <f>F8</f>
        <v>22.230455724342349</v>
      </c>
      <c r="E8">
        <v>2.6989999999999998</v>
      </c>
      <c r="F8" s="7">
        <f>B8/E8</f>
        <v>22.230455724342349</v>
      </c>
      <c r="G8">
        <f t="shared" si="2"/>
        <v>199</v>
      </c>
      <c r="H8" s="18">
        <v>41922</v>
      </c>
      <c r="I8">
        <v>1</v>
      </c>
      <c r="J8" s="1" t="s">
        <v>78</v>
      </c>
      <c r="K8" s="7">
        <f t="shared" si="3"/>
        <v>-0.8712702702702706</v>
      </c>
    </row>
    <row r="9" spans="1:11" x14ac:dyDescent="0.2">
      <c r="A9" s="28" t="s">
        <v>43</v>
      </c>
      <c r="B9" s="29">
        <v>60</v>
      </c>
      <c r="C9">
        <v>8940</v>
      </c>
      <c r="D9" s="7">
        <f>F9</f>
        <v>22.230455724342349</v>
      </c>
      <c r="E9">
        <v>2.6989999999999998</v>
      </c>
      <c r="F9" s="7">
        <f>B9/E9</f>
        <v>22.230455724342349</v>
      </c>
      <c r="G9">
        <v>0</v>
      </c>
      <c r="H9" s="18">
        <v>41924</v>
      </c>
      <c r="I9">
        <v>1</v>
      </c>
      <c r="J9" s="1"/>
      <c r="K9" s="7"/>
    </row>
    <row r="10" spans="1:11" x14ac:dyDescent="0.2">
      <c r="K10" s="7"/>
    </row>
    <row r="11" spans="1:11" x14ac:dyDescent="0.2">
      <c r="K11" s="7"/>
    </row>
    <row r="12" spans="1:11" x14ac:dyDescent="0.2">
      <c r="K12" s="7"/>
    </row>
    <row r="13" spans="1:11" x14ac:dyDescent="0.2">
      <c r="K13" s="7"/>
    </row>
    <row r="14" spans="1:11" x14ac:dyDescent="0.2">
      <c r="K14" s="7"/>
    </row>
    <row r="15" spans="1:11" x14ac:dyDescent="0.2">
      <c r="K15" s="7"/>
    </row>
    <row r="16" spans="1:11" x14ac:dyDescent="0.2">
      <c r="A16" s="12" t="s">
        <v>16</v>
      </c>
      <c r="B16" s="13">
        <f>SUMIF($J$2:$J$15,"s",$B$2:$B$15)</f>
        <v>370</v>
      </c>
      <c r="C16" s="24"/>
      <c r="D16" s="23">
        <f>SUMIF($J$2:$J$15,"s",D2:D15)</f>
        <v>138.14929783731657</v>
      </c>
      <c r="E16" s="13">
        <f>SUMIF($J$2:$J$15,"s",$E$2:$E$15)</f>
        <v>18.933999999999997</v>
      </c>
      <c r="F16" s="23">
        <f>SUMIF($J$2:$J$15,"s",$F$2:$F$15)</f>
        <v>138.14929783731657</v>
      </c>
      <c r="G16" s="23">
        <f>SUMIF($J$2:$J$15,"s",$G$2:$G$15)</f>
        <v>1321</v>
      </c>
      <c r="H16" s="26"/>
      <c r="I16" s="27">
        <f>SUMIF($J$2:$J$15,"s",$I$2:$I$15)</f>
        <v>7</v>
      </c>
      <c r="K16" s="7"/>
    </row>
    <row r="17" spans="1:11" x14ac:dyDescent="0.2">
      <c r="A17" s="12" t="s">
        <v>67</v>
      </c>
      <c r="B17" s="14">
        <f>B16/I16</f>
        <v>52.857142857142854</v>
      </c>
      <c r="C17" s="24"/>
      <c r="D17" s="12"/>
      <c r="E17" s="12"/>
      <c r="F17" s="12"/>
      <c r="G17" s="12"/>
      <c r="H17" s="26"/>
      <c r="I17" s="27"/>
      <c r="K17" s="7"/>
    </row>
    <row r="18" spans="1:11" x14ac:dyDescent="0.2">
      <c r="A18" s="12" t="s">
        <v>66</v>
      </c>
      <c r="B18" s="12">
        <f>D16/I16</f>
        <v>19.73561397675951</v>
      </c>
      <c r="C18" s="25"/>
      <c r="D18" s="12"/>
      <c r="E18" s="12"/>
      <c r="F18" s="12"/>
      <c r="G18" s="12"/>
      <c r="H18" s="26"/>
      <c r="I18" s="27"/>
      <c r="K18" s="7"/>
    </row>
    <row r="19" spans="1:11" x14ac:dyDescent="0.2">
      <c r="A19" s="12" t="s">
        <v>68</v>
      </c>
      <c r="B19" s="14">
        <f>E16/I16</f>
        <v>2.7048571428571426</v>
      </c>
      <c r="C19" s="26"/>
      <c r="D19" s="14"/>
      <c r="E19" s="12"/>
      <c r="F19" s="12"/>
      <c r="G19" s="12"/>
      <c r="H19" s="26"/>
      <c r="I19" s="27"/>
    </row>
    <row r="20" spans="1:11" x14ac:dyDescent="0.2">
      <c r="A20" s="12" t="s">
        <v>69</v>
      </c>
      <c r="B20" s="12">
        <f>G16/I16</f>
        <v>188.71428571428572</v>
      </c>
      <c r="C20" s="26"/>
      <c r="D20" s="12"/>
      <c r="E20" s="12"/>
      <c r="F20" s="12"/>
      <c r="G20" s="12"/>
      <c r="H20" s="26"/>
      <c r="I20" s="27"/>
    </row>
    <row r="21" spans="1:11" x14ac:dyDescent="0.2">
      <c r="A21" s="9" t="s">
        <v>70</v>
      </c>
      <c r="B21" s="9">
        <f>G16/D16</f>
        <v>9.5621188140644655</v>
      </c>
      <c r="C21" s="24"/>
      <c r="D21" s="12"/>
      <c r="E21" s="12"/>
      <c r="F21" s="12"/>
      <c r="G21" s="12"/>
      <c r="H21" s="26"/>
      <c r="I21" s="27"/>
    </row>
    <row r="22" spans="1:11" x14ac:dyDescent="0.2">
      <c r="A22" s="9" t="s">
        <v>71</v>
      </c>
      <c r="B22" s="22">
        <f>G16/B16</f>
        <v>3.5702702702702704</v>
      </c>
      <c r="C22" s="24"/>
      <c r="D22" s="12"/>
      <c r="E22" s="12"/>
      <c r="F22" s="12"/>
      <c r="G22" s="12"/>
      <c r="H22" s="26"/>
      <c r="I22" s="27"/>
    </row>
    <row r="23" spans="1:11" x14ac:dyDescent="0.2">
      <c r="A23" s="12" t="s">
        <v>75</v>
      </c>
      <c r="B23" s="14">
        <f>B18*B19</f>
        <v>53.382016433709218</v>
      </c>
      <c r="C23" s="26"/>
      <c r="D23" s="27"/>
      <c r="E23" s="27"/>
      <c r="F23" s="27"/>
      <c r="G23" s="27"/>
      <c r="H23" s="26"/>
      <c r="I23" s="27"/>
    </row>
    <row r="24" spans="1:11" x14ac:dyDescent="0.2">
      <c r="A24" s="12" t="s">
        <v>76</v>
      </c>
      <c r="B24" s="14">
        <f>B20/B21</f>
        <v>19.73561397675951</v>
      </c>
      <c r="C24" s="26"/>
      <c r="D24" s="27"/>
      <c r="E24" s="27"/>
      <c r="F24" s="27"/>
      <c r="G24" s="27"/>
      <c r="H24" s="26"/>
      <c r="I24" s="27"/>
    </row>
    <row r="26" spans="1:11" x14ac:dyDescent="0.2">
      <c r="A26" t="s">
        <v>59</v>
      </c>
      <c r="B26" t="s">
        <v>527</v>
      </c>
      <c r="C26" t="s">
        <v>528</v>
      </c>
      <c r="D26" t="s">
        <v>215</v>
      </c>
    </row>
    <row r="27" spans="1:11" x14ac:dyDescent="0.2">
      <c r="A27">
        <v>23.849</v>
      </c>
      <c r="B27">
        <v>22532</v>
      </c>
      <c r="C27">
        <v>22791</v>
      </c>
      <c r="D27">
        <v>50.75</v>
      </c>
      <c r="E27">
        <f>C27-B27</f>
        <v>259</v>
      </c>
      <c r="F27">
        <f>E27/A27</f>
        <v>10.859994129732902</v>
      </c>
    </row>
    <row r="28" spans="1:11" x14ac:dyDescent="0.2">
      <c r="A28">
        <v>34.1</v>
      </c>
      <c r="B28">
        <v>22791</v>
      </c>
      <c r="C28">
        <v>23086</v>
      </c>
      <c r="D28">
        <v>76.010000000000005</v>
      </c>
      <c r="E28">
        <f>C28-B28</f>
        <v>295</v>
      </c>
      <c r="F28">
        <f>E28/A28</f>
        <v>8.6510263929618763</v>
      </c>
    </row>
    <row r="29" spans="1:11" x14ac:dyDescent="0.2">
      <c r="A29">
        <v>34.24</v>
      </c>
      <c r="B29">
        <v>23086</v>
      </c>
      <c r="C29">
        <v>23404</v>
      </c>
      <c r="D29">
        <v>70.19</v>
      </c>
      <c r="E29">
        <f>C29-B29</f>
        <v>318</v>
      </c>
      <c r="F29">
        <f>E29/A29</f>
        <v>9.2873831775700921</v>
      </c>
    </row>
    <row r="30" spans="1:11" x14ac:dyDescent="0.2">
      <c r="A30">
        <v>13.66</v>
      </c>
      <c r="B30">
        <v>23404</v>
      </c>
      <c r="C30">
        <v>23502</v>
      </c>
      <c r="D30">
        <v>27.03</v>
      </c>
      <c r="E30">
        <f>C30-B30</f>
        <v>98</v>
      </c>
      <c r="F30">
        <f>E30/A30</f>
        <v>7.1742313323572473</v>
      </c>
    </row>
    <row r="31" spans="1:11" x14ac:dyDescent="0.2">
      <c r="A31">
        <f>SUM(A27:A30)</f>
        <v>105.84899999999999</v>
      </c>
      <c r="D31">
        <f>SUM(D27:D30)</f>
        <v>223.98</v>
      </c>
      <c r="E31">
        <f>SUM(E27:E30)</f>
        <v>970</v>
      </c>
      <c r="F31" t="s">
        <v>16</v>
      </c>
    </row>
    <row r="32" spans="1:11" x14ac:dyDescent="0.2">
      <c r="E32">
        <f>E31/A31</f>
        <v>9.1639977704087912</v>
      </c>
    </row>
    <row r="33" spans="1:2" x14ac:dyDescent="0.2">
      <c r="A33" t="s">
        <v>529</v>
      </c>
      <c r="B33" t="s">
        <v>530</v>
      </c>
    </row>
    <row r="34" spans="1:2" x14ac:dyDescent="0.2">
      <c r="A34">
        <v>13.6</v>
      </c>
      <c r="B34">
        <v>7.7</v>
      </c>
    </row>
    <row r="35" spans="1:2" x14ac:dyDescent="0.2">
      <c r="A35">
        <v>4.4000000000000004</v>
      </c>
      <c r="B35">
        <v>5.0999999999999996</v>
      </c>
    </row>
    <row r="36" spans="1:2" x14ac:dyDescent="0.2">
      <c r="A36">
        <v>5.0999999999999996</v>
      </c>
      <c r="B36">
        <v>7.4</v>
      </c>
    </row>
    <row r="37" spans="1:2" x14ac:dyDescent="0.2">
      <c r="A37">
        <v>7.4</v>
      </c>
      <c r="B37">
        <v>4.4000000000000004</v>
      </c>
    </row>
    <row r="38" spans="1:2" x14ac:dyDescent="0.2">
      <c r="A38">
        <v>6.8</v>
      </c>
      <c r="B38">
        <v>13.6</v>
      </c>
    </row>
    <row r="39" spans="1:2" x14ac:dyDescent="0.2">
      <c r="A39">
        <v>7.6</v>
      </c>
      <c r="B39">
        <v>6.3</v>
      </c>
    </row>
    <row r="40" spans="1:2" x14ac:dyDescent="0.2">
      <c r="A40">
        <v>7.7</v>
      </c>
      <c r="B40">
        <v>6.5</v>
      </c>
    </row>
    <row r="41" spans="1:2" x14ac:dyDescent="0.2">
      <c r="A41">
        <f>SUM(A34:A40)</f>
        <v>52.6</v>
      </c>
      <c r="B41">
        <f>SUM(B34:B40)</f>
        <v>51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22"/>
  <sheetViews>
    <sheetView topLeftCell="A592" workbookViewId="0">
      <selection activeCell="G613" sqref="G613"/>
    </sheetView>
  </sheetViews>
  <sheetFormatPr defaultRowHeight="12.75" x14ac:dyDescent="0.2"/>
  <cols>
    <col min="1" max="1" width="23.140625" bestFit="1" customWidth="1"/>
    <col min="2" max="2" width="6.5703125" style="83" bestFit="1" customWidth="1"/>
    <col min="3" max="3" width="11.7109375" style="72" bestFit="1" customWidth="1"/>
    <col min="4" max="4" width="12.28515625" bestFit="1" customWidth="1"/>
    <col min="5" max="5" width="6" bestFit="1" customWidth="1"/>
    <col min="6" max="6" width="13.28515625" bestFit="1" customWidth="1"/>
    <col min="8" max="8" width="14.85546875" bestFit="1" customWidth="1"/>
  </cols>
  <sheetData>
    <row r="1" spans="1:8" x14ac:dyDescent="0.2">
      <c r="A1" t="s">
        <v>213</v>
      </c>
      <c r="B1" s="83" t="s">
        <v>79</v>
      </c>
      <c r="C1" s="72" t="s">
        <v>214</v>
      </c>
      <c r="D1" t="s">
        <v>226</v>
      </c>
      <c r="E1" t="s">
        <v>215</v>
      </c>
      <c r="F1" t="s">
        <v>216</v>
      </c>
      <c r="G1" t="s">
        <v>300</v>
      </c>
      <c r="H1" t="s">
        <v>715</v>
      </c>
    </row>
    <row r="2" spans="1:8" x14ac:dyDescent="0.2">
      <c r="A2" t="s">
        <v>217</v>
      </c>
      <c r="B2" s="83">
        <v>1</v>
      </c>
      <c r="C2" s="72">
        <v>41959</v>
      </c>
      <c r="D2">
        <v>16.72</v>
      </c>
      <c r="E2">
        <v>16.72</v>
      </c>
      <c r="F2" t="s">
        <v>224</v>
      </c>
      <c r="G2" t="s">
        <v>301</v>
      </c>
      <c r="H2" s="72">
        <v>41953</v>
      </c>
    </row>
    <row r="3" spans="1:8" x14ac:dyDescent="0.2">
      <c r="A3" t="s">
        <v>286</v>
      </c>
      <c r="B3" s="83">
        <v>0.36799999999999999</v>
      </c>
      <c r="C3" s="72">
        <v>41959</v>
      </c>
      <c r="D3">
        <v>15.87</v>
      </c>
      <c r="E3">
        <v>5.84</v>
      </c>
      <c r="F3" t="s">
        <v>616</v>
      </c>
      <c r="G3" t="s">
        <v>302</v>
      </c>
      <c r="H3" s="72">
        <v>41953</v>
      </c>
    </row>
    <row r="4" spans="1:8" x14ac:dyDescent="0.2">
      <c r="A4" t="s">
        <v>287</v>
      </c>
      <c r="B4" s="83">
        <v>0.28000000000000003</v>
      </c>
      <c r="C4" s="72">
        <v>41959</v>
      </c>
      <c r="D4">
        <v>20.76</v>
      </c>
      <c r="E4">
        <v>5.81</v>
      </c>
      <c r="F4" t="s">
        <v>211</v>
      </c>
      <c r="G4" t="s">
        <v>302</v>
      </c>
      <c r="H4" s="72">
        <v>41953</v>
      </c>
    </row>
    <row r="5" spans="1:8" x14ac:dyDescent="0.2">
      <c r="A5" t="s">
        <v>288</v>
      </c>
      <c r="B5" s="83">
        <v>0.2</v>
      </c>
      <c r="C5" s="72">
        <v>41959</v>
      </c>
      <c r="D5">
        <v>23.9</v>
      </c>
      <c r="E5">
        <v>5.71</v>
      </c>
      <c r="F5" t="s">
        <v>611</v>
      </c>
      <c r="G5" t="s">
        <v>302</v>
      </c>
      <c r="H5" s="72">
        <v>41953</v>
      </c>
    </row>
    <row r="6" spans="1:8" x14ac:dyDescent="0.2">
      <c r="A6" t="s">
        <v>288</v>
      </c>
      <c r="B6" s="83">
        <v>0.4</v>
      </c>
      <c r="C6" s="72">
        <v>41959</v>
      </c>
      <c r="D6">
        <v>23.9</v>
      </c>
      <c r="E6">
        <v>10.029999999999999</v>
      </c>
      <c r="F6" t="s">
        <v>611</v>
      </c>
      <c r="G6" t="s">
        <v>302</v>
      </c>
      <c r="H6" s="72">
        <v>41953</v>
      </c>
    </row>
    <row r="7" spans="1:8" x14ac:dyDescent="0.2">
      <c r="A7" t="s">
        <v>289</v>
      </c>
      <c r="B7" s="83">
        <v>0.35599999999999998</v>
      </c>
      <c r="C7" s="72">
        <v>41959</v>
      </c>
      <c r="D7">
        <v>23.9</v>
      </c>
      <c r="E7">
        <v>8.5399999999999991</v>
      </c>
      <c r="F7" t="s">
        <v>611</v>
      </c>
      <c r="G7" t="s">
        <v>302</v>
      </c>
      <c r="H7" s="72">
        <v>41953</v>
      </c>
    </row>
    <row r="8" spans="1:8" x14ac:dyDescent="0.2">
      <c r="A8" t="s">
        <v>297</v>
      </c>
      <c r="B8" s="83">
        <v>0.49399999999999999</v>
      </c>
      <c r="C8" s="72">
        <v>41959</v>
      </c>
      <c r="D8">
        <v>12.05</v>
      </c>
      <c r="E8">
        <v>12.05</v>
      </c>
      <c r="F8" t="s">
        <v>676</v>
      </c>
      <c r="G8" t="s">
        <v>302</v>
      </c>
      <c r="H8" s="72">
        <v>41953</v>
      </c>
    </row>
    <row r="9" spans="1:8" x14ac:dyDescent="0.2">
      <c r="A9" t="s">
        <v>320</v>
      </c>
      <c r="B9" s="83">
        <v>1</v>
      </c>
      <c r="C9" s="72">
        <v>41959</v>
      </c>
      <c r="D9">
        <v>6.99</v>
      </c>
      <c r="E9">
        <v>6.99</v>
      </c>
      <c r="F9" t="s">
        <v>470</v>
      </c>
      <c r="G9" t="s">
        <v>301</v>
      </c>
      <c r="H9" s="72">
        <v>41953</v>
      </c>
    </row>
    <row r="10" spans="1:8" x14ac:dyDescent="0.2">
      <c r="A10" t="s">
        <v>218</v>
      </c>
      <c r="B10" s="83">
        <v>4</v>
      </c>
      <c r="C10" s="72">
        <v>41959</v>
      </c>
      <c r="D10">
        <v>2.99</v>
      </c>
      <c r="E10">
        <v>11.96</v>
      </c>
      <c r="F10" t="s">
        <v>218</v>
      </c>
      <c r="G10" t="s">
        <v>301</v>
      </c>
      <c r="H10" s="72">
        <v>41953</v>
      </c>
    </row>
    <row r="11" spans="1:8" x14ac:dyDescent="0.2">
      <c r="A11" t="s">
        <v>298</v>
      </c>
      <c r="B11" s="83">
        <v>0.2</v>
      </c>
      <c r="C11" s="72">
        <v>41959</v>
      </c>
      <c r="D11">
        <v>4.1399999999999997</v>
      </c>
      <c r="E11">
        <v>4.1399999999999997</v>
      </c>
      <c r="F11" t="s">
        <v>676</v>
      </c>
      <c r="G11" t="s">
        <v>302</v>
      </c>
      <c r="H11" s="72">
        <v>41953</v>
      </c>
    </row>
    <row r="12" spans="1:8" x14ac:dyDescent="0.2">
      <c r="A12" t="s">
        <v>299</v>
      </c>
      <c r="B12" s="83">
        <v>0.2</v>
      </c>
      <c r="C12" s="72">
        <v>41959</v>
      </c>
      <c r="D12">
        <v>6</v>
      </c>
      <c r="E12">
        <v>6</v>
      </c>
      <c r="F12" t="s">
        <v>676</v>
      </c>
      <c r="G12" t="s">
        <v>302</v>
      </c>
      <c r="H12" s="72">
        <v>41953</v>
      </c>
    </row>
    <row r="13" spans="1:8" x14ac:dyDescent="0.2">
      <c r="A13" t="s">
        <v>320</v>
      </c>
      <c r="B13" s="83">
        <v>1</v>
      </c>
      <c r="C13" s="72">
        <v>41959</v>
      </c>
      <c r="D13">
        <v>7.9</v>
      </c>
      <c r="E13">
        <v>7.9</v>
      </c>
      <c r="F13" t="s">
        <v>470</v>
      </c>
      <c r="G13" t="s">
        <v>301</v>
      </c>
      <c r="H13" s="72">
        <v>41953</v>
      </c>
    </row>
    <row r="14" spans="1:8" x14ac:dyDescent="0.2">
      <c r="A14" t="s">
        <v>219</v>
      </c>
      <c r="B14" s="83">
        <v>1</v>
      </c>
      <c r="C14" s="72">
        <v>41959</v>
      </c>
      <c r="D14">
        <v>2.57</v>
      </c>
      <c r="E14">
        <v>2.57</v>
      </c>
      <c r="F14" t="s">
        <v>211</v>
      </c>
      <c r="G14" t="s">
        <v>301</v>
      </c>
      <c r="H14" s="72">
        <v>41953</v>
      </c>
    </row>
    <row r="15" spans="1:8" x14ac:dyDescent="0.2">
      <c r="A15" t="s">
        <v>220</v>
      </c>
      <c r="B15" s="83">
        <v>1</v>
      </c>
      <c r="C15" s="72">
        <v>41959</v>
      </c>
      <c r="D15">
        <v>1.98</v>
      </c>
      <c r="E15">
        <v>1.98</v>
      </c>
      <c r="F15" t="s">
        <v>211</v>
      </c>
      <c r="G15" t="s">
        <v>301</v>
      </c>
      <c r="H15" s="72">
        <v>41953</v>
      </c>
    </row>
    <row r="16" spans="1:8" x14ac:dyDescent="0.2">
      <c r="A16" t="s">
        <v>221</v>
      </c>
      <c r="B16" s="83">
        <v>1</v>
      </c>
      <c r="C16" s="72">
        <v>41959</v>
      </c>
      <c r="D16">
        <v>4</v>
      </c>
      <c r="E16">
        <v>4</v>
      </c>
      <c r="F16" t="s">
        <v>283</v>
      </c>
      <c r="G16" t="s">
        <v>301</v>
      </c>
      <c r="H16" s="72">
        <v>41953</v>
      </c>
    </row>
    <row r="17" spans="1:8" x14ac:dyDescent="0.2">
      <c r="A17" t="s">
        <v>222</v>
      </c>
      <c r="B17" s="83">
        <v>2</v>
      </c>
      <c r="C17" s="72">
        <v>41959</v>
      </c>
      <c r="D17">
        <v>12.48</v>
      </c>
      <c r="E17">
        <v>24.96</v>
      </c>
      <c r="F17" t="s">
        <v>704</v>
      </c>
      <c r="G17" t="s">
        <v>301</v>
      </c>
      <c r="H17" s="72">
        <v>41953</v>
      </c>
    </row>
    <row r="18" spans="1:8" x14ac:dyDescent="0.2">
      <c r="A18" t="s">
        <v>223</v>
      </c>
      <c r="B18" s="83">
        <v>1</v>
      </c>
      <c r="C18" s="72">
        <v>41959</v>
      </c>
      <c r="D18">
        <v>15.99</v>
      </c>
      <c r="E18">
        <v>15.99</v>
      </c>
      <c r="F18" t="s">
        <v>225</v>
      </c>
      <c r="G18" t="s">
        <v>301</v>
      </c>
      <c r="H18" s="72">
        <v>41953</v>
      </c>
    </row>
    <row r="19" spans="1:8" x14ac:dyDescent="0.2">
      <c r="A19" t="s">
        <v>227</v>
      </c>
      <c r="B19" s="83">
        <v>1</v>
      </c>
      <c r="C19" s="72">
        <v>41951</v>
      </c>
      <c r="D19">
        <v>4.78</v>
      </c>
      <c r="E19">
        <v>4.78</v>
      </c>
      <c r="F19" t="s">
        <v>211</v>
      </c>
      <c r="G19" t="s">
        <v>301</v>
      </c>
      <c r="H19" s="72">
        <v>41922</v>
      </c>
    </row>
    <row r="20" spans="1:8" x14ac:dyDescent="0.2">
      <c r="A20" t="s">
        <v>260</v>
      </c>
      <c r="B20" s="83">
        <v>1</v>
      </c>
      <c r="C20" s="72">
        <v>41951</v>
      </c>
      <c r="D20">
        <v>35.9</v>
      </c>
      <c r="E20">
        <v>35.9</v>
      </c>
      <c r="F20" t="s">
        <v>621</v>
      </c>
      <c r="G20" t="s">
        <v>301</v>
      </c>
      <c r="H20" s="72">
        <v>41922</v>
      </c>
    </row>
    <row r="21" spans="1:8" x14ac:dyDescent="0.2">
      <c r="A21" t="s">
        <v>228</v>
      </c>
      <c r="B21" s="83">
        <v>1</v>
      </c>
      <c r="C21" s="72">
        <v>41951</v>
      </c>
      <c r="D21">
        <v>12.25</v>
      </c>
      <c r="E21">
        <v>12.25</v>
      </c>
      <c r="F21" t="s">
        <v>270</v>
      </c>
      <c r="G21" t="s">
        <v>301</v>
      </c>
      <c r="H21" s="72">
        <v>41922</v>
      </c>
    </row>
    <row r="22" spans="1:8" x14ac:dyDescent="0.2">
      <c r="A22" t="s">
        <v>612</v>
      </c>
      <c r="B22" s="83">
        <v>5</v>
      </c>
      <c r="C22" s="72">
        <v>41951</v>
      </c>
      <c r="D22">
        <v>1.99</v>
      </c>
      <c r="E22">
        <v>9.9499999999999993</v>
      </c>
      <c r="F22" t="s">
        <v>467</v>
      </c>
      <c r="G22" t="s">
        <v>301</v>
      </c>
      <c r="H22" s="72">
        <v>41922</v>
      </c>
    </row>
    <row r="23" spans="1:8" x14ac:dyDescent="0.2">
      <c r="A23" t="s">
        <v>613</v>
      </c>
      <c r="B23" s="83">
        <v>1</v>
      </c>
      <c r="C23" s="72">
        <v>41951</v>
      </c>
      <c r="D23">
        <v>3.38</v>
      </c>
      <c r="E23">
        <v>3.38</v>
      </c>
      <c r="F23" t="s">
        <v>467</v>
      </c>
      <c r="G23" t="s">
        <v>301</v>
      </c>
      <c r="H23" s="72">
        <v>41922</v>
      </c>
    </row>
    <row r="24" spans="1:8" x14ac:dyDescent="0.2">
      <c r="A24" t="s">
        <v>615</v>
      </c>
      <c r="B24" s="83">
        <v>1</v>
      </c>
      <c r="C24" s="72">
        <v>41951</v>
      </c>
      <c r="D24">
        <v>2.79</v>
      </c>
      <c r="E24">
        <v>2.79</v>
      </c>
      <c r="F24" t="s">
        <v>467</v>
      </c>
      <c r="G24" t="s">
        <v>301</v>
      </c>
      <c r="H24" s="72">
        <v>41922</v>
      </c>
    </row>
    <row r="25" spans="1:8" x14ac:dyDescent="0.2">
      <c r="A25" t="s">
        <v>353</v>
      </c>
      <c r="B25" s="83">
        <v>1</v>
      </c>
      <c r="C25" s="72">
        <v>41951</v>
      </c>
      <c r="D25">
        <v>2.99</v>
      </c>
      <c r="E25">
        <v>2.99</v>
      </c>
      <c r="F25" t="s">
        <v>622</v>
      </c>
      <c r="G25" t="s">
        <v>301</v>
      </c>
      <c r="H25" s="72">
        <v>41922</v>
      </c>
    </row>
    <row r="26" spans="1:8" x14ac:dyDescent="0.2">
      <c r="A26" t="s">
        <v>254</v>
      </c>
      <c r="B26" s="83">
        <v>1</v>
      </c>
      <c r="C26" s="72">
        <v>41951</v>
      </c>
      <c r="D26">
        <v>2.29</v>
      </c>
      <c r="E26">
        <v>2.29</v>
      </c>
      <c r="F26" t="s">
        <v>290</v>
      </c>
      <c r="G26" t="s">
        <v>301</v>
      </c>
      <c r="H26" s="72">
        <v>41922</v>
      </c>
    </row>
    <row r="27" spans="1:8" x14ac:dyDescent="0.2">
      <c r="A27" t="s">
        <v>604</v>
      </c>
      <c r="B27" s="83">
        <v>1</v>
      </c>
      <c r="C27" s="72">
        <v>41951</v>
      </c>
      <c r="D27">
        <v>2.4900000000000002</v>
      </c>
      <c r="E27">
        <v>2.4900000000000002</v>
      </c>
      <c r="F27" t="s">
        <v>229</v>
      </c>
      <c r="G27" t="s">
        <v>301</v>
      </c>
      <c r="H27" s="72">
        <v>41922</v>
      </c>
    </row>
    <row r="28" spans="1:8" x14ac:dyDescent="0.2">
      <c r="A28" t="s">
        <v>230</v>
      </c>
      <c r="B28" s="83">
        <v>0.17499999999999999</v>
      </c>
      <c r="C28" s="72">
        <v>41951</v>
      </c>
      <c r="D28">
        <v>7.45</v>
      </c>
      <c r="E28">
        <f>B28*D28</f>
        <v>1.30375</v>
      </c>
      <c r="F28" t="s">
        <v>622</v>
      </c>
      <c r="G28" t="s">
        <v>302</v>
      </c>
      <c r="H28" s="72">
        <v>41922</v>
      </c>
    </row>
    <row r="29" spans="1:8" x14ac:dyDescent="0.2">
      <c r="A29" t="s">
        <v>231</v>
      </c>
      <c r="B29" s="83">
        <v>1</v>
      </c>
      <c r="C29" s="72">
        <v>41951</v>
      </c>
      <c r="D29">
        <v>6.73</v>
      </c>
      <c r="E29">
        <v>6.73</v>
      </c>
      <c r="F29" t="s">
        <v>270</v>
      </c>
      <c r="G29" t="s">
        <v>301</v>
      </c>
      <c r="H29" s="72">
        <v>41922</v>
      </c>
    </row>
    <row r="30" spans="1:8" x14ac:dyDescent="0.2">
      <c r="A30" t="s">
        <v>232</v>
      </c>
      <c r="B30" s="83">
        <v>1</v>
      </c>
      <c r="C30" s="72">
        <v>41951</v>
      </c>
      <c r="D30">
        <v>3.98</v>
      </c>
      <c r="E30">
        <v>3.98</v>
      </c>
      <c r="F30" t="s">
        <v>704</v>
      </c>
      <c r="G30" t="s">
        <v>301</v>
      </c>
      <c r="H30" s="72">
        <v>41922</v>
      </c>
    </row>
    <row r="31" spans="1:8" x14ac:dyDescent="0.2">
      <c r="A31" t="s">
        <v>303</v>
      </c>
      <c r="B31" s="83">
        <v>0.38500000000000001</v>
      </c>
      <c r="C31" s="72">
        <v>41951</v>
      </c>
      <c r="D31">
        <v>6.15</v>
      </c>
      <c r="E31">
        <v>2.36</v>
      </c>
      <c r="F31" t="s">
        <v>283</v>
      </c>
      <c r="G31" t="s">
        <v>302</v>
      </c>
      <c r="H31" s="72">
        <v>41922</v>
      </c>
    </row>
    <row r="32" spans="1:8" x14ac:dyDescent="0.2">
      <c r="A32" t="s">
        <v>304</v>
      </c>
      <c r="B32" s="83">
        <v>0.23</v>
      </c>
      <c r="C32" s="72">
        <v>41951</v>
      </c>
      <c r="D32">
        <v>6.15</v>
      </c>
      <c r="E32">
        <v>3.23</v>
      </c>
      <c r="F32" t="s">
        <v>283</v>
      </c>
      <c r="G32" t="s">
        <v>302</v>
      </c>
      <c r="H32" s="72">
        <v>41922</v>
      </c>
    </row>
    <row r="33" spans="1:8" x14ac:dyDescent="0.2">
      <c r="A33" t="s">
        <v>305</v>
      </c>
      <c r="B33" s="83">
        <v>0.6</v>
      </c>
      <c r="C33" s="72">
        <v>41951</v>
      </c>
      <c r="D33">
        <v>5.39</v>
      </c>
      <c r="E33">
        <v>2.8</v>
      </c>
      <c r="F33" t="s">
        <v>282</v>
      </c>
      <c r="G33" t="s">
        <v>302</v>
      </c>
      <c r="H33" s="72">
        <v>41922</v>
      </c>
    </row>
    <row r="34" spans="1:8" x14ac:dyDescent="0.2">
      <c r="A34" t="s">
        <v>306</v>
      </c>
      <c r="B34" s="83">
        <v>1.88</v>
      </c>
      <c r="C34" s="72">
        <v>41951</v>
      </c>
      <c r="D34">
        <v>1.46</v>
      </c>
      <c r="E34">
        <v>2.8</v>
      </c>
      <c r="F34" t="s">
        <v>282</v>
      </c>
      <c r="G34" t="s">
        <v>302</v>
      </c>
      <c r="H34" s="72">
        <v>41922</v>
      </c>
    </row>
    <row r="35" spans="1:8" x14ac:dyDescent="0.2">
      <c r="A35" t="s">
        <v>233</v>
      </c>
      <c r="B35" s="83">
        <v>1.46</v>
      </c>
      <c r="C35" s="72">
        <v>41951</v>
      </c>
      <c r="D35">
        <v>2.99</v>
      </c>
      <c r="E35">
        <v>4.3600000000000003</v>
      </c>
      <c r="F35" t="s">
        <v>283</v>
      </c>
      <c r="G35" t="s">
        <v>302</v>
      </c>
      <c r="H35" s="72">
        <v>41922</v>
      </c>
    </row>
    <row r="36" spans="1:8" x14ac:dyDescent="0.2">
      <c r="A36" t="s">
        <v>307</v>
      </c>
      <c r="B36" s="83">
        <v>1.165</v>
      </c>
      <c r="C36" s="72">
        <v>41951</v>
      </c>
      <c r="D36">
        <v>2.57</v>
      </c>
      <c r="E36">
        <v>7.95</v>
      </c>
      <c r="F36" t="s">
        <v>283</v>
      </c>
      <c r="G36" t="s">
        <v>302</v>
      </c>
      <c r="H36" s="72">
        <v>41922</v>
      </c>
    </row>
    <row r="37" spans="1:8" x14ac:dyDescent="0.2">
      <c r="A37" t="s">
        <v>308</v>
      </c>
      <c r="B37" s="83">
        <v>1.599</v>
      </c>
      <c r="C37" s="72">
        <v>41951</v>
      </c>
      <c r="D37">
        <v>4.99</v>
      </c>
      <c r="E37">
        <v>1.41</v>
      </c>
      <c r="F37" t="s">
        <v>282</v>
      </c>
      <c r="G37" t="s">
        <v>302</v>
      </c>
      <c r="H37" s="72">
        <v>41922</v>
      </c>
    </row>
    <row r="38" spans="1:8" x14ac:dyDescent="0.2">
      <c r="A38" t="s">
        <v>309</v>
      </c>
      <c r="B38" s="83">
        <v>0.46500000000000002</v>
      </c>
      <c r="C38" s="72">
        <v>41951</v>
      </c>
      <c r="D38">
        <v>7.69</v>
      </c>
      <c r="E38">
        <v>3.57</v>
      </c>
      <c r="F38" t="s">
        <v>282</v>
      </c>
      <c r="G38" t="s">
        <v>302</v>
      </c>
      <c r="H38" s="72">
        <v>41922</v>
      </c>
    </row>
    <row r="39" spans="1:8" x14ac:dyDescent="0.2">
      <c r="A39" t="s">
        <v>310</v>
      </c>
      <c r="B39" s="83">
        <v>0.53500000000000003</v>
      </c>
      <c r="C39" s="72">
        <v>41951</v>
      </c>
      <c r="D39">
        <v>1.06</v>
      </c>
      <c r="E39">
        <v>1.06</v>
      </c>
      <c r="F39" t="s">
        <v>283</v>
      </c>
      <c r="G39" t="s">
        <v>302</v>
      </c>
      <c r="H39" s="72">
        <v>41922</v>
      </c>
    </row>
    <row r="40" spans="1:8" x14ac:dyDescent="0.2">
      <c r="A40" t="s">
        <v>311</v>
      </c>
      <c r="B40" s="83">
        <v>1.0049999999999999</v>
      </c>
      <c r="C40" s="72">
        <v>41951</v>
      </c>
      <c r="D40">
        <v>3.99</v>
      </c>
      <c r="E40">
        <v>4</v>
      </c>
      <c r="F40" t="s">
        <v>282</v>
      </c>
      <c r="G40" t="s">
        <v>302</v>
      </c>
      <c r="H40" s="72">
        <v>41922</v>
      </c>
    </row>
    <row r="41" spans="1:8" x14ac:dyDescent="0.2">
      <c r="A41" t="s">
        <v>234</v>
      </c>
      <c r="B41" s="83">
        <v>1</v>
      </c>
      <c r="C41" s="72">
        <v>41951</v>
      </c>
      <c r="D41">
        <v>6.85</v>
      </c>
      <c r="E41">
        <v>6.85</v>
      </c>
      <c r="F41" t="s">
        <v>282</v>
      </c>
      <c r="G41" t="s">
        <v>301</v>
      </c>
      <c r="H41" s="72">
        <v>41922</v>
      </c>
    </row>
    <row r="42" spans="1:8" x14ac:dyDescent="0.2">
      <c r="A42" t="s">
        <v>235</v>
      </c>
      <c r="B42" s="83">
        <v>1</v>
      </c>
      <c r="C42" s="72">
        <v>41951</v>
      </c>
      <c r="D42">
        <v>1.49</v>
      </c>
      <c r="E42">
        <v>1.49</v>
      </c>
      <c r="F42" t="s">
        <v>282</v>
      </c>
      <c r="G42" t="s">
        <v>301</v>
      </c>
      <c r="H42" s="72">
        <v>41922</v>
      </c>
    </row>
    <row r="43" spans="1:8" x14ac:dyDescent="0.2">
      <c r="A43" t="s">
        <v>236</v>
      </c>
      <c r="B43" s="83">
        <v>1</v>
      </c>
      <c r="C43" s="72">
        <v>41951</v>
      </c>
      <c r="D43">
        <v>3.99</v>
      </c>
      <c r="E43">
        <v>3.99</v>
      </c>
      <c r="F43" t="s">
        <v>282</v>
      </c>
      <c r="G43" t="s">
        <v>301</v>
      </c>
      <c r="H43" s="72">
        <v>41922</v>
      </c>
    </row>
    <row r="44" spans="1:8" x14ac:dyDescent="0.2">
      <c r="A44" t="s">
        <v>218</v>
      </c>
      <c r="B44" s="83">
        <v>6</v>
      </c>
      <c r="C44" s="72">
        <v>41951</v>
      </c>
      <c r="D44">
        <v>2.99</v>
      </c>
      <c r="E44">
        <v>17.940000000000001</v>
      </c>
      <c r="F44" t="s">
        <v>218</v>
      </c>
      <c r="G44" t="s">
        <v>301</v>
      </c>
      <c r="H44" s="72">
        <v>41922</v>
      </c>
    </row>
    <row r="45" spans="1:8" x14ac:dyDescent="0.2">
      <c r="A45" t="s">
        <v>237</v>
      </c>
      <c r="B45" s="83">
        <v>1</v>
      </c>
      <c r="C45" s="72">
        <v>41951</v>
      </c>
      <c r="D45">
        <v>3.89</v>
      </c>
      <c r="E45">
        <v>3.89</v>
      </c>
      <c r="F45" t="s">
        <v>225</v>
      </c>
      <c r="G45" t="s">
        <v>301</v>
      </c>
      <c r="H45" s="72">
        <v>41922</v>
      </c>
    </row>
    <row r="46" spans="1:8" x14ac:dyDescent="0.2">
      <c r="A46" t="s">
        <v>298</v>
      </c>
      <c r="B46" s="83">
        <v>0.22</v>
      </c>
      <c r="C46" s="72">
        <v>41951</v>
      </c>
      <c r="D46">
        <v>4.55</v>
      </c>
      <c r="E46">
        <v>4.55</v>
      </c>
      <c r="F46" t="s">
        <v>676</v>
      </c>
      <c r="G46" t="s">
        <v>302</v>
      </c>
      <c r="H46" s="72">
        <v>41922</v>
      </c>
    </row>
    <row r="47" spans="1:8" x14ac:dyDescent="0.2">
      <c r="A47" t="s">
        <v>299</v>
      </c>
      <c r="B47" s="83">
        <v>0.22</v>
      </c>
      <c r="C47" s="72">
        <v>41951</v>
      </c>
      <c r="D47">
        <v>7.5</v>
      </c>
      <c r="E47">
        <v>7.5</v>
      </c>
      <c r="F47" t="s">
        <v>676</v>
      </c>
      <c r="G47" t="s">
        <v>302</v>
      </c>
      <c r="H47" s="72">
        <v>41922</v>
      </c>
    </row>
    <row r="48" spans="1:8" x14ac:dyDescent="0.2">
      <c r="A48" t="s">
        <v>238</v>
      </c>
      <c r="B48" s="83">
        <v>1</v>
      </c>
      <c r="C48" s="72">
        <v>41951</v>
      </c>
      <c r="D48">
        <v>5.17</v>
      </c>
      <c r="E48">
        <v>5.17</v>
      </c>
      <c r="F48" t="s">
        <v>676</v>
      </c>
      <c r="G48" t="s">
        <v>301</v>
      </c>
      <c r="H48" s="72">
        <v>41922</v>
      </c>
    </row>
    <row r="49" spans="1:8" x14ac:dyDescent="0.2">
      <c r="A49" t="s">
        <v>239</v>
      </c>
      <c r="B49" s="83">
        <v>1</v>
      </c>
      <c r="C49" s="72">
        <v>41951</v>
      </c>
      <c r="D49">
        <v>8.99</v>
      </c>
      <c r="E49">
        <v>8.99</v>
      </c>
      <c r="F49" t="s">
        <v>676</v>
      </c>
      <c r="G49" t="s">
        <v>301</v>
      </c>
      <c r="H49" s="72">
        <v>41922</v>
      </c>
    </row>
    <row r="50" spans="1:8" x14ac:dyDescent="0.2">
      <c r="A50" t="s">
        <v>297</v>
      </c>
      <c r="B50" s="83">
        <v>0.38200000000000001</v>
      </c>
      <c r="C50" s="72">
        <v>41951</v>
      </c>
      <c r="D50">
        <v>9.32</v>
      </c>
      <c r="E50">
        <v>9.32</v>
      </c>
      <c r="F50" t="s">
        <v>676</v>
      </c>
      <c r="G50" t="s">
        <v>302</v>
      </c>
      <c r="H50" s="72">
        <v>41922</v>
      </c>
    </row>
    <row r="51" spans="1:8" x14ac:dyDescent="0.2">
      <c r="A51" t="s">
        <v>357</v>
      </c>
      <c r="B51" s="83">
        <v>8</v>
      </c>
      <c r="C51" s="72">
        <v>41951</v>
      </c>
      <c r="D51">
        <v>1.0900000000000001</v>
      </c>
      <c r="E51">
        <v>8.7200000000000006</v>
      </c>
      <c r="F51" t="s">
        <v>470</v>
      </c>
      <c r="G51" t="s">
        <v>301</v>
      </c>
      <c r="H51" s="72">
        <v>41922</v>
      </c>
    </row>
    <row r="52" spans="1:8" x14ac:dyDescent="0.2">
      <c r="A52" t="s">
        <v>240</v>
      </c>
      <c r="B52" s="83">
        <v>1</v>
      </c>
      <c r="C52" s="72">
        <v>41951</v>
      </c>
      <c r="D52">
        <v>3.75</v>
      </c>
      <c r="E52">
        <v>3.75</v>
      </c>
      <c r="F52" t="s">
        <v>676</v>
      </c>
      <c r="G52" t="s">
        <v>301</v>
      </c>
      <c r="H52" s="72">
        <v>41922</v>
      </c>
    </row>
    <row r="53" spans="1:8" x14ac:dyDescent="0.2">
      <c r="A53" t="s">
        <v>320</v>
      </c>
      <c r="B53" s="83">
        <v>1</v>
      </c>
      <c r="C53" s="72">
        <v>41951</v>
      </c>
      <c r="D53">
        <v>7.15</v>
      </c>
      <c r="E53">
        <v>7.15</v>
      </c>
      <c r="F53" t="s">
        <v>470</v>
      </c>
      <c r="G53" t="s">
        <v>301</v>
      </c>
      <c r="H53" s="72">
        <v>41922</v>
      </c>
    </row>
    <row r="54" spans="1:8" x14ac:dyDescent="0.2">
      <c r="A54" t="s">
        <v>312</v>
      </c>
      <c r="B54" s="83">
        <v>0.504</v>
      </c>
      <c r="C54" s="72">
        <v>41951</v>
      </c>
      <c r="D54">
        <v>15.9</v>
      </c>
      <c r="E54">
        <v>8.06</v>
      </c>
      <c r="F54" t="s">
        <v>611</v>
      </c>
      <c r="G54" t="s">
        <v>302</v>
      </c>
      <c r="H54" s="72">
        <v>41922</v>
      </c>
    </row>
    <row r="55" spans="1:8" x14ac:dyDescent="0.2">
      <c r="A55" t="s">
        <v>294</v>
      </c>
      <c r="B55" s="83">
        <v>0.80600000000000005</v>
      </c>
      <c r="C55" s="72">
        <v>41951</v>
      </c>
      <c r="D55">
        <v>11.59</v>
      </c>
      <c r="E55">
        <v>9.34</v>
      </c>
      <c r="F55" t="s">
        <v>611</v>
      </c>
      <c r="G55" t="s">
        <v>302</v>
      </c>
      <c r="H55" s="72">
        <v>41922</v>
      </c>
    </row>
    <row r="56" spans="1:8" x14ac:dyDescent="0.2">
      <c r="A56" t="s">
        <v>241</v>
      </c>
      <c r="B56" s="83">
        <v>1</v>
      </c>
      <c r="C56" s="72">
        <v>41951</v>
      </c>
      <c r="D56">
        <v>9.89</v>
      </c>
      <c r="E56">
        <v>9.89</v>
      </c>
      <c r="F56" t="s">
        <v>617</v>
      </c>
      <c r="G56" t="s">
        <v>302</v>
      </c>
      <c r="H56" s="72">
        <v>41922</v>
      </c>
    </row>
    <row r="57" spans="1:8" x14ac:dyDescent="0.2">
      <c r="A57" t="s">
        <v>242</v>
      </c>
      <c r="B57" s="83">
        <v>1</v>
      </c>
      <c r="C57" s="72">
        <v>41951</v>
      </c>
      <c r="D57">
        <v>3.59</v>
      </c>
      <c r="E57">
        <v>3.59</v>
      </c>
      <c r="F57" t="s">
        <v>617</v>
      </c>
      <c r="G57" t="s">
        <v>302</v>
      </c>
      <c r="H57" s="72">
        <v>41922</v>
      </c>
    </row>
    <row r="58" spans="1:8" x14ac:dyDescent="0.2">
      <c r="A58" t="s">
        <v>98</v>
      </c>
      <c r="B58" s="83">
        <v>1</v>
      </c>
      <c r="C58" s="72">
        <v>41951</v>
      </c>
      <c r="D58">
        <v>10.54</v>
      </c>
      <c r="E58">
        <v>10.54</v>
      </c>
      <c r="F58" t="s">
        <v>284</v>
      </c>
      <c r="G58" t="s">
        <v>301</v>
      </c>
      <c r="H58" s="72">
        <v>41922</v>
      </c>
    </row>
    <row r="59" spans="1:8" x14ac:dyDescent="0.2">
      <c r="A59" t="s">
        <v>98</v>
      </c>
      <c r="B59" s="83">
        <v>1</v>
      </c>
      <c r="C59" s="72">
        <v>41951</v>
      </c>
      <c r="D59">
        <v>9.3000000000000007</v>
      </c>
      <c r="E59">
        <v>9.3000000000000007</v>
      </c>
      <c r="F59" t="s">
        <v>284</v>
      </c>
      <c r="G59" t="s">
        <v>301</v>
      </c>
      <c r="H59" s="72">
        <v>41922</v>
      </c>
    </row>
    <row r="60" spans="1:8" x14ac:dyDescent="0.2">
      <c r="A60" t="s">
        <v>182</v>
      </c>
      <c r="B60" s="83">
        <v>1</v>
      </c>
      <c r="C60" s="72">
        <v>41951</v>
      </c>
      <c r="D60">
        <v>16.72</v>
      </c>
      <c r="E60">
        <v>16.72</v>
      </c>
      <c r="F60" t="s">
        <v>224</v>
      </c>
      <c r="G60" t="s">
        <v>301</v>
      </c>
      <c r="H60" s="72">
        <v>41922</v>
      </c>
    </row>
    <row r="61" spans="1:8" x14ac:dyDescent="0.2">
      <c r="A61" t="s">
        <v>243</v>
      </c>
      <c r="B61" s="83">
        <v>1</v>
      </c>
      <c r="C61" s="72">
        <v>41951</v>
      </c>
      <c r="D61">
        <v>15.8</v>
      </c>
      <c r="E61">
        <v>15.8</v>
      </c>
      <c r="F61" t="s">
        <v>617</v>
      </c>
      <c r="G61" t="s">
        <v>302</v>
      </c>
      <c r="H61" s="72">
        <v>41922</v>
      </c>
    </row>
    <row r="62" spans="1:8" x14ac:dyDescent="0.2">
      <c r="A62" t="s">
        <v>244</v>
      </c>
      <c r="B62" s="83">
        <v>1</v>
      </c>
      <c r="C62" s="72">
        <v>41951</v>
      </c>
      <c r="D62">
        <v>4.9800000000000004</v>
      </c>
      <c r="E62">
        <v>4.9800000000000004</v>
      </c>
      <c r="F62" t="s">
        <v>285</v>
      </c>
      <c r="G62" t="s">
        <v>301</v>
      </c>
      <c r="H62" s="72">
        <v>41922</v>
      </c>
    </row>
    <row r="63" spans="1:8" x14ac:dyDescent="0.2">
      <c r="A63" t="s">
        <v>245</v>
      </c>
      <c r="B63" s="83">
        <v>1</v>
      </c>
      <c r="C63" s="72">
        <v>41951</v>
      </c>
      <c r="D63">
        <v>5.3</v>
      </c>
      <c r="E63">
        <v>5.3</v>
      </c>
      <c r="F63" t="s">
        <v>285</v>
      </c>
      <c r="G63" t="s">
        <v>301</v>
      </c>
      <c r="H63" s="72">
        <v>41922</v>
      </c>
    </row>
    <row r="64" spans="1:8" x14ac:dyDescent="0.2">
      <c r="A64" t="s">
        <v>246</v>
      </c>
      <c r="B64" s="83">
        <v>1</v>
      </c>
      <c r="C64" s="72">
        <v>41951</v>
      </c>
      <c r="D64">
        <v>14.99</v>
      </c>
      <c r="E64">
        <v>14.99</v>
      </c>
      <c r="F64" t="s">
        <v>285</v>
      </c>
      <c r="G64" t="s">
        <v>301</v>
      </c>
      <c r="H64" s="72">
        <v>41922</v>
      </c>
    </row>
    <row r="65" spans="1:8" x14ac:dyDescent="0.2">
      <c r="A65" t="s">
        <v>408</v>
      </c>
      <c r="B65" s="83">
        <v>1</v>
      </c>
      <c r="C65" s="72">
        <v>41951</v>
      </c>
      <c r="D65">
        <v>3.98</v>
      </c>
      <c r="E65">
        <v>3.98</v>
      </c>
      <c r="F65" t="s">
        <v>285</v>
      </c>
      <c r="G65" t="s">
        <v>301</v>
      </c>
      <c r="H65" s="72">
        <v>41922</v>
      </c>
    </row>
    <row r="66" spans="1:8" x14ac:dyDescent="0.2">
      <c r="A66" t="s">
        <v>247</v>
      </c>
      <c r="B66" s="83">
        <v>4</v>
      </c>
      <c r="C66" s="72">
        <v>41951</v>
      </c>
      <c r="D66">
        <v>1.19</v>
      </c>
      <c r="E66">
        <v>4.76</v>
      </c>
      <c r="F66" t="s">
        <v>285</v>
      </c>
      <c r="G66" t="s">
        <v>301</v>
      </c>
      <c r="H66" s="72">
        <v>41922</v>
      </c>
    </row>
    <row r="67" spans="1:8" x14ac:dyDescent="0.2">
      <c r="A67" t="s">
        <v>279</v>
      </c>
      <c r="B67" s="83">
        <v>1</v>
      </c>
      <c r="C67" s="72">
        <v>41951</v>
      </c>
      <c r="D67">
        <v>8.1999999999999993</v>
      </c>
      <c r="E67">
        <v>8.1999999999999993</v>
      </c>
      <c r="F67" t="s">
        <v>285</v>
      </c>
      <c r="G67" t="s">
        <v>301</v>
      </c>
      <c r="H67" s="72">
        <v>41922</v>
      </c>
    </row>
    <row r="68" spans="1:8" x14ac:dyDescent="0.2">
      <c r="A68" t="s">
        <v>248</v>
      </c>
      <c r="B68" s="83">
        <v>1</v>
      </c>
      <c r="C68" s="72">
        <v>41951</v>
      </c>
      <c r="D68">
        <v>8.98</v>
      </c>
      <c r="E68">
        <v>8.98</v>
      </c>
      <c r="F68" t="s">
        <v>285</v>
      </c>
      <c r="G68" t="s">
        <v>301</v>
      </c>
      <c r="H68" s="72">
        <v>41922</v>
      </c>
    </row>
    <row r="69" spans="1:8" x14ac:dyDescent="0.2">
      <c r="A69" t="s">
        <v>249</v>
      </c>
      <c r="B69" s="83">
        <v>1</v>
      </c>
      <c r="C69" s="72">
        <v>41951</v>
      </c>
      <c r="D69">
        <v>5.49</v>
      </c>
      <c r="E69">
        <v>5.49</v>
      </c>
      <c r="F69" t="s">
        <v>285</v>
      </c>
      <c r="G69" t="s">
        <v>301</v>
      </c>
      <c r="H69" s="72">
        <v>41922</v>
      </c>
    </row>
    <row r="70" spans="1:8" x14ac:dyDescent="0.2">
      <c r="A70" t="s">
        <v>250</v>
      </c>
      <c r="B70" s="83">
        <v>1</v>
      </c>
      <c r="C70" s="72">
        <v>41951</v>
      </c>
      <c r="D70">
        <v>1.59</v>
      </c>
      <c r="E70">
        <v>1.59</v>
      </c>
      <c r="F70" t="s">
        <v>290</v>
      </c>
      <c r="G70" t="s">
        <v>301</v>
      </c>
      <c r="H70" s="72">
        <v>41922</v>
      </c>
    </row>
    <row r="71" spans="1:8" x14ac:dyDescent="0.2">
      <c r="A71" t="s">
        <v>251</v>
      </c>
      <c r="B71" s="83">
        <v>1</v>
      </c>
      <c r="C71" s="72">
        <v>41951</v>
      </c>
      <c r="D71">
        <v>5.29</v>
      </c>
      <c r="E71">
        <v>5.29</v>
      </c>
      <c r="F71" t="s">
        <v>290</v>
      </c>
      <c r="G71" t="s">
        <v>301</v>
      </c>
      <c r="H71" s="72">
        <v>41922</v>
      </c>
    </row>
    <row r="72" spans="1:8" x14ac:dyDescent="0.2">
      <c r="A72" t="s">
        <v>253</v>
      </c>
      <c r="B72" s="83">
        <v>1</v>
      </c>
      <c r="C72" s="72">
        <v>41951</v>
      </c>
      <c r="D72">
        <v>8.49</v>
      </c>
      <c r="E72">
        <v>8.49</v>
      </c>
      <c r="F72" t="s">
        <v>225</v>
      </c>
      <c r="G72" t="s">
        <v>301</v>
      </c>
      <c r="H72" s="72">
        <v>41922</v>
      </c>
    </row>
    <row r="73" spans="1:8" x14ac:dyDescent="0.2">
      <c r="A73" t="s">
        <v>307</v>
      </c>
      <c r="B73" s="83">
        <v>2.74</v>
      </c>
      <c r="C73" s="72">
        <v>41895</v>
      </c>
      <c r="D73">
        <v>0.79</v>
      </c>
      <c r="E73">
        <v>2.16</v>
      </c>
      <c r="F73" t="s">
        <v>283</v>
      </c>
      <c r="G73" t="s">
        <v>302</v>
      </c>
      <c r="H73" s="72">
        <v>41892</v>
      </c>
    </row>
    <row r="74" spans="1:8" x14ac:dyDescent="0.2">
      <c r="A74" t="s">
        <v>313</v>
      </c>
      <c r="B74" s="83">
        <v>0.53500000000000003</v>
      </c>
      <c r="C74" s="72">
        <v>41895</v>
      </c>
      <c r="D74">
        <v>6.67</v>
      </c>
      <c r="E74">
        <v>3.56</v>
      </c>
      <c r="F74" t="s">
        <v>282</v>
      </c>
      <c r="G74" t="s">
        <v>302</v>
      </c>
      <c r="H74" s="72">
        <v>41892</v>
      </c>
    </row>
    <row r="75" spans="1:8" x14ac:dyDescent="0.2">
      <c r="A75" t="s">
        <v>304</v>
      </c>
      <c r="B75" s="83">
        <v>0.19500000000000001</v>
      </c>
      <c r="C75" s="72">
        <v>41895</v>
      </c>
      <c r="D75">
        <v>9.99</v>
      </c>
      <c r="E75">
        <v>1.94</v>
      </c>
      <c r="F75" t="s">
        <v>283</v>
      </c>
      <c r="G75" t="s">
        <v>302</v>
      </c>
      <c r="H75" s="72">
        <v>41892</v>
      </c>
    </row>
    <row r="76" spans="1:8" x14ac:dyDescent="0.2">
      <c r="A76" t="s">
        <v>310</v>
      </c>
      <c r="B76" s="83">
        <v>0.68500000000000005</v>
      </c>
      <c r="C76" s="72">
        <v>41895</v>
      </c>
      <c r="D76">
        <v>2.69</v>
      </c>
      <c r="E76">
        <v>1.84</v>
      </c>
      <c r="F76" t="s">
        <v>283</v>
      </c>
      <c r="G76" t="s">
        <v>302</v>
      </c>
      <c r="H76" s="72">
        <v>41892</v>
      </c>
    </row>
    <row r="77" spans="1:8" x14ac:dyDescent="0.2">
      <c r="A77" t="s">
        <v>305</v>
      </c>
      <c r="B77" s="83">
        <v>0.84499999999999997</v>
      </c>
      <c r="C77" s="72">
        <v>41895</v>
      </c>
      <c r="D77">
        <v>4.99</v>
      </c>
      <c r="E77">
        <v>4.21</v>
      </c>
      <c r="F77" t="s">
        <v>282</v>
      </c>
      <c r="G77" t="s">
        <v>302</v>
      </c>
      <c r="H77" s="72">
        <v>41892</v>
      </c>
    </row>
    <row r="78" spans="1:8" x14ac:dyDescent="0.2">
      <c r="A78" t="s">
        <v>314</v>
      </c>
      <c r="B78" s="83">
        <v>0.48</v>
      </c>
      <c r="C78" s="72">
        <v>41895</v>
      </c>
      <c r="D78">
        <v>2.99</v>
      </c>
      <c r="E78">
        <v>1.43</v>
      </c>
      <c r="F78" t="s">
        <v>282</v>
      </c>
      <c r="G78" t="s">
        <v>302</v>
      </c>
      <c r="H78" s="72">
        <v>41892</v>
      </c>
    </row>
    <row r="79" spans="1:8" x14ac:dyDescent="0.2">
      <c r="A79" t="s">
        <v>235</v>
      </c>
      <c r="B79" s="83">
        <v>2</v>
      </c>
      <c r="C79" s="72">
        <v>41895</v>
      </c>
      <c r="D79">
        <v>1.69</v>
      </c>
      <c r="E79">
        <v>3.38</v>
      </c>
      <c r="F79" t="s">
        <v>282</v>
      </c>
      <c r="G79" t="s">
        <v>301</v>
      </c>
      <c r="H79" s="72">
        <v>41892</v>
      </c>
    </row>
    <row r="80" spans="1:8" x14ac:dyDescent="0.2">
      <c r="A80" t="s">
        <v>303</v>
      </c>
      <c r="B80" s="83">
        <v>0.46</v>
      </c>
      <c r="C80" s="72">
        <v>41895</v>
      </c>
      <c r="D80">
        <v>4.3099999999999996</v>
      </c>
      <c r="E80">
        <v>1.98</v>
      </c>
      <c r="F80" t="s">
        <v>283</v>
      </c>
      <c r="G80" t="s">
        <v>302</v>
      </c>
      <c r="H80" s="72">
        <v>41892</v>
      </c>
    </row>
    <row r="81" spans="1:8" x14ac:dyDescent="0.2">
      <c r="A81" t="s">
        <v>255</v>
      </c>
      <c r="B81" s="83">
        <v>0.375</v>
      </c>
      <c r="C81" s="72">
        <v>41895</v>
      </c>
      <c r="D81">
        <v>9.23</v>
      </c>
      <c r="E81">
        <v>3.46</v>
      </c>
      <c r="F81" t="s">
        <v>283</v>
      </c>
      <c r="G81" t="s">
        <v>302</v>
      </c>
      <c r="H81" s="72">
        <v>41892</v>
      </c>
    </row>
    <row r="82" spans="1:8" x14ac:dyDescent="0.2">
      <c r="A82" t="s">
        <v>256</v>
      </c>
      <c r="B82" s="83">
        <v>0.95</v>
      </c>
      <c r="C82" s="72">
        <v>41895</v>
      </c>
      <c r="D82">
        <v>4.32</v>
      </c>
      <c r="E82">
        <v>4.0999999999999996</v>
      </c>
      <c r="F82" t="s">
        <v>282</v>
      </c>
      <c r="G82" t="s">
        <v>302</v>
      </c>
      <c r="H82" s="72">
        <v>41892</v>
      </c>
    </row>
    <row r="83" spans="1:8" x14ac:dyDescent="0.2">
      <c r="A83" t="s">
        <v>233</v>
      </c>
      <c r="B83" s="83">
        <v>0.85199999999999998</v>
      </c>
      <c r="C83" s="72">
        <v>41895</v>
      </c>
      <c r="D83">
        <v>4.7</v>
      </c>
      <c r="E83">
        <v>4</v>
      </c>
      <c r="F83" t="s">
        <v>283</v>
      </c>
      <c r="G83" t="s">
        <v>302</v>
      </c>
      <c r="H83" s="72">
        <v>41892</v>
      </c>
    </row>
    <row r="84" spans="1:8" x14ac:dyDescent="0.2">
      <c r="A84" t="s">
        <v>234</v>
      </c>
      <c r="B84" s="83">
        <v>1</v>
      </c>
      <c r="C84" s="72">
        <v>41895</v>
      </c>
      <c r="D84">
        <v>3.99</v>
      </c>
      <c r="E84">
        <v>3.99</v>
      </c>
      <c r="F84" t="s">
        <v>282</v>
      </c>
      <c r="G84" t="s">
        <v>301</v>
      </c>
      <c r="H84" s="72">
        <v>41892</v>
      </c>
    </row>
    <row r="85" spans="1:8" x14ac:dyDescent="0.2">
      <c r="A85" t="s">
        <v>218</v>
      </c>
      <c r="B85" s="83">
        <v>6</v>
      </c>
      <c r="C85" s="72">
        <v>41895</v>
      </c>
      <c r="D85">
        <v>2.99</v>
      </c>
      <c r="E85">
        <v>17.940000000000001</v>
      </c>
      <c r="F85" t="s">
        <v>218</v>
      </c>
      <c r="G85" t="s">
        <v>301</v>
      </c>
      <c r="H85" s="72">
        <v>41892</v>
      </c>
    </row>
    <row r="86" spans="1:8" x14ac:dyDescent="0.2">
      <c r="A86" t="s">
        <v>237</v>
      </c>
      <c r="B86" s="83">
        <v>2</v>
      </c>
      <c r="C86" s="72">
        <v>41895</v>
      </c>
      <c r="D86">
        <v>3.79</v>
      </c>
      <c r="E86">
        <v>7.58</v>
      </c>
      <c r="F86" t="s">
        <v>225</v>
      </c>
      <c r="G86" t="s">
        <v>301</v>
      </c>
      <c r="H86" s="72">
        <v>41892</v>
      </c>
    </row>
    <row r="87" spans="1:8" x14ac:dyDescent="0.2">
      <c r="A87" t="s">
        <v>257</v>
      </c>
      <c r="B87" s="83">
        <v>2</v>
      </c>
      <c r="C87" s="72">
        <v>41895</v>
      </c>
      <c r="D87">
        <v>1.59</v>
      </c>
      <c r="E87">
        <v>3.18</v>
      </c>
      <c r="F87" t="s">
        <v>225</v>
      </c>
      <c r="G87" t="s">
        <v>301</v>
      </c>
      <c r="H87" s="72">
        <v>41892</v>
      </c>
    </row>
    <row r="88" spans="1:8" x14ac:dyDescent="0.2">
      <c r="A88" t="s">
        <v>258</v>
      </c>
      <c r="B88" s="83">
        <v>2</v>
      </c>
      <c r="C88" s="72">
        <v>41895</v>
      </c>
      <c r="D88">
        <v>3.99</v>
      </c>
      <c r="E88">
        <v>7.98</v>
      </c>
      <c r="F88" t="s">
        <v>218</v>
      </c>
      <c r="G88" t="s">
        <v>301</v>
      </c>
      <c r="H88" s="72">
        <v>41892</v>
      </c>
    </row>
    <row r="89" spans="1:8" x14ac:dyDescent="0.2">
      <c r="A89" t="s">
        <v>281</v>
      </c>
      <c r="B89" s="83">
        <v>1</v>
      </c>
      <c r="C89" s="72">
        <v>41895</v>
      </c>
      <c r="D89">
        <v>6.09</v>
      </c>
      <c r="E89">
        <v>6.09</v>
      </c>
      <c r="F89" t="s">
        <v>225</v>
      </c>
      <c r="G89" t="s">
        <v>301</v>
      </c>
      <c r="H89" s="72">
        <v>41892</v>
      </c>
    </row>
    <row r="90" spans="1:8" x14ac:dyDescent="0.2">
      <c r="A90" t="s">
        <v>223</v>
      </c>
      <c r="B90" s="83">
        <v>1</v>
      </c>
      <c r="C90" s="72">
        <v>41895</v>
      </c>
      <c r="D90">
        <v>10.99</v>
      </c>
      <c r="E90">
        <v>10.99</v>
      </c>
      <c r="F90" t="s">
        <v>225</v>
      </c>
      <c r="G90" t="s">
        <v>301</v>
      </c>
      <c r="H90" s="72">
        <v>41892</v>
      </c>
    </row>
    <row r="91" spans="1:8" x14ac:dyDescent="0.2">
      <c r="A91" t="s">
        <v>288</v>
      </c>
      <c r="B91" s="83">
        <v>0.54200000000000004</v>
      </c>
      <c r="C91" s="72">
        <v>41895</v>
      </c>
      <c r="D91">
        <v>27.8</v>
      </c>
      <c r="E91">
        <v>15.09</v>
      </c>
      <c r="F91" t="s">
        <v>611</v>
      </c>
      <c r="G91" t="s">
        <v>302</v>
      </c>
      <c r="H91" s="72">
        <v>41892</v>
      </c>
    </row>
    <row r="92" spans="1:8" x14ac:dyDescent="0.2">
      <c r="A92" t="s">
        <v>288</v>
      </c>
      <c r="B92" s="83">
        <v>1</v>
      </c>
      <c r="C92" s="72">
        <v>41895</v>
      </c>
      <c r="D92">
        <v>29.47</v>
      </c>
      <c r="E92">
        <v>29.47</v>
      </c>
      <c r="F92" t="s">
        <v>611</v>
      </c>
      <c r="G92" t="s">
        <v>302</v>
      </c>
      <c r="H92" s="72">
        <v>41892</v>
      </c>
    </row>
    <row r="93" spans="1:8" x14ac:dyDescent="0.2">
      <c r="A93" t="s">
        <v>291</v>
      </c>
      <c r="B93" s="83">
        <v>0.32</v>
      </c>
      <c r="C93" s="72">
        <v>41895</v>
      </c>
      <c r="D93">
        <v>41.9</v>
      </c>
      <c r="E93">
        <v>13.44</v>
      </c>
      <c r="F93" t="s">
        <v>611</v>
      </c>
      <c r="G93" t="s">
        <v>302</v>
      </c>
      <c r="H93" s="72">
        <v>41892</v>
      </c>
    </row>
    <row r="94" spans="1:8" x14ac:dyDescent="0.2">
      <c r="A94" t="s">
        <v>292</v>
      </c>
      <c r="B94" s="83">
        <v>1</v>
      </c>
      <c r="C94" s="72">
        <v>41895</v>
      </c>
      <c r="D94">
        <v>11.69</v>
      </c>
      <c r="E94">
        <v>11.69</v>
      </c>
      <c r="F94" t="s">
        <v>617</v>
      </c>
      <c r="G94" t="s">
        <v>302</v>
      </c>
      <c r="H94" s="72">
        <v>41892</v>
      </c>
    </row>
    <row r="95" spans="1:8" x14ac:dyDescent="0.2">
      <c r="A95" t="s">
        <v>293</v>
      </c>
      <c r="B95" s="83">
        <v>0.68200000000000005</v>
      </c>
      <c r="C95" s="72">
        <v>41895</v>
      </c>
      <c r="D95">
        <v>17.899999999999999</v>
      </c>
      <c r="E95">
        <v>12.27</v>
      </c>
      <c r="F95" t="s">
        <v>611</v>
      </c>
      <c r="G95" t="s">
        <v>302</v>
      </c>
      <c r="H95" s="72">
        <v>41892</v>
      </c>
    </row>
    <row r="96" spans="1:8" x14ac:dyDescent="0.2">
      <c r="A96" t="s">
        <v>294</v>
      </c>
      <c r="B96" s="83">
        <v>0.65800000000000003</v>
      </c>
      <c r="C96" s="72">
        <v>41895</v>
      </c>
      <c r="D96">
        <v>14.59</v>
      </c>
      <c r="E96">
        <v>9.6</v>
      </c>
      <c r="F96" t="s">
        <v>611</v>
      </c>
      <c r="G96" t="s">
        <v>302</v>
      </c>
      <c r="H96" s="72">
        <v>41892</v>
      </c>
    </row>
    <row r="97" spans="1:8" x14ac:dyDescent="0.2">
      <c r="A97" t="s">
        <v>295</v>
      </c>
      <c r="B97" s="83">
        <v>0.38600000000000001</v>
      </c>
      <c r="C97" s="72">
        <v>41895</v>
      </c>
      <c r="D97">
        <v>21.9</v>
      </c>
      <c r="E97">
        <v>8.4499999999999993</v>
      </c>
      <c r="F97" t="s">
        <v>611</v>
      </c>
      <c r="G97" t="s">
        <v>302</v>
      </c>
      <c r="H97" s="72">
        <v>41892</v>
      </c>
    </row>
    <row r="98" spans="1:8" x14ac:dyDescent="0.2">
      <c r="A98" t="s">
        <v>291</v>
      </c>
      <c r="B98" s="83">
        <v>0.246</v>
      </c>
      <c r="C98" s="72">
        <v>41895</v>
      </c>
      <c r="D98">
        <v>41.9</v>
      </c>
      <c r="E98">
        <v>10.33</v>
      </c>
      <c r="F98" t="s">
        <v>611</v>
      </c>
      <c r="G98" t="s">
        <v>302</v>
      </c>
      <c r="H98" s="72">
        <v>41892</v>
      </c>
    </row>
    <row r="99" spans="1:8" x14ac:dyDescent="0.2">
      <c r="A99" t="s">
        <v>291</v>
      </c>
      <c r="B99" s="83">
        <v>0.32</v>
      </c>
      <c r="C99" s="72">
        <v>41895</v>
      </c>
      <c r="D99">
        <v>41.9</v>
      </c>
      <c r="E99">
        <v>13.44</v>
      </c>
      <c r="F99" t="s">
        <v>611</v>
      </c>
      <c r="G99" t="s">
        <v>302</v>
      </c>
      <c r="H99" s="72">
        <v>41892</v>
      </c>
    </row>
    <row r="100" spans="1:8" x14ac:dyDescent="0.2">
      <c r="A100" t="s">
        <v>252</v>
      </c>
      <c r="B100" s="83">
        <v>1</v>
      </c>
      <c r="C100" s="72">
        <v>41895</v>
      </c>
      <c r="D100">
        <v>5.99</v>
      </c>
      <c r="E100">
        <v>5.99</v>
      </c>
      <c r="F100" t="s">
        <v>470</v>
      </c>
      <c r="G100" t="s">
        <v>301</v>
      </c>
      <c r="H100" s="72">
        <v>41892</v>
      </c>
    </row>
    <row r="101" spans="1:8" x14ac:dyDescent="0.2">
      <c r="A101" t="s">
        <v>357</v>
      </c>
      <c r="B101" s="83">
        <v>10</v>
      </c>
      <c r="C101" s="72">
        <v>41895</v>
      </c>
      <c r="D101">
        <v>1.0900000000000001</v>
      </c>
      <c r="E101">
        <v>10.9</v>
      </c>
      <c r="F101" t="s">
        <v>470</v>
      </c>
      <c r="G101" t="s">
        <v>301</v>
      </c>
      <c r="H101" s="72">
        <v>41892</v>
      </c>
    </row>
    <row r="102" spans="1:8" x14ac:dyDescent="0.2">
      <c r="A102" t="s">
        <v>240</v>
      </c>
      <c r="B102" s="83">
        <v>1</v>
      </c>
      <c r="C102" s="72">
        <v>41895</v>
      </c>
      <c r="D102">
        <v>3.85</v>
      </c>
      <c r="E102">
        <v>3.85</v>
      </c>
      <c r="F102" t="s">
        <v>676</v>
      </c>
      <c r="G102" t="s">
        <v>301</v>
      </c>
      <c r="H102" s="72">
        <v>41892</v>
      </c>
    </row>
    <row r="103" spans="1:8" x14ac:dyDescent="0.2">
      <c r="A103" t="s">
        <v>476</v>
      </c>
      <c r="B103" s="83">
        <v>1</v>
      </c>
      <c r="C103" s="72">
        <v>41895</v>
      </c>
      <c r="D103">
        <v>4.75</v>
      </c>
      <c r="E103">
        <v>4.75</v>
      </c>
      <c r="F103" t="s">
        <v>470</v>
      </c>
      <c r="G103" t="s">
        <v>301</v>
      </c>
      <c r="H103" s="72">
        <v>41892</v>
      </c>
    </row>
    <row r="104" spans="1:8" x14ac:dyDescent="0.2">
      <c r="A104" t="s">
        <v>298</v>
      </c>
      <c r="B104" s="83">
        <v>0.28599999999999998</v>
      </c>
      <c r="C104" s="72">
        <v>41895</v>
      </c>
      <c r="D104">
        <v>6.42</v>
      </c>
      <c r="E104">
        <v>6.42</v>
      </c>
      <c r="F104" t="s">
        <v>676</v>
      </c>
      <c r="G104" t="s">
        <v>302</v>
      </c>
      <c r="H104" s="72">
        <v>41892</v>
      </c>
    </row>
    <row r="105" spans="1:8" x14ac:dyDescent="0.2">
      <c r="A105" t="s">
        <v>299</v>
      </c>
      <c r="B105" s="83">
        <v>0.19800000000000001</v>
      </c>
      <c r="C105" s="72">
        <v>41895</v>
      </c>
      <c r="D105">
        <v>6.73</v>
      </c>
      <c r="E105">
        <v>6.73</v>
      </c>
      <c r="F105" t="s">
        <v>676</v>
      </c>
      <c r="G105" t="s">
        <v>302</v>
      </c>
      <c r="H105" s="72">
        <v>41892</v>
      </c>
    </row>
    <row r="106" spans="1:8" x14ac:dyDescent="0.2">
      <c r="A106" t="s">
        <v>357</v>
      </c>
      <c r="B106" s="83">
        <v>1</v>
      </c>
      <c r="C106" s="72">
        <v>41895</v>
      </c>
      <c r="D106">
        <v>1.89</v>
      </c>
      <c r="E106">
        <v>1.89</v>
      </c>
      <c r="F106" t="s">
        <v>470</v>
      </c>
      <c r="G106" t="s">
        <v>301</v>
      </c>
      <c r="H106" s="72">
        <v>41892</v>
      </c>
    </row>
    <row r="107" spans="1:8" x14ac:dyDescent="0.2">
      <c r="A107" t="s">
        <v>297</v>
      </c>
      <c r="B107" s="83">
        <v>0.374</v>
      </c>
      <c r="C107" s="72">
        <v>41895</v>
      </c>
      <c r="D107">
        <v>11.28</v>
      </c>
      <c r="E107">
        <v>11.28</v>
      </c>
      <c r="F107" t="s">
        <v>676</v>
      </c>
      <c r="G107" t="s">
        <v>302</v>
      </c>
      <c r="H107" s="72">
        <v>41892</v>
      </c>
    </row>
    <row r="108" spans="1:8" x14ac:dyDescent="0.2">
      <c r="A108" t="s">
        <v>259</v>
      </c>
      <c r="B108" s="83">
        <v>1</v>
      </c>
      <c r="C108" s="72">
        <v>41895</v>
      </c>
      <c r="D108">
        <v>4.29</v>
      </c>
      <c r="E108">
        <v>4.29</v>
      </c>
      <c r="F108" t="s">
        <v>450</v>
      </c>
      <c r="G108" t="s">
        <v>301</v>
      </c>
      <c r="H108" s="72">
        <v>41892</v>
      </c>
    </row>
    <row r="109" spans="1:8" x14ac:dyDescent="0.2">
      <c r="A109" t="s">
        <v>477</v>
      </c>
      <c r="B109" s="83">
        <v>1</v>
      </c>
      <c r="C109" s="72">
        <v>41895</v>
      </c>
      <c r="D109">
        <v>6.79</v>
      </c>
      <c r="E109">
        <v>6.79</v>
      </c>
      <c r="F109" t="s">
        <v>623</v>
      </c>
      <c r="G109" t="s">
        <v>301</v>
      </c>
      <c r="H109" s="72">
        <v>41892</v>
      </c>
    </row>
    <row r="110" spans="1:8" x14ac:dyDescent="0.2">
      <c r="A110" t="s">
        <v>260</v>
      </c>
      <c r="B110" s="83">
        <v>1</v>
      </c>
      <c r="C110" s="72">
        <v>41895</v>
      </c>
      <c r="D110">
        <v>35.9</v>
      </c>
      <c r="E110">
        <v>35.9</v>
      </c>
      <c r="F110" t="s">
        <v>621</v>
      </c>
      <c r="G110" t="s">
        <v>301</v>
      </c>
      <c r="H110" s="72">
        <v>41892</v>
      </c>
    </row>
    <row r="111" spans="1:8" x14ac:dyDescent="0.2">
      <c r="A111" t="s">
        <v>261</v>
      </c>
      <c r="B111" s="83">
        <v>1</v>
      </c>
      <c r="C111" s="72">
        <v>41895</v>
      </c>
      <c r="D111">
        <v>6.29</v>
      </c>
      <c r="E111">
        <v>6.29</v>
      </c>
      <c r="F111" t="s">
        <v>290</v>
      </c>
      <c r="G111" t="s">
        <v>301</v>
      </c>
      <c r="H111" s="72">
        <v>41892</v>
      </c>
    </row>
    <row r="112" spans="1:8" x14ac:dyDescent="0.2">
      <c r="A112" t="s">
        <v>262</v>
      </c>
      <c r="B112" s="83">
        <v>1</v>
      </c>
      <c r="C112" s="72">
        <v>41895</v>
      </c>
      <c r="D112">
        <v>12.99</v>
      </c>
      <c r="E112">
        <v>12.99</v>
      </c>
      <c r="F112" t="s">
        <v>290</v>
      </c>
      <c r="G112" t="s">
        <v>301</v>
      </c>
      <c r="H112" s="72">
        <v>41892</v>
      </c>
    </row>
    <row r="113" spans="1:8" x14ac:dyDescent="0.2">
      <c r="A113" t="s">
        <v>356</v>
      </c>
      <c r="B113" s="83">
        <v>1</v>
      </c>
      <c r="C113" s="72">
        <v>41895</v>
      </c>
      <c r="D113">
        <v>1.28</v>
      </c>
      <c r="E113">
        <v>1.28</v>
      </c>
      <c r="F113" t="s">
        <v>619</v>
      </c>
      <c r="G113" t="s">
        <v>301</v>
      </c>
      <c r="H113" s="72">
        <v>41892</v>
      </c>
    </row>
    <row r="114" spans="1:8" x14ac:dyDescent="0.2">
      <c r="A114" t="s">
        <v>476</v>
      </c>
      <c r="B114" s="83">
        <v>2</v>
      </c>
      <c r="C114" s="72">
        <v>41895</v>
      </c>
      <c r="D114">
        <v>1.27</v>
      </c>
      <c r="E114">
        <v>2.54</v>
      </c>
      <c r="F114" t="s">
        <v>470</v>
      </c>
      <c r="G114" t="s">
        <v>301</v>
      </c>
      <c r="H114" s="72">
        <v>41892</v>
      </c>
    </row>
    <row r="115" spans="1:8" x14ac:dyDescent="0.2">
      <c r="A115" t="s">
        <v>263</v>
      </c>
      <c r="B115" s="83">
        <v>1</v>
      </c>
      <c r="C115" s="72">
        <v>41895</v>
      </c>
      <c r="D115">
        <v>2.2000000000000002</v>
      </c>
      <c r="E115">
        <v>2.2000000000000002</v>
      </c>
      <c r="F115" t="s">
        <v>290</v>
      </c>
      <c r="G115" t="s">
        <v>301</v>
      </c>
      <c r="H115" s="72">
        <v>41892</v>
      </c>
    </row>
    <row r="116" spans="1:8" x14ac:dyDescent="0.2">
      <c r="A116" t="s">
        <v>437</v>
      </c>
      <c r="B116" s="83">
        <v>1</v>
      </c>
      <c r="C116" s="72">
        <v>41895</v>
      </c>
      <c r="D116">
        <v>2.59</v>
      </c>
      <c r="E116">
        <v>2.59</v>
      </c>
      <c r="F116" t="s">
        <v>211</v>
      </c>
      <c r="G116" t="s">
        <v>301</v>
      </c>
      <c r="H116" s="72">
        <v>41892</v>
      </c>
    </row>
    <row r="117" spans="1:8" x14ac:dyDescent="0.2">
      <c r="A117" t="s">
        <v>232</v>
      </c>
      <c r="B117" s="83">
        <v>1</v>
      </c>
      <c r="C117" s="72">
        <v>41895</v>
      </c>
      <c r="D117">
        <v>11.56</v>
      </c>
      <c r="E117">
        <v>11.56</v>
      </c>
      <c r="F117" t="s">
        <v>704</v>
      </c>
      <c r="G117" t="s">
        <v>301</v>
      </c>
      <c r="H117" s="72">
        <v>41892</v>
      </c>
    </row>
    <row r="118" spans="1:8" x14ac:dyDescent="0.2">
      <c r="A118" t="s">
        <v>264</v>
      </c>
      <c r="B118" s="83">
        <v>1</v>
      </c>
      <c r="C118" s="72">
        <v>41895</v>
      </c>
      <c r="D118">
        <v>5.7</v>
      </c>
      <c r="E118">
        <v>5.7</v>
      </c>
      <c r="F118" t="s">
        <v>283</v>
      </c>
      <c r="G118" t="s">
        <v>301</v>
      </c>
      <c r="H118" s="72">
        <v>41892</v>
      </c>
    </row>
    <row r="119" spans="1:8" x14ac:dyDescent="0.2">
      <c r="A119" t="s">
        <v>232</v>
      </c>
      <c r="B119" s="83">
        <v>1</v>
      </c>
      <c r="C119" s="72">
        <v>41895</v>
      </c>
      <c r="D119">
        <v>2.94</v>
      </c>
      <c r="E119">
        <v>2.94</v>
      </c>
      <c r="F119" t="s">
        <v>704</v>
      </c>
      <c r="G119" t="s">
        <v>301</v>
      </c>
      <c r="H119" s="72">
        <v>41892</v>
      </c>
    </row>
    <row r="120" spans="1:8" x14ac:dyDescent="0.2">
      <c r="A120" t="s">
        <v>265</v>
      </c>
      <c r="B120" s="83">
        <v>1</v>
      </c>
      <c r="C120" s="72">
        <v>41895</v>
      </c>
      <c r="D120">
        <v>28.99</v>
      </c>
      <c r="E120">
        <v>28.99</v>
      </c>
      <c r="F120" t="s">
        <v>290</v>
      </c>
      <c r="G120" t="s">
        <v>301</v>
      </c>
      <c r="H120" s="72">
        <v>41892</v>
      </c>
    </row>
    <row r="121" spans="1:8" x14ac:dyDescent="0.2">
      <c r="A121" t="s">
        <v>266</v>
      </c>
      <c r="B121" s="83">
        <v>1</v>
      </c>
      <c r="C121" s="72">
        <v>41895</v>
      </c>
      <c r="D121">
        <v>2.79</v>
      </c>
      <c r="E121">
        <v>2.79</v>
      </c>
      <c r="F121" t="s">
        <v>211</v>
      </c>
      <c r="G121" t="s">
        <v>301</v>
      </c>
      <c r="H121" s="72">
        <v>41892</v>
      </c>
    </row>
    <row r="122" spans="1:8" x14ac:dyDescent="0.2">
      <c r="A122" t="s">
        <v>267</v>
      </c>
      <c r="B122" s="83">
        <v>1</v>
      </c>
      <c r="C122" s="72">
        <v>41895</v>
      </c>
      <c r="D122">
        <v>7.39</v>
      </c>
      <c r="E122">
        <v>7.39</v>
      </c>
      <c r="F122" t="s">
        <v>620</v>
      </c>
      <c r="G122" t="s">
        <v>301</v>
      </c>
      <c r="H122" s="72">
        <v>41892</v>
      </c>
    </row>
    <row r="123" spans="1:8" x14ac:dyDescent="0.2">
      <c r="A123" t="s">
        <v>227</v>
      </c>
      <c r="B123" s="83">
        <v>1</v>
      </c>
      <c r="C123" s="72">
        <v>41895</v>
      </c>
      <c r="D123">
        <v>4.62</v>
      </c>
      <c r="E123">
        <v>4.62</v>
      </c>
      <c r="F123" t="s">
        <v>211</v>
      </c>
      <c r="G123" t="s">
        <v>301</v>
      </c>
      <c r="H123" s="72">
        <v>41892</v>
      </c>
    </row>
    <row r="124" spans="1:8" x14ac:dyDescent="0.2">
      <c r="A124" t="s">
        <v>222</v>
      </c>
      <c r="B124" s="83">
        <v>1</v>
      </c>
      <c r="C124" s="72">
        <v>41895</v>
      </c>
      <c r="D124">
        <v>8.99</v>
      </c>
      <c r="E124">
        <v>8.99</v>
      </c>
      <c r="F124" t="s">
        <v>704</v>
      </c>
      <c r="G124" t="s">
        <v>301</v>
      </c>
      <c r="H124" s="72">
        <v>41892</v>
      </c>
    </row>
    <row r="125" spans="1:8" x14ac:dyDescent="0.2">
      <c r="A125" t="s">
        <v>286</v>
      </c>
      <c r="B125" s="83">
        <v>0.54</v>
      </c>
      <c r="C125" s="72">
        <v>41895</v>
      </c>
      <c r="D125">
        <v>13.5</v>
      </c>
      <c r="E125">
        <v>6.85</v>
      </c>
      <c r="F125" t="s">
        <v>616</v>
      </c>
      <c r="G125" t="s">
        <v>302</v>
      </c>
      <c r="H125" s="72">
        <v>41892</v>
      </c>
    </row>
    <row r="126" spans="1:8" x14ac:dyDescent="0.2">
      <c r="A126" t="s">
        <v>287</v>
      </c>
      <c r="B126" s="83">
        <v>0.224</v>
      </c>
      <c r="C126" s="72">
        <v>41895</v>
      </c>
      <c r="D126">
        <v>20.76</v>
      </c>
      <c r="E126">
        <v>4.6500000000000004</v>
      </c>
      <c r="F126" t="s">
        <v>211</v>
      </c>
      <c r="G126" t="s">
        <v>302</v>
      </c>
      <c r="H126" s="72">
        <v>41892</v>
      </c>
    </row>
    <row r="127" spans="1:8" x14ac:dyDescent="0.2">
      <c r="A127" t="s">
        <v>268</v>
      </c>
      <c r="B127" s="83">
        <v>1</v>
      </c>
      <c r="C127" s="72">
        <v>41895</v>
      </c>
      <c r="D127">
        <v>2.99</v>
      </c>
      <c r="E127">
        <v>2.99</v>
      </c>
      <c r="F127" t="s">
        <v>622</v>
      </c>
      <c r="G127" t="s">
        <v>301</v>
      </c>
      <c r="H127" s="72">
        <v>41892</v>
      </c>
    </row>
    <row r="128" spans="1:8" x14ac:dyDescent="0.2">
      <c r="A128" t="s">
        <v>267</v>
      </c>
      <c r="B128" s="83">
        <v>1</v>
      </c>
      <c r="C128" s="72">
        <v>41895</v>
      </c>
      <c r="D128">
        <v>3.59</v>
      </c>
      <c r="E128">
        <v>3.59</v>
      </c>
      <c r="F128" t="s">
        <v>620</v>
      </c>
      <c r="G128" t="s">
        <v>301</v>
      </c>
      <c r="H128" s="72">
        <v>41892</v>
      </c>
    </row>
    <row r="129" spans="1:8" x14ac:dyDescent="0.2">
      <c r="A129" t="s">
        <v>98</v>
      </c>
      <c r="B129" s="83">
        <v>2</v>
      </c>
      <c r="C129" s="72">
        <v>41895</v>
      </c>
      <c r="D129">
        <v>10.54</v>
      </c>
      <c r="E129">
        <v>21.08</v>
      </c>
      <c r="F129" t="s">
        <v>284</v>
      </c>
      <c r="G129" t="s">
        <v>301</v>
      </c>
      <c r="H129" s="72">
        <v>41892</v>
      </c>
    </row>
    <row r="130" spans="1:8" x14ac:dyDescent="0.2">
      <c r="A130" t="s">
        <v>269</v>
      </c>
      <c r="B130" s="83">
        <v>1</v>
      </c>
      <c r="C130" s="72">
        <v>41895</v>
      </c>
      <c r="D130">
        <v>16.75</v>
      </c>
      <c r="E130">
        <v>16.75</v>
      </c>
      <c r="F130" t="s">
        <v>290</v>
      </c>
      <c r="G130" t="s">
        <v>301</v>
      </c>
      <c r="H130" s="72">
        <v>41892</v>
      </c>
    </row>
    <row r="131" spans="1:8" x14ac:dyDescent="0.2">
      <c r="A131" t="s">
        <v>296</v>
      </c>
      <c r="B131" s="83">
        <v>0.5</v>
      </c>
      <c r="C131" s="72">
        <v>41895</v>
      </c>
      <c r="D131">
        <v>22.9</v>
      </c>
      <c r="E131">
        <v>11.5</v>
      </c>
      <c r="F131" t="s">
        <v>611</v>
      </c>
      <c r="G131" t="s">
        <v>302</v>
      </c>
      <c r="H131" s="72">
        <v>41892</v>
      </c>
    </row>
    <row r="132" spans="1:8" x14ac:dyDescent="0.2">
      <c r="A132" t="s">
        <v>418</v>
      </c>
      <c r="B132" s="83">
        <v>0.13</v>
      </c>
      <c r="C132" s="72">
        <v>41895</v>
      </c>
      <c r="D132">
        <v>22.2</v>
      </c>
      <c r="E132">
        <v>2.9</v>
      </c>
      <c r="F132" t="s">
        <v>676</v>
      </c>
      <c r="G132" t="s">
        <v>302</v>
      </c>
      <c r="H132" s="72">
        <v>41892</v>
      </c>
    </row>
    <row r="133" spans="1:8" x14ac:dyDescent="0.2">
      <c r="A133" t="s">
        <v>418</v>
      </c>
      <c r="B133" s="83">
        <v>0.152</v>
      </c>
      <c r="C133" s="72">
        <v>41895</v>
      </c>
      <c r="D133">
        <v>22.2</v>
      </c>
      <c r="E133">
        <v>3.39</v>
      </c>
      <c r="F133" t="s">
        <v>676</v>
      </c>
      <c r="G133" t="s">
        <v>302</v>
      </c>
      <c r="H133" s="72">
        <v>41892</v>
      </c>
    </row>
    <row r="134" spans="1:8" x14ac:dyDescent="0.2">
      <c r="A134" t="s">
        <v>182</v>
      </c>
      <c r="B134" s="83">
        <v>1</v>
      </c>
      <c r="C134" s="72">
        <v>41895</v>
      </c>
      <c r="D134">
        <v>16.98</v>
      </c>
      <c r="E134">
        <v>16.98</v>
      </c>
      <c r="F134" t="s">
        <v>224</v>
      </c>
      <c r="G134" t="s">
        <v>301</v>
      </c>
      <c r="H134" s="72">
        <v>41892</v>
      </c>
    </row>
    <row r="135" spans="1:8" x14ac:dyDescent="0.2">
      <c r="A135" t="s">
        <v>353</v>
      </c>
      <c r="B135" s="83">
        <v>1</v>
      </c>
      <c r="C135" s="72">
        <v>41895</v>
      </c>
      <c r="D135">
        <v>4.3899999999999997</v>
      </c>
      <c r="E135">
        <v>4.3899999999999997</v>
      </c>
      <c r="F135" t="s">
        <v>622</v>
      </c>
      <c r="G135" t="s">
        <v>301</v>
      </c>
      <c r="H135" s="72">
        <v>41892</v>
      </c>
    </row>
    <row r="136" spans="1:8" x14ac:dyDescent="0.2">
      <c r="A136" t="s">
        <v>353</v>
      </c>
      <c r="B136" s="83">
        <v>1</v>
      </c>
      <c r="C136" s="72">
        <v>41895</v>
      </c>
      <c r="D136">
        <v>6.79</v>
      </c>
      <c r="E136">
        <v>6.79</v>
      </c>
      <c r="F136" t="s">
        <v>622</v>
      </c>
      <c r="G136" t="s">
        <v>301</v>
      </c>
      <c r="H136" s="72">
        <v>41892</v>
      </c>
    </row>
    <row r="137" spans="1:8" x14ac:dyDescent="0.2">
      <c r="A137" t="s">
        <v>270</v>
      </c>
      <c r="B137" s="83">
        <v>1</v>
      </c>
      <c r="C137" s="72">
        <v>41895</v>
      </c>
      <c r="D137">
        <v>4.79</v>
      </c>
      <c r="E137">
        <v>4.79</v>
      </c>
      <c r="F137" t="s">
        <v>270</v>
      </c>
      <c r="G137" t="s">
        <v>301</v>
      </c>
      <c r="H137" s="72">
        <v>41892</v>
      </c>
    </row>
    <row r="138" spans="1:8" x14ac:dyDescent="0.2">
      <c r="A138" t="s">
        <v>230</v>
      </c>
      <c r="B138" s="83">
        <v>0.5</v>
      </c>
      <c r="C138" s="72">
        <v>41895</v>
      </c>
      <c r="D138">
        <v>7.45</v>
      </c>
      <c r="E138">
        <f>B138*D138</f>
        <v>3.7250000000000001</v>
      </c>
      <c r="F138" t="s">
        <v>622</v>
      </c>
      <c r="G138" t="s">
        <v>302</v>
      </c>
      <c r="H138" s="72">
        <v>41892</v>
      </c>
    </row>
    <row r="139" spans="1:8" x14ac:dyDescent="0.2">
      <c r="A139" t="s">
        <v>271</v>
      </c>
      <c r="B139" s="83">
        <v>1</v>
      </c>
      <c r="C139" s="72">
        <v>41895</v>
      </c>
      <c r="D139">
        <v>5.25</v>
      </c>
      <c r="E139">
        <v>5.25</v>
      </c>
      <c r="F139" t="s">
        <v>290</v>
      </c>
      <c r="G139" t="s">
        <v>301</v>
      </c>
      <c r="H139" s="72">
        <v>41892</v>
      </c>
    </row>
    <row r="140" spans="1:8" x14ac:dyDescent="0.2">
      <c r="A140" t="s">
        <v>272</v>
      </c>
      <c r="B140" s="83">
        <v>1</v>
      </c>
      <c r="C140" s="72">
        <v>41895</v>
      </c>
      <c r="D140">
        <v>4.75</v>
      </c>
      <c r="E140">
        <v>4.75</v>
      </c>
      <c r="F140" t="s">
        <v>617</v>
      </c>
      <c r="G140" t="s">
        <v>301</v>
      </c>
      <c r="H140" s="72">
        <v>41892</v>
      </c>
    </row>
    <row r="141" spans="1:8" x14ac:dyDescent="0.2">
      <c r="A141" t="s">
        <v>273</v>
      </c>
      <c r="B141" s="83">
        <v>1</v>
      </c>
      <c r="C141" s="72">
        <v>41895</v>
      </c>
      <c r="D141">
        <v>9.14</v>
      </c>
      <c r="E141">
        <v>9.14</v>
      </c>
      <c r="F141" t="s">
        <v>290</v>
      </c>
      <c r="G141" t="s">
        <v>301</v>
      </c>
      <c r="H141" s="72">
        <v>41892</v>
      </c>
    </row>
    <row r="142" spans="1:8" x14ac:dyDescent="0.2">
      <c r="A142" t="s">
        <v>247</v>
      </c>
      <c r="B142" s="83">
        <v>4</v>
      </c>
      <c r="C142" s="72">
        <v>41895</v>
      </c>
      <c r="D142">
        <v>1.48</v>
      </c>
      <c r="E142">
        <v>5.92</v>
      </c>
      <c r="F142" t="s">
        <v>285</v>
      </c>
      <c r="G142" t="s">
        <v>301</v>
      </c>
      <c r="H142" s="72">
        <v>41892</v>
      </c>
    </row>
    <row r="143" spans="1:8" x14ac:dyDescent="0.2">
      <c r="A143" t="s">
        <v>274</v>
      </c>
      <c r="B143" s="83">
        <v>1</v>
      </c>
      <c r="C143" s="72">
        <v>41895</v>
      </c>
      <c r="D143">
        <v>2.39</v>
      </c>
      <c r="E143">
        <v>2.39</v>
      </c>
      <c r="F143" t="s">
        <v>285</v>
      </c>
      <c r="G143" t="s">
        <v>301</v>
      </c>
      <c r="H143" s="72">
        <v>41892</v>
      </c>
    </row>
    <row r="144" spans="1:8" x14ac:dyDescent="0.2">
      <c r="A144" t="s">
        <v>275</v>
      </c>
      <c r="B144" s="83">
        <v>1</v>
      </c>
      <c r="C144" s="72">
        <v>41895</v>
      </c>
      <c r="D144">
        <v>15.65</v>
      </c>
      <c r="E144">
        <v>15.65</v>
      </c>
      <c r="F144" t="s">
        <v>285</v>
      </c>
      <c r="G144" t="s">
        <v>301</v>
      </c>
      <c r="H144" s="72">
        <v>41892</v>
      </c>
    </row>
    <row r="145" spans="1:8" x14ac:dyDescent="0.2">
      <c r="A145" t="s">
        <v>276</v>
      </c>
      <c r="B145" s="83">
        <v>1</v>
      </c>
      <c r="C145" s="72">
        <v>41895</v>
      </c>
      <c r="D145">
        <v>5.59</v>
      </c>
      <c r="E145">
        <v>5.59</v>
      </c>
      <c r="F145" t="s">
        <v>285</v>
      </c>
      <c r="G145" t="s">
        <v>301</v>
      </c>
      <c r="H145" s="72">
        <v>41892</v>
      </c>
    </row>
    <row r="146" spans="1:8" x14ac:dyDescent="0.2">
      <c r="A146" t="s">
        <v>251</v>
      </c>
      <c r="B146" s="83">
        <v>1</v>
      </c>
      <c r="C146" s="72">
        <v>41895</v>
      </c>
      <c r="D146">
        <v>2.98</v>
      </c>
      <c r="E146">
        <v>2.98</v>
      </c>
      <c r="F146" t="s">
        <v>285</v>
      </c>
      <c r="G146" t="s">
        <v>301</v>
      </c>
      <c r="H146" s="72">
        <v>41892</v>
      </c>
    </row>
    <row r="147" spans="1:8" x14ac:dyDescent="0.2">
      <c r="A147" t="s">
        <v>246</v>
      </c>
      <c r="B147" s="83">
        <v>1</v>
      </c>
      <c r="C147" s="72">
        <v>41895</v>
      </c>
      <c r="D147">
        <v>12.8</v>
      </c>
      <c r="E147">
        <v>12.8</v>
      </c>
      <c r="F147" t="s">
        <v>285</v>
      </c>
      <c r="G147" t="s">
        <v>301</v>
      </c>
      <c r="H147" s="72">
        <v>41892</v>
      </c>
    </row>
    <row r="148" spans="1:8" x14ac:dyDescent="0.2">
      <c r="A148" t="s">
        <v>244</v>
      </c>
      <c r="B148" s="83">
        <v>1</v>
      </c>
      <c r="C148" s="72">
        <v>41895</v>
      </c>
      <c r="D148">
        <v>3.79</v>
      </c>
      <c r="E148">
        <v>3.79</v>
      </c>
      <c r="F148" t="s">
        <v>285</v>
      </c>
      <c r="G148" t="s">
        <v>301</v>
      </c>
      <c r="H148" s="72">
        <v>41892</v>
      </c>
    </row>
    <row r="149" spans="1:8" x14ac:dyDescent="0.2">
      <c r="A149" t="s">
        <v>277</v>
      </c>
      <c r="B149" s="83">
        <v>1</v>
      </c>
      <c r="C149" s="72">
        <v>41895</v>
      </c>
      <c r="D149">
        <v>12.48</v>
      </c>
      <c r="E149">
        <v>12.48</v>
      </c>
      <c r="F149" t="s">
        <v>285</v>
      </c>
      <c r="G149" t="s">
        <v>301</v>
      </c>
      <c r="H149" s="72">
        <v>41892</v>
      </c>
    </row>
    <row r="150" spans="1:8" x14ac:dyDescent="0.2">
      <c r="A150" t="s">
        <v>408</v>
      </c>
      <c r="B150" s="83">
        <v>2</v>
      </c>
      <c r="C150" s="72">
        <v>41895</v>
      </c>
      <c r="D150">
        <v>2.69</v>
      </c>
      <c r="E150">
        <v>5.38</v>
      </c>
      <c r="F150" t="s">
        <v>285</v>
      </c>
      <c r="G150" t="s">
        <v>301</v>
      </c>
      <c r="H150" s="72">
        <v>41892</v>
      </c>
    </row>
    <row r="151" spans="1:8" x14ac:dyDescent="0.2">
      <c r="A151" t="s">
        <v>279</v>
      </c>
      <c r="B151" s="83">
        <v>1</v>
      </c>
      <c r="C151" s="72">
        <v>41895</v>
      </c>
      <c r="D151">
        <v>8.1999999999999993</v>
      </c>
      <c r="E151">
        <v>8.1999999999999993</v>
      </c>
      <c r="F151" t="s">
        <v>285</v>
      </c>
      <c r="G151" t="s">
        <v>301</v>
      </c>
      <c r="H151" s="72">
        <v>41892</v>
      </c>
    </row>
    <row r="152" spans="1:8" x14ac:dyDescent="0.2">
      <c r="A152" t="s">
        <v>278</v>
      </c>
      <c r="B152" s="83">
        <v>1</v>
      </c>
      <c r="C152" s="72">
        <v>41895</v>
      </c>
      <c r="D152">
        <v>2.5499999999999998</v>
      </c>
      <c r="E152">
        <v>2.5499999999999998</v>
      </c>
      <c r="F152" t="s">
        <v>285</v>
      </c>
      <c r="G152" t="s">
        <v>301</v>
      </c>
      <c r="H152" s="72">
        <v>41892</v>
      </c>
    </row>
    <row r="153" spans="1:8" x14ac:dyDescent="0.2">
      <c r="A153" t="s">
        <v>279</v>
      </c>
      <c r="B153" s="83">
        <v>1</v>
      </c>
      <c r="C153" s="72">
        <v>41895</v>
      </c>
      <c r="D153">
        <v>13.45</v>
      </c>
      <c r="E153">
        <v>13.45</v>
      </c>
      <c r="F153" t="s">
        <v>285</v>
      </c>
      <c r="G153" t="s">
        <v>301</v>
      </c>
      <c r="H153" s="72">
        <v>41892</v>
      </c>
    </row>
    <row r="154" spans="1:8" x14ac:dyDescent="0.2">
      <c r="A154" t="s">
        <v>280</v>
      </c>
      <c r="B154" s="83">
        <v>1</v>
      </c>
      <c r="C154" s="72">
        <v>41895</v>
      </c>
      <c r="D154">
        <v>9.99</v>
      </c>
      <c r="E154">
        <v>9.99</v>
      </c>
      <c r="F154" t="s">
        <v>225</v>
      </c>
      <c r="G154" t="s">
        <v>301</v>
      </c>
      <c r="H154" s="72">
        <v>41892</v>
      </c>
    </row>
    <row r="155" spans="1:8" x14ac:dyDescent="0.2">
      <c r="A155" t="s">
        <v>245</v>
      </c>
      <c r="B155" s="83">
        <v>1</v>
      </c>
      <c r="C155" s="72">
        <v>41895</v>
      </c>
      <c r="D155">
        <v>5.98</v>
      </c>
      <c r="E155">
        <v>5.98</v>
      </c>
      <c r="F155" t="s">
        <v>285</v>
      </c>
      <c r="G155" t="s">
        <v>301</v>
      </c>
      <c r="H155" s="72">
        <v>41892</v>
      </c>
    </row>
    <row r="156" spans="1:8" x14ac:dyDescent="0.2">
      <c r="A156" t="s">
        <v>248</v>
      </c>
      <c r="B156" s="83">
        <v>1</v>
      </c>
      <c r="C156" s="72">
        <v>41895</v>
      </c>
      <c r="D156">
        <v>3.92</v>
      </c>
      <c r="E156">
        <v>3.92</v>
      </c>
      <c r="F156" t="s">
        <v>285</v>
      </c>
      <c r="G156" t="s">
        <v>301</v>
      </c>
      <c r="H156" s="72">
        <v>41892</v>
      </c>
    </row>
    <row r="157" spans="1:8" x14ac:dyDescent="0.2">
      <c r="A157" t="s">
        <v>277</v>
      </c>
      <c r="B157" s="83">
        <v>1</v>
      </c>
      <c r="C157" s="72">
        <v>41895</v>
      </c>
      <c r="D157">
        <v>4.78</v>
      </c>
      <c r="E157">
        <v>4.78</v>
      </c>
      <c r="F157" t="s">
        <v>285</v>
      </c>
      <c r="G157" t="s">
        <v>301</v>
      </c>
      <c r="H157" s="72">
        <v>41892</v>
      </c>
    </row>
    <row r="158" spans="1:8" x14ac:dyDescent="0.2">
      <c r="A158" t="s">
        <v>245</v>
      </c>
      <c r="B158" s="83">
        <v>1</v>
      </c>
      <c r="C158" s="72">
        <v>41895</v>
      </c>
      <c r="D158">
        <v>5.98</v>
      </c>
      <c r="E158">
        <v>5.98</v>
      </c>
      <c r="F158" t="s">
        <v>285</v>
      </c>
      <c r="G158" t="s">
        <v>301</v>
      </c>
      <c r="H158" s="72">
        <v>41892</v>
      </c>
    </row>
    <row r="159" spans="1:8" x14ac:dyDescent="0.2">
      <c r="A159" t="s">
        <v>234</v>
      </c>
      <c r="B159" s="83">
        <v>1</v>
      </c>
      <c r="C159" s="72">
        <v>41966</v>
      </c>
      <c r="D159">
        <v>6.09</v>
      </c>
      <c r="E159">
        <f>B159*D159</f>
        <v>6.09</v>
      </c>
      <c r="F159" t="s">
        <v>282</v>
      </c>
      <c r="G159" t="s">
        <v>301</v>
      </c>
      <c r="H159" s="72">
        <v>41953</v>
      </c>
    </row>
    <row r="160" spans="1:8" x14ac:dyDescent="0.2">
      <c r="A160" t="s">
        <v>256</v>
      </c>
      <c r="B160" s="83">
        <v>0.84499999999999997</v>
      </c>
      <c r="C160" s="72">
        <v>41966</v>
      </c>
      <c r="D160">
        <v>2.92</v>
      </c>
      <c r="E160">
        <f>B160*D160</f>
        <v>2.4674</v>
      </c>
      <c r="F160" t="s">
        <v>282</v>
      </c>
      <c r="G160" t="s">
        <v>302</v>
      </c>
      <c r="H160" s="72">
        <v>41953</v>
      </c>
    </row>
    <row r="161" spans="1:8" x14ac:dyDescent="0.2">
      <c r="A161" t="s">
        <v>315</v>
      </c>
      <c r="B161" s="83">
        <v>1.2350000000000001</v>
      </c>
      <c r="C161" s="72">
        <v>41966</v>
      </c>
      <c r="D161">
        <v>2.46</v>
      </c>
      <c r="E161">
        <f t="shared" ref="E161:E204" si="0">B161*D161</f>
        <v>3.0381</v>
      </c>
      <c r="F161" t="s">
        <v>282</v>
      </c>
      <c r="G161" t="s">
        <v>302</v>
      </c>
      <c r="H161" s="72">
        <v>41953</v>
      </c>
    </row>
    <row r="162" spans="1:8" x14ac:dyDescent="0.2">
      <c r="A162" t="s">
        <v>235</v>
      </c>
      <c r="B162" s="83">
        <v>2</v>
      </c>
      <c r="C162" s="72">
        <v>41966</v>
      </c>
      <c r="D162">
        <v>1.49</v>
      </c>
      <c r="E162">
        <f t="shared" si="0"/>
        <v>2.98</v>
      </c>
      <c r="F162" t="s">
        <v>282</v>
      </c>
      <c r="G162" t="s">
        <v>302</v>
      </c>
      <c r="H162" s="72">
        <v>41953</v>
      </c>
    </row>
    <row r="163" spans="1:8" x14ac:dyDescent="0.2">
      <c r="A163" t="s">
        <v>311</v>
      </c>
      <c r="B163" s="83">
        <v>1.1399999999999999</v>
      </c>
      <c r="C163" s="72">
        <v>41966</v>
      </c>
      <c r="D163">
        <v>1.49</v>
      </c>
      <c r="E163">
        <f t="shared" si="0"/>
        <v>1.6985999999999999</v>
      </c>
      <c r="F163" t="s">
        <v>282</v>
      </c>
      <c r="G163" t="s">
        <v>302</v>
      </c>
      <c r="H163" s="72">
        <v>41953</v>
      </c>
    </row>
    <row r="164" spans="1:8" x14ac:dyDescent="0.2">
      <c r="A164" t="s">
        <v>233</v>
      </c>
      <c r="B164" s="83">
        <v>1.1339999999999999</v>
      </c>
      <c r="C164" s="72">
        <v>41966</v>
      </c>
      <c r="D164">
        <v>3.54</v>
      </c>
      <c r="E164">
        <f t="shared" si="0"/>
        <v>4.0143599999999999</v>
      </c>
      <c r="F164" t="s">
        <v>283</v>
      </c>
      <c r="G164" t="s">
        <v>302</v>
      </c>
      <c r="H164" s="72">
        <v>41953</v>
      </c>
    </row>
    <row r="165" spans="1:8" x14ac:dyDescent="0.2">
      <c r="A165" t="s">
        <v>305</v>
      </c>
      <c r="B165" s="83">
        <v>0.59</v>
      </c>
      <c r="C165" s="72">
        <v>41966</v>
      </c>
      <c r="D165">
        <v>2.99</v>
      </c>
      <c r="E165">
        <f t="shared" si="0"/>
        <v>1.7641</v>
      </c>
      <c r="F165" t="s">
        <v>282</v>
      </c>
      <c r="G165" t="s">
        <v>302</v>
      </c>
      <c r="H165" s="72">
        <v>41953</v>
      </c>
    </row>
    <row r="166" spans="1:8" x14ac:dyDescent="0.2">
      <c r="A166" t="s">
        <v>307</v>
      </c>
      <c r="B166" s="83">
        <v>1.0649999999999999</v>
      </c>
      <c r="C166" s="72">
        <v>41966</v>
      </c>
      <c r="D166">
        <v>4.99</v>
      </c>
      <c r="E166">
        <f t="shared" si="0"/>
        <v>5.3143500000000001</v>
      </c>
      <c r="F166" t="s">
        <v>283</v>
      </c>
      <c r="G166" t="s">
        <v>302</v>
      </c>
      <c r="H166" s="72">
        <v>41953</v>
      </c>
    </row>
    <row r="167" spans="1:8" x14ac:dyDescent="0.2">
      <c r="A167" t="s">
        <v>303</v>
      </c>
      <c r="B167" s="83">
        <v>0.255</v>
      </c>
      <c r="C167" s="72">
        <v>41966</v>
      </c>
      <c r="D167">
        <v>1.49</v>
      </c>
      <c r="E167">
        <f t="shared" si="0"/>
        <v>0.37995000000000001</v>
      </c>
      <c r="F167" t="s">
        <v>283</v>
      </c>
      <c r="G167" t="s">
        <v>302</v>
      </c>
      <c r="H167" s="72">
        <v>41953</v>
      </c>
    </row>
    <row r="168" spans="1:8" x14ac:dyDescent="0.2">
      <c r="A168" t="s">
        <v>310</v>
      </c>
      <c r="B168" s="83">
        <v>0.46500000000000002</v>
      </c>
      <c r="C168" s="72">
        <v>41966</v>
      </c>
      <c r="D168">
        <v>2.69</v>
      </c>
      <c r="E168">
        <f t="shared" si="0"/>
        <v>1.25085</v>
      </c>
      <c r="F168" t="s">
        <v>283</v>
      </c>
      <c r="G168" t="s">
        <v>302</v>
      </c>
      <c r="H168" s="72">
        <v>41953</v>
      </c>
    </row>
    <row r="169" spans="1:8" x14ac:dyDescent="0.2">
      <c r="A169" t="s">
        <v>316</v>
      </c>
      <c r="B169" s="83">
        <v>0.54500000000000004</v>
      </c>
      <c r="C169" s="72">
        <v>41966</v>
      </c>
      <c r="D169">
        <v>1.99</v>
      </c>
      <c r="E169">
        <f t="shared" si="0"/>
        <v>1.0845500000000001</v>
      </c>
      <c r="F169" t="s">
        <v>283</v>
      </c>
      <c r="G169" t="s">
        <v>302</v>
      </c>
      <c r="H169" s="72">
        <v>41953</v>
      </c>
    </row>
    <row r="170" spans="1:8" x14ac:dyDescent="0.2">
      <c r="A170" t="s">
        <v>221</v>
      </c>
      <c r="B170" s="83">
        <v>1</v>
      </c>
      <c r="C170" s="72">
        <v>41966</v>
      </c>
      <c r="D170">
        <v>1.89</v>
      </c>
      <c r="E170">
        <f t="shared" si="0"/>
        <v>1.89</v>
      </c>
      <c r="F170" t="s">
        <v>283</v>
      </c>
      <c r="G170" t="s">
        <v>301</v>
      </c>
      <c r="H170" s="72">
        <v>41953</v>
      </c>
    </row>
    <row r="171" spans="1:8" x14ac:dyDescent="0.2">
      <c r="A171" t="s">
        <v>317</v>
      </c>
      <c r="B171" s="83">
        <v>1</v>
      </c>
      <c r="C171" s="72">
        <v>41966</v>
      </c>
      <c r="D171">
        <v>4</v>
      </c>
      <c r="E171">
        <f t="shared" si="0"/>
        <v>4</v>
      </c>
      <c r="F171" t="s">
        <v>283</v>
      </c>
      <c r="G171" t="s">
        <v>301</v>
      </c>
      <c r="H171" s="72">
        <v>41953</v>
      </c>
    </row>
    <row r="172" spans="1:8" x14ac:dyDescent="0.2">
      <c r="A172" t="s">
        <v>318</v>
      </c>
      <c r="B172" s="83">
        <v>1</v>
      </c>
      <c r="C172" s="72">
        <v>41966</v>
      </c>
      <c r="D172">
        <v>2.29</v>
      </c>
      <c r="E172">
        <f t="shared" si="0"/>
        <v>2.29</v>
      </c>
      <c r="F172" t="s">
        <v>283</v>
      </c>
      <c r="G172" t="s">
        <v>301</v>
      </c>
      <c r="H172" s="72">
        <v>41953</v>
      </c>
    </row>
    <row r="173" spans="1:8" x14ac:dyDescent="0.2">
      <c r="A173" t="s">
        <v>319</v>
      </c>
      <c r="B173" s="83">
        <v>1</v>
      </c>
      <c r="C173" s="72">
        <v>41966</v>
      </c>
      <c r="D173">
        <v>3.99</v>
      </c>
      <c r="E173">
        <f t="shared" si="0"/>
        <v>3.99</v>
      </c>
      <c r="F173" t="s">
        <v>283</v>
      </c>
      <c r="G173" t="s">
        <v>301</v>
      </c>
      <c r="H173" s="72">
        <v>41953</v>
      </c>
    </row>
    <row r="174" spans="1:8" x14ac:dyDescent="0.2">
      <c r="A174" t="s">
        <v>298</v>
      </c>
      <c r="B174" s="83">
        <v>0.29199999999999998</v>
      </c>
      <c r="C174" s="72">
        <v>41966</v>
      </c>
      <c r="D174">
        <v>20.69</v>
      </c>
      <c r="E174">
        <f t="shared" si="0"/>
        <v>6.04148</v>
      </c>
      <c r="F174" t="s">
        <v>676</v>
      </c>
      <c r="G174" t="s">
        <v>302</v>
      </c>
      <c r="H174" s="72">
        <v>41953</v>
      </c>
    </row>
    <row r="175" spans="1:8" x14ac:dyDescent="0.2">
      <c r="A175" t="s">
        <v>299</v>
      </c>
      <c r="B175" s="83">
        <v>0.20799999999999999</v>
      </c>
      <c r="C175" s="72">
        <v>41966</v>
      </c>
      <c r="D175">
        <v>34.4</v>
      </c>
      <c r="E175">
        <f t="shared" si="0"/>
        <v>7.1551999999999998</v>
      </c>
      <c r="F175" t="s">
        <v>676</v>
      </c>
      <c r="G175" t="s">
        <v>302</v>
      </c>
      <c r="H175" s="72">
        <v>41953</v>
      </c>
    </row>
    <row r="176" spans="1:8" x14ac:dyDescent="0.2">
      <c r="A176" t="s">
        <v>320</v>
      </c>
      <c r="B176" s="83">
        <v>1</v>
      </c>
      <c r="C176" s="72">
        <v>41966</v>
      </c>
      <c r="D176">
        <v>6.99</v>
      </c>
      <c r="E176">
        <f t="shared" si="0"/>
        <v>6.99</v>
      </c>
      <c r="F176" t="s">
        <v>470</v>
      </c>
      <c r="G176" t="s">
        <v>301</v>
      </c>
      <c r="H176" s="72">
        <v>41953</v>
      </c>
    </row>
    <row r="177" spans="1:8" x14ac:dyDescent="0.2">
      <c r="A177" t="s">
        <v>297</v>
      </c>
      <c r="B177" s="83">
        <v>1</v>
      </c>
      <c r="C177" s="72">
        <v>41966</v>
      </c>
      <c r="D177">
        <v>4.29</v>
      </c>
      <c r="E177">
        <f t="shared" si="0"/>
        <v>4.29</v>
      </c>
      <c r="F177" t="s">
        <v>676</v>
      </c>
      <c r="G177" t="s">
        <v>301</v>
      </c>
      <c r="H177" s="72">
        <v>41953</v>
      </c>
    </row>
    <row r="178" spans="1:8" x14ac:dyDescent="0.2">
      <c r="A178" t="s">
        <v>357</v>
      </c>
      <c r="B178" s="83">
        <v>12</v>
      </c>
      <c r="C178" s="72">
        <v>41966</v>
      </c>
      <c r="D178">
        <v>1.0900000000000001</v>
      </c>
      <c r="E178">
        <f t="shared" si="0"/>
        <v>13.080000000000002</v>
      </c>
      <c r="F178" t="s">
        <v>470</v>
      </c>
      <c r="G178" t="s">
        <v>301</v>
      </c>
      <c r="H178" s="72">
        <v>41953</v>
      </c>
    </row>
    <row r="179" spans="1:8" x14ac:dyDescent="0.2">
      <c r="A179" t="s">
        <v>288</v>
      </c>
      <c r="B179" s="83">
        <v>1.28</v>
      </c>
      <c r="C179" s="72">
        <v>41966</v>
      </c>
      <c r="D179">
        <v>23.9</v>
      </c>
      <c r="E179">
        <f t="shared" si="0"/>
        <v>30.591999999999999</v>
      </c>
      <c r="F179" t="s">
        <v>611</v>
      </c>
      <c r="G179" t="s">
        <v>302</v>
      </c>
      <c r="H179" s="72">
        <v>41953</v>
      </c>
    </row>
    <row r="180" spans="1:8" x14ac:dyDescent="0.2">
      <c r="A180" t="s">
        <v>321</v>
      </c>
      <c r="B180" s="83">
        <v>0.61799999999999999</v>
      </c>
      <c r="C180" s="72">
        <v>41966</v>
      </c>
      <c r="D180">
        <v>20.99</v>
      </c>
      <c r="E180">
        <f t="shared" si="0"/>
        <v>12.971819999999999</v>
      </c>
      <c r="F180" t="s">
        <v>611</v>
      </c>
      <c r="G180" t="s">
        <v>302</v>
      </c>
      <c r="H180" s="72">
        <v>41953</v>
      </c>
    </row>
    <row r="181" spans="1:8" x14ac:dyDescent="0.2">
      <c r="A181" t="s">
        <v>267</v>
      </c>
      <c r="B181" s="83">
        <v>1</v>
      </c>
      <c r="C181" s="72">
        <v>41966</v>
      </c>
      <c r="D181">
        <v>7.39</v>
      </c>
      <c r="E181">
        <f t="shared" si="0"/>
        <v>7.39</v>
      </c>
      <c r="F181" t="s">
        <v>620</v>
      </c>
      <c r="G181" t="s">
        <v>301</v>
      </c>
      <c r="H181" s="72">
        <v>41953</v>
      </c>
    </row>
    <row r="182" spans="1:8" x14ac:dyDescent="0.2">
      <c r="A182" t="s">
        <v>237</v>
      </c>
      <c r="B182" s="83">
        <v>1</v>
      </c>
      <c r="C182" s="72">
        <v>41966</v>
      </c>
      <c r="D182">
        <v>3.89</v>
      </c>
      <c r="E182">
        <f t="shared" si="0"/>
        <v>3.89</v>
      </c>
      <c r="F182" t="s">
        <v>225</v>
      </c>
      <c r="G182" t="s">
        <v>301</v>
      </c>
      <c r="H182" s="72">
        <v>41953</v>
      </c>
    </row>
    <row r="183" spans="1:8" x14ac:dyDescent="0.2">
      <c r="A183" t="s">
        <v>218</v>
      </c>
      <c r="B183" s="83">
        <v>6</v>
      </c>
      <c r="C183" s="72">
        <v>41966</v>
      </c>
      <c r="D183">
        <v>2.99</v>
      </c>
      <c r="E183">
        <f t="shared" si="0"/>
        <v>17.940000000000001</v>
      </c>
      <c r="F183" t="s">
        <v>218</v>
      </c>
      <c r="G183" t="s">
        <v>301</v>
      </c>
      <c r="H183" s="72">
        <v>41953</v>
      </c>
    </row>
    <row r="184" spans="1:8" x14ac:dyDescent="0.2">
      <c r="A184" t="s">
        <v>223</v>
      </c>
      <c r="B184" s="83">
        <v>1</v>
      </c>
      <c r="C184" s="72">
        <v>41966</v>
      </c>
      <c r="D184">
        <v>15.99</v>
      </c>
      <c r="E184">
        <f t="shared" si="0"/>
        <v>15.99</v>
      </c>
      <c r="F184" t="s">
        <v>225</v>
      </c>
      <c r="G184" t="s">
        <v>301</v>
      </c>
      <c r="H184" s="72">
        <v>41953</v>
      </c>
    </row>
    <row r="185" spans="1:8" x14ac:dyDescent="0.2">
      <c r="A185" t="s">
        <v>612</v>
      </c>
      <c r="B185" s="83">
        <v>1</v>
      </c>
      <c r="C185" s="72">
        <v>41966</v>
      </c>
      <c r="D185">
        <v>1.99</v>
      </c>
      <c r="E185">
        <f t="shared" si="0"/>
        <v>1.99</v>
      </c>
      <c r="F185" t="s">
        <v>467</v>
      </c>
      <c r="G185" t="s">
        <v>301</v>
      </c>
      <c r="H185" s="72">
        <v>41953</v>
      </c>
    </row>
    <row r="186" spans="1:8" x14ac:dyDescent="0.2">
      <c r="A186" t="s">
        <v>322</v>
      </c>
      <c r="B186" s="83">
        <v>1</v>
      </c>
      <c r="C186" s="72">
        <v>41966</v>
      </c>
      <c r="D186">
        <v>2.79</v>
      </c>
      <c r="E186">
        <f t="shared" si="0"/>
        <v>2.79</v>
      </c>
      <c r="F186" t="s">
        <v>270</v>
      </c>
      <c r="G186" t="s">
        <v>301</v>
      </c>
      <c r="H186" s="72">
        <v>41953</v>
      </c>
    </row>
    <row r="187" spans="1:8" x14ac:dyDescent="0.2">
      <c r="A187" t="s">
        <v>614</v>
      </c>
      <c r="B187" s="83">
        <v>1</v>
      </c>
      <c r="C187" s="72">
        <v>41966</v>
      </c>
      <c r="D187">
        <v>3.1</v>
      </c>
      <c r="E187">
        <f t="shared" si="0"/>
        <v>3.1</v>
      </c>
      <c r="F187" t="s">
        <v>467</v>
      </c>
      <c r="G187" t="s">
        <v>301</v>
      </c>
      <c r="H187" s="72">
        <v>41953</v>
      </c>
    </row>
    <row r="188" spans="1:8" x14ac:dyDescent="0.2">
      <c r="A188" t="s">
        <v>323</v>
      </c>
      <c r="B188" s="83">
        <v>1</v>
      </c>
      <c r="C188" s="72">
        <v>41966</v>
      </c>
      <c r="D188">
        <v>13.74</v>
      </c>
      <c r="E188">
        <f t="shared" si="0"/>
        <v>13.74</v>
      </c>
      <c r="F188" t="s">
        <v>325</v>
      </c>
      <c r="G188" t="s">
        <v>301</v>
      </c>
      <c r="H188" s="72">
        <v>41953</v>
      </c>
    </row>
    <row r="189" spans="1:8" x14ac:dyDescent="0.2">
      <c r="A189" t="s">
        <v>353</v>
      </c>
      <c r="B189" s="83">
        <v>1</v>
      </c>
      <c r="C189" s="72">
        <v>41966</v>
      </c>
      <c r="D189">
        <v>6.29</v>
      </c>
      <c r="E189">
        <f t="shared" si="0"/>
        <v>6.29</v>
      </c>
      <c r="F189" t="s">
        <v>622</v>
      </c>
      <c r="G189" t="s">
        <v>301</v>
      </c>
      <c r="H189" s="72">
        <v>41953</v>
      </c>
    </row>
    <row r="190" spans="1:8" x14ac:dyDescent="0.2">
      <c r="A190" t="s">
        <v>353</v>
      </c>
      <c r="B190" s="83">
        <v>1</v>
      </c>
      <c r="C190" s="72">
        <v>41966</v>
      </c>
      <c r="D190">
        <v>2.99</v>
      </c>
      <c r="E190">
        <f t="shared" si="0"/>
        <v>2.99</v>
      </c>
      <c r="F190" t="s">
        <v>622</v>
      </c>
      <c r="G190" t="s">
        <v>301</v>
      </c>
      <c r="H190" s="72">
        <v>41953</v>
      </c>
    </row>
    <row r="191" spans="1:8" x14ac:dyDescent="0.2">
      <c r="A191" t="s">
        <v>247</v>
      </c>
      <c r="B191" s="83">
        <v>2</v>
      </c>
      <c r="C191" s="72">
        <v>41966</v>
      </c>
      <c r="D191">
        <v>2.38</v>
      </c>
      <c r="E191">
        <f t="shared" si="0"/>
        <v>4.76</v>
      </c>
      <c r="F191" t="s">
        <v>285</v>
      </c>
      <c r="G191" t="s">
        <v>301</v>
      </c>
      <c r="H191" s="72">
        <v>41953</v>
      </c>
    </row>
    <row r="192" spans="1:8" x14ac:dyDescent="0.2">
      <c r="A192" t="s">
        <v>324</v>
      </c>
      <c r="B192" s="83">
        <v>1</v>
      </c>
      <c r="C192" s="72">
        <v>41966</v>
      </c>
      <c r="D192">
        <v>0.99</v>
      </c>
      <c r="E192">
        <f t="shared" si="0"/>
        <v>0.99</v>
      </c>
      <c r="F192" t="s">
        <v>285</v>
      </c>
      <c r="G192" t="s">
        <v>301</v>
      </c>
      <c r="H192" s="72">
        <v>41953</v>
      </c>
    </row>
    <row r="193" spans="1:8" x14ac:dyDescent="0.2">
      <c r="A193" t="s">
        <v>274</v>
      </c>
      <c r="B193" s="83">
        <v>1</v>
      </c>
      <c r="C193" s="72">
        <v>41966</v>
      </c>
      <c r="D193">
        <v>3.6</v>
      </c>
      <c r="E193">
        <f t="shared" si="0"/>
        <v>3.6</v>
      </c>
      <c r="F193" t="s">
        <v>285</v>
      </c>
      <c r="G193" t="s">
        <v>301</v>
      </c>
      <c r="H193" s="72">
        <v>41953</v>
      </c>
    </row>
    <row r="194" spans="1:8" x14ac:dyDescent="0.2">
      <c r="A194" t="s">
        <v>251</v>
      </c>
      <c r="B194" s="83">
        <v>1</v>
      </c>
      <c r="C194" s="72">
        <v>41966</v>
      </c>
      <c r="D194">
        <v>3.29</v>
      </c>
      <c r="E194">
        <f t="shared" si="0"/>
        <v>3.29</v>
      </c>
      <c r="F194" t="s">
        <v>290</v>
      </c>
      <c r="G194" t="s">
        <v>301</v>
      </c>
      <c r="H194" s="72">
        <v>41953</v>
      </c>
    </row>
    <row r="195" spans="1:8" x14ac:dyDescent="0.2">
      <c r="A195" t="s">
        <v>272</v>
      </c>
      <c r="B195" s="83">
        <v>1</v>
      </c>
      <c r="C195" s="72">
        <v>41966</v>
      </c>
      <c r="D195">
        <v>4.75</v>
      </c>
      <c r="E195">
        <f t="shared" si="0"/>
        <v>4.75</v>
      </c>
      <c r="F195" t="s">
        <v>617</v>
      </c>
      <c r="G195" t="s">
        <v>301</v>
      </c>
      <c r="H195" s="72">
        <v>41953</v>
      </c>
    </row>
    <row r="196" spans="1:8" x14ac:dyDescent="0.2">
      <c r="A196" t="s">
        <v>351</v>
      </c>
      <c r="B196" s="83">
        <v>1</v>
      </c>
      <c r="C196" s="72">
        <v>41976</v>
      </c>
      <c r="D196">
        <v>2.85</v>
      </c>
      <c r="E196">
        <f t="shared" si="0"/>
        <v>2.85</v>
      </c>
      <c r="F196" t="s">
        <v>73</v>
      </c>
      <c r="G196" t="s">
        <v>301</v>
      </c>
      <c r="H196" s="72">
        <v>41953</v>
      </c>
    </row>
    <row r="197" spans="1:8" x14ac:dyDescent="0.2">
      <c r="A197" t="s">
        <v>352</v>
      </c>
      <c r="B197" s="83">
        <v>0.105</v>
      </c>
      <c r="C197" s="72">
        <v>41976</v>
      </c>
      <c r="D197">
        <v>54.99</v>
      </c>
      <c r="E197">
        <f t="shared" si="0"/>
        <v>5.7739500000000001</v>
      </c>
      <c r="F197" t="s">
        <v>676</v>
      </c>
      <c r="G197" t="s">
        <v>302</v>
      </c>
      <c r="H197" s="72">
        <v>41953</v>
      </c>
    </row>
    <row r="198" spans="1:8" x14ac:dyDescent="0.2">
      <c r="A198" t="s">
        <v>298</v>
      </c>
      <c r="B198" s="83">
        <v>0.25</v>
      </c>
      <c r="C198" s="72">
        <v>41976</v>
      </c>
      <c r="D198">
        <v>28.09</v>
      </c>
      <c r="E198">
        <f t="shared" si="0"/>
        <v>7.0225</v>
      </c>
      <c r="F198" t="s">
        <v>676</v>
      </c>
      <c r="G198" t="s">
        <v>302</v>
      </c>
      <c r="H198" s="72">
        <v>41953</v>
      </c>
    </row>
    <row r="199" spans="1:8" x14ac:dyDescent="0.2">
      <c r="A199" t="s">
        <v>288</v>
      </c>
      <c r="B199" s="83">
        <v>0.33</v>
      </c>
      <c r="C199" s="72">
        <v>41976</v>
      </c>
      <c r="D199">
        <v>30.59</v>
      </c>
      <c r="E199">
        <f t="shared" si="0"/>
        <v>10.0947</v>
      </c>
      <c r="F199" t="s">
        <v>611</v>
      </c>
      <c r="G199" t="s">
        <v>302</v>
      </c>
      <c r="H199" s="72">
        <v>41953</v>
      </c>
    </row>
    <row r="200" spans="1:8" x14ac:dyDescent="0.2">
      <c r="A200" t="s">
        <v>353</v>
      </c>
      <c r="B200" s="83">
        <v>1</v>
      </c>
      <c r="C200" s="72">
        <v>41976</v>
      </c>
      <c r="D200">
        <v>4.49</v>
      </c>
      <c r="E200">
        <f t="shared" si="0"/>
        <v>4.49</v>
      </c>
      <c r="F200" t="s">
        <v>622</v>
      </c>
      <c r="G200" t="s">
        <v>301</v>
      </c>
      <c r="H200" s="72">
        <v>41953</v>
      </c>
    </row>
    <row r="201" spans="1:8" x14ac:dyDescent="0.2">
      <c r="A201" t="s">
        <v>260</v>
      </c>
      <c r="B201" s="83">
        <v>1</v>
      </c>
      <c r="C201" s="72">
        <v>41976</v>
      </c>
      <c r="D201">
        <v>41.99</v>
      </c>
      <c r="E201">
        <f t="shared" si="0"/>
        <v>41.99</v>
      </c>
      <c r="F201" t="s">
        <v>621</v>
      </c>
      <c r="G201" t="s">
        <v>301</v>
      </c>
      <c r="H201" s="72">
        <v>41953</v>
      </c>
    </row>
    <row r="202" spans="1:8" x14ac:dyDescent="0.2">
      <c r="A202" t="s">
        <v>354</v>
      </c>
      <c r="B202" s="83">
        <v>3</v>
      </c>
      <c r="C202" s="72">
        <v>41976</v>
      </c>
      <c r="D202">
        <v>3.49</v>
      </c>
      <c r="E202">
        <f t="shared" si="0"/>
        <v>10.47</v>
      </c>
      <c r="F202" t="s">
        <v>218</v>
      </c>
      <c r="G202" t="s">
        <v>301</v>
      </c>
      <c r="H202" s="72">
        <v>41953</v>
      </c>
    </row>
    <row r="203" spans="1:8" x14ac:dyDescent="0.2">
      <c r="A203" t="s">
        <v>355</v>
      </c>
      <c r="B203" s="83">
        <v>1</v>
      </c>
      <c r="C203" s="72">
        <v>41976</v>
      </c>
      <c r="D203">
        <v>2.85</v>
      </c>
      <c r="E203">
        <f t="shared" si="0"/>
        <v>2.85</v>
      </c>
      <c r="F203" t="s">
        <v>218</v>
      </c>
      <c r="G203" t="s">
        <v>301</v>
      </c>
      <c r="H203" s="72">
        <v>41953</v>
      </c>
    </row>
    <row r="204" spans="1:8" x14ac:dyDescent="0.2">
      <c r="A204" t="s">
        <v>252</v>
      </c>
      <c r="B204" s="83">
        <v>1</v>
      </c>
      <c r="C204" s="72">
        <v>41976</v>
      </c>
      <c r="D204">
        <v>5.49</v>
      </c>
      <c r="E204">
        <f t="shared" si="0"/>
        <v>5.49</v>
      </c>
      <c r="F204" t="s">
        <v>470</v>
      </c>
      <c r="G204" t="s">
        <v>301</v>
      </c>
      <c r="H204" s="72">
        <v>41953</v>
      </c>
    </row>
    <row r="205" spans="1:8" x14ac:dyDescent="0.2">
      <c r="A205" t="s">
        <v>223</v>
      </c>
      <c r="B205" s="83">
        <v>1</v>
      </c>
      <c r="C205" s="72">
        <v>41995</v>
      </c>
      <c r="D205">
        <v>14.99</v>
      </c>
      <c r="E205">
        <f t="shared" ref="E205:E226" si="1">B205*D205</f>
        <v>14.99</v>
      </c>
      <c r="F205" t="s">
        <v>225</v>
      </c>
      <c r="G205" t="s">
        <v>301</v>
      </c>
      <c r="H205" s="72">
        <v>41983</v>
      </c>
    </row>
    <row r="206" spans="1:8" x14ac:dyDescent="0.2">
      <c r="A206" t="s">
        <v>406</v>
      </c>
      <c r="B206" s="83">
        <v>1</v>
      </c>
      <c r="C206" s="72">
        <v>41995</v>
      </c>
      <c r="D206">
        <v>2.98</v>
      </c>
      <c r="E206">
        <f t="shared" si="1"/>
        <v>2.98</v>
      </c>
      <c r="F206" t="s">
        <v>290</v>
      </c>
      <c r="G206" t="s">
        <v>301</v>
      </c>
      <c r="H206" s="72">
        <v>41983</v>
      </c>
    </row>
    <row r="207" spans="1:8" x14ac:dyDescent="0.2">
      <c r="A207" t="s">
        <v>244</v>
      </c>
      <c r="B207" s="83">
        <v>1</v>
      </c>
      <c r="C207" s="72">
        <v>41995</v>
      </c>
      <c r="D207">
        <v>3.98</v>
      </c>
      <c r="E207">
        <f t="shared" si="1"/>
        <v>3.98</v>
      </c>
      <c r="F207" t="s">
        <v>285</v>
      </c>
      <c r="G207" t="s">
        <v>301</v>
      </c>
      <c r="H207" s="72">
        <v>41983</v>
      </c>
    </row>
    <row r="208" spans="1:8" x14ac:dyDescent="0.2">
      <c r="A208" t="s">
        <v>277</v>
      </c>
      <c r="B208" s="83">
        <v>2</v>
      </c>
      <c r="C208" s="72">
        <v>41995</v>
      </c>
      <c r="D208">
        <v>12.5</v>
      </c>
      <c r="E208">
        <f t="shared" si="1"/>
        <v>25</v>
      </c>
      <c r="F208" t="s">
        <v>285</v>
      </c>
      <c r="G208" t="s">
        <v>301</v>
      </c>
      <c r="H208" s="72">
        <v>41983</v>
      </c>
    </row>
    <row r="209" spans="1:8" x14ac:dyDescent="0.2">
      <c r="A209" t="s">
        <v>324</v>
      </c>
      <c r="B209" s="83">
        <v>1</v>
      </c>
      <c r="C209" s="72">
        <v>41995</v>
      </c>
      <c r="D209">
        <v>1.79</v>
      </c>
      <c r="E209">
        <f t="shared" si="1"/>
        <v>1.79</v>
      </c>
      <c r="F209" t="s">
        <v>285</v>
      </c>
      <c r="G209" t="s">
        <v>301</v>
      </c>
      <c r="H209" s="72">
        <v>41983</v>
      </c>
    </row>
    <row r="210" spans="1:8" x14ac:dyDescent="0.2">
      <c r="A210" t="s">
        <v>407</v>
      </c>
      <c r="B210" s="83">
        <v>1</v>
      </c>
      <c r="C210" s="72">
        <v>41995</v>
      </c>
      <c r="D210">
        <v>11.8</v>
      </c>
      <c r="E210">
        <f t="shared" si="1"/>
        <v>11.8</v>
      </c>
      <c r="F210" t="s">
        <v>285</v>
      </c>
      <c r="G210" t="s">
        <v>301</v>
      </c>
      <c r="H210" s="72">
        <v>41983</v>
      </c>
    </row>
    <row r="211" spans="1:8" x14ac:dyDescent="0.2">
      <c r="A211" t="s">
        <v>474</v>
      </c>
      <c r="B211" s="83">
        <v>1</v>
      </c>
      <c r="C211" s="72">
        <v>41995</v>
      </c>
      <c r="D211">
        <v>8.39</v>
      </c>
      <c r="E211">
        <f t="shared" si="1"/>
        <v>8.39</v>
      </c>
      <c r="F211" t="s">
        <v>285</v>
      </c>
      <c r="G211" t="s">
        <v>301</v>
      </c>
      <c r="H211" s="72">
        <v>41983</v>
      </c>
    </row>
    <row r="212" spans="1:8" x14ac:dyDescent="0.2">
      <c r="A212" t="s">
        <v>475</v>
      </c>
      <c r="B212" s="83">
        <v>1</v>
      </c>
      <c r="C212" s="72">
        <v>41995</v>
      </c>
      <c r="D212">
        <v>4.3499999999999996</v>
      </c>
      <c r="E212">
        <f t="shared" si="1"/>
        <v>4.3499999999999996</v>
      </c>
      <c r="F212" t="s">
        <v>285</v>
      </c>
      <c r="G212" t="s">
        <v>301</v>
      </c>
      <c r="H212" s="72">
        <v>41983</v>
      </c>
    </row>
    <row r="213" spans="1:8" x14ac:dyDescent="0.2">
      <c r="A213" t="s">
        <v>408</v>
      </c>
      <c r="B213" s="83">
        <v>1</v>
      </c>
      <c r="C213" s="72">
        <v>41995</v>
      </c>
      <c r="D213">
        <v>2.99</v>
      </c>
      <c r="E213">
        <f t="shared" si="1"/>
        <v>2.99</v>
      </c>
      <c r="F213" t="s">
        <v>285</v>
      </c>
      <c r="G213" t="s">
        <v>301</v>
      </c>
      <c r="H213" s="72">
        <v>41983</v>
      </c>
    </row>
    <row r="214" spans="1:8" x14ac:dyDescent="0.2">
      <c r="A214" t="s">
        <v>246</v>
      </c>
      <c r="B214" s="83">
        <v>1</v>
      </c>
      <c r="C214" s="72">
        <v>41995</v>
      </c>
      <c r="D214">
        <v>14.9</v>
      </c>
      <c r="E214">
        <f t="shared" si="1"/>
        <v>14.9</v>
      </c>
      <c r="F214" t="s">
        <v>285</v>
      </c>
      <c r="G214" t="s">
        <v>301</v>
      </c>
      <c r="H214" s="72">
        <v>41983</v>
      </c>
    </row>
    <row r="215" spans="1:8" x14ac:dyDescent="0.2">
      <c r="A215" t="s">
        <v>279</v>
      </c>
      <c r="B215" s="83">
        <v>1</v>
      </c>
      <c r="C215" s="72">
        <v>41995</v>
      </c>
      <c r="D215">
        <v>4.8899999999999997</v>
      </c>
      <c r="E215">
        <f t="shared" si="1"/>
        <v>4.8899999999999997</v>
      </c>
      <c r="F215" t="s">
        <v>285</v>
      </c>
      <c r="G215" t="s">
        <v>301</v>
      </c>
      <c r="H215" s="72">
        <v>41983</v>
      </c>
    </row>
    <row r="216" spans="1:8" x14ac:dyDescent="0.2">
      <c r="A216" t="s">
        <v>409</v>
      </c>
      <c r="B216" s="83">
        <v>1</v>
      </c>
      <c r="C216" s="72">
        <v>41995</v>
      </c>
      <c r="D216">
        <v>4.3899999999999997</v>
      </c>
      <c r="E216">
        <f t="shared" si="1"/>
        <v>4.3899999999999997</v>
      </c>
      <c r="F216" t="s">
        <v>285</v>
      </c>
      <c r="G216" t="s">
        <v>301</v>
      </c>
      <c r="H216" s="72">
        <v>41983</v>
      </c>
    </row>
    <row r="217" spans="1:8" x14ac:dyDescent="0.2">
      <c r="A217" t="s">
        <v>410</v>
      </c>
      <c r="B217" s="83">
        <v>1</v>
      </c>
      <c r="C217" s="72">
        <v>41995</v>
      </c>
      <c r="D217">
        <v>5.99</v>
      </c>
      <c r="E217">
        <f t="shared" si="1"/>
        <v>5.99</v>
      </c>
      <c r="F217" t="s">
        <v>470</v>
      </c>
      <c r="G217" t="s">
        <v>301</v>
      </c>
      <c r="H217" s="72">
        <v>41983</v>
      </c>
    </row>
    <row r="218" spans="1:8" x14ac:dyDescent="0.2">
      <c r="A218" t="s">
        <v>410</v>
      </c>
      <c r="B218" s="83">
        <v>1</v>
      </c>
      <c r="C218" s="72">
        <v>41995</v>
      </c>
      <c r="D218">
        <v>7.38</v>
      </c>
      <c r="E218">
        <f t="shared" si="1"/>
        <v>7.38</v>
      </c>
      <c r="F218" t="s">
        <v>470</v>
      </c>
      <c r="G218" t="s">
        <v>301</v>
      </c>
      <c r="H218" s="72">
        <v>41983</v>
      </c>
    </row>
    <row r="219" spans="1:8" x14ac:dyDescent="0.2">
      <c r="A219" t="s">
        <v>227</v>
      </c>
      <c r="B219" s="83">
        <v>1</v>
      </c>
      <c r="C219" s="72">
        <v>41995</v>
      </c>
      <c r="D219">
        <v>3.9</v>
      </c>
      <c r="E219">
        <f t="shared" si="1"/>
        <v>3.9</v>
      </c>
      <c r="F219" t="s">
        <v>211</v>
      </c>
      <c r="G219" t="s">
        <v>301</v>
      </c>
      <c r="H219" s="72">
        <v>41983</v>
      </c>
    </row>
    <row r="220" spans="1:8" x14ac:dyDescent="0.2">
      <c r="A220" t="s">
        <v>298</v>
      </c>
      <c r="B220" s="83">
        <v>0.126</v>
      </c>
      <c r="C220" s="72">
        <v>41995</v>
      </c>
      <c r="D220">
        <v>17.8</v>
      </c>
      <c r="E220">
        <f t="shared" si="1"/>
        <v>2.2427999999999999</v>
      </c>
      <c r="F220" t="s">
        <v>676</v>
      </c>
      <c r="G220" t="s">
        <v>302</v>
      </c>
      <c r="H220" s="72">
        <v>41983</v>
      </c>
    </row>
    <row r="221" spans="1:8" x14ac:dyDescent="0.2">
      <c r="A221" t="s">
        <v>411</v>
      </c>
      <c r="B221" s="83">
        <v>0.122</v>
      </c>
      <c r="C221" s="72">
        <v>41995</v>
      </c>
      <c r="D221">
        <v>29.9</v>
      </c>
      <c r="E221">
        <f t="shared" si="1"/>
        <v>3.6477999999999997</v>
      </c>
      <c r="F221" t="s">
        <v>676</v>
      </c>
      <c r="G221" t="s">
        <v>302</v>
      </c>
      <c r="H221" s="72">
        <v>41983</v>
      </c>
    </row>
    <row r="222" spans="1:8" x14ac:dyDescent="0.2">
      <c r="A222" t="s">
        <v>230</v>
      </c>
      <c r="B222" s="83">
        <v>0.17499999999999999</v>
      </c>
      <c r="C222" s="72">
        <v>41995</v>
      </c>
      <c r="D222">
        <v>7.45</v>
      </c>
      <c r="E222">
        <f t="shared" si="1"/>
        <v>1.30375</v>
      </c>
      <c r="F222" t="s">
        <v>622</v>
      </c>
      <c r="G222" t="s">
        <v>302</v>
      </c>
      <c r="H222" s="72">
        <v>41983</v>
      </c>
    </row>
    <row r="223" spans="1:8" x14ac:dyDescent="0.2">
      <c r="A223" t="s">
        <v>478</v>
      </c>
      <c r="B223" s="83">
        <v>1</v>
      </c>
      <c r="C223" s="72">
        <v>41995</v>
      </c>
      <c r="D223">
        <v>4.58</v>
      </c>
      <c r="E223">
        <f t="shared" si="1"/>
        <v>4.58</v>
      </c>
      <c r="F223" t="s">
        <v>704</v>
      </c>
      <c r="G223" t="s">
        <v>301</v>
      </c>
      <c r="H223" s="72">
        <v>41983</v>
      </c>
    </row>
    <row r="224" spans="1:8" x14ac:dyDescent="0.2">
      <c r="A224" t="s">
        <v>416</v>
      </c>
      <c r="B224" s="83">
        <v>0.39</v>
      </c>
      <c r="C224" s="72">
        <v>41997</v>
      </c>
      <c r="D224">
        <v>9.9</v>
      </c>
      <c r="E224">
        <f t="shared" si="1"/>
        <v>3.8610000000000002</v>
      </c>
      <c r="F224" t="s">
        <v>282</v>
      </c>
      <c r="G224" t="s">
        <v>302</v>
      </c>
      <c r="H224" s="72">
        <v>41983</v>
      </c>
    </row>
    <row r="225" spans="1:8" x14ac:dyDescent="0.2">
      <c r="A225" t="s">
        <v>237</v>
      </c>
      <c r="B225" s="83">
        <v>2</v>
      </c>
      <c r="C225" s="72">
        <v>41997</v>
      </c>
      <c r="D225">
        <v>3.49</v>
      </c>
      <c r="E225">
        <f t="shared" si="1"/>
        <v>6.98</v>
      </c>
      <c r="F225" t="s">
        <v>225</v>
      </c>
      <c r="G225" t="s">
        <v>301</v>
      </c>
      <c r="H225" s="72">
        <v>41983</v>
      </c>
    </row>
    <row r="226" spans="1:8" x14ac:dyDescent="0.2">
      <c r="A226" t="s">
        <v>292</v>
      </c>
      <c r="B226" s="83">
        <v>0.47899999999999998</v>
      </c>
      <c r="C226" s="72">
        <v>41997</v>
      </c>
      <c r="D226">
        <v>9.99</v>
      </c>
      <c r="E226">
        <f t="shared" si="1"/>
        <v>4.7852100000000002</v>
      </c>
      <c r="F226" t="s">
        <v>617</v>
      </c>
      <c r="G226" t="s">
        <v>301</v>
      </c>
      <c r="H226" s="72">
        <v>41983</v>
      </c>
    </row>
    <row r="227" spans="1:8" x14ac:dyDescent="0.2">
      <c r="A227" t="s">
        <v>292</v>
      </c>
      <c r="B227" s="83">
        <v>0.48099999999999998</v>
      </c>
      <c r="C227" s="72">
        <v>41997</v>
      </c>
      <c r="D227">
        <v>11.99</v>
      </c>
      <c r="E227">
        <f t="shared" ref="E227:E290" si="2">B227*D227</f>
        <v>5.7671900000000003</v>
      </c>
      <c r="F227" t="s">
        <v>617</v>
      </c>
      <c r="G227" t="s">
        <v>301</v>
      </c>
      <c r="H227" s="72">
        <v>41983</v>
      </c>
    </row>
    <row r="228" spans="1:8" x14ac:dyDescent="0.2">
      <c r="A228" t="s">
        <v>417</v>
      </c>
      <c r="B228" s="83">
        <v>1</v>
      </c>
      <c r="C228" s="72">
        <v>41997</v>
      </c>
      <c r="D228">
        <v>3.79</v>
      </c>
      <c r="E228">
        <f t="shared" si="2"/>
        <v>3.79</v>
      </c>
      <c r="F228" t="s">
        <v>211</v>
      </c>
      <c r="G228" t="s">
        <v>301</v>
      </c>
      <c r="H228" s="72">
        <v>41983</v>
      </c>
    </row>
    <row r="229" spans="1:8" x14ac:dyDescent="0.2">
      <c r="A229" t="s">
        <v>298</v>
      </c>
      <c r="B229" s="83">
        <v>0.30399999999999999</v>
      </c>
      <c r="C229" s="72">
        <v>41997</v>
      </c>
      <c r="D229">
        <v>36.89</v>
      </c>
      <c r="E229">
        <f t="shared" si="2"/>
        <v>11.214560000000001</v>
      </c>
      <c r="F229" t="s">
        <v>676</v>
      </c>
      <c r="G229" t="s">
        <v>302</v>
      </c>
      <c r="H229" s="72">
        <v>41983</v>
      </c>
    </row>
    <row r="230" spans="1:8" x14ac:dyDescent="0.2">
      <c r="A230" t="s">
        <v>418</v>
      </c>
      <c r="B230" s="83">
        <v>9.5000000000000001E-2</v>
      </c>
      <c r="C230" s="72">
        <v>41997</v>
      </c>
      <c r="D230">
        <v>15.05</v>
      </c>
      <c r="E230">
        <f t="shared" si="2"/>
        <v>1.4297500000000001</v>
      </c>
      <c r="F230" t="s">
        <v>676</v>
      </c>
      <c r="G230" t="s">
        <v>301</v>
      </c>
      <c r="H230" s="72">
        <v>41983</v>
      </c>
    </row>
    <row r="231" spans="1:8" x14ac:dyDescent="0.2">
      <c r="A231" t="s">
        <v>419</v>
      </c>
      <c r="B231" s="83">
        <v>2</v>
      </c>
      <c r="C231" s="72">
        <v>41997</v>
      </c>
      <c r="D231">
        <v>1.19</v>
      </c>
      <c r="E231">
        <f t="shared" si="2"/>
        <v>2.38</v>
      </c>
      <c r="F231" t="s">
        <v>225</v>
      </c>
      <c r="G231" t="s">
        <v>301</v>
      </c>
      <c r="H231" s="72">
        <v>41983</v>
      </c>
    </row>
    <row r="232" spans="1:8" x14ac:dyDescent="0.2">
      <c r="A232" t="s">
        <v>420</v>
      </c>
      <c r="B232" s="83">
        <v>1</v>
      </c>
      <c r="C232" s="72">
        <v>41997</v>
      </c>
      <c r="D232">
        <v>4.29</v>
      </c>
      <c r="E232">
        <f t="shared" si="2"/>
        <v>4.29</v>
      </c>
      <c r="F232" t="s">
        <v>73</v>
      </c>
      <c r="G232" t="s">
        <v>301</v>
      </c>
      <c r="H232" s="72">
        <v>41983</v>
      </c>
    </row>
    <row r="233" spans="1:8" x14ac:dyDescent="0.2">
      <c r="A233" t="s">
        <v>421</v>
      </c>
      <c r="B233" s="83">
        <v>1</v>
      </c>
      <c r="C233" s="72">
        <v>41997</v>
      </c>
      <c r="D233">
        <v>3.99</v>
      </c>
      <c r="E233">
        <f t="shared" si="2"/>
        <v>3.99</v>
      </c>
      <c r="F233" t="s">
        <v>470</v>
      </c>
      <c r="G233" t="s">
        <v>301</v>
      </c>
      <c r="H233" s="72">
        <v>41983</v>
      </c>
    </row>
    <row r="234" spans="1:8" x14ac:dyDescent="0.2">
      <c r="A234" t="s">
        <v>422</v>
      </c>
      <c r="B234" s="83">
        <v>1</v>
      </c>
      <c r="C234" s="72">
        <v>41997</v>
      </c>
      <c r="D234">
        <v>21.69</v>
      </c>
      <c r="E234">
        <f t="shared" si="2"/>
        <v>21.69</v>
      </c>
      <c r="F234" t="s">
        <v>325</v>
      </c>
      <c r="G234" t="s">
        <v>301</v>
      </c>
      <c r="H234" s="72">
        <v>41983</v>
      </c>
    </row>
    <row r="235" spans="1:8" x14ac:dyDescent="0.2">
      <c r="A235" t="s">
        <v>451</v>
      </c>
      <c r="B235" s="83">
        <v>1</v>
      </c>
      <c r="C235" s="72">
        <v>41997</v>
      </c>
      <c r="D235">
        <v>11.9</v>
      </c>
      <c r="E235">
        <f t="shared" si="2"/>
        <v>11.9</v>
      </c>
      <c r="F235" t="s">
        <v>325</v>
      </c>
      <c r="G235" t="s">
        <v>301</v>
      </c>
      <c r="H235" s="72">
        <v>41983</v>
      </c>
    </row>
    <row r="236" spans="1:8" x14ac:dyDescent="0.2">
      <c r="A236" t="s">
        <v>428</v>
      </c>
      <c r="B236" s="83">
        <v>1</v>
      </c>
      <c r="C236" s="72">
        <v>41997</v>
      </c>
      <c r="D236">
        <v>44.9</v>
      </c>
      <c r="E236">
        <f t="shared" si="2"/>
        <v>44.9</v>
      </c>
      <c r="F236" t="s">
        <v>344</v>
      </c>
      <c r="G236" t="s">
        <v>301</v>
      </c>
      <c r="H236" s="72">
        <v>41983</v>
      </c>
    </row>
    <row r="237" spans="1:8" x14ac:dyDescent="0.2">
      <c r="A237" t="s">
        <v>424</v>
      </c>
      <c r="B237" s="83">
        <v>2</v>
      </c>
      <c r="C237" s="72">
        <v>41997</v>
      </c>
      <c r="D237">
        <v>1.25</v>
      </c>
      <c r="E237">
        <f t="shared" si="2"/>
        <v>2.5</v>
      </c>
      <c r="F237" t="s">
        <v>73</v>
      </c>
      <c r="G237" t="s">
        <v>301</v>
      </c>
      <c r="H237" s="72">
        <v>41983</v>
      </c>
    </row>
    <row r="238" spans="1:8" x14ac:dyDescent="0.2">
      <c r="A238" t="s">
        <v>479</v>
      </c>
      <c r="B238" s="83">
        <v>2</v>
      </c>
      <c r="C238" s="72">
        <v>41997</v>
      </c>
      <c r="D238">
        <v>1.19</v>
      </c>
      <c r="E238">
        <f t="shared" si="2"/>
        <v>2.38</v>
      </c>
      <c r="F238" t="s">
        <v>470</v>
      </c>
      <c r="G238" t="s">
        <v>301</v>
      </c>
      <c r="H238" s="72">
        <v>41983</v>
      </c>
    </row>
    <row r="239" spans="1:8" x14ac:dyDescent="0.2">
      <c r="A239" t="s">
        <v>425</v>
      </c>
      <c r="B239" s="83">
        <v>1</v>
      </c>
      <c r="C239" s="72">
        <v>41997</v>
      </c>
      <c r="D239">
        <v>5.55</v>
      </c>
      <c r="E239">
        <f t="shared" si="2"/>
        <v>5.55</v>
      </c>
      <c r="F239" t="s">
        <v>211</v>
      </c>
      <c r="G239" t="s">
        <v>301</v>
      </c>
      <c r="H239" s="72">
        <v>41983</v>
      </c>
    </row>
    <row r="240" spans="1:8" x14ac:dyDescent="0.2">
      <c r="A240" t="s">
        <v>252</v>
      </c>
      <c r="B240" s="83">
        <v>1</v>
      </c>
      <c r="C240" s="72">
        <v>41997</v>
      </c>
      <c r="D240">
        <v>7.99</v>
      </c>
      <c r="E240">
        <f t="shared" si="2"/>
        <v>7.99</v>
      </c>
      <c r="F240" t="s">
        <v>470</v>
      </c>
      <c r="G240" t="s">
        <v>301</v>
      </c>
      <c r="H240" s="72">
        <v>41983</v>
      </c>
    </row>
    <row r="241" spans="1:8" x14ac:dyDescent="0.2">
      <c r="A241" t="s">
        <v>426</v>
      </c>
      <c r="B241" s="83">
        <v>1</v>
      </c>
      <c r="C241" s="72">
        <v>41997</v>
      </c>
      <c r="D241">
        <v>2.4500000000000002</v>
      </c>
      <c r="E241">
        <f t="shared" si="2"/>
        <v>2.4500000000000002</v>
      </c>
      <c r="F241" t="s">
        <v>211</v>
      </c>
      <c r="G241" t="s">
        <v>301</v>
      </c>
      <c r="H241" s="72">
        <v>41983</v>
      </c>
    </row>
    <row r="242" spans="1:8" x14ac:dyDescent="0.2">
      <c r="A242" t="s">
        <v>310</v>
      </c>
      <c r="B242" s="83">
        <v>0.68</v>
      </c>
      <c r="C242" s="72">
        <v>41997</v>
      </c>
      <c r="D242">
        <v>1.59</v>
      </c>
      <c r="E242">
        <f t="shared" si="2"/>
        <v>1.0812000000000002</v>
      </c>
      <c r="F242" t="s">
        <v>283</v>
      </c>
      <c r="G242" t="s">
        <v>302</v>
      </c>
      <c r="H242" s="72">
        <v>41983</v>
      </c>
    </row>
    <row r="243" spans="1:8" x14ac:dyDescent="0.2">
      <c r="A243" t="s">
        <v>305</v>
      </c>
      <c r="B243" s="83">
        <v>0.76500000000000001</v>
      </c>
      <c r="C243" s="72">
        <v>41997</v>
      </c>
      <c r="D243">
        <v>3.98</v>
      </c>
      <c r="E243">
        <f t="shared" si="2"/>
        <v>3.0447000000000002</v>
      </c>
      <c r="F243" t="s">
        <v>282</v>
      </c>
      <c r="G243" t="s">
        <v>302</v>
      </c>
      <c r="H243" s="72">
        <v>41983</v>
      </c>
    </row>
    <row r="244" spans="1:8" x14ac:dyDescent="0.2">
      <c r="A244" t="s">
        <v>316</v>
      </c>
      <c r="B244" s="83">
        <v>0.59499999999999997</v>
      </c>
      <c r="C244" s="72">
        <v>41997</v>
      </c>
      <c r="D244">
        <v>1.99</v>
      </c>
      <c r="E244">
        <f t="shared" si="2"/>
        <v>1.18405</v>
      </c>
      <c r="F244" t="s">
        <v>283</v>
      </c>
      <c r="G244" t="s">
        <v>302</v>
      </c>
      <c r="H244" s="72">
        <v>41983</v>
      </c>
    </row>
    <row r="245" spans="1:8" x14ac:dyDescent="0.2">
      <c r="A245" t="s">
        <v>303</v>
      </c>
      <c r="B245" s="83">
        <v>0.53</v>
      </c>
      <c r="C245" s="72">
        <v>41997</v>
      </c>
      <c r="D245">
        <v>1.99</v>
      </c>
      <c r="E245">
        <f t="shared" si="2"/>
        <v>1.0547</v>
      </c>
      <c r="F245" t="s">
        <v>283</v>
      </c>
      <c r="G245" t="s">
        <v>302</v>
      </c>
      <c r="H245" s="72">
        <v>41983</v>
      </c>
    </row>
    <row r="246" spans="1:8" x14ac:dyDescent="0.2">
      <c r="A246" t="s">
        <v>303</v>
      </c>
      <c r="B246" s="83">
        <v>0.35499999999999998</v>
      </c>
      <c r="C246" s="72">
        <v>41997</v>
      </c>
      <c r="D246">
        <v>7.98</v>
      </c>
      <c r="E246">
        <f t="shared" si="2"/>
        <v>2.8329</v>
      </c>
      <c r="F246" t="s">
        <v>283</v>
      </c>
      <c r="G246" t="s">
        <v>302</v>
      </c>
      <c r="H246" s="72">
        <v>41983</v>
      </c>
    </row>
    <row r="247" spans="1:8" x14ac:dyDescent="0.2">
      <c r="A247" t="s">
        <v>427</v>
      </c>
      <c r="B247" s="83">
        <v>1</v>
      </c>
      <c r="C247" s="72">
        <v>41997</v>
      </c>
      <c r="D247">
        <v>26.99</v>
      </c>
      <c r="E247">
        <f t="shared" si="2"/>
        <v>26.99</v>
      </c>
      <c r="F247" t="s">
        <v>270</v>
      </c>
      <c r="G247" t="s">
        <v>301</v>
      </c>
      <c r="H247" s="72">
        <v>41983</v>
      </c>
    </row>
    <row r="248" spans="1:8" x14ac:dyDescent="0.2">
      <c r="A248" t="s">
        <v>182</v>
      </c>
      <c r="B248" s="83">
        <v>2</v>
      </c>
      <c r="C248" s="72">
        <v>41997</v>
      </c>
      <c r="D248">
        <v>18.489999999999998</v>
      </c>
      <c r="E248">
        <f t="shared" si="2"/>
        <v>36.979999999999997</v>
      </c>
      <c r="F248" t="s">
        <v>224</v>
      </c>
      <c r="G248" t="s">
        <v>301</v>
      </c>
      <c r="H248" s="72">
        <v>41983</v>
      </c>
    </row>
    <row r="249" spans="1:8" x14ac:dyDescent="0.2">
      <c r="A249" t="s">
        <v>424</v>
      </c>
      <c r="B249" s="83">
        <v>2</v>
      </c>
      <c r="C249" s="72">
        <v>42000</v>
      </c>
      <c r="D249">
        <v>0.75</v>
      </c>
      <c r="E249">
        <f t="shared" si="2"/>
        <v>1.5</v>
      </c>
      <c r="F249" t="s">
        <v>73</v>
      </c>
      <c r="G249" t="s">
        <v>301</v>
      </c>
      <c r="H249" s="72">
        <v>41983</v>
      </c>
    </row>
    <row r="250" spans="1:8" x14ac:dyDescent="0.2">
      <c r="A250" t="s">
        <v>429</v>
      </c>
      <c r="B250" s="83">
        <v>1</v>
      </c>
      <c r="C250" s="72">
        <v>42000</v>
      </c>
      <c r="D250">
        <v>1.39</v>
      </c>
      <c r="E250">
        <f t="shared" si="2"/>
        <v>1.39</v>
      </c>
      <c r="F250" t="s">
        <v>620</v>
      </c>
      <c r="G250" t="s">
        <v>301</v>
      </c>
      <c r="H250" s="72">
        <v>41983</v>
      </c>
    </row>
    <row r="251" spans="1:8" x14ac:dyDescent="0.2">
      <c r="A251" t="s">
        <v>353</v>
      </c>
      <c r="B251" s="83">
        <v>1</v>
      </c>
      <c r="C251" s="72">
        <v>42000</v>
      </c>
      <c r="D251">
        <v>3.99</v>
      </c>
      <c r="E251">
        <f t="shared" si="2"/>
        <v>3.99</v>
      </c>
      <c r="F251" t="s">
        <v>622</v>
      </c>
      <c r="G251" t="s">
        <v>301</v>
      </c>
      <c r="H251" s="72">
        <v>41983</v>
      </c>
    </row>
    <row r="252" spans="1:8" x14ac:dyDescent="0.2">
      <c r="A252" t="s">
        <v>612</v>
      </c>
      <c r="B252" s="83">
        <v>1</v>
      </c>
      <c r="C252" s="72">
        <v>42000</v>
      </c>
      <c r="D252">
        <v>1.99</v>
      </c>
      <c r="E252">
        <f t="shared" si="2"/>
        <v>1.99</v>
      </c>
      <c r="F252" t="s">
        <v>467</v>
      </c>
      <c r="G252" t="s">
        <v>301</v>
      </c>
      <c r="H252" s="72">
        <v>41983</v>
      </c>
    </row>
    <row r="253" spans="1:8" x14ac:dyDescent="0.2">
      <c r="A253" t="s">
        <v>430</v>
      </c>
      <c r="B253" s="83">
        <v>1</v>
      </c>
      <c r="C253" s="72">
        <v>42000</v>
      </c>
      <c r="D253">
        <v>1.55</v>
      </c>
      <c r="E253">
        <f t="shared" si="2"/>
        <v>1.55</v>
      </c>
      <c r="F253" t="s">
        <v>467</v>
      </c>
      <c r="G253" t="s">
        <v>301</v>
      </c>
      <c r="H253" s="72">
        <v>41983</v>
      </c>
    </row>
    <row r="254" spans="1:8" x14ac:dyDescent="0.2">
      <c r="A254" t="s">
        <v>430</v>
      </c>
      <c r="B254" s="83">
        <v>1</v>
      </c>
      <c r="C254" s="72">
        <v>42000</v>
      </c>
      <c r="D254">
        <v>3.75</v>
      </c>
      <c r="E254">
        <f t="shared" si="2"/>
        <v>3.75</v>
      </c>
      <c r="F254" t="s">
        <v>467</v>
      </c>
      <c r="G254" t="s">
        <v>301</v>
      </c>
      <c r="H254" s="72">
        <v>41983</v>
      </c>
    </row>
    <row r="255" spans="1:8" x14ac:dyDescent="0.2">
      <c r="A255" t="s">
        <v>431</v>
      </c>
      <c r="B255" s="83">
        <v>2</v>
      </c>
      <c r="C255" s="72">
        <v>42000</v>
      </c>
      <c r="D255">
        <v>2.95</v>
      </c>
      <c r="E255">
        <f t="shared" si="2"/>
        <v>5.9</v>
      </c>
      <c r="F255" t="s">
        <v>467</v>
      </c>
      <c r="G255" t="s">
        <v>301</v>
      </c>
      <c r="H255" s="72">
        <v>41983</v>
      </c>
    </row>
    <row r="256" spans="1:8" x14ac:dyDescent="0.2">
      <c r="A256" t="s">
        <v>432</v>
      </c>
      <c r="B256" s="83">
        <v>1</v>
      </c>
      <c r="C256" s="72">
        <v>42000</v>
      </c>
      <c r="D256">
        <v>3.29</v>
      </c>
      <c r="E256">
        <f t="shared" si="2"/>
        <v>3.29</v>
      </c>
      <c r="F256" t="s">
        <v>73</v>
      </c>
      <c r="G256" t="s">
        <v>301</v>
      </c>
      <c r="H256" s="72">
        <v>41983</v>
      </c>
    </row>
    <row r="257" spans="1:8" x14ac:dyDescent="0.2">
      <c r="A257" t="s">
        <v>260</v>
      </c>
      <c r="B257" s="83">
        <v>1</v>
      </c>
      <c r="C257" s="72">
        <v>42000</v>
      </c>
      <c r="D257">
        <v>19.989999999999998</v>
      </c>
      <c r="E257">
        <f t="shared" si="2"/>
        <v>19.989999999999998</v>
      </c>
      <c r="F257" t="s">
        <v>621</v>
      </c>
      <c r="G257" t="s">
        <v>301</v>
      </c>
      <c r="H257" s="72">
        <v>41983</v>
      </c>
    </row>
    <row r="258" spans="1:8" x14ac:dyDescent="0.2">
      <c r="A258" t="s">
        <v>448</v>
      </c>
      <c r="B258" s="83">
        <v>1</v>
      </c>
      <c r="C258" s="72">
        <v>42000</v>
      </c>
      <c r="D258">
        <v>3.49</v>
      </c>
      <c r="E258">
        <f t="shared" si="2"/>
        <v>3.49</v>
      </c>
      <c r="F258" t="s">
        <v>225</v>
      </c>
      <c r="G258" t="s">
        <v>301</v>
      </c>
      <c r="H258" s="72">
        <v>41983</v>
      </c>
    </row>
    <row r="259" spans="1:8" x14ac:dyDescent="0.2">
      <c r="A259" t="s">
        <v>280</v>
      </c>
      <c r="B259" s="83">
        <v>1</v>
      </c>
      <c r="C259" s="72">
        <v>42000</v>
      </c>
      <c r="D259">
        <v>11.29</v>
      </c>
      <c r="E259">
        <f t="shared" si="2"/>
        <v>11.29</v>
      </c>
      <c r="F259" t="s">
        <v>225</v>
      </c>
      <c r="G259" t="s">
        <v>301</v>
      </c>
      <c r="H259" s="72">
        <v>41983</v>
      </c>
    </row>
    <row r="260" spans="1:8" x14ac:dyDescent="0.2">
      <c r="A260" t="s">
        <v>237</v>
      </c>
      <c r="B260" s="83">
        <v>2</v>
      </c>
      <c r="C260" s="72">
        <v>42000</v>
      </c>
      <c r="D260">
        <v>2.99</v>
      </c>
      <c r="E260">
        <f t="shared" si="2"/>
        <v>5.98</v>
      </c>
      <c r="F260" t="s">
        <v>225</v>
      </c>
      <c r="G260" t="s">
        <v>301</v>
      </c>
      <c r="H260" s="72">
        <v>41983</v>
      </c>
    </row>
    <row r="261" spans="1:8" x14ac:dyDescent="0.2">
      <c r="A261" t="s">
        <v>433</v>
      </c>
      <c r="B261" s="83">
        <v>6</v>
      </c>
      <c r="C261" s="72">
        <v>42000</v>
      </c>
      <c r="D261">
        <v>3.15</v>
      </c>
      <c r="E261">
        <f t="shared" si="2"/>
        <v>18.899999999999999</v>
      </c>
      <c r="F261" t="s">
        <v>218</v>
      </c>
      <c r="G261" t="s">
        <v>301</v>
      </c>
      <c r="H261" s="72">
        <v>41983</v>
      </c>
    </row>
    <row r="262" spans="1:8" x14ac:dyDescent="0.2">
      <c r="A262" t="s">
        <v>427</v>
      </c>
      <c r="B262" s="83">
        <v>1</v>
      </c>
      <c r="C262" s="72">
        <v>42000</v>
      </c>
      <c r="D262">
        <v>26.99</v>
      </c>
      <c r="E262">
        <f t="shared" si="2"/>
        <v>26.99</v>
      </c>
      <c r="F262" t="s">
        <v>270</v>
      </c>
      <c r="G262" t="s">
        <v>301</v>
      </c>
      <c r="H262" s="72">
        <v>41983</v>
      </c>
    </row>
    <row r="263" spans="1:8" x14ac:dyDescent="0.2">
      <c r="A263" t="s">
        <v>419</v>
      </c>
      <c r="B263" s="83">
        <v>5</v>
      </c>
      <c r="C263" s="72">
        <v>42000</v>
      </c>
      <c r="D263">
        <v>1.19</v>
      </c>
      <c r="E263">
        <f t="shared" si="2"/>
        <v>5.9499999999999993</v>
      </c>
      <c r="F263" t="s">
        <v>225</v>
      </c>
      <c r="G263" t="s">
        <v>301</v>
      </c>
      <c r="H263" s="72">
        <v>41983</v>
      </c>
    </row>
    <row r="264" spans="1:8" x14ac:dyDescent="0.2">
      <c r="A264" t="s">
        <v>420</v>
      </c>
      <c r="B264" s="83">
        <v>1</v>
      </c>
      <c r="C264" s="72">
        <v>42000</v>
      </c>
      <c r="D264">
        <v>4.29</v>
      </c>
      <c r="E264">
        <f t="shared" si="2"/>
        <v>4.29</v>
      </c>
      <c r="F264" t="s">
        <v>73</v>
      </c>
      <c r="G264" t="s">
        <v>301</v>
      </c>
      <c r="H264" s="72">
        <v>41983</v>
      </c>
    </row>
    <row r="265" spans="1:8" x14ac:dyDescent="0.2">
      <c r="A265" t="s">
        <v>434</v>
      </c>
      <c r="B265" s="83">
        <v>6</v>
      </c>
      <c r="C265" s="72">
        <v>42000</v>
      </c>
      <c r="D265">
        <v>2.09</v>
      </c>
      <c r="E265">
        <f t="shared" si="2"/>
        <v>12.54</v>
      </c>
      <c r="F265" t="s">
        <v>225</v>
      </c>
      <c r="G265" t="s">
        <v>301</v>
      </c>
      <c r="H265" s="72">
        <v>41983</v>
      </c>
    </row>
    <row r="266" spans="1:8" x14ac:dyDescent="0.2">
      <c r="A266" t="s">
        <v>446</v>
      </c>
      <c r="B266" s="83">
        <v>1</v>
      </c>
      <c r="C266" s="72">
        <v>42000</v>
      </c>
      <c r="D266">
        <v>14.29</v>
      </c>
      <c r="E266">
        <f t="shared" si="2"/>
        <v>14.29</v>
      </c>
      <c r="F266" t="s">
        <v>73</v>
      </c>
      <c r="G266" t="s">
        <v>301</v>
      </c>
      <c r="H266" s="72">
        <v>41983</v>
      </c>
    </row>
    <row r="267" spans="1:8" x14ac:dyDescent="0.2">
      <c r="A267" t="s">
        <v>435</v>
      </c>
      <c r="B267" s="83">
        <v>1</v>
      </c>
      <c r="C267" s="72">
        <v>42000</v>
      </c>
      <c r="D267">
        <v>12.9</v>
      </c>
      <c r="E267">
        <f t="shared" si="2"/>
        <v>12.9</v>
      </c>
      <c r="F267" t="s">
        <v>73</v>
      </c>
      <c r="G267" t="s">
        <v>301</v>
      </c>
      <c r="H267" s="72">
        <v>41983</v>
      </c>
    </row>
    <row r="268" spans="1:8" x14ac:dyDescent="0.2">
      <c r="A268" t="s">
        <v>449</v>
      </c>
      <c r="B268" s="83">
        <v>1</v>
      </c>
      <c r="C268" s="72">
        <v>42000</v>
      </c>
      <c r="D268">
        <v>1.39</v>
      </c>
      <c r="E268">
        <f t="shared" si="2"/>
        <v>1.39</v>
      </c>
      <c r="F268" t="s">
        <v>225</v>
      </c>
      <c r="G268" t="s">
        <v>301</v>
      </c>
      <c r="H268" s="72">
        <v>41983</v>
      </c>
    </row>
    <row r="269" spans="1:8" x14ac:dyDescent="0.2">
      <c r="A269" t="s">
        <v>436</v>
      </c>
      <c r="B269" s="83">
        <v>1</v>
      </c>
      <c r="C269" s="72">
        <v>42000</v>
      </c>
      <c r="D269">
        <v>6.99</v>
      </c>
      <c r="E269">
        <f t="shared" si="2"/>
        <v>6.99</v>
      </c>
      <c r="F269" t="s">
        <v>616</v>
      </c>
      <c r="G269" t="s">
        <v>301</v>
      </c>
      <c r="H269" s="72">
        <v>41983</v>
      </c>
    </row>
    <row r="270" spans="1:8" x14ac:dyDescent="0.2">
      <c r="A270" t="s">
        <v>437</v>
      </c>
      <c r="B270" s="83">
        <v>1</v>
      </c>
      <c r="C270" s="72">
        <v>42000</v>
      </c>
      <c r="D270">
        <v>4.49</v>
      </c>
      <c r="E270">
        <f t="shared" si="2"/>
        <v>4.49</v>
      </c>
      <c r="F270" t="s">
        <v>211</v>
      </c>
      <c r="G270" t="s">
        <v>301</v>
      </c>
      <c r="H270" s="72">
        <v>41983</v>
      </c>
    </row>
    <row r="271" spans="1:8" x14ac:dyDescent="0.2">
      <c r="A271" t="s">
        <v>292</v>
      </c>
      <c r="B271" s="83">
        <v>0.14399999999999999</v>
      </c>
      <c r="C271" s="72">
        <v>42000</v>
      </c>
      <c r="D271">
        <v>29.79</v>
      </c>
      <c r="E271">
        <f t="shared" si="2"/>
        <v>4.2897599999999994</v>
      </c>
      <c r="F271" t="s">
        <v>617</v>
      </c>
      <c r="G271" t="s">
        <v>302</v>
      </c>
      <c r="H271" s="72">
        <v>41983</v>
      </c>
    </row>
    <row r="272" spans="1:8" x14ac:dyDescent="0.2">
      <c r="A272" t="s">
        <v>418</v>
      </c>
      <c r="B272" s="83">
        <v>0.158</v>
      </c>
      <c r="C272" s="72">
        <v>42000</v>
      </c>
      <c r="D272">
        <v>26.9</v>
      </c>
      <c r="E272">
        <f t="shared" si="2"/>
        <v>4.2501999999999995</v>
      </c>
      <c r="F272" t="s">
        <v>676</v>
      </c>
      <c r="G272" t="s">
        <v>302</v>
      </c>
      <c r="H272" s="72">
        <v>41983</v>
      </c>
    </row>
    <row r="273" spans="1:8" x14ac:dyDescent="0.2">
      <c r="A273" t="s">
        <v>298</v>
      </c>
      <c r="B273" s="83">
        <v>0.19</v>
      </c>
      <c r="C273" s="72">
        <v>42000</v>
      </c>
      <c r="D273">
        <v>24.9</v>
      </c>
      <c r="E273">
        <f t="shared" si="2"/>
        <v>4.7309999999999999</v>
      </c>
      <c r="F273" t="s">
        <v>676</v>
      </c>
      <c r="G273" t="s">
        <v>302</v>
      </c>
      <c r="H273" s="72">
        <v>41983</v>
      </c>
    </row>
    <row r="274" spans="1:8" x14ac:dyDescent="0.2">
      <c r="A274" t="s">
        <v>298</v>
      </c>
      <c r="B274" s="83">
        <v>0.223</v>
      </c>
      <c r="C274" s="72">
        <v>42000</v>
      </c>
      <c r="D274">
        <v>24.9</v>
      </c>
      <c r="E274">
        <f t="shared" si="2"/>
        <v>5.5526999999999997</v>
      </c>
      <c r="F274" t="s">
        <v>676</v>
      </c>
      <c r="G274" t="s">
        <v>302</v>
      </c>
      <c r="H274" s="72">
        <v>41983</v>
      </c>
    </row>
    <row r="275" spans="1:8" x14ac:dyDescent="0.2">
      <c r="A275" t="s">
        <v>230</v>
      </c>
      <c r="B275" s="83">
        <v>0.17499999999999999</v>
      </c>
      <c r="C275" s="72">
        <v>42000</v>
      </c>
      <c r="D275">
        <v>7.45</v>
      </c>
      <c r="E275">
        <f t="shared" si="2"/>
        <v>1.30375</v>
      </c>
      <c r="F275" t="s">
        <v>622</v>
      </c>
      <c r="G275" t="s">
        <v>302</v>
      </c>
      <c r="H275" s="72">
        <v>41983</v>
      </c>
    </row>
    <row r="276" spans="1:8" x14ac:dyDescent="0.2">
      <c r="A276" t="s">
        <v>438</v>
      </c>
      <c r="B276" s="83">
        <v>2</v>
      </c>
      <c r="C276" s="72">
        <v>42000</v>
      </c>
      <c r="D276">
        <v>5.49</v>
      </c>
      <c r="E276">
        <f t="shared" si="2"/>
        <v>10.98</v>
      </c>
      <c r="F276" t="s">
        <v>450</v>
      </c>
      <c r="G276" t="s">
        <v>301</v>
      </c>
      <c r="H276" s="72">
        <v>41983</v>
      </c>
    </row>
    <row r="277" spans="1:8" x14ac:dyDescent="0.2">
      <c r="A277" t="s">
        <v>357</v>
      </c>
      <c r="B277" s="83">
        <v>9</v>
      </c>
      <c r="C277" s="72">
        <v>42000</v>
      </c>
      <c r="D277">
        <v>1.29</v>
      </c>
      <c r="E277">
        <f t="shared" si="2"/>
        <v>11.61</v>
      </c>
      <c r="F277" t="s">
        <v>470</v>
      </c>
      <c r="G277" t="s">
        <v>301</v>
      </c>
      <c r="H277" s="72">
        <v>41983</v>
      </c>
    </row>
    <row r="278" spans="1:8" x14ac:dyDescent="0.2">
      <c r="A278" t="s">
        <v>421</v>
      </c>
      <c r="B278" s="83">
        <v>1</v>
      </c>
      <c r="C278" s="72">
        <v>42000</v>
      </c>
      <c r="D278">
        <v>2.29</v>
      </c>
      <c r="E278">
        <f t="shared" si="2"/>
        <v>2.29</v>
      </c>
      <c r="F278" t="s">
        <v>470</v>
      </c>
      <c r="G278" t="s">
        <v>301</v>
      </c>
      <c r="H278" s="72">
        <v>41983</v>
      </c>
    </row>
    <row r="279" spans="1:8" x14ac:dyDescent="0.2">
      <c r="A279" t="s">
        <v>439</v>
      </c>
      <c r="B279" s="83">
        <v>2</v>
      </c>
      <c r="C279" s="72">
        <v>42000</v>
      </c>
      <c r="D279">
        <v>1.0900000000000001</v>
      </c>
      <c r="E279">
        <f t="shared" si="2"/>
        <v>2.1800000000000002</v>
      </c>
      <c r="F279" t="s">
        <v>470</v>
      </c>
      <c r="G279" t="s">
        <v>301</v>
      </c>
      <c r="H279" s="72">
        <v>41983</v>
      </c>
    </row>
    <row r="280" spans="1:8" x14ac:dyDescent="0.2">
      <c r="A280" t="s">
        <v>314</v>
      </c>
      <c r="B280" s="83">
        <v>0.23</v>
      </c>
      <c r="C280" s="72">
        <v>42000</v>
      </c>
      <c r="D280">
        <v>3.55</v>
      </c>
      <c r="E280">
        <f t="shared" si="2"/>
        <v>0.8165</v>
      </c>
      <c r="F280" t="s">
        <v>282</v>
      </c>
      <c r="G280" t="s">
        <v>302</v>
      </c>
      <c r="H280" s="72">
        <v>41983</v>
      </c>
    </row>
    <row r="281" spans="1:8" x14ac:dyDescent="0.2">
      <c r="A281" t="s">
        <v>447</v>
      </c>
      <c r="B281" s="83">
        <v>1</v>
      </c>
      <c r="C281" s="72">
        <v>42000</v>
      </c>
      <c r="D281">
        <v>1.99</v>
      </c>
      <c r="E281">
        <f t="shared" si="2"/>
        <v>1.99</v>
      </c>
      <c r="F281" t="s">
        <v>283</v>
      </c>
      <c r="G281" t="s">
        <v>301</v>
      </c>
      <c r="H281" s="72">
        <v>41983</v>
      </c>
    </row>
    <row r="282" spans="1:8" x14ac:dyDescent="0.2">
      <c r="A282" t="s">
        <v>256</v>
      </c>
      <c r="B282" s="83">
        <v>0.85</v>
      </c>
      <c r="C282" s="72">
        <v>42000</v>
      </c>
      <c r="D282">
        <v>3.69</v>
      </c>
      <c r="E282">
        <f t="shared" si="2"/>
        <v>3.1364999999999998</v>
      </c>
      <c r="F282" t="s">
        <v>282</v>
      </c>
      <c r="G282" t="s">
        <v>302</v>
      </c>
      <c r="H282" s="72">
        <v>41983</v>
      </c>
    </row>
    <row r="283" spans="1:8" x14ac:dyDescent="0.2">
      <c r="A283" t="s">
        <v>221</v>
      </c>
      <c r="B283" s="83">
        <v>1</v>
      </c>
      <c r="C283" s="72">
        <v>42000</v>
      </c>
      <c r="D283">
        <v>2.15</v>
      </c>
      <c r="E283">
        <f t="shared" si="2"/>
        <v>2.15</v>
      </c>
      <c r="F283" t="s">
        <v>283</v>
      </c>
      <c r="G283" t="s">
        <v>301</v>
      </c>
      <c r="H283" s="72">
        <v>41983</v>
      </c>
    </row>
    <row r="284" spans="1:8" x14ac:dyDescent="0.2">
      <c r="A284" t="s">
        <v>440</v>
      </c>
      <c r="B284" s="83">
        <v>0.6</v>
      </c>
      <c r="C284" s="72">
        <v>42000</v>
      </c>
      <c r="D284">
        <v>9.99</v>
      </c>
      <c r="E284">
        <f t="shared" si="2"/>
        <v>5.9939999999999998</v>
      </c>
      <c r="F284" t="s">
        <v>283</v>
      </c>
      <c r="G284" t="s">
        <v>302</v>
      </c>
      <c r="H284" s="72">
        <v>41983</v>
      </c>
    </row>
    <row r="285" spans="1:8" x14ac:dyDescent="0.2">
      <c r="A285" t="s">
        <v>310</v>
      </c>
      <c r="B285" s="83">
        <v>0.84</v>
      </c>
      <c r="C285" s="72">
        <v>42000</v>
      </c>
      <c r="D285">
        <v>2.29</v>
      </c>
      <c r="E285">
        <f t="shared" si="2"/>
        <v>1.9236</v>
      </c>
      <c r="F285" t="s">
        <v>283</v>
      </c>
      <c r="G285" t="s">
        <v>302</v>
      </c>
      <c r="H285" s="72">
        <v>41983</v>
      </c>
    </row>
    <row r="286" spans="1:8" x14ac:dyDescent="0.2">
      <c r="A286" t="s">
        <v>441</v>
      </c>
      <c r="B286" s="83">
        <v>2</v>
      </c>
      <c r="C286" s="72">
        <v>42000</v>
      </c>
      <c r="D286">
        <v>5.39</v>
      </c>
      <c r="E286">
        <f t="shared" si="2"/>
        <v>10.78</v>
      </c>
      <c r="F286" t="s">
        <v>344</v>
      </c>
      <c r="G286" t="s">
        <v>301</v>
      </c>
      <c r="H286" s="72">
        <v>41983</v>
      </c>
    </row>
    <row r="287" spans="1:8" x14ac:dyDescent="0.2">
      <c r="A287" t="s">
        <v>442</v>
      </c>
      <c r="B287" s="83">
        <v>1</v>
      </c>
      <c r="C287" s="72">
        <v>42000</v>
      </c>
      <c r="D287">
        <v>10.35</v>
      </c>
      <c r="E287">
        <f t="shared" si="2"/>
        <v>10.35</v>
      </c>
      <c r="F287" t="s">
        <v>344</v>
      </c>
      <c r="G287" t="s">
        <v>301</v>
      </c>
      <c r="H287" s="72">
        <v>41983</v>
      </c>
    </row>
    <row r="288" spans="1:8" x14ac:dyDescent="0.2">
      <c r="A288" t="s">
        <v>423</v>
      </c>
      <c r="B288" s="83">
        <v>1</v>
      </c>
      <c r="C288" s="72">
        <v>42000</v>
      </c>
      <c r="D288">
        <v>7.99</v>
      </c>
      <c r="E288">
        <f t="shared" si="2"/>
        <v>7.99</v>
      </c>
      <c r="F288" t="s">
        <v>325</v>
      </c>
      <c r="G288" t="s">
        <v>301</v>
      </c>
      <c r="H288" s="72">
        <v>41983</v>
      </c>
    </row>
    <row r="289" spans="1:8" x14ac:dyDescent="0.2">
      <c r="A289" t="s">
        <v>323</v>
      </c>
      <c r="B289" s="83">
        <v>1</v>
      </c>
      <c r="C289" s="72">
        <v>42000</v>
      </c>
      <c r="D289">
        <v>18.59</v>
      </c>
      <c r="E289">
        <f t="shared" si="2"/>
        <v>18.59</v>
      </c>
      <c r="F289" t="s">
        <v>325</v>
      </c>
      <c r="G289" t="s">
        <v>301</v>
      </c>
      <c r="H289" s="72">
        <v>41983</v>
      </c>
    </row>
    <row r="290" spans="1:8" x14ac:dyDescent="0.2">
      <c r="A290" t="s">
        <v>443</v>
      </c>
      <c r="B290" s="83">
        <v>1</v>
      </c>
      <c r="C290" s="72">
        <v>42000</v>
      </c>
      <c r="D290">
        <v>9.39</v>
      </c>
      <c r="E290">
        <f t="shared" si="2"/>
        <v>9.39</v>
      </c>
      <c r="F290" t="s">
        <v>325</v>
      </c>
      <c r="G290" t="s">
        <v>301</v>
      </c>
      <c r="H290" s="72">
        <v>41983</v>
      </c>
    </row>
    <row r="291" spans="1:8" x14ac:dyDescent="0.2">
      <c r="A291" t="s">
        <v>444</v>
      </c>
      <c r="B291" s="83">
        <v>1</v>
      </c>
      <c r="C291" s="72">
        <v>42000</v>
      </c>
      <c r="D291">
        <v>13.9</v>
      </c>
      <c r="E291">
        <f>B291*D291</f>
        <v>13.9</v>
      </c>
      <c r="F291" t="s">
        <v>325</v>
      </c>
      <c r="G291" t="s">
        <v>301</v>
      </c>
      <c r="H291" s="72">
        <v>41983</v>
      </c>
    </row>
    <row r="292" spans="1:8" x14ac:dyDescent="0.2">
      <c r="A292" t="s">
        <v>246</v>
      </c>
      <c r="B292" s="83">
        <v>1</v>
      </c>
      <c r="C292" s="72">
        <v>42000</v>
      </c>
      <c r="D292">
        <v>8.4499999999999993</v>
      </c>
      <c r="E292">
        <f>B292*D292</f>
        <v>8.4499999999999993</v>
      </c>
      <c r="F292" t="s">
        <v>285</v>
      </c>
      <c r="G292" t="s">
        <v>301</v>
      </c>
      <c r="H292" s="72">
        <v>41983</v>
      </c>
    </row>
    <row r="293" spans="1:8" x14ac:dyDescent="0.2">
      <c r="A293" t="s">
        <v>445</v>
      </c>
      <c r="B293" s="83">
        <v>1</v>
      </c>
      <c r="C293" s="72">
        <v>42000</v>
      </c>
      <c r="D293">
        <v>14.89</v>
      </c>
      <c r="E293">
        <f>B293*D293</f>
        <v>14.89</v>
      </c>
      <c r="F293" t="s">
        <v>325</v>
      </c>
      <c r="G293" t="s">
        <v>301</v>
      </c>
      <c r="H293" s="72">
        <v>41983</v>
      </c>
    </row>
    <row r="294" spans="1:8" x14ac:dyDescent="0.2">
      <c r="A294" t="s">
        <v>223</v>
      </c>
      <c r="B294" s="83">
        <v>1</v>
      </c>
      <c r="C294" s="72">
        <v>42004</v>
      </c>
      <c r="D294">
        <v>15.99</v>
      </c>
      <c r="E294">
        <f t="shared" ref="E294:E501" si="3">B294*D294</f>
        <v>15.99</v>
      </c>
      <c r="F294" t="s">
        <v>225</v>
      </c>
      <c r="G294" t="s">
        <v>301</v>
      </c>
      <c r="H294" s="72">
        <v>41983</v>
      </c>
    </row>
    <row r="295" spans="1:8" x14ac:dyDescent="0.2">
      <c r="A295" t="s">
        <v>353</v>
      </c>
      <c r="B295" s="83">
        <v>1</v>
      </c>
      <c r="C295" s="72">
        <v>42004</v>
      </c>
      <c r="D295">
        <v>4.6500000000000004</v>
      </c>
      <c r="E295">
        <f t="shared" si="3"/>
        <v>4.6500000000000004</v>
      </c>
      <c r="F295" t="s">
        <v>622</v>
      </c>
      <c r="G295" t="s">
        <v>301</v>
      </c>
      <c r="H295" s="72">
        <v>41983</v>
      </c>
    </row>
    <row r="296" spans="1:8" x14ac:dyDescent="0.2">
      <c r="A296" t="s">
        <v>463</v>
      </c>
      <c r="B296" s="83">
        <v>1</v>
      </c>
      <c r="C296" s="72">
        <v>42004</v>
      </c>
      <c r="D296">
        <v>4.28</v>
      </c>
      <c r="E296">
        <f t="shared" si="3"/>
        <v>4.28</v>
      </c>
      <c r="F296" t="s">
        <v>344</v>
      </c>
      <c r="G296" t="s">
        <v>301</v>
      </c>
      <c r="H296" s="72">
        <v>41983</v>
      </c>
    </row>
    <row r="297" spans="1:8" x14ac:dyDescent="0.2">
      <c r="A297" t="s">
        <v>464</v>
      </c>
      <c r="B297" s="83">
        <v>1</v>
      </c>
      <c r="C297" s="72">
        <v>42004</v>
      </c>
      <c r="D297">
        <v>18.829999999999998</v>
      </c>
      <c r="E297">
        <f t="shared" si="3"/>
        <v>18.829999999999998</v>
      </c>
      <c r="F297" t="s">
        <v>270</v>
      </c>
      <c r="G297" t="s">
        <v>301</v>
      </c>
      <c r="H297" s="72">
        <v>41983</v>
      </c>
    </row>
    <row r="298" spans="1:8" x14ac:dyDescent="0.2">
      <c r="A298" t="s">
        <v>465</v>
      </c>
      <c r="B298" s="83">
        <v>1</v>
      </c>
      <c r="C298" s="72">
        <v>42004</v>
      </c>
      <c r="D298">
        <v>23.9</v>
      </c>
      <c r="E298">
        <f t="shared" si="3"/>
        <v>23.9</v>
      </c>
      <c r="F298" t="s">
        <v>621</v>
      </c>
      <c r="G298" t="s">
        <v>301</v>
      </c>
      <c r="H298" s="72">
        <v>41983</v>
      </c>
    </row>
    <row r="299" spans="1:8" x14ac:dyDescent="0.2">
      <c r="A299" t="s">
        <v>427</v>
      </c>
      <c r="B299" s="83">
        <v>1</v>
      </c>
      <c r="C299" s="72">
        <v>42004</v>
      </c>
      <c r="D299">
        <v>22.69</v>
      </c>
      <c r="E299">
        <f t="shared" si="3"/>
        <v>22.69</v>
      </c>
      <c r="F299" t="s">
        <v>270</v>
      </c>
      <c r="G299" t="s">
        <v>301</v>
      </c>
      <c r="H299" s="72">
        <v>41983</v>
      </c>
    </row>
    <row r="300" spans="1:8" x14ac:dyDescent="0.2">
      <c r="A300" t="s">
        <v>466</v>
      </c>
      <c r="B300" s="83">
        <v>1</v>
      </c>
      <c r="C300" s="72">
        <v>42004</v>
      </c>
      <c r="D300">
        <v>4.99</v>
      </c>
      <c r="E300">
        <f t="shared" si="3"/>
        <v>4.99</v>
      </c>
      <c r="F300" t="s">
        <v>225</v>
      </c>
      <c r="G300" t="s">
        <v>301</v>
      </c>
      <c r="H300" s="72">
        <v>41983</v>
      </c>
    </row>
    <row r="301" spans="1:8" x14ac:dyDescent="0.2">
      <c r="A301" t="s">
        <v>237</v>
      </c>
      <c r="B301" s="83">
        <v>1</v>
      </c>
      <c r="C301" s="72">
        <v>42004</v>
      </c>
      <c r="D301">
        <v>3.89</v>
      </c>
      <c r="E301">
        <f t="shared" si="3"/>
        <v>3.89</v>
      </c>
      <c r="F301" t="s">
        <v>225</v>
      </c>
      <c r="G301" t="s">
        <v>301</v>
      </c>
      <c r="H301" s="72">
        <v>41983</v>
      </c>
    </row>
    <row r="302" spans="1:8" x14ac:dyDescent="0.2">
      <c r="A302" t="s">
        <v>218</v>
      </c>
      <c r="B302" s="83">
        <v>3</v>
      </c>
      <c r="C302" s="72">
        <v>42004</v>
      </c>
      <c r="D302">
        <v>2.35</v>
      </c>
      <c r="E302">
        <f t="shared" si="3"/>
        <v>7.0500000000000007</v>
      </c>
      <c r="F302" t="s">
        <v>218</v>
      </c>
      <c r="G302" t="s">
        <v>301</v>
      </c>
      <c r="H302" s="72">
        <v>41983</v>
      </c>
    </row>
    <row r="303" spans="1:8" x14ac:dyDescent="0.2">
      <c r="A303" t="s">
        <v>467</v>
      </c>
      <c r="B303" s="83">
        <v>2</v>
      </c>
      <c r="C303" s="72">
        <v>42004</v>
      </c>
      <c r="D303">
        <v>4.79</v>
      </c>
      <c r="E303">
        <f t="shared" si="3"/>
        <v>9.58</v>
      </c>
      <c r="F303" t="s">
        <v>467</v>
      </c>
      <c r="G303" t="s">
        <v>301</v>
      </c>
      <c r="H303" s="72">
        <v>41983</v>
      </c>
    </row>
    <row r="304" spans="1:8" x14ac:dyDescent="0.2">
      <c r="A304" t="s">
        <v>612</v>
      </c>
      <c r="B304" s="83">
        <v>1</v>
      </c>
      <c r="C304" s="72">
        <v>42004</v>
      </c>
      <c r="D304">
        <v>1.99</v>
      </c>
      <c r="E304">
        <f t="shared" si="3"/>
        <v>1.99</v>
      </c>
      <c r="F304" t="s">
        <v>467</v>
      </c>
      <c r="G304" t="s">
        <v>301</v>
      </c>
      <c r="H304" s="72">
        <v>41983</v>
      </c>
    </row>
    <row r="305" spans="1:8" x14ac:dyDescent="0.2">
      <c r="A305" t="s">
        <v>267</v>
      </c>
      <c r="B305" s="83">
        <v>3</v>
      </c>
      <c r="C305" s="72">
        <v>42004</v>
      </c>
      <c r="D305">
        <v>7.39</v>
      </c>
      <c r="E305">
        <f t="shared" si="3"/>
        <v>22.169999999999998</v>
      </c>
      <c r="F305" t="s">
        <v>620</v>
      </c>
      <c r="G305" t="s">
        <v>301</v>
      </c>
      <c r="H305" s="72">
        <v>41983</v>
      </c>
    </row>
    <row r="306" spans="1:8" x14ac:dyDescent="0.2">
      <c r="A306" t="s">
        <v>227</v>
      </c>
      <c r="B306" s="83">
        <v>1</v>
      </c>
      <c r="C306" s="72">
        <v>42004</v>
      </c>
      <c r="D306">
        <v>4.96</v>
      </c>
      <c r="E306">
        <f t="shared" si="3"/>
        <v>4.96</v>
      </c>
      <c r="F306" t="s">
        <v>227</v>
      </c>
      <c r="G306" t="s">
        <v>301</v>
      </c>
      <c r="H306" s="72">
        <v>41983</v>
      </c>
    </row>
    <row r="307" spans="1:8" x14ac:dyDescent="0.2">
      <c r="A307" t="s">
        <v>468</v>
      </c>
      <c r="B307" s="83">
        <v>1</v>
      </c>
      <c r="C307" s="72">
        <v>42004</v>
      </c>
      <c r="D307">
        <v>13.99</v>
      </c>
      <c r="E307">
        <f t="shared" si="3"/>
        <v>13.99</v>
      </c>
      <c r="F307" t="s">
        <v>704</v>
      </c>
      <c r="G307" t="s">
        <v>301</v>
      </c>
      <c r="H307" s="72">
        <v>41983</v>
      </c>
    </row>
    <row r="308" spans="1:8" x14ac:dyDescent="0.2">
      <c r="A308" t="s">
        <v>182</v>
      </c>
      <c r="B308" s="83">
        <v>1</v>
      </c>
      <c r="C308" s="72">
        <v>42004</v>
      </c>
      <c r="D308">
        <v>19.579999999999998</v>
      </c>
      <c r="E308">
        <f t="shared" si="3"/>
        <v>19.579999999999998</v>
      </c>
      <c r="F308" t="s">
        <v>224</v>
      </c>
      <c r="G308" t="s">
        <v>301</v>
      </c>
      <c r="H308" s="72">
        <v>41983</v>
      </c>
    </row>
    <row r="309" spans="1:8" x14ac:dyDescent="0.2">
      <c r="A309" t="s">
        <v>182</v>
      </c>
      <c r="B309" s="83">
        <v>1</v>
      </c>
      <c r="C309" s="72">
        <v>42004</v>
      </c>
      <c r="D309">
        <v>14.98</v>
      </c>
      <c r="E309">
        <f t="shared" si="3"/>
        <v>14.98</v>
      </c>
      <c r="F309" t="s">
        <v>224</v>
      </c>
      <c r="G309" t="s">
        <v>301</v>
      </c>
      <c r="H309" s="72">
        <v>41983</v>
      </c>
    </row>
    <row r="310" spans="1:8" x14ac:dyDescent="0.2">
      <c r="A310" t="s">
        <v>305</v>
      </c>
      <c r="B310" s="83">
        <v>0.2</v>
      </c>
      <c r="C310" s="72">
        <v>42004</v>
      </c>
      <c r="D310">
        <v>6.92</v>
      </c>
      <c r="E310">
        <f t="shared" si="3"/>
        <v>1.3840000000000001</v>
      </c>
      <c r="F310" t="s">
        <v>282</v>
      </c>
      <c r="G310" t="s">
        <v>302</v>
      </c>
      <c r="H310" s="72">
        <v>41983</v>
      </c>
    </row>
    <row r="311" spans="1:8" x14ac:dyDescent="0.2">
      <c r="A311" t="s">
        <v>469</v>
      </c>
      <c r="B311" s="83">
        <v>2</v>
      </c>
      <c r="C311" s="72">
        <v>42004</v>
      </c>
      <c r="D311">
        <v>3.51</v>
      </c>
      <c r="E311">
        <f t="shared" si="3"/>
        <v>7.02</v>
      </c>
      <c r="F311" t="s">
        <v>619</v>
      </c>
      <c r="G311" t="s">
        <v>301</v>
      </c>
      <c r="H311" s="72">
        <v>41983</v>
      </c>
    </row>
    <row r="312" spans="1:8" x14ac:dyDescent="0.2">
      <c r="A312" t="s">
        <v>418</v>
      </c>
      <c r="B312" s="83">
        <v>0.51800000000000002</v>
      </c>
      <c r="C312" s="72">
        <v>42004</v>
      </c>
      <c r="D312">
        <v>23.6</v>
      </c>
      <c r="E312">
        <f t="shared" si="3"/>
        <v>12.224800000000002</v>
      </c>
      <c r="F312" t="s">
        <v>676</v>
      </c>
      <c r="G312" t="s">
        <v>302</v>
      </c>
      <c r="H312" s="72">
        <v>41983</v>
      </c>
    </row>
    <row r="313" spans="1:8" x14ac:dyDescent="0.2">
      <c r="A313" t="s">
        <v>298</v>
      </c>
      <c r="B313" s="83">
        <v>0.50800000000000001</v>
      </c>
      <c r="C313" s="72">
        <v>42004</v>
      </c>
      <c r="D313">
        <v>19.45</v>
      </c>
      <c r="E313">
        <f t="shared" si="3"/>
        <v>9.8805999999999994</v>
      </c>
      <c r="F313" t="s">
        <v>676</v>
      </c>
      <c r="G313" t="s">
        <v>302</v>
      </c>
      <c r="H313" s="72">
        <v>41983</v>
      </c>
    </row>
    <row r="314" spans="1:8" x14ac:dyDescent="0.2">
      <c r="A314" t="s">
        <v>314</v>
      </c>
      <c r="B314" s="83">
        <v>0.52500000000000002</v>
      </c>
      <c r="C314" s="72">
        <v>42004</v>
      </c>
      <c r="D314">
        <v>1.99</v>
      </c>
      <c r="E314">
        <f t="shared" si="3"/>
        <v>1.0447500000000001</v>
      </c>
      <c r="F314" t="s">
        <v>282</v>
      </c>
      <c r="G314" t="s">
        <v>302</v>
      </c>
      <c r="H314" s="72">
        <v>41983</v>
      </c>
    </row>
    <row r="315" spans="1:8" x14ac:dyDescent="0.2">
      <c r="A315" t="s">
        <v>221</v>
      </c>
      <c r="B315" s="83">
        <v>1</v>
      </c>
      <c r="C315" s="72">
        <v>42004</v>
      </c>
      <c r="D315">
        <v>1.04</v>
      </c>
      <c r="E315">
        <f t="shared" si="3"/>
        <v>1.04</v>
      </c>
      <c r="F315" t="s">
        <v>283</v>
      </c>
      <c r="G315" t="s">
        <v>301</v>
      </c>
      <c r="H315" s="72">
        <v>41983</v>
      </c>
    </row>
    <row r="316" spans="1:8" x14ac:dyDescent="0.2">
      <c r="A316" t="s">
        <v>233</v>
      </c>
      <c r="B316" s="83">
        <v>0.48</v>
      </c>
      <c r="C316" s="72">
        <v>42004</v>
      </c>
      <c r="D316">
        <v>5.99</v>
      </c>
      <c r="E316">
        <f t="shared" si="3"/>
        <v>2.8752</v>
      </c>
      <c r="F316" t="s">
        <v>283</v>
      </c>
      <c r="G316" t="s">
        <v>302</v>
      </c>
      <c r="H316" s="72">
        <v>41983</v>
      </c>
    </row>
    <row r="317" spans="1:8" x14ac:dyDescent="0.2">
      <c r="A317" t="s">
        <v>256</v>
      </c>
      <c r="B317" s="83">
        <v>0.69499999999999995</v>
      </c>
      <c r="C317" s="72">
        <v>42004</v>
      </c>
      <c r="D317">
        <v>4.32</v>
      </c>
      <c r="E317">
        <f t="shared" si="3"/>
        <v>3.0024000000000002</v>
      </c>
      <c r="F317" t="s">
        <v>282</v>
      </c>
      <c r="G317" t="s">
        <v>302</v>
      </c>
      <c r="H317" s="72">
        <v>41983</v>
      </c>
    </row>
    <row r="318" spans="1:8" x14ac:dyDescent="0.2">
      <c r="A318" t="s">
        <v>310</v>
      </c>
      <c r="B318" s="83">
        <v>0.47499999999999998</v>
      </c>
      <c r="C318" s="72">
        <v>42004</v>
      </c>
      <c r="D318">
        <v>1.99</v>
      </c>
      <c r="E318">
        <f t="shared" si="3"/>
        <v>0.94524999999999992</v>
      </c>
      <c r="F318" t="s">
        <v>283</v>
      </c>
      <c r="G318" t="s">
        <v>302</v>
      </c>
      <c r="H318" s="72">
        <v>41983</v>
      </c>
    </row>
    <row r="319" spans="1:8" x14ac:dyDescent="0.2">
      <c r="A319" t="s">
        <v>305</v>
      </c>
      <c r="B319" s="83">
        <v>0.51</v>
      </c>
      <c r="C319" s="72">
        <v>42004</v>
      </c>
      <c r="D319">
        <v>5.99</v>
      </c>
      <c r="E319">
        <f t="shared" si="3"/>
        <v>3.0548999999999999</v>
      </c>
      <c r="F319" t="s">
        <v>282</v>
      </c>
      <c r="G319" t="s">
        <v>302</v>
      </c>
      <c r="H319" s="72">
        <v>41983</v>
      </c>
    </row>
    <row r="320" spans="1:8" x14ac:dyDescent="0.2">
      <c r="A320" t="s">
        <v>287</v>
      </c>
      <c r="B320" s="83">
        <v>0.14599999999999999</v>
      </c>
      <c r="C320" s="72">
        <v>42004</v>
      </c>
      <c r="D320">
        <v>17.5</v>
      </c>
      <c r="E320">
        <f t="shared" si="3"/>
        <v>2.5549999999999997</v>
      </c>
      <c r="F320" t="s">
        <v>211</v>
      </c>
      <c r="G320" t="s">
        <v>302</v>
      </c>
      <c r="H320" s="72">
        <v>41983</v>
      </c>
    </row>
    <row r="321" spans="1:8" x14ac:dyDescent="0.2">
      <c r="A321" t="s">
        <v>470</v>
      </c>
      <c r="B321" s="83">
        <v>5</v>
      </c>
      <c r="C321" s="72">
        <v>42004</v>
      </c>
      <c r="D321">
        <v>1.59</v>
      </c>
      <c r="E321">
        <f t="shared" si="3"/>
        <v>7.95</v>
      </c>
      <c r="F321" t="s">
        <v>470</v>
      </c>
      <c r="G321" t="s">
        <v>301</v>
      </c>
      <c r="H321" s="72">
        <v>41983</v>
      </c>
    </row>
    <row r="322" spans="1:8" x14ac:dyDescent="0.2">
      <c r="A322" t="s">
        <v>295</v>
      </c>
      <c r="B322" s="83">
        <v>0.51200000000000001</v>
      </c>
      <c r="C322" s="72">
        <v>42004</v>
      </c>
      <c r="D322">
        <v>25.9</v>
      </c>
      <c r="E322">
        <f t="shared" si="3"/>
        <v>13.2608</v>
      </c>
      <c r="F322" t="s">
        <v>611</v>
      </c>
      <c r="G322" t="s">
        <v>302</v>
      </c>
      <c r="H322" s="72">
        <v>41983</v>
      </c>
    </row>
    <row r="323" spans="1:8" x14ac:dyDescent="0.2">
      <c r="A323" t="s">
        <v>252</v>
      </c>
      <c r="B323" s="83">
        <v>1</v>
      </c>
      <c r="C323" s="72">
        <v>42004</v>
      </c>
      <c r="D323">
        <v>8.69</v>
      </c>
      <c r="E323">
        <f t="shared" si="3"/>
        <v>8.69</v>
      </c>
      <c r="F323" t="s">
        <v>470</v>
      </c>
      <c r="G323" t="s">
        <v>301</v>
      </c>
      <c r="H323" s="72">
        <v>41983</v>
      </c>
    </row>
    <row r="324" spans="1:8" x14ac:dyDescent="0.2">
      <c r="A324" t="s">
        <v>234</v>
      </c>
      <c r="B324" s="83">
        <v>1</v>
      </c>
      <c r="C324" s="72">
        <v>42004</v>
      </c>
      <c r="D324">
        <v>5.99</v>
      </c>
      <c r="E324">
        <f t="shared" si="3"/>
        <v>5.99</v>
      </c>
      <c r="F324" t="s">
        <v>282</v>
      </c>
      <c r="G324" t="s">
        <v>301</v>
      </c>
      <c r="H324" s="72">
        <v>41983</v>
      </c>
    </row>
    <row r="325" spans="1:8" x14ac:dyDescent="0.2">
      <c r="A325" t="s">
        <v>238</v>
      </c>
      <c r="B325" s="83">
        <v>1</v>
      </c>
      <c r="C325" s="72">
        <v>42004</v>
      </c>
      <c r="D325">
        <v>5.17</v>
      </c>
      <c r="E325">
        <f t="shared" si="3"/>
        <v>5.17</v>
      </c>
      <c r="F325" t="s">
        <v>676</v>
      </c>
      <c r="G325" t="s">
        <v>301</v>
      </c>
      <c r="H325" s="72">
        <v>41983</v>
      </c>
    </row>
    <row r="326" spans="1:8" x14ac:dyDescent="0.2">
      <c r="A326" t="s">
        <v>471</v>
      </c>
      <c r="B326" s="83">
        <v>0.504</v>
      </c>
      <c r="C326" s="72">
        <v>42004</v>
      </c>
      <c r="D326">
        <v>54.9</v>
      </c>
      <c r="E326">
        <f t="shared" si="3"/>
        <v>27.669599999999999</v>
      </c>
      <c r="F326" t="s">
        <v>611</v>
      </c>
      <c r="G326" t="s">
        <v>302</v>
      </c>
      <c r="H326" s="72">
        <v>41983</v>
      </c>
    </row>
    <row r="327" spans="1:8" x14ac:dyDescent="0.2">
      <c r="A327" t="s">
        <v>321</v>
      </c>
      <c r="B327" s="83">
        <v>0.56799999999999995</v>
      </c>
      <c r="C327" s="72">
        <v>42004</v>
      </c>
      <c r="D327">
        <v>23.9</v>
      </c>
      <c r="E327">
        <f t="shared" si="3"/>
        <v>13.575199999999999</v>
      </c>
      <c r="F327" t="s">
        <v>611</v>
      </c>
      <c r="G327" t="s">
        <v>302</v>
      </c>
      <c r="H327" s="72">
        <v>41983</v>
      </c>
    </row>
    <row r="328" spans="1:8" x14ac:dyDescent="0.2">
      <c r="A328" t="s">
        <v>292</v>
      </c>
      <c r="B328" s="83">
        <v>0.81499999999999995</v>
      </c>
      <c r="C328" s="72">
        <v>42004</v>
      </c>
      <c r="D328">
        <v>8.39</v>
      </c>
      <c r="E328">
        <f t="shared" si="3"/>
        <v>6.8378500000000004</v>
      </c>
      <c r="F328" t="s">
        <v>617</v>
      </c>
      <c r="G328" t="s">
        <v>302</v>
      </c>
      <c r="H328" s="72">
        <v>41983</v>
      </c>
    </row>
    <row r="329" spans="1:8" x14ac:dyDescent="0.2">
      <c r="A329" t="s">
        <v>352</v>
      </c>
      <c r="B329" s="83">
        <v>0.51800000000000002</v>
      </c>
      <c r="C329" s="72">
        <v>42004</v>
      </c>
      <c r="D329">
        <v>31.99</v>
      </c>
      <c r="E329">
        <f t="shared" si="3"/>
        <v>16.570820000000001</v>
      </c>
      <c r="F329" t="s">
        <v>676</v>
      </c>
      <c r="G329" t="s">
        <v>302</v>
      </c>
      <c r="H329" s="72">
        <v>41983</v>
      </c>
    </row>
    <row r="330" spans="1:8" x14ac:dyDescent="0.2">
      <c r="A330" t="s">
        <v>250</v>
      </c>
      <c r="B330" s="83">
        <v>1</v>
      </c>
      <c r="C330" s="72">
        <v>42004</v>
      </c>
      <c r="D330">
        <v>1.85</v>
      </c>
      <c r="E330">
        <f t="shared" si="3"/>
        <v>1.85</v>
      </c>
      <c r="F330" t="s">
        <v>290</v>
      </c>
      <c r="G330" t="s">
        <v>301</v>
      </c>
      <c r="H330" s="72">
        <v>41983</v>
      </c>
    </row>
    <row r="331" spans="1:8" x14ac:dyDescent="0.2">
      <c r="A331" t="s">
        <v>315</v>
      </c>
      <c r="B331" s="83">
        <v>1.03</v>
      </c>
      <c r="C331" s="72">
        <v>42004</v>
      </c>
      <c r="D331">
        <v>3.4</v>
      </c>
      <c r="E331">
        <f t="shared" si="3"/>
        <v>3.5019999999999998</v>
      </c>
      <c r="F331" t="s">
        <v>283</v>
      </c>
      <c r="G331" t="s">
        <v>302</v>
      </c>
      <c r="H331" s="72">
        <v>41983</v>
      </c>
    </row>
    <row r="332" spans="1:8" x14ac:dyDescent="0.2">
      <c r="A332" t="s">
        <v>473</v>
      </c>
      <c r="B332" s="83">
        <v>1</v>
      </c>
      <c r="C332" s="72">
        <v>42004</v>
      </c>
      <c r="D332">
        <v>5.07</v>
      </c>
      <c r="E332">
        <f t="shared" si="3"/>
        <v>5.07</v>
      </c>
      <c r="F332" t="s">
        <v>225</v>
      </c>
      <c r="G332" t="s">
        <v>301</v>
      </c>
      <c r="H332" s="72">
        <v>41983</v>
      </c>
    </row>
    <row r="333" spans="1:8" x14ac:dyDescent="0.2">
      <c r="A333" t="s">
        <v>472</v>
      </c>
      <c r="B333" s="83">
        <v>1</v>
      </c>
      <c r="C333" s="72">
        <v>42004</v>
      </c>
      <c r="D333">
        <v>4.9800000000000004</v>
      </c>
      <c r="E333">
        <f t="shared" si="3"/>
        <v>4.9800000000000004</v>
      </c>
      <c r="F333" t="s">
        <v>211</v>
      </c>
      <c r="G333" t="s">
        <v>301</v>
      </c>
      <c r="H333" s="72">
        <v>41983</v>
      </c>
    </row>
    <row r="334" spans="1:8" x14ac:dyDescent="0.2">
      <c r="A334" t="s">
        <v>272</v>
      </c>
      <c r="B334" s="83">
        <v>1</v>
      </c>
      <c r="C334" s="72">
        <v>42004</v>
      </c>
      <c r="D334">
        <v>4</v>
      </c>
      <c r="E334">
        <f t="shared" si="3"/>
        <v>4</v>
      </c>
      <c r="F334" t="s">
        <v>617</v>
      </c>
      <c r="G334" t="s">
        <v>301</v>
      </c>
      <c r="H334" s="72">
        <v>41983</v>
      </c>
    </row>
    <row r="335" spans="1:8" x14ac:dyDescent="0.2">
      <c r="A335" t="s">
        <v>223</v>
      </c>
      <c r="B335" s="83">
        <v>1</v>
      </c>
      <c r="C335" s="72">
        <v>42037</v>
      </c>
      <c r="D335">
        <v>15.12</v>
      </c>
      <c r="E335">
        <f t="shared" si="3"/>
        <v>15.12</v>
      </c>
      <c r="F335" t="s">
        <v>225</v>
      </c>
      <c r="G335" t="s">
        <v>301</v>
      </c>
      <c r="H335" s="72">
        <v>42014</v>
      </c>
    </row>
    <row r="336" spans="1:8" x14ac:dyDescent="0.2">
      <c r="A336" t="s">
        <v>518</v>
      </c>
      <c r="B336" s="83">
        <v>4</v>
      </c>
      <c r="C336" s="72">
        <v>42037</v>
      </c>
      <c r="D336">
        <v>2.4500000000000002</v>
      </c>
      <c r="E336">
        <f t="shared" si="3"/>
        <v>9.8000000000000007</v>
      </c>
      <c r="F336" t="s">
        <v>218</v>
      </c>
      <c r="G336" t="s">
        <v>301</v>
      </c>
      <c r="H336" s="72">
        <v>42014</v>
      </c>
    </row>
    <row r="337" spans="1:8" x14ac:dyDescent="0.2">
      <c r="A337" t="s">
        <v>519</v>
      </c>
      <c r="B337" s="83">
        <v>1</v>
      </c>
      <c r="C337" s="72">
        <v>42037</v>
      </c>
      <c r="D337">
        <v>7.75</v>
      </c>
      <c r="E337">
        <f t="shared" si="3"/>
        <v>7.75</v>
      </c>
      <c r="F337" t="s">
        <v>622</v>
      </c>
      <c r="G337" t="s">
        <v>301</v>
      </c>
      <c r="H337" s="72">
        <v>42014</v>
      </c>
    </row>
    <row r="338" spans="1:8" x14ac:dyDescent="0.2">
      <c r="A338" t="s">
        <v>297</v>
      </c>
      <c r="B338" s="83">
        <v>0.55400000000000005</v>
      </c>
      <c r="C338" s="72">
        <v>42037</v>
      </c>
      <c r="D338">
        <v>17.59</v>
      </c>
      <c r="E338">
        <f t="shared" si="3"/>
        <v>9.744860000000001</v>
      </c>
      <c r="F338" t="s">
        <v>676</v>
      </c>
      <c r="G338" t="s">
        <v>302</v>
      </c>
      <c r="H338" s="72">
        <v>42014</v>
      </c>
    </row>
    <row r="339" spans="1:8" x14ac:dyDescent="0.2">
      <c r="A339" t="s">
        <v>252</v>
      </c>
      <c r="B339" s="83">
        <v>1</v>
      </c>
      <c r="C339" s="72">
        <v>42037</v>
      </c>
      <c r="D339">
        <v>6.49</v>
      </c>
      <c r="E339">
        <f t="shared" si="3"/>
        <v>6.49</v>
      </c>
      <c r="F339" t="s">
        <v>470</v>
      </c>
      <c r="G339" t="s">
        <v>301</v>
      </c>
      <c r="H339" s="72">
        <v>42014</v>
      </c>
    </row>
    <row r="340" spans="1:8" x14ac:dyDescent="0.2">
      <c r="A340" t="s">
        <v>323</v>
      </c>
      <c r="B340" s="83">
        <v>1</v>
      </c>
      <c r="C340" s="72">
        <v>42037</v>
      </c>
      <c r="D340">
        <v>32.979999999999997</v>
      </c>
      <c r="E340">
        <f t="shared" si="3"/>
        <v>32.979999999999997</v>
      </c>
      <c r="F340" t="s">
        <v>325</v>
      </c>
      <c r="G340" t="s">
        <v>301</v>
      </c>
      <c r="H340" s="72">
        <v>42014</v>
      </c>
    </row>
    <row r="341" spans="1:8" x14ac:dyDescent="0.2">
      <c r="A341" t="s">
        <v>252</v>
      </c>
      <c r="B341" s="83">
        <v>1</v>
      </c>
      <c r="C341" s="72">
        <v>42039</v>
      </c>
      <c r="D341">
        <v>6.69</v>
      </c>
      <c r="E341">
        <f t="shared" si="3"/>
        <v>6.69</v>
      </c>
      <c r="F341" t="s">
        <v>470</v>
      </c>
      <c r="G341" t="s">
        <v>301</v>
      </c>
      <c r="H341" s="72">
        <v>42014</v>
      </c>
    </row>
    <row r="342" spans="1:8" x14ac:dyDescent="0.2">
      <c r="A342" t="s">
        <v>235</v>
      </c>
      <c r="B342" s="83">
        <v>0.45500000000000002</v>
      </c>
      <c r="C342" s="72">
        <v>42039</v>
      </c>
      <c r="D342">
        <v>2.5</v>
      </c>
      <c r="E342">
        <f t="shared" si="3"/>
        <v>1.1375</v>
      </c>
      <c r="F342" t="s">
        <v>282</v>
      </c>
      <c r="G342" t="s">
        <v>302</v>
      </c>
      <c r="H342" s="72">
        <v>42014</v>
      </c>
    </row>
    <row r="343" spans="1:8" x14ac:dyDescent="0.2">
      <c r="A343" t="s">
        <v>256</v>
      </c>
      <c r="B343" s="83">
        <v>1.1100000000000001</v>
      </c>
      <c r="C343" s="72">
        <v>42039</v>
      </c>
      <c r="D343">
        <v>3.98</v>
      </c>
      <c r="E343">
        <f t="shared" si="3"/>
        <v>4.4178000000000006</v>
      </c>
      <c r="F343" t="s">
        <v>282</v>
      </c>
      <c r="G343" t="s">
        <v>302</v>
      </c>
      <c r="H343" s="72">
        <v>42014</v>
      </c>
    </row>
    <row r="344" spans="1:8" x14ac:dyDescent="0.2">
      <c r="A344" t="s">
        <v>311</v>
      </c>
      <c r="B344" s="83">
        <v>1.2250000000000001</v>
      </c>
      <c r="C344" s="72">
        <v>42039</v>
      </c>
      <c r="D344">
        <v>2.48</v>
      </c>
      <c r="E344">
        <f t="shared" si="3"/>
        <v>3.0380000000000003</v>
      </c>
      <c r="F344" t="s">
        <v>282</v>
      </c>
      <c r="G344" t="s">
        <v>302</v>
      </c>
      <c r="H344" s="72">
        <v>42014</v>
      </c>
    </row>
    <row r="345" spans="1:8" x14ac:dyDescent="0.2">
      <c r="A345" t="s">
        <v>545</v>
      </c>
      <c r="B345" s="83">
        <v>1</v>
      </c>
      <c r="C345" s="72">
        <v>42049</v>
      </c>
      <c r="D345">
        <v>13.9</v>
      </c>
      <c r="E345">
        <f t="shared" si="3"/>
        <v>13.9</v>
      </c>
      <c r="F345" t="s">
        <v>290</v>
      </c>
      <c r="G345" t="s">
        <v>301</v>
      </c>
      <c r="H345" s="72">
        <v>42045</v>
      </c>
    </row>
    <row r="346" spans="1:8" x14ac:dyDescent="0.2">
      <c r="A346" t="s">
        <v>546</v>
      </c>
      <c r="B346" s="83">
        <v>1</v>
      </c>
      <c r="C346" s="72">
        <v>42049</v>
      </c>
      <c r="D346">
        <v>39.9</v>
      </c>
      <c r="E346">
        <f t="shared" si="3"/>
        <v>39.9</v>
      </c>
      <c r="F346" t="s">
        <v>290</v>
      </c>
      <c r="G346" t="s">
        <v>301</v>
      </c>
      <c r="H346" s="72">
        <v>42045</v>
      </c>
    </row>
    <row r="347" spans="1:8" x14ac:dyDescent="0.2">
      <c r="A347" t="s">
        <v>251</v>
      </c>
      <c r="B347" s="83">
        <v>1</v>
      </c>
      <c r="C347" s="72">
        <v>42049</v>
      </c>
      <c r="D347">
        <v>3.69</v>
      </c>
      <c r="E347">
        <f t="shared" si="3"/>
        <v>3.69</v>
      </c>
      <c r="F347" t="s">
        <v>290</v>
      </c>
      <c r="G347" t="s">
        <v>301</v>
      </c>
      <c r="H347" s="72">
        <v>42045</v>
      </c>
    </row>
    <row r="348" spans="1:8" x14ac:dyDescent="0.2">
      <c r="A348" t="s">
        <v>274</v>
      </c>
      <c r="B348" s="83">
        <v>1</v>
      </c>
      <c r="C348" s="72">
        <v>42049</v>
      </c>
      <c r="D348">
        <v>3.99</v>
      </c>
      <c r="E348">
        <f t="shared" si="3"/>
        <v>3.99</v>
      </c>
      <c r="F348" t="s">
        <v>285</v>
      </c>
      <c r="G348" t="s">
        <v>301</v>
      </c>
      <c r="H348" s="72">
        <v>42045</v>
      </c>
    </row>
    <row r="349" spans="1:8" x14ac:dyDescent="0.2">
      <c r="A349" t="s">
        <v>551</v>
      </c>
      <c r="B349" s="83">
        <v>3</v>
      </c>
      <c r="C349" s="72">
        <v>42049</v>
      </c>
      <c r="D349">
        <v>3.69</v>
      </c>
      <c r="E349">
        <f t="shared" si="3"/>
        <v>11.07</v>
      </c>
      <c r="F349" t="s">
        <v>285</v>
      </c>
      <c r="G349" t="s">
        <v>301</v>
      </c>
      <c r="H349" s="72">
        <v>42045</v>
      </c>
    </row>
    <row r="350" spans="1:8" x14ac:dyDescent="0.2">
      <c r="A350" t="s">
        <v>547</v>
      </c>
      <c r="B350" s="83">
        <v>1</v>
      </c>
      <c r="C350" s="72">
        <v>42049</v>
      </c>
      <c r="D350">
        <v>5.09</v>
      </c>
      <c r="E350">
        <f t="shared" si="3"/>
        <v>5.09</v>
      </c>
      <c r="F350" t="s">
        <v>285</v>
      </c>
      <c r="G350" t="s">
        <v>301</v>
      </c>
      <c r="H350" s="72">
        <v>42045</v>
      </c>
    </row>
    <row r="351" spans="1:8" x14ac:dyDescent="0.2">
      <c r="A351" t="s">
        <v>548</v>
      </c>
      <c r="B351" s="83">
        <v>1</v>
      </c>
      <c r="C351" s="72">
        <v>42049</v>
      </c>
      <c r="D351">
        <v>17.59</v>
      </c>
      <c r="E351">
        <f t="shared" si="3"/>
        <v>17.59</v>
      </c>
      <c r="F351" t="s">
        <v>285</v>
      </c>
      <c r="G351" t="s">
        <v>301</v>
      </c>
      <c r="H351" s="72">
        <v>42045</v>
      </c>
    </row>
    <row r="352" spans="1:8" x14ac:dyDescent="0.2">
      <c r="A352" t="s">
        <v>549</v>
      </c>
      <c r="B352" s="83">
        <v>1</v>
      </c>
      <c r="C352" s="72">
        <v>42049</v>
      </c>
      <c r="D352">
        <v>7.98</v>
      </c>
      <c r="E352">
        <f t="shared" si="3"/>
        <v>7.98</v>
      </c>
      <c r="F352" t="s">
        <v>285</v>
      </c>
      <c r="G352" t="s">
        <v>301</v>
      </c>
      <c r="H352" s="72">
        <v>42045</v>
      </c>
    </row>
    <row r="353" spans="1:8" x14ac:dyDescent="0.2">
      <c r="A353" t="s">
        <v>244</v>
      </c>
      <c r="B353" s="83">
        <v>1</v>
      </c>
      <c r="C353" s="72">
        <v>42049</v>
      </c>
      <c r="D353">
        <v>8.4499999999999993</v>
      </c>
      <c r="E353">
        <f t="shared" si="3"/>
        <v>8.4499999999999993</v>
      </c>
      <c r="F353" t="s">
        <v>285</v>
      </c>
      <c r="G353" t="s">
        <v>301</v>
      </c>
      <c r="H353" s="72">
        <v>42045</v>
      </c>
    </row>
    <row r="354" spans="1:8" x14ac:dyDescent="0.2">
      <c r="A354" t="s">
        <v>550</v>
      </c>
      <c r="B354" s="83">
        <v>3</v>
      </c>
      <c r="C354" s="72">
        <v>42049</v>
      </c>
      <c r="D354">
        <v>1.25</v>
      </c>
      <c r="E354">
        <f t="shared" si="3"/>
        <v>3.75</v>
      </c>
      <c r="F354" t="s">
        <v>285</v>
      </c>
      <c r="G354" t="s">
        <v>301</v>
      </c>
      <c r="H354" s="72">
        <v>42045</v>
      </c>
    </row>
    <row r="355" spans="1:8" x14ac:dyDescent="0.2">
      <c r="A355" t="s">
        <v>552</v>
      </c>
      <c r="B355" s="83">
        <v>1</v>
      </c>
      <c r="C355" s="72">
        <v>42049</v>
      </c>
      <c r="D355">
        <v>4.49</v>
      </c>
      <c r="E355">
        <f t="shared" si="3"/>
        <v>4.49</v>
      </c>
      <c r="F355" t="s">
        <v>285</v>
      </c>
      <c r="G355" t="s">
        <v>301</v>
      </c>
      <c r="H355" s="72">
        <v>42045</v>
      </c>
    </row>
    <row r="356" spans="1:8" x14ac:dyDescent="0.2">
      <c r="A356" t="s">
        <v>553</v>
      </c>
      <c r="B356" s="83">
        <v>1</v>
      </c>
      <c r="C356" s="72">
        <v>42049</v>
      </c>
      <c r="D356">
        <v>5.21</v>
      </c>
      <c r="E356">
        <f t="shared" si="3"/>
        <v>5.21</v>
      </c>
      <c r="F356" t="s">
        <v>285</v>
      </c>
      <c r="G356" t="s">
        <v>301</v>
      </c>
      <c r="H356" s="72">
        <v>42045</v>
      </c>
    </row>
    <row r="357" spans="1:8" x14ac:dyDescent="0.2">
      <c r="A357" t="s">
        <v>554</v>
      </c>
      <c r="B357" s="83">
        <v>1</v>
      </c>
      <c r="C357" s="72">
        <v>42049</v>
      </c>
      <c r="D357">
        <v>8.9</v>
      </c>
      <c r="E357">
        <f t="shared" si="3"/>
        <v>8.9</v>
      </c>
      <c r="F357" t="s">
        <v>285</v>
      </c>
      <c r="G357" t="s">
        <v>301</v>
      </c>
      <c r="H357" s="72">
        <v>42045</v>
      </c>
    </row>
    <row r="358" spans="1:8" x14ac:dyDescent="0.2">
      <c r="A358" t="s">
        <v>423</v>
      </c>
      <c r="B358" s="83">
        <v>1</v>
      </c>
      <c r="C358" s="72">
        <v>42049</v>
      </c>
      <c r="D358">
        <v>11.9</v>
      </c>
      <c r="E358">
        <f t="shared" si="3"/>
        <v>11.9</v>
      </c>
      <c r="F358" t="s">
        <v>325</v>
      </c>
      <c r="G358" t="s">
        <v>301</v>
      </c>
      <c r="H358" s="72">
        <v>42045</v>
      </c>
    </row>
    <row r="359" spans="1:8" x14ac:dyDescent="0.2">
      <c r="A359" t="s">
        <v>555</v>
      </c>
      <c r="B359" s="83">
        <v>1</v>
      </c>
      <c r="C359" s="72">
        <v>42049</v>
      </c>
      <c r="D359">
        <v>18.89</v>
      </c>
      <c r="E359">
        <f t="shared" si="3"/>
        <v>18.89</v>
      </c>
      <c r="F359" t="s">
        <v>285</v>
      </c>
      <c r="G359" t="s">
        <v>301</v>
      </c>
      <c r="H359" s="72">
        <v>42045</v>
      </c>
    </row>
    <row r="360" spans="1:8" x14ac:dyDescent="0.2">
      <c r="A360" t="s">
        <v>556</v>
      </c>
      <c r="B360" s="83">
        <v>1</v>
      </c>
      <c r="C360" s="72">
        <v>42049</v>
      </c>
      <c r="D360">
        <v>8.25</v>
      </c>
      <c r="E360">
        <f t="shared" si="3"/>
        <v>8.25</v>
      </c>
      <c r="F360" t="s">
        <v>285</v>
      </c>
      <c r="G360" t="s">
        <v>301</v>
      </c>
      <c r="H360" s="72">
        <v>42045</v>
      </c>
    </row>
    <row r="361" spans="1:8" x14ac:dyDescent="0.2">
      <c r="A361" t="s">
        <v>557</v>
      </c>
      <c r="B361" s="83">
        <v>1</v>
      </c>
      <c r="C361" s="72">
        <v>42049</v>
      </c>
      <c r="D361">
        <v>4.99</v>
      </c>
      <c r="E361">
        <f t="shared" si="3"/>
        <v>4.99</v>
      </c>
      <c r="F361" t="s">
        <v>227</v>
      </c>
      <c r="G361" t="s">
        <v>301</v>
      </c>
      <c r="H361" s="72">
        <v>42045</v>
      </c>
    </row>
    <row r="362" spans="1:8" x14ac:dyDescent="0.2">
      <c r="A362" t="s">
        <v>558</v>
      </c>
      <c r="B362" s="83">
        <v>1</v>
      </c>
      <c r="C362" s="72">
        <v>42049</v>
      </c>
      <c r="D362">
        <v>4.29</v>
      </c>
      <c r="E362">
        <f t="shared" si="3"/>
        <v>4.29</v>
      </c>
      <c r="F362" t="s">
        <v>704</v>
      </c>
      <c r="G362" t="s">
        <v>301</v>
      </c>
      <c r="H362" s="72">
        <v>42045</v>
      </c>
    </row>
    <row r="363" spans="1:8" x14ac:dyDescent="0.2">
      <c r="A363" t="s">
        <v>558</v>
      </c>
      <c r="B363" s="83">
        <v>1</v>
      </c>
      <c r="C363" s="72">
        <v>42049</v>
      </c>
      <c r="D363">
        <v>3.69</v>
      </c>
      <c r="E363">
        <f t="shared" si="3"/>
        <v>3.69</v>
      </c>
      <c r="F363" t="s">
        <v>704</v>
      </c>
      <c r="G363" t="s">
        <v>301</v>
      </c>
      <c r="H363" s="72">
        <v>42045</v>
      </c>
    </row>
    <row r="364" spans="1:8" x14ac:dyDescent="0.2">
      <c r="A364" t="s">
        <v>280</v>
      </c>
      <c r="B364" s="83">
        <v>1</v>
      </c>
      <c r="C364" s="72">
        <v>42049</v>
      </c>
      <c r="D364">
        <v>11.29</v>
      </c>
      <c r="E364">
        <f t="shared" si="3"/>
        <v>11.29</v>
      </c>
      <c r="F364" t="s">
        <v>225</v>
      </c>
      <c r="G364" t="s">
        <v>301</v>
      </c>
      <c r="H364" s="72">
        <v>42045</v>
      </c>
    </row>
    <row r="365" spans="1:8" x14ac:dyDescent="0.2">
      <c r="A365" t="s">
        <v>223</v>
      </c>
      <c r="B365" s="83">
        <v>2</v>
      </c>
      <c r="C365" s="72">
        <v>42049</v>
      </c>
      <c r="D365">
        <v>15.99</v>
      </c>
      <c r="E365">
        <f t="shared" si="3"/>
        <v>31.98</v>
      </c>
      <c r="F365" t="s">
        <v>225</v>
      </c>
      <c r="G365" t="s">
        <v>301</v>
      </c>
      <c r="H365" s="72">
        <v>42045</v>
      </c>
    </row>
    <row r="366" spans="1:8" x14ac:dyDescent="0.2">
      <c r="A366" t="s">
        <v>612</v>
      </c>
      <c r="B366" s="83">
        <v>1</v>
      </c>
      <c r="C366" s="72">
        <v>42049</v>
      </c>
      <c r="D366">
        <v>1.99</v>
      </c>
      <c r="E366">
        <f t="shared" si="3"/>
        <v>1.99</v>
      </c>
      <c r="F366" t="s">
        <v>467</v>
      </c>
      <c r="G366" t="s">
        <v>301</v>
      </c>
      <c r="H366" s="72">
        <v>42045</v>
      </c>
    </row>
    <row r="367" spans="1:8" x14ac:dyDescent="0.2">
      <c r="A367" t="s">
        <v>559</v>
      </c>
      <c r="B367" s="83">
        <v>1</v>
      </c>
      <c r="C367" s="72">
        <v>42049</v>
      </c>
      <c r="D367">
        <v>2.89</v>
      </c>
      <c r="E367">
        <f t="shared" si="3"/>
        <v>2.89</v>
      </c>
      <c r="F367" t="s">
        <v>467</v>
      </c>
      <c r="G367" t="s">
        <v>301</v>
      </c>
      <c r="H367" s="72">
        <v>42045</v>
      </c>
    </row>
    <row r="368" spans="1:8" x14ac:dyDescent="0.2">
      <c r="A368" t="s">
        <v>560</v>
      </c>
      <c r="B368" s="83">
        <v>1</v>
      </c>
      <c r="C368" s="72">
        <v>42049</v>
      </c>
      <c r="D368">
        <v>5.28</v>
      </c>
      <c r="E368">
        <f t="shared" si="3"/>
        <v>5.28</v>
      </c>
      <c r="F368" t="s">
        <v>467</v>
      </c>
      <c r="G368" t="s">
        <v>301</v>
      </c>
      <c r="H368" s="72">
        <v>42045</v>
      </c>
    </row>
    <row r="369" spans="1:8" x14ac:dyDescent="0.2">
      <c r="A369" t="s">
        <v>561</v>
      </c>
      <c r="B369" s="83">
        <v>3</v>
      </c>
      <c r="C369" s="72">
        <v>42049</v>
      </c>
      <c r="D369">
        <v>2.59</v>
      </c>
      <c r="E369">
        <f t="shared" si="3"/>
        <v>7.77</v>
      </c>
      <c r="F369" t="s">
        <v>218</v>
      </c>
      <c r="G369" t="s">
        <v>301</v>
      </c>
      <c r="H369" s="72">
        <v>42045</v>
      </c>
    </row>
    <row r="370" spans="1:8" x14ac:dyDescent="0.2">
      <c r="A370" t="s">
        <v>562</v>
      </c>
      <c r="B370" s="83">
        <v>2</v>
      </c>
      <c r="C370" s="72">
        <v>42049</v>
      </c>
      <c r="D370">
        <v>4.49</v>
      </c>
      <c r="E370">
        <f t="shared" si="3"/>
        <v>8.98</v>
      </c>
      <c r="F370" t="s">
        <v>225</v>
      </c>
      <c r="G370" t="s">
        <v>301</v>
      </c>
      <c r="H370" s="72">
        <v>42045</v>
      </c>
    </row>
    <row r="371" spans="1:8" x14ac:dyDescent="0.2">
      <c r="A371" t="s">
        <v>571</v>
      </c>
      <c r="B371" s="83">
        <v>1</v>
      </c>
      <c r="C371" s="72">
        <v>42049</v>
      </c>
      <c r="D371">
        <v>16.79</v>
      </c>
      <c r="E371">
        <f t="shared" si="3"/>
        <v>16.79</v>
      </c>
      <c r="F371" t="s">
        <v>270</v>
      </c>
      <c r="G371" t="s">
        <v>301</v>
      </c>
      <c r="H371" s="72">
        <v>42045</v>
      </c>
    </row>
    <row r="372" spans="1:8" x14ac:dyDescent="0.2">
      <c r="A372" t="s">
        <v>267</v>
      </c>
      <c r="B372" s="83">
        <v>1</v>
      </c>
      <c r="C372" s="72">
        <v>42049</v>
      </c>
      <c r="D372">
        <v>7.39</v>
      </c>
      <c r="E372">
        <f t="shared" si="3"/>
        <v>7.39</v>
      </c>
      <c r="F372" t="s">
        <v>620</v>
      </c>
      <c r="G372" t="s">
        <v>301</v>
      </c>
      <c r="H372" s="72">
        <v>42045</v>
      </c>
    </row>
    <row r="373" spans="1:8" x14ac:dyDescent="0.2">
      <c r="A373" t="s">
        <v>563</v>
      </c>
      <c r="B373" s="83">
        <v>0.76500000000000001</v>
      </c>
      <c r="C373" s="72">
        <v>42049</v>
      </c>
      <c r="D373">
        <v>8.4499999999999993</v>
      </c>
      <c r="E373">
        <f t="shared" si="3"/>
        <v>6.4642499999999998</v>
      </c>
      <c r="F373" t="s">
        <v>282</v>
      </c>
      <c r="G373" t="s">
        <v>302</v>
      </c>
      <c r="H373" s="72">
        <v>42045</v>
      </c>
    </row>
    <row r="374" spans="1:8" x14ac:dyDescent="0.2">
      <c r="A374" t="s">
        <v>316</v>
      </c>
      <c r="B374" s="83">
        <v>0.755</v>
      </c>
      <c r="C374" s="72">
        <v>42049</v>
      </c>
      <c r="D374">
        <v>3.69</v>
      </c>
      <c r="E374">
        <f t="shared" si="3"/>
        <v>2.7859500000000001</v>
      </c>
      <c r="F374" t="s">
        <v>283</v>
      </c>
      <c r="G374" t="s">
        <v>302</v>
      </c>
      <c r="H374" s="72">
        <v>42045</v>
      </c>
    </row>
    <row r="375" spans="1:8" x14ac:dyDescent="0.2">
      <c r="A375" t="s">
        <v>310</v>
      </c>
      <c r="B375" s="83">
        <v>0.33500000000000002</v>
      </c>
      <c r="C375" s="72">
        <v>42049</v>
      </c>
      <c r="D375">
        <v>3.99</v>
      </c>
      <c r="E375">
        <f t="shared" si="3"/>
        <v>1.3366500000000001</v>
      </c>
      <c r="F375" t="s">
        <v>283</v>
      </c>
      <c r="G375" t="s">
        <v>302</v>
      </c>
      <c r="H375" s="72">
        <v>42045</v>
      </c>
    </row>
    <row r="376" spans="1:8" x14ac:dyDescent="0.2">
      <c r="A376" t="s">
        <v>307</v>
      </c>
      <c r="B376" s="83">
        <v>0.76500000000000001</v>
      </c>
      <c r="C376" s="72">
        <v>42049</v>
      </c>
      <c r="D376">
        <v>1.99</v>
      </c>
      <c r="E376">
        <f t="shared" si="3"/>
        <v>1.5223500000000001</v>
      </c>
      <c r="F376" t="s">
        <v>283</v>
      </c>
      <c r="G376" t="s">
        <v>302</v>
      </c>
      <c r="H376" s="72">
        <v>42045</v>
      </c>
    </row>
    <row r="377" spans="1:8" x14ac:dyDescent="0.2">
      <c r="A377" t="s">
        <v>315</v>
      </c>
      <c r="B377" s="83">
        <v>2.3450000000000002</v>
      </c>
      <c r="C377" s="72">
        <v>42049</v>
      </c>
      <c r="D377">
        <v>1.99</v>
      </c>
      <c r="E377">
        <f t="shared" si="3"/>
        <v>4.66655</v>
      </c>
      <c r="F377" t="s">
        <v>283</v>
      </c>
      <c r="G377" t="s">
        <v>302</v>
      </c>
      <c r="H377" s="72">
        <v>42045</v>
      </c>
    </row>
    <row r="378" spans="1:8" x14ac:dyDescent="0.2">
      <c r="A378" t="s">
        <v>211</v>
      </c>
      <c r="B378" s="83">
        <v>1</v>
      </c>
      <c r="C378" s="72">
        <v>42049</v>
      </c>
      <c r="D378">
        <v>3.48</v>
      </c>
      <c r="E378">
        <f t="shared" si="3"/>
        <v>3.48</v>
      </c>
      <c r="F378" t="s">
        <v>211</v>
      </c>
      <c r="G378" t="s">
        <v>301</v>
      </c>
      <c r="H378" s="72">
        <v>42045</v>
      </c>
    </row>
    <row r="379" spans="1:8" x14ac:dyDescent="0.2">
      <c r="A379" t="s">
        <v>440</v>
      </c>
      <c r="B379" s="83">
        <v>0.53500000000000003</v>
      </c>
      <c r="C379" s="72">
        <v>42049</v>
      </c>
      <c r="D379">
        <v>7.69</v>
      </c>
      <c r="E379">
        <f t="shared" si="3"/>
        <v>4.1141500000000004</v>
      </c>
      <c r="F379" t="s">
        <v>283</v>
      </c>
      <c r="G379" t="s">
        <v>302</v>
      </c>
      <c r="H379" s="72">
        <v>42045</v>
      </c>
    </row>
    <row r="380" spans="1:8" x14ac:dyDescent="0.2">
      <c r="A380" t="s">
        <v>310</v>
      </c>
      <c r="B380" s="83">
        <v>0.63500000000000001</v>
      </c>
      <c r="C380" s="72">
        <v>42049</v>
      </c>
      <c r="D380">
        <v>2.99</v>
      </c>
      <c r="E380">
        <f t="shared" si="3"/>
        <v>1.8986500000000002</v>
      </c>
      <c r="F380" t="s">
        <v>283</v>
      </c>
      <c r="G380" t="s">
        <v>302</v>
      </c>
      <c r="H380" s="72">
        <v>42045</v>
      </c>
    </row>
    <row r="381" spans="1:8" x14ac:dyDescent="0.2">
      <c r="A381" t="s">
        <v>564</v>
      </c>
      <c r="B381" s="83">
        <v>0.47</v>
      </c>
      <c r="C381" s="72">
        <v>42049</v>
      </c>
      <c r="D381">
        <v>15.4</v>
      </c>
      <c r="E381">
        <f t="shared" si="3"/>
        <v>7.2379999999999995</v>
      </c>
      <c r="F381" t="s">
        <v>616</v>
      </c>
      <c r="G381" t="s">
        <v>302</v>
      </c>
      <c r="H381" s="72">
        <v>42045</v>
      </c>
    </row>
    <row r="382" spans="1:8" x14ac:dyDescent="0.2">
      <c r="A382" t="s">
        <v>565</v>
      </c>
      <c r="B382" s="83">
        <v>0.37</v>
      </c>
      <c r="C382" s="72">
        <v>42049</v>
      </c>
      <c r="D382">
        <v>48.9</v>
      </c>
      <c r="E382">
        <f t="shared" si="3"/>
        <v>18.093</v>
      </c>
      <c r="F382" t="s">
        <v>611</v>
      </c>
      <c r="G382" t="s">
        <v>302</v>
      </c>
      <c r="H382" s="72">
        <v>42045</v>
      </c>
    </row>
    <row r="383" spans="1:8" x14ac:dyDescent="0.2">
      <c r="A383" t="s">
        <v>471</v>
      </c>
      <c r="B383" s="83">
        <v>0.502</v>
      </c>
      <c r="C383" s="72">
        <v>42049</v>
      </c>
      <c r="D383">
        <v>29.9</v>
      </c>
      <c r="E383">
        <f t="shared" si="3"/>
        <v>15.009799999999998</v>
      </c>
      <c r="F383" t="s">
        <v>611</v>
      </c>
      <c r="G383" t="s">
        <v>302</v>
      </c>
      <c r="H383" s="72">
        <v>42045</v>
      </c>
    </row>
    <row r="384" spans="1:8" x14ac:dyDescent="0.2">
      <c r="A384" t="s">
        <v>566</v>
      </c>
      <c r="B384" s="83">
        <v>0.70599999999999996</v>
      </c>
      <c r="C384" s="72">
        <v>42049</v>
      </c>
      <c r="D384">
        <v>24.99</v>
      </c>
      <c r="E384">
        <f t="shared" si="3"/>
        <v>17.642939999999999</v>
      </c>
      <c r="F384" t="s">
        <v>611</v>
      </c>
      <c r="G384" t="s">
        <v>302</v>
      </c>
      <c r="H384" s="72">
        <v>42045</v>
      </c>
    </row>
    <row r="385" spans="1:8" x14ac:dyDescent="0.2">
      <c r="A385" t="s">
        <v>567</v>
      </c>
      <c r="B385" s="83">
        <v>0.58599999999999997</v>
      </c>
      <c r="C385" s="72">
        <v>42049</v>
      </c>
      <c r="D385">
        <v>15.99</v>
      </c>
      <c r="E385">
        <f t="shared" si="3"/>
        <v>9.3701399999999992</v>
      </c>
      <c r="F385" t="s">
        <v>282</v>
      </c>
      <c r="G385" t="s">
        <v>302</v>
      </c>
      <c r="H385" s="72">
        <v>42045</v>
      </c>
    </row>
    <row r="386" spans="1:8" x14ac:dyDescent="0.2">
      <c r="A386" t="s">
        <v>272</v>
      </c>
      <c r="B386" s="83">
        <v>1</v>
      </c>
      <c r="C386" s="72">
        <v>42049</v>
      </c>
      <c r="D386">
        <v>5</v>
      </c>
      <c r="E386">
        <f t="shared" si="3"/>
        <v>5</v>
      </c>
      <c r="F386" t="s">
        <v>617</v>
      </c>
      <c r="G386" t="s">
        <v>301</v>
      </c>
      <c r="H386" s="72">
        <v>42045</v>
      </c>
    </row>
    <row r="387" spans="1:8" x14ac:dyDescent="0.2">
      <c r="A387" t="s">
        <v>568</v>
      </c>
      <c r="B387" s="83">
        <v>3.6</v>
      </c>
      <c r="C387" s="72">
        <v>42049</v>
      </c>
      <c r="D387">
        <v>1.79</v>
      </c>
      <c r="E387">
        <f t="shared" si="3"/>
        <v>6.444</v>
      </c>
      <c r="F387" t="s">
        <v>282</v>
      </c>
      <c r="G387" t="s">
        <v>302</v>
      </c>
      <c r="H387" s="72">
        <v>42045</v>
      </c>
    </row>
    <row r="388" spans="1:8" x14ac:dyDescent="0.2">
      <c r="A388" t="s">
        <v>569</v>
      </c>
      <c r="B388" s="83">
        <v>0.51500000000000001</v>
      </c>
      <c r="C388" s="72">
        <v>42049</v>
      </c>
      <c r="D388">
        <v>4.99</v>
      </c>
      <c r="E388">
        <f t="shared" si="3"/>
        <v>2.5698500000000002</v>
      </c>
      <c r="F388" t="s">
        <v>282</v>
      </c>
      <c r="G388" t="s">
        <v>302</v>
      </c>
      <c r="H388" s="72">
        <v>42045</v>
      </c>
    </row>
    <row r="389" spans="1:8" x14ac:dyDescent="0.2">
      <c r="A389" t="s">
        <v>570</v>
      </c>
      <c r="B389" s="83">
        <v>1</v>
      </c>
      <c r="C389" s="72">
        <v>42049</v>
      </c>
      <c r="D389">
        <v>10.99</v>
      </c>
      <c r="E389">
        <f t="shared" si="3"/>
        <v>10.99</v>
      </c>
      <c r="F389" t="s">
        <v>617</v>
      </c>
      <c r="G389" t="s">
        <v>302</v>
      </c>
      <c r="H389" s="72">
        <v>42045</v>
      </c>
    </row>
    <row r="390" spans="1:8" x14ac:dyDescent="0.2">
      <c r="A390" t="s">
        <v>182</v>
      </c>
      <c r="B390" s="83">
        <v>1</v>
      </c>
      <c r="C390" s="72">
        <v>42049</v>
      </c>
      <c r="D390">
        <v>19.41</v>
      </c>
      <c r="E390">
        <f t="shared" si="3"/>
        <v>19.41</v>
      </c>
      <c r="F390" t="s">
        <v>224</v>
      </c>
      <c r="G390" t="s">
        <v>301</v>
      </c>
      <c r="H390" s="72">
        <v>42045</v>
      </c>
    </row>
    <row r="391" spans="1:8" x14ac:dyDescent="0.2">
      <c r="A391" t="s">
        <v>600</v>
      </c>
      <c r="B391" s="83">
        <v>1</v>
      </c>
      <c r="C391" s="72">
        <v>42049</v>
      </c>
      <c r="D391">
        <v>2.98</v>
      </c>
      <c r="E391">
        <f t="shared" si="3"/>
        <v>2.98</v>
      </c>
      <c r="F391" t="s">
        <v>467</v>
      </c>
      <c r="G391" t="s">
        <v>301</v>
      </c>
      <c r="H391" s="72">
        <v>42045</v>
      </c>
    </row>
    <row r="392" spans="1:8" x14ac:dyDescent="0.2">
      <c r="A392" t="s">
        <v>252</v>
      </c>
      <c r="B392" s="83">
        <v>1</v>
      </c>
      <c r="C392" s="72">
        <v>42049</v>
      </c>
      <c r="D392">
        <v>6.65</v>
      </c>
      <c r="E392">
        <f t="shared" si="3"/>
        <v>6.65</v>
      </c>
      <c r="F392" t="s">
        <v>470</v>
      </c>
      <c r="G392" t="s">
        <v>301</v>
      </c>
      <c r="H392" s="72">
        <v>42045</v>
      </c>
    </row>
    <row r="393" spans="1:8" x14ac:dyDescent="0.2">
      <c r="A393" t="s">
        <v>421</v>
      </c>
      <c r="B393" s="83">
        <v>2</v>
      </c>
      <c r="C393" s="72">
        <v>42051</v>
      </c>
      <c r="D393">
        <v>4.29</v>
      </c>
      <c r="E393">
        <f t="shared" si="3"/>
        <v>8.58</v>
      </c>
      <c r="F393" t="s">
        <v>470</v>
      </c>
      <c r="G393" t="s">
        <v>301</v>
      </c>
      <c r="H393" s="72">
        <v>42045</v>
      </c>
    </row>
    <row r="394" spans="1:8" x14ac:dyDescent="0.2">
      <c r="A394" t="s">
        <v>439</v>
      </c>
      <c r="B394" s="83">
        <v>1</v>
      </c>
      <c r="C394" s="72">
        <v>42051</v>
      </c>
      <c r="D394">
        <v>1.19</v>
      </c>
      <c r="E394">
        <f t="shared" si="3"/>
        <v>1.19</v>
      </c>
      <c r="F394" t="s">
        <v>470</v>
      </c>
      <c r="G394" t="s">
        <v>301</v>
      </c>
      <c r="H394" s="72">
        <v>42045</v>
      </c>
    </row>
    <row r="395" spans="1:8" x14ac:dyDescent="0.2">
      <c r="A395" t="s">
        <v>572</v>
      </c>
      <c r="B395" s="83">
        <v>1</v>
      </c>
      <c r="C395" s="72">
        <v>42051</v>
      </c>
      <c r="D395">
        <v>3.38</v>
      </c>
      <c r="E395">
        <f t="shared" si="3"/>
        <v>3.38</v>
      </c>
      <c r="F395" t="s">
        <v>676</v>
      </c>
      <c r="G395" t="s">
        <v>301</v>
      </c>
      <c r="H395" s="72">
        <v>42045</v>
      </c>
    </row>
    <row r="396" spans="1:8" x14ac:dyDescent="0.2">
      <c r="A396" t="s">
        <v>573</v>
      </c>
      <c r="B396" s="83">
        <v>1</v>
      </c>
      <c r="C396" s="72">
        <v>42051</v>
      </c>
      <c r="D396">
        <v>4.6900000000000004</v>
      </c>
      <c r="E396">
        <f t="shared" si="3"/>
        <v>4.6900000000000004</v>
      </c>
      <c r="F396" t="s">
        <v>621</v>
      </c>
      <c r="G396" t="s">
        <v>301</v>
      </c>
      <c r="H396" s="72">
        <v>42045</v>
      </c>
    </row>
    <row r="397" spans="1:8" x14ac:dyDescent="0.2">
      <c r="A397" t="s">
        <v>112</v>
      </c>
      <c r="B397" s="83">
        <v>1</v>
      </c>
      <c r="C397" s="72">
        <v>42051</v>
      </c>
      <c r="D397">
        <v>3.39</v>
      </c>
      <c r="E397">
        <f t="shared" si="3"/>
        <v>3.39</v>
      </c>
      <c r="F397" t="s">
        <v>450</v>
      </c>
      <c r="G397" t="s">
        <v>301</v>
      </c>
      <c r="H397" s="72">
        <v>42045</v>
      </c>
    </row>
    <row r="398" spans="1:8" x14ac:dyDescent="0.2">
      <c r="A398" t="s">
        <v>221</v>
      </c>
      <c r="B398" s="83">
        <v>1</v>
      </c>
      <c r="C398" s="72">
        <v>42051</v>
      </c>
      <c r="D398">
        <v>4.8899999999999997</v>
      </c>
      <c r="E398">
        <f t="shared" si="3"/>
        <v>4.8899999999999997</v>
      </c>
      <c r="F398" t="s">
        <v>283</v>
      </c>
      <c r="G398" t="s">
        <v>301</v>
      </c>
      <c r="H398" s="72">
        <v>42045</v>
      </c>
    </row>
    <row r="399" spans="1:8" x14ac:dyDescent="0.2">
      <c r="A399" t="s">
        <v>574</v>
      </c>
      <c r="B399" s="83">
        <v>1</v>
      </c>
      <c r="C399" s="72">
        <v>42051</v>
      </c>
      <c r="D399">
        <v>14.99</v>
      </c>
      <c r="E399">
        <f t="shared" si="3"/>
        <v>14.99</v>
      </c>
      <c r="F399" t="s">
        <v>617</v>
      </c>
      <c r="G399" t="s">
        <v>301</v>
      </c>
      <c r="H399" s="72">
        <v>42045</v>
      </c>
    </row>
    <row r="400" spans="1:8" x14ac:dyDescent="0.2">
      <c r="A400" t="s">
        <v>575</v>
      </c>
      <c r="B400" s="83">
        <v>1</v>
      </c>
      <c r="C400" s="72">
        <v>42051</v>
      </c>
      <c r="D400">
        <v>6.99</v>
      </c>
      <c r="E400">
        <f t="shared" si="3"/>
        <v>6.99</v>
      </c>
      <c r="F400" t="s">
        <v>622</v>
      </c>
      <c r="G400" t="s">
        <v>301</v>
      </c>
      <c r="H400" s="72">
        <v>42045</v>
      </c>
    </row>
    <row r="401" spans="1:8" x14ac:dyDescent="0.2">
      <c r="A401" t="s">
        <v>576</v>
      </c>
      <c r="B401" s="83">
        <v>1</v>
      </c>
      <c r="C401" s="72">
        <v>42051</v>
      </c>
      <c r="D401">
        <v>5.99</v>
      </c>
      <c r="E401">
        <f t="shared" si="3"/>
        <v>5.99</v>
      </c>
      <c r="F401" t="s">
        <v>624</v>
      </c>
      <c r="G401" t="s">
        <v>301</v>
      </c>
      <c r="H401" s="72">
        <v>42045</v>
      </c>
    </row>
    <row r="402" spans="1:8" x14ac:dyDescent="0.2">
      <c r="A402" t="s">
        <v>577</v>
      </c>
      <c r="B402" s="83">
        <v>1</v>
      </c>
      <c r="C402" s="72">
        <v>42051</v>
      </c>
      <c r="D402">
        <v>9.39</v>
      </c>
      <c r="E402">
        <f t="shared" si="3"/>
        <v>9.39</v>
      </c>
      <c r="F402" t="s">
        <v>290</v>
      </c>
      <c r="G402" t="s">
        <v>301</v>
      </c>
      <c r="H402" s="72">
        <v>42045</v>
      </c>
    </row>
    <row r="403" spans="1:8" x14ac:dyDescent="0.2">
      <c r="A403" t="s">
        <v>578</v>
      </c>
      <c r="B403" s="83">
        <v>1</v>
      </c>
      <c r="C403" s="72">
        <v>42051</v>
      </c>
      <c r="D403">
        <v>8.39</v>
      </c>
      <c r="E403">
        <f t="shared" si="3"/>
        <v>8.39</v>
      </c>
      <c r="F403" t="s">
        <v>325</v>
      </c>
      <c r="G403" t="s">
        <v>301</v>
      </c>
      <c r="H403" s="72">
        <v>42045</v>
      </c>
    </row>
    <row r="404" spans="1:8" x14ac:dyDescent="0.2">
      <c r="A404" t="s">
        <v>252</v>
      </c>
      <c r="B404" s="83">
        <v>1</v>
      </c>
      <c r="C404" s="72">
        <v>42056</v>
      </c>
      <c r="D404">
        <v>6.49</v>
      </c>
      <c r="E404">
        <f t="shared" si="3"/>
        <v>6.49</v>
      </c>
      <c r="F404" t="s">
        <v>470</v>
      </c>
      <c r="G404" t="s">
        <v>301</v>
      </c>
      <c r="H404" s="72">
        <v>42045</v>
      </c>
    </row>
    <row r="405" spans="1:8" x14ac:dyDescent="0.2">
      <c r="A405" t="s">
        <v>592</v>
      </c>
      <c r="B405" s="83">
        <v>1</v>
      </c>
      <c r="C405" s="72">
        <v>42056</v>
      </c>
      <c r="D405">
        <v>6.79</v>
      </c>
      <c r="E405">
        <f t="shared" si="3"/>
        <v>6.79</v>
      </c>
      <c r="F405" t="s">
        <v>450</v>
      </c>
      <c r="G405" t="s">
        <v>301</v>
      </c>
      <c r="H405" s="72">
        <v>42045</v>
      </c>
    </row>
    <row r="406" spans="1:8" x14ac:dyDescent="0.2">
      <c r="A406" t="s">
        <v>593</v>
      </c>
      <c r="B406" s="83">
        <v>1</v>
      </c>
      <c r="C406" s="72">
        <v>42056</v>
      </c>
      <c r="D406">
        <v>9.48</v>
      </c>
      <c r="E406">
        <f t="shared" si="3"/>
        <v>9.48</v>
      </c>
      <c r="F406" t="s">
        <v>450</v>
      </c>
      <c r="G406" t="s">
        <v>301</v>
      </c>
      <c r="H406" s="72">
        <v>42045</v>
      </c>
    </row>
    <row r="407" spans="1:8" x14ac:dyDescent="0.2">
      <c r="A407" t="s">
        <v>594</v>
      </c>
      <c r="B407" s="83">
        <v>1</v>
      </c>
      <c r="C407" s="72">
        <v>42056</v>
      </c>
      <c r="D407">
        <v>7.49</v>
      </c>
      <c r="E407">
        <f t="shared" si="3"/>
        <v>7.49</v>
      </c>
      <c r="F407" t="s">
        <v>470</v>
      </c>
      <c r="G407" t="s">
        <v>301</v>
      </c>
      <c r="H407" s="72">
        <v>42045</v>
      </c>
    </row>
    <row r="408" spans="1:8" x14ac:dyDescent="0.2">
      <c r="A408" t="s">
        <v>595</v>
      </c>
      <c r="B408" s="83">
        <v>1</v>
      </c>
      <c r="C408" s="72">
        <v>42056</v>
      </c>
      <c r="D408">
        <v>5.99</v>
      </c>
      <c r="E408">
        <f t="shared" si="3"/>
        <v>5.99</v>
      </c>
      <c r="F408" t="s">
        <v>617</v>
      </c>
      <c r="G408" t="s">
        <v>301</v>
      </c>
      <c r="H408" s="72">
        <v>42045</v>
      </c>
    </row>
    <row r="409" spans="1:8" x14ac:dyDescent="0.2">
      <c r="A409" t="s">
        <v>596</v>
      </c>
      <c r="B409" s="83">
        <v>1</v>
      </c>
      <c r="C409" s="72">
        <v>42056</v>
      </c>
      <c r="D409">
        <v>9.2899999999999991</v>
      </c>
      <c r="E409">
        <f t="shared" si="3"/>
        <v>9.2899999999999991</v>
      </c>
      <c r="F409" t="s">
        <v>470</v>
      </c>
      <c r="G409" t="s">
        <v>301</v>
      </c>
      <c r="H409" s="72">
        <v>42045</v>
      </c>
    </row>
    <row r="410" spans="1:8" x14ac:dyDescent="0.2">
      <c r="A410" t="s">
        <v>597</v>
      </c>
      <c r="B410" s="83">
        <v>1</v>
      </c>
      <c r="C410" s="72">
        <v>42056</v>
      </c>
      <c r="D410">
        <v>14.99</v>
      </c>
      <c r="E410">
        <f t="shared" si="3"/>
        <v>14.99</v>
      </c>
      <c r="F410" t="s">
        <v>224</v>
      </c>
      <c r="G410" t="s">
        <v>301</v>
      </c>
      <c r="H410" s="72">
        <v>42045</v>
      </c>
    </row>
    <row r="411" spans="1:8" x14ac:dyDescent="0.2">
      <c r="A411" t="s">
        <v>421</v>
      </c>
      <c r="B411" s="83">
        <v>1</v>
      </c>
      <c r="C411" s="72">
        <v>42056</v>
      </c>
      <c r="D411">
        <v>1.79</v>
      </c>
      <c r="E411">
        <f t="shared" si="3"/>
        <v>1.79</v>
      </c>
      <c r="F411" t="s">
        <v>470</v>
      </c>
      <c r="G411" t="s">
        <v>301</v>
      </c>
      <c r="H411" s="72">
        <v>42045</v>
      </c>
    </row>
    <row r="412" spans="1:8" x14ac:dyDescent="0.2">
      <c r="A412" t="s">
        <v>594</v>
      </c>
      <c r="B412" s="83">
        <v>1</v>
      </c>
      <c r="C412" s="72">
        <v>42056</v>
      </c>
      <c r="D412">
        <v>1.79</v>
      </c>
      <c r="E412">
        <f t="shared" si="3"/>
        <v>1.79</v>
      </c>
      <c r="F412" t="s">
        <v>470</v>
      </c>
      <c r="G412" t="s">
        <v>301</v>
      </c>
      <c r="H412" s="72">
        <v>42045</v>
      </c>
    </row>
    <row r="413" spans="1:8" x14ac:dyDescent="0.2">
      <c r="A413" t="s">
        <v>223</v>
      </c>
      <c r="B413" s="83">
        <v>1</v>
      </c>
      <c r="C413" s="72">
        <v>42056</v>
      </c>
      <c r="D413">
        <v>15.99</v>
      </c>
      <c r="E413">
        <f t="shared" si="3"/>
        <v>15.99</v>
      </c>
      <c r="F413" t="s">
        <v>225</v>
      </c>
      <c r="G413" t="s">
        <v>301</v>
      </c>
      <c r="H413" s="72">
        <v>42045</v>
      </c>
    </row>
    <row r="414" spans="1:8" x14ac:dyDescent="0.2">
      <c r="A414" t="s">
        <v>298</v>
      </c>
      <c r="B414" s="83">
        <v>0.19800000000000001</v>
      </c>
      <c r="C414" s="72">
        <v>42056</v>
      </c>
      <c r="D414">
        <v>20.6</v>
      </c>
      <c r="E414">
        <f t="shared" si="3"/>
        <v>4.0788000000000002</v>
      </c>
      <c r="F414" t="s">
        <v>676</v>
      </c>
      <c r="G414" t="s">
        <v>302</v>
      </c>
      <c r="H414" s="72">
        <v>42045</v>
      </c>
    </row>
    <row r="415" spans="1:8" x14ac:dyDescent="0.2">
      <c r="A415" t="s">
        <v>598</v>
      </c>
      <c r="B415" s="83">
        <v>0.39</v>
      </c>
      <c r="C415" s="72">
        <v>42056</v>
      </c>
      <c r="D415">
        <v>24.39</v>
      </c>
      <c r="E415">
        <f t="shared" si="3"/>
        <v>9.5121000000000002</v>
      </c>
      <c r="F415" t="s">
        <v>676</v>
      </c>
      <c r="G415" t="s">
        <v>302</v>
      </c>
      <c r="H415" s="72">
        <v>42045</v>
      </c>
    </row>
    <row r="416" spans="1:8" x14ac:dyDescent="0.2">
      <c r="A416" t="s">
        <v>299</v>
      </c>
      <c r="B416" s="83">
        <v>0.20200000000000001</v>
      </c>
      <c r="C416" s="72">
        <v>42056</v>
      </c>
      <c r="D416">
        <v>35.35</v>
      </c>
      <c r="E416">
        <f t="shared" si="3"/>
        <v>7.1407000000000007</v>
      </c>
      <c r="F416" t="s">
        <v>676</v>
      </c>
      <c r="G416" t="s">
        <v>302</v>
      </c>
      <c r="H416" s="72">
        <v>42045</v>
      </c>
    </row>
    <row r="417" spans="1:8" x14ac:dyDescent="0.2">
      <c r="A417" t="s">
        <v>292</v>
      </c>
      <c r="B417" s="83">
        <v>1</v>
      </c>
      <c r="C417" s="72">
        <v>42056</v>
      </c>
      <c r="D417">
        <v>10.69</v>
      </c>
      <c r="E417">
        <f t="shared" si="3"/>
        <v>10.69</v>
      </c>
      <c r="F417" t="s">
        <v>617</v>
      </c>
      <c r="G417" t="s">
        <v>301</v>
      </c>
      <c r="H417" s="72">
        <v>42045</v>
      </c>
    </row>
    <row r="418" spans="1:8" x14ac:dyDescent="0.2">
      <c r="A418" t="s">
        <v>288</v>
      </c>
      <c r="B418" s="83">
        <v>0.52200000000000002</v>
      </c>
      <c r="C418" s="72">
        <v>42056</v>
      </c>
      <c r="D418">
        <v>25.9</v>
      </c>
      <c r="E418">
        <f t="shared" si="3"/>
        <v>13.5198</v>
      </c>
      <c r="F418" t="s">
        <v>611</v>
      </c>
      <c r="G418" t="s">
        <v>302</v>
      </c>
      <c r="H418" s="72">
        <v>42045</v>
      </c>
    </row>
    <row r="419" spans="1:8" x14ac:dyDescent="0.2">
      <c r="A419" t="s">
        <v>559</v>
      </c>
      <c r="B419" s="83">
        <v>2</v>
      </c>
      <c r="C419" s="72">
        <v>42056</v>
      </c>
      <c r="D419">
        <v>2.89</v>
      </c>
      <c r="E419">
        <f t="shared" si="3"/>
        <v>5.78</v>
      </c>
      <c r="F419" t="s">
        <v>467</v>
      </c>
      <c r="G419" t="s">
        <v>301</v>
      </c>
      <c r="H419" s="72">
        <v>42045</v>
      </c>
    </row>
    <row r="420" spans="1:8" x14ac:dyDescent="0.2">
      <c r="A420" t="s">
        <v>599</v>
      </c>
      <c r="B420" s="83">
        <v>1</v>
      </c>
      <c r="C420" s="72">
        <v>42056</v>
      </c>
      <c r="D420">
        <v>1.99</v>
      </c>
      <c r="E420">
        <f t="shared" si="3"/>
        <v>1.99</v>
      </c>
      <c r="F420" t="s">
        <v>676</v>
      </c>
      <c r="G420" t="s">
        <v>301</v>
      </c>
      <c r="H420" s="72">
        <v>42045</v>
      </c>
    </row>
    <row r="421" spans="1:8" x14ac:dyDescent="0.2">
      <c r="A421" t="s">
        <v>600</v>
      </c>
      <c r="B421" s="83">
        <v>1</v>
      </c>
      <c r="C421" s="72">
        <v>42056</v>
      </c>
      <c r="D421">
        <v>2.98</v>
      </c>
      <c r="E421">
        <f t="shared" si="3"/>
        <v>2.98</v>
      </c>
      <c r="F421" t="s">
        <v>467</v>
      </c>
      <c r="G421" t="s">
        <v>301</v>
      </c>
      <c r="H421" s="72">
        <v>42045</v>
      </c>
    </row>
    <row r="422" spans="1:8" x14ac:dyDescent="0.2">
      <c r="A422" t="s">
        <v>601</v>
      </c>
      <c r="B422" s="83">
        <v>1</v>
      </c>
      <c r="C422" s="72">
        <v>42056</v>
      </c>
      <c r="D422">
        <v>3.55</v>
      </c>
      <c r="E422">
        <f t="shared" si="3"/>
        <v>3.55</v>
      </c>
      <c r="F422" t="s">
        <v>620</v>
      </c>
      <c r="G422" t="s">
        <v>301</v>
      </c>
      <c r="H422" s="72">
        <v>42045</v>
      </c>
    </row>
    <row r="423" spans="1:8" x14ac:dyDescent="0.2">
      <c r="A423" t="s">
        <v>602</v>
      </c>
      <c r="B423" s="83">
        <v>1</v>
      </c>
      <c r="C423" s="72">
        <v>42056</v>
      </c>
      <c r="D423">
        <v>2.59</v>
      </c>
      <c r="E423">
        <f t="shared" si="3"/>
        <v>2.59</v>
      </c>
      <c r="F423" t="s">
        <v>467</v>
      </c>
      <c r="G423" t="s">
        <v>301</v>
      </c>
      <c r="H423" s="72">
        <v>42045</v>
      </c>
    </row>
    <row r="424" spans="1:8" x14ac:dyDescent="0.2">
      <c r="A424" t="s">
        <v>603</v>
      </c>
      <c r="B424" s="83">
        <v>1</v>
      </c>
      <c r="C424" s="72">
        <v>42056</v>
      </c>
      <c r="D424">
        <v>1.1599999999999999</v>
      </c>
      <c r="E424">
        <f t="shared" si="3"/>
        <v>1.1599999999999999</v>
      </c>
      <c r="F424" t="s">
        <v>211</v>
      </c>
      <c r="G424" t="s">
        <v>301</v>
      </c>
      <c r="H424" s="72">
        <v>42045</v>
      </c>
    </row>
    <row r="425" spans="1:8" x14ac:dyDescent="0.2">
      <c r="A425" t="s">
        <v>561</v>
      </c>
      <c r="B425" s="83">
        <v>6</v>
      </c>
      <c r="C425" s="72">
        <v>42056</v>
      </c>
      <c r="D425">
        <v>2.59</v>
      </c>
      <c r="E425">
        <f t="shared" si="3"/>
        <v>15.54</v>
      </c>
      <c r="F425" t="s">
        <v>218</v>
      </c>
      <c r="G425" t="s">
        <v>301</v>
      </c>
      <c r="H425" s="72">
        <v>42045</v>
      </c>
    </row>
    <row r="426" spans="1:8" x14ac:dyDescent="0.2">
      <c r="A426" t="s">
        <v>604</v>
      </c>
      <c r="B426" s="83">
        <v>1</v>
      </c>
      <c r="C426" s="72">
        <v>42056</v>
      </c>
      <c r="D426">
        <v>2.59</v>
      </c>
      <c r="E426">
        <f t="shared" si="3"/>
        <v>2.59</v>
      </c>
      <c r="F426" t="s">
        <v>229</v>
      </c>
      <c r="G426" t="s">
        <v>301</v>
      </c>
      <c r="H426" s="72">
        <v>42045</v>
      </c>
    </row>
    <row r="427" spans="1:8" x14ac:dyDescent="0.2">
      <c r="A427" t="s">
        <v>605</v>
      </c>
      <c r="B427" s="83">
        <v>1</v>
      </c>
      <c r="C427" s="72">
        <v>42056</v>
      </c>
      <c r="D427">
        <v>3.99</v>
      </c>
      <c r="E427">
        <f t="shared" si="3"/>
        <v>3.99</v>
      </c>
      <c r="F427" t="s">
        <v>470</v>
      </c>
      <c r="G427" t="s">
        <v>301</v>
      </c>
      <c r="H427" s="72">
        <v>42045</v>
      </c>
    </row>
    <row r="428" spans="1:8" x14ac:dyDescent="0.2">
      <c r="A428" t="s">
        <v>562</v>
      </c>
      <c r="B428" s="83">
        <v>1</v>
      </c>
      <c r="C428" s="72">
        <v>42056</v>
      </c>
      <c r="D428">
        <v>3.99</v>
      </c>
      <c r="E428">
        <f t="shared" si="3"/>
        <v>3.99</v>
      </c>
      <c r="F428" t="s">
        <v>237</v>
      </c>
      <c r="G428" t="s">
        <v>301</v>
      </c>
      <c r="H428" s="72">
        <v>42045</v>
      </c>
    </row>
    <row r="429" spans="1:8" x14ac:dyDescent="0.2">
      <c r="A429" t="s">
        <v>267</v>
      </c>
      <c r="B429" s="83">
        <v>1</v>
      </c>
      <c r="C429" s="72">
        <v>42056</v>
      </c>
      <c r="D429">
        <v>7.39</v>
      </c>
      <c r="E429">
        <f t="shared" si="3"/>
        <v>7.39</v>
      </c>
      <c r="F429" t="s">
        <v>620</v>
      </c>
      <c r="G429" t="s">
        <v>301</v>
      </c>
      <c r="H429" s="72">
        <v>42045</v>
      </c>
    </row>
    <row r="430" spans="1:8" x14ac:dyDescent="0.2">
      <c r="A430" t="s">
        <v>307</v>
      </c>
      <c r="B430" s="83">
        <v>0.79500000000000004</v>
      </c>
      <c r="C430" s="72">
        <v>42056</v>
      </c>
      <c r="D430">
        <v>1.58</v>
      </c>
      <c r="E430">
        <f t="shared" si="3"/>
        <v>1.2561000000000002</v>
      </c>
      <c r="F430" t="s">
        <v>283</v>
      </c>
      <c r="G430" t="s">
        <v>302</v>
      </c>
      <c r="H430" s="72">
        <v>42045</v>
      </c>
    </row>
    <row r="431" spans="1:8" x14ac:dyDescent="0.2">
      <c r="A431" t="s">
        <v>606</v>
      </c>
      <c r="B431" s="83">
        <v>1</v>
      </c>
      <c r="C431" s="72">
        <v>42056</v>
      </c>
      <c r="D431">
        <v>4.6500000000000004</v>
      </c>
      <c r="E431">
        <f t="shared" si="3"/>
        <v>4.6500000000000004</v>
      </c>
      <c r="F431" t="s">
        <v>622</v>
      </c>
      <c r="G431" t="s">
        <v>301</v>
      </c>
      <c r="H431" s="72">
        <v>42045</v>
      </c>
    </row>
    <row r="432" spans="1:8" x14ac:dyDescent="0.2">
      <c r="A432" t="s">
        <v>607</v>
      </c>
      <c r="B432" s="83">
        <v>1</v>
      </c>
      <c r="C432" s="72">
        <v>42056</v>
      </c>
      <c r="D432">
        <v>3.15</v>
      </c>
      <c r="E432">
        <f t="shared" si="3"/>
        <v>3.15</v>
      </c>
      <c r="F432" t="s">
        <v>607</v>
      </c>
      <c r="G432" t="s">
        <v>301</v>
      </c>
      <c r="H432" s="72">
        <v>42045</v>
      </c>
    </row>
    <row r="433" spans="1:8" x14ac:dyDescent="0.2">
      <c r="A433" t="s">
        <v>306</v>
      </c>
      <c r="B433" s="83">
        <v>2.25</v>
      </c>
      <c r="C433" s="72">
        <v>42056</v>
      </c>
      <c r="D433">
        <v>1.49</v>
      </c>
      <c r="E433">
        <f t="shared" si="3"/>
        <v>3.3525</v>
      </c>
      <c r="F433" t="s">
        <v>282</v>
      </c>
      <c r="G433" t="s">
        <v>302</v>
      </c>
      <c r="H433" s="72">
        <v>42045</v>
      </c>
    </row>
    <row r="434" spans="1:8" x14ac:dyDescent="0.2">
      <c r="A434" t="s">
        <v>303</v>
      </c>
      <c r="B434" s="83">
        <v>0.33</v>
      </c>
      <c r="C434" s="72">
        <v>42056</v>
      </c>
      <c r="D434">
        <v>4.62</v>
      </c>
      <c r="E434">
        <f t="shared" si="3"/>
        <v>1.5246000000000002</v>
      </c>
      <c r="F434" t="s">
        <v>283</v>
      </c>
      <c r="G434" t="s">
        <v>302</v>
      </c>
      <c r="H434" s="72">
        <v>42045</v>
      </c>
    </row>
    <row r="435" spans="1:8" x14ac:dyDescent="0.2">
      <c r="A435" t="s">
        <v>608</v>
      </c>
      <c r="B435" s="83">
        <v>1</v>
      </c>
      <c r="C435" s="72">
        <v>42056</v>
      </c>
      <c r="D435">
        <v>5.99</v>
      </c>
      <c r="E435">
        <f t="shared" si="3"/>
        <v>5.99</v>
      </c>
      <c r="F435" t="s">
        <v>282</v>
      </c>
      <c r="G435" t="s">
        <v>301</v>
      </c>
      <c r="H435" s="72">
        <v>42045</v>
      </c>
    </row>
    <row r="436" spans="1:8" x14ac:dyDescent="0.2">
      <c r="A436" t="s">
        <v>245</v>
      </c>
      <c r="B436" s="83">
        <v>3</v>
      </c>
      <c r="C436" s="72">
        <v>42056</v>
      </c>
      <c r="D436">
        <v>5.99</v>
      </c>
      <c r="E436">
        <f t="shared" si="3"/>
        <v>17.97</v>
      </c>
      <c r="F436" t="s">
        <v>285</v>
      </c>
      <c r="G436" t="s">
        <v>301</v>
      </c>
      <c r="H436" s="72">
        <v>42045</v>
      </c>
    </row>
    <row r="437" spans="1:8" x14ac:dyDescent="0.2">
      <c r="A437" t="s">
        <v>550</v>
      </c>
      <c r="B437" s="83">
        <v>2</v>
      </c>
      <c r="C437" s="72">
        <v>42056</v>
      </c>
      <c r="D437">
        <v>1.19</v>
      </c>
      <c r="E437">
        <f t="shared" si="3"/>
        <v>2.38</v>
      </c>
      <c r="F437" t="s">
        <v>285</v>
      </c>
      <c r="G437" t="s">
        <v>301</v>
      </c>
      <c r="H437" s="72">
        <v>42045</v>
      </c>
    </row>
    <row r="438" spans="1:8" x14ac:dyDescent="0.2">
      <c r="A438" t="s">
        <v>609</v>
      </c>
      <c r="B438" s="83">
        <v>1</v>
      </c>
      <c r="C438" s="72">
        <v>42056</v>
      </c>
      <c r="D438">
        <v>4.78</v>
      </c>
      <c r="E438">
        <f t="shared" si="3"/>
        <v>4.78</v>
      </c>
      <c r="F438" t="s">
        <v>285</v>
      </c>
      <c r="G438" t="s">
        <v>301</v>
      </c>
      <c r="H438" s="72">
        <v>42045</v>
      </c>
    </row>
    <row r="439" spans="1:8" x14ac:dyDescent="0.2">
      <c r="A439" t="s">
        <v>610</v>
      </c>
      <c r="B439" s="83">
        <v>1</v>
      </c>
      <c r="C439" s="72">
        <v>42056</v>
      </c>
      <c r="D439">
        <v>12.98</v>
      </c>
      <c r="E439">
        <f t="shared" si="3"/>
        <v>12.98</v>
      </c>
      <c r="F439" t="s">
        <v>285</v>
      </c>
      <c r="G439" t="s">
        <v>301</v>
      </c>
      <c r="H439" s="72">
        <v>42045</v>
      </c>
    </row>
    <row r="440" spans="1:8" x14ac:dyDescent="0.2">
      <c r="A440" t="s">
        <v>674</v>
      </c>
      <c r="B440" s="83">
        <v>1</v>
      </c>
      <c r="C440" s="72">
        <v>42079</v>
      </c>
      <c r="D440">
        <v>12.99</v>
      </c>
      <c r="E440">
        <f t="shared" si="3"/>
        <v>12.99</v>
      </c>
      <c r="F440" t="s">
        <v>290</v>
      </c>
      <c r="G440" t="s">
        <v>301</v>
      </c>
      <c r="H440" s="72">
        <v>42073</v>
      </c>
    </row>
    <row r="441" spans="1:8" x14ac:dyDescent="0.2">
      <c r="A441" t="s">
        <v>298</v>
      </c>
      <c r="B441" s="83">
        <v>0.26300000000000001</v>
      </c>
      <c r="C441" s="72">
        <v>42079</v>
      </c>
      <c r="D441">
        <v>24.89</v>
      </c>
      <c r="E441">
        <f t="shared" si="3"/>
        <v>6.5460700000000003</v>
      </c>
      <c r="F441" t="s">
        <v>676</v>
      </c>
      <c r="G441" t="s">
        <v>302</v>
      </c>
      <c r="H441" s="72">
        <v>42073</v>
      </c>
    </row>
    <row r="442" spans="1:8" x14ac:dyDescent="0.2">
      <c r="A442" t="s">
        <v>418</v>
      </c>
      <c r="B442" s="83">
        <v>1</v>
      </c>
      <c r="C442" s="72">
        <v>42079</v>
      </c>
      <c r="D442">
        <v>9.85</v>
      </c>
      <c r="E442">
        <f t="shared" si="3"/>
        <v>9.85</v>
      </c>
      <c r="F442" t="s">
        <v>676</v>
      </c>
      <c r="G442" t="s">
        <v>301</v>
      </c>
      <c r="H442" s="72">
        <v>42073</v>
      </c>
    </row>
    <row r="443" spans="1:8" x14ac:dyDescent="0.2">
      <c r="A443" t="s">
        <v>311</v>
      </c>
      <c r="B443" s="83">
        <v>0.88500000000000001</v>
      </c>
      <c r="C443" s="72">
        <v>42079</v>
      </c>
      <c r="D443">
        <v>3.99</v>
      </c>
      <c r="E443">
        <f t="shared" si="3"/>
        <v>3.5311500000000002</v>
      </c>
      <c r="F443" t="s">
        <v>282</v>
      </c>
      <c r="G443" t="s">
        <v>302</v>
      </c>
      <c r="H443" s="72">
        <v>42073</v>
      </c>
    </row>
    <row r="444" spans="1:8" x14ac:dyDescent="0.2">
      <c r="A444" t="s">
        <v>675</v>
      </c>
      <c r="B444" s="83">
        <v>0.81</v>
      </c>
      <c r="C444" s="72">
        <v>42079</v>
      </c>
      <c r="D444">
        <v>3.75</v>
      </c>
      <c r="E444">
        <f t="shared" si="3"/>
        <v>3.0375000000000001</v>
      </c>
      <c r="F444" t="s">
        <v>282</v>
      </c>
      <c r="G444" t="s">
        <v>302</v>
      </c>
      <c r="H444" s="72">
        <v>42073</v>
      </c>
    </row>
    <row r="445" spans="1:8" x14ac:dyDescent="0.2">
      <c r="A445" t="s">
        <v>569</v>
      </c>
      <c r="B445" s="83">
        <v>1.0549999999999999</v>
      </c>
      <c r="C445" s="72">
        <v>42079</v>
      </c>
      <c r="D445">
        <v>1.69</v>
      </c>
      <c r="E445">
        <f t="shared" si="3"/>
        <v>1.7829499999999998</v>
      </c>
      <c r="F445" t="s">
        <v>282</v>
      </c>
      <c r="G445" t="s">
        <v>302</v>
      </c>
      <c r="H445" s="72">
        <v>42073</v>
      </c>
    </row>
    <row r="446" spans="1:8" x14ac:dyDescent="0.2">
      <c r="A446" t="s">
        <v>677</v>
      </c>
      <c r="B446" s="83">
        <v>1</v>
      </c>
      <c r="C446" s="72">
        <v>42082</v>
      </c>
      <c r="D446">
        <v>3.95</v>
      </c>
      <c r="E446">
        <f t="shared" si="3"/>
        <v>3.95</v>
      </c>
      <c r="F446" t="s">
        <v>622</v>
      </c>
      <c r="G446" t="s">
        <v>301</v>
      </c>
      <c r="H446" s="72">
        <v>42073</v>
      </c>
    </row>
    <row r="447" spans="1:8" x14ac:dyDescent="0.2">
      <c r="A447" t="s">
        <v>298</v>
      </c>
      <c r="B447" s="83">
        <v>0.11899999999999999</v>
      </c>
      <c r="C447" s="72">
        <v>42082</v>
      </c>
      <c r="D447">
        <v>22.69</v>
      </c>
      <c r="E447">
        <f t="shared" si="3"/>
        <v>2.70011</v>
      </c>
      <c r="F447" t="s">
        <v>676</v>
      </c>
      <c r="G447" t="s">
        <v>302</v>
      </c>
      <c r="H447" s="72">
        <v>42073</v>
      </c>
    </row>
    <row r="448" spans="1:8" x14ac:dyDescent="0.2">
      <c r="A448" t="s">
        <v>352</v>
      </c>
      <c r="B448" s="83">
        <v>7.1999999999999995E-2</v>
      </c>
      <c r="C448" s="72">
        <v>42082</v>
      </c>
      <c r="D448">
        <v>64.349999999999994</v>
      </c>
      <c r="E448">
        <f t="shared" si="3"/>
        <v>4.6331999999999995</v>
      </c>
      <c r="F448" t="s">
        <v>676</v>
      </c>
      <c r="G448" t="s">
        <v>302</v>
      </c>
      <c r="H448" s="72">
        <v>42073</v>
      </c>
    </row>
    <row r="449" spans="1:8" x14ac:dyDescent="0.2">
      <c r="A449" t="s">
        <v>678</v>
      </c>
      <c r="B449" s="83">
        <v>1</v>
      </c>
      <c r="C449" s="72">
        <v>42082</v>
      </c>
      <c r="D449">
        <v>5.49</v>
      </c>
      <c r="E449">
        <f t="shared" si="3"/>
        <v>5.49</v>
      </c>
      <c r="F449" t="s">
        <v>467</v>
      </c>
      <c r="G449" t="s">
        <v>301</v>
      </c>
      <c r="H449" s="72">
        <v>42073</v>
      </c>
    </row>
    <row r="450" spans="1:8" x14ac:dyDescent="0.2">
      <c r="A450" t="s">
        <v>679</v>
      </c>
      <c r="B450" s="83">
        <v>1</v>
      </c>
      <c r="C450" s="72">
        <v>42082</v>
      </c>
      <c r="D450">
        <v>2.99</v>
      </c>
      <c r="E450">
        <f t="shared" si="3"/>
        <v>2.99</v>
      </c>
      <c r="F450" t="s">
        <v>467</v>
      </c>
      <c r="G450" t="s">
        <v>301</v>
      </c>
      <c r="H450" s="72">
        <v>42073</v>
      </c>
    </row>
    <row r="451" spans="1:8" x14ac:dyDescent="0.2">
      <c r="A451" t="s">
        <v>256</v>
      </c>
      <c r="B451" s="83">
        <v>1.2150000000000001</v>
      </c>
      <c r="C451" s="72">
        <v>42082</v>
      </c>
      <c r="D451">
        <v>2.4900000000000002</v>
      </c>
      <c r="E451">
        <f t="shared" si="3"/>
        <v>3.0253500000000004</v>
      </c>
      <c r="F451" t="s">
        <v>282</v>
      </c>
      <c r="G451" t="s">
        <v>302</v>
      </c>
      <c r="H451" s="72">
        <v>42073</v>
      </c>
    </row>
    <row r="452" spans="1:8" x14ac:dyDescent="0.2">
      <c r="A452" t="s">
        <v>569</v>
      </c>
      <c r="B452" s="83">
        <v>0.38500000000000001</v>
      </c>
      <c r="C452" s="72">
        <v>42082</v>
      </c>
      <c r="D452">
        <v>4.8899999999999997</v>
      </c>
      <c r="E452">
        <f t="shared" si="3"/>
        <v>1.8826499999999999</v>
      </c>
      <c r="F452" t="s">
        <v>282</v>
      </c>
      <c r="G452" t="s">
        <v>302</v>
      </c>
      <c r="H452" s="72">
        <v>42073</v>
      </c>
    </row>
    <row r="453" spans="1:8" x14ac:dyDescent="0.2">
      <c r="A453" t="s">
        <v>235</v>
      </c>
      <c r="B453" s="83">
        <v>0.84499999999999997</v>
      </c>
      <c r="C453" s="72">
        <v>42082</v>
      </c>
      <c r="D453">
        <v>3.99</v>
      </c>
      <c r="E453">
        <f t="shared" si="3"/>
        <v>3.37155</v>
      </c>
      <c r="F453" t="s">
        <v>282</v>
      </c>
      <c r="G453" t="s">
        <v>302</v>
      </c>
      <c r="H453" s="72">
        <v>42073</v>
      </c>
    </row>
    <row r="454" spans="1:8" x14ac:dyDescent="0.2">
      <c r="A454" t="s">
        <v>237</v>
      </c>
      <c r="B454" s="83">
        <v>1</v>
      </c>
      <c r="C454" s="72">
        <v>42082</v>
      </c>
      <c r="D454">
        <v>3.59</v>
      </c>
      <c r="E454">
        <f t="shared" si="3"/>
        <v>3.59</v>
      </c>
      <c r="F454" t="s">
        <v>225</v>
      </c>
      <c r="G454" t="s">
        <v>301</v>
      </c>
      <c r="H454" s="72">
        <v>42073</v>
      </c>
    </row>
    <row r="455" spans="1:8" x14ac:dyDescent="0.2">
      <c r="A455" t="s">
        <v>218</v>
      </c>
      <c r="B455" s="83">
        <v>1</v>
      </c>
      <c r="C455" s="72">
        <v>42082</v>
      </c>
      <c r="D455">
        <v>2.29</v>
      </c>
      <c r="E455">
        <f t="shared" si="3"/>
        <v>2.29</v>
      </c>
      <c r="F455" t="s">
        <v>218</v>
      </c>
      <c r="G455" t="s">
        <v>301</v>
      </c>
      <c r="H455" s="72">
        <v>42073</v>
      </c>
    </row>
    <row r="456" spans="1:8" x14ac:dyDescent="0.2">
      <c r="A456" t="s">
        <v>238</v>
      </c>
      <c r="B456" s="83">
        <v>1</v>
      </c>
      <c r="C456" s="72">
        <v>42085</v>
      </c>
      <c r="D456">
        <v>4.6900000000000004</v>
      </c>
      <c r="E456">
        <f t="shared" si="3"/>
        <v>4.6900000000000004</v>
      </c>
      <c r="F456" t="s">
        <v>676</v>
      </c>
      <c r="G456" t="s">
        <v>301</v>
      </c>
      <c r="H456" s="72">
        <v>42073</v>
      </c>
    </row>
    <row r="457" spans="1:8" x14ac:dyDescent="0.2">
      <c r="A457" t="s">
        <v>681</v>
      </c>
      <c r="B457" s="83">
        <v>1</v>
      </c>
      <c r="C457" s="72">
        <v>42085</v>
      </c>
      <c r="D457">
        <v>2.65</v>
      </c>
      <c r="E457">
        <f t="shared" si="3"/>
        <v>2.65</v>
      </c>
      <c r="F457" t="s">
        <v>211</v>
      </c>
      <c r="G457" t="s">
        <v>301</v>
      </c>
      <c r="H457" s="72">
        <v>42073</v>
      </c>
    </row>
    <row r="458" spans="1:8" x14ac:dyDescent="0.2">
      <c r="A458" t="s">
        <v>411</v>
      </c>
      <c r="B458" s="83">
        <v>0.11</v>
      </c>
      <c r="C458" s="72">
        <v>42085</v>
      </c>
      <c r="D458">
        <v>11.99</v>
      </c>
      <c r="E458">
        <f t="shared" si="3"/>
        <v>1.3189</v>
      </c>
      <c r="F458" t="s">
        <v>676</v>
      </c>
      <c r="G458" t="s">
        <v>302</v>
      </c>
      <c r="H458" s="72">
        <v>42073</v>
      </c>
    </row>
    <row r="459" spans="1:8" x14ac:dyDescent="0.2">
      <c r="A459" t="s">
        <v>298</v>
      </c>
      <c r="B459" s="83">
        <v>0.12</v>
      </c>
      <c r="C459" s="72">
        <v>42085</v>
      </c>
      <c r="D459">
        <v>22.69</v>
      </c>
      <c r="E459">
        <f t="shared" si="3"/>
        <v>2.7227999999999999</v>
      </c>
      <c r="F459" t="s">
        <v>676</v>
      </c>
      <c r="G459" t="s">
        <v>302</v>
      </c>
      <c r="H459" s="72">
        <v>42073</v>
      </c>
    </row>
    <row r="460" spans="1:8" x14ac:dyDescent="0.2">
      <c r="A460" t="s">
        <v>418</v>
      </c>
      <c r="B460" s="83">
        <v>0.108</v>
      </c>
      <c r="C460" s="72">
        <v>42085</v>
      </c>
      <c r="D460">
        <v>21.99</v>
      </c>
      <c r="E460">
        <f t="shared" si="3"/>
        <v>2.3749199999999999</v>
      </c>
      <c r="F460" t="s">
        <v>676</v>
      </c>
      <c r="G460" t="s">
        <v>302</v>
      </c>
      <c r="H460" s="72">
        <v>42073</v>
      </c>
    </row>
    <row r="461" spans="1:8" x14ac:dyDescent="0.2">
      <c r="A461" t="s">
        <v>298</v>
      </c>
      <c r="B461" s="83">
        <v>0.16700000000000001</v>
      </c>
      <c r="C461" s="72">
        <v>42085</v>
      </c>
      <c r="D461">
        <v>22.69</v>
      </c>
      <c r="E461">
        <f t="shared" si="3"/>
        <v>3.7892300000000003</v>
      </c>
      <c r="F461" t="s">
        <v>676</v>
      </c>
      <c r="G461" t="s">
        <v>302</v>
      </c>
      <c r="H461" s="72">
        <v>42073</v>
      </c>
    </row>
    <row r="462" spans="1:8" x14ac:dyDescent="0.2">
      <c r="A462" t="s">
        <v>682</v>
      </c>
      <c r="B462" s="83">
        <v>1</v>
      </c>
      <c r="C462" s="72">
        <v>42085</v>
      </c>
      <c r="D462">
        <v>6.89</v>
      </c>
      <c r="E462">
        <f t="shared" si="3"/>
        <v>6.89</v>
      </c>
      <c r="F462" t="s">
        <v>344</v>
      </c>
      <c r="G462" t="s">
        <v>301</v>
      </c>
      <c r="H462" s="72">
        <v>42073</v>
      </c>
    </row>
    <row r="463" spans="1:8" x14ac:dyDescent="0.2">
      <c r="A463" t="s">
        <v>233</v>
      </c>
      <c r="B463" s="83">
        <v>0.46</v>
      </c>
      <c r="C463" s="72">
        <v>42085</v>
      </c>
      <c r="D463">
        <v>4.6500000000000004</v>
      </c>
      <c r="E463">
        <f t="shared" si="3"/>
        <v>2.1390000000000002</v>
      </c>
      <c r="F463" t="s">
        <v>283</v>
      </c>
      <c r="G463" t="s">
        <v>302</v>
      </c>
      <c r="H463" s="72">
        <v>42073</v>
      </c>
    </row>
    <row r="464" spans="1:8" x14ac:dyDescent="0.2">
      <c r="A464" t="s">
        <v>311</v>
      </c>
      <c r="B464" s="83">
        <v>0.92</v>
      </c>
      <c r="C464" s="72">
        <v>42085</v>
      </c>
      <c r="D464">
        <v>2.99</v>
      </c>
      <c r="E464">
        <f t="shared" si="3"/>
        <v>2.7508000000000004</v>
      </c>
      <c r="F464" t="s">
        <v>282</v>
      </c>
      <c r="G464" t="s">
        <v>302</v>
      </c>
      <c r="H464" s="72">
        <v>42073</v>
      </c>
    </row>
    <row r="465" spans="1:8" x14ac:dyDescent="0.2">
      <c r="A465" t="s">
        <v>235</v>
      </c>
      <c r="B465" s="83">
        <v>0.47499999999999998</v>
      </c>
      <c r="C465" s="72">
        <v>42085</v>
      </c>
      <c r="D465">
        <v>3.75</v>
      </c>
      <c r="E465">
        <f t="shared" si="3"/>
        <v>1.78125</v>
      </c>
      <c r="F465" t="s">
        <v>282</v>
      </c>
      <c r="G465" t="s">
        <v>302</v>
      </c>
      <c r="H465" s="72">
        <v>42073</v>
      </c>
    </row>
    <row r="466" spans="1:8" x14ac:dyDescent="0.2">
      <c r="A466" t="s">
        <v>683</v>
      </c>
      <c r="B466" s="83">
        <v>1</v>
      </c>
      <c r="C466" s="72">
        <v>42087</v>
      </c>
      <c r="D466">
        <v>5.09</v>
      </c>
      <c r="E466">
        <f t="shared" si="3"/>
        <v>5.09</v>
      </c>
      <c r="F466" t="s">
        <v>270</v>
      </c>
      <c r="G466" t="s">
        <v>301</v>
      </c>
      <c r="H466" s="72">
        <v>42073</v>
      </c>
    </row>
    <row r="467" spans="1:8" x14ac:dyDescent="0.2">
      <c r="A467" t="s">
        <v>221</v>
      </c>
      <c r="B467" s="83">
        <v>1</v>
      </c>
      <c r="C467" s="72">
        <v>42087</v>
      </c>
      <c r="D467">
        <v>2.89</v>
      </c>
      <c r="E467">
        <f t="shared" si="3"/>
        <v>2.89</v>
      </c>
      <c r="F467" t="s">
        <v>283</v>
      </c>
      <c r="G467" t="s">
        <v>301</v>
      </c>
      <c r="H467" s="72">
        <v>42073</v>
      </c>
    </row>
    <row r="468" spans="1:8" x14ac:dyDescent="0.2">
      <c r="A468" t="s">
        <v>680</v>
      </c>
      <c r="B468" s="83">
        <v>1</v>
      </c>
      <c r="C468" s="72">
        <v>42087</v>
      </c>
      <c r="D468">
        <v>6.95</v>
      </c>
      <c r="E468">
        <f t="shared" si="3"/>
        <v>6.95</v>
      </c>
      <c r="F468" t="s">
        <v>622</v>
      </c>
      <c r="G468" t="s">
        <v>301</v>
      </c>
      <c r="H468" s="72">
        <v>42073</v>
      </c>
    </row>
    <row r="469" spans="1:8" x14ac:dyDescent="0.2">
      <c r="A469" t="s">
        <v>418</v>
      </c>
      <c r="B469" s="83">
        <v>0.161</v>
      </c>
      <c r="C469" s="72">
        <v>42087</v>
      </c>
      <c r="D469">
        <v>21.99</v>
      </c>
      <c r="E469">
        <f t="shared" si="3"/>
        <v>3.5403899999999999</v>
      </c>
      <c r="F469" t="s">
        <v>676</v>
      </c>
      <c r="G469" t="s">
        <v>302</v>
      </c>
      <c r="H469" s="72">
        <v>42073</v>
      </c>
    </row>
    <row r="470" spans="1:8" x14ac:dyDescent="0.2">
      <c r="A470" t="s">
        <v>298</v>
      </c>
      <c r="B470" s="83">
        <v>0.245</v>
      </c>
      <c r="C470" s="72">
        <v>42087</v>
      </c>
      <c r="D470">
        <v>22.69</v>
      </c>
      <c r="E470">
        <f t="shared" si="3"/>
        <v>5.55905</v>
      </c>
      <c r="F470" t="s">
        <v>676</v>
      </c>
      <c r="G470" t="s">
        <v>302</v>
      </c>
      <c r="H470" s="72">
        <v>42073</v>
      </c>
    </row>
    <row r="471" spans="1:8" x14ac:dyDescent="0.2">
      <c r="A471" t="s">
        <v>681</v>
      </c>
      <c r="B471" s="83">
        <v>1</v>
      </c>
      <c r="C471" s="72">
        <v>42087</v>
      </c>
      <c r="D471">
        <v>2.65</v>
      </c>
      <c r="E471">
        <f t="shared" si="3"/>
        <v>2.65</v>
      </c>
      <c r="F471" t="s">
        <v>211</v>
      </c>
      <c r="G471" t="s">
        <v>301</v>
      </c>
      <c r="H471" s="72">
        <v>42073</v>
      </c>
    </row>
    <row r="472" spans="1:8" x14ac:dyDescent="0.2">
      <c r="A472" t="s">
        <v>684</v>
      </c>
      <c r="B472" s="83">
        <v>1</v>
      </c>
      <c r="C472" s="72">
        <v>42087</v>
      </c>
      <c r="D472">
        <v>3.99</v>
      </c>
      <c r="E472">
        <f t="shared" si="3"/>
        <v>3.99</v>
      </c>
      <c r="F472" t="s">
        <v>211</v>
      </c>
      <c r="G472" t="s">
        <v>301</v>
      </c>
      <c r="H472" s="72">
        <v>42073</v>
      </c>
    </row>
    <row r="473" spans="1:8" x14ac:dyDescent="0.2">
      <c r="A473" t="s">
        <v>218</v>
      </c>
      <c r="B473" s="83">
        <v>1</v>
      </c>
      <c r="C473" s="72">
        <v>42087</v>
      </c>
      <c r="D473">
        <v>2.75</v>
      </c>
      <c r="E473">
        <f t="shared" si="3"/>
        <v>2.75</v>
      </c>
      <c r="F473" t="s">
        <v>218</v>
      </c>
      <c r="G473" t="s">
        <v>301</v>
      </c>
      <c r="H473" s="72">
        <v>42073</v>
      </c>
    </row>
    <row r="474" spans="1:8" x14ac:dyDescent="0.2">
      <c r="A474" t="s">
        <v>260</v>
      </c>
      <c r="B474" s="83">
        <v>1</v>
      </c>
      <c r="C474" s="72">
        <v>42090</v>
      </c>
      <c r="D474">
        <v>41.99</v>
      </c>
      <c r="E474">
        <f t="shared" si="3"/>
        <v>41.99</v>
      </c>
      <c r="F474" t="s">
        <v>621</v>
      </c>
      <c r="G474" t="s">
        <v>301</v>
      </c>
      <c r="H474" s="72">
        <v>42073</v>
      </c>
    </row>
    <row r="475" spans="1:8" x14ac:dyDescent="0.2">
      <c r="A475" t="s">
        <v>310</v>
      </c>
      <c r="B475" s="83">
        <v>0.28999999999999998</v>
      </c>
      <c r="C475" s="72">
        <v>42090</v>
      </c>
      <c r="D475">
        <v>3.39</v>
      </c>
      <c r="E475">
        <f t="shared" si="3"/>
        <v>0.98309999999999997</v>
      </c>
      <c r="F475" t="s">
        <v>283</v>
      </c>
      <c r="G475" t="s">
        <v>302</v>
      </c>
      <c r="H475" s="72">
        <v>42073</v>
      </c>
    </row>
    <row r="476" spans="1:8" x14ac:dyDescent="0.2">
      <c r="A476" t="s">
        <v>307</v>
      </c>
      <c r="B476" s="83">
        <v>0.76500000000000001</v>
      </c>
      <c r="C476" s="72">
        <v>42090</v>
      </c>
      <c r="D476">
        <v>2.99</v>
      </c>
      <c r="E476">
        <f t="shared" si="3"/>
        <v>2.28735</v>
      </c>
      <c r="F476" t="s">
        <v>283</v>
      </c>
      <c r="G476" t="s">
        <v>302</v>
      </c>
      <c r="H476" s="72">
        <v>42073</v>
      </c>
    </row>
    <row r="477" spans="1:8" x14ac:dyDescent="0.2">
      <c r="A477" t="s">
        <v>235</v>
      </c>
      <c r="B477" s="83">
        <v>0.39500000000000002</v>
      </c>
      <c r="C477" s="72">
        <v>42090</v>
      </c>
      <c r="D477">
        <v>3.75</v>
      </c>
      <c r="E477">
        <f t="shared" si="3"/>
        <v>1.4812500000000002</v>
      </c>
      <c r="F477" t="s">
        <v>282</v>
      </c>
      <c r="G477" t="s">
        <v>302</v>
      </c>
      <c r="H477" s="72">
        <v>42073</v>
      </c>
    </row>
    <row r="478" spans="1:8" x14ac:dyDescent="0.2">
      <c r="A478" t="s">
        <v>218</v>
      </c>
      <c r="B478" s="83">
        <v>1</v>
      </c>
      <c r="C478" s="72">
        <v>42090</v>
      </c>
      <c r="D478">
        <v>2.79</v>
      </c>
      <c r="E478">
        <f t="shared" si="3"/>
        <v>2.79</v>
      </c>
      <c r="F478" t="s">
        <v>218</v>
      </c>
      <c r="G478" t="s">
        <v>301</v>
      </c>
      <c r="H478" s="72">
        <v>42073</v>
      </c>
    </row>
    <row r="479" spans="1:8" x14ac:dyDescent="0.2">
      <c r="A479" t="s">
        <v>685</v>
      </c>
      <c r="B479" s="83">
        <v>1</v>
      </c>
      <c r="C479" s="72">
        <v>42090</v>
      </c>
      <c r="D479">
        <v>4.99</v>
      </c>
      <c r="E479">
        <f t="shared" si="3"/>
        <v>4.99</v>
      </c>
      <c r="F479" t="s">
        <v>344</v>
      </c>
      <c r="G479" t="s">
        <v>301</v>
      </c>
      <c r="H479" s="72">
        <v>42073</v>
      </c>
    </row>
    <row r="480" spans="1:8" x14ac:dyDescent="0.2">
      <c r="A480" t="s">
        <v>316</v>
      </c>
      <c r="B480" s="83">
        <v>0.18</v>
      </c>
      <c r="C480" s="72">
        <v>42090</v>
      </c>
      <c r="D480">
        <v>2.99</v>
      </c>
      <c r="E480">
        <f t="shared" si="3"/>
        <v>0.53820000000000001</v>
      </c>
      <c r="F480" t="s">
        <v>283</v>
      </c>
      <c r="G480" t="s">
        <v>302</v>
      </c>
      <c r="H480" s="72">
        <v>42073</v>
      </c>
    </row>
    <row r="481" spans="1:8" x14ac:dyDescent="0.2">
      <c r="A481" t="s">
        <v>686</v>
      </c>
      <c r="B481" s="83">
        <v>0.18</v>
      </c>
      <c r="C481" s="72">
        <v>42090</v>
      </c>
      <c r="D481">
        <v>6.59</v>
      </c>
      <c r="E481">
        <f t="shared" si="3"/>
        <v>1.1861999999999999</v>
      </c>
      <c r="F481" t="s">
        <v>282</v>
      </c>
      <c r="G481" t="s">
        <v>302</v>
      </c>
      <c r="H481" s="72">
        <v>42073</v>
      </c>
    </row>
    <row r="482" spans="1:8" x14ac:dyDescent="0.2">
      <c r="A482" t="s">
        <v>423</v>
      </c>
      <c r="B482" s="83">
        <v>1</v>
      </c>
      <c r="C482" s="72">
        <v>42090</v>
      </c>
      <c r="D482">
        <v>1.75</v>
      </c>
      <c r="E482">
        <f t="shared" si="3"/>
        <v>1.75</v>
      </c>
      <c r="F482" t="s">
        <v>344</v>
      </c>
      <c r="G482" t="s">
        <v>301</v>
      </c>
      <c r="H482" s="72">
        <v>42073</v>
      </c>
    </row>
    <row r="483" spans="1:8" x14ac:dyDescent="0.2">
      <c r="A483" t="s">
        <v>569</v>
      </c>
      <c r="B483" s="83">
        <v>0.27500000000000002</v>
      </c>
      <c r="C483" s="72">
        <v>42090</v>
      </c>
      <c r="D483">
        <v>4.99</v>
      </c>
      <c r="E483">
        <f t="shared" si="3"/>
        <v>1.3722500000000002</v>
      </c>
      <c r="F483" t="s">
        <v>282</v>
      </c>
      <c r="G483" t="s">
        <v>302</v>
      </c>
      <c r="H483" s="72">
        <v>42073</v>
      </c>
    </row>
    <row r="484" spans="1:8" x14ac:dyDescent="0.2">
      <c r="A484" t="s">
        <v>305</v>
      </c>
      <c r="B484" s="83">
        <v>0.28499999999999998</v>
      </c>
      <c r="C484" s="72">
        <v>42090</v>
      </c>
      <c r="D484">
        <v>3.79</v>
      </c>
      <c r="E484">
        <f t="shared" si="3"/>
        <v>1.0801499999999999</v>
      </c>
      <c r="F484" t="s">
        <v>282</v>
      </c>
      <c r="G484" t="s">
        <v>302</v>
      </c>
      <c r="H484" s="72">
        <v>42073</v>
      </c>
    </row>
    <row r="485" spans="1:8" x14ac:dyDescent="0.2">
      <c r="A485" t="s">
        <v>687</v>
      </c>
      <c r="B485" s="83">
        <v>1</v>
      </c>
      <c r="C485" s="72">
        <v>42091</v>
      </c>
      <c r="D485">
        <v>1.67</v>
      </c>
      <c r="E485">
        <f t="shared" si="3"/>
        <v>1.67</v>
      </c>
      <c r="F485" t="s">
        <v>687</v>
      </c>
      <c r="G485" t="s">
        <v>301</v>
      </c>
      <c r="H485" s="72">
        <v>42073</v>
      </c>
    </row>
    <row r="486" spans="1:8" x14ac:dyDescent="0.2">
      <c r="A486" t="s">
        <v>247</v>
      </c>
      <c r="B486" s="83">
        <v>2</v>
      </c>
      <c r="C486" s="72">
        <v>42091</v>
      </c>
      <c r="D486">
        <v>1.29</v>
      </c>
      <c r="E486">
        <f t="shared" si="3"/>
        <v>2.58</v>
      </c>
      <c r="F486" t="s">
        <v>285</v>
      </c>
      <c r="G486" t="s">
        <v>301</v>
      </c>
      <c r="H486" s="72">
        <v>42073</v>
      </c>
    </row>
    <row r="487" spans="1:8" x14ac:dyDescent="0.2">
      <c r="A487" t="s">
        <v>470</v>
      </c>
      <c r="B487" s="83">
        <v>1</v>
      </c>
      <c r="C487" s="72">
        <v>42091</v>
      </c>
      <c r="D487">
        <v>4.6900000000000004</v>
      </c>
      <c r="E487">
        <f t="shared" si="3"/>
        <v>4.6900000000000004</v>
      </c>
      <c r="F487" t="s">
        <v>470</v>
      </c>
      <c r="G487" t="s">
        <v>301</v>
      </c>
      <c r="H487" s="72">
        <v>42073</v>
      </c>
    </row>
    <row r="488" spans="1:8" x14ac:dyDescent="0.2">
      <c r="A488" t="s">
        <v>688</v>
      </c>
      <c r="B488" s="83">
        <v>1</v>
      </c>
      <c r="C488" s="72">
        <v>42091</v>
      </c>
      <c r="D488">
        <v>2.59</v>
      </c>
      <c r="E488">
        <f t="shared" si="3"/>
        <v>2.59</v>
      </c>
      <c r="F488" t="s">
        <v>290</v>
      </c>
      <c r="G488" t="s">
        <v>301</v>
      </c>
      <c r="H488" s="72">
        <v>42073</v>
      </c>
    </row>
    <row r="489" spans="1:8" x14ac:dyDescent="0.2">
      <c r="A489" t="s">
        <v>680</v>
      </c>
      <c r="B489" s="83">
        <v>0.11</v>
      </c>
      <c r="C489" s="72">
        <v>42091</v>
      </c>
      <c r="D489">
        <v>13.5</v>
      </c>
      <c r="E489">
        <f t="shared" si="3"/>
        <v>1.4850000000000001</v>
      </c>
      <c r="F489" t="s">
        <v>622</v>
      </c>
      <c r="G489" t="s">
        <v>302</v>
      </c>
      <c r="H489" s="72">
        <v>42073</v>
      </c>
    </row>
    <row r="490" spans="1:8" x14ac:dyDescent="0.2">
      <c r="A490" t="s">
        <v>299</v>
      </c>
      <c r="B490" s="83">
        <v>0.1</v>
      </c>
      <c r="C490" s="72">
        <v>42091</v>
      </c>
      <c r="D490">
        <v>58.9</v>
      </c>
      <c r="E490">
        <f t="shared" si="3"/>
        <v>5.8900000000000006</v>
      </c>
      <c r="F490" t="s">
        <v>676</v>
      </c>
      <c r="G490" t="s">
        <v>302</v>
      </c>
      <c r="H490" s="72">
        <v>42073</v>
      </c>
    </row>
    <row r="491" spans="1:8" x14ac:dyDescent="0.2">
      <c r="A491" t="s">
        <v>298</v>
      </c>
      <c r="B491" s="83">
        <v>0.11</v>
      </c>
      <c r="C491" s="72">
        <v>42091</v>
      </c>
      <c r="D491">
        <v>38.15</v>
      </c>
      <c r="E491">
        <f t="shared" si="3"/>
        <v>4.1964999999999995</v>
      </c>
      <c r="F491" t="s">
        <v>676</v>
      </c>
      <c r="G491" t="s">
        <v>302</v>
      </c>
      <c r="H491" s="72">
        <v>42073</v>
      </c>
    </row>
    <row r="492" spans="1:8" x14ac:dyDescent="0.2">
      <c r="A492" t="s">
        <v>689</v>
      </c>
      <c r="B492" s="83">
        <v>0.25600000000000001</v>
      </c>
      <c r="C492" s="72">
        <v>42091</v>
      </c>
      <c r="D492">
        <v>41</v>
      </c>
      <c r="E492">
        <f t="shared" si="3"/>
        <v>10.496</v>
      </c>
      <c r="F492" t="s">
        <v>270</v>
      </c>
      <c r="G492" t="s">
        <v>302</v>
      </c>
      <c r="H492" s="72">
        <v>42073</v>
      </c>
    </row>
    <row r="493" spans="1:8" x14ac:dyDescent="0.2">
      <c r="A493" t="s">
        <v>690</v>
      </c>
      <c r="B493" s="83">
        <v>0.38700000000000001</v>
      </c>
      <c r="C493" s="72">
        <v>42093</v>
      </c>
      <c r="D493">
        <v>5.68</v>
      </c>
      <c r="E493">
        <f t="shared" si="3"/>
        <v>2.1981600000000001</v>
      </c>
      <c r="F493" t="s">
        <v>690</v>
      </c>
      <c r="G493" t="s">
        <v>302</v>
      </c>
      <c r="H493" s="72">
        <v>42073</v>
      </c>
    </row>
    <row r="494" spans="1:8" x14ac:dyDescent="0.2">
      <c r="A494" t="s">
        <v>572</v>
      </c>
      <c r="B494" s="83">
        <v>1</v>
      </c>
      <c r="C494" s="72">
        <v>42093</v>
      </c>
      <c r="D494">
        <v>4.9000000000000004</v>
      </c>
      <c r="E494">
        <f t="shared" si="3"/>
        <v>4.9000000000000004</v>
      </c>
      <c r="F494" t="s">
        <v>676</v>
      </c>
      <c r="G494" t="s">
        <v>301</v>
      </c>
      <c r="H494" s="72">
        <v>42073</v>
      </c>
    </row>
    <row r="495" spans="1:8" x14ac:dyDescent="0.2">
      <c r="A495" t="s">
        <v>691</v>
      </c>
      <c r="B495" s="83">
        <v>1</v>
      </c>
      <c r="C495" s="72">
        <v>42093</v>
      </c>
      <c r="D495">
        <v>2.5499999999999998</v>
      </c>
      <c r="E495">
        <f t="shared" si="3"/>
        <v>2.5499999999999998</v>
      </c>
      <c r="F495" t="s">
        <v>676</v>
      </c>
      <c r="G495" t="s">
        <v>301</v>
      </c>
      <c r="H495" s="72">
        <v>42073</v>
      </c>
    </row>
    <row r="496" spans="1:8" x14ac:dyDescent="0.2">
      <c r="A496" t="s">
        <v>307</v>
      </c>
      <c r="B496" s="83">
        <v>0.495</v>
      </c>
      <c r="C496" s="72">
        <v>42093</v>
      </c>
      <c r="D496">
        <v>3.88</v>
      </c>
      <c r="E496">
        <f t="shared" si="3"/>
        <v>1.9205999999999999</v>
      </c>
      <c r="F496" t="s">
        <v>283</v>
      </c>
      <c r="G496" t="s">
        <v>302</v>
      </c>
      <c r="H496" s="72">
        <v>42073</v>
      </c>
    </row>
    <row r="497" spans="1:8" x14ac:dyDescent="0.2">
      <c r="A497" t="s">
        <v>620</v>
      </c>
      <c r="B497" s="83">
        <v>1</v>
      </c>
      <c r="C497" s="72">
        <v>42093</v>
      </c>
      <c r="D497">
        <v>1.88</v>
      </c>
      <c r="E497">
        <f t="shared" si="3"/>
        <v>1.88</v>
      </c>
      <c r="F497" t="s">
        <v>620</v>
      </c>
      <c r="G497" t="s">
        <v>301</v>
      </c>
      <c r="H497" s="72">
        <v>42073</v>
      </c>
    </row>
    <row r="498" spans="1:8" x14ac:dyDescent="0.2">
      <c r="A498" t="s">
        <v>218</v>
      </c>
      <c r="B498" s="83">
        <v>2</v>
      </c>
      <c r="C498" s="72">
        <v>42093</v>
      </c>
      <c r="D498">
        <v>2.68</v>
      </c>
      <c r="E498">
        <f t="shared" si="3"/>
        <v>5.36</v>
      </c>
      <c r="F498" t="s">
        <v>218</v>
      </c>
      <c r="G498" t="s">
        <v>301</v>
      </c>
      <c r="H498" s="72">
        <v>42073</v>
      </c>
    </row>
    <row r="499" spans="1:8" x14ac:dyDescent="0.2">
      <c r="A499" t="s">
        <v>692</v>
      </c>
      <c r="B499" s="83">
        <v>2</v>
      </c>
      <c r="C499" s="72">
        <v>42093</v>
      </c>
      <c r="D499">
        <v>1.77</v>
      </c>
      <c r="E499">
        <f t="shared" si="3"/>
        <v>3.54</v>
      </c>
      <c r="F499" t="s">
        <v>374</v>
      </c>
      <c r="G499" t="s">
        <v>301</v>
      </c>
      <c r="H499" s="72">
        <v>42073</v>
      </c>
    </row>
    <row r="500" spans="1:8" x14ac:dyDescent="0.2">
      <c r="A500" t="s">
        <v>693</v>
      </c>
      <c r="B500" s="83">
        <v>1</v>
      </c>
      <c r="C500" s="72">
        <v>42093</v>
      </c>
      <c r="D500">
        <v>2.48</v>
      </c>
      <c r="E500">
        <f t="shared" si="3"/>
        <v>2.48</v>
      </c>
      <c r="F500" t="s">
        <v>693</v>
      </c>
      <c r="G500" t="s">
        <v>301</v>
      </c>
      <c r="H500" s="72">
        <v>42073</v>
      </c>
    </row>
    <row r="501" spans="1:8" x14ac:dyDescent="0.2">
      <c r="A501" t="s">
        <v>694</v>
      </c>
      <c r="B501" s="83">
        <v>1</v>
      </c>
      <c r="C501" s="72">
        <v>42093</v>
      </c>
      <c r="D501">
        <v>1.78</v>
      </c>
      <c r="E501">
        <f t="shared" si="3"/>
        <v>1.78</v>
      </c>
      <c r="F501" t="s">
        <v>73</v>
      </c>
      <c r="G501" t="s">
        <v>301</v>
      </c>
      <c r="H501" s="72">
        <v>42073</v>
      </c>
    </row>
    <row r="502" spans="1:8" x14ac:dyDescent="0.2">
      <c r="A502" t="s">
        <v>695</v>
      </c>
      <c r="B502" s="83">
        <v>1</v>
      </c>
      <c r="C502" s="72">
        <v>42093</v>
      </c>
      <c r="D502">
        <v>6.89</v>
      </c>
      <c r="E502">
        <f t="shared" ref="E502:E622" si="4">B502*D502</f>
        <v>6.89</v>
      </c>
      <c r="F502" t="s">
        <v>622</v>
      </c>
      <c r="G502" t="s">
        <v>301</v>
      </c>
      <c r="H502" s="72">
        <v>42073</v>
      </c>
    </row>
    <row r="503" spans="1:8" x14ac:dyDescent="0.2">
      <c r="A503" t="s">
        <v>696</v>
      </c>
      <c r="B503" s="83">
        <v>1</v>
      </c>
      <c r="C503" s="72">
        <v>42093</v>
      </c>
      <c r="D503">
        <v>3.18</v>
      </c>
      <c r="E503">
        <f t="shared" si="4"/>
        <v>3.18</v>
      </c>
      <c r="F503" t="s">
        <v>704</v>
      </c>
      <c r="G503" t="s">
        <v>301</v>
      </c>
      <c r="H503" s="72">
        <v>42073</v>
      </c>
    </row>
    <row r="504" spans="1:8" x14ac:dyDescent="0.2">
      <c r="A504" t="s">
        <v>697</v>
      </c>
      <c r="B504" s="83">
        <v>2</v>
      </c>
      <c r="C504" s="72">
        <v>42093</v>
      </c>
      <c r="D504">
        <v>1.88</v>
      </c>
      <c r="E504">
        <f t="shared" si="4"/>
        <v>3.76</v>
      </c>
      <c r="F504" t="s">
        <v>467</v>
      </c>
      <c r="G504" t="s">
        <v>301</v>
      </c>
      <c r="H504" s="72">
        <v>42073</v>
      </c>
    </row>
    <row r="505" spans="1:8" x14ac:dyDescent="0.2">
      <c r="A505" t="s">
        <v>698</v>
      </c>
      <c r="B505" s="83">
        <v>1</v>
      </c>
      <c r="C505" s="72">
        <v>42093</v>
      </c>
      <c r="D505">
        <v>1.58</v>
      </c>
      <c r="E505">
        <f t="shared" si="4"/>
        <v>1.58</v>
      </c>
      <c r="F505" t="s">
        <v>211</v>
      </c>
      <c r="G505" t="s">
        <v>301</v>
      </c>
      <c r="H505" s="72">
        <v>42073</v>
      </c>
    </row>
    <row r="506" spans="1:8" x14ac:dyDescent="0.2">
      <c r="A506" t="s">
        <v>699</v>
      </c>
      <c r="B506" s="83">
        <v>1</v>
      </c>
      <c r="C506" s="72">
        <v>42093</v>
      </c>
      <c r="D506">
        <v>1.38</v>
      </c>
      <c r="E506">
        <f t="shared" si="4"/>
        <v>1.38</v>
      </c>
      <c r="F506" t="s">
        <v>470</v>
      </c>
      <c r="G506" t="s">
        <v>301</v>
      </c>
      <c r="H506" s="72">
        <v>42073</v>
      </c>
    </row>
    <row r="507" spans="1:8" x14ac:dyDescent="0.2">
      <c r="A507" t="s">
        <v>700</v>
      </c>
      <c r="B507" s="83">
        <v>0.76600000000000001</v>
      </c>
      <c r="C507" s="72">
        <v>42096</v>
      </c>
      <c r="D507">
        <v>9.98</v>
      </c>
      <c r="E507">
        <f t="shared" si="4"/>
        <v>7.6446800000000001</v>
      </c>
      <c r="F507" t="s">
        <v>283</v>
      </c>
      <c r="G507" t="s">
        <v>302</v>
      </c>
      <c r="H507" s="72">
        <v>42073</v>
      </c>
    </row>
    <row r="508" spans="1:8" x14ac:dyDescent="0.2">
      <c r="A508" t="s">
        <v>303</v>
      </c>
      <c r="B508" s="83">
        <v>0.14499999999999999</v>
      </c>
      <c r="C508" s="72">
        <v>42096</v>
      </c>
      <c r="D508">
        <v>6.98</v>
      </c>
      <c r="E508">
        <f t="shared" si="4"/>
        <v>1.0121</v>
      </c>
      <c r="F508" t="s">
        <v>283</v>
      </c>
      <c r="G508" t="s">
        <v>302</v>
      </c>
      <c r="H508" s="72">
        <v>42073</v>
      </c>
    </row>
    <row r="509" spans="1:8" x14ac:dyDescent="0.2">
      <c r="A509" t="s">
        <v>272</v>
      </c>
      <c r="B509" s="83">
        <v>1</v>
      </c>
      <c r="C509" s="72">
        <v>42096</v>
      </c>
      <c r="D509">
        <v>2.4900000000000002</v>
      </c>
      <c r="E509">
        <f t="shared" si="4"/>
        <v>2.4900000000000002</v>
      </c>
      <c r="F509" t="s">
        <v>272</v>
      </c>
      <c r="G509" t="s">
        <v>301</v>
      </c>
      <c r="H509" s="72">
        <v>42073</v>
      </c>
    </row>
    <row r="510" spans="1:8" x14ac:dyDescent="0.2">
      <c r="A510" t="s">
        <v>310</v>
      </c>
      <c r="B510" s="83">
        <v>0.315</v>
      </c>
      <c r="C510" s="72">
        <v>42096</v>
      </c>
      <c r="D510">
        <v>4.4800000000000004</v>
      </c>
      <c r="E510">
        <f t="shared" si="4"/>
        <v>1.4112000000000002</v>
      </c>
      <c r="F510" t="s">
        <v>283</v>
      </c>
      <c r="G510" t="s">
        <v>302</v>
      </c>
      <c r="H510" s="72">
        <v>42073</v>
      </c>
    </row>
    <row r="511" spans="1:8" x14ac:dyDescent="0.2">
      <c r="A511" t="s">
        <v>221</v>
      </c>
      <c r="B511" s="83">
        <v>1</v>
      </c>
      <c r="C511" s="72">
        <v>42096</v>
      </c>
      <c r="D511">
        <v>2.69</v>
      </c>
      <c r="E511">
        <f t="shared" si="4"/>
        <v>2.69</v>
      </c>
      <c r="F511" t="s">
        <v>283</v>
      </c>
      <c r="G511" t="s">
        <v>301</v>
      </c>
      <c r="H511" s="72">
        <v>42073</v>
      </c>
    </row>
    <row r="512" spans="1:8" x14ac:dyDescent="0.2">
      <c r="A512" t="s">
        <v>233</v>
      </c>
      <c r="B512" s="83">
        <v>0.505</v>
      </c>
      <c r="C512" s="72">
        <v>42096</v>
      </c>
      <c r="D512">
        <v>7.98</v>
      </c>
      <c r="E512">
        <f t="shared" si="4"/>
        <v>4.0299000000000005</v>
      </c>
      <c r="F512" t="s">
        <v>283</v>
      </c>
      <c r="G512" t="s">
        <v>302</v>
      </c>
      <c r="H512" s="72">
        <v>42073</v>
      </c>
    </row>
    <row r="513" spans="1:8" x14ac:dyDescent="0.2">
      <c r="A513" t="s">
        <v>701</v>
      </c>
      <c r="B513" s="83">
        <v>1.0760000000000001</v>
      </c>
      <c r="C513" s="72">
        <v>42096</v>
      </c>
      <c r="D513">
        <v>15.9</v>
      </c>
      <c r="E513">
        <f t="shared" si="4"/>
        <v>17.108400000000003</v>
      </c>
      <c r="F513" t="s">
        <v>611</v>
      </c>
      <c r="G513" t="s">
        <v>302</v>
      </c>
      <c r="H513" s="72">
        <v>42073</v>
      </c>
    </row>
    <row r="514" spans="1:8" x14ac:dyDescent="0.2">
      <c r="A514" t="s">
        <v>318</v>
      </c>
      <c r="B514" s="83">
        <v>0.06</v>
      </c>
      <c r="C514" s="72">
        <v>42096</v>
      </c>
      <c r="D514">
        <v>24.8</v>
      </c>
      <c r="E514">
        <f t="shared" si="4"/>
        <v>1.488</v>
      </c>
      <c r="F514" t="s">
        <v>283</v>
      </c>
      <c r="G514" t="s">
        <v>302</v>
      </c>
      <c r="H514" s="72">
        <v>42073</v>
      </c>
    </row>
    <row r="515" spans="1:8" x14ac:dyDescent="0.2">
      <c r="A515" t="s">
        <v>702</v>
      </c>
      <c r="B515" s="83">
        <v>0.52600000000000002</v>
      </c>
      <c r="C515" s="72">
        <v>42096</v>
      </c>
      <c r="D515">
        <v>10.9</v>
      </c>
      <c r="E515">
        <f t="shared" si="4"/>
        <v>5.7334000000000005</v>
      </c>
      <c r="F515" t="s">
        <v>617</v>
      </c>
      <c r="G515" t="s">
        <v>302</v>
      </c>
      <c r="H515" s="72">
        <v>42073</v>
      </c>
    </row>
    <row r="516" spans="1:8" x14ac:dyDescent="0.2">
      <c r="A516" t="s">
        <v>703</v>
      </c>
      <c r="B516" s="83">
        <v>1</v>
      </c>
      <c r="C516" s="72">
        <v>42096</v>
      </c>
      <c r="D516">
        <v>3.29</v>
      </c>
      <c r="E516">
        <f t="shared" si="4"/>
        <v>3.29</v>
      </c>
      <c r="F516" t="s">
        <v>211</v>
      </c>
      <c r="G516" t="s">
        <v>301</v>
      </c>
      <c r="H516" s="72">
        <v>42073</v>
      </c>
    </row>
    <row r="517" spans="1:8" x14ac:dyDescent="0.2">
      <c r="A517" t="s">
        <v>314</v>
      </c>
      <c r="B517" s="83">
        <v>0.2</v>
      </c>
      <c r="C517" s="72">
        <v>42096</v>
      </c>
      <c r="D517">
        <v>1.98</v>
      </c>
      <c r="E517">
        <f t="shared" si="4"/>
        <v>0.39600000000000002</v>
      </c>
      <c r="F517" t="s">
        <v>282</v>
      </c>
      <c r="G517" t="s">
        <v>302</v>
      </c>
      <c r="H517" s="72">
        <v>42073</v>
      </c>
    </row>
    <row r="518" spans="1:8" x14ac:dyDescent="0.2">
      <c r="A518" t="s">
        <v>708</v>
      </c>
      <c r="B518" s="83">
        <v>1</v>
      </c>
      <c r="C518" s="72">
        <v>42094</v>
      </c>
      <c r="D518">
        <v>10.9</v>
      </c>
      <c r="E518">
        <f t="shared" si="4"/>
        <v>10.9</v>
      </c>
      <c r="F518" t="s">
        <v>290</v>
      </c>
      <c r="G518" t="s">
        <v>301</v>
      </c>
      <c r="H518" s="72">
        <v>42073</v>
      </c>
    </row>
    <row r="519" spans="1:8" x14ac:dyDescent="0.2">
      <c r="A519" t="s">
        <v>233</v>
      </c>
      <c r="B519" s="83">
        <v>0.41</v>
      </c>
      <c r="C519" s="72">
        <v>42094</v>
      </c>
      <c r="D519">
        <v>5.39</v>
      </c>
      <c r="E519">
        <f t="shared" si="4"/>
        <v>2.2098999999999998</v>
      </c>
      <c r="F519" t="s">
        <v>283</v>
      </c>
      <c r="G519" t="s">
        <v>302</v>
      </c>
      <c r="H519" s="72">
        <v>42073</v>
      </c>
    </row>
    <row r="520" spans="1:8" x14ac:dyDescent="0.2">
      <c r="A520" t="s">
        <v>297</v>
      </c>
      <c r="B520" s="83">
        <v>0.436</v>
      </c>
      <c r="C520" s="72">
        <v>42094</v>
      </c>
      <c r="D520">
        <v>23.19</v>
      </c>
      <c r="E520">
        <f t="shared" si="4"/>
        <v>10.110840000000001</v>
      </c>
      <c r="F520" t="s">
        <v>676</v>
      </c>
      <c r="G520" t="s">
        <v>302</v>
      </c>
      <c r="H520" s="72">
        <v>42073</v>
      </c>
    </row>
    <row r="521" spans="1:8" x14ac:dyDescent="0.2">
      <c r="A521" t="s">
        <v>616</v>
      </c>
      <c r="B521" s="83">
        <v>1</v>
      </c>
      <c r="C521" s="72">
        <v>42094</v>
      </c>
      <c r="D521">
        <v>3.15</v>
      </c>
      <c r="E521">
        <f t="shared" si="4"/>
        <v>3.15</v>
      </c>
      <c r="F521" t="s">
        <v>616</v>
      </c>
      <c r="G521" t="s">
        <v>301</v>
      </c>
      <c r="H521" s="72">
        <v>42073</v>
      </c>
    </row>
    <row r="522" spans="1:8" x14ac:dyDescent="0.2">
      <c r="A522" t="s">
        <v>705</v>
      </c>
      <c r="B522" s="83">
        <v>1</v>
      </c>
      <c r="C522" s="72">
        <v>42094</v>
      </c>
      <c r="D522">
        <v>8.39</v>
      </c>
      <c r="E522">
        <f t="shared" si="4"/>
        <v>8.39</v>
      </c>
      <c r="F522" t="s">
        <v>290</v>
      </c>
      <c r="G522" t="s">
        <v>301</v>
      </c>
      <c r="H522" s="72">
        <v>42073</v>
      </c>
    </row>
    <row r="523" spans="1:8" x14ac:dyDescent="0.2">
      <c r="A523" t="s">
        <v>706</v>
      </c>
      <c r="B523" s="83">
        <v>1</v>
      </c>
      <c r="C523" s="72">
        <v>42094</v>
      </c>
      <c r="D523">
        <v>3.09</v>
      </c>
      <c r="E523">
        <f t="shared" si="4"/>
        <v>3.09</v>
      </c>
      <c r="F523" t="s">
        <v>73</v>
      </c>
      <c r="G523" t="s">
        <v>301</v>
      </c>
      <c r="H523" s="72">
        <v>42073</v>
      </c>
    </row>
    <row r="524" spans="1:8" x14ac:dyDescent="0.2">
      <c r="A524" t="s">
        <v>470</v>
      </c>
      <c r="B524" s="83">
        <v>1</v>
      </c>
      <c r="C524" s="72">
        <v>42094</v>
      </c>
      <c r="D524">
        <v>4.29</v>
      </c>
      <c r="E524">
        <f t="shared" si="4"/>
        <v>4.29</v>
      </c>
      <c r="F524" t="s">
        <v>470</v>
      </c>
      <c r="G524" t="s">
        <v>301</v>
      </c>
      <c r="H524" s="72">
        <v>42073</v>
      </c>
    </row>
    <row r="525" spans="1:8" x14ac:dyDescent="0.2">
      <c r="A525" t="s">
        <v>323</v>
      </c>
      <c r="B525" s="83">
        <v>1</v>
      </c>
      <c r="C525" s="72">
        <v>42094</v>
      </c>
      <c r="D525">
        <v>6.99</v>
      </c>
      <c r="E525">
        <f t="shared" si="4"/>
        <v>6.99</v>
      </c>
      <c r="F525" t="s">
        <v>344</v>
      </c>
      <c r="G525" t="s">
        <v>301</v>
      </c>
      <c r="H525" s="72">
        <v>42073</v>
      </c>
    </row>
    <row r="526" spans="1:8" x14ac:dyDescent="0.2">
      <c r="A526" t="s">
        <v>707</v>
      </c>
      <c r="B526" s="83">
        <v>1</v>
      </c>
      <c r="C526" s="72">
        <v>42094</v>
      </c>
      <c r="D526">
        <v>5.99</v>
      </c>
      <c r="E526">
        <f t="shared" si="4"/>
        <v>5.99</v>
      </c>
      <c r="F526" t="s">
        <v>270</v>
      </c>
      <c r="G526" t="s">
        <v>301</v>
      </c>
      <c r="H526" s="72">
        <v>42073</v>
      </c>
    </row>
    <row r="527" spans="1:8" x14ac:dyDescent="0.2">
      <c r="A527" t="s">
        <v>519</v>
      </c>
      <c r="B527" s="83">
        <v>1</v>
      </c>
      <c r="C527" s="72">
        <v>42094</v>
      </c>
      <c r="D527">
        <v>7.89</v>
      </c>
      <c r="E527">
        <f t="shared" si="4"/>
        <v>7.89</v>
      </c>
      <c r="F527" t="s">
        <v>622</v>
      </c>
      <c r="G527" t="s">
        <v>301</v>
      </c>
      <c r="H527" s="72">
        <v>42073</v>
      </c>
    </row>
    <row r="528" spans="1:8" x14ac:dyDescent="0.2">
      <c r="A528" t="s">
        <v>717</v>
      </c>
      <c r="B528" s="83">
        <v>1</v>
      </c>
      <c r="C528" s="72">
        <v>42101</v>
      </c>
      <c r="D528">
        <v>2.8</v>
      </c>
      <c r="E528">
        <f t="shared" si="4"/>
        <v>2.8</v>
      </c>
      <c r="F528" t="s">
        <v>290</v>
      </c>
      <c r="G528" t="s">
        <v>301</v>
      </c>
    </row>
    <row r="529" spans="1:8" x14ac:dyDescent="0.2">
      <c r="A529" t="s">
        <v>718</v>
      </c>
      <c r="B529" s="83">
        <v>1</v>
      </c>
      <c r="C529" s="72">
        <v>42101</v>
      </c>
      <c r="D529">
        <v>3</v>
      </c>
      <c r="E529">
        <f t="shared" si="4"/>
        <v>3</v>
      </c>
      <c r="F529" t="s">
        <v>325</v>
      </c>
      <c r="G529" t="s">
        <v>301</v>
      </c>
    </row>
    <row r="530" spans="1:8" x14ac:dyDescent="0.2">
      <c r="A530" t="s">
        <v>423</v>
      </c>
      <c r="B530" s="83">
        <v>1</v>
      </c>
      <c r="C530" s="72">
        <v>42101</v>
      </c>
      <c r="D530">
        <v>2.5</v>
      </c>
      <c r="E530">
        <f t="shared" si="4"/>
        <v>2.5</v>
      </c>
      <c r="F530" t="s">
        <v>325</v>
      </c>
      <c r="G530" t="s">
        <v>301</v>
      </c>
    </row>
    <row r="531" spans="1:8" x14ac:dyDescent="0.2">
      <c r="A531" t="s">
        <v>375</v>
      </c>
      <c r="B531" s="83">
        <v>1</v>
      </c>
      <c r="C531" s="72">
        <v>42101</v>
      </c>
      <c r="D531">
        <v>4.95</v>
      </c>
      <c r="E531">
        <f t="shared" si="4"/>
        <v>4.95</v>
      </c>
      <c r="F531" t="s">
        <v>344</v>
      </c>
      <c r="G531" t="s">
        <v>301</v>
      </c>
    </row>
    <row r="532" spans="1:8" x14ac:dyDescent="0.2">
      <c r="A532" t="s">
        <v>444</v>
      </c>
      <c r="B532" s="83">
        <v>2</v>
      </c>
      <c r="C532" s="72">
        <v>42101</v>
      </c>
      <c r="D532">
        <v>2</v>
      </c>
      <c r="E532">
        <f t="shared" si="4"/>
        <v>4</v>
      </c>
      <c r="F532" t="s">
        <v>325</v>
      </c>
      <c r="G532" t="s">
        <v>301</v>
      </c>
    </row>
    <row r="533" spans="1:8" x14ac:dyDescent="0.2">
      <c r="A533" t="s">
        <v>719</v>
      </c>
      <c r="B533" s="83">
        <v>1</v>
      </c>
      <c r="C533" s="72">
        <v>42101</v>
      </c>
      <c r="D533">
        <v>6.7</v>
      </c>
      <c r="E533">
        <f t="shared" si="4"/>
        <v>6.7</v>
      </c>
      <c r="F533" t="s">
        <v>325</v>
      </c>
      <c r="G533" t="s">
        <v>301</v>
      </c>
    </row>
    <row r="534" spans="1:8" x14ac:dyDescent="0.2">
      <c r="A534" t="s">
        <v>720</v>
      </c>
      <c r="B534" s="83">
        <v>1</v>
      </c>
      <c r="C534" s="72">
        <v>42101</v>
      </c>
      <c r="D534">
        <v>8.6999999999999993</v>
      </c>
      <c r="E534">
        <f t="shared" si="4"/>
        <v>8.6999999999999993</v>
      </c>
      <c r="F534" t="s">
        <v>344</v>
      </c>
      <c r="G534" t="s">
        <v>301</v>
      </c>
    </row>
    <row r="535" spans="1:8" x14ac:dyDescent="0.2">
      <c r="A535" t="s">
        <v>721</v>
      </c>
      <c r="B535" s="83">
        <v>1</v>
      </c>
      <c r="C535" s="72">
        <v>42101</v>
      </c>
      <c r="D535">
        <v>7.35</v>
      </c>
      <c r="E535">
        <f t="shared" si="4"/>
        <v>7.35</v>
      </c>
      <c r="F535" t="s">
        <v>344</v>
      </c>
      <c r="G535" t="s">
        <v>301</v>
      </c>
    </row>
    <row r="536" spans="1:8" x14ac:dyDescent="0.2">
      <c r="A536" t="s">
        <v>722</v>
      </c>
      <c r="B536" s="83">
        <v>1</v>
      </c>
      <c r="C536" s="72">
        <v>42101</v>
      </c>
      <c r="D536">
        <v>2.25</v>
      </c>
      <c r="E536">
        <f t="shared" si="4"/>
        <v>2.25</v>
      </c>
      <c r="F536" t="s">
        <v>344</v>
      </c>
      <c r="G536" t="s">
        <v>301</v>
      </c>
    </row>
    <row r="537" spans="1:8" x14ac:dyDescent="0.2">
      <c r="A537" t="s">
        <v>723</v>
      </c>
      <c r="B537" s="83">
        <v>1</v>
      </c>
      <c r="C537" s="72">
        <v>42101</v>
      </c>
      <c r="D537">
        <v>2.75</v>
      </c>
      <c r="E537">
        <f t="shared" si="4"/>
        <v>2.75</v>
      </c>
      <c r="F537" t="s">
        <v>211</v>
      </c>
      <c r="G537" t="s">
        <v>301</v>
      </c>
    </row>
    <row r="538" spans="1:8" x14ac:dyDescent="0.2">
      <c r="A538" t="s">
        <v>724</v>
      </c>
      <c r="B538" s="83">
        <v>0.19800000000000001</v>
      </c>
      <c r="C538" s="72">
        <v>42101</v>
      </c>
      <c r="D538">
        <v>12.99</v>
      </c>
      <c r="E538">
        <f t="shared" si="4"/>
        <v>2.5720200000000002</v>
      </c>
      <c r="F538" t="s">
        <v>270</v>
      </c>
      <c r="G538" t="s">
        <v>302</v>
      </c>
    </row>
    <row r="539" spans="1:8" x14ac:dyDescent="0.2">
      <c r="A539" t="s">
        <v>620</v>
      </c>
      <c r="B539" s="83">
        <v>1</v>
      </c>
      <c r="C539" s="72">
        <v>42101</v>
      </c>
      <c r="D539">
        <v>1.88</v>
      </c>
      <c r="E539">
        <f t="shared" si="4"/>
        <v>1.88</v>
      </c>
      <c r="F539" t="s">
        <v>620</v>
      </c>
      <c r="G539" t="s">
        <v>301</v>
      </c>
    </row>
    <row r="540" spans="1:8" x14ac:dyDescent="0.2">
      <c r="A540" t="s">
        <v>725</v>
      </c>
      <c r="B540" s="83">
        <v>1</v>
      </c>
      <c r="C540" s="72">
        <v>42101</v>
      </c>
      <c r="D540">
        <v>3.59</v>
      </c>
      <c r="E540">
        <f t="shared" si="4"/>
        <v>3.59</v>
      </c>
      <c r="F540" t="s">
        <v>725</v>
      </c>
      <c r="G540" t="s">
        <v>301</v>
      </c>
    </row>
    <row r="541" spans="1:8" x14ac:dyDescent="0.2">
      <c r="A541" t="s">
        <v>272</v>
      </c>
      <c r="B541" s="83">
        <v>1</v>
      </c>
      <c r="C541" s="72">
        <v>42101</v>
      </c>
      <c r="D541">
        <v>2.09</v>
      </c>
      <c r="E541">
        <f t="shared" si="4"/>
        <v>2.09</v>
      </c>
      <c r="F541" t="s">
        <v>272</v>
      </c>
      <c r="G541" t="s">
        <v>301</v>
      </c>
    </row>
    <row r="542" spans="1:8" x14ac:dyDescent="0.2">
      <c r="A542" t="s">
        <v>675</v>
      </c>
      <c r="B542" s="83">
        <v>1.0449999999999999</v>
      </c>
      <c r="C542" s="72">
        <v>42101</v>
      </c>
      <c r="D542">
        <v>5.99</v>
      </c>
      <c r="E542">
        <f t="shared" si="4"/>
        <v>6.2595499999999999</v>
      </c>
      <c r="F542" t="s">
        <v>282</v>
      </c>
      <c r="G542" t="s">
        <v>302</v>
      </c>
      <c r="H542" s="72">
        <v>42073</v>
      </c>
    </row>
    <row r="543" spans="1:8" x14ac:dyDescent="0.2">
      <c r="A543" t="s">
        <v>256</v>
      </c>
      <c r="B543" s="83">
        <v>1.2549999999999999</v>
      </c>
      <c r="C543" s="72">
        <v>42101</v>
      </c>
      <c r="D543">
        <v>2.59</v>
      </c>
      <c r="E543">
        <f t="shared" si="4"/>
        <v>3.2504499999999994</v>
      </c>
      <c r="F543" t="s">
        <v>282</v>
      </c>
      <c r="G543" t="s">
        <v>302</v>
      </c>
      <c r="H543" s="72">
        <v>42073</v>
      </c>
    </row>
    <row r="544" spans="1:8" x14ac:dyDescent="0.2">
      <c r="A544" t="s">
        <v>303</v>
      </c>
      <c r="B544" s="83">
        <v>0.11</v>
      </c>
      <c r="C544" s="72">
        <v>42101</v>
      </c>
      <c r="D544">
        <v>6.39</v>
      </c>
      <c r="E544">
        <f t="shared" si="4"/>
        <v>0.70289999999999997</v>
      </c>
      <c r="F544" t="s">
        <v>283</v>
      </c>
      <c r="G544" t="s">
        <v>302</v>
      </c>
      <c r="H544" s="72">
        <v>42073</v>
      </c>
    </row>
    <row r="545" spans="1:8" x14ac:dyDescent="0.2">
      <c r="A545" t="s">
        <v>421</v>
      </c>
      <c r="B545" s="83">
        <v>1</v>
      </c>
      <c r="C545" s="72">
        <v>42101</v>
      </c>
      <c r="D545">
        <v>4.49</v>
      </c>
      <c r="E545">
        <f t="shared" si="4"/>
        <v>4.49</v>
      </c>
      <c r="F545" t="s">
        <v>470</v>
      </c>
      <c r="G545" t="s">
        <v>301</v>
      </c>
      <c r="H545" s="72">
        <v>42073</v>
      </c>
    </row>
    <row r="546" spans="1:8" x14ac:dyDescent="0.2">
      <c r="A546" t="s">
        <v>726</v>
      </c>
      <c r="B546" s="83">
        <v>0.58699999999999997</v>
      </c>
      <c r="C546" s="72">
        <v>42101</v>
      </c>
      <c r="D546">
        <v>28.39</v>
      </c>
      <c r="E546">
        <f t="shared" si="4"/>
        <v>16.664929999999998</v>
      </c>
      <c r="F546" t="s">
        <v>616</v>
      </c>
      <c r="G546" t="s">
        <v>302</v>
      </c>
      <c r="H546" s="72">
        <v>42073</v>
      </c>
    </row>
    <row r="547" spans="1:8" x14ac:dyDescent="0.2">
      <c r="A547" t="s">
        <v>727</v>
      </c>
      <c r="B547" s="83">
        <v>2</v>
      </c>
      <c r="C547" s="72">
        <v>42101</v>
      </c>
      <c r="D547">
        <v>1.59</v>
      </c>
      <c r="E547">
        <f t="shared" si="4"/>
        <v>3.18</v>
      </c>
      <c r="F547" t="s">
        <v>727</v>
      </c>
      <c r="G547" t="s">
        <v>301</v>
      </c>
      <c r="H547" s="72">
        <v>42073</v>
      </c>
    </row>
    <row r="548" spans="1:8" x14ac:dyDescent="0.2">
      <c r="A548" t="s">
        <v>728</v>
      </c>
      <c r="B548" s="83">
        <v>2</v>
      </c>
      <c r="C548" s="72">
        <v>42101</v>
      </c>
      <c r="D548">
        <v>4.3499999999999996</v>
      </c>
      <c r="E548">
        <f t="shared" si="4"/>
        <v>8.6999999999999993</v>
      </c>
      <c r="F548" t="s">
        <v>727</v>
      </c>
      <c r="G548" t="s">
        <v>301</v>
      </c>
      <c r="H548" s="72">
        <v>42073</v>
      </c>
    </row>
    <row r="549" spans="1:8" x14ac:dyDescent="0.2">
      <c r="A549" t="s">
        <v>729</v>
      </c>
      <c r="B549" s="83">
        <v>1.1299999999999999</v>
      </c>
      <c r="C549" s="72">
        <v>42101</v>
      </c>
      <c r="D549">
        <v>10.49</v>
      </c>
      <c r="E549">
        <f t="shared" si="4"/>
        <v>11.8537</v>
      </c>
      <c r="F549" t="s">
        <v>617</v>
      </c>
      <c r="G549" t="s">
        <v>302</v>
      </c>
      <c r="H549" s="72">
        <v>42073</v>
      </c>
    </row>
    <row r="550" spans="1:8" x14ac:dyDescent="0.2">
      <c r="A550" t="s">
        <v>288</v>
      </c>
      <c r="B550" s="83">
        <v>0.57199999999999995</v>
      </c>
      <c r="C550" s="72">
        <v>42103</v>
      </c>
      <c r="D550">
        <v>24.9</v>
      </c>
      <c r="E550">
        <f t="shared" si="4"/>
        <v>14.242799999999997</v>
      </c>
      <c r="F550" t="s">
        <v>611</v>
      </c>
      <c r="G550" t="s">
        <v>302</v>
      </c>
      <c r="H550" s="72">
        <v>42073</v>
      </c>
    </row>
    <row r="551" spans="1:8" x14ac:dyDescent="0.2">
      <c r="A551" t="s">
        <v>233</v>
      </c>
      <c r="B551" s="83">
        <v>0.48</v>
      </c>
      <c r="C551" s="72">
        <v>42103</v>
      </c>
      <c r="D551">
        <v>7.98</v>
      </c>
      <c r="E551">
        <f t="shared" si="4"/>
        <v>3.8304</v>
      </c>
      <c r="F551" t="s">
        <v>283</v>
      </c>
      <c r="G551" t="s">
        <v>302</v>
      </c>
      <c r="H551" s="72">
        <v>42073</v>
      </c>
    </row>
    <row r="552" spans="1:8" x14ac:dyDescent="0.2">
      <c r="A552" t="s">
        <v>310</v>
      </c>
      <c r="B552" s="83">
        <v>0.245</v>
      </c>
      <c r="C552" s="72">
        <v>42103</v>
      </c>
      <c r="D552">
        <v>4.4800000000000004</v>
      </c>
      <c r="E552">
        <f t="shared" si="4"/>
        <v>1.0976000000000001</v>
      </c>
      <c r="F552" t="s">
        <v>283</v>
      </c>
      <c r="G552" t="s">
        <v>302</v>
      </c>
      <c r="H552" s="72">
        <v>42073</v>
      </c>
    </row>
    <row r="553" spans="1:8" x14ac:dyDescent="0.2">
      <c r="A553" t="s">
        <v>730</v>
      </c>
      <c r="B553" s="83">
        <v>1</v>
      </c>
      <c r="C553" s="72">
        <v>42103</v>
      </c>
      <c r="D553">
        <v>1.49</v>
      </c>
      <c r="E553">
        <f t="shared" si="4"/>
        <v>1.49</v>
      </c>
      <c r="F553" t="s">
        <v>283</v>
      </c>
      <c r="G553" t="s">
        <v>301</v>
      </c>
      <c r="H553" s="72">
        <v>42073</v>
      </c>
    </row>
    <row r="554" spans="1:8" x14ac:dyDescent="0.2">
      <c r="A554" t="s">
        <v>287</v>
      </c>
      <c r="B554" s="83">
        <v>0.14399999999999999</v>
      </c>
      <c r="C554" s="72">
        <v>42103</v>
      </c>
      <c r="D554">
        <v>21.9</v>
      </c>
      <c r="E554">
        <f t="shared" si="4"/>
        <v>3.1535999999999995</v>
      </c>
      <c r="F554" t="s">
        <v>287</v>
      </c>
      <c r="G554" t="s">
        <v>302</v>
      </c>
      <c r="H554" s="72">
        <v>42073</v>
      </c>
    </row>
    <row r="555" spans="1:8" x14ac:dyDescent="0.2">
      <c r="A555" t="s">
        <v>311</v>
      </c>
      <c r="B555" s="83">
        <v>0.91</v>
      </c>
      <c r="C555" s="72">
        <v>42103</v>
      </c>
      <c r="D555">
        <v>5.48</v>
      </c>
      <c r="E555">
        <f t="shared" si="4"/>
        <v>4.9868000000000006</v>
      </c>
      <c r="F555" t="s">
        <v>282</v>
      </c>
      <c r="G555" t="s">
        <v>302</v>
      </c>
      <c r="H555" s="72">
        <v>42073</v>
      </c>
    </row>
    <row r="556" spans="1:8" x14ac:dyDescent="0.2">
      <c r="A556" t="s">
        <v>221</v>
      </c>
      <c r="B556" s="83">
        <v>1</v>
      </c>
      <c r="C556" s="72">
        <v>42103</v>
      </c>
      <c r="D556">
        <v>2.69</v>
      </c>
      <c r="E556">
        <f t="shared" si="4"/>
        <v>2.69</v>
      </c>
      <c r="F556" t="s">
        <v>283</v>
      </c>
      <c r="G556" t="s">
        <v>301</v>
      </c>
      <c r="H556" s="72">
        <v>42073</v>
      </c>
    </row>
    <row r="557" spans="1:8" x14ac:dyDescent="0.2">
      <c r="A557" t="s">
        <v>731</v>
      </c>
      <c r="B557" s="83">
        <v>0.64200000000000002</v>
      </c>
      <c r="C557" s="72">
        <v>42103</v>
      </c>
      <c r="D557">
        <v>15.9</v>
      </c>
      <c r="E557">
        <f t="shared" si="4"/>
        <v>10.207800000000001</v>
      </c>
      <c r="F557" t="s">
        <v>611</v>
      </c>
      <c r="G557" t="s">
        <v>302</v>
      </c>
      <c r="H557" s="72">
        <v>42073</v>
      </c>
    </row>
    <row r="558" spans="1:8" x14ac:dyDescent="0.2">
      <c r="A558" t="s">
        <v>318</v>
      </c>
      <c r="B558" s="83">
        <v>0.05</v>
      </c>
      <c r="C558" s="72">
        <v>42103</v>
      </c>
      <c r="D558">
        <v>24.8</v>
      </c>
      <c r="E558">
        <f t="shared" si="4"/>
        <v>1.2400000000000002</v>
      </c>
      <c r="F558" t="s">
        <v>283</v>
      </c>
      <c r="G558" t="s">
        <v>302</v>
      </c>
      <c r="H558" s="72">
        <v>42073</v>
      </c>
    </row>
    <row r="559" spans="1:8" x14ac:dyDescent="0.2">
      <c r="A559" t="s">
        <v>732</v>
      </c>
      <c r="B559" s="83">
        <v>1</v>
      </c>
      <c r="C559" s="72">
        <v>42103</v>
      </c>
      <c r="D559">
        <v>2.48</v>
      </c>
      <c r="E559">
        <f t="shared" si="4"/>
        <v>2.48</v>
      </c>
      <c r="F559" t="s">
        <v>283</v>
      </c>
      <c r="G559" t="s">
        <v>301</v>
      </c>
      <c r="H559" s="72">
        <v>42073</v>
      </c>
    </row>
    <row r="560" spans="1:8" x14ac:dyDescent="0.2">
      <c r="A560" t="s">
        <v>303</v>
      </c>
      <c r="B560" s="83">
        <v>0.19</v>
      </c>
      <c r="C560" s="72">
        <v>42103</v>
      </c>
      <c r="D560">
        <v>6.98</v>
      </c>
      <c r="E560">
        <f t="shared" si="4"/>
        <v>1.3262</v>
      </c>
      <c r="F560" t="s">
        <v>283</v>
      </c>
      <c r="G560" t="s">
        <v>302</v>
      </c>
      <c r="H560" s="72">
        <v>42073</v>
      </c>
    </row>
    <row r="561" spans="1:8" x14ac:dyDescent="0.2">
      <c r="A561" t="s">
        <v>733</v>
      </c>
      <c r="B561" s="83">
        <v>1</v>
      </c>
      <c r="C561" s="72">
        <v>42103</v>
      </c>
      <c r="D561">
        <v>1.19</v>
      </c>
      <c r="E561">
        <f t="shared" si="4"/>
        <v>1.19</v>
      </c>
      <c r="F561" t="s">
        <v>211</v>
      </c>
      <c r="G561" t="s">
        <v>301</v>
      </c>
      <c r="H561" s="72">
        <v>42073</v>
      </c>
    </row>
    <row r="562" spans="1:8" x14ac:dyDescent="0.2">
      <c r="A562" t="s">
        <v>734</v>
      </c>
      <c r="B562" s="83">
        <v>1</v>
      </c>
      <c r="C562" s="72">
        <v>42103</v>
      </c>
      <c r="D562">
        <v>1.29</v>
      </c>
      <c r="E562">
        <f t="shared" si="4"/>
        <v>1.29</v>
      </c>
      <c r="F562" t="s">
        <v>211</v>
      </c>
      <c r="G562" t="s">
        <v>301</v>
      </c>
      <c r="H562" s="72">
        <v>42073</v>
      </c>
    </row>
    <row r="563" spans="1:8" x14ac:dyDescent="0.2">
      <c r="A563" t="s">
        <v>696</v>
      </c>
      <c r="B563" s="83">
        <v>1</v>
      </c>
      <c r="C563" s="72">
        <v>42103</v>
      </c>
      <c r="D563">
        <v>6.49</v>
      </c>
      <c r="E563">
        <f t="shared" si="4"/>
        <v>6.49</v>
      </c>
      <c r="F563" t="s">
        <v>704</v>
      </c>
      <c r="G563" t="s">
        <v>301</v>
      </c>
      <c r="H563" s="72">
        <v>42073</v>
      </c>
    </row>
    <row r="564" spans="1:8" x14ac:dyDescent="0.2">
      <c r="A564" t="s">
        <v>735</v>
      </c>
      <c r="B564" s="83">
        <v>1</v>
      </c>
      <c r="C564" s="72">
        <v>42103</v>
      </c>
      <c r="D564">
        <v>8.19</v>
      </c>
      <c r="E564">
        <f t="shared" si="4"/>
        <v>8.19</v>
      </c>
      <c r="F564" t="s">
        <v>211</v>
      </c>
      <c r="G564" t="s">
        <v>301</v>
      </c>
      <c r="H564" s="72">
        <v>42073</v>
      </c>
    </row>
    <row r="565" spans="1:8" x14ac:dyDescent="0.2">
      <c r="A565" t="s">
        <v>736</v>
      </c>
      <c r="B565" s="83">
        <v>1</v>
      </c>
      <c r="C565" s="72">
        <v>42103</v>
      </c>
      <c r="D565">
        <v>3.49</v>
      </c>
      <c r="E565">
        <f t="shared" si="4"/>
        <v>3.49</v>
      </c>
      <c r="F565" t="s">
        <v>211</v>
      </c>
      <c r="G565" t="s">
        <v>301</v>
      </c>
      <c r="H565" s="72">
        <v>42073</v>
      </c>
    </row>
    <row r="566" spans="1:8" x14ac:dyDescent="0.2">
      <c r="A566" t="s">
        <v>737</v>
      </c>
      <c r="B566" s="83">
        <v>1</v>
      </c>
      <c r="C566" s="72">
        <v>42103</v>
      </c>
      <c r="D566">
        <v>3.99</v>
      </c>
      <c r="E566">
        <f t="shared" si="4"/>
        <v>3.99</v>
      </c>
      <c r="F566" t="s">
        <v>211</v>
      </c>
      <c r="G566" t="s">
        <v>301</v>
      </c>
      <c r="H566" s="72">
        <v>42073</v>
      </c>
    </row>
    <row r="567" spans="1:8" x14ac:dyDescent="0.2">
      <c r="A567" t="s">
        <v>620</v>
      </c>
      <c r="B567" s="83">
        <v>1</v>
      </c>
      <c r="C567" s="72">
        <v>42103</v>
      </c>
      <c r="D567">
        <v>1.59</v>
      </c>
      <c r="E567">
        <f t="shared" si="4"/>
        <v>1.59</v>
      </c>
      <c r="F567" t="s">
        <v>620</v>
      </c>
      <c r="G567" t="s">
        <v>301</v>
      </c>
      <c r="H567" s="72">
        <v>42073</v>
      </c>
    </row>
    <row r="568" spans="1:8" x14ac:dyDescent="0.2">
      <c r="A568" t="s">
        <v>738</v>
      </c>
      <c r="B568" s="83">
        <v>1</v>
      </c>
      <c r="C568" s="72">
        <v>42103</v>
      </c>
      <c r="D568">
        <v>2.29</v>
      </c>
      <c r="E568">
        <f t="shared" si="4"/>
        <v>2.29</v>
      </c>
      <c r="F568" t="s">
        <v>211</v>
      </c>
      <c r="G568" t="s">
        <v>301</v>
      </c>
      <c r="H568" s="72">
        <v>42073</v>
      </c>
    </row>
    <row r="569" spans="1:8" x14ac:dyDescent="0.2">
      <c r="A569" t="s">
        <v>739</v>
      </c>
      <c r="B569" s="83">
        <v>1</v>
      </c>
      <c r="C569" s="72">
        <v>42103</v>
      </c>
      <c r="D569">
        <v>2.29</v>
      </c>
      <c r="E569">
        <f t="shared" si="4"/>
        <v>2.29</v>
      </c>
      <c r="F569" t="s">
        <v>211</v>
      </c>
      <c r="G569" t="s">
        <v>301</v>
      </c>
      <c r="H569" s="72">
        <v>42073</v>
      </c>
    </row>
    <row r="570" spans="1:8" x14ac:dyDescent="0.2">
      <c r="A570" t="s">
        <v>740</v>
      </c>
      <c r="B570" s="83">
        <v>1</v>
      </c>
      <c r="C570" s="72">
        <v>42103</v>
      </c>
      <c r="D570">
        <v>1.95</v>
      </c>
      <c r="E570">
        <f t="shared" si="4"/>
        <v>1.95</v>
      </c>
      <c r="F570" t="s">
        <v>725</v>
      </c>
      <c r="G570" t="s">
        <v>301</v>
      </c>
      <c r="H570" s="72">
        <v>42073</v>
      </c>
    </row>
    <row r="571" spans="1:8" x14ac:dyDescent="0.2">
      <c r="A571" t="s">
        <v>741</v>
      </c>
      <c r="B571" s="83">
        <v>0.50900000000000001</v>
      </c>
      <c r="C571" s="72">
        <v>42103</v>
      </c>
      <c r="D571">
        <v>5.99</v>
      </c>
      <c r="E571">
        <f t="shared" si="4"/>
        <v>3.0489100000000002</v>
      </c>
      <c r="F571" t="s">
        <v>282</v>
      </c>
      <c r="G571" t="s">
        <v>302</v>
      </c>
      <c r="H571" s="72">
        <v>42073</v>
      </c>
    </row>
    <row r="572" spans="1:8" x14ac:dyDescent="0.2">
      <c r="A572" t="s">
        <v>244</v>
      </c>
      <c r="B572" s="83">
        <v>1</v>
      </c>
      <c r="C572" s="72">
        <v>42103</v>
      </c>
      <c r="D572">
        <v>2.99</v>
      </c>
      <c r="E572">
        <f t="shared" si="4"/>
        <v>2.99</v>
      </c>
      <c r="F572" t="s">
        <v>285</v>
      </c>
      <c r="G572" t="s">
        <v>301</v>
      </c>
      <c r="H572" s="72">
        <v>42073</v>
      </c>
    </row>
    <row r="573" spans="1:8" x14ac:dyDescent="0.2">
      <c r="A573" t="s">
        <v>744</v>
      </c>
      <c r="B573" s="83">
        <v>1</v>
      </c>
      <c r="C573" s="72">
        <v>42103</v>
      </c>
      <c r="D573">
        <v>3.59</v>
      </c>
      <c r="E573">
        <f t="shared" si="4"/>
        <v>3.59</v>
      </c>
      <c r="F573" t="s">
        <v>285</v>
      </c>
      <c r="G573" t="s">
        <v>301</v>
      </c>
      <c r="H573" s="72">
        <v>42073</v>
      </c>
    </row>
    <row r="574" spans="1:8" x14ac:dyDescent="0.2">
      <c r="A574" t="s">
        <v>742</v>
      </c>
      <c r="B574" s="83">
        <v>1</v>
      </c>
      <c r="C574" s="72">
        <v>42103</v>
      </c>
      <c r="D574">
        <v>3.79</v>
      </c>
      <c r="E574">
        <f t="shared" si="4"/>
        <v>3.79</v>
      </c>
      <c r="F574" t="s">
        <v>237</v>
      </c>
      <c r="G574" t="s">
        <v>301</v>
      </c>
      <c r="H574" s="72">
        <v>42073</v>
      </c>
    </row>
    <row r="575" spans="1:8" x14ac:dyDescent="0.2">
      <c r="A575" t="s">
        <v>256</v>
      </c>
      <c r="B575" s="83">
        <v>0.65500000000000003</v>
      </c>
      <c r="C575" s="72">
        <v>42103</v>
      </c>
      <c r="D575">
        <v>1.39</v>
      </c>
      <c r="E575">
        <f t="shared" si="4"/>
        <v>0.91044999999999998</v>
      </c>
      <c r="F575" t="s">
        <v>282</v>
      </c>
      <c r="G575" t="s">
        <v>302</v>
      </c>
      <c r="H575" s="72">
        <v>42073</v>
      </c>
    </row>
    <row r="576" spans="1:8" x14ac:dyDescent="0.2">
      <c r="A576" t="s">
        <v>417</v>
      </c>
      <c r="B576" s="83">
        <v>1</v>
      </c>
      <c r="C576" s="72">
        <v>42103</v>
      </c>
      <c r="D576">
        <v>4.3899999999999997</v>
      </c>
      <c r="E576">
        <f t="shared" si="4"/>
        <v>4.3899999999999997</v>
      </c>
      <c r="F576" t="s">
        <v>307</v>
      </c>
      <c r="G576" t="s">
        <v>301</v>
      </c>
      <c r="H576" s="72">
        <v>42073</v>
      </c>
    </row>
    <row r="577" spans="1:8" x14ac:dyDescent="0.2">
      <c r="A577" t="s">
        <v>695</v>
      </c>
      <c r="B577" s="83">
        <v>1</v>
      </c>
      <c r="C577" s="72">
        <v>42103</v>
      </c>
      <c r="D577">
        <v>6.09</v>
      </c>
      <c r="E577">
        <f t="shared" si="4"/>
        <v>6.09</v>
      </c>
      <c r="F577" t="s">
        <v>622</v>
      </c>
      <c r="G577" t="s">
        <v>301</v>
      </c>
      <c r="H577" s="72">
        <v>42073</v>
      </c>
    </row>
    <row r="578" spans="1:8" x14ac:dyDescent="0.2">
      <c r="A578" t="s">
        <v>298</v>
      </c>
      <c r="B578" s="83">
        <v>0.48399999999999999</v>
      </c>
      <c r="C578" s="72">
        <v>42103</v>
      </c>
      <c r="D578">
        <v>23.19</v>
      </c>
      <c r="E578">
        <f t="shared" si="4"/>
        <v>11.22396</v>
      </c>
      <c r="F578" t="s">
        <v>676</v>
      </c>
      <c r="G578" t="s">
        <v>302</v>
      </c>
      <c r="H578" s="72">
        <v>42073</v>
      </c>
    </row>
    <row r="579" spans="1:8" x14ac:dyDescent="0.2">
      <c r="A579" t="s">
        <v>297</v>
      </c>
      <c r="B579" s="83">
        <v>0.22700000000000001</v>
      </c>
      <c r="C579" s="72">
        <v>42103</v>
      </c>
      <c r="D579">
        <v>26.49</v>
      </c>
      <c r="E579">
        <f t="shared" si="4"/>
        <v>6.0132300000000001</v>
      </c>
      <c r="F579" t="s">
        <v>676</v>
      </c>
      <c r="G579" t="s">
        <v>302</v>
      </c>
      <c r="H579" s="72">
        <v>42073</v>
      </c>
    </row>
    <row r="580" spans="1:8" x14ac:dyDescent="0.2">
      <c r="A580" t="s">
        <v>299</v>
      </c>
      <c r="B580" s="83">
        <v>1</v>
      </c>
      <c r="C580" s="72">
        <v>42105</v>
      </c>
      <c r="D580">
        <v>12.9</v>
      </c>
      <c r="E580">
        <f t="shared" si="4"/>
        <v>12.9</v>
      </c>
      <c r="F580" t="s">
        <v>676</v>
      </c>
      <c r="G580" t="s">
        <v>301</v>
      </c>
      <c r="H580" s="72">
        <v>42073</v>
      </c>
    </row>
    <row r="581" spans="1:8" x14ac:dyDescent="0.2">
      <c r="A581" t="s">
        <v>743</v>
      </c>
      <c r="B581" s="83">
        <v>1</v>
      </c>
      <c r="C581" s="72">
        <v>42105</v>
      </c>
      <c r="D581">
        <v>6.79</v>
      </c>
      <c r="E581">
        <f t="shared" si="4"/>
        <v>6.79</v>
      </c>
      <c r="F581" t="s">
        <v>285</v>
      </c>
      <c r="G581" t="s">
        <v>301</v>
      </c>
      <c r="H581" s="72">
        <v>42104</v>
      </c>
    </row>
    <row r="582" spans="1:8" x14ac:dyDescent="0.2">
      <c r="A582" t="s">
        <v>604</v>
      </c>
      <c r="B582" s="83">
        <v>1</v>
      </c>
      <c r="C582" s="72">
        <v>42105</v>
      </c>
      <c r="D582">
        <v>2.19</v>
      </c>
      <c r="E582">
        <f t="shared" si="4"/>
        <v>2.19</v>
      </c>
      <c r="F582" t="s">
        <v>229</v>
      </c>
      <c r="G582" t="s">
        <v>301</v>
      </c>
      <c r="H582" s="72">
        <v>42104</v>
      </c>
    </row>
    <row r="583" spans="1:8" x14ac:dyDescent="0.2">
      <c r="A583" t="s">
        <v>247</v>
      </c>
      <c r="B583" s="83">
        <v>1</v>
      </c>
      <c r="C583" s="72">
        <v>42105</v>
      </c>
      <c r="D583">
        <v>1.29</v>
      </c>
      <c r="E583">
        <f t="shared" si="4"/>
        <v>1.29</v>
      </c>
      <c r="F583" t="s">
        <v>285</v>
      </c>
      <c r="G583" t="s">
        <v>301</v>
      </c>
      <c r="H583" s="72">
        <v>42104</v>
      </c>
    </row>
    <row r="584" spans="1:8" x14ac:dyDescent="0.2">
      <c r="A584" t="s">
        <v>745</v>
      </c>
      <c r="B584" s="83">
        <v>1</v>
      </c>
      <c r="C584" s="72">
        <v>42105</v>
      </c>
      <c r="D584">
        <v>5.59</v>
      </c>
      <c r="E584">
        <f t="shared" si="4"/>
        <v>5.59</v>
      </c>
      <c r="F584" t="s">
        <v>622</v>
      </c>
      <c r="G584" t="s">
        <v>301</v>
      </c>
      <c r="H584" s="72">
        <v>42104</v>
      </c>
    </row>
    <row r="585" spans="1:8" x14ac:dyDescent="0.2">
      <c r="A585" t="s">
        <v>726</v>
      </c>
      <c r="B585" s="83">
        <v>0.45800000000000002</v>
      </c>
      <c r="C585" s="72">
        <v>42107</v>
      </c>
      <c r="D585">
        <v>11.99</v>
      </c>
      <c r="E585">
        <f t="shared" si="4"/>
        <v>5.4914200000000006</v>
      </c>
      <c r="F585" t="s">
        <v>616</v>
      </c>
      <c r="G585" t="str">
        <f>IF(F585="linguiça","kg",IF(F585="legumes","kg",IF(F585="carnes","kg","unidade")))</f>
        <v>kg</v>
      </c>
      <c r="H585" s="72">
        <v>42104</v>
      </c>
    </row>
    <row r="586" spans="1:8" x14ac:dyDescent="0.2">
      <c r="A586" t="s">
        <v>746</v>
      </c>
      <c r="B586" s="83">
        <v>1</v>
      </c>
      <c r="C586" s="72">
        <v>42107</v>
      </c>
      <c r="D586">
        <v>3.89</v>
      </c>
      <c r="E586">
        <f t="shared" si="4"/>
        <v>3.89</v>
      </c>
      <c r="F586" t="s">
        <v>760</v>
      </c>
      <c r="G586" t="str">
        <f t="shared" ref="G586:G601" si="5">IF(F586="linguiça","kg",IF(F586="legumes","kg",IF(F586="carnes","kg","unidade")))</f>
        <v>unidade</v>
      </c>
      <c r="H586" s="72">
        <v>42104</v>
      </c>
    </row>
    <row r="587" spans="1:8" x14ac:dyDescent="0.2">
      <c r="A587" t="s">
        <v>272</v>
      </c>
      <c r="B587" s="83">
        <v>1</v>
      </c>
      <c r="C587" s="72">
        <v>42107</v>
      </c>
      <c r="D587">
        <v>6.9</v>
      </c>
      <c r="E587">
        <f t="shared" si="4"/>
        <v>6.9</v>
      </c>
      <c r="F587" t="s">
        <v>272</v>
      </c>
      <c r="G587" t="str">
        <f t="shared" si="5"/>
        <v>unidade</v>
      </c>
      <c r="H587" s="72">
        <v>42104</v>
      </c>
    </row>
    <row r="588" spans="1:8" x14ac:dyDescent="0.2">
      <c r="A588" t="s">
        <v>421</v>
      </c>
      <c r="B588" s="83">
        <v>1</v>
      </c>
      <c r="C588" s="72">
        <v>42107</v>
      </c>
      <c r="D588">
        <v>6.79</v>
      </c>
      <c r="E588">
        <f t="shared" si="4"/>
        <v>6.79</v>
      </c>
      <c r="F588" t="s">
        <v>470</v>
      </c>
      <c r="G588" t="str">
        <f t="shared" si="5"/>
        <v>unidade</v>
      </c>
      <c r="H588" s="72">
        <v>42104</v>
      </c>
    </row>
    <row r="589" spans="1:8" x14ac:dyDescent="0.2">
      <c r="A589" t="s">
        <v>218</v>
      </c>
      <c r="B589" s="83">
        <v>1</v>
      </c>
      <c r="C589" s="72">
        <v>42107</v>
      </c>
      <c r="D589">
        <v>3.69</v>
      </c>
      <c r="E589">
        <f t="shared" si="4"/>
        <v>3.69</v>
      </c>
      <c r="F589" t="s">
        <v>218</v>
      </c>
      <c r="G589" t="str">
        <f t="shared" si="5"/>
        <v>unidade</v>
      </c>
      <c r="H589" s="72">
        <v>42104</v>
      </c>
    </row>
    <row r="590" spans="1:8" x14ac:dyDescent="0.2">
      <c r="A590" t="s">
        <v>695</v>
      </c>
      <c r="B590" s="83">
        <v>1</v>
      </c>
      <c r="C590" s="72">
        <v>42108</v>
      </c>
      <c r="D590">
        <v>6.09</v>
      </c>
      <c r="E590">
        <f t="shared" si="4"/>
        <v>6.09</v>
      </c>
      <c r="F590" t="s">
        <v>622</v>
      </c>
      <c r="G590" t="str">
        <f t="shared" si="5"/>
        <v>unidade</v>
      </c>
      <c r="H590" s="72">
        <v>42104</v>
      </c>
    </row>
    <row r="591" spans="1:8" x14ac:dyDescent="0.2">
      <c r="A591" t="s">
        <v>411</v>
      </c>
      <c r="B591" s="83">
        <v>0.20799999999999999</v>
      </c>
      <c r="C591" s="72">
        <v>42108</v>
      </c>
      <c r="D591">
        <v>16.09</v>
      </c>
      <c r="E591">
        <f t="shared" si="4"/>
        <v>3.3467199999999999</v>
      </c>
      <c r="F591" t="s">
        <v>676</v>
      </c>
      <c r="G591" t="s">
        <v>302</v>
      </c>
      <c r="H591" s="72">
        <v>42104</v>
      </c>
    </row>
    <row r="592" spans="1:8" x14ac:dyDescent="0.2">
      <c r="A592" t="s">
        <v>298</v>
      </c>
      <c r="B592" s="83">
        <v>0.19400000000000001</v>
      </c>
      <c r="C592" s="72">
        <v>42108</v>
      </c>
      <c r="D592">
        <v>26.99</v>
      </c>
      <c r="E592">
        <f t="shared" si="4"/>
        <v>5.2360600000000002</v>
      </c>
      <c r="F592" t="s">
        <v>676</v>
      </c>
      <c r="G592" t="s">
        <v>302</v>
      </c>
      <c r="H592" s="72">
        <v>42104</v>
      </c>
    </row>
    <row r="593" spans="1:8" x14ac:dyDescent="0.2">
      <c r="A593" t="s">
        <v>238</v>
      </c>
      <c r="B593" s="83">
        <v>1</v>
      </c>
      <c r="C593" s="72">
        <v>42108</v>
      </c>
      <c r="D593">
        <v>4.09</v>
      </c>
      <c r="E593">
        <f t="shared" si="4"/>
        <v>4.09</v>
      </c>
      <c r="F593" t="s">
        <v>676</v>
      </c>
      <c r="G593" t="s">
        <v>302</v>
      </c>
      <c r="H593" s="72">
        <v>42104</v>
      </c>
    </row>
    <row r="594" spans="1:8" x14ac:dyDescent="0.2">
      <c r="A594" t="s">
        <v>182</v>
      </c>
      <c r="B594" s="83">
        <v>1</v>
      </c>
      <c r="C594" s="72">
        <v>42108</v>
      </c>
      <c r="D594">
        <v>16.989999999999998</v>
      </c>
      <c r="E594">
        <f t="shared" si="4"/>
        <v>16.989999999999998</v>
      </c>
      <c r="F594" t="s">
        <v>224</v>
      </c>
      <c r="G594" t="str">
        <f t="shared" si="5"/>
        <v>unidade</v>
      </c>
      <c r="H594" s="72">
        <v>42104</v>
      </c>
    </row>
    <row r="595" spans="1:8" x14ac:dyDescent="0.2">
      <c r="A595" t="s">
        <v>434</v>
      </c>
      <c r="B595" s="83">
        <v>1</v>
      </c>
      <c r="C595" s="72">
        <v>42108</v>
      </c>
      <c r="D595">
        <v>7.49</v>
      </c>
      <c r="E595">
        <f t="shared" si="4"/>
        <v>7.49</v>
      </c>
      <c r="F595" t="s">
        <v>374</v>
      </c>
      <c r="G595" t="str">
        <f t="shared" si="5"/>
        <v>unidade</v>
      </c>
      <c r="H595" s="72">
        <v>42104</v>
      </c>
    </row>
    <row r="596" spans="1:8" x14ac:dyDescent="0.2">
      <c r="A596" t="s">
        <v>747</v>
      </c>
      <c r="B596" s="83">
        <v>0.42499999999999999</v>
      </c>
      <c r="C596" s="72">
        <v>42109</v>
      </c>
      <c r="D596">
        <v>1.89</v>
      </c>
      <c r="E596">
        <f t="shared" si="4"/>
        <v>0.80324999999999991</v>
      </c>
      <c r="F596" t="s">
        <v>283</v>
      </c>
      <c r="G596" t="str">
        <f t="shared" si="5"/>
        <v>kg</v>
      </c>
      <c r="H596" s="72">
        <v>42104</v>
      </c>
    </row>
    <row r="597" spans="1:8" x14ac:dyDescent="0.2">
      <c r="A597" t="s">
        <v>310</v>
      </c>
      <c r="B597" s="83">
        <v>0.37</v>
      </c>
      <c r="C597" s="72">
        <v>42109</v>
      </c>
      <c r="D597">
        <v>3.99</v>
      </c>
      <c r="E597">
        <f t="shared" si="4"/>
        <v>1.4763000000000002</v>
      </c>
      <c r="F597" t="s">
        <v>283</v>
      </c>
      <c r="G597" t="str">
        <f t="shared" si="5"/>
        <v>kg</v>
      </c>
      <c r="H597" s="72">
        <v>42104</v>
      </c>
    </row>
    <row r="598" spans="1:8" x14ac:dyDescent="0.2">
      <c r="A598" t="s">
        <v>748</v>
      </c>
      <c r="B598" s="83">
        <v>0.311</v>
      </c>
      <c r="C598" s="72">
        <v>42109</v>
      </c>
      <c r="D598">
        <v>10.99</v>
      </c>
      <c r="E598">
        <f t="shared" si="4"/>
        <v>3.4178899999999999</v>
      </c>
      <c r="F598" t="s">
        <v>611</v>
      </c>
      <c r="G598" t="str">
        <f t="shared" si="5"/>
        <v>kg</v>
      </c>
      <c r="H598" s="72">
        <v>42104</v>
      </c>
    </row>
    <row r="599" spans="1:8" x14ac:dyDescent="0.2">
      <c r="A599" t="s">
        <v>288</v>
      </c>
      <c r="B599" s="83">
        <v>0.64300000000000002</v>
      </c>
      <c r="C599" s="72">
        <v>42109</v>
      </c>
      <c r="D599">
        <v>26.9</v>
      </c>
      <c r="E599">
        <f t="shared" si="4"/>
        <v>17.296699999999998</v>
      </c>
      <c r="F599" t="s">
        <v>611</v>
      </c>
      <c r="G599" t="str">
        <f t="shared" si="5"/>
        <v>kg</v>
      </c>
      <c r="H599" s="72">
        <v>42104</v>
      </c>
    </row>
    <row r="600" spans="1:8" x14ac:dyDescent="0.2">
      <c r="A600" t="s">
        <v>701</v>
      </c>
      <c r="B600" s="83">
        <v>0.54600000000000004</v>
      </c>
      <c r="C600" s="72">
        <v>42109</v>
      </c>
      <c r="D600">
        <v>19.899999999999999</v>
      </c>
      <c r="E600">
        <f t="shared" si="4"/>
        <v>10.865399999999999</v>
      </c>
      <c r="F600" t="s">
        <v>611</v>
      </c>
      <c r="G600" t="str">
        <f t="shared" si="5"/>
        <v>kg</v>
      </c>
      <c r="H600" s="72">
        <v>42104</v>
      </c>
    </row>
    <row r="601" spans="1:8" x14ac:dyDescent="0.2">
      <c r="A601" t="s">
        <v>749</v>
      </c>
      <c r="B601" s="83">
        <v>0.32500000000000001</v>
      </c>
      <c r="C601" s="72">
        <v>42109</v>
      </c>
      <c r="D601">
        <v>0.99</v>
      </c>
      <c r="E601">
        <f t="shared" si="4"/>
        <v>0.32174999999999998</v>
      </c>
      <c r="F601" t="s">
        <v>283</v>
      </c>
      <c r="G601" t="str">
        <f t="shared" si="5"/>
        <v>kg</v>
      </c>
      <c r="H601" s="72">
        <v>42104</v>
      </c>
    </row>
    <row r="602" spans="1:8" x14ac:dyDescent="0.2">
      <c r="A602" t="s">
        <v>423</v>
      </c>
      <c r="B602" s="83">
        <v>2</v>
      </c>
      <c r="C602" s="72">
        <v>42109</v>
      </c>
      <c r="D602">
        <v>2.12</v>
      </c>
      <c r="E602">
        <f t="shared" si="4"/>
        <v>4.24</v>
      </c>
      <c r="F602" t="s">
        <v>344</v>
      </c>
      <c r="G602" t="s">
        <v>301</v>
      </c>
      <c r="H602" s="72">
        <v>42104</v>
      </c>
    </row>
    <row r="603" spans="1:8" x14ac:dyDescent="0.2">
      <c r="A603" t="s">
        <v>750</v>
      </c>
      <c r="B603" s="83">
        <v>1</v>
      </c>
      <c r="C603" s="72">
        <v>42109</v>
      </c>
      <c r="D603">
        <v>3.58</v>
      </c>
      <c r="E603">
        <f t="shared" si="4"/>
        <v>3.58</v>
      </c>
      <c r="F603" t="s">
        <v>285</v>
      </c>
      <c r="G603" t="s">
        <v>301</v>
      </c>
      <c r="H603" s="72">
        <v>42104</v>
      </c>
    </row>
    <row r="604" spans="1:8" x14ac:dyDescent="0.2">
      <c r="A604" t="s">
        <v>757</v>
      </c>
      <c r="B604" s="83">
        <v>2</v>
      </c>
      <c r="C604" s="72">
        <v>42109</v>
      </c>
      <c r="D604">
        <v>1.36</v>
      </c>
      <c r="E604">
        <f t="shared" si="4"/>
        <v>2.72</v>
      </c>
      <c r="F604" t="s">
        <v>344</v>
      </c>
      <c r="G604" t="s">
        <v>301</v>
      </c>
      <c r="H604" s="72">
        <v>42104</v>
      </c>
    </row>
    <row r="605" spans="1:8" x14ac:dyDescent="0.2">
      <c r="A605" t="s">
        <v>751</v>
      </c>
      <c r="B605" s="83">
        <v>1</v>
      </c>
      <c r="C605" s="72">
        <v>42109</v>
      </c>
      <c r="D605">
        <v>6.18</v>
      </c>
      <c r="E605">
        <f t="shared" si="4"/>
        <v>6.18</v>
      </c>
      <c r="F605" t="s">
        <v>344</v>
      </c>
      <c r="G605" t="s">
        <v>301</v>
      </c>
      <c r="H605" s="72">
        <v>42104</v>
      </c>
    </row>
    <row r="606" spans="1:8" x14ac:dyDescent="0.2">
      <c r="A606" t="s">
        <v>758</v>
      </c>
      <c r="B606" s="83">
        <v>1</v>
      </c>
      <c r="C606" s="72">
        <v>42109</v>
      </c>
      <c r="D606">
        <v>2.41</v>
      </c>
      <c r="E606">
        <f t="shared" si="4"/>
        <v>2.41</v>
      </c>
      <c r="F606" t="s">
        <v>344</v>
      </c>
      <c r="G606" t="s">
        <v>301</v>
      </c>
      <c r="H606" s="72">
        <v>42104</v>
      </c>
    </row>
    <row r="607" spans="1:8" x14ac:dyDescent="0.2">
      <c r="A607" t="s">
        <v>318</v>
      </c>
      <c r="B607" s="83">
        <v>7.4999999999999997E-2</v>
      </c>
      <c r="C607" s="72">
        <v>42109</v>
      </c>
      <c r="D607">
        <v>17.5</v>
      </c>
      <c r="E607">
        <f t="shared" si="4"/>
        <v>1.3125</v>
      </c>
      <c r="F607" t="s">
        <v>211</v>
      </c>
      <c r="G607" t="s">
        <v>301</v>
      </c>
      <c r="H607" s="72">
        <v>42104</v>
      </c>
    </row>
    <row r="608" spans="1:8" x14ac:dyDescent="0.2">
      <c r="A608" t="s">
        <v>559</v>
      </c>
      <c r="B608" s="83">
        <v>2</v>
      </c>
      <c r="C608" s="72">
        <v>42109</v>
      </c>
      <c r="D608">
        <v>2.89</v>
      </c>
      <c r="E608">
        <f t="shared" si="4"/>
        <v>5.78</v>
      </c>
      <c r="F608" t="s">
        <v>467</v>
      </c>
      <c r="G608" t="s">
        <v>301</v>
      </c>
      <c r="H608" s="72">
        <v>42104</v>
      </c>
    </row>
    <row r="609" spans="1:8" x14ac:dyDescent="0.2">
      <c r="A609" t="s">
        <v>752</v>
      </c>
      <c r="B609" s="83">
        <v>1</v>
      </c>
      <c r="C609" s="72">
        <v>42109</v>
      </c>
      <c r="D609">
        <v>23.25</v>
      </c>
      <c r="E609">
        <f t="shared" si="4"/>
        <v>23.25</v>
      </c>
      <c r="F609" t="s">
        <v>344</v>
      </c>
      <c r="G609" t="s">
        <v>301</v>
      </c>
      <c r="H609" s="72">
        <v>42104</v>
      </c>
    </row>
    <row r="610" spans="1:8" x14ac:dyDescent="0.2">
      <c r="A610" t="s">
        <v>352</v>
      </c>
      <c r="B610" s="83">
        <v>0.5</v>
      </c>
      <c r="C610" s="72">
        <v>42111</v>
      </c>
      <c r="D610">
        <v>61.49</v>
      </c>
      <c r="E610">
        <f t="shared" si="4"/>
        <v>30.745000000000001</v>
      </c>
      <c r="F610" t="s">
        <v>676</v>
      </c>
      <c r="G610" t="s">
        <v>302</v>
      </c>
      <c r="H610" s="72">
        <v>42104</v>
      </c>
    </row>
    <row r="611" spans="1:8" x14ac:dyDescent="0.2">
      <c r="A611" t="s">
        <v>753</v>
      </c>
      <c r="B611" s="83">
        <v>1</v>
      </c>
      <c r="C611" s="72">
        <v>42111</v>
      </c>
      <c r="D611">
        <v>2.89</v>
      </c>
      <c r="E611">
        <f t="shared" si="4"/>
        <v>2.89</v>
      </c>
      <c r="F611" t="s">
        <v>270</v>
      </c>
      <c r="G611" t="s">
        <v>301</v>
      </c>
      <c r="H611" s="72">
        <v>42104</v>
      </c>
    </row>
    <row r="612" spans="1:8" x14ac:dyDescent="0.2">
      <c r="A612" t="s">
        <v>418</v>
      </c>
      <c r="B612" s="83">
        <v>0.11600000000000001</v>
      </c>
      <c r="C612" s="72">
        <v>42111</v>
      </c>
      <c r="D612">
        <v>21.49</v>
      </c>
      <c r="E612">
        <f t="shared" si="4"/>
        <v>2.4928400000000002</v>
      </c>
      <c r="F612" t="s">
        <v>676</v>
      </c>
      <c r="G612" t="s">
        <v>302</v>
      </c>
      <c r="H612" s="72">
        <v>42104</v>
      </c>
    </row>
    <row r="613" spans="1:8" x14ac:dyDescent="0.2">
      <c r="A613" t="s">
        <v>298</v>
      </c>
      <c r="B613" s="83">
        <v>0.11</v>
      </c>
      <c r="C613" s="72">
        <v>42111</v>
      </c>
      <c r="D613">
        <v>22.89</v>
      </c>
      <c r="E613">
        <f t="shared" si="4"/>
        <v>2.5179</v>
      </c>
      <c r="F613" t="s">
        <v>676</v>
      </c>
      <c r="G613" t="s">
        <v>302</v>
      </c>
      <c r="H613" s="72">
        <v>42104</v>
      </c>
    </row>
    <row r="614" spans="1:8" x14ac:dyDescent="0.2">
      <c r="A614" t="s">
        <v>754</v>
      </c>
      <c r="B614" s="83">
        <v>1</v>
      </c>
      <c r="C614" s="72">
        <v>42111</v>
      </c>
      <c r="D614">
        <v>8.06</v>
      </c>
      <c r="E614">
        <f t="shared" si="4"/>
        <v>8.06</v>
      </c>
      <c r="F614" t="s">
        <v>470</v>
      </c>
      <c r="G614" t="s">
        <v>301</v>
      </c>
      <c r="H614" s="72">
        <v>42104</v>
      </c>
    </row>
    <row r="615" spans="1:8" x14ac:dyDescent="0.2">
      <c r="A615" t="s">
        <v>725</v>
      </c>
      <c r="B615" s="83">
        <v>2</v>
      </c>
      <c r="C615" s="72">
        <v>42111</v>
      </c>
      <c r="D615">
        <v>2.0499999999999998</v>
      </c>
      <c r="E615">
        <f t="shared" si="4"/>
        <v>4.0999999999999996</v>
      </c>
      <c r="F615" t="s">
        <v>344</v>
      </c>
      <c r="G615" t="s">
        <v>301</v>
      </c>
      <c r="H615" s="72">
        <v>42104</v>
      </c>
    </row>
    <row r="616" spans="1:8" x14ac:dyDescent="0.2">
      <c r="A616" t="s">
        <v>755</v>
      </c>
      <c r="B616" s="83">
        <v>1</v>
      </c>
      <c r="C616" s="72">
        <v>42111</v>
      </c>
      <c r="D616">
        <v>1.9</v>
      </c>
      <c r="E616">
        <f t="shared" si="4"/>
        <v>1.9</v>
      </c>
      <c r="F616" t="s">
        <v>760</v>
      </c>
      <c r="G616" t="s">
        <v>301</v>
      </c>
      <c r="H616" s="72">
        <v>42104</v>
      </c>
    </row>
    <row r="617" spans="1:8" x14ac:dyDescent="0.2">
      <c r="A617" t="s">
        <v>756</v>
      </c>
      <c r="B617" s="83">
        <v>1</v>
      </c>
      <c r="C617" s="72">
        <v>42111</v>
      </c>
      <c r="D617">
        <v>3.79</v>
      </c>
      <c r="E617">
        <f t="shared" si="4"/>
        <v>3.79</v>
      </c>
      <c r="F617" t="s">
        <v>622</v>
      </c>
      <c r="G617" t="s">
        <v>301</v>
      </c>
      <c r="H617" s="72">
        <v>42104</v>
      </c>
    </row>
    <row r="618" spans="1:8" x14ac:dyDescent="0.2">
      <c r="A618" t="s">
        <v>233</v>
      </c>
      <c r="B618" s="83">
        <v>0.40500000000000003</v>
      </c>
      <c r="C618" s="72">
        <v>42111</v>
      </c>
      <c r="D618">
        <v>4.9000000000000004</v>
      </c>
      <c r="E618">
        <f t="shared" si="4"/>
        <v>1.9845000000000004</v>
      </c>
      <c r="F618" t="s">
        <v>283</v>
      </c>
      <c r="G618" t="s">
        <v>302</v>
      </c>
      <c r="H618" s="72">
        <v>42104</v>
      </c>
    </row>
    <row r="619" spans="1:8" x14ac:dyDescent="0.2">
      <c r="A619" t="s">
        <v>572</v>
      </c>
      <c r="B619" s="83">
        <v>1</v>
      </c>
      <c r="C619" s="72">
        <v>42111</v>
      </c>
      <c r="D619">
        <v>4.49</v>
      </c>
      <c r="E619">
        <f t="shared" si="4"/>
        <v>4.49</v>
      </c>
      <c r="F619" t="s">
        <v>676</v>
      </c>
      <c r="G619" t="s">
        <v>301</v>
      </c>
      <c r="H619" s="72">
        <v>42104</v>
      </c>
    </row>
    <row r="620" spans="1:8" x14ac:dyDescent="0.2">
      <c r="A620" t="s">
        <v>218</v>
      </c>
      <c r="B620" s="83">
        <v>1</v>
      </c>
      <c r="C620" s="72">
        <v>42111</v>
      </c>
      <c r="D620">
        <v>4.6900000000000004</v>
      </c>
      <c r="E620">
        <f t="shared" si="4"/>
        <v>4.6900000000000004</v>
      </c>
      <c r="F620" t="s">
        <v>218</v>
      </c>
      <c r="G620" t="s">
        <v>301</v>
      </c>
      <c r="H620" s="72">
        <v>42104</v>
      </c>
    </row>
    <row r="621" spans="1:8" x14ac:dyDescent="0.2">
      <c r="A621" t="s">
        <v>753</v>
      </c>
      <c r="B621" s="83">
        <v>1</v>
      </c>
      <c r="C621" s="72">
        <v>42111</v>
      </c>
      <c r="D621">
        <v>3.25</v>
      </c>
      <c r="E621">
        <f t="shared" si="4"/>
        <v>3.25</v>
      </c>
      <c r="F621" t="s">
        <v>270</v>
      </c>
      <c r="G621" t="s">
        <v>301</v>
      </c>
      <c r="H621" s="72">
        <v>42104</v>
      </c>
    </row>
    <row r="622" spans="1:8" x14ac:dyDescent="0.2">
      <c r="A622" t="s">
        <v>252</v>
      </c>
      <c r="B622" s="83">
        <v>1</v>
      </c>
      <c r="C622" s="72">
        <v>42111</v>
      </c>
      <c r="D622">
        <v>4.29</v>
      </c>
      <c r="E622">
        <f t="shared" si="4"/>
        <v>4.29</v>
      </c>
      <c r="F622" t="s">
        <v>470</v>
      </c>
      <c r="G622" t="s">
        <v>301</v>
      </c>
      <c r="H622" s="72">
        <v>42104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17"/>
  <sheetViews>
    <sheetView workbookViewId="0">
      <selection activeCell="E16" sqref="E16:E17"/>
    </sheetView>
  </sheetViews>
  <sheetFormatPr defaultRowHeight="12.75" x14ac:dyDescent="0.2"/>
  <cols>
    <col min="1" max="1" width="111.5703125" bestFit="1" customWidth="1"/>
  </cols>
  <sheetData>
    <row r="2" spans="1:5" ht="24" x14ac:dyDescent="0.35">
      <c r="A2" s="108"/>
    </row>
    <row r="3" spans="1:5" x14ac:dyDescent="0.2">
      <c r="A3" s="1" t="s">
        <v>627</v>
      </c>
      <c r="B3">
        <v>854.91</v>
      </c>
      <c r="C3">
        <v>85.49</v>
      </c>
      <c r="D3">
        <v>752.32</v>
      </c>
    </row>
    <row r="4" spans="1:5" x14ac:dyDescent="0.2">
      <c r="A4" s="1" t="s">
        <v>628</v>
      </c>
      <c r="B4">
        <v>1515.7</v>
      </c>
      <c r="C4">
        <v>151.57</v>
      </c>
      <c r="D4">
        <v>1333.82</v>
      </c>
    </row>
    <row r="5" spans="1:5" x14ac:dyDescent="0.2">
      <c r="A5" s="1" t="s">
        <v>629</v>
      </c>
      <c r="B5" s="27">
        <v>899.91</v>
      </c>
      <c r="C5">
        <v>89.99</v>
      </c>
      <c r="D5">
        <v>791.92</v>
      </c>
    </row>
    <row r="6" spans="1:5" x14ac:dyDescent="0.2">
      <c r="A6" s="1" t="s">
        <v>630</v>
      </c>
      <c r="B6">
        <v>944.91</v>
      </c>
      <c r="C6">
        <v>94.49</v>
      </c>
      <c r="D6">
        <v>831.52</v>
      </c>
    </row>
    <row r="7" spans="1:5" x14ac:dyDescent="0.2">
      <c r="A7" s="1" t="s">
        <v>631</v>
      </c>
      <c r="B7">
        <v>674.91</v>
      </c>
      <c r="C7">
        <v>67.489999999999995</v>
      </c>
      <c r="D7">
        <v>593.91999999999996</v>
      </c>
    </row>
    <row r="8" spans="1:5" x14ac:dyDescent="0.2">
      <c r="A8" s="1" t="s">
        <v>635</v>
      </c>
      <c r="B8">
        <v>1034.9100000000001</v>
      </c>
      <c r="C8">
        <v>103.49</v>
      </c>
      <c r="D8">
        <v>910.72</v>
      </c>
    </row>
    <row r="9" spans="1:5" x14ac:dyDescent="0.2">
      <c r="A9" s="1" t="s">
        <v>626</v>
      </c>
      <c r="B9">
        <v>1439.91</v>
      </c>
      <c r="C9">
        <v>143.99</v>
      </c>
      <c r="D9">
        <v>1267.1199999999999</v>
      </c>
    </row>
    <row r="10" spans="1:5" x14ac:dyDescent="0.2">
      <c r="A10" s="1" t="s">
        <v>632</v>
      </c>
      <c r="B10">
        <v>999.9</v>
      </c>
      <c r="C10">
        <v>99.99</v>
      </c>
      <c r="D10" s="1" t="s">
        <v>633</v>
      </c>
      <c r="E10" s="1" t="s">
        <v>639</v>
      </c>
    </row>
    <row r="11" spans="1:5" x14ac:dyDescent="0.2">
      <c r="A11" s="1" t="s">
        <v>634</v>
      </c>
      <c r="B11">
        <v>971.91</v>
      </c>
      <c r="C11">
        <v>97.19</v>
      </c>
      <c r="D11">
        <v>855.28</v>
      </c>
    </row>
    <row r="12" spans="1:5" x14ac:dyDescent="0.2">
      <c r="A12" s="1" t="s">
        <v>636</v>
      </c>
      <c r="B12">
        <v>499.9</v>
      </c>
      <c r="C12">
        <v>49.99</v>
      </c>
      <c r="D12">
        <v>439.91</v>
      </c>
    </row>
    <row r="13" spans="1:5" x14ac:dyDescent="0.2">
      <c r="A13" s="1" t="s">
        <v>637</v>
      </c>
      <c r="B13">
        <v>499.9</v>
      </c>
      <c r="C13">
        <v>49.99</v>
      </c>
      <c r="D13">
        <v>439.91</v>
      </c>
    </row>
    <row r="14" spans="1:5" x14ac:dyDescent="0.2">
      <c r="A14" s="1" t="s">
        <v>638</v>
      </c>
      <c r="B14" s="27">
        <v>989.1</v>
      </c>
      <c r="C14">
        <v>82.42</v>
      </c>
      <c r="E14" s="1" t="s">
        <v>640</v>
      </c>
    </row>
    <row r="15" spans="1:5" x14ac:dyDescent="0.2">
      <c r="A15" s="1" t="s">
        <v>641</v>
      </c>
      <c r="B15" s="27">
        <v>170.91</v>
      </c>
      <c r="C15">
        <v>42.73</v>
      </c>
      <c r="D15">
        <v>150.4</v>
      </c>
    </row>
    <row r="16" spans="1:5" x14ac:dyDescent="0.2">
      <c r="A16" s="1" t="s">
        <v>642</v>
      </c>
      <c r="B16">
        <v>439</v>
      </c>
      <c r="C16">
        <v>43.9</v>
      </c>
      <c r="E16" s="1" t="s">
        <v>639</v>
      </c>
    </row>
    <row r="17" spans="1:5" x14ac:dyDescent="0.2">
      <c r="A17" s="1" t="s">
        <v>643</v>
      </c>
      <c r="B17">
        <v>479</v>
      </c>
      <c r="C17">
        <v>47.9</v>
      </c>
      <c r="E17" s="1" t="s">
        <v>639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6"/>
  <sheetViews>
    <sheetView workbookViewId="0">
      <selection sqref="A1:I376"/>
    </sheetView>
  </sheetViews>
  <sheetFormatPr defaultRowHeight="12.75" x14ac:dyDescent="0.2"/>
  <sheetData>
    <row r="1" spans="1:9" x14ac:dyDescent="0.2">
      <c r="A1" s="27" t="s">
        <v>21</v>
      </c>
      <c r="B1" s="85">
        <f>SUMIFS(credito!$B$2:$B$198,credito!$F$2:$F$198,F1,credito!$G$2:$G$198,0)</f>
        <v>0</v>
      </c>
      <c r="C1" s="27">
        <v>1</v>
      </c>
      <c r="D1" s="27">
        <v>0</v>
      </c>
      <c r="E1" s="27">
        <v>0</v>
      </c>
      <c r="F1" s="84">
        <v>42014</v>
      </c>
      <c r="G1" s="27" t="s">
        <v>49</v>
      </c>
      <c r="H1" s="84">
        <v>42014</v>
      </c>
      <c r="I1" s="27" t="s">
        <v>338</v>
      </c>
    </row>
    <row r="2" spans="1:9" x14ac:dyDescent="0.2">
      <c r="A2" s="27" t="s">
        <v>331</v>
      </c>
      <c r="B2" s="27">
        <v>235.19</v>
      </c>
      <c r="C2" s="27">
        <v>1</v>
      </c>
      <c r="D2" s="27">
        <v>0</v>
      </c>
      <c r="E2" s="27">
        <v>0</v>
      </c>
      <c r="F2" s="84">
        <v>42014</v>
      </c>
      <c r="G2" s="27" t="s">
        <v>49</v>
      </c>
      <c r="H2" s="84">
        <v>42014</v>
      </c>
      <c r="I2" s="27" t="s">
        <v>350</v>
      </c>
    </row>
    <row r="3" spans="1:9" x14ac:dyDescent="0.2">
      <c r="A3" t="s">
        <v>39</v>
      </c>
      <c r="B3" s="32">
        <v>41</v>
      </c>
      <c r="C3">
        <v>1</v>
      </c>
      <c r="D3">
        <v>0</v>
      </c>
      <c r="E3">
        <v>0</v>
      </c>
      <c r="F3" s="72">
        <v>42014</v>
      </c>
      <c r="G3" t="s">
        <v>51</v>
      </c>
      <c r="H3" s="72">
        <v>42039</v>
      </c>
      <c r="I3" t="s">
        <v>345</v>
      </c>
    </row>
    <row r="4" spans="1:9" x14ac:dyDescent="0.2">
      <c r="A4" t="s">
        <v>40</v>
      </c>
      <c r="B4" s="32">
        <v>4.99</v>
      </c>
      <c r="C4">
        <v>1</v>
      </c>
      <c r="D4">
        <v>0</v>
      </c>
      <c r="E4">
        <v>0</v>
      </c>
      <c r="F4" s="72">
        <v>42014</v>
      </c>
      <c r="G4" t="s">
        <v>54</v>
      </c>
      <c r="H4" s="72">
        <v>42016</v>
      </c>
      <c r="I4" t="s">
        <v>345</v>
      </c>
    </row>
    <row r="5" spans="1:9" x14ac:dyDescent="0.2">
      <c r="A5" t="s">
        <v>2</v>
      </c>
      <c r="B5" s="32">
        <v>50</v>
      </c>
      <c r="C5">
        <v>1</v>
      </c>
      <c r="D5">
        <v>0</v>
      </c>
      <c r="E5">
        <v>0</v>
      </c>
      <c r="F5" s="72">
        <v>42014</v>
      </c>
      <c r="G5" t="s">
        <v>51</v>
      </c>
      <c r="H5" s="72">
        <v>42014</v>
      </c>
      <c r="I5" t="s">
        <v>349</v>
      </c>
    </row>
    <row r="6" spans="1:9" x14ac:dyDescent="0.2">
      <c r="A6" t="s">
        <v>38</v>
      </c>
      <c r="B6" s="32">
        <v>51.9</v>
      </c>
      <c r="C6">
        <v>1</v>
      </c>
      <c r="D6">
        <v>0</v>
      </c>
      <c r="E6">
        <v>0</v>
      </c>
      <c r="F6" s="72">
        <v>42014</v>
      </c>
      <c r="G6" t="s">
        <v>51</v>
      </c>
      <c r="H6" s="72">
        <v>42014</v>
      </c>
      <c r="I6" t="s">
        <v>345</v>
      </c>
    </row>
    <row r="7" spans="1:9" x14ac:dyDescent="0.2">
      <c r="A7" t="s">
        <v>202</v>
      </c>
      <c r="B7" s="32">
        <v>40.78</v>
      </c>
      <c r="C7">
        <v>1</v>
      </c>
      <c r="D7">
        <v>0</v>
      </c>
      <c r="E7">
        <v>0</v>
      </c>
      <c r="F7" s="72">
        <v>42014</v>
      </c>
      <c r="G7" t="s">
        <v>54</v>
      </c>
      <c r="H7" s="72">
        <v>42016</v>
      </c>
      <c r="I7" t="s">
        <v>345</v>
      </c>
    </row>
    <row r="8" spans="1:9" x14ac:dyDescent="0.2">
      <c r="A8" t="s">
        <v>0</v>
      </c>
      <c r="B8" s="32">
        <v>347.65</v>
      </c>
      <c r="C8">
        <v>1</v>
      </c>
      <c r="D8">
        <v>0</v>
      </c>
      <c r="E8">
        <v>0</v>
      </c>
      <c r="F8" s="72">
        <v>42014</v>
      </c>
      <c r="G8" s="27" t="s">
        <v>49</v>
      </c>
      <c r="H8" s="72">
        <v>42014</v>
      </c>
      <c r="I8" t="s">
        <v>346</v>
      </c>
    </row>
    <row r="9" spans="1:9" x14ac:dyDescent="0.2">
      <c r="A9" t="s">
        <v>3</v>
      </c>
      <c r="B9" s="32">
        <v>56.08</v>
      </c>
      <c r="C9">
        <v>1</v>
      </c>
      <c r="D9">
        <v>0</v>
      </c>
      <c r="E9">
        <v>0</v>
      </c>
      <c r="F9" s="72">
        <v>42014</v>
      </c>
      <c r="G9" t="s">
        <v>54</v>
      </c>
      <c r="H9" s="72">
        <v>42017</v>
      </c>
      <c r="I9" t="s">
        <v>346</v>
      </c>
    </row>
    <row r="10" spans="1:9" x14ac:dyDescent="0.2">
      <c r="A10" t="s">
        <v>1</v>
      </c>
      <c r="B10">
        <v>266.39</v>
      </c>
      <c r="C10">
        <v>1</v>
      </c>
      <c r="D10">
        <v>0</v>
      </c>
      <c r="E10">
        <v>0</v>
      </c>
      <c r="F10" s="72">
        <v>42014</v>
      </c>
      <c r="G10" s="27" t="s">
        <v>49</v>
      </c>
      <c r="H10" s="72">
        <v>42014</v>
      </c>
      <c r="I10" t="s">
        <v>346</v>
      </c>
    </row>
    <row r="11" spans="1:9" x14ac:dyDescent="0.2">
      <c r="A11" t="s">
        <v>156</v>
      </c>
      <c r="B11" s="32">
        <v>450</v>
      </c>
      <c r="C11">
        <v>1</v>
      </c>
      <c r="D11">
        <v>0</v>
      </c>
      <c r="E11">
        <v>0</v>
      </c>
      <c r="F11" s="72">
        <v>42014</v>
      </c>
      <c r="G11" s="27" t="s">
        <v>49</v>
      </c>
      <c r="H11" s="72">
        <v>42014</v>
      </c>
      <c r="I11" t="s">
        <v>346</v>
      </c>
    </row>
    <row r="12" spans="1:9" x14ac:dyDescent="0.2">
      <c r="A12" t="s">
        <v>26</v>
      </c>
      <c r="B12" s="32">
        <v>501.76</v>
      </c>
      <c r="C12">
        <v>1</v>
      </c>
      <c r="D12">
        <v>0</v>
      </c>
      <c r="E12">
        <v>0</v>
      </c>
      <c r="F12" s="72">
        <v>42014</v>
      </c>
      <c r="G12" t="s">
        <v>54</v>
      </c>
      <c r="H12" s="72">
        <v>42016</v>
      </c>
      <c r="I12" t="s">
        <v>345</v>
      </c>
    </row>
    <row r="13" spans="1:9" x14ac:dyDescent="0.2">
      <c r="A13" t="s">
        <v>28</v>
      </c>
      <c r="B13" s="32">
        <v>38.5</v>
      </c>
      <c r="C13">
        <v>1</v>
      </c>
      <c r="D13">
        <v>0</v>
      </c>
      <c r="E13">
        <v>0</v>
      </c>
      <c r="F13" s="72">
        <v>42014</v>
      </c>
      <c r="G13" t="s">
        <v>54</v>
      </c>
      <c r="H13" s="72">
        <v>42016</v>
      </c>
      <c r="I13" t="s">
        <v>345</v>
      </c>
    </row>
    <row r="14" spans="1:9" x14ac:dyDescent="0.2">
      <c r="A14" t="s">
        <v>27</v>
      </c>
      <c r="B14" s="32">
        <v>282.25</v>
      </c>
      <c r="C14">
        <v>1</v>
      </c>
      <c r="D14">
        <v>0</v>
      </c>
      <c r="E14">
        <v>0</v>
      </c>
      <c r="F14" s="72">
        <v>42014</v>
      </c>
      <c r="G14" t="s">
        <v>54</v>
      </c>
      <c r="H14" s="72">
        <v>42016</v>
      </c>
      <c r="I14" t="s">
        <v>345</v>
      </c>
    </row>
    <row r="15" spans="1:9" x14ac:dyDescent="0.2">
      <c r="A15" t="s">
        <v>12</v>
      </c>
      <c r="B15" s="32">
        <v>542.1</v>
      </c>
      <c r="C15">
        <v>1</v>
      </c>
      <c r="D15">
        <v>0</v>
      </c>
      <c r="E15">
        <v>0</v>
      </c>
      <c r="F15" s="72">
        <v>42014</v>
      </c>
      <c r="G15" t="s">
        <v>54</v>
      </c>
      <c r="H15" s="72">
        <v>42019</v>
      </c>
      <c r="I15" t="s">
        <v>348</v>
      </c>
    </row>
    <row r="16" spans="1:9" x14ac:dyDescent="0.2">
      <c r="A16" t="s">
        <v>25</v>
      </c>
      <c r="B16" s="32">
        <v>120</v>
      </c>
      <c r="C16">
        <v>1</v>
      </c>
      <c r="D16">
        <v>0</v>
      </c>
      <c r="E16">
        <v>0</v>
      </c>
      <c r="F16" s="72">
        <v>42014</v>
      </c>
      <c r="G16" t="s">
        <v>54</v>
      </c>
      <c r="H16" s="72">
        <v>42017</v>
      </c>
      <c r="I16" t="s">
        <v>347</v>
      </c>
    </row>
    <row r="17" spans="1:9" x14ac:dyDescent="0.2">
      <c r="A17" t="s">
        <v>198</v>
      </c>
      <c r="B17" s="32">
        <v>142</v>
      </c>
      <c r="C17">
        <v>1</v>
      </c>
      <c r="D17">
        <v>0</v>
      </c>
      <c r="E17">
        <v>0</v>
      </c>
      <c r="F17" s="72">
        <v>42014</v>
      </c>
      <c r="G17" t="s">
        <v>54</v>
      </c>
      <c r="H17" s="72">
        <v>42017</v>
      </c>
      <c r="I17" t="s">
        <v>347</v>
      </c>
    </row>
    <row r="18" spans="1:9" x14ac:dyDescent="0.2">
      <c r="A18" t="s">
        <v>199</v>
      </c>
      <c r="B18" s="32">
        <v>133.47999999999999</v>
      </c>
      <c r="C18">
        <v>1</v>
      </c>
      <c r="D18">
        <v>0</v>
      </c>
      <c r="E18">
        <v>0</v>
      </c>
      <c r="F18" s="72">
        <v>42014</v>
      </c>
      <c r="G18" t="s">
        <v>54</v>
      </c>
      <c r="H18" s="72">
        <v>42017</v>
      </c>
      <c r="I18" t="s">
        <v>347</v>
      </c>
    </row>
    <row r="19" spans="1:9" x14ac:dyDescent="0.2">
      <c r="A19" t="s">
        <v>200</v>
      </c>
      <c r="B19" s="32">
        <v>63.9</v>
      </c>
      <c r="C19">
        <v>1</v>
      </c>
      <c r="D19">
        <v>0</v>
      </c>
      <c r="E19">
        <v>0</v>
      </c>
      <c r="F19" s="72">
        <v>42014</v>
      </c>
      <c r="G19" t="s">
        <v>54</v>
      </c>
      <c r="H19" s="72">
        <v>42017</v>
      </c>
      <c r="I19" t="s">
        <v>347</v>
      </c>
    </row>
    <row r="20" spans="1:9" x14ac:dyDescent="0.2">
      <c r="A20" t="s">
        <v>443</v>
      </c>
      <c r="B20" s="32">
        <v>47.41</v>
      </c>
      <c r="C20">
        <v>0</v>
      </c>
      <c r="D20">
        <v>1</v>
      </c>
      <c r="E20">
        <v>0</v>
      </c>
      <c r="F20" s="72">
        <v>42014</v>
      </c>
      <c r="G20" s="27" t="s">
        <v>49</v>
      </c>
      <c r="H20" s="72">
        <v>42014</v>
      </c>
      <c r="I20" t="s">
        <v>344</v>
      </c>
    </row>
    <row r="21" spans="1:9" x14ac:dyDescent="0.2">
      <c r="A21" t="s">
        <v>401</v>
      </c>
      <c r="B21" s="32">
        <v>0</v>
      </c>
      <c r="C21">
        <v>1</v>
      </c>
      <c r="D21">
        <v>0</v>
      </c>
      <c r="E21">
        <v>1</v>
      </c>
      <c r="F21" s="72">
        <v>42014</v>
      </c>
      <c r="G21" t="s">
        <v>51</v>
      </c>
      <c r="H21" s="72">
        <v>42014</v>
      </c>
      <c r="I21" s="1" t="s">
        <v>344</v>
      </c>
    </row>
    <row r="22" spans="1:9" x14ac:dyDescent="0.2">
      <c r="A22" t="s">
        <v>393</v>
      </c>
      <c r="B22" s="32">
        <v>40</v>
      </c>
      <c r="C22">
        <v>0</v>
      </c>
      <c r="D22">
        <v>1</v>
      </c>
      <c r="E22">
        <v>0</v>
      </c>
      <c r="F22" s="72">
        <v>42014</v>
      </c>
      <c r="G22" s="103" t="s">
        <v>49</v>
      </c>
      <c r="H22" s="72">
        <v>42015</v>
      </c>
      <c r="I22" s="1" t="s">
        <v>371</v>
      </c>
    </row>
    <row r="23" spans="1:9" x14ac:dyDescent="0.2">
      <c r="A23" t="s">
        <v>96</v>
      </c>
      <c r="B23" s="32">
        <v>20.9</v>
      </c>
      <c r="C23">
        <v>0</v>
      </c>
      <c r="D23">
        <v>1</v>
      </c>
      <c r="E23">
        <v>0</v>
      </c>
      <c r="F23" s="72">
        <v>42014</v>
      </c>
      <c r="G23" t="s">
        <v>54</v>
      </c>
      <c r="H23" s="72">
        <v>42016</v>
      </c>
      <c r="I23" s="1" t="s">
        <v>50</v>
      </c>
    </row>
    <row r="24" spans="1:9" x14ac:dyDescent="0.2">
      <c r="A24" s="1" t="s">
        <v>382</v>
      </c>
      <c r="B24" s="32">
        <v>9.89</v>
      </c>
      <c r="C24">
        <v>0</v>
      </c>
      <c r="D24">
        <v>1</v>
      </c>
      <c r="E24">
        <v>0</v>
      </c>
      <c r="F24" s="72">
        <v>42014</v>
      </c>
      <c r="G24" t="s">
        <v>54</v>
      </c>
      <c r="H24" s="72">
        <v>42017</v>
      </c>
      <c r="I24" s="1" t="s">
        <v>189</v>
      </c>
    </row>
    <row r="25" spans="1:9" x14ac:dyDescent="0.2">
      <c r="A25" t="s">
        <v>44</v>
      </c>
      <c r="B25" s="32">
        <v>200</v>
      </c>
      <c r="C25">
        <v>1</v>
      </c>
      <c r="D25">
        <v>0</v>
      </c>
      <c r="E25">
        <v>0</v>
      </c>
      <c r="F25" s="72">
        <v>42014</v>
      </c>
      <c r="G25" t="s">
        <v>54</v>
      </c>
      <c r="H25" s="72">
        <v>42017</v>
      </c>
      <c r="I25" s="1" t="s">
        <v>60</v>
      </c>
    </row>
    <row r="26" spans="1:9" x14ac:dyDescent="0.2">
      <c r="A26" t="s">
        <v>43</v>
      </c>
      <c r="B26" s="32">
        <v>30</v>
      </c>
      <c r="C26">
        <v>1</v>
      </c>
      <c r="D26">
        <v>0</v>
      </c>
      <c r="E26">
        <v>0</v>
      </c>
      <c r="F26" s="72">
        <v>42014</v>
      </c>
      <c r="G26" t="s">
        <v>54</v>
      </c>
      <c r="H26" s="72">
        <v>42017</v>
      </c>
      <c r="I26" s="1" t="s">
        <v>340</v>
      </c>
    </row>
    <row r="27" spans="1:9" x14ac:dyDescent="0.2">
      <c r="A27" t="s">
        <v>491</v>
      </c>
      <c r="B27" s="32">
        <v>15</v>
      </c>
      <c r="C27">
        <v>0</v>
      </c>
      <c r="D27">
        <v>1</v>
      </c>
      <c r="E27">
        <v>0</v>
      </c>
      <c r="F27" s="72">
        <v>42014</v>
      </c>
      <c r="G27" t="s">
        <v>54</v>
      </c>
      <c r="H27" s="72">
        <v>42017</v>
      </c>
      <c r="I27" s="1" t="s">
        <v>50</v>
      </c>
    </row>
    <row r="28" spans="1:9" x14ac:dyDescent="0.2">
      <c r="A28" t="s">
        <v>96</v>
      </c>
      <c r="B28" s="32">
        <v>24.7</v>
      </c>
      <c r="C28">
        <v>0</v>
      </c>
      <c r="D28">
        <v>1</v>
      </c>
      <c r="E28">
        <v>0</v>
      </c>
      <c r="F28" s="72">
        <v>42014</v>
      </c>
      <c r="G28" t="s">
        <v>54</v>
      </c>
      <c r="H28" s="72">
        <v>42019</v>
      </c>
      <c r="I28" s="1" t="s">
        <v>50</v>
      </c>
    </row>
    <row r="29" spans="1:9" x14ac:dyDescent="0.2">
      <c r="A29" t="s">
        <v>492</v>
      </c>
      <c r="B29" s="32">
        <v>6</v>
      </c>
      <c r="C29">
        <v>0</v>
      </c>
      <c r="D29">
        <v>1</v>
      </c>
      <c r="E29">
        <v>0</v>
      </c>
      <c r="F29" s="72">
        <v>42014</v>
      </c>
      <c r="G29" t="s">
        <v>54</v>
      </c>
      <c r="H29" s="72">
        <v>42020</v>
      </c>
      <c r="I29" s="1" t="s">
        <v>50</v>
      </c>
    </row>
    <row r="30" spans="1:9" x14ac:dyDescent="0.2">
      <c r="A30" t="s">
        <v>493</v>
      </c>
      <c r="B30" s="32">
        <v>75</v>
      </c>
      <c r="C30">
        <v>0</v>
      </c>
      <c r="D30">
        <v>1</v>
      </c>
      <c r="E30">
        <v>0</v>
      </c>
      <c r="F30" s="72">
        <v>42014</v>
      </c>
      <c r="G30" t="s">
        <v>49</v>
      </c>
      <c r="H30" s="72">
        <v>42021</v>
      </c>
      <c r="I30" s="1" t="s">
        <v>153</v>
      </c>
    </row>
    <row r="31" spans="1:9" x14ac:dyDescent="0.2">
      <c r="A31" s="103" t="s">
        <v>116</v>
      </c>
      <c r="B31" s="103">
        <v>15</v>
      </c>
      <c r="C31" s="103">
        <v>0</v>
      </c>
      <c r="D31" s="103">
        <v>1</v>
      </c>
      <c r="E31" s="103">
        <v>0</v>
      </c>
      <c r="F31" s="88">
        <v>42014</v>
      </c>
      <c r="G31" s="103" t="s">
        <v>49</v>
      </c>
      <c r="H31" s="88">
        <v>42021</v>
      </c>
      <c r="I31" s="103" t="s">
        <v>344</v>
      </c>
    </row>
    <row r="32" spans="1:9" x14ac:dyDescent="0.2">
      <c r="A32" s="103" t="s">
        <v>326</v>
      </c>
      <c r="B32" s="103">
        <v>19</v>
      </c>
      <c r="C32" s="103">
        <v>0</v>
      </c>
      <c r="D32" s="103">
        <v>1</v>
      </c>
      <c r="E32" s="103">
        <v>0</v>
      </c>
      <c r="F32" s="88">
        <v>42014</v>
      </c>
      <c r="G32" s="103" t="s">
        <v>49</v>
      </c>
      <c r="H32" s="88">
        <v>42021</v>
      </c>
      <c r="I32" s="10" t="s">
        <v>50</v>
      </c>
    </row>
    <row r="33" spans="1:9" x14ac:dyDescent="0.2">
      <c r="A33" s="103" t="s">
        <v>107</v>
      </c>
      <c r="B33" s="103">
        <v>14.31</v>
      </c>
      <c r="C33" s="103">
        <v>0</v>
      </c>
      <c r="D33" s="103">
        <v>1</v>
      </c>
      <c r="E33" s="103">
        <v>0</v>
      </c>
      <c r="F33" s="88">
        <v>42014</v>
      </c>
      <c r="G33" s="103" t="s">
        <v>54</v>
      </c>
      <c r="H33" s="88">
        <v>42026</v>
      </c>
      <c r="I33" s="10" t="s">
        <v>344</v>
      </c>
    </row>
    <row r="34" spans="1:9" x14ac:dyDescent="0.2">
      <c r="A34" s="103" t="s">
        <v>500</v>
      </c>
      <c r="B34" s="103">
        <v>5</v>
      </c>
      <c r="C34" s="103">
        <v>0</v>
      </c>
      <c r="D34" s="103">
        <v>1</v>
      </c>
      <c r="E34" s="103">
        <v>0</v>
      </c>
      <c r="F34" s="88">
        <v>42014</v>
      </c>
      <c r="G34" s="103" t="s">
        <v>54</v>
      </c>
      <c r="H34" s="88">
        <v>42026</v>
      </c>
      <c r="I34" s="10" t="s">
        <v>50</v>
      </c>
    </row>
    <row r="35" spans="1:9" x14ac:dyDescent="0.2">
      <c r="A35" s="103" t="s">
        <v>501</v>
      </c>
      <c r="B35" s="103">
        <v>8</v>
      </c>
      <c r="C35" s="103">
        <v>0</v>
      </c>
      <c r="D35" s="103">
        <v>1</v>
      </c>
      <c r="E35" s="103">
        <v>0</v>
      </c>
      <c r="F35" s="88">
        <v>42014</v>
      </c>
      <c r="G35" s="103" t="s">
        <v>54</v>
      </c>
      <c r="H35" s="88">
        <v>42026</v>
      </c>
      <c r="I35" s="10" t="s">
        <v>50</v>
      </c>
    </row>
    <row r="36" spans="1:9" x14ac:dyDescent="0.2">
      <c r="A36" s="103" t="s">
        <v>499</v>
      </c>
      <c r="B36" s="103">
        <v>3</v>
      </c>
      <c r="C36" s="103">
        <v>0</v>
      </c>
      <c r="D36" s="103">
        <v>1</v>
      </c>
      <c r="E36" s="103">
        <v>0</v>
      </c>
      <c r="F36" s="88">
        <v>42014</v>
      </c>
      <c r="G36" s="103" t="s">
        <v>54</v>
      </c>
      <c r="H36" s="88">
        <v>42026</v>
      </c>
      <c r="I36" s="10" t="s">
        <v>50</v>
      </c>
    </row>
    <row r="37" spans="1:9" x14ac:dyDescent="0.2">
      <c r="A37" s="103" t="s">
        <v>502</v>
      </c>
      <c r="B37" s="103">
        <v>5</v>
      </c>
      <c r="C37" s="103">
        <v>0</v>
      </c>
      <c r="D37" s="103">
        <v>1</v>
      </c>
      <c r="E37" s="103">
        <v>0</v>
      </c>
      <c r="F37" s="88">
        <v>42014</v>
      </c>
      <c r="G37" s="103" t="s">
        <v>54</v>
      </c>
      <c r="H37" s="88">
        <v>42027</v>
      </c>
      <c r="I37" s="10" t="s">
        <v>50</v>
      </c>
    </row>
    <row r="38" spans="1:9" x14ac:dyDescent="0.2">
      <c r="A38" s="103" t="s">
        <v>503</v>
      </c>
      <c r="B38" s="103">
        <v>26</v>
      </c>
      <c r="C38" s="103">
        <v>0</v>
      </c>
      <c r="D38" s="103">
        <v>1</v>
      </c>
      <c r="E38" s="103">
        <v>0</v>
      </c>
      <c r="F38" s="88">
        <v>42014</v>
      </c>
      <c r="G38" s="103" t="s">
        <v>54</v>
      </c>
      <c r="H38" s="88">
        <v>42027</v>
      </c>
      <c r="I38" s="10" t="s">
        <v>50</v>
      </c>
    </row>
    <row r="39" spans="1:9" x14ac:dyDescent="0.2">
      <c r="A39" s="103" t="s">
        <v>504</v>
      </c>
      <c r="B39" s="103">
        <v>15</v>
      </c>
      <c r="C39" s="103">
        <v>0</v>
      </c>
      <c r="D39" s="103">
        <v>1</v>
      </c>
      <c r="E39" s="103">
        <v>0</v>
      </c>
      <c r="F39" s="88">
        <v>42014</v>
      </c>
      <c r="G39" s="103" t="s">
        <v>54</v>
      </c>
      <c r="H39" s="88">
        <v>42027</v>
      </c>
      <c r="I39" s="10" t="s">
        <v>50</v>
      </c>
    </row>
    <row r="40" spans="1:9" x14ac:dyDescent="0.2">
      <c r="A40" s="103" t="s">
        <v>505</v>
      </c>
      <c r="B40" s="103">
        <v>100</v>
      </c>
      <c r="C40" s="103">
        <v>0</v>
      </c>
      <c r="D40" s="103">
        <v>1</v>
      </c>
      <c r="E40" s="103">
        <v>0</v>
      </c>
      <c r="F40" s="88">
        <v>42014</v>
      </c>
      <c r="G40" s="103" t="s">
        <v>54</v>
      </c>
      <c r="H40" s="88">
        <v>42027</v>
      </c>
      <c r="I40" s="10" t="s">
        <v>344</v>
      </c>
    </row>
    <row r="41" spans="1:9" x14ac:dyDescent="0.2">
      <c r="A41" s="103" t="s">
        <v>507</v>
      </c>
      <c r="B41" s="103">
        <v>10</v>
      </c>
      <c r="C41" s="103">
        <v>0</v>
      </c>
      <c r="D41" s="103">
        <v>1</v>
      </c>
      <c r="E41" s="103">
        <v>0</v>
      </c>
      <c r="F41" s="88">
        <v>42014</v>
      </c>
      <c r="G41" s="103" t="s">
        <v>55</v>
      </c>
      <c r="H41" s="88">
        <v>42031</v>
      </c>
      <c r="I41" s="10" t="s">
        <v>206</v>
      </c>
    </row>
    <row r="42" spans="1:9" x14ac:dyDescent="0.2">
      <c r="A42" s="103" t="s">
        <v>386</v>
      </c>
      <c r="B42" s="103">
        <v>6</v>
      </c>
      <c r="C42" s="103">
        <v>0</v>
      </c>
      <c r="D42" s="103">
        <v>1</v>
      </c>
      <c r="E42" s="103">
        <v>0</v>
      </c>
      <c r="F42" s="88">
        <v>42014</v>
      </c>
      <c r="G42" s="103" t="s">
        <v>55</v>
      </c>
      <c r="H42" s="88">
        <v>42032</v>
      </c>
      <c r="I42" s="10" t="s">
        <v>50</v>
      </c>
    </row>
    <row r="43" spans="1:9" x14ac:dyDescent="0.2">
      <c r="A43" s="103" t="s">
        <v>514</v>
      </c>
      <c r="B43" s="103">
        <v>7</v>
      </c>
      <c r="C43" s="103">
        <v>0</v>
      </c>
      <c r="D43" s="103">
        <v>1</v>
      </c>
      <c r="E43" s="103">
        <v>0</v>
      </c>
      <c r="F43" s="88">
        <v>42014</v>
      </c>
      <c r="G43" s="103" t="s">
        <v>55</v>
      </c>
      <c r="H43" s="88">
        <v>42034</v>
      </c>
      <c r="I43" s="10" t="s">
        <v>50</v>
      </c>
    </row>
    <row r="44" spans="1:9" x14ac:dyDescent="0.2">
      <c r="A44" s="103" t="s">
        <v>515</v>
      </c>
      <c r="B44" s="103">
        <v>15</v>
      </c>
      <c r="C44" s="103">
        <v>0</v>
      </c>
      <c r="D44" s="103">
        <v>1</v>
      </c>
      <c r="E44" s="103">
        <v>0</v>
      </c>
      <c r="F44" s="88">
        <v>42014</v>
      </c>
      <c r="G44" s="103" t="s">
        <v>55</v>
      </c>
      <c r="H44" s="88">
        <v>42034</v>
      </c>
      <c r="I44" s="10" t="s">
        <v>344</v>
      </c>
    </row>
    <row r="45" spans="1:9" x14ac:dyDescent="0.2">
      <c r="A45" s="103" t="s">
        <v>48</v>
      </c>
      <c r="B45" s="103">
        <v>45</v>
      </c>
      <c r="C45" s="103">
        <v>0</v>
      </c>
      <c r="D45" s="103">
        <v>1</v>
      </c>
      <c r="E45" s="103">
        <v>0</v>
      </c>
      <c r="F45" s="88">
        <v>42014</v>
      </c>
      <c r="G45" s="103" t="s">
        <v>55</v>
      </c>
      <c r="H45" s="88">
        <v>42034</v>
      </c>
      <c r="I45" s="10" t="s">
        <v>344</v>
      </c>
    </row>
    <row r="46" spans="1:9" x14ac:dyDescent="0.2">
      <c r="A46" s="27" t="s">
        <v>332</v>
      </c>
      <c r="B46" s="27">
        <v>225.7</v>
      </c>
      <c r="C46" s="27">
        <v>1</v>
      </c>
      <c r="D46" s="27">
        <v>0</v>
      </c>
      <c r="E46" s="27">
        <v>0</v>
      </c>
      <c r="F46" s="84">
        <v>42014</v>
      </c>
      <c r="G46" s="103" t="s">
        <v>47</v>
      </c>
      <c r="H46" s="84">
        <v>42036</v>
      </c>
      <c r="I46" s="27" t="s">
        <v>350</v>
      </c>
    </row>
    <row r="47" spans="1:9" x14ac:dyDescent="0.2">
      <c r="A47" s="10" t="s">
        <v>618</v>
      </c>
      <c r="B47" s="103">
        <v>17</v>
      </c>
      <c r="C47" s="103">
        <v>0</v>
      </c>
      <c r="D47" s="103">
        <v>1</v>
      </c>
      <c r="E47" s="103">
        <v>0</v>
      </c>
      <c r="F47" s="88">
        <v>42014</v>
      </c>
      <c r="G47" s="103" t="s">
        <v>47</v>
      </c>
      <c r="H47" s="88">
        <v>42036</v>
      </c>
      <c r="I47" s="10" t="s">
        <v>618</v>
      </c>
    </row>
    <row r="48" spans="1:9" x14ac:dyDescent="0.2">
      <c r="A48" s="103" t="s">
        <v>52</v>
      </c>
      <c r="B48" s="103">
        <v>81.88</v>
      </c>
      <c r="C48" s="103">
        <v>0</v>
      </c>
      <c r="D48" s="103">
        <v>1</v>
      </c>
      <c r="E48" s="103">
        <v>0</v>
      </c>
      <c r="F48" s="88">
        <v>42014</v>
      </c>
      <c r="G48" s="103" t="s">
        <v>47</v>
      </c>
      <c r="H48" s="88">
        <v>42036</v>
      </c>
      <c r="I48" s="10" t="s">
        <v>52</v>
      </c>
    </row>
    <row r="49" spans="1:9" x14ac:dyDescent="0.2">
      <c r="A49" s="103" t="s">
        <v>52</v>
      </c>
      <c r="B49" s="103">
        <v>15.32</v>
      </c>
      <c r="C49" s="103">
        <v>0</v>
      </c>
      <c r="D49" s="103">
        <v>1</v>
      </c>
      <c r="E49" s="103">
        <v>0</v>
      </c>
      <c r="F49" s="88">
        <v>42014</v>
      </c>
      <c r="G49" s="103" t="s">
        <v>47</v>
      </c>
      <c r="H49" s="88">
        <v>42039</v>
      </c>
      <c r="I49" s="10" t="s">
        <v>52</v>
      </c>
    </row>
    <row r="50" spans="1:9" x14ac:dyDescent="0.2">
      <c r="A50" s="103" t="s">
        <v>44</v>
      </c>
      <c r="B50" s="103">
        <v>50</v>
      </c>
      <c r="C50" s="103">
        <v>1</v>
      </c>
      <c r="D50" s="103">
        <v>0</v>
      </c>
      <c r="E50" s="103">
        <v>0</v>
      </c>
      <c r="F50" s="88">
        <v>42014</v>
      </c>
      <c r="G50" s="103" t="s">
        <v>47</v>
      </c>
      <c r="H50" s="88">
        <v>42040</v>
      </c>
      <c r="I50" s="10" t="s">
        <v>60</v>
      </c>
    </row>
    <row r="51" spans="1:9" x14ac:dyDescent="0.2">
      <c r="A51" s="103" t="s">
        <v>43</v>
      </c>
      <c r="B51" s="103">
        <v>30</v>
      </c>
      <c r="C51">
        <v>1</v>
      </c>
      <c r="D51">
        <v>0</v>
      </c>
      <c r="E51" s="103">
        <v>0</v>
      </c>
      <c r="F51" s="88">
        <v>42014</v>
      </c>
      <c r="G51" s="103" t="s">
        <v>47</v>
      </c>
      <c r="H51" s="88">
        <v>42039</v>
      </c>
      <c r="I51" s="10" t="s">
        <v>340</v>
      </c>
    </row>
    <row r="52" spans="1:9" x14ac:dyDescent="0.2">
      <c r="A52" s="103" t="s">
        <v>96</v>
      </c>
      <c r="B52" s="103">
        <v>15.12</v>
      </c>
      <c r="C52" s="103">
        <v>0</v>
      </c>
      <c r="D52" s="103">
        <v>1</v>
      </c>
      <c r="E52" s="103">
        <v>0</v>
      </c>
      <c r="F52" s="88">
        <v>42014</v>
      </c>
      <c r="G52" s="103" t="s">
        <v>47</v>
      </c>
      <c r="H52" s="88">
        <v>42038</v>
      </c>
      <c r="I52" s="10" t="s">
        <v>50</v>
      </c>
    </row>
    <row r="53" spans="1:9" x14ac:dyDescent="0.2">
      <c r="A53" s="103" t="s">
        <v>386</v>
      </c>
      <c r="B53" s="103">
        <v>3</v>
      </c>
      <c r="C53" s="103">
        <v>0</v>
      </c>
      <c r="D53" s="103">
        <v>1</v>
      </c>
      <c r="E53" s="103">
        <v>0</v>
      </c>
      <c r="F53" s="88">
        <v>42014</v>
      </c>
      <c r="G53" s="103" t="s">
        <v>47</v>
      </c>
      <c r="H53" s="88">
        <v>42038</v>
      </c>
      <c r="I53" s="10" t="s">
        <v>50</v>
      </c>
    </row>
    <row r="54" spans="1:9" x14ac:dyDescent="0.2">
      <c r="A54" s="103" t="s">
        <v>96</v>
      </c>
      <c r="B54" s="103">
        <v>16.2</v>
      </c>
      <c r="C54" s="103">
        <v>0</v>
      </c>
      <c r="D54" s="103">
        <v>1</v>
      </c>
      <c r="E54" s="103">
        <v>0</v>
      </c>
      <c r="F54" s="88">
        <v>42014</v>
      </c>
      <c r="G54" s="103" t="s">
        <v>47</v>
      </c>
      <c r="H54" s="88">
        <v>42040</v>
      </c>
      <c r="I54" s="10" t="s">
        <v>50</v>
      </c>
    </row>
    <row r="55" spans="1:9" x14ac:dyDescent="0.2">
      <c r="A55" s="103" t="s">
        <v>520</v>
      </c>
      <c r="B55" s="103">
        <v>10</v>
      </c>
      <c r="C55" s="103">
        <v>0</v>
      </c>
      <c r="D55" s="103">
        <v>1</v>
      </c>
      <c r="E55" s="103">
        <v>0</v>
      </c>
      <c r="F55" s="88">
        <v>42014</v>
      </c>
      <c r="G55" s="103" t="s">
        <v>47</v>
      </c>
      <c r="H55" s="88">
        <v>42037</v>
      </c>
      <c r="I55" s="10" t="s">
        <v>50</v>
      </c>
    </row>
    <row r="56" spans="1:9" x14ac:dyDescent="0.2">
      <c r="A56" s="103" t="s">
        <v>48</v>
      </c>
      <c r="B56" s="103">
        <v>40</v>
      </c>
      <c r="C56" s="103">
        <v>0</v>
      </c>
      <c r="D56" s="103">
        <v>1</v>
      </c>
      <c r="E56" s="103">
        <v>0</v>
      </c>
      <c r="F56" s="88">
        <v>42014</v>
      </c>
      <c r="G56" s="103" t="s">
        <v>47</v>
      </c>
      <c r="H56" s="88">
        <v>42039</v>
      </c>
      <c r="I56" s="10" t="s">
        <v>48</v>
      </c>
    </row>
    <row r="57" spans="1:9" x14ac:dyDescent="0.2">
      <c r="A57" s="103" t="s">
        <v>524</v>
      </c>
      <c r="B57" s="103">
        <v>250</v>
      </c>
      <c r="C57" s="103">
        <v>0</v>
      </c>
      <c r="D57" s="103">
        <v>1</v>
      </c>
      <c r="E57" s="103">
        <v>0</v>
      </c>
      <c r="F57" s="88">
        <v>42014</v>
      </c>
      <c r="G57" s="103" t="s">
        <v>47</v>
      </c>
      <c r="H57" s="88">
        <v>42041</v>
      </c>
      <c r="I57" s="10" t="s">
        <v>48</v>
      </c>
    </row>
    <row r="58" spans="1:9" x14ac:dyDescent="0.2">
      <c r="A58" s="103" t="s">
        <v>521</v>
      </c>
      <c r="B58" s="103">
        <v>6</v>
      </c>
      <c r="C58" s="103">
        <v>0</v>
      </c>
      <c r="D58" s="103">
        <v>1</v>
      </c>
      <c r="E58" s="103">
        <v>0</v>
      </c>
      <c r="F58" s="88">
        <v>42014</v>
      </c>
      <c r="G58" s="103" t="s">
        <v>47</v>
      </c>
      <c r="H58" s="88">
        <v>42041</v>
      </c>
      <c r="I58" s="10" t="s">
        <v>153</v>
      </c>
    </row>
    <row r="59" spans="1:9" x14ac:dyDescent="0.2">
      <c r="A59" s="103" t="s">
        <v>522</v>
      </c>
      <c r="B59" s="103">
        <v>113</v>
      </c>
      <c r="C59">
        <v>0</v>
      </c>
      <c r="D59">
        <v>1</v>
      </c>
      <c r="E59">
        <v>0</v>
      </c>
      <c r="F59" s="88">
        <v>42014</v>
      </c>
      <c r="G59" s="1" t="s">
        <v>47</v>
      </c>
      <c r="H59" s="72">
        <v>42041</v>
      </c>
      <c r="I59" s="1" t="s">
        <v>344</v>
      </c>
    </row>
    <row r="60" spans="1:9" x14ac:dyDescent="0.2">
      <c r="A60" s="103" t="s">
        <v>43</v>
      </c>
      <c r="B60" s="103">
        <v>70.19</v>
      </c>
      <c r="C60">
        <v>1</v>
      </c>
      <c r="D60">
        <v>0</v>
      </c>
      <c r="E60" s="103">
        <v>0</v>
      </c>
      <c r="F60" s="88">
        <v>42014</v>
      </c>
      <c r="G60" s="103" t="s">
        <v>47</v>
      </c>
      <c r="H60" s="88">
        <v>42043</v>
      </c>
      <c r="I60" s="10" t="s">
        <v>340</v>
      </c>
    </row>
    <row r="61" spans="1:9" x14ac:dyDescent="0.2">
      <c r="A61" s="103" t="s">
        <v>43</v>
      </c>
      <c r="B61" s="103">
        <v>76.010000000000005</v>
      </c>
      <c r="C61">
        <v>1</v>
      </c>
      <c r="D61">
        <v>0</v>
      </c>
      <c r="E61" s="103">
        <v>0</v>
      </c>
      <c r="F61" s="88">
        <v>42014</v>
      </c>
      <c r="G61" s="103" t="s">
        <v>47</v>
      </c>
      <c r="H61" s="88">
        <v>42043</v>
      </c>
      <c r="I61" s="10" t="s">
        <v>340</v>
      </c>
    </row>
    <row r="62" spans="1:9" x14ac:dyDescent="0.2">
      <c r="A62" s="103" t="s">
        <v>526</v>
      </c>
      <c r="B62" s="103">
        <v>14.5</v>
      </c>
      <c r="C62" s="103">
        <v>0</v>
      </c>
      <c r="D62" s="103">
        <v>1</v>
      </c>
      <c r="E62" s="103">
        <v>0</v>
      </c>
      <c r="F62" s="88">
        <v>42014</v>
      </c>
      <c r="G62" s="103" t="s">
        <v>47</v>
      </c>
      <c r="H62" s="88">
        <v>42041</v>
      </c>
      <c r="I62" s="10" t="s">
        <v>50</v>
      </c>
    </row>
    <row r="63" spans="1:9" x14ac:dyDescent="0.2">
      <c r="A63" s="103" t="s">
        <v>96</v>
      </c>
      <c r="B63" s="103">
        <v>11.79</v>
      </c>
      <c r="C63" s="103">
        <v>0</v>
      </c>
      <c r="D63" s="103">
        <v>1</v>
      </c>
      <c r="E63" s="103">
        <v>0</v>
      </c>
      <c r="F63" s="88">
        <v>42014</v>
      </c>
      <c r="G63" s="103" t="s">
        <v>47</v>
      </c>
      <c r="H63" s="88">
        <v>42044</v>
      </c>
      <c r="I63" s="10" t="s">
        <v>50</v>
      </c>
    </row>
    <row r="64" spans="1:9" x14ac:dyDescent="0.2">
      <c r="A64" s="103" t="s">
        <v>43</v>
      </c>
      <c r="B64" s="103">
        <v>30</v>
      </c>
      <c r="C64">
        <v>1</v>
      </c>
      <c r="D64">
        <v>0</v>
      </c>
      <c r="E64" s="103">
        <v>0</v>
      </c>
      <c r="F64" s="88">
        <v>42014</v>
      </c>
      <c r="G64" s="103" t="s">
        <v>47</v>
      </c>
      <c r="H64" s="88">
        <v>42044</v>
      </c>
      <c r="I64" s="10" t="s">
        <v>340</v>
      </c>
    </row>
    <row r="65" spans="1:9" x14ac:dyDescent="0.2">
      <c r="A65" s="27" t="s">
        <v>21</v>
      </c>
      <c r="B65" s="85">
        <f>SUMIFS(credito!$B$2:$B$198,credito!$F$2:$F$198,F65,credito!$G$2:$G$198,0)</f>
        <v>0</v>
      </c>
      <c r="C65" s="27">
        <v>1</v>
      </c>
      <c r="D65" s="27">
        <v>0</v>
      </c>
      <c r="E65" s="27">
        <v>0</v>
      </c>
      <c r="F65" s="84">
        <v>42045</v>
      </c>
      <c r="G65" s="27" t="s">
        <v>51</v>
      </c>
      <c r="H65" s="84">
        <v>42052</v>
      </c>
      <c r="I65" s="27" t="s">
        <v>338</v>
      </c>
    </row>
    <row r="66" spans="1:9" x14ac:dyDescent="0.2">
      <c r="A66" t="s">
        <v>39</v>
      </c>
      <c r="B66" s="32">
        <v>45</v>
      </c>
      <c r="C66">
        <v>1</v>
      </c>
      <c r="D66">
        <v>0</v>
      </c>
      <c r="E66">
        <v>0</v>
      </c>
      <c r="F66" s="72">
        <v>42045</v>
      </c>
      <c r="G66" t="s">
        <v>51</v>
      </c>
      <c r="H66" s="72">
        <v>42067</v>
      </c>
      <c r="I66" t="s">
        <v>345</v>
      </c>
    </row>
    <row r="67" spans="1:9" x14ac:dyDescent="0.2">
      <c r="A67" t="s">
        <v>40</v>
      </c>
      <c r="B67" s="32">
        <v>4.99</v>
      </c>
      <c r="C67">
        <v>1</v>
      </c>
      <c r="D67">
        <v>0</v>
      </c>
      <c r="E67">
        <v>0</v>
      </c>
      <c r="F67" s="72">
        <v>42045</v>
      </c>
      <c r="G67" t="s">
        <v>51</v>
      </c>
      <c r="H67" s="72">
        <v>42045</v>
      </c>
      <c r="I67" t="s">
        <v>345</v>
      </c>
    </row>
    <row r="68" spans="1:9" x14ac:dyDescent="0.2">
      <c r="A68" t="s">
        <v>2</v>
      </c>
      <c r="B68" s="32">
        <v>50</v>
      </c>
      <c r="C68">
        <v>1</v>
      </c>
      <c r="D68">
        <v>0</v>
      </c>
      <c r="E68">
        <v>0</v>
      </c>
      <c r="F68" s="72">
        <v>42045</v>
      </c>
      <c r="G68" t="s">
        <v>51</v>
      </c>
      <c r="H68" s="72">
        <v>42045</v>
      </c>
      <c r="I68" t="s">
        <v>349</v>
      </c>
    </row>
    <row r="69" spans="1:9" x14ac:dyDescent="0.2">
      <c r="A69" t="s">
        <v>38</v>
      </c>
      <c r="B69" s="32">
        <v>57</v>
      </c>
      <c r="C69">
        <v>1</v>
      </c>
      <c r="D69">
        <v>0</v>
      </c>
      <c r="E69">
        <v>0</v>
      </c>
      <c r="F69" s="72">
        <v>42045</v>
      </c>
      <c r="G69" t="s">
        <v>51</v>
      </c>
      <c r="H69" s="72">
        <v>42045</v>
      </c>
      <c r="I69" t="s">
        <v>345</v>
      </c>
    </row>
    <row r="70" spans="1:9" x14ac:dyDescent="0.2">
      <c r="A70" t="s">
        <v>202</v>
      </c>
      <c r="B70" s="32">
        <v>40.78</v>
      </c>
      <c r="C70">
        <v>1</v>
      </c>
      <c r="D70">
        <v>0</v>
      </c>
      <c r="E70">
        <v>0</v>
      </c>
      <c r="F70" s="72">
        <v>42045</v>
      </c>
      <c r="G70" t="s">
        <v>51</v>
      </c>
      <c r="H70" s="72">
        <v>42045</v>
      </c>
      <c r="I70" t="s">
        <v>345</v>
      </c>
    </row>
    <row r="71" spans="1:9" x14ac:dyDescent="0.2">
      <c r="A71" t="s">
        <v>0</v>
      </c>
      <c r="B71" s="32">
        <v>426</v>
      </c>
      <c r="C71">
        <v>1</v>
      </c>
      <c r="D71">
        <v>0</v>
      </c>
      <c r="E71">
        <v>0</v>
      </c>
      <c r="F71" s="72">
        <v>42045</v>
      </c>
      <c r="G71" t="s">
        <v>51</v>
      </c>
      <c r="H71" s="72">
        <v>42045</v>
      </c>
      <c r="I71" t="s">
        <v>346</v>
      </c>
    </row>
    <row r="72" spans="1:9" x14ac:dyDescent="0.2">
      <c r="A72" t="s">
        <v>3</v>
      </c>
      <c r="B72" s="32">
        <v>66.63</v>
      </c>
      <c r="C72">
        <v>1</v>
      </c>
      <c r="D72">
        <v>0</v>
      </c>
      <c r="E72">
        <v>0</v>
      </c>
      <c r="F72" s="72">
        <v>42045</v>
      </c>
      <c r="G72" t="s">
        <v>51</v>
      </c>
      <c r="H72" s="72">
        <v>42045</v>
      </c>
      <c r="I72" t="s">
        <v>346</v>
      </c>
    </row>
    <row r="73" spans="1:9" x14ac:dyDescent="0.2">
      <c r="A73" t="s">
        <v>1</v>
      </c>
      <c r="B73">
        <v>286.99</v>
      </c>
      <c r="C73">
        <v>1</v>
      </c>
      <c r="D73">
        <v>0</v>
      </c>
      <c r="E73">
        <v>0</v>
      </c>
      <c r="F73" s="72">
        <v>42045</v>
      </c>
      <c r="G73" t="s">
        <v>51</v>
      </c>
      <c r="H73" s="72">
        <v>42045</v>
      </c>
      <c r="I73" t="s">
        <v>346</v>
      </c>
    </row>
    <row r="74" spans="1:9" x14ac:dyDescent="0.2">
      <c r="A74" t="s">
        <v>156</v>
      </c>
      <c r="B74" s="32">
        <v>450</v>
      </c>
      <c r="C74">
        <v>1</v>
      </c>
      <c r="D74">
        <v>0</v>
      </c>
      <c r="E74">
        <v>0</v>
      </c>
      <c r="F74" s="72">
        <v>42045</v>
      </c>
      <c r="G74" t="s">
        <v>51</v>
      </c>
      <c r="H74" s="72">
        <v>42045</v>
      </c>
      <c r="I74" t="s">
        <v>346</v>
      </c>
    </row>
    <row r="75" spans="1:9" x14ac:dyDescent="0.2">
      <c r="A75" t="s">
        <v>26</v>
      </c>
      <c r="B75" s="32">
        <v>501.76</v>
      </c>
      <c r="C75">
        <v>1</v>
      </c>
      <c r="D75">
        <v>0</v>
      </c>
      <c r="E75">
        <v>0</v>
      </c>
      <c r="F75" s="72">
        <v>42045</v>
      </c>
      <c r="G75" t="s">
        <v>51</v>
      </c>
      <c r="H75" s="72">
        <v>42045</v>
      </c>
      <c r="I75" t="s">
        <v>345</v>
      </c>
    </row>
    <row r="76" spans="1:9" x14ac:dyDescent="0.2">
      <c r="A76" t="s">
        <v>28</v>
      </c>
      <c r="B76" s="32">
        <v>38.5</v>
      </c>
      <c r="C76">
        <v>1</v>
      </c>
      <c r="D76">
        <v>0</v>
      </c>
      <c r="E76">
        <v>0</v>
      </c>
      <c r="F76" s="72">
        <v>42045</v>
      </c>
      <c r="G76" t="s">
        <v>51</v>
      </c>
      <c r="H76" s="72">
        <v>42045</v>
      </c>
      <c r="I76" t="s">
        <v>345</v>
      </c>
    </row>
    <row r="77" spans="1:9" x14ac:dyDescent="0.2">
      <c r="A77" t="s">
        <v>27</v>
      </c>
      <c r="B77" s="32">
        <v>282.25</v>
      </c>
      <c r="C77">
        <v>1</v>
      </c>
      <c r="D77">
        <v>0</v>
      </c>
      <c r="E77">
        <v>0</v>
      </c>
      <c r="F77" s="72">
        <v>42045</v>
      </c>
      <c r="G77" t="s">
        <v>51</v>
      </c>
      <c r="H77" s="72">
        <v>42045</v>
      </c>
      <c r="I77" t="s">
        <v>345</v>
      </c>
    </row>
    <row r="78" spans="1:9" x14ac:dyDescent="0.2">
      <c r="A78" t="s">
        <v>12</v>
      </c>
      <c r="B78" s="32">
        <v>536.46</v>
      </c>
      <c r="C78">
        <v>1</v>
      </c>
      <c r="D78">
        <v>0</v>
      </c>
      <c r="E78">
        <v>0</v>
      </c>
      <c r="F78" s="72">
        <v>42045</v>
      </c>
      <c r="G78" t="s">
        <v>51</v>
      </c>
      <c r="H78" s="72">
        <v>42045</v>
      </c>
      <c r="I78" t="s">
        <v>348</v>
      </c>
    </row>
    <row r="79" spans="1:9" x14ac:dyDescent="0.2">
      <c r="A79" t="s">
        <v>25</v>
      </c>
      <c r="B79" s="32">
        <v>130</v>
      </c>
      <c r="C79">
        <v>1</v>
      </c>
      <c r="D79">
        <v>0</v>
      </c>
      <c r="E79">
        <v>0</v>
      </c>
      <c r="F79" s="72">
        <v>42045</v>
      </c>
      <c r="G79" t="s">
        <v>51</v>
      </c>
      <c r="H79" s="72">
        <v>42045</v>
      </c>
      <c r="I79" t="s">
        <v>347</v>
      </c>
    </row>
    <row r="80" spans="1:9" x14ac:dyDescent="0.2">
      <c r="A80" t="s">
        <v>198</v>
      </c>
      <c r="B80" s="32">
        <v>148.01</v>
      </c>
      <c r="C80">
        <v>1</v>
      </c>
      <c r="D80">
        <v>0</v>
      </c>
      <c r="E80">
        <v>0</v>
      </c>
      <c r="F80" s="72">
        <v>42045</v>
      </c>
      <c r="G80" t="s">
        <v>51</v>
      </c>
      <c r="H80" s="72">
        <v>42045</v>
      </c>
      <c r="I80" t="s">
        <v>347</v>
      </c>
    </row>
    <row r="81" spans="1:9" x14ac:dyDescent="0.2">
      <c r="A81" t="s">
        <v>199</v>
      </c>
      <c r="B81" s="32">
        <v>139.13</v>
      </c>
      <c r="C81">
        <v>1</v>
      </c>
      <c r="D81">
        <v>0</v>
      </c>
      <c r="E81">
        <v>0</v>
      </c>
      <c r="F81" s="72">
        <v>42045</v>
      </c>
      <c r="G81" t="s">
        <v>51</v>
      </c>
      <c r="H81" s="72">
        <v>42045</v>
      </c>
      <c r="I81" t="s">
        <v>347</v>
      </c>
    </row>
    <row r="82" spans="1:9" x14ac:dyDescent="0.2">
      <c r="A82" t="s">
        <v>200</v>
      </c>
      <c r="B82" s="32">
        <v>66.61</v>
      </c>
      <c r="C82">
        <v>1</v>
      </c>
      <c r="D82">
        <v>0</v>
      </c>
      <c r="E82">
        <v>0</v>
      </c>
      <c r="F82" s="72">
        <v>42045</v>
      </c>
      <c r="G82" t="s">
        <v>51</v>
      </c>
      <c r="H82" s="72">
        <v>42045</v>
      </c>
      <c r="I82" t="s">
        <v>347</v>
      </c>
    </row>
    <row r="83" spans="1:9" x14ac:dyDescent="0.2">
      <c r="A83" s="10" t="s">
        <v>44</v>
      </c>
      <c r="B83" s="105">
        <v>100</v>
      </c>
      <c r="C83" s="10">
        <v>1</v>
      </c>
      <c r="D83" s="10">
        <v>0</v>
      </c>
      <c r="E83">
        <v>0</v>
      </c>
      <c r="F83" s="106">
        <v>42045</v>
      </c>
      <c r="G83" s="1" t="s">
        <v>51</v>
      </c>
      <c r="H83" s="106">
        <v>42047</v>
      </c>
      <c r="I83" s="10" t="s">
        <v>60</v>
      </c>
    </row>
    <row r="84" spans="1:9" x14ac:dyDescent="0.2">
      <c r="A84" s="10" t="s">
        <v>535</v>
      </c>
      <c r="B84" s="107">
        <v>128</v>
      </c>
      <c r="C84" s="10">
        <v>0</v>
      </c>
      <c r="D84" s="10">
        <v>1</v>
      </c>
      <c r="E84">
        <v>0</v>
      </c>
      <c r="F84" s="106">
        <v>42045</v>
      </c>
      <c r="G84" s="1" t="s">
        <v>51</v>
      </c>
      <c r="H84" s="106">
        <v>42045</v>
      </c>
      <c r="I84" s="10" t="s">
        <v>206</v>
      </c>
    </row>
    <row r="85" spans="1:9" x14ac:dyDescent="0.2">
      <c r="A85" s="10" t="s">
        <v>96</v>
      </c>
      <c r="B85" s="105">
        <v>10.67</v>
      </c>
      <c r="C85" s="10">
        <v>0</v>
      </c>
      <c r="D85" s="10">
        <v>1</v>
      </c>
      <c r="E85">
        <v>0</v>
      </c>
      <c r="F85" s="106">
        <v>42045</v>
      </c>
      <c r="G85" s="1" t="s">
        <v>51</v>
      </c>
      <c r="H85" s="106">
        <v>42047</v>
      </c>
      <c r="I85" s="10" t="s">
        <v>50</v>
      </c>
    </row>
    <row r="86" spans="1:9" x14ac:dyDescent="0.2">
      <c r="A86" s="10" t="s">
        <v>536</v>
      </c>
      <c r="B86" s="105">
        <v>30</v>
      </c>
      <c r="C86" s="10">
        <v>0</v>
      </c>
      <c r="D86" s="10">
        <v>1</v>
      </c>
      <c r="E86">
        <v>0</v>
      </c>
      <c r="F86" s="106">
        <v>42045</v>
      </c>
      <c r="G86" s="1" t="s">
        <v>51</v>
      </c>
      <c r="H86" s="106">
        <v>42047</v>
      </c>
      <c r="I86" s="10" t="s">
        <v>344</v>
      </c>
    </row>
    <row r="87" spans="1:9" x14ac:dyDescent="0.2">
      <c r="A87" s="10" t="s">
        <v>96</v>
      </c>
      <c r="B87" s="105">
        <v>21.5</v>
      </c>
      <c r="C87" s="10">
        <v>0</v>
      </c>
      <c r="D87" s="10">
        <v>1</v>
      </c>
      <c r="E87">
        <v>0</v>
      </c>
      <c r="F87" s="106">
        <v>42045</v>
      </c>
      <c r="G87" s="1" t="s">
        <v>51</v>
      </c>
      <c r="H87" s="106">
        <v>42046</v>
      </c>
      <c r="I87" s="10" t="s">
        <v>50</v>
      </c>
    </row>
    <row r="88" spans="1:9" x14ac:dyDescent="0.2">
      <c r="A88" s="10" t="s">
        <v>537</v>
      </c>
      <c r="B88" s="107">
        <v>89.18</v>
      </c>
      <c r="C88" s="10">
        <v>0</v>
      </c>
      <c r="D88" s="10">
        <v>1</v>
      </c>
      <c r="E88">
        <v>0</v>
      </c>
      <c r="F88" s="106">
        <v>42045</v>
      </c>
      <c r="G88" s="1" t="s">
        <v>51</v>
      </c>
      <c r="H88" s="106">
        <v>42048</v>
      </c>
      <c r="I88" s="10" t="s">
        <v>206</v>
      </c>
    </row>
    <row r="89" spans="1:9" x14ac:dyDescent="0.2">
      <c r="A89" s="10" t="s">
        <v>96</v>
      </c>
      <c r="B89" s="105">
        <v>18.920000000000002</v>
      </c>
      <c r="C89" s="10">
        <v>0</v>
      </c>
      <c r="D89" s="10">
        <v>1</v>
      </c>
      <c r="E89">
        <v>0</v>
      </c>
      <c r="F89" s="106">
        <v>42045</v>
      </c>
      <c r="G89" s="1" t="s">
        <v>51</v>
      </c>
      <c r="H89" s="106">
        <v>42048</v>
      </c>
      <c r="I89" s="10" t="s">
        <v>50</v>
      </c>
    </row>
    <row r="90" spans="1:9" x14ac:dyDescent="0.2">
      <c r="A90" s="10" t="s">
        <v>43</v>
      </c>
      <c r="B90" s="105">
        <v>30</v>
      </c>
      <c r="C90">
        <v>1</v>
      </c>
      <c r="D90">
        <v>0</v>
      </c>
      <c r="E90">
        <v>0</v>
      </c>
      <c r="F90" s="106">
        <v>42045</v>
      </c>
      <c r="G90" s="1" t="s">
        <v>49</v>
      </c>
      <c r="H90" s="106">
        <v>42049</v>
      </c>
      <c r="I90" s="10" t="s">
        <v>340</v>
      </c>
    </row>
    <row r="91" spans="1:9" x14ac:dyDescent="0.2">
      <c r="A91" s="10" t="s">
        <v>43</v>
      </c>
      <c r="B91" s="105">
        <v>30</v>
      </c>
      <c r="C91">
        <v>1</v>
      </c>
      <c r="D91">
        <v>0</v>
      </c>
      <c r="E91">
        <v>0</v>
      </c>
      <c r="F91" s="106">
        <v>42045</v>
      </c>
      <c r="G91" s="1" t="s">
        <v>51</v>
      </c>
      <c r="H91" s="106">
        <v>42048</v>
      </c>
      <c r="I91" s="10" t="s">
        <v>340</v>
      </c>
    </row>
    <row r="92" spans="1:9" x14ac:dyDescent="0.2">
      <c r="A92" s="10" t="s">
        <v>43</v>
      </c>
      <c r="B92" s="105">
        <v>30</v>
      </c>
      <c r="C92">
        <v>1</v>
      </c>
      <c r="D92">
        <v>0</v>
      </c>
      <c r="E92">
        <v>0</v>
      </c>
      <c r="F92" s="106">
        <v>42045</v>
      </c>
      <c r="G92" s="1" t="s">
        <v>49</v>
      </c>
      <c r="H92" s="106">
        <v>42049</v>
      </c>
      <c r="I92" s="10" t="s">
        <v>340</v>
      </c>
    </row>
    <row r="93" spans="1:9" x14ac:dyDescent="0.2">
      <c r="A93" s="10" t="s">
        <v>95</v>
      </c>
      <c r="B93" s="105">
        <v>13.9</v>
      </c>
      <c r="C93" s="10">
        <v>0</v>
      </c>
      <c r="D93" s="10">
        <v>1</v>
      </c>
      <c r="E93">
        <v>0</v>
      </c>
      <c r="F93" s="106">
        <v>42045</v>
      </c>
      <c r="G93" s="1" t="s">
        <v>51</v>
      </c>
      <c r="H93" s="106">
        <v>42048</v>
      </c>
      <c r="I93" s="10" t="s">
        <v>50</v>
      </c>
    </row>
    <row r="94" spans="1:9" x14ac:dyDescent="0.2">
      <c r="A94" s="10" t="s">
        <v>539</v>
      </c>
      <c r="B94" s="105">
        <v>20</v>
      </c>
      <c r="C94" s="10">
        <v>0</v>
      </c>
      <c r="D94" s="10">
        <v>1</v>
      </c>
      <c r="E94">
        <v>0</v>
      </c>
      <c r="F94" s="106">
        <v>42045</v>
      </c>
      <c r="G94" s="1" t="s">
        <v>49</v>
      </c>
      <c r="H94" s="106">
        <v>42049</v>
      </c>
      <c r="I94" s="10" t="s">
        <v>50</v>
      </c>
    </row>
    <row r="95" spans="1:9" x14ac:dyDescent="0.2">
      <c r="A95" s="10" t="s">
        <v>96</v>
      </c>
      <c r="B95" s="105">
        <v>14.9</v>
      </c>
      <c r="C95" s="10">
        <v>0</v>
      </c>
      <c r="D95" s="10">
        <v>1</v>
      </c>
      <c r="E95">
        <v>0</v>
      </c>
      <c r="F95" s="106">
        <v>42045</v>
      </c>
      <c r="G95" s="1" t="s">
        <v>49</v>
      </c>
      <c r="H95" s="106">
        <v>42049</v>
      </c>
      <c r="I95" s="10" t="s">
        <v>50</v>
      </c>
    </row>
    <row r="96" spans="1:9" x14ac:dyDescent="0.2">
      <c r="A96" s="10" t="s">
        <v>96</v>
      </c>
      <c r="B96" s="105">
        <v>21.8</v>
      </c>
      <c r="C96" s="10">
        <v>0</v>
      </c>
      <c r="D96" s="10">
        <v>1</v>
      </c>
      <c r="E96">
        <v>0</v>
      </c>
      <c r="F96" s="106">
        <v>42045</v>
      </c>
      <c r="G96" s="1" t="s">
        <v>49</v>
      </c>
      <c r="H96" s="106">
        <v>42049</v>
      </c>
      <c r="I96" s="10" t="s">
        <v>50</v>
      </c>
    </row>
    <row r="97" spans="1:9" x14ac:dyDescent="0.2">
      <c r="A97" s="10" t="s">
        <v>538</v>
      </c>
      <c r="B97" s="105">
        <v>81</v>
      </c>
      <c r="C97" s="10">
        <v>0</v>
      </c>
      <c r="D97" s="10">
        <v>1</v>
      </c>
      <c r="E97">
        <v>0</v>
      </c>
      <c r="F97" s="106">
        <v>42045</v>
      </c>
      <c r="G97" s="1" t="s">
        <v>49</v>
      </c>
      <c r="H97" s="106">
        <v>42050</v>
      </c>
      <c r="I97" s="10" t="s">
        <v>153</v>
      </c>
    </row>
    <row r="98" spans="1:9" x14ac:dyDescent="0.2">
      <c r="A98" s="10" t="s">
        <v>540</v>
      </c>
      <c r="B98" s="107">
        <v>75.14</v>
      </c>
      <c r="C98" s="10">
        <v>0</v>
      </c>
      <c r="D98" s="10">
        <v>1</v>
      </c>
      <c r="E98" s="10">
        <v>0</v>
      </c>
      <c r="F98" s="106">
        <v>42045</v>
      </c>
      <c r="G98" s="1" t="s">
        <v>49</v>
      </c>
      <c r="H98" s="106">
        <v>42050</v>
      </c>
      <c r="I98" s="10" t="s">
        <v>189</v>
      </c>
    </row>
    <row r="99" spans="1:9" x14ac:dyDescent="0.2">
      <c r="A99" s="10" t="s">
        <v>43</v>
      </c>
      <c r="B99" s="105">
        <v>30</v>
      </c>
      <c r="C99">
        <v>1</v>
      </c>
      <c r="D99">
        <v>0</v>
      </c>
      <c r="E99" s="10">
        <v>0</v>
      </c>
      <c r="F99" s="106">
        <v>42045</v>
      </c>
      <c r="G99" s="1" t="s">
        <v>54</v>
      </c>
      <c r="H99" s="106">
        <v>42051</v>
      </c>
      <c r="I99" s="10" t="s">
        <v>340</v>
      </c>
    </row>
    <row r="100" spans="1:9" x14ac:dyDescent="0.2">
      <c r="A100" s="10" t="s">
        <v>43</v>
      </c>
      <c r="B100" s="105">
        <v>30</v>
      </c>
      <c r="C100">
        <v>1</v>
      </c>
      <c r="D100">
        <v>0</v>
      </c>
      <c r="E100" s="10">
        <v>0</v>
      </c>
      <c r="F100" s="106">
        <v>42045</v>
      </c>
      <c r="G100" s="1" t="s">
        <v>54</v>
      </c>
      <c r="H100" s="106">
        <v>42052</v>
      </c>
      <c r="I100" s="10" t="s">
        <v>340</v>
      </c>
    </row>
    <row r="101" spans="1:9" x14ac:dyDescent="0.2">
      <c r="A101" s="10" t="s">
        <v>541</v>
      </c>
      <c r="B101" s="105">
        <v>10</v>
      </c>
      <c r="C101" s="10">
        <v>0</v>
      </c>
      <c r="D101" s="10">
        <v>1</v>
      </c>
      <c r="E101" s="10">
        <v>0</v>
      </c>
      <c r="F101" s="106">
        <v>42045</v>
      </c>
      <c r="G101" s="1" t="s">
        <v>54</v>
      </c>
      <c r="H101" s="106">
        <v>42052</v>
      </c>
      <c r="I101" s="10" t="s">
        <v>50</v>
      </c>
    </row>
    <row r="102" spans="1:9" x14ac:dyDescent="0.2">
      <c r="A102" s="10" t="s">
        <v>48</v>
      </c>
      <c r="B102" s="105">
        <v>34</v>
      </c>
      <c r="C102" s="10">
        <v>0</v>
      </c>
      <c r="D102" s="10">
        <v>1</v>
      </c>
      <c r="E102" s="10">
        <v>0</v>
      </c>
      <c r="F102" s="106">
        <v>42045</v>
      </c>
      <c r="G102" s="1" t="s">
        <v>54</v>
      </c>
      <c r="H102" s="106">
        <v>42053</v>
      </c>
      <c r="I102" s="10" t="s">
        <v>48</v>
      </c>
    </row>
    <row r="103" spans="1:9" x14ac:dyDescent="0.2">
      <c r="A103" s="10" t="s">
        <v>48</v>
      </c>
      <c r="B103" s="105">
        <v>40</v>
      </c>
      <c r="C103" s="10">
        <v>0</v>
      </c>
      <c r="D103" s="10">
        <v>1</v>
      </c>
      <c r="E103" s="10">
        <v>0</v>
      </c>
      <c r="F103" s="106">
        <v>42045</v>
      </c>
      <c r="G103" s="1" t="s">
        <v>54</v>
      </c>
      <c r="H103" s="106">
        <v>42053</v>
      </c>
      <c r="I103" s="10" t="s">
        <v>48</v>
      </c>
    </row>
    <row r="104" spans="1:9" x14ac:dyDescent="0.2">
      <c r="A104" s="10" t="s">
        <v>96</v>
      </c>
      <c r="B104" s="105">
        <v>21.3</v>
      </c>
      <c r="C104" s="10">
        <v>0</v>
      </c>
      <c r="D104" s="10">
        <v>1</v>
      </c>
      <c r="E104" s="10">
        <v>0</v>
      </c>
      <c r="F104" s="106">
        <v>42045</v>
      </c>
      <c r="G104" s="1" t="s">
        <v>54</v>
      </c>
      <c r="H104" s="106">
        <v>42054</v>
      </c>
      <c r="I104" s="10" t="s">
        <v>50</v>
      </c>
    </row>
    <row r="105" spans="1:9" x14ac:dyDescent="0.2">
      <c r="A105" s="10" t="s">
        <v>542</v>
      </c>
      <c r="B105" s="105">
        <v>6</v>
      </c>
      <c r="C105" s="10">
        <v>0</v>
      </c>
      <c r="D105" s="10">
        <v>1</v>
      </c>
      <c r="E105" s="10">
        <v>0</v>
      </c>
      <c r="F105" s="106">
        <v>42045</v>
      </c>
      <c r="G105" s="1" t="s">
        <v>54</v>
      </c>
      <c r="H105" s="106">
        <v>42054</v>
      </c>
      <c r="I105" s="10" t="s">
        <v>50</v>
      </c>
    </row>
    <row r="106" spans="1:9" x14ac:dyDescent="0.2">
      <c r="A106" s="10" t="s">
        <v>543</v>
      </c>
      <c r="B106" s="105">
        <v>19.739999999999998</v>
      </c>
      <c r="C106" s="10">
        <v>0</v>
      </c>
      <c r="D106" s="10">
        <v>1</v>
      </c>
      <c r="E106" s="10">
        <v>0</v>
      </c>
      <c r="F106" s="106">
        <v>42045</v>
      </c>
      <c r="G106" s="1" t="s">
        <v>54</v>
      </c>
      <c r="H106" s="106">
        <v>42055</v>
      </c>
      <c r="I106" s="10" t="s">
        <v>189</v>
      </c>
    </row>
    <row r="107" spans="1:9" x14ac:dyDescent="0.2">
      <c r="A107" s="10" t="s">
        <v>43</v>
      </c>
      <c r="B107" s="105">
        <v>30</v>
      </c>
      <c r="C107">
        <v>1</v>
      </c>
      <c r="D107">
        <v>0</v>
      </c>
      <c r="E107" s="10">
        <v>0</v>
      </c>
      <c r="F107" s="106">
        <v>42045</v>
      </c>
      <c r="G107" s="1" t="s">
        <v>54</v>
      </c>
      <c r="H107" s="106">
        <v>42055</v>
      </c>
      <c r="I107" s="10" t="s">
        <v>340</v>
      </c>
    </row>
    <row r="108" spans="1:9" x14ac:dyDescent="0.2">
      <c r="A108" s="10" t="s">
        <v>96</v>
      </c>
      <c r="B108" s="105">
        <v>22</v>
      </c>
      <c r="C108" s="10">
        <v>0</v>
      </c>
      <c r="D108" s="10">
        <v>1</v>
      </c>
      <c r="E108" s="10">
        <v>0</v>
      </c>
      <c r="F108" s="106">
        <v>42045</v>
      </c>
      <c r="G108" s="1" t="s">
        <v>54</v>
      </c>
      <c r="H108" s="106">
        <v>42055</v>
      </c>
      <c r="I108" s="10" t="s">
        <v>50</v>
      </c>
    </row>
    <row r="109" spans="1:9" x14ac:dyDescent="0.2">
      <c r="A109" s="10" t="s">
        <v>46</v>
      </c>
      <c r="B109" s="105">
        <v>18</v>
      </c>
      <c r="C109" s="10">
        <v>0</v>
      </c>
      <c r="D109" s="10">
        <v>1</v>
      </c>
      <c r="E109" s="10">
        <v>0</v>
      </c>
      <c r="F109" s="106">
        <v>42045</v>
      </c>
      <c r="G109" s="1" t="s">
        <v>54</v>
      </c>
      <c r="H109" s="106">
        <v>42055</v>
      </c>
      <c r="I109" s="10" t="s">
        <v>344</v>
      </c>
    </row>
    <row r="110" spans="1:9" x14ac:dyDescent="0.2">
      <c r="A110" s="10" t="s">
        <v>53</v>
      </c>
      <c r="B110" s="105">
        <v>21.4</v>
      </c>
      <c r="C110" s="10">
        <v>0</v>
      </c>
      <c r="D110" s="10">
        <v>1</v>
      </c>
      <c r="E110" s="10">
        <v>0</v>
      </c>
      <c r="F110" s="106">
        <v>42045</v>
      </c>
      <c r="G110" s="1" t="s">
        <v>49</v>
      </c>
      <c r="H110" s="106">
        <v>42056</v>
      </c>
      <c r="I110" s="10" t="s">
        <v>50</v>
      </c>
    </row>
    <row r="111" spans="1:9" x14ac:dyDescent="0.2">
      <c r="A111" s="10" t="s">
        <v>544</v>
      </c>
      <c r="B111" s="105">
        <v>10</v>
      </c>
      <c r="C111" s="10">
        <v>0</v>
      </c>
      <c r="D111" s="10">
        <v>1</v>
      </c>
      <c r="E111" s="10">
        <v>0</v>
      </c>
      <c r="F111" s="106">
        <v>42045</v>
      </c>
      <c r="G111" s="1" t="s">
        <v>49</v>
      </c>
      <c r="H111" s="106">
        <v>42056</v>
      </c>
      <c r="I111" s="10" t="s">
        <v>50</v>
      </c>
    </row>
    <row r="112" spans="1:9" x14ac:dyDescent="0.2">
      <c r="A112" s="10" t="s">
        <v>43</v>
      </c>
      <c r="B112" s="105">
        <v>30</v>
      </c>
      <c r="C112" s="10">
        <v>1</v>
      </c>
      <c r="D112" s="10">
        <v>0</v>
      </c>
      <c r="E112" s="10">
        <v>0</v>
      </c>
      <c r="F112" s="106">
        <v>42045</v>
      </c>
      <c r="G112" s="1" t="s">
        <v>49</v>
      </c>
      <c r="H112" s="106">
        <v>42057</v>
      </c>
      <c r="I112" s="10" t="s">
        <v>340</v>
      </c>
    </row>
    <row r="113" spans="1:9" x14ac:dyDescent="0.2">
      <c r="A113" s="10" t="s">
        <v>327</v>
      </c>
      <c r="B113" s="105">
        <v>55.5</v>
      </c>
      <c r="C113" s="10">
        <v>0</v>
      </c>
      <c r="D113" s="10">
        <v>1</v>
      </c>
      <c r="E113" s="10">
        <v>0</v>
      </c>
      <c r="F113" s="106">
        <v>42045</v>
      </c>
      <c r="G113" s="1" t="s">
        <v>49</v>
      </c>
      <c r="H113" s="106">
        <v>42057</v>
      </c>
      <c r="I113" s="10" t="s">
        <v>153</v>
      </c>
    </row>
    <row r="114" spans="1:9" x14ac:dyDescent="0.2">
      <c r="A114" s="10" t="s">
        <v>48</v>
      </c>
      <c r="B114" s="105">
        <v>20</v>
      </c>
      <c r="C114" s="10">
        <v>0</v>
      </c>
      <c r="D114" s="10">
        <v>1</v>
      </c>
      <c r="E114" s="10">
        <v>0</v>
      </c>
      <c r="F114" s="106">
        <v>42045</v>
      </c>
      <c r="G114" s="1" t="s">
        <v>49</v>
      </c>
      <c r="H114" s="106">
        <v>42056</v>
      </c>
      <c r="I114" s="10" t="s">
        <v>48</v>
      </c>
    </row>
    <row r="115" spans="1:9" x14ac:dyDescent="0.2">
      <c r="A115" s="10" t="s">
        <v>579</v>
      </c>
      <c r="B115" s="105">
        <v>5</v>
      </c>
      <c r="C115" s="10">
        <v>0</v>
      </c>
      <c r="D115" s="10">
        <v>1</v>
      </c>
      <c r="E115" s="10">
        <v>0</v>
      </c>
      <c r="F115" s="106">
        <v>42045</v>
      </c>
      <c r="G115" s="1" t="s">
        <v>55</v>
      </c>
      <c r="H115" s="106">
        <v>42059</v>
      </c>
      <c r="I115" s="10" t="s">
        <v>50</v>
      </c>
    </row>
    <row r="116" spans="1:9" x14ac:dyDescent="0.2">
      <c r="A116" s="10" t="s">
        <v>580</v>
      </c>
      <c r="B116" s="105">
        <v>12</v>
      </c>
      <c r="C116" s="10">
        <v>0</v>
      </c>
      <c r="D116" s="10">
        <v>1</v>
      </c>
      <c r="E116" s="10">
        <v>0</v>
      </c>
      <c r="F116" s="106">
        <v>42045</v>
      </c>
      <c r="G116" s="1" t="s">
        <v>55</v>
      </c>
      <c r="H116" s="106">
        <v>42058</v>
      </c>
      <c r="I116" s="10" t="s">
        <v>50</v>
      </c>
    </row>
    <row r="117" spans="1:9" x14ac:dyDescent="0.2">
      <c r="A117" s="10" t="s">
        <v>96</v>
      </c>
      <c r="B117" s="105">
        <v>20.13</v>
      </c>
      <c r="C117" s="10">
        <v>0</v>
      </c>
      <c r="D117" s="10">
        <v>1</v>
      </c>
      <c r="E117" s="10">
        <v>0</v>
      </c>
      <c r="F117" s="106">
        <v>42045</v>
      </c>
      <c r="G117" s="1" t="s">
        <v>55</v>
      </c>
      <c r="H117" s="106">
        <v>42059</v>
      </c>
      <c r="I117" s="10" t="s">
        <v>50</v>
      </c>
    </row>
    <row r="118" spans="1:9" x14ac:dyDescent="0.2">
      <c r="A118" s="10" t="s">
        <v>96</v>
      </c>
      <c r="B118" s="105">
        <v>29.58</v>
      </c>
      <c r="C118" s="10">
        <v>0</v>
      </c>
      <c r="D118" s="10">
        <v>1</v>
      </c>
      <c r="E118" s="10">
        <v>0</v>
      </c>
      <c r="F118" s="106">
        <v>42045</v>
      </c>
      <c r="G118" s="1" t="s">
        <v>55</v>
      </c>
      <c r="H118" s="106">
        <v>42060</v>
      </c>
      <c r="I118" s="10" t="s">
        <v>50</v>
      </c>
    </row>
    <row r="119" spans="1:9" x14ac:dyDescent="0.2">
      <c r="A119" s="10" t="s">
        <v>96</v>
      </c>
      <c r="B119" s="105">
        <v>24.9</v>
      </c>
      <c r="C119" s="10">
        <v>0</v>
      </c>
      <c r="D119" s="10">
        <v>1</v>
      </c>
      <c r="E119" s="10">
        <v>0</v>
      </c>
      <c r="F119" s="106">
        <v>42045</v>
      </c>
      <c r="G119" s="1" t="s">
        <v>55</v>
      </c>
      <c r="H119" s="106">
        <v>42061</v>
      </c>
      <c r="I119" s="10" t="s">
        <v>50</v>
      </c>
    </row>
    <row r="120" spans="1:9" x14ac:dyDescent="0.2">
      <c r="A120" s="10" t="s">
        <v>583</v>
      </c>
      <c r="B120" s="107">
        <v>88.02</v>
      </c>
      <c r="C120" s="10">
        <v>0</v>
      </c>
      <c r="D120" s="10">
        <v>1</v>
      </c>
      <c r="E120" s="10">
        <v>0</v>
      </c>
      <c r="F120" s="106">
        <v>42045</v>
      </c>
      <c r="G120" s="1" t="s">
        <v>55</v>
      </c>
      <c r="H120" s="106">
        <v>42061</v>
      </c>
      <c r="I120" s="10" t="s">
        <v>206</v>
      </c>
    </row>
    <row r="121" spans="1:9" x14ac:dyDescent="0.2">
      <c r="A121" s="10" t="s">
        <v>43</v>
      </c>
      <c r="B121" s="105">
        <v>30</v>
      </c>
      <c r="C121" s="10">
        <v>1</v>
      </c>
      <c r="D121" s="10">
        <v>0</v>
      </c>
      <c r="E121" s="10">
        <v>0</v>
      </c>
      <c r="F121" s="106">
        <v>42045</v>
      </c>
      <c r="G121" s="1" t="s">
        <v>49</v>
      </c>
      <c r="H121" s="106">
        <v>42061</v>
      </c>
      <c r="I121" s="10" t="s">
        <v>340</v>
      </c>
    </row>
    <row r="122" spans="1:9" x14ac:dyDescent="0.2">
      <c r="A122" s="10" t="s">
        <v>96</v>
      </c>
      <c r="B122" s="105">
        <v>43.45</v>
      </c>
      <c r="C122" s="10">
        <v>0</v>
      </c>
      <c r="D122" s="10">
        <v>1</v>
      </c>
      <c r="E122" s="10">
        <v>0</v>
      </c>
      <c r="F122" s="106">
        <v>42045</v>
      </c>
      <c r="G122" s="1" t="s">
        <v>49</v>
      </c>
      <c r="H122" s="106">
        <v>42062</v>
      </c>
      <c r="I122" s="10" t="s">
        <v>50</v>
      </c>
    </row>
    <row r="123" spans="1:9" x14ac:dyDescent="0.2">
      <c r="A123" s="10" t="s">
        <v>581</v>
      </c>
      <c r="B123" s="105">
        <v>7</v>
      </c>
      <c r="C123" s="10">
        <v>0</v>
      </c>
      <c r="D123" s="10">
        <v>1</v>
      </c>
      <c r="E123" s="10">
        <v>0</v>
      </c>
      <c r="F123" s="106">
        <v>42045</v>
      </c>
      <c r="G123" s="1" t="s">
        <v>49</v>
      </c>
      <c r="H123" s="106">
        <v>42062</v>
      </c>
      <c r="I123" s="10" t="s">
        <v>50</v>
      </c>
    </row>
    <row r="124" spans="1:9" x14ac:dyDescent="0.2">
      <c r="A124" s="10" t="s">
        <v>582</v>
      </c>
      <c r="B124" s="107">
        <v>92</v>
      </c>
      <c r="C124" s="10">
        <v>0</v>
      </c>
      <c r="D124" s="10">
        <v>1</v>
      </c>
      <c r="E124" s="10">
        <v>0</v>
      </c>
      <c r="F124" s="106">
        <v>42045</v>
      </c>
      <c r="G124" s="1" t="s">
        <v>49</v>
      </c>
      <c r="H124" s="106">
        <v>42063</v>
      </c>
      <c r="I124" s="10" t="s">
        <v>206</v>
      </c>
    </row>
    <row r="125" spans="1:9" x14ac:dyDescent="0.2">
      <c r="A125" s="10" t="s">
        <v>44</v>
      </c>
      <c r="B125" s="105">
        <v>100</v>
      </c>
      <c r="C125" s="10">
        <v>1</v>
      </c>
      <c r="D125" s="10">
        <v>0</v>
      </c>
      <c r="E125" s="10">
        <v>0</v>
      </c>
      <c r="F125" s="106">
        <v>42045</v>
      </c>
      <c r="G125" s="1" t="s">
        <v>49</v>
      </c>
      <c r="H125" s="106">
        <v>42062</v>
      </c>
      <c r="I125" s="10" t="s">
        <v>60</v>
      </c>
    </row>
    <row r="126" spans="1:9" x14ac:dyDescent="0.2">
      <c r="A126" s="10" t="s">
        <v>43</v>
      </c>
      <c r="B126" s="105">
        <v>30</v>
      </c>
      <c r="C126" s="10">
        <v>1</v>
      </c>
      <c r="D126" s="10">
        <v>0</v>
      </c>
      <c r="E126" s="10">
        <v>0</v>
      </c>
      <c r="F126" s="106">
        <v>42045</v>
      </c>
      <c r="G126" s="1" t="s">
        <v>49</v>
      </c>
      <c r="H126" s="106">
        <v>42063</v>
      </c>
      <c r="I126" s="10" t="s">
        <v>340</v>
      </c>
    </row>
    <row r="127" spans="1:9" x14ac:dyDescent="0.2">
      <c r="A127" s="10" t="s">
        <v>581</v>
      </c>
      <c r="B127" s="105">
        <v>6.5</v>
      </c>
      <c r="C127" s="10">
        <v>0</v>
      </c>
      <c r="D127" s="10">
        <v>1</v>
      </c>
      <c r="E127" s="10">
        <v>0</v>
      </c>
      <c r="F127" s="106">
        <v>42045</v>
      </c>
      <c r="G127" s="1" t="s">
        <v>49</v>
      </c>
      <c r="H127" s="106">
        <v>42062</v>
      </c>
      <c r="I127" s="10" t="s">
        <v>50</v>
      </c>
    </row>
    <row r="128" spans="1:9" x14ac:dyDescent="0.2">
      <c r="A128" s="10" t="s">
        <v>96</v>
      </c>
      <c r="B128" s="105">
        <v>21.9</v>
      </c>
      <c r="C128" s="10">
        <v>0</v>
      </c>
      <c r="D128" s="10">
        <v>1</v>
      </c>
      <c r="E128" s="10">
        <v>0</v>
      </c>
      <c r="F128" s="106">
        <v>42045</v>
      </c>
      <c r="G128" s="1" t="s">
        <v>47</v>
      </c>
      <c r="H128" s="106">
        <v>42066</v>
      </c>
      <c r="I128" s="10" t="s">
        <v>50</v>
      </c>
    </row>
    <row r="129" spans="1:9" x14ac:dyDescent="0.2">
      <c r="A129" s="10" t="s">
        <v>96</v>
      </c>
      <c r="B129" s="105">
        <v>19</v>
      </c>
      <c r="C129" s="10">
        <v>0</v>
      </c>
      <c r="D129" s="10">
        <v>1</v>
      </c>
      <c r="E129" s="10">
        <v>0</v>
      </c>
      <c r="F129" s="106">
        <v>42045</v>
      </c>
      <c r="G129" s="1" t="s">
        <v>47</v>
      </c>
      <c r="H129" s="106">
        <v>42067</v>
      </c>
      <c r="I129" s="10" t="s">
        <v>50</v>
      </c>
    </row>
    <row r="130" spans="1:9" x14ac:dyDescent="0.2">
      <c r="A130" s="10" t="s">
        <v>96</v>
      </c>
      <c r="B130" s="105">
        <v>18</v>
      </c>
      <c r="C130" s="10">
        <v>0</v>
      </c>
      <c r="D130" s="10">
        <v>1</v>
      </c>
      <c r="E130" s="10">
        <v>0</v>
      </c>
      <c r="F130" s="106">
        <v>42045</v>
      </c>
      <c r="G130" s="1" t="s">
        <v>47</v>
      </c>
      <c r="H130" s="106">
        <v>42065</v>
      </c>
      <c r="I130" s="10" t="s">
        <v>50</v>
      </c>
    </row>
    <row r="131" spans="1:9" x14ac:dyDescent="0.2">
      <c r="A131" s="10" t="s">
        <v>587</v>
      </c>
      <c r="B131" s="105">
        <v>21.7</v>
      </c>
      <c r="C131" s="10">
        <v>0</v>
      </c>
      <c r="D131" s="10">
        <v>1</v>
      </c>
      <c r="E131" s="10">
        <v>0</v>
      </c>
      <c r="F131" s="106">
        <v>42045</v>
      </c>
      <c r="G131" s="1" t="s">
        <v>47</v>
      </c>
      <c r="H131" s="106">
        <v>42065</v>
      </c>
      <c r="I131" s="10" t="s">
        <v>189</v>
      </c>
    </row>
    <row r="132" spans="1:9" x14ac:dyDescent="0.2">
      <c r="A132" s="10" t="s">
        <v>586</v>
      </c>
      <c r="B132" s="105">
        <v>39.520000000000003</v>
      </c>
      <c r="C132" s="10">
        <v>0</v>
      </c>
      <c r="D132" s="10">
        <v>1</v>
      </c>
      <c r="E132" s="10">
        <v>0</v>
      </c>
      <c r="F132" s="106">
        <v>42045</v>
      </c>
      <c r="G132" s="1" t="s">
        <v>47</v>
      </c>
      <c r="H132" s="106">
        <v>42067</v>
      </c>
      <c r="I132" s="10" t="s">
        <v>52</v>
      </c>
    </row>
    <row r="133" spans="1:9" x14ac:dyDescent="0.2">
      <c r="A133" s="10" t="s">
        <v>585</v>
      </c>
      <c r="B133" s="105">
        <v>13.5</v>
      </c>
      <c r="C133" s="10">
        <v>0</v>
      </c>
      <c r="D133" s="10">
        <v>1</v>
      </c>
      <c r="E133" s="10">
        <v>0</v>
      </c>
      <c r="F133" s="106">
        <v>42045</v>
      </c>
      <c r="G133" s="1" t="s">
        <v>47</v>
      </c>
      <c r="H133" s="106">
        <v>42066</v>
      </c>
      <c r="I133" s="10" t="s">
        <v>50</v>
      </c>
    </row>
    <row r="134" spans="1:9" x14ac:dyDescent="0.2">
      <c r="A134" s="10" t="s">
        <v>374</v>
      </c>
      <c r="B134" s="105">
        <v>2.5</v>
      </c>
      <c r="C134" s="10">
        <v>0</v>
      </c>
      <c r="D134" s="10">
        <v>1</v>
      </c>
      <c r="E134" s="10">
        <v>0</v>
      </c>
      <c r="F134" s="106">
        <v>42045</v>
      </c>
      <c r="G134" s="1" t="s">
        <v>47</v>
      </c>
      <c r="H134" s="106">
        <v>42067</v>
      </c>
      <c r="I134" s="10" t="s">
        <v>50</v>
      </c>
    </row>
    <row r="135" spans="1:9" x14ac:dyDescent="0.2">
      <c r="A135" s="10" t="s">
        <v>182</v>
      </c>
      <c r="B135" s="105">
        <v>9</v>
      </c>
      <c r="C135" s="10">
        <v>0</v>
      </c>
      <c r="D135" s="10">
        <v>1</v>
      </c>
      <c r="E135" s="10">
        <v>0</v>
      </c>
      <c r="F135" s="106">
        <v>42045</v>
      </c>
      <c r="G135" s="1" t="s">
        <v>47</v>
      </c>
      <c r="H135" s="106">
        <v>42067</v>
      </c>
      <c r="I135" s="10" t="s">
        <v>224</v>
      </c>
    </row>
    <row r="136" spans="1:9" x14ac:dyDescent="0.2">
      <c r="A136" s="10" t="s">
        <v>96</v>
      </c>
      <c r="B136" s="105">
        <v>22.5</v>
      </c>
      <c r="C136" s="10">
        <v>0</v>
      </c>
      <c r="D136" s="10">
        <v>1</v>
      </c>
      <c r="E136" s="10">
        <v>0</v>
      </c>
      <c r="F136" s="106">
        <v>42045</v>
      </c>
      <c r="G136" s="1" t="s">
        <v>47</v>
      </c>
      <c r="H136" s="106">
        <v>42069</v>
      </c>
      <c r="I136" s="10" t="s">
        <v>50</v>
      </c>
    </row>
    <row r="137" spans="1:9" x14ac:dyDescent="0.2">
      <c r="A137" s="10" t="s">
        <v>374</v>
      </c>
      <c r="B137" s="105">
        <v>3.9</v>
      </c>
      <c r="C137" s="10">
        <v>0</v>
      </c>
      <c r="D137" s="10">
        <v>1</v>
      </c>
      <c r="E137" s="10">
        <v>0</v>
      </c>
      <c r="F137" s="106">
        <v>42045</v>
      </c>
      <c r="G137" s="1" t="s">
        <v>47</v>
      </c>
      <c r="H137" s="106">
        <v>42069</v>
      </c>
      <c r="I137" s="10" t="s">
        <v>50</v>
      </c>
    </row>
    <row r="138" spans="1:9" x14ac:dyDescent="0.2">
      <c r="A138" s="10" t="s">
        <v>590</v>
      </c>
      <c r="B138" s="105">
        <v>7.9</v>
      </c>
      <c r="C138" s="10">
        <v>0</v>
      </c>
      <c r="D138" s="10">
        <v>1</v>
      </c>
      <c r="E138" s="10">
        <v>0</v>
      </c>
      <c r="F138" s="106">
        <v>42045</v>
      </c>
      <c r="G138" s="1" t="s">
        <v>49</v>
      </c>
      <c r="H138" s="106">
        <v>42070</v>
      </c>
      <c r="I138" s="10" t="s">
        <v>344</v>
      </c>
    </row>
    <row r="139" spans="1:9" x14ac:dyDescent="0.2">
      <c r="A139" s="10" t="s">
        <v>588</v>
      </c>
      <c r="B139" s="105">
        <v>5.98</v>
      </c>
      <c r="C139" s="10">
        <v>0</v>
      </c>
      <c r="D139" s="10">
        <v>1</v>
      </c>
      <c r="E139" s="10">
        <v>0</v>
      </c>
      <c r="F139" s="106">
        <v>42045</v>
      </c>
      <c r="G139" s="1" t="s">
        <v>49</v>
      </c>
      <c r="H139" s="106">
        <v>42070</v>
      </c>
      <c r="I139" s="10" t="s">
        <v>50</v>
      </c>
    </row>
    <row r="140" spans="1:9" x14ac:dyDescent="0.2">
      <c r="A140" s="10" t="s">
        <v>589</v>
      </c>
      <c r="B140" s="105">
        <v>15.12</v>
      </c>
      <c r="C140" s="10">
        <v>0</v>
      </c>
      <c r="D140" s="10">
        <v>1</v>
      </c>
      <c r="E140" s="10">
        <v>0</v>
      </c>
      <c r="F140" s="106">
        <v>42045</v>
      </c>
      <c r="G140" s="1" t="s">
        <v>49</v>
      </c>
      <c r="H140" s="106">
        <v>42070</v>
      </c>
      <c r="I140" s="10" t="s">
        <v>52</v>
      </c>
    </row>
    <row r="141" spans="1:9" x14ac:dyDescent="0.2">
      <c r="A141" s="10" t="s">
        <v>48</v>
      </c>
      <c r="B141" s="105">
        <v>25</v>
      </c>
      <c r="C141" s="10">
        <v>0</v>
      </c>
      <c r="D141" s="10">
        <v>1</v>
      </c>
      <c r="E141" s="10">
        <v>0</v>
      </c>
      <c r="F141" s="106">
        <v>42045</v>
      </c>
      <c r="G141" s="1" t="s">
        <v>49</v>
      </c>
      <c r="H141" s="106">
        <v>42070</v>
      </c>
      <c r="I141" s="10" t="s">
        <v>48</v>
      </c>
    </row>
    <row r="142" spans="1:9" x14ac:dyDescent="0.2">
      <c r="A142" s="10" t="s">
        <v>116</v>
      </c>
      <c r="B142" s="105">
        <v>15</v>
      </c>
      <c r="C142" s="10">
        <v>0</v>
      </c>
      <c r="D142" s="10">
        <v>1</v>
      </c>
      <c r="E142" s="10">
        <v>0</v>
      </c>
      <c r="F142" s="106">
        <v>42045</v>
      </c>
      <c r="G142" s="1" t="s">
        <v>49</v>
      </c>
      <c r="H142" s="106">
        <v>42070</v>
      </c>
      <c r="I142" s="10" t="s">
        <v>344</v>
      </c>
    </row>
    <row r="143" spans="1:9" x14ac:dyDescent="0.2">
      <c r="A143" s="10" t="s">
        <v>107</v>
      </c>
      <c r="B143" s="105">
        <v>26.38</v>
      </c>
      <c r="C143" s="10">
        <v>0</v>
      </c>
      <c r="D143" s="10">
        <v>1</v>
      </c>
      <c r="E143" s="10">
        <v>0</v>
      </c>
      <c r="F143" s="106">
        <v>42045</v>
      </c>
      <c r="G143" s="1" t="s">
        <v>47</v>
      </c>
      <c r="H143" s="106">
        <v>42068</v>
      </c>
      <c r="I143" s="10" t="s">
        <v>344</v>
      </c>
    </row>
    <row r="144" spans="1:9" x14ac:dyDescent="0.2">
      <c r="A144" s="10" t="s">
        <v>96</v>
      </c>
      <c r="B144" s="105">
        <v>16.61</v>
      </c>
      <c r="C144" s="10">
        <v>0</v>
      </c>
      <c r="D144" s="10">
        <v>1</v>
      </c>
      <c r="E144" s="10">
        <v>0</v>
      </c>
      <c r="F144" s="106">
        <v>42045</v>
      </c>
      <c r="G144" s="1" t="s">
        <v>47</v>
      </c>
      <c r="H144" s="106">
        <v>42068</v>
      </c>
      <c r="I144" s="10" t="s">
        <v>50</v>
      </c>
    </row>
    <row r="145" spans="1:9" x14ac:dyDescent="0.2">
      <c r="A145" s="10" t="s">
        <v>618</v>
      </c>
      <c r="B145" s="105">
        <v>26</v>
      </c>
      <c r="C145" s="10">
        <v>0</v>
      </c>
      <c r="D145" s="10">
        <v>1</v>
      </c>
      <c r="E145" s="10">
        <v>0</v>
      </c>
      <c r="F145" s="106">
        <v>42045</v>
      </c>
      <c r="G145" s="1" t="s">
        <v>49</v>
      </c>
      <c r="H145" s="106">
        <v>42071</v>
      </c>
      <c r="I145" s="10" t="s">
        <v>618</v>
      </c>
    </row>
    <row r="146" spans="1:9" x14ac:dyDescent="0.2">
      <c r="A146" s="10" t="s">
        <v>591</v>
      </c>
      <c r="B146" s="105">
        <v>22.07</v>
      </c>
      <c r="C146" s="10">
        <v>0</v>
      </c>
      <c r="D146" s="10">
        <v>1</v>
      </c>
      <c r="E146" s="10">
        <v>0</v>
      </c>
      <c r="F146" s="106">
        <v>42045</v>
      </c>
      <c r="G146" s="1" t="s">
        <v>49</v>
      </c>
      <c r="H146" s="106">
        <v>42071</v>
      </c>
      <c r="I146" s="10" t="s">
        <v>189</v>
      </c>
    </row>
    <row r="147" spans="1:9" x14ac:dyDescent="0.2">
      <c r="A147" s="10" t="s">
        <v>46</v>
      </c>
      <c r="B147" s="105">
        <v>35</v>
      </c>
      <c r="C147" s="10">
        <v>0</v>
      </c>
      <c r="D147" s="10">
        <v>1</v>
      </c>
      <c r="E147" s="10">
        <v>0</v>
      </c>
      <c r="F147" s="106">
        <v>42045</v>
      </c>
      <c r="G147" s="1" t="s">
        <v>49</v>
      </c>
      <c r="H147" s="106">
        <v>42071</v>
      </c>
      <c r="I147" s="10" t="s">
        <v>344</v>
      </c>
    </row>
    <row r="148" spans="1:9" x14ac:dyDescent="0.2">
      <c r="A148" s="27" t="s">
        <v>21</v>
      </c>
      <c r="B148" s="85">
        <f>SUMIFS(credito!$B$2:$B$200,credito!$F$2:$F$200,F148,credito!$G$2:$G$200,0)</f>
        <v>0</v>
      </c>
      <c r="C148" s="27">
        <v>1</v>
      </c>
      <c r="D148" s="27">
        <v>0</v>
      </c>
      <c r="E148" s="27">
        <v>0</v>
      </c>
      <c r="F148" s="84">
        <v>42073</v>
      </c>
      <c r="G148" s="27" t="s">
        <v>51</v>
      </c>
      <c r="H148" s="84">
        <v>42080</v>
      </c>
      <c r="I148" s="27" t="s">
        <v>338</v>
      </c>
    </row>
    <row r="149" spans="1:9" x14ac:dyDescent="0.2">
      <c r="A149" t="s">
        <v>39</v>
      </c>
      <c r="B149" s="32">
        <v>45</v>
      </c>
      <c r="C149">
        <v>1</v>
      </c>
      <c r="D149">
        <v>0</v>
      </c>
      <c r="E149">
        <v>0</v>
      </c>
      <c r="F149" s="88">
        <v>42073</v>
      </c>
      <c r="G149" t="s">
        <v>51</v>
      </c>
      <c r="H149" s="72">
        <v>42098</v>
      </c>
      <c r="I149" t="s">
        <v>345</v>
      </c>
    </row>
    <row r="150" spans="1:9" x14ac:dyDescent="0.2">
      <c r="A150" t="s">
        <v>40</v>
      </c>
      <c r="B150" s="32">
        <v>4.99</v>
      </c>
      <c r="C150">
        <v>1</v>
      </c>
      <c r="D150">
        <v>0</v>
      </c>
      <c r="E150">
        <v>0</v>
      </c>
      <c r="F150" s="88">
        <v>42073</v>
      </c>
      <c r="G150" t="s">
        <v>51</v>
      </c>
      <c r="H150" s="72">
        <v>42073</v>
      </c>
      <c r="I150" t="s">
        <v>345</v>
      </c>
    </row>
    <row r="151" spans="1:9" x14ac:dyDescent="0.2">
      <c r="A151" t="s">
        <v>2</v>
      </c>
      <c r="B151" s="32">
        <v>50</v>
      </c>
      <c r="C151">
        <v>1</v>
      </c>
      <c r="D151">
        <v>0</v>
      </c>
      <c r="E151">
        <v>0</v>
      </c>
      <c r="F151" s="88">
        <v>42073</v>
      </c>
      <c r="G151" t="s">
        <v>51</v>
      </c>
      <c r="H151" s="72">
        <v>42073</v>
      </c>
      <c r="I151" t="s">
        <v>349</v>
      </c>
    </row>
    <row r="152" spans="1:9" x14ac:dyDescent="0.2">
      <c r="A152" t="s">
        <v>38</v>
      </c>
      <c r="B152" s="32">
        <v>57</v>
      </c>
      <c r="C152">
        <v>1</v>
      </c>
      <c r="D152">
        <v>0</v>
      </c>
      <c r="E152">
        <v>0</v>
      </c>
      <c r="F152" s="88">
        <v>42073</v>
      </c>
      <c r="G152" t="s">
        <v>51</v>
      </c>
      <c r="H152" s="72">
        <v>42073</v>
      </c>
      <c r="I152" t="s">
        <v>345</v>
      </c>
    </row>
    <row r="153" spans="1:9" x14ac:dyDescent="0.2">
      <c r="A153" t="s">
        <v>202</v>
      </c>
      <c r="B153" s="32">
        <v>40.78</v>
      </c>
      <c r="C153">
        <v>1</v>
      </c>
      <c r="D153">
        <v>0</v>
      </c>
      <c r="E153">
        <v>0</v>
      </c>
      <c r="F153" s="88">
        <v>42073</v>
      </c>
      <c r="G153" t="s">
        <v>51</v>
      </c>
      <c r="H153" s="72">
        <v>42073</v>
      </c>
      <c r="I153" t="s">
        <v>345</v>
      </c>
    </row>
    <row r="154" spans="1:9" x14ac:dyDescent="0.2">
      <c r="A154" t="s">
        <v>0</v>
      </c>
      <c r="B154" s="32">
        <v>155.55000000000001</v>
      </c>
      <c r="C154">
        <v>1</v>
      </c>
      <c r="D154">
        <v>0</v>
      </c>
      <c r="E154">
        <v>0</v>
      </c>
      <c r="F154" s="88">
        <v>42073</v>
      </c>
      <c r="G154" t="s">
        <v>51</v>
      </c>
      <c r="H154" s="72">
        <v>42073</v>
      </c>
      <c r="I154" t="s">
        <v>346</v>
      </c>
    </row>
    <row r="155" spans="1:9" x14ac:dyDescent="0.2">
      <c r="A155" t="s">
        <v>3</v>
      </c>
      <c r="B155" s="32">
        <v>0</v>
      </c>
      <c r="C155">
        <v>1</v>
      </c>
      <c r="D155">
        <v>0</v>
      </c>
      <c r="E155">
        <v>1</v>
      </c>
      <c r="F155" s="88">
        <v>42073</v>
      </c>
      <c r="G155" t="s">
        <v>51</v>
      </c>
      <c r="H155" s="72">
        <v>42073</v>
      </c>
      <c r="I155" t="s">
        <v>346</v>
      </c>
    </row>
    <row r="156" spans="1:9" x14ac:dyDescent="0.2">
      <c r="A156" t="s">
        <v>1</v>
      </c>
      <c r="B156">
        <v>242.39</v>
      </c>
      <c r="C156">
        <v>1</v>
      </c>
      <c r="D156">
        <v>0</v>
      </c>
      <c r="E156">
        <v>0</v>
      </c>
      <c r="F156" s="88">
        <v>42073</v>
      </c>
      <c r="G156" t="s">
        <v>51</v>
      </c>
      <c r="H156" s="72">
        <v>42073</v>
      </c>
      <c r="I156" t="s">
        <v>346</v>
      </c>
    </row>
    <row r="157" spans="1:9" x14ac:dyDescent="0.2">
      <c r="A157" t="s">
        <v>156</v>
      </c>
      <c r="B157" s="32">
        <v>0</v>
      </c>
      <c r="C157">
        <v>1</v>
      </c>
      <c r="D157">
        <v>0</v>
      </c>
      <c r="E157">
        <v>1</v>
      </c>
      <c r="F157" s="88">
        <v>42073</v>
      </c>
      <c r="G157" t="s">
        <v>51</v>
      </c>
      <c r="H157" s="72">
        <v>42073</v>
      </c>
      <c r="I157" t="s">
        <v>346</v>
      </c>
    </row>
    <row r="158" spans="1:9" x14ac:dyDescent="0.2">
      <c r="A158" t="s">
        <v>26</v>
      </c>
      <c r="B158" s="32">
        <v>501.76</v>
      </c>
      <c r="C158">
        <v>1</v>
      </c>
      <c r="D158">
        <v>0</v>
      </c>
      <c r="E158">
        <v>0</v>
      </c>
      <c r="F158" s="88">
        <v>42073</v>
      </c>
      <c r="G158" t="s">
        <v>51</v>
      </c>
      <c r="H158" s="72">
        <v>42073</v>
      </c>
      <c r="I158" t="s">
        <v>345</v>
      </c>
    </row>
    <row r="159" spans="1:9" x14ac:dyDescent="0.2">
      <c r="A159" t="s">
        <v>28</v>
      </c>
      <c r="B159" s="32">
        <v>38.5</v>
      </c>
      <c r="C159">
        <v>1</v>
      </c>
      <c r="D159">
        <v>0</v>
      </c>
      <c r="E159">
        <v>0</v>
      </c>
      <c r="F159" s="88">
        <v>42073</v>
      </c>
      <c r="G159" t="s">
        <v>51</v>
      </c>
      <c r="H159" s="72">
        <v>42073</v>
      </c>
      <c r="I159" t="s">
        <v>345</v>
      </c>
    </row>
    <row r="160" spans="1:9" x14ac:dyDescent="0.2">
      <c r="A160" t="s">
        <v>27</v>
      </c>
      <c r="B160" s="32">
        <v>282.25</v>
      </c>
      <c r="C160">
        <v>1</v>
      </c>
      <c r="D160">
        <v>0</v>
      </c>
      <c r="E160">
        <v>0</v>
      </c>
      <c r="F160" s="88">
        <v>42073</v>
      </c>
      <c r="G160" t="s">
        <v>51</v>
      </c>
      <c r="H160" s="72">
        <v>42073</v>
      </c>
      <c r="I160" t="s">
        <v>345</v>
      </c>
    </row>
    <row r="161" spans="1:9" x14ac:dyDescent="0.2">
      <c r="A161" t="s">
        <v>12</v>
      </c>
      <c r="B161" s="32">
        <v>536.46</v>
      </c>
      <c r="C161">
        <v>1</v>
      </c>
      <c r="D161">
        <v>0</v>
      </c>
      <c r="E161">
        <v>0</v>
      </c>
      <c r="F161" s="88">
        <v>42073</v>
      </c>
      <c r="G161" t="s">
        <v>51</v>
      </c>
      <c r="H161" s="72">
        <v>42073</v>
      </c>
      <c r="I161" t="s">
        <v>348</v>
      </c>
    </row>
    <row r="162" spans="1:9" x14ac:dyDescent="0.2">
      <c r="A162" t="s">
        <v>25</v>
      </c>
      <c r="B162" s="32">
        <v>168.6</v>
      </c>
      <c r="C162">
        <v>1</v>
      </c>
      <c r="D162">
        <v>0</v>
      </c>
      <c r="E162">
        <v>0</v>
      </c>
      <c r="F162" s="88">
        <v>42073</v>
      </c>
      <c r="G162" t="s">
        <v>51</v>
      </c>
      <c r="H162" s="72">
        <v>42073</v>
      </c>
      <c r="I162" t="s">
        <v>347</v>
      </c>
    </row>
    <row r="163" spans="1:9" x14ac:dyDescent="0.2">
      <c r="A163" t="s">
        <v>198</v>
      </c>
      <c r="B163" s="32">
        <v>148.01</v>
      </c>
      <c r="C163">
        <v>1</v>
      </c>
      <c r="D163">
        <v>0</v>
      </c>
      <c r="E163">
        <v>0</v>
      </c>
      <c r="F163" s="88">
        <v>42073</v>
      </c>
      <c r="G163" t="s">
        <v>51</v>
      </c>
      <c r="H163" s="72">
        <v>42073</v>
      </c>
      <c r="I163" t="s">
        <v>347</v>
      </c>
    </row>
    <row r="164" spans="1:9" x14ac:dyDescent="0.2">
      <c r="A164" t="s">
        <v>199</v>
      </c>
      <c r="B164" s="32">
        <v>139.13</v>
      </c>
      <c r="C164">
        <v>1</v>
      </c>
      <c r="D164">
        <v>0</v>
      </c>
      <c r="E164">
        <v>0</v>
      </c>
      <c r="F164" s="88">
        <v>42073</v>
      </c>
      <c r="G164" t="s">
        <v>51</v>
      </c>
      <c r="H164" s="72">
        <v>42073</v>
      </c>
      <c r="I164" t="s">
        <v>347</v>
      </c>
    </row>
    <row r="165" spans="1:9" x14ac:dyDescent="0.2">
      <c r="A165" t="s">
        <v>200</v>
      </c>
      <c r="B165" s="32">
        <v>66.61</v>
      </c>
      <c r="C165">
        <v>1</v>
      </c>
      <c r="D165">
        <v>0</v>
      </c>
      <c r="E165">
        <v>0</v>
      </c>
      <c r="F165" s="88">
        <v>42073</v>
      </c>
      <c r="G165" t="s">
        <v>51</v>
      </c>
      <c r="H165" s="72">
        <v>42073</v>
      </c>
      <c r="I165" t="s">
        <v>347</v>
      </c>
    </row>
    <row r="166" spans="1:9" x14ac:dyDescent="0.2">
      <c r="A166" s="103" t="s">
        <v>44</v>
      </c>
      <c r="B166" s="104">
        <v>100</v>
      </c>
      <c r="C166">
        <v>1</v>
      </c>
      <c r="D166">
        <v>0</v>
      </c>
      <c r="E166">
        <v>0</v>
      </c>
      <c r="F166" s="88">
        <v>42073</v>
      </c>
      <c r="G166" t="s">
        <v>51</v>
      </c>
      <c r="H166" s="72">
        <v>42073</v>
      </c>
      <c r="I166" s="1" t="s">
        <v>60</v>
      </c>
    </row>
    <row r="167" spans="1:9" x14ac:dyDescent="0.2">
      <c r="A167" s="103" t="s">
        <v>29</v>
      </c>
      <c r="B167" s="104">
        <v>518</v>
      </c>
      <c r="C167">
        <v>1</v>
      </c>
      <c r="D167">
        <v>0</v>
      </c>
      <c r="E167">
        <v>0</v>
      </c>
      <c r="F167" s="88">
        <v>42073</v>
      </c>
      <c r="G167" t="s">
        <v>51</v>
      </c>
      <c r="H167" s="72">
        <v>42090</v>
      </c>
      <c r="I167" s="1" t="s">
        <v>346</v>
      </c>
    </row>
    <row r="168" spans="1:9" x14ac:dyDescent="0.2">
      <c r="A168" s="103" t="s">
        <v>584</v>
      </c>
      <c r="B168" s="104">
        <v>0</v>
      </c>
      <c r="C168">
        <v>1</v>
      </c>
      <c r="D168">
        <v>0</v>
      </c>
      <c r="E168">
        <v>1</v>
      </c>
      <c r="F168" s="88">
        <v>42073</v>
      </c>
      <c r="G168" t="s">
        <v>54</v>
      </c>
      <c r="H168" s="72">
        <v>42073</v>
      </c>
      <c r="I168" s="1" t="s">
        <v>346</v>
      </c>
    </row>
    <row r="169" spans="1:9" x14ac:dyDescent="0.2">
      <c r="A169" s="103" t="s">
        <v>660</v>
      </c>
      <c r="B169" s="104">
        <v>5.54</v>
      </c>
      <c r="C169">
        <v>0</v>
      </c>
      <c r="D169">
        <v>1</v>
      </c>
      <c r="E169">
        <v>0</v>
      </c>
      <c r="F169" s="88">
        <v>42073</v>
      </c>
      <c r="G169" t="s">
        <v>51</v>
      </c>
      <c r="H169" s="72">
        <v>42074</v>
      </c>
      <c r="I169" s="1" t="s">
        <v>50</v>
      </c>
    </row>
    <row r="170" spans="1:9" x14ac:dyDescent="0.2">
      <c r="A170" s="103" t="s">
        <v>644</v>
      </c>
      <c r="B170" s="104">
        <v>10</v>
      </c>
      <c r="C170">
        <v>0</v>
      </c>
      <c r="D170">
        <v>1</v>
      </c>
      <c r="E170">
        <v>0</v>
      </c>
      <c r="F170" s="88">
        <v>42073</v>
      </c>
      <c r="G170" t="s">
        <v>51</v>
      </c>
      <c r="H170" s="72">
        <v>42073</v>
      </c>
      <c r="I170" s="1" t="s">
        <v>50</v>
      </c>
    </row>
    <row r="171" spans="1:9" x14ac:dyDescent="0.2">
      <c r="A171" s="103" t="s">
        <v>96</v>
      </c>
      <c r="B171" s="104">
        <v>15.46</v>
      </c>
      <c r="C171">
        <v>0</v>
      </c>
      <c r="D171">
        <v>1</v>
      </c>
      <c r="E171">
        <v>0</v>
      </c>
      <c r="F171" s="88">
        <v>42073</v>
      </c>
      <c r="G171" t="s">
        <v>51</v>
      </c>
      <c r="H171" s="72">
        <v>42073</v>
      </c>
      <c r="I171" s="1" t="s">
        <v>50</v>
      </c>
    </row>
    <row r="172" spans="1:9" x14ac:dyDescent="0.2">
      <c r="A172" s="103" t="s">
        <v>96</v>
      </c>
      <c r="B172" s="104">
        <v>15.32</v>
      </c>
      <c r="C172">
        <v>0</v>
      </c>
      <c r="D172">
        <v>1</v>
      </c>
      <c r="E172">
        <v>0</v>
      </c>
      <c r="F172" s="88">
        <v>42073</v>
      </c>
      <c r="G172" t="s">
        <v>51</v>
      </c>
      <c r="H172" s="72">
        <v>42075</v>
      </c>
      <c r="I172" s="1" t="s">
        <v>50</v>
      </c>
    </row>
    <row r="173" spans="1:9" x14ac:dyDescent="0.2">
      <c r="A173" s="103" t="s">
        <v>625</v>
      </c>
      <c r="B173" s="104">
        <v>33.299999999999997</v>
      </c>
      <c r="C173">
        <v>0</v>
      </c>
      <c r="D173">
        <v>1</v>
      </c>
      <c r="E173">
        <v>0</v>
      </c>
      <c r="F173" s="88">
        <v>42073</v>
      </c>
      <c r="G173" t="s">
        <v>51</v>
      </c>
      <c r="H173" s="72">
        <v>42074</v>
      </c>
      <c r="I173" s="1" t="s">
        <v>344</v>
      </c>
    </row>
    <row r="174" spans="1:9" x14ac:dyDescent="0.2">
      <c r="A174" s="103" t="s">
        <v>374</v>
      </c>
      <c r="B174" s="104">
        <v>3</v>
      </c>
      <c r="C174">
        <v>0</v>
      </c>
      <c r="D174">
        <v>1</v>
      </c>
      <c r="E174">
        <v>0</v>
      </c>
      <c r="F174" s="88">
        <v>42073</v>
      </c>
      <c r="G174" t="s">
        <v>51</v>
      </c>
      <c r="H174" s="72">
        <v>42073</v>
      </c>
      <c r="I174" s="1" t="s">
        <v>50</v>
      </c>
    </row>
    <row r="175" spans="1:9" x14ac:dyDescent="0.2">
      <c r="A175" s="103" t="s">
        <v>502</v>
      </c>
      <c r="B175" s="104">
        <v>10</v>
      </c>
      <c r="C175">
        <v>0</v>
      </c>
      <c r="D175">
        <v>1</v>
      </c>
      <c r="E175">
        <v>0</v>
      </c>
      <c r="F175" s="88">
        <v>42073</v>
      </c>
      <c r="G175" t="s">
        <v>51</v>
      </c>
      <c r="H175" s="72">
        <v>42075</v>
      </c>
      <c r="I175" s="1" t="s">
        <v>50</v>
      </c>
    </row>
    <row r="176" spans="1:9" x14ac:dyDescent="0.2">
      <c r="A176" s="103" t="s">
        <v>53</v>
      </c>
      <c r="B176" s="104">
        <v>2</v>
      </c>
      <c r="C176">
        <v>0</v>
      </c>
      <c r="D176">
        <v>1</v>
      </c>
      <c r="E176">
        <v>0</v>
      </c>
      <c r="F176" s="88">
        <v>42073</v>
      </c>
      <c r="G176" t="s">
        <v>51</v>
      </c>
      <c r="H176" s="72">
        <v>42075</v>
      </c>
      <c r="I176" s="1" t="s">
        <v>50</v>
      </c>
    </row>
    <row r="177" spans="1:9" x14ac:dyDescent="0.2">
      <c r="A177" s="103" t="s">
        <v>374</v>
      </c>
      <c r="B177" s="104">
        <v>3</v>
      </c>
      <c r="C177">
        <v>0</v>
      </c>
      <c r="D177">
        <v>1</v>
      </c>
      <c r="E177">
        <v>0</v>
      </c>
      <c r="F177" s="88">
        <v>42073</v>
      </c>
      <c r="G177" t="s">
        <v>51</v>
      </c>
      <c r="H177" s="72">
        <v>42075</v>
      </c>
      <c r="I177" s="1" t="s">
        <v>50</v>
      </c>
    </row>
    <row r="178" spans="1:9" x14ac:dyDescent="0.2">
      <c r="A178" s="103" t="s">
        <v>112</v>
      </c>
      <c r="B178" s="104">
        <v>7</v>
      </c>
      <c r="C178">
        <v>0</v>
      </c>
      <c r="D178">
        <v>1</v>
      </c>
      <c r="E178">
        <v>0</v>
      </c>
      <c r="F178" s="88">
        <v>42073</v>
      </c>
      <c r="G178" t="s">
        <v>51</v>
      </c>
      <c r="H178" s="72">
        <v>42075</v>
      </c>
      <c r="I178" s="1" t="s">
        <v>50</v>
      </c>
    </row>
    <row r="179" spans="1:9" x14ac:dyDescent="0.2">
      <c r="A179" s="103" t="s">
        <v>53</v>
      </c>
      <c r="B179" s="104">
        <v>7</v>
      </c>
      <c r="C179">
        <v>0</v>
      </c>
      <c r="D179">
        <v>1</v>
      </c>
      <c r="E179">
        <v>0</v>
      </c>
      <c r="F179" s="88">
        <v>42073</v>
      </c>
      <c r="G179" t="s">
        <v>51</v>
      </c>
      <c r="H179" s="72">
        <v>42076</v>
      </c>
      <c r="I179" s="1" t="s">
        <v>50</v>
      </c>
    </row>
    <row r="180" spans="1:9" x14ac:dyDescent="0.2">
      <c r="A180" s="103" t="s">
        <v>96</v>
      </c>
      <c r="B180" s="104">
        <v>21.75</v>
      </c>
      <c r="C180">
        <v>0</v>
      </c>
      <c r="D180">
        <v>1</v>
      </c>
      <c r="E180">
        <v>0</v>
      </c>
      <c r="F180" s="88">
        <v>42073</v>
      </c>
      <c r="G180" t="s">
        <v>51</v>
      </c>
      <c r="H180" s="72">
        <v>42076</v>
      </c>
      <c r="I180" s="1" t="s">
        <v>50</v>
      </c>
    </row>
    <row r="181" spans="1:9" x14ac:dyDescent="0.2">
      <c r="A181" s="10" t="s">
        <v>536</v>
      </c>
      <c r="B181" s="104">
        <v>30</v>
      </c>
      <c r="C181">
        <v>0</v>
      </c>
      <c r="D181">
        <v>1</v>
      </c>
      <c r="E181">
        <v>0</v>
      </c>
      <c r="F181" s="88">
        <v>42073</v>
      </c>
      <c r="G181" t="s">
        <v>51</v>
      </c>
      <c r="H181" s="72">
        <v>42076</v>
      </c>
      <c r="I181" s="1" t="s">
        <v>344</v>
      </c>
    </row>
    <row r="182" spans="1:9" x14ac:dyDescent="0.2">
      <c r="A182" s="103" t="s">
        <v>43</v>
      </c>
      <c r="B182" s="104">
        <v>30</v>
      </c>
      <c r="C182">
        <v>1</v>
      </c>
      <c r="D182">
        <v>0</v>
      </c>
      <c r="E182">
        <v>0</v>
      </c>
      <c r="F182" s="88">
        <v>42073</v>
      </c>
      <c r="G182" t="s">
        <v>49</v>
      </c>
      <c r="H182" s="72">
        <v>42078</v>
      </c>
      <c r="I182" s="1" t="s">
        <v>340</v>
      </c>
    </row>
    <row r="183" spans="1:9" x14ac:dyDescent="0.2">
      <c r="A183" s="103" t="s">
        <v>43</v>
      </c>
      <c r="B183" s="104">
        <v>30</v>
      </c>
      <c r="C183">
        <v>1</v>
      </c>
      <c r="D183">
        <v>0</v>
      </c>
      <c r="E183">
        <v>0</v>
      </c>
      <c r="F183" s="88">
        <v>42073</v>
      </c>
      <c r="G183" t="s">
        <v>49</v>
      </c>
      <c r="H183" s="72">
        <v>42078</v>
      </c>
      <c r="I183" s="1" t="s">
        <v>340</v>
      </c>
    </row>
    <row r="184" spans="1:9" x14ac:dyDescent="0.2">
      <c r="A184" s="103" t="s">
        <v>645</v>
      </c>
      <c r="B184" s="104">
        <v>50</v>
      </c>
      <c r="C184">
        <v>0</v>
      </c>
      <c r="D184">
        <v>1</v>
      </c>
      <c r="E184">
        <v>0</v>
      </c>
      <c r="F184" s="88">
        <v>42073</v>
      </c>
      <c r="G184" t="s">
        <v>49</v>
      </c>
      <c r="H184" s="72">
        <v>42078</v>
      </c>
      <c r="I184" s="1" t="s">
        <v>344</v>
      </c>
    </row>
    <row r="185" spans="1:9" x14ac:dyDescent="0.2">
      <c r="A185" s="103" t="s">
        <v>43</v>
      </c>
      <c r="B185" s="104">
        <v>50</v>
      </c>
      <c r="C185">
        <v>1</v>
      </c>
      <c r="D185">
        <v>0</v>
      </c>
      <c r="E185">
        <v>0</v>
      </c>
      <c r="F185" s="88">
        <v>42073</v>
      </c>
      <c r="G185" t="s">
        <v>49</v>
      </c>
      <c r="H185" s="72">
        <v>42077</v>
      </c>
      <c r="I185" s="1" t="s">
        <v>340</v>
      </c>
    </row>
    <row r="186" spans="1:9" x14ac:dyDescent="0.2">
      <c r="A186" s="103" t="s">
        <v>52</v>
      </c>
      <c r="B186" s="104">
        <v>111.22</v>
      </c>
      <c r="C186">
        <v>0</v>
      </c>
      <c r="D186">
        <v>1</v>
      </c>
      <c r="E186">
        <v>0</v>
      </c>
      <c r="F186" s="88">
        <v>42073</v>
      </c>
      <c r="G186" t="s">
        <v>49</v>
      </c>
      <c r="H186" s="72">
        <v>42077</v>
      </c>
      <c r="I186" s="1" t="s">
        <v>52</v>
      </c>
    </row>
    <row r="187" spans="1:9" x14ac:dyDescent="0.2">
      <c r="A187" s="103" t="s">
        <v>646</v>
      </c>
      <c r="B187" s="104">
        <v>29.2</v>
      </c>
      <c r="C187">
        <v>0</v>
      </c>
      <c r="D187">
        <v>1</v>
      </c>
      <c r="E187">
        <v>0</v>
      </c>
      <c r="F187" s="88">
        <v>42073</v>
      </c>
      <c r="G187" t="s">
        <v>49</v>
      </c>
      <c r="H187" s="72">
        <v>42077</v>
      </c>
      <c r="I187" s="1" t="s">
        <v>206</v>
      </c>
    </row>
    <row r="188" spans="1:9" x14ac:dyDescent="0.2">
      <c r="A188" s="103" t="s">
        <v>647</v>
      </c>
      <c r="B188" s="104">
        <v>59.9</v>
      </c>
      <c r="C188">
        <v>0</v>
      </c>
      <c r="D188">
        <v>1</v>
      </c>
      <c r="E188">
        <v>0</v>
      </c>
      <c r="F188" s="88">
        <v>42073</v>
      </c>
      <c r="G188" t="s">
        <v>49</v>
      </c>
      <c r="H188" s="72">
        <v>42077</v>
      </c>
      <c r="I188" s="1" t="s">
        <v>344</v>
      </c>
    </row>
    <row r="189" spans="1:9" x14ac:dyDescent="0.2">
      <c r="A189" s="103" t="s">
        <v>52</v>
      </c>
      <c r="B189" s="104">
        <v>37.85</v>
      </c>
      <c r="C189">
        <v>0</v>
      </c>
      <c r="D189">
        <v>1</v>
      </c>
      <c r="E189">
        <v>0</v>
      </c>
      <c r="F189" s="88">
        <v>42073</v>
      </c>
      <c r="G189" t="s">
        <v>54</v>
      </c>
      <c r="H189" s="72">
        <v>42079</v>
      </c>
      <c r="I189" s="1" t="s">
        <v>52</v>
      </c>
    </row>
    <row r="190" spans="1:9" x14ac:dyDescent="0.2">
      <c r="A190" s="103" t="s">
        <v>52</v>
      </c>
      <c r="B190" s="104">
        <v>4.6500000000000004</v>
      </c>
      <c r="C190">
        <v>0</v>
      </c>
      <c r="D190">
        <v>1</v>
      </c>
      <c r="E190">
        <v>0</v>
      </c>
      <c r="F190" s="88">
        <v>42073</v>
      </c>
      <c r="G190" t="s">
        <v>54</v>
      </c>
      <c r="H190" s="72">
        <v>42079</v>
      </c>
      <c r="I190" s="1" t="s">
        <v>52</v>
      </c>
    </row>
    <row r="191" spans="1:9" x14ac:dyDescent="0.2">
      <c r="A191" s="103" t="s">
        <v>52</v>
      </c>
      <c r="B191" s="104">
        <v>33.89</v>
      </c>
      <c r="C191">
        <v>0</v>
      </c>
      <c r="D191">
        <v>1</v>
      </c>
      <c r="E191">
        <v>0</v>
      </c>
      <c r="F191" s="88">
        <v>42073</v>
      </c>
      <c r="G191" t="s">
        <v>54</v>
      </c>
      <c r="H191" s="72">
        <v>42082</v>
      </c>
      <c r="I191" s="1" t="s">
        <v>52</v>
      </c>
    </row>
    <row r="192" spans="1:9" x14ac:dyDescent="0.2">
      <c r="A192" s="103" t="s">
        <v>44</v>
      </c>
      <c r="B192" s="104">
        <v>100</v>
      </c>
      <c r="C192">
        <v>1</v>
      </c>
      <c r="D192">
        <v>0</v>
      </c>
      <c r="E192">
        <v>0</v>
      </c>
      <c r="F192" s="88">
        <v>42073</v>
      </c>
      <c r="G192" t="s">
        <v>54</v>
      </c>
      <c r="H192" s="72">
        <v>42082</v>
      </c>
      <c r="I192" s="1" t="s">
        <v>60</v>
      </c>
    </row>
    <row r="193" spans="1:9" x14ac:dyDescent="0.2">
      <c r="A193" s="103" t="s">
        <v>96</v>
      </c>
      <c r="B193" s="104">
        <v>34.78</v>
      </c>
      <c r="C193">
        <v>0</v>
      </c>
      <c r="D193">
        <v>1</v>
      </c>
      <c r="E193">
        <v>0</v>
      </c>
      <c r="F193" s="88">
        <v>42073</v>
      </c>
      <c r="G193" t="s">
        <v>54</v>
      </c>
      <c r="H193" s="88">
        <v>42080</v>
      </c>
      <c r="I193" s="1" t="s">
        <v>50</v>
      </c>
    </row>
    <row r="194" spans="1:9" x14ac:dyDescent="0.2">
      <c r="A194" s="103" t="s">
        <v>648</v>
      </c>
      <c r="B194" s="104">
        <v>26</v>
      </c>
      <c r="C194">
        <v>0</v>
      </c>
      <c r="D194">
        <v>1</v>
      </c>
      <c r="E194">
        <v>0</v>
      </c>
      <c r="F194" s="88">
        <v>42073</v>
      </c>
      <c r="G194" t="s">
        <v>54</v>
      </c>
      <c r="H194" s="72">
        <v>42082</v>
      </c>
      <c r="I194" s="1" t="s">
        <v>50</v>
      </c>
    </row>
    <row r="195" spans="1:9" x14ac:dyDescent="0.2">
      <c r="A195" s="103" t="s">
        <v>649</v>
      </c>
      <c r="B195" s="104">
        <v>18</v>
      </c>
      <c r="C195">
        <v>0</v>
      </c>
      <c r="D195">
        <v>1</v>
      </c>
      <c r="E195">
        <v>0</v>
      </c>
      <c r="F195" s="88">
        <v>42073</v>
      </c>
      <c r="G195" t="s">
        <v>54</v>
      </c>
      <c r="H195" s="72">
        <v>42080</v>
      </c>
      <c r="I195" s="1" t="s">
        <v>344</v>
      </c>
    </row>
    <row r="196" spans="1:9" x14ac:dyDescent="0.2">
      <c r="A196" s="103" t="s">
        <v>96</v>
      </c>
      <c r="B196" s="104">
        <v>17</v>
      </c>
      <c r="C196">
        <v>0</v>
      </c>
      <c r="D196">
        <v>1</v>
      </c>
      <c r="E196">
        <v>0</v>
      </c>
      <c r="F196" s="88">
        <v>42073</v>
      </c>
      <c r="G196" t="s">
        <v>54</v>
      </c>
      <c r="H196" s="72">
        <v>42079</v>
      </c>
      <c r="I196" s="1" t="s">
        <v>50</v>
      </c>
    </row>
    <row r="197" spans="1:9" x14ac:dyDescent="0.2">
      <c r="A197" s="103" t="s">
        <v>96</v>
      </c>
      <c r="B197" s="104">
        <v>9.9700000000000006</v>
      </c>
      <c r="C197">
        <v>0</v>
      </c>
      <c r="D197">
        <v>1</v>
      </c>
      <c r="E197">
        <v>0</v>
      </c>
      <c r="F197" s="88">
        <v>42073</v>
      </c>
      <c r="G197" t="s">
        <v>54</v>
      </c>
      <c r="H197" s="72">
        <v>42083</v>
      </c>
      <c r="I197" s="1" t="s">
        <v>50</v>
      </c>
    </row>
    <row r="198" spans="1:9" x14ac:dyDescent="0.2">
      <c r="A198" s="103" t="s">
        <v>650</v>
      </c>
      <c r="B198" s="104">
        <v>10.9</v>
      </c>
      <c r="C198">
        <v>0</v>
      </c>
      <c r="D198">
        <v>1</v>
      </c>
      <c r="E198">
        <v>0</v>
      </c>
      <c r="F198" s="88">
        <v>42073</v>
      </c>
      <c r="G198" t="s">
        <v>54</v>
      </c>
      <c r="H198" s="72">
        <v>42082</v>
      </c>
      <c r="I198" s="1" t="s">
        <v>50</v>
      </c>
    </row>
    <row r="199" spans="1:9" x14ac:dyDescent="0.2">
      <c r="A199" s="103" t="s">
        <v>651</v>
      </c>
      <c r="B199" s="104">
        <v>8.5</v>
      </c>
      <c r="C199">
        <v>0</v>
      </c>
      <c r="D199">
        <v>1</v>
      </c>
      <c r="E199">
        <v>0</v>
      </c>
      <c r="F199" s="88">
        <v>42073</v>
      </c>
      <c r="G199" t="s">
        <v>54</v>
      </c>
      <c r="H199" s="72">
        <v>42083</v>
      </c>
      <c r="I199" s="1" t="s">
        <v>50</v>
      </c>
    </row>
    <row r="200" spans="1:9" x14ac:dyDescent="0.2">
      <c r="A200" s="103" t="s">
        <v>44</v>
      </c>
      <c r="B200" s="104">
        <v>100</v>
      </c>
      <c r="C200">
        <v>1</v>
      </c>
      <c r="D200">
        <v>0</v>
      </c>
      <c r="E200">
        <v>0</v>
      </c>
      <c r="F200" s="88">
        <v>42073</v>
      </c>
      <c r="G200" t="s">
        <v>54</v>
      </c>
      <c r="H200" s="72">
        <v>42091</v>
      </c>
      <c r="I200" s="1" t="s">
        <v>60</v>
      </c>
    </row>
    <row r="201" spans="1:9" x14ac:dyDescent="0.2">
      <c r="A201" s="103" t="s">
        <v>661</v>
      </c>
      <c r="B201" s="104">
        <v>40</v>
      </c>
      <c r="C201">
        <v>0</v>
      </c>
      <c r="D201">
        <v>1</v>
      </c>
      <c r="E201">
        <v>0</v>
      </c>
      <c r="F201" s="88">
        <v>42073</v>
      </c>
      <c r="G201" t="s">
        <v>49</v>
      </c>
      <c r="H201" s="72">
        <v>42084</v>
      </c>
      <c r="I201" s="1" t="s">
        <v>344</v>
      </c>
    </row>
    <row r="202" spans="1:9" x14ac:dyDescent="0.2">
      <c r="A202" s="103" t="s">
        <v>662</v>
      </c>
      <c r="B202" s="104">
        <v>53</v>
      </c>
      <c r="C202">
        <v>0</v>
      </c>
      <c r="D202">
        <v>1</v>
      </c>
      <c r="E202">
        <v>0</v>
      </c>
      <c r="F202" s="88">
        <v>42073</v>
      </c>
      <c r="G202" t="s">
        <v>49</v>
      </c>
      <c r="H202" s="72">
        <v>42084</v>
      </c>
      <c r="I202" s="1" t="s">
        <v>344</v>
      </c>
    </row>
    <row r="203" spans="1:9" x14ac:dyDescent="0.2">
      <c r="A203" s="103" t="s">
        <v>52</v>
      </c>
      <c r="B203" s="104">
        <v>39.21</v>
      </c>
      <c r="C203">
        <v>0</v>
      </c>
      <c r="D203">
        <v>1</v>
      </c>
      <c r="E203">
        <v>0</v>
      </c>
      <c r="F203" s="88">
        <v>42073</v>
      </c>
      <c r="G203" t="s">
        <v>49</v>
      </c>
      <c r="H203" s="72">
        <v>42084</v>
      </c>
      <c r="I203" s="1" t="s">
        <v>52</v>
      </c>
    </row>
    <row r="204" spans="1:9" x14ac:dyDescent="0.2">
      <c r="A204" s="103" t="s">
        <v>663</v>
      </c>
      <c r="B204" s="104">
        <v>70</v>
      </c>
      <c r="C204">
        <v>1</v>
      </c>
      <c r="D204">
        <v>0</v>
      </c>
      <c r="E204">
        <v>0</v>
      </c>
      <c r="F204" s="88">
        <v>42073</v>
      </c>
      <c r="G204" t="s">
        <v>55</v>
      </c>
      <c r="H204" s="72">
        <v>42086</v>
      </c>
      <c r="I204" s="1" t="s">
        <v>344</v>
      </c>
    </row>
    <row r="205" spans="1:9" x14ac:dyDescent="0.2">
      <c r="A205" s="103" t="s">
        <v>713</v>
      </c>
      <c r="B205" s="104">
        <v>350</v>
      </c>
      <c r="C205">
        <v>1</v>
      </c>
      <c r="D205">
        <v>0</v>
      </c>
      <c r="E205">
        <v>0</v>
      </c>
      <c r="F205" s="88">
        <v>42073</v>
      </c>
      <c r="G205" t="s">
        <v>49</v>
      </c>
      <c r="H205" s="72">
        <v>42084</v>
      </c>
      <c r="I205" s="1" t="s">
        <v>153</v>
      </c>
    </row>
    <row r="206" spans="1:9" x14ac:dyDescent="0.2">
      <c r="A206" s="103" t="s">
        <v>48</v>
      </c>
      <c r="B206" s="104">
        <v>50</v>
      </c>
      <c r="C206">
        <v>0</v>
      </c>
      <c r="D206">
        <v>1</v>
      </c>
      <c r="E206">
        <v>0</v>
      </c>
      <c r="F206" s="88">
        <v>42073</v>
      </c>
      <c r="G206" t="s">
        <v>49</v>
      </c>
      <c r="H206" s="72">
        <v>42084</v>
      </c>
      <c r="I206" s="1" t="s">
        <v>48</v>
      </c>
    </row>
    <row r="207" spans="1:9" x14ac:dyDescent="0.2">
      <c r="A207" s="103" t="s">
        <v>189</v>
      </c>
      <c r="B207" s="104">
        <v>16.440000000000001</v>
      </c>
      <c r="C207">
        <v>0</v>
      </c>
      <c r="D207">
        <v>1</v>
      </c>
      <c r="E207">
        <v>0</v>
      </c>
      <c r="F207" s="88">
        <v>42073</v>
      </c>
      <c r="G207" t="s">
        <v>49</v>
      </c>
      <c r="H207" s="72">
        <v>42084</v>
      </c>
      <c r="I207" s="1" t="s">
        <v>189</v>
      </c>
    </row>
    <row r="208" spans="1:9" x14ac:dyDescent="0.2">
      <c r="A208" s="10" t="s">
        <v>490</v>
      </c>
      <c r="B208" s="105">
        <v>43.95</v>
      </c>
      <c r="C208" s="10">
        <v>0</v>
      </c>
      <c r="D208" s="10">
        <v>1</v>
      </c>
      <c r="E208" s="10">
        <v>0</v>
      </c>
      <c r="F208" s="106">
        <v>42073</v>
      </c>
      <c r="G208" t="s">
        <v>54</v>
      </c>
      <c r="H208" s="106">
        <v>42083</v>
      </c>
      <c r="I208" s="1" t="s">
        <v>50</v>
      </c>
    </row>
    <row r="209" spans="1:9" x14ac:dyDescent="0.2">
      <c r="A209" s="10" t="s">
        <v>664</v>
      </c>
      <c r="B209" s="105">
        <v>34.9</v>
      </c>
      <c r="C209" s="10">
        <v>0</v>
      </c>
      <c r="D209" s="10">
        <v>1</v>
      </c>
      <c r="E209" s="10">
        <v>0</v>
      </c>
      <c r="F209" s="106">
        <v>42073</v>
      </c>
      <c r="G209" t="s">
        <v>54</v>
      </c>
      <c r="H209" s="106">
        <v>42083</v>
      </c>
      <c r="I209" s="10" t="s">
        <v>344</v>
      </c>
    </row>
    <row r="210" spans="1:9" x14ac:dyDescent="0.2">
      <c r="A210" s="10" t="s">
        <v>43</v>
      </c>
      <c r="B210" s="105">
        <v>30</v>
      </c>
      <c r="C210" s="10">
        <v>1</v>
      </c>
      <c r="D210" s="10">
        <v>0</v>
      </c>
      <c r="E210" s="10">
        <v>0</v>
      </c>
      <c r="F210" s="106">
        <v>42073</v>
      </c>
      <c r="G210" t="s">
        <v>54</v>
      </c>
      <c r="H210" s="106">
        <v>42083</v>
      </c>
      <c r="I210" s="10" t="s">
        <v>340</v>
      </c>
    </row>
    <row r="211" spans="1:9" x14ac:dyDescent="0.2">
      <c r="A211" s="10" t="s">
        <v>52</v>
      </c>
      <c r="B211" s="105">
        <v>31.07</v>
      </c>
      <c r="C211" s="10">
        <v>0</v>
      </c>
      <c r="D211" s="10">
        <v>1</v>
      </c>
      <c r="E211" s="10">
        <v>0</v>
      </c>
      <c r="F211" s="106">
        <v>42073</v>
      </c>
      <c r="G211" t="s">
        <v>54</v>
      </c>
      <c r="H211" s="106">
        <v>42083</v>
      </c>
      <c r="I211" s="10" t="s">
        <v>52</v>
      </c>
    </row>
    <row r="212" spans="1:9" x14ac:dyDescent="0.2">
      <c r="A212" s="10" t="s">
        <v>109</v>
      </c>
      <c r="B212" s="105">
        <v>18</v>
      </c>
      <c r="C212" s="10">
        <v>0</v>
      </c>
      <c r="D212" s="10">
        <v>1</v>
      </c>
      <c r="E212" s="10">
        <v>0</v>
      </c>
      <c r="F212" s="106">
        <v>42073</v>
      </c>
      <c r="G212" t="s">
        <v>54</v>
      </c>
      <c r="H212" s="106">
        <v>42083</v>
      </c>
      <c r="I212" s="10" t="s">
        <v>344</v>
      </c>
    </row>
    <row r="213" spans="1:9" x14ac:dyDescent="0.2">
      <c r="A213" s="10" t="s">
        <v>96</v>
      </c>
      <c r="B213" s="105">
        <v>36</v>
      </c>
      <c r="C213" s="10">
        <v>0</v>
      </c>
      <c r="D213" s="10">
        <v>1</v>
      </c>
      <c r="E213" s="10">
        <v>0</v>
      </c>
      <c r="F213" s="106">
        <v>42073</v>
      </c>
      <c r="G213" t="s">
        <v>54</v>
      </c>
      <c r="H213" s="106">
        <v>42086</v>
      </c>
      <c r="I213" s="10" t="s">
        <v>50</v>
      </c>
    </row>
    <row r="214" spans="1:9" x14ac:dyDescent="0.2">
      <c r="A214" s="10" t="s">
        <v>588</v>
      </c>
      <c r="B214" s="105">
        <v>10</v>
      </c>
      <c r="C214" s="10">
        <v>0</v>
      </c>
      <c r="D214" s="10">
        <v>1</v>
      </c>
      <c r="E214" s="10">
        <v>0</v>
      </c>
      <c r="F214" s="106">
        <v>42073</v>
      </c>
      <c r="G214" t="s">
        <v>54</v>
      </c>
      <c r="H214" s="106">
        <v>42083</v>
      </c>
      <c r="I214" s="10" t="s">
        <v>50</v>
      </c>
    </row>
    <row r="215" spans="1:9" x14ac:dyDescent="0.2">
      <c r="A215" s="10" t="s">
        <v>96</v>
      </c>
      <c r="B215" s="105">
        <v>18</v>
      </c>
      <c r="C215" s="10">
        <v>0</v>
      </c>
      <c r="D215" s="10">
        <v>1</v>
      </c>
      <c r="E215" s="10">
        <v>0</v>
      </c>
      <c r="F215" s="106">
        <v>42073</v>
      </c>
      <c r="G215" t="s">
        <v>54</v>
      </c>
      <c r="H215" s="106">
        <v>42087</v>
      </c>
      <c r="I215" s="10" t="s">
        <v>50</v>
      </c>
    </row>
    <row r="216" spans="1:9" x14ac:dyDescent="0.2">
      <c r="A216" s="10" t="s">
        <v>665</v>
      </c>
      <c r="B216" s="105">
        <v>19</v>
      </c>
      <c r="C216" s="10">
        <v>0</v>
      </c>
      <c r="D216" s="10">
        <v>1</v>
      </c>
      <c r="E216" s="10">
        <v>0</v>
      </c>
      <c r="F216" s="106">
        <v>42073</v>
      </c>
      <c r="G216" t="s">
        <v>54</v>
      </c>
      <c r="H216" s="106">
        <v>42087</v>
      </c>
      <c r="I216" s="10" t="s">
        <v>50</v>
      </c>
    </row>
    <row r="217" spans="1:9" x14ac:dyDescent="0.2">
      <c r="A217" s="10" t="s">
        <v>52</v>
      </c>
      <c r="B217" s="105">
        <v>33.380000000000003</v>
      </c>
      <c r="C217" s="10">
        <v>0</v>
      </c>
      <c r="D217" s="10">
        <v>1</v>
      </c>
      <c r="E217" s="10">
        <v>0</v>
      </c>
      <c r="F217" s="106">
        <v>42073</v>
      </c>
      <c r="G217" t="s">
        <v>54</v>
      </c>
      <c r="H217" s="106">
        <v>42087</v>
      </c>
      <c r="I217" s="10" t="s">
        <v>52</v>
      </c>
    </row>
    <row r="218" spans="1:9" x14ac:dyDescent="0.2">
      <c r="A218" s="10" t="s">
        <v>96</v>
      </c>
      <c r="B218" s="105">
        <v>21.5</v>
      </c>
      <c r="C218" s="10">
        <v>0</v>
      </c>
      <c r="D218" s="10">
        <v>1</v>
      </c>
      <c r="E218" s="10">
        <v>0</v>
      </c>
      <c r="F218" s="106">
        <v>42073</v>
      </c>
      <c r="G218" t="s">
        <v>54</v>
      </c>
      <c r="H218" s="106">
        <v>42088</v>
      </c>
      <c r="I218" s="10" t="s">
        <v>50</v>
      </c>
    </row>
    <row r="219" spans="1:9" x14ac:dyDescent="0.2">
      <c r="A219" s="10" t="s">
        <v>96</v>
      </c>
      <c r="B219" s="105">
        <v>15</v>
      </c>
      <c r="C219" s="10">
        <v>0</v>
      </c>
      <c r="D219" s="10">
        <v>1</v>
      </c>
      <c r="E219" s="10">
        <v>0</v>
      </c>
      <c r="F219" s="106">
        <v>42073</v>
      </c>
      <c r="G219" t="s">
        <v>54</v>
      </c>
      <c r="H219" s="106">
        <v>42089</v>
      </c>
      <c r="I219" s="10" t="s">
        <v>50</v>
      </c>
    </row>
    <row r="220" spans="1:9" x14ac:dyDescent="0.2">
      <c r="A220" s="10" t="s">
        <v>96</v>
      </c>
      <c r="B220" s="105">
        <v>19.36</v>
      </c>
      <c r="C220" s="10">
        <v>0</v>
      </c>
      <c r="D220" s="10">
        <v>1</v>
      </c>
      <c r="E220" s="10">
        <v>0</v>
      </c>
      <c r="F220" s="106">
        <v>42073</v>
      </c>
      <c r="G220" t="s">
        <v>54</v>
      </c>
      <c r="H220" s="106">
        <v>42090</v>
      </c>
      <c r="I220" s="10" t="s">
        <v>50</v>
      </c>
    </row>
    <row r="221" spans="1:9" x14ac:dyDescent="0.2">
      <c r="A221" s="10" t="s">
        <v>46</v>
      </c>
      <c r="B221" s="105">
        <v>27</v>
      </c>
      <c r="C221" s="10">
        <v>0</v>
      </c>
      <c r="D221" s="10">
        <v>1</v>
      </c>
      <c r="E221" s="10">
        <v>0</v>
      </c>
      <c r="F221" s="106">
        <v>42073</v>
      </c>
      <c r="G221" t="s">
        <v>54</v>
      </c>
      <c r="H221" s="106">
        <v>42089</v>
      </c>
      <c r="I221" s="10" t="s">
        <v>344</v>
      </c>
    </row>
    <row r="222" spans="1:9" x14ac:dyDescent="0.2">
      <c r="A222" s="10" t="s">
        <v>400</v>
      </c>
      <c r="B222" s="105">
        <v>25</v>
      </c>
      <c r="C222" s="10">
        <v>0</v>
      </c>
      <c r="D222" s="10">
        <v>1</v>
      </c>
      <c r="E222" s="10">
        <v>0</v>
      </c>
      <c r="F222" s="106">
        <v>42073</v>
      </c>
      <c r="G222" t="s">
        <v>49</v>
      </c>
      <c r="H222" s="106">
        <v>42092</v>
      </c>
      <c r="I222" s="10" t="s">
        <v>400</v>
      </c>
    </row>
    <row r="223" spans="1:9" x14ac:dyDescent="0.2">
      <c r="A223" s="10" t="s">
        <v>48</v>
      </c>
      <c r="B223" s="105">
        <v>25</v>
      </c>
      <c r="C223" s="10">
        <v>0</v>
      </c>
      <c r="D223" s="10">
        <v>1</v>
      </c>
      <c r="E223" s="10">
        <v>0</v>
      </c>
      <c r="F223" s="106">
        <v>42073</v>
      </c>
      <c r="G223" t="s">
        <v>54</v>
      </c>
      <c r="H223" s="106">
        <v>42089</v>
      </c>
      <c r="I223" s="10" t="s">
        <v>48</v>
      </c>
    </row>
    <row r="224" spans="1:9" x14ac:dyDescent="0.2">
      <c r="A224" s="10" t="s">
        <v>667</v>
      </c>
      <c r="B224" s="105">
        <v>96.89</v>
      </c>
      <c r="C224" s="10">
        <v>0</v>
      </c>
      <c r="D224" s="10">
        <v>1</v>
      </c>
      <c r="E224" s="10">
        <v>0</v>
      </c>
      <c r="F224" s="106">
        <v>42073</v>
      </c>
      <c r="G224" t="s">
        <v>49</v>
      </c>
      <c r="H224" s="106">
        <v>42091</v>
      </c>
      <c r="I224" s="10" t="s">
        <v>344</v>
      </c>
    </row>
    <row r="225" spans="1:9" x14ac:dyDescent="0.2">
      <c r="A225" s="10" t="s">
        <v>668</v>
      </c>
      <c r="B225" s="105">
        <v>29.9</v>
      </c>
      <c r="C225" s="10">
        <v>0</v>
      </c>
      <c r="D225" s="10">
        <v>1</v>
      </c>
      <c r="E225" s="10">
        <v>0</v>
      </c>
      <c r="F225" s="106">
        <v>42073</v>
      </c>
      <c r="G225" t="s">
        <v>49</v>
      </c>
      <c r="H225" s="106">
        <v>42091</v>
      </c>
      <c r="I225" s="10" t="s">
        <v>344</v>
      </c>
    </row>
    <row r="226" spans="1:9" x14ac:dyDescent="0.2">
      <c r="A226" s="10" t="s">
        <v>52</v>
      </c>
      <c r="B226" s="105">
        <v>60.42</v>
      </c>
      <c r="C226" s="10">
        <v>0</v>
      </c>
      <c r="D226" s="10">
        <v>1</v>
      </c>
      <c r="E226" s="10">
        <v>0</v>
      </c>
      <c r="F226" s="106">
        <v>42073</v>
      </c>
      <c r="G226" t="s">
        <v>54</v>
      </c>
      <c r="H226" s="106">
        <v>42090</v>
      </c>
      <c r="I226" s="10" t="s">
        <v>52</v>
      </c>
    </row>
    <row r="227" spans="1:9" x14ac:dyDescent="0.2">
      <c r="A227" s="10" t="s">
        <v>189</v>
      </c>
      <c r="B227" s="105">
        <v>46.83</v>
      </c>
      <c r="C227" s="10">
        <v>0</v>
      </c>
      <c r="D227" s="10">
        <v>1</v>
      </c>
      <c r="E227" s="10">
        <v>0</v>
      </c>
      <c r="F227" s="106">
        <v>42073</v>
      </c>
      <c r="G227" t="s">
        <v>49</v>
      </c>
      <c r="H227" s="106">
        <v>42091</v>
      </c>
      <c r="I227" s="10" t="s">
        <v>189</v>
      </c>
    </row>
    <row r="228" spans="1:9" x14ac:dyDescent="0.2">
      <c r="A228" s="10" t="s">
        <v>52</v>
      </c>
      <c r="B228" s="105">
        <v>11.53</v>
      </c>
      <c r="C228" s="10">
        <v>0</v>
      </c>
      <c r="D228" s="10">
        <v>1</v>
      </c>
      <c r="E228" s="10">
        <v>0</v>
      </c>
      <c r="F228" s="106">
        <v>42073</v>
      </c>
      <c r="G228" t="s">
        <v>49</v>
      </c>
      <c r="H228" s="106">
        <v>42091</v>
      </c>
      <c r="I228" s="10" t="s">
        <v>52</v>
      </c>
    </row>
    <row r="229" spans="1:9" x14ac:dyDescent="0.2">
      <c r="A229" s="10" t="s">
        <v>669</v>
      </c>
      <c r="B229" s="105">
        <v>15.27</v>
      </c>
      <c r="C229" s="10">
        <v>0</v>
      </c>
      <c r="D229" s="10">
        <v>1</v>
      </c>
      <c r="E229" s="10">
        <v>0</v>
      </c>
      <c r="F229" s="106">
        <v>42073</v>
      </c>
      <c r="G229" t="s">
        <v>49</v>
      </c>
      <c r="H229" s="106">
        <v>42092</v>
      </c>
      <c r="I229" s="10" t="s">
        <v>669</v>
      </c>
    </row>
    <row r="230" spans="1:9" x14ac:dyDescent="0.2">
      <c r="A230" s="10" t="s">
        <v>52</v>
      </c>
      <c r="B230" s="105">
        <v>68.150000000000006</v>
      </c>
      <c r="C230" s="10">
        <v>0</v>
      </c>
      <c r="D230" s="10">
        <v>1</v>
      </c>
      <c r="E230" s="10">
        <v>0</v>
      </c>
      <c r="F230" s="106">
        <v>42073</v>
      </c>
      <c r="G230" t="s">
        <v>54</v>
      </c>
      <c r="H230" s="106">
        <v>42088</v>
      </c>
      <c r="I230" s="10" t="s">
        <v>52</v>
      </c>
    </row>
    <row r="231" spans="1:9" x14ac:dyDescent="0.2">
      <c r="A231" s="10" t="s">
        <v>189</v>
      </c>
      <c r="B231" s="105">
        <v>22.05</v>
      </c>
      <c r="C231" s="10">
        <v>0</v>
      </c>
      <c r="D231" s="10">
        <v>1</v>
      </c>
      <c r="E231" s="10">
        <v>0</v>
      </c>
      <c r="F231" s="106">
        <v>42073</v>
      </c>
      <c r="G231" t="s">
        <v>49</v>
      </c>
      <c r="H231" s="106">
        <v>42091</v>
      </c>
      <c r="I231" s="10" t="s">
        <v>189</v>
      </c>
    </row>
    <row r="232" spans="1:9" x14ac:dyDescent="0.2">
      <c r="A232" s="10" t="s">
        <v>52</v>
      </c>
      <c r="B232" s="105">
        <v>63</v>
      </c>
      <c r="C232" s="10">
        <v>0</v>
      </c>
      <c r="D232" s="10">
        <v>1</v>
      </c>
      <c r="E232" s="10">
        <v>0</v>
      </c>
      <c r="F232" s="106">
        <v>42073</v>
      </c>
      <c r="G232" t="s">
        <v>55</v>
      </c>
      <c r="H232" s="106">
        <v>42094</v>
      </c>
      <c r="I232" s="10" t="s">
        <v>52</v>
      </c>
    </row>
    <row r="233" spans="1:9" x14ac:dyDescent="0.2">
      <c r="A233" s="10" t="s">
        <v>52</v>
      </c>
      <c r="B233" s="105">
        <v>47.29</v>
      </c>
      <c r="C233" s="10">
        <v>0</v>
      </c>
      <c r="D233" s="10">
        <v>1</v>
      </c>
      <c r="E233" s="10">
        <v>0</v>
      </c>
      <c r="F233" s="106">
        <v>42073</v>
      </c>
      <c r="G233" t="s">
        <v>55</v>
      </c>
      <c r="H233" s="106">
        <v>42096</v>
      </c>
      <c r="I233" s="10" t="s">
        <v>52</v>
      </c>
    </row>
    <row r="234" spans="1:9" x14ac:dyDescent="0.2">
      <c r="A234" s="10" t="s">
        <v>502</v>
      </c>
      <c r="B234" s="105">
        <v>5</v>
      </c>
      <c r="C234" s="10">
        <v>0</v>
      </c>
      <c r="D234" s="10">
        <v>1</v>
      </c>
      <c r="E234" s="10">
        <v>0</v>
      </c>
      <c r="F234" s="106">
        <v>42073</v>
      </c>
      <c r="G234" t="s">
        <v>55</v>
      </c>
      <c r="H234" s="106">
        <v>42095</v>
      </c>
      <c r="I234" s="10" t="s">
        <v>50</v>
      </c>
    </row>
    <row r="235" spans="1:9" x14ac:dyDescent="0.2">
      <c r="A235" s="10" t="s">
        <v>618</v>
      </c>
      <c r="B235" s="105">
        <v>34</v>
      </c>
      <c r="C235" s="10">
        <v>0</v>
      </c>
      <c r="D235" s="10">
        <v>1</v>
      </c>
      <c r="E235" s="10">
        <v>0</v>
      </c>
      <c r="F235" s="106">
        <v>42073</v>
      </c>
      <c r="G235" t="s">
        <v>49</v>
      </c>
      <c r="H235" s="106">
        <v>42092</v>
      </c>
      <c r="I235" s="10" t="s">
        <v>618</v>
      </c>
    </row>
    <row r="236" spans="1:9" x14ac:dyDescent="0.2">
      <c r="A236" s="10" t="s">
        <v>189</v>
      </c>
      <c r="B236" s="105">
        <v>40.9</v>
      </c>
      <c r="C236" s="10">
        <v>0</v>
      </c>
      <c r="D236" s="10">
        <v>1</v>
      </c>
      <c r="E236" s="10">
        <v>0</v>
      </c>
      <c r="F236" s="106">
        <v>42073</v>
      </c>
      <c r="G236" t="s">
        <v>55</v>
      </c>
      <c r="H236" s="106">
        <v>42097</v>
      </c>
      <c r="I236" s="10" t="s">
        <v>189</v>
      </c>
    </row>
    <row r="237" spans="1:9" x14ac:dyDescent="0.2">
      <c r="A237" s="10" t="s">
        <v>709</v>
      </c>
      <c r="B237" s="105">
        <v>140</v>
      </c>
      <c r="C237" s="10">
        <v>0</v>
      </c>
      <c r="D237" s="10">
        <v>1</v>
      </c>
      <c r="E237" s="10">
        <v>0</v>
      </c>
      <c r="F237" s="106">
        <v>42073</v>
      </c>
      <c r="G237" t="s">
        <v>49</v>
      </c>
      <c r="H237" s="106">
        <v>42098</v>
      </c>
      <c r="I237" s="10" t="s">
        <v>344</v>
      </c>
    </row>
    <row r="238" spans="1:9" x14ac:dyDescent="0.2">
      <c r="A238" s="10" t="s">
        <v>710</v>
      </c>
      <c r="B238" s="105">
        <v>10.9</v>
      </c>
      <c r="C238" s="10">
        <v>0</v>
      </c>
      <c r="D238" s="10">
        <v>1</v>
      </c>
      <c r="E238" s="10">
        <v>0</v>
      </c>
      <c r="F238" s="106">
        <v>42073</v>
      </c>
      <c r="G238" t="s">
        <v>49</v>
      </c>
      <c r="H238" s="106">
        <v>42098</v>
      </c>
      <c r="I238" s="10" t="s">
        <v>344</v>
      </c>
    </row>
    <row r="239" spans="1:9" x14ac:dyDescent="0.2">
      <c r="A239" s="10" t="s">
        <v>43</v>
      </c>
      <c r="B239" s="105">
        <v>30</v>
      </c>
      <c r="C239" s="10">
        <v>1</v>
      </c>
      <c r="D239" s="10">
        <v>0</v>
      </c>
      <c r="E239" s="10">
        <v>0</v>
      </c>
      <c r="F239" s="106">
        <v>42073</v>
      </c>
      <c r="G239" t="s">
        <v>49</v>
      </c>
      <c r="H239" s="106">
        <v>42099</v>
      </c>
      <c r="I239" s="10" t="s">
        <v>340</v>
      </c>
    </row>
    <row r="240" spans="1:9" x14ac:dyDescent="0.2">
      <c r="A240" s="10" t="s">
        <v>116</v>
      </c>
      <c r="B240" s="105">
        <v>20</v>
      </c>
      <c r="C240" s="10">
        <v>0</v>
      </c>
      <c r="D240" s="10">
        <v>1</v>
      </c>
      <c r="E240" s="10">
        <v>0</v>
      </c>
      <c r="F240" s="106">
        <v>42073</v>
      </c>
      <c r="G240" t="s">
        <v>49</v>
      </c>
      <c r="H240" s="106">
        <v>42098</v>
      </c>
      <c r="I240" s="10" t="s">
        <v>344</v>
      </c>
    </row>
    <row r="241" spans="1:9" x14ac:dyDescent="0.2">
      <c r="A241" s="10" t="s">
        <v>189</v>
      </c>
      <c r="B241" s="105">
        <v>13.39</v>
      </c>
      <c r="C241" s="10">
        <v>0</v>
      </c>
      <c r="D241" s="10">
        <v>1</v>
      </c>
      <c r="E241" s="10">
        <v>0</v>
      </c>
      <c r="F241" s="106">
        <v>42073</v>
      </c>
      <c r="G241" t="s">
        <v>55</v>
      </c>
      <c r="H241" s="106">
        <v>42101</v>
      </c>
      <c r="I241" s="10" t="s">
        <v>189</v>
      </c>
    </row>
    <row r="242" spans="1:9" x14ac:dyDescent="0.2">
      <c r="A242" s="10" t="s">
        <v>52</v>
      </c>
      <c r="B242" s="105">
        <v>50.44</v>
      </c>
      <c r="C242" s="10">
        <v>0</v>
      </c>
      <c r="D242" s="10">
        <v>1</v>
      </c>
      <c r="E242" s="10">
        <v>0</v>
      </c>
      <c r="F242" s="106">
        <v>42073</v>
      </c>
      <c r="G242" t="s">
        <v>55</v>
      </c>
      <c r="H242" s="106">
        <v>42101</v>
      </c>
      <c r="I242" s="10" t="s">
        <v>52</v>
      </c>
    </row>
    <row r="243" spans="1:9" x14ac:dyDescent="0.2">
      <c r="A243" s="10" t="s">
        <v>44</v>
      </c>
      <c r="B243" s="105">
        <v>100</v>
      </c>
      <c r="C243" s="10">
        <v>1</v>
      </c>
      <c r="D243" s="10">
        <v>0</v>
      </c>
      <c r="E243" s="10">
        <v>0</v>
      </c>
      <c r="F243" s="106">
        <v>42073</v>
      </c>
      <c r="G243" t="s">
        <v>55</v>
      </c>
      <c r="H243" s="106">
        <v>42101</v>
      </c>
      <c r="I243" s="10" t="s">
        <v>60</v>
      </c>
    </row>
    <row r="244" spans="1:9" x14ac:dyDescent="0.2">
      <c r="A244" s="10" t="s">
        <v>43</v>
      </c>
      <c r="B244" s="105">
        <v>30</v>
      </c>
      <c r="C244" s="10">
        <v>1</v>
      </c>
      <c r="D244" s="10">
        <v>0</v>
      </c>
      <c r="E244" s="10">
        <v>0</v>
      </c>
      <c r="F244" s="106">
        <v>42073</v>
      </c>
      <c r="G244" t="s">
        <v>55</v>
      </c>
      <c r="H244" s="106">
        <v>42102</v>
      </c>
      <c r="I244" s="10" t="s">
        <v>340</v>
      </c>
    </row>
    <row r="245" spans="1:9" x14ac:dyDescent="0.2">
      <c r="A245" s="10" t="s">
        <v>52</v>
      </c>
      <c r="B245" s="105">
        <v>58.76</v>
      </c>
      <c r="C245" s="10">
        <v>0</v>
      </c>
      <c r="D245" s="10">
        <v>1</v>
      </c>
      <c r="E245" s="10">
        <v>0</v>
      </c>
      <c r="F245" s="106">
        <v>42073</v>
      </c>
      <c r="G245" t="s">
        <v>55</v>
      </c>
      <c r="H245" s="106">
        <v>42103</v>
      </c>
      <c r="I245" s="10" t="s">
        <v>52</v>
      </c>
    </row>
    <row r="246" spans="1:9" x14ac:dyDescent="0.2">
      <c r="A246" s="10" t="s">
        <v>52</v>
      </c>
      <c r="B246" s="105">
        <v>89.91</v>
      </c>
      <c r="C246" s="10">
        <v>0</v>
      </c>
      <c r="D246" s="10">
        <v>1</v>
      </c>
      <c r="E246" s="10">
        <v>0</v>
      </c>
      <c r="F246" s="106">
        <v>42073</v>
      </c>
      <c r="G246" t="s">
        <v>55</v>
      </c>
      <c r="H246" s="106">
        <v>42103</v>
      </c>
      <c r="I246" s="10" t="s">
        <v>52</v>
      </c>
    </row>
    <row r="247" spans="1:9" x14ac:dyDescent="0.2">
      <c r="A247" s="27" t="s">
        <v>21</v>
      </c>
      <c r="B247" s="85">
        <f>SUMIFS(credito!$B$2:$B$198,credito!$F$2:$F$198,F247,credito!$G$2:$G$198,0)</f>
        <v>0</v>
      </c>
      <c r="C247" s="27">
        <v>1</v>
      </c>
      <c r="D247" s="27">
        <v>0</v>
      </c>
      <c r="E247" s="27">
        <v>0</v>
      </c>
      <c r="F247" s="84">
        <v>42104</v>
      </c>
      <c r="G247" s="27" t="s">
        <v>54</v>
      </c>
      <c r="H247" s="84">
        <v>42111</v>
      </c>
      <c r="I247" s="27" t="s">
        <v>338</v>
      </c>
    </row>
    <row r="248" spans="1:9" x14ac:dyDescent="0.2">
      <c r="A248" t="s">
        <v>39</v>
      </c>
      <c r="B248" s="32">
        <v>41</v>
      </c>
      <c r="C248">
        <v>1</v>
      </c>
      <c r="D248">
        <v>0</v>
      </c>
      <c r="E248">
        <v>1</v>
      </c>
      <c r="F248" s="88">
        <v>42104</v>
      </c>
      <c r="G248" t="s">
        <v>55</v>
      </c>
      <c r="H248" s="72">
        <v>42128</v>
      </c>
      <c r="I248" t="s">
        <v>345</v>
      </c>
    </row>
    <row r="249" spans="1:9" x14ac:dyDescent="0.2">
      <c r="A249" t="s">
        <v>40</v>
      </c>
      <c r="B249" s="32">
        <v>5.32</v>
      </c>
      <c r="C249">
        <v>1</v>
      </c>
      <c r="D249">
        <v>0</v>
      </c>
      <c r="E249">
        <v>0</v>
      </c>
      <c r="F249" s="88">
        <v>42104</v>
      </c>
      <c r="G249" t="s">
        <v>51</v>
      </c>
      <c r="H249" s="72">
        <v>42104</v>
      </c>
      <c r="I249" t="s">
        <v>345</v>
      </c>
    </row>
    <row r="250" spans="1:9" x14ac:dyDescent="0.2">
      <c r="A250" t="s">
        <v>2</v>
      </c>
      <c r="B250" s="32">
        <v>50</v>
      </c>
      <c r="C250">
        <v>1</v>
      </c>
      <c r="D250">
        <v>0</v>
      </c>
      <c r="E250">
        <v>0</v>
      </c>
      <c r="F250" s="88">
        <v>42104</v>
      </c>
      <c r="G250" t="s">
        <v>51</v>
      </c>
      <c r="H250" s="72">
        <v>42104</v>
      </c>
      <c r="I250" t="s">
        <v>349</v>
      </c>
    </row>
    <row r="251" spans="1:9" x14ac:dyDescent="0.2">
      <c r="A251" t="s">
        <v>38</v>
      </c>
      <c r="B251" s="32">
        <v>57</v>
      </c>
      <c r="C251">
        <v>1</v>
      </c>
      <c r="D251">
        <v>0</v>
      </c>
      <c r="E251">
        <v>0</v>
      </c>
      <c r="F251" s="88">
        <v>42104</v>
      </c>
      <c r="G251" t="s">
        <v>51</v>
      </c>
      <c r="H251" s="72">
        <v>42104</v>
      </c>
      <c r="I251" t="s">
        <v>345</v>
      </c>
    </row>
    <row r="252" spans="1:9" x14ac:dyDescent="0.2">
      <c r="A252" t="s">
        <v>202</v>
      </c>
      <c r="B252" s="32">
        <v>40.78</v>
      </c>
      <c r="C252">
        <v>1</v>
      </c>
      <c r="D252">
        <v>0</v>
      </c>
      <c r="E252">
        <v>0</v>
      </c>
      <c r="F252" s="88">
        <v>42104</v>
      </c>
      <c r="G252" t="s">
        <v>51</v>
      </c>
      <c r="H252" s="72">
        <v>42104</v>
      </c>
      <c r="I252" t="s">
        <v>345</v>
      </c>
    </row>
    <row r="253" spans="1:9" x14ac:dyDescent="0.2">
      <c r="A253" t="s">
        <v>1</v>
      </c>
      <c r="B253">
        <v>272.29000000000002</v>
      </c>
      <c r="C253">
        <v>1</v>
      </c>
      <c r="D253">
        <v>0</v>
      </c>
      <c r="E253">
        <v>0</v>
      </c>
      <c r="F253" s="88">
        <v>42104</v>
      </c>
      <c r="G253" t="s">
        <v>51</v>
      </c>
      <c r="H253" s="72">
        <v>42104</v>
      </c>
      <c r="I253" t="s">
        <v>346</v>
      </c>
    </row>
    <row r="254" spans="1:9" x14ac:dyDescent="0.2">
      <c r="A254" t="s">
        <v>26</v>
      </c>
      <c r="B254" s="32">
        <v>501.76</v>
      </c>
      <c r="C254">
        <v>1</v>
      </c>
      <c r="D254">
        <v>0</v>
      </c>
      <c r="E254">
        <v>0</v>
      </c>
      <c r="F254" s="88">
        <v>42104</v>
      </c>
      <c r="G254" t="s">
        <v>51</v>
      </c>
      <c r="H254" s="72">
        <v>42104</v>
      </c>
      <c r="I254" t="s">
        <v>345</v>
      </c>
    </row>
    <row r="255" spans="1:9" x14ac:dyDescent="0.2">
      <c r="A255" t="s">
        <v>28</v>
      </c>
      <c r="B255" s="32">
        <v>38.5</v>
      </c>
      <c r="C255">
        <v>1</v>
      </c>
      <c r="D255">
        <v>0</v>
      </c>
      <c r="E255">
        <v>0</v>
      </c>
      <c r="F255" s="88">
        <v>42104</v>
      </c>
      <c r="G255" t="s">
        <v>51</v>
      </c>
      <c r="H255" s="72">
        <v>42104</v>
      </c>
      <c r="I255" t="s">
        <v>345</v>
      </c>
    </row>
    <row r="256" spans="1:9" x14ac:dyDescent="0.2">
      <c r="A256" t="s">
        <v>27</v>
      </c>
      <c r="B256" s="32">
        <v>282.25</v>
      </c>
      <c r="C256">
        <v>1</v>
      </c>
      <c r="D256">
        <v>0</v>
      </c>
      <c r="E256">
        <v>0</v>
      </c>
      <c r="F256" s="88">
        <v>42104</v>
      </c>
      <c r="G256" t="s">
        <v>51</v>
      </c>
      <c r="H256" s="72">
        <v>42104</v>
      </c>
      <c r="I256" t="s">
        <v>345</v>
      </c>
    </row>
    <row r="257" spans="1:9" x14ac:dyDescent="0.2">
      <c r="A257" t="s">
        <v>12</v>
      </c>
      <c r="B257" s="32">
        <v>539.16</v>
      </c>
      <c r="C257">
        <v>1</v>
      </c>
      <c r="D257">
        <v>0</v>
      </c>
      <c r="E257">
        <v>0</v>
      </c>
      <c r="F257" s="88">
        <v>42104</v>
      </c>
      <c r="G257" t="s">
        <v>51</v>
      </c>
      <c r="H257" s="72">
        <v>42104</v>
      </c>
      <c r="I257" t="s">
        <v>348</v>
      </c>
    </row>
    <row r="258" spans="1:9" x14ac:dyDescent="0.2">
      <c r="A258" t="s">
        <v>25</v>
      </c>
      <c r="B258" s="32">
        <v>130</v>
      </c>
      <c r="C258">
        <v>1</v>
      </c>
      <c r="D258">
        <v>0</v>
      </c>
      <c r="E258">
        <v>0</v>
      </c>
      <c r="F258" s="88">
        <v>42104</v>
      </c>
      <c r="G258" t="s">
        <v>51</v>
      </c>
      <c r="H258" s="72">
        <v>42104</v>
      </c>
      <c r="I258" t="s">
        <v>347</v>
      </c>
    </row>
    <row r="259" spans="1:9" x14ac:dyDescent="0.2">
      <c r="A259" t="s">
        <v>198</v>
      </c>
      <c r="B259" s="32">
        <v>148.01</v>
      </c>
      <c r="C259">
        <v>1</v>
      </c>
      <c r="D259">
        <v>0</v>
      </c>
      <c r="E259">
        <v>0</v>
      </c>
      <c r="F259" s="88">
        <v>42104</v>
      </c>
      <c r="G259" t="s">
        <v>51</v>
      </c>
      <c r="H259" s="72">
        <v>42104</v>
      </c>
      <c r="I259" t="s">
        <v>347</v>
      </c>
    </row>
    <row r="260" spans="1:9" x14ac:dyDescent="0.2">
      <c r="A260" t="s">
        <v>199</v>
      </c>
      <c r="B260" s="32">
        <v>139.13</v>
      </c>
      <c r="C260">
        <v>1</v>
      </c>
      <c r="D260">
        <v>0</v>
      </c>
      <c r="E260">
        <v>0</v>
      </c>
      <c r="F260" s="88">
        <v>42104</v>
      </c>
      <c r="G260" t="s">
        <v>51</v>
      </c>
      <c r="H260" s="72">
        <v>42104</v>
      </c>
      <c r="I260" t="s">
        <v>347</v>
      </c>
    </row>
    <row r="261" spans="1:9" x14ac:dyDescent="0.2">
      <c r="A261" t="s">
        <v>200</v>
      </c>
      <c r="B261" s="32">
        <v>66.61</v>
      </c>
      <c r="C261">
        <v>1</v>
      </c>
      <c r="D261">
        <v>0</v>
      </c>
      <c r="E261">
        <v>0</v>
      </c>
      <c r="F261" s="88">
        <v>42104</v>
      </c>
      <c r="G261" t="s">
        <v>51</v>
      </c>
      <c r="H261" s="72">
        <v>42104</v>
      </c>
      <c r="I261" t="s">
        <v>347</v>
      </c>
    </row>
    <row r="262" spans="1:9" x14ac:dyDescent="0.2">
      <c r="A262" s="103" t="s">
        <v>29</v>
      </c>
      <c r="B262" s="104">
        <v>518</v>
      </c>
      <c r="C262">
        <v>1</v>
      </c>
      <c r="D262">
        <v>0</v>
      </c>
      <c r="E262">
        <v>1</v>
      </c>
      <c r="F262" s="88">
        <v>42104</v>
      </c>
      <c r="G262" t="s">
        <v>51</v>
      </c>
      <c r="H262" s="72">
        <v>42104</v>
      </c>
      <c r="I262" s="1" t="s">
        <v>346</v>
      </c>
    </row>
    <row r="263" spans="1:9" x14ac:dyDescent="0.2">
      <c r="A263" s="103" t="s">
        <v>584</v>
      </c>
      <c r="B263" s="104">
        <v>1242.58</v>
      </c>
      <c r="C263">
        <v>1</v>
      </c>
      <c r="D263">
        <v>0</v>
      </c>
      <c r="E263">
        <v>0</v>
      </c>
      <c r="F263" s="88">
        <v>42104</v>
      </c>
      <c r="G263" t="s">
        <v>51</v>
      </c>
      <c r="H263" s="72">
        <v>42104</v>
      </c>
      <c r="I263" s="1" t="s">
        <v>346</v>
      </c>
    </row>
    <row r="264" spans="1:9" x14ac:dyDescent="0.2">
      <c r="A264" s="103" t="s">
        <v>711</v>
      </c>
      <c r="B264" s="104">
        <v>378</v>
      </c>
      <c r="C264">
        <v>1</v>
      </c>
      <c r="D264">
        <v>0</v>
      </c>
      <c r="E264">
        <v>0</v>
      </c>
      <c r="F264" s="88">
        <v>42104</v>
      </c>
      <c r="G264" t="s">
        <v>51</v>
      </c>
      <c r="H264" s="72">
        <v>42104</v>
      </c>
      <c r="I264" s="1" t="s">
        <v>153</v>
      </c>
    </row>
    <row r="265" spans="1:9" x14ac:dyDescent="0.2">
      <c r="A265" s="103" t="s">
        <v>52</v>
      </c>
      <c r="B265" s="104">
        <v>15.86</v>
      </c>
      <c r="C265">
        <v>0</v>
      </c>
      <c r="D265">
        <v>1</v>
      </c>
      <c r="E265">
        <v>0</v>
      </c>
      <c r="F265" s="88">
        <v>42104</v>
      </c>
      <c r="G265" t="s">
        <v>49</v>
      </c>
      <c r="H265" s="72">
        <v>42105</v>
      </c>
      <c r="I265" s="1" t="s">
        <v>52</v>
      </c>
    </row>
    <row r="266" spans="1:9" x14ac:dyDescent="0.2">
      <c r="A266" s="103" t="s">
        <v>400</v>
      </c>
      <c r="B266" s="104">
        <v>30</v>
      </c>
      <c r="C266">
        <v>0</v>
      </c>
      <c r="D266">
        <v>1</v>
      </c>
      <c r="E266">
        <v>0</v>
      </c>
      <c r="F266" s="88">
        <v>42104</v>
      </c>
      <c r="G266" t="s">
        <v>49</v>
      </c>
      <c r="H266" s="72">
        <v>42105</v>
      </c>
      <c r="I266" s="1" t="s">
        <v>400</v>
      </c>
    </row>
    <row r="267" spans="1:9" x14ac:dyDescent="0.2">
      <c r="A267" s="103" t="s">
        <v>716</v>
      </c>
      <c r="B267" s="104">
        <v>60</v>
      </c>
      <c r="C267">
        <v>0</v>
      </c>
      <c r="D267">
        <v>1</v>
      </c>
      <c r="E267">
        <v>0</v>
      </c>
      <c r="F267" s="88">
        <v>42104</v>
      </c>
      <c r="G267" t="s">
        <v>49</v>
      </c>
      <c r="H267" s="72">
        <v>42105</v>
      </c>
      <c r="I267" s="1" t="s">
        <v>344</v>
      </c>
    </row>
    <row r="268" spans="1:9" x14ac:dyDescent="0.2">
      <c r="A268" s="103" t="s">
        <v>48</v>
      </c>
      <c r="B268" s="104">
        <v>50</v>
      </c>
      <c r="C268">
        <v>0</v>
      </c>
      <c r="D268">
        <v>1</v>
      </c>
      <c r="E268">
        <v>0</v>
      </c>
      <c r="F268" s="88">
        <v>42104</v>
      </c>
      <c r="G268" t="s">
        <v>49</v>
      </c>
      <c r="H268" s="72">
        <v>42105</v>
      </c>
      <c r="I268" s="1" t="s">
        <v>48</v>
      </c>
    </row>
    <row r="269" spans="1:9" x14ac:dyDescent="0.2">
      <c r="A269" s="103" t="s">
        <v>52</v>
      </c>
      <c r="B269" s="104">
        <v>43.41</v>
      </c>
      <c r="C269">
        <v>0</v>
      </c>
      <c r="D269">
        <v>1</v>
      </c>
      <c r="E269">
        <v>0</v>
      </c>
      <c r="F269" s="88">
        <v>42104</v>
      </c>
      <c r="G269" t="s">
        <v>54</v>
      </c>
      <c r="H269" s="72">
        <v>42108</v>
      </c>
      <c r="I269" s="1" t="s">
        <v>52</v>
      </c>
    </row>
    <row r="270" spans="1:9" x14ac:dyDescent="0.2">
      <c r="A270" s="103" t="s">
        <v>52</v>
      </c>
      <c r="B270" s="104">
        <v>26.92</v>
      </c>
      <c r="C270">
        <v>0</v>
      </c>
      <c r="D270">
        <v>1</v>
      </c>
      <c r="E270">
        <v>0</v>
      </c>
      <c r="F270" s="88">
        <v>42104</v>
      </c>
      <c r="G270" t="s">
        <v>54</v>
      </c>
      <c r="H270" s="72">
        <v>42107</v>
      </c>
      <c r="I270" s="1" t="s">
        <v>52</v>
      </c>
    </row>
    <row r="271" spans="1:9" x14ac:dyDescent="0.2">
      <c r="A271" s="103" t="s">
        <v>374</v>
      </c>
      <c r="B271" s="104">
        <v>3</v>
      </c>
      <c r="C271">
        <v>0</v>
      </c>
      <c r="D271">
        <v>1</v>
      </c>
      <c r="E271">
        <v>0</v>
      </c>
      <c r="F271" s="88">
        <v>42104</v>
      </c>
      <c r="G271" t="s">
        <v>54</v>
      </c>
      <c r="H271" s="72">
        <v>42108</v>
      </c>
      <c r="I271" s="1" t="s">
        <v>50</v>
      </c>
    </row>
    <row r="272" spans="1:9" x14ac:dyDescent="0.2">
      <c r="A272" s="10" t="s">
        <v>52</v>
      </c>
      <c r="B272" s="105">
        <v>15.86</v>
      </c>
      <c r="C272" s="10">
        <v>0</v>
      </c>
      <c r="D272" s="10">
        <v>1</v>
      </c>
      <c r="E272">
        <v>0</v>
      </c>
      <c r="F272" s="88">
        <v>42104</v>
      </c>
      <c r="G272" t="s">
        <v>54</v>
      </c>
      <c r="H272" s="106">
        <v>42105</v>
      </c>
      <c r="I272" s="10" t="s">
        <v>52</v>
      </c>
    </row>
    <row r="273" spans="1:9" x14ac:dyDescent="0.2">
      <c r="A273" s="10" t="s">
        <v>52</v>
      </c>
      <c r="B273" s="105">
        <v>47.7</v>
      </c>
      <c r="C273" s="10">
        <v>0</v>
      </c>
      <c r="D273" s="10">
        <v>1</v>
      </c>
      <c r="E273">
        <v>0</v>
      </c>
      <c r="F273" s="88">
        <v>42104</v>
      </c>
      <c r="G273" t="s">
        <v>54</v>
      </c>
      <c r="H273" s="106">
        <v>42111</v>
      </c>
      <c r="I273" s="10" t="s">
        <v>52</v>
      </c>
    </row>
    <row r="274" spans="1:9" x14ac:dyDescent="0.2">
      <c r="A274" s="10" t="s">
        <v>709</v>
      </c>
      <c r="B274" s="105">
        <v>24.5</v>
      </c>
      <c r="C274" s="10">
        <v>0</v>
      </c>
      <c r="D274" s="10">
        <v>1</v>
      </c>
      <c r="E274">
        <v>0</v>
      </c>
      <c r="F274" s="88">
        <v>42104</v>
      </c>
      <c r="G274" t="s">
        <v>49</v>
      </c>
      <c r="H274" s="106">
        <v>42112</v>
      </c>
      <c r="I274" s="10" t="s">
        <v>344</v>
      </c>
    </row>
    <row r="275" spans="1:9" x14ac:dyDescent="0.2">
      <c r="A275" s="10" t="s">
        <v>759</v>
      </c>
      <c r="B275" s="105">
        <v>63.84</v>
      </c>
      <c r="C275" s="10">
        <v>0</v>
      </c>
      <c r="D275" s="10">
        <v>1</v>
      </c>
      <c r="E275">
        <v>0</v>
      </c>
      <c r="F275" s="88">
        <v>42104</v>
      </c>
      <c r="G275" t="s">
        <v>49</v>
      </c>
      <c r="H275" s="106">
        <v>42112</v>
      </c>
      <c r="I275" s="10" t="s">
        <v>344</v>
      </c>
    </row>
    <row r="276" spans="1:9" x14ac:dyDescent="0.2">
      <c r="A276" s="10" t="s">
        <v>116</v>
      </c>
      <c r="B276" s="105">
        <v>20</v>
      </c>
      <c r="C276" s="10">
        <v>0</v>
      </c>
      <c r="D276" s="10">
        <v>1</v>
      </c>
      <c r="E276">
        <v>0</v>
      </c>
      <c r="F276" s="88">
        <v>42104</v>
      </c>
      <c r="G276" t="s">
        <v>49</v>
      </c>
      <c r="H276" s="106">
        <v>42112</v>
      </c>
      <c r="I276" s="10" t="s">
        <v>344</v>
      </c>
    </row>
    <row r="277" spans="1:9" x14ac:dyDescent="0.2">
      <c r="A277" s="10" t="s">
        <v>43</v>
      </c>
      <c r="B277" s="105">
        <v>30</v>
      </c>
      <c r="C277" s="10">
        <v>0</v>
      </c>
      <c r="D277" s="10">
        <v>1</v>
      </c>
      <c r="E277">
        <v>0</v>
      </c>
      <c r="F277" s="88">
        <v>42104</v>
      </c>
      <c r="G277" t="s">
        <v>49</v>
      </c>
      <c r="H277" s="106">
        <v>42106</v>
      </c>
      <c r="I277" s="10" t="s">
        <v>340</v>
      </c>
    </row>
    <row r="278" spans="1:9" x14ac:dyDescent="0.2">
      <c r="A278" s="27" t="s">
        <v>21</v>
      </c>
      <c r="B278" s="85">
        <f>SUMIFS(credito!$B$2:$B$198,credito!$F$2:$F$198,F278,credito!$G$2:$G$198,0)</f>
        <v>0</v>
      </c>
      <c r="C278" s="27">
        <v>1</v>
      </c>
      <c r="D278" s="27">
        <v>0</v>
      </c>
      <c r="E278" s="27">
        <v>1</v>
      </c>
      <c r="F278" s="84">
        <v>42134</v>
      </c>
      <c r="G278" s="27" t="s">
        <v>51</v>
      </c>
      <c r="H278" s="84">
        <v>42141</v>
      </c>
      <c r="I278" s="27" t="s">
        <v>338</v>
      </c>
    </row>
    <row r="279" spans="1:9" x14ac:dyDescent="0.2">
      <c r="A279" t="s">
        <v>39</v>
      </c>
      <c r="B279" s="32">
        <v>41</v>
      </c>
      <c r="C279">
        <v>1</v>
      </c>
      <c r="D279">
        <v>0</v>
      </c>
      <c r="E279">
        <v>1</v>
      </c>
      <c r="F279" s="88">
        <v>42134</v>
      </c>
      <c r="G279" t="s">
        <v>51</v>
      </c>
      <c r="H279" s="72">
        <v>42159</v>
      </c>
      <c r="I279" t="s">
        <v>345</v>
      </c>
    </row>
    <row r="280" spans="1:9" x14ac:dyDescent="0.2">
      <c r="A280" t="s">
        <v>40</v>
      </c>
      <c r="B280" s="32">
        <v>4.99</v>
      </c>
      <c r="C280">
        <v>1</v>
      </c>
      <c r="D280">
        <v>0</v>
      </c>
      <c r="E280">
        <v>1</v>
      </c>
      <c r="F280" s="88">
        <v>42134</v>
      </c>
      <c r="G280" t="s">
        <v>51</v>
      </c>
      <c r="H280" s="88">
        <v>42134</v>
      </c>
      <c r="I280" t="s">
        <v>345</v>
      </c>
    </row>
    <row r="281" spans="1:9" x14ac:dyDescent="0.2">
      <c r="A281" t="s">
        <v>2</v>
      </c>
      <c r="B281" s="32">
        <v>50</v>
      </c>
      <c r="C281">
        <v>1</v>
      </c>
      <c r="D281">
        <v>0</v>
      </c>
      <c r="E281">
        <v>1</v>
      </c>
      <c r="F281" s="88">
        <v>42134</v>
      </c>
      <c r="G281" t="s">
        <v>51</v>
      </c>
      <c r="H281" s="88">
        <v>42134</v>
      </c>
      <c r="I281" t="s">
        <v>349</v>
      </c>
    </row>
    <row r="282" spans="1:9" x14ac:dyDescent="0.2">
      <c r="A282" t="s">
        <v>38</v>
      </c>
      <c r="B282" s="32">
        <v>57</v>
      </c>
      <c r="C282">
        <v>1</v>
      </c>
      <c r="D282">
        <v>0</v>
      </c>
      <c r="E282">
        <v>1</v>
      </c>
      <c r="F282" s="88">
        <v>42134</v>
      </c>
      <c r="G282" t="s">
        <v>51</v>
      </c>
      <c r="H282" s="88">
        <v>42134</v>
      </c>
      <c r="I282" t="s">
        <v>345</v>
      </c>
    </row>
    <row r="283" spans="1:9" x14ac:dyDescent="0.2">
      <c r="A283" t="s">
        <v>202</v>
      </c>
      <c r="B283" s="32">
        <v>40.78</v>
      </c>
      <c r="C283">
        <v>1</v>
      </c>
      <c r="D283">
        <v>0</v>
      </c>
      <c r="E283">
        <v>1</v>
      </c>
      <c r="F283" s="88">
        <v>42134</v>
      </c>
      <c r="G283" t="s">
        <v>51</v>
      </c>
      <c r="H283" s="88">
        <v>42134</v>
      </c>
      <c r="I283" t="s">
        <v>345</v>
      </c>
    </row>
    <row r="284" spans="1:9" x14ac:dyDescent="0.2">
      <c r="A284" t="s">
        <v>0</v>
      </c>
      <c r="B284" s="32">
        <v>0</v>
      </c>
      <c r="C284">
        <v>1</v>
      </c>
      <c r="D284">
        <v>0</v>
      </c>
      <c r="E284">
        <v>1</v>
      </c>
      <c r="F284" s="88">
        <v>42134</v>
      </c>
      <c r="G284" t="s">
        <v>51</v>
      </c>
      <c r="H284" s="88">
        <v>42134</v>
      </c>
      <c r="I284" t="s">
        <v>346</v>
      </c>
    </row>
    <row r="285" spans="1:9" x14ac:dyDescent="0.2">
      <c r="A285" t="s">
        <v>3</v>
      </c>
      <c r="B285" s="32">
        <v>0</v>
      </c>
      <c r="C285">
        <v>1</v>
      </c>
      <c r="D285">
        <v>0</v>
      </c>
      <c r="E285">
        <v>1</v>
      </c>
      <c r="F285" s="88">
        <v>42134</v>
      </c>
      <c r="G285" t="s">
        <v>51</v>
      </c>
      <c r="H285" s="88">
        <v>42134</v>
      </c>
      <c r="I285" t="s">
        <v>346</v>
      </c>
    </row>
    <row r="286" spans="1:9" x14ac:dyDescent="0.2">
      <c r="A286" t="s">
        <v>1</v>
      </c>
      <c r="B286">
        <v>272.29000000000002</v>
      </c>
      <c r="C286">
        <v>1</v>
      </c>
      <c r="D286">
        <v>0</v>
      </c>
      <c r="E286">
        <v>1</v>
      </c>
      <c r="F286" s="88">
        <v>42134</v>
      </c>
      <c r="G286" t="s">
        <v>51</v>
      </c>
      <c r="H286" s="88">
        <v>42134</v>
      </c>
      <c r="I286" t="s">
        <v>346</v>
      </c>
    </row>
    <row r="287" spans="1:9" x14ac:dyDescent="0.2">
      <c r="A287" t="s">
        <v>156</v>
      </c>
      <c r="B287" s="32">
        <v>0</v>
      </c>
      <c r="C287">
        <v>1</v>
      </c>
      <c r="D287">
        <v>0</v>
      </c>
      <c r="E287">
        <v>1</v>
      </c>
      <c r="F287" s="88">
        <v>42134</v>
      </c>
      <c r="G287" t="s">
        <v>51</v>
      </c>
      <c r="H287" s="88">
        <v>42134</v>
      </c>
      <c r="I287" t="s">
        <v>346</v>
      </c>
    </row>
    <row r="288" spans="1:9" x14ac:dyDescent="0.2">
      <c r="A288" t="s">
        <v>26</v>
      </c>
      <c r="B288" s="32">
        <v>501.76</v>
      </c>
      <c r="C288">
        <v>1</v>
      </c>
      <c r="D288">
        <v>0</v>
      </c>
      <c r="E288">
        <v>1</v>
      </c>
      <c r="F288" s="88">
        <v>42134</v>
      </c>
      <c r="G288" t="s">
        <v>51</v>
      </c>
      <c r="H288" s="88">
        <v>42134</v>
      </c>
      <c r="I288" t="s">
        <v>345</v>
      </c>
    </row>
    <row r="289" spans="1:9" x14ac:dyDescent="0.2">
      <c r="A289" t="s">
        <v>28</v>
      </c>
      <c r="B289" s="32">
        <v>38.5</v>
      </c>
      <c r="C289">
        <v>1</v>
      </c>
      <c r="D289">
        <v>0</v>
      </c>
      <c r="E289">
        <v>1</v>
      </c>
      <c r="F289" s="88">
        <v>42134</v>
      </c>
      <c r="G289" t="s">
        <v>51</v>
      </c>
      <c r="H289" s="88">
        <v>42134</v>
      </c>
      <c r="I289" t="s">
        <v>345</v>
      </c>
    </row>
    <row r="290" spans="1:9" x14ac:dyDescent="0.2">
      <c r="A290" t="s">
        <v>27</v>
      </c>
      <c r="B290" s="32">
        <v>282.25</v>
      </c>
      <c r="C290">
        <v>1</v>
      </c>
      <c r="D290">
        <v>0</v>
      </c>
      <c r="E290">
        <v>1</v>
      </c>
      <c r="F290" s="88">
        <v>42134</v>
      </c>
      <c r="G290" t="s">
        <v>51</v>
      </c>
      <c r="H290" s="88">
        <v>42134</v>
      </c>
      <c r="I290" t="s">
        <v>345</v>
      </c>
    </row>
    <row r="291" spans="1:9" x14ac:dyDescent="0.2">
      <c r="A291" t="s">
        <v>12</v>
      </c>
      <c r="B291" s="32">
        <v>536.46</v>
      </c>
      <c r="C291">
        <v>1</v>
      </c>
      <c r="D291">
        <v>0</v>
      </c>
      <c r="E291">
        <v>1</v>
      </c>
      <c r="F291" s="88">
        <v>42134</v>
      </c>
      <c r="G291" t="s">
        <v>51</v>
      </c>
      <c r="H291" s="88">
        <v>42134</v>
      </c>
      <c r="I291" t="s">
        <v>348</v>
      </c>
    </row>
    <row r="292" spans="1:9" x14ac:dyDescent="0.2">
      <c r="A292" t="s">
        <v>25</v>
      </c>
      <c r="B292" s="32">
        <v>120</v>
      </c>
      <c r="C292">
        <v>1</v>
      </c>
      <c r="D292">
        <v>0</v>
      </c>
      <c r="E292">
        <v>1</v>
      </c>
      <c r="F292" s="88">
        <v>42134</v>
      </c>
      <c r="G292" t="s">
        <v>51</v>
      </c>
      <c r="H292" s="88">
        <v>42134</v>
      </c>
      <c r="I292" t="s">
        <v>347</v>
      </c>
    </row>
    <row r="293" spans="1:9" x14ac:dyDescent="0.2">
      <c r="A293" t="s">
        <v>198</v>
      </c>
      <c r="B293" s="32">
        <v>148.01</v>
      </c>
      <c r="C293">
        <v>1</v>
      </c>
      <c r="D293">
        <v>0</v>
      </c>
      <c r="E293">
        <v>1</v>
      </c>
      <c r="F293" s="88">
        <v>42134</v>
      </c>
      <c r="G293" t="s">
        <v>51</v>
      </c>
      <c r="H293" s="88">
        <v>42134</v>
      </c>
      <c r="I293" t="s">
        <v>347</v>
      </c>
    </row>
    <row r="294" spans="1:9" x14ac:dyDescent="0.2">
      <c r="A294" t="s">
        <v>199</v>
      </c>
      <c r="B294" s="32">
        <v>139.13</v>
      </c>
      <c r="C294">
        <v>1</v>
      </c>
      <c r="D294">
        <v>0</v>
      </c>
      <c r="E294">
        <v>1</v>
      </c>
      <c r="F294" s="88">
        <v>42134</v>
      </c>
      <c r="G294" t="s">
        <v>51</v>
      </c>
      <c r="H294" s="88">
        <v>42134</v>
      </c>
      <c r="I294" t="s">
        <v>347</v>
      </c>
    </row>
    <row r="295" spans="1:9" x14ac:dyDescent="0.2">
      <c r="A295" t="s">
        <v>200</v>
      </c>
      <c r="B295" s="32">
        <v>66.61</v>
      </c>
      <c r="C295">
        <v>1</v>
      </c>
      <c r="D295">
        <v>0</v>
      </c>
      <c r="E295">
        <v>1</v>
      </c>
      <c r="F295" s="88">
        <v>42134</v>
      </c>
      <c r="G295" t="s">
        <v>51</v>
      </c>
      <c r="H295" s="88">
        <v>42134</v>
      </c>
      <c r="I295" t="s">
        <v>347</v>
      </c>
    </row>
    <row r="296" spans="1:9" x14ac:dyDescent="0.2">
      <c r="A296" s="103" t="s">
        <v>44</v>
      </c>
      <c r="B296" s="104">
        <v>250</v>
      </c>
      <c r="C296">
        <v>1</v>
      </c>
      <c r="D296">
        <v>0</v>
      </c>
      <c r="E296" s="103">
        <v>1</v>
      </c>
      <c r="F296" s="88">
        <v>42134</v>
      </c>
      <c r="G296" t="s">
        <v>54</v>
      </c>
      <c r="H296" s="88">
        <v>42134</v>
      </c>
      <c r="I296" s="1" t="s">
        <v>60</v>
      </c>
    </row>
    <row r="297" spans="1:9" x14ac:dyDescent="0.2">
      <c r="A297" s="103" t="s">
        <v>29</v>
      </c>
      <c r="B297" s="104">
        <v>518</v>
      </c>
      <c r="C297">
        <v>1</v>
      </c>
      <c r="D297">
        <v>0</v>
      </c>
      <c r="E297">
        <v>1</v>
      </c>
      <c r="F297" s="88">
        <v>42134</v>
      </c>
      <c r="G297" t="s">
        <v>54</v>
      </c>
      <c r="H297" s="88">
        <v>42134</v>
      </c>
      <c r="I297" s="1" t="s">
        <v>346</v>
      </c>
    </row>
    <row r="298" spans="1:9" x14ac:dyDescent="0.2">
      <c r="A298" s="103" t="s">
        <v>584</v>
      </c>
      <c r="B298" s="104">
        <v>1340</v>
      </c>
      <c r="C298">
        <v>1</v>
      </c>
      <c r="D298">
        <v>0</v>
      </c>
      <c r="E298">
        <v>1</v>
      </c>
      <c r="F298" s="88">
        <v>42134</v>
      </c>
      <c r="G298" t="s">
        <v>54</v>
      </c>
      <c r="H298" s="88">
        <v>42134</v>
      </c>
      <c r="I298" s="1" t="s">
        <v>346</v>
      </c>
    </row>
    <row r="299" spans="1:9" x14ac:dyDescent="0.2">
      <c r="A299" s="103" t="s">
        <v>96</v>
      </c>
      <c r="B299" s="104">
        <v>300</v>
      </c>
      <c r="C299">
        <v>0</v>
      </c>
      <c r="D299">
        <v>1</v>
      </c>
      <c r="E299">
        <v>1</v>
      </c>
      <c r="F299" s="88">
        <v>42134</v>
      </c>
      <c r="G299" t="s">
        <v>54</v>
      </c>
      <c r="H299" s="88">
        <v>42134</v>
      </c>
      <c r="I299" s="1" t="s">
        <v>50</v>
      </c>
    </row>
    <row r="300" spans="1:9" x14ac:dyDescent="0.2">
      <c r="A300" s="103" t="s">
        <v>52</v>
      </c>
      <c r="B300" s="104">
        <v>400</v>
      </c>
      <c r="C300">
        <v>0</v>
      </c>
      <c r="D300">
        <v>1</v>
      </c>
      <c r="E300">
        <v>1</v>
      </c>
      <c r="F300" s="88">
        <v>42134</v>
      </c>
      <c r="G300" t="s">
        <v>54</v>
      </c>
      <c r="H300" s="88">
        <v>42134</v>
      </c>
      <c r="I300" s="1" t="s">
        <v>52</v>
      </c>
    </row>
    <row r="301" spans="1:9" x14ac:dyDescent="0.2">
      <c r="A301" s="103" t="s">
        <v>189</v>
      </c>
      <c r="B301" s="104">
        <v>200</v>
      </c>
      <c r="C301">
        <v>0</v>
      </c>
      <c r="D301">
        <v>1</v>
      </c>
      <c r="E301">
        <v>1</v>
      </c>
      <c r="F301" s="88">
        <v>42134</v>
      </c>
      <c r="G301" t="s">
        <v>54</v>
      </c>
      <c r="H301" s="88">
        <v>42134</v>
      </c>
      <c r="I301" s="1" t="s">
        <v>189</v>
      </c>
    </row>
    <row r="302" spans="1:9" x14ac:dyDescent="0.2">
      <c r="A302" s="103" t="s">
        <v>43</v>
      </c>
      <c r="B302" s="104">
        <v>300</v>
      </c>
      <c r="C302">
        <v>1</v>
      </c>
      <c r="D302">
        <v>0</v>
      </c>
      <c r="E302">
        <v>1</v>
      </c>
      <c r="F302" s="88">
        <v>42134</v>
      </c>
      <c r="G302" t="s">
        <v>54</v>
      </c>
      <c r="H302" s="88">
        <v>42134</v>
      </c>
      <c r="I302" s="1" t="s">
        <v>340</v>
      </c>
    </row>
    <row r="303" spans="1:9" x14ac:dyDescent="0.2">
      <c r="A303" s="103" t="s">
        <v>712</v>
      </c>
      <c r="B303" s="104">
        <v>100</v>
      </c>
      <c r="C303">
        <v>1</v>
      </c>
      <c r="D303">
        <v>0</v>
      </c>
      <c r="E303">
        <v>1</v>
      </c>
      <c r="F303" s="88">
        <v>42134</v>
      </c>
      <c r="G303" t="s">
        <v>51</v>
      </c>
      <c r="H303" s="88">
        <v>42134</v>
      </c>
      <c r="I303" s="1" t="s">
        <v>153</v>
      </c>
    </row>
    <row r="304" spans="1:9" x14ac:dyDescent="0.2">
      <c r="A304" s="27" t="s">
        <v>21</v>
      </c>
      <c r="B304" s="85">
        <f>SUMIFS(credito!$B$2:$B$198,credito!$F$2:$F$198,F304,credito!$G$2:$G$198,0)</f>
        <v>0</v>
      </c>
      <c r="C304" s="27">
        <v>1</v>
      </c>
      <c r="D304" s="27">
        <v>0</v>
      </c>
      <c r="E304" s="27">
        <v>1</v>
      </c>
      <c r="F304" s="84">
        <v>42165</v>
      </c>
      <c r="G304" s="27" t="s">
        <v>51</v>
      </c>
      <c r="H304" s="84">
        <v>42172</v>
      </c>
      <c r="I304" s="27" t="s">
        <v>338</v>
      </c>
    </row>
    <row r="305" spans="1:9" x14ac:dyDescent="0.2">
      <c r="A305" t="s">
        <v>39</v>
      </c>
      <c r="B305" s="32">
        <v>41</v>
      </c>
      <c r="C305">
        <v>1</v>
      </c>
      <c r="D305">
        <v>0</v>
      </c>
      <c r="E305">
        <v>1</v>
      </c>
      <c r="F305" s="84">
        <v>42165</v>
      </c>
      <c r="G305" t="s">
        <v>51</v>
      </c>
      <c r="H305" s="72">
        <v>42189</v>
      </c>
      <c r="I305" t="s">
        <v>345</v>
      </c>
    </row>
    <row r="306" spans="1:9" x14ac:dyDescent="0.2">
      <c r="A306" t="s">
        <v>40</v>
      </c>
      <c r="B306" s="32">
        <v>4.99</v>
      </c>
      <c r="C306">
        <v>1</v>
      </c>
      <c r="D306">
        <v>0</v>
      </c>
      <c r="E306">
        <v>1</v>
      </c>
      <c r="F306" s="88">
        <v>42165</v>
      </c>
      <c r="G306" t="s">
        <v>51</v>
      </c>
      <c r="H306" s="88">
        <v>42165</v>
      </c>
      <c r="I306" t="s">
        <v>345</v>
      </c>
    </row>
    <row r="307" spans="1:9" x14ac:dyDescent="0.2">
      <c r="A307" t="s">
        <v>2</v>
      </c>
      <c r="B307" s="32">
        <v>50</v>
      </c>
      <c r="C307">
        <v>1</v>
      </c>
      <c r="D307">
        <v>0</v>
      </c>
      <c r="E307">
        <v>1</v>
      </c>
      <c r="F307" s="88">
        <v>42165</v>
      </c>
      <c r="G307" t="s">
        <v>51</v>
      </c>
      <c r="H307" s="88">
        <v>42165</v>
      </c>
      <c r="I307" t="s">
        <v>349</v>
      </c>
    </row>
    <row r="308" spans="1:9" x14ac:dyDescent="0.2">
      <c r="A308" t="s">
        <v>38</v>
      </c>
      <c r="B308" s="32">
        <v>57</v>
      </c>
      <c r="C308">
        <v>1</v>
      </c>
      <c r="D308">
        <v>0</v>
      </c>
      <c r="E308">
        <v>1</v>
      </c>
      <c r="F308" s="88">
        <v>42165</v>
      </c>
      <c r="G308" t="s">
        <v>51</v>
      </c>
      <c r="H308" s="88">
        <v>42165</v>
      </c>
      <c r="I308" t="s">
        <v>345</v>
      </c>
    </row>
    <row r="309" spans="1:9" x14ac:dyDescent="0.2">
      <c r="A309" t="s">
        <v>202</v>
      </c>
      <c r="B309" s="32">
        <v>40.78</v>
      </c>
      <c r="C309">
        <v>1</v>
      </c>
      <c r="D309">
        <v>0</v>
      </c>
      <c r="E309">
        <v>1</v>
      </c>
      <c r="F309" s="88">
        <v>42165</v>
      </c>
      <c r="G309" t="s">
        <v>51</v>
      </c>
      <c r="H309" s="88">
        <v>42165</v>
      </c>
      <c r="I309" t="s">
        <v>345</v>
      </c>
    </row>
    <row r="310" spans="1:9" x14ac:dyDescent="0.2">
      <c r="A310" t="s">
        <v>0</v>
      </c>
      <c r="B310" s="32">
        <v>0</v>
      </c>
      <c r="C310">
        <v>1</v>
      </c>
      <c r="D310">
        <v>0</v>
      </c>
      <c r="E310">
        <v>1</v>
      </c>
      <c r="F310" s="88">
        <v>42165</v>
      </c>
      <c r="G310" t="s">
        <v>51</v>
      </c>
      <c r="H310" s="88">
        <v>42165</v>
      </c>
      <c r="I310" t="s">
        <v>346</v>
      </c>
    </row>
    <row r="311" spans="1:9" x14ac:dyDescent="0.2">
      <c r="A311" t="s">
        <v>3</v>
      </c>
      <c r="B311" s="32">
        <v>0</v>
      </c>
      <c r="C311">
        <v>1</v>
      </c>
      <c r="D311">
        <v>0</v>
      </c>
      <c r="E311">
        <v>1</v>
      </c>
      <c r="F311" s="88">
        <v>42165</v>
      </c>
      <c r="G311" t="s">
        <v>51</v>
      </c>
      <c r="H311" s="88">
        <v>42165</v>
      </c>
      <c r="I311" t="s">
        <v>346</v>
      </c>
    </row>
    <row r="312" spans="1:9" x14ac:dyDescent="0.2">
      <c r="A312" t="s">
        <v>1</v>
      </c>
      <c r="B312">
        <v>272.29000000000002</v>
      </c>
      <c r="C312">
        <v>1</v>
      </c>
      <c r="D312">
        <v>0</v>
      </c>
      <c r="E312">
        <v>1</v>
      </c>
      <c r="F312" s="88">
        <v>42165</v>
      </c>
      <c r="G312" t="s">
        <v>51</v>
      </c>
      <c r="H312" s="88">
        <v>42165</v>
      </c>
      <c r="I312" t="s">
        <v>346</v>
      </c>
    </row>
    <row r="313" spans="1:9" x14ac:dyDescent="0.2">
      <c r="A313" t="s">
        <v>156</v>
      </c>
      <c r="B313" s="32">
        <v>0</v>
      </c>
      <c r="C313">
        <v>1</v>
      </c>
      <c r="D313">
        <v>0</v>
      </c>
      <c r="E313">
        <v>1</v>
      </c>
      <c r="F313" s="88">
        <v>42165</v>
      </c>
      <c r="G313" t="s">
        <v>51</v>
      </c>
      <c r="H313" s="88">
        <v>42165</v>
      </c>
      <c r="I313" t="s">
        <v>346</v>
      </c>
    </row>
    <row r="314" spans="1:9" x14ac:dyDescent="0.2">
      <c r="A314" t="s">
        <v>26</v>
      </c>
      <c r="B314" s="32">
        <v>501.76</v>
      </c>
      <c r="C314">
        <v>1</v>
      </c>
      <c r="D314">
        <v>0</v>
      </c>
      <c r="E314">
        <v>1</v>
      </c>
      <c r="F314" s="88">
        <v>42165</v>
      </c>
      <c r="G314" t="s">
        <v>51</v>
      </c>
      <c r="H314" s="88">
        <v>42165</v>
      </c>
      <c r="I314" t="s">
        <v>345</v>
      </c>
    </row>
    <row r="315" spans="1:9" x14ac:dyDescent="0.2">
      <c r="A315" t="s">
        <v>28</v>
      </c>
      <c r="B315" s="32">
        <v>38.5</v>
      </c>
      <c r="C315">
        <v>1</v>
      </c>
      <c r="D315">
        <v>0</v>
      </c>
      <c r="E315">
        <v>1</v>
      </c>
      <c r="F315" s="88">
        <v>42165</v>
      </c>
      <c r="G315" t="s">
        <v>51</v>
      </c>
      <c r="H315" s="88">
        <v>42165</v>
      </c>
      <c r="I315" t="s">
        <v>345</v>
      </c>
    </row>
    <row r="316" spans="1:9" x14ac:dyDescent="0.2">
      <c r="A316" t="s">
        <v>27</v>
      </c>
      <c r="B316" s="32">
        <v>282.25</v>
      </c>
      <c r="C316">
        <v>1</v>
      </c>
      <c r="D316">
        <v>0</v>
      </c>
      <c r="E316">
        <v>1</v>
      </c>
      <c r="F316" s="88">
        <v>42165</v>
      </c>
      <c r="G316" t="s">
        <v>51</v>
      </c>
      <c r="H316" s="88">
        <v>42165</v>
      </c>
      <c r="I316" t="s">
        <v>345</v>
      </c>
    </row>
    <row r="317" spans="1:9" x14ac:dyDescent="0.2">
      <c r="A317" t="s">
        <v>12</v>
      </c>
      <c r="B317" s="32">
        <v>536.46</v>
      </c>
      <c r="C317">
        <v>1</v>
      </c>
      <c r="D317">
        <v>0</v>
      </c>
      <c r="E317">
        <v>1</v>
      </c>
      <c r="F317" s="88">
        <v>42165</v>
      </c>
      <c r="G317" t="s">
        <v>51</v>
      </c>
      <c r="H317" s="88">
        <v>42165</v>
      </c>
      <c r="I317" t="s">
        <v>348</v>
      </c>
    </row>
    <row r="318" spans="1:9" x14ac:dyDescent="0.2">
      <c r="A318" t="s">
        <v>25</v>
      </c>
      <c r="B318" s="32">
        <v>120</v>
      </c>
      <c r="C318">
        <v>1</v>
      </c>
      <c r="D318">
        <v>0</v>
      </c>
      <c r="E318">
        <v>1</v>
      </c>
      <c r="F318" s="88">
        <v>42165</v>
      </c>
      <c r="G318" t="s">
        <v>51</v>
      </c>
      <c r="H318" s="88">
        <v>42165</v>
      </c>
      <c r="I318" t="s">
        <v>347</v>
      </c>
    </row>
    <row r="319" spans="1:9" x14ac:dyDescent="0.2">
      <c r="A319" t="s">
        <v>198</v>
      </c>
      <c r="B319" s="32">
        <v>148.01</v>
      </c>
      <c r="C319">
        <v>1</v>
      </c>
      <c r="D319">
        <v>0</v>
      </c>
      <c r="E319">
        <v>1</v>
      </c>
      <c r="F319" s="88">
        <v>42165</v>
      </c>
      <c r="G319" t="s">
        <v>51</v>
      </c>
      <c r="H319" s="88">
        <v>42165</v>
      </c>
      <c r="I319" t="s">
        <v>347</v>
      </c>
    </row>
    <row r="320" spans="1:9" x14ac:dyDescent="0.2">
      <c r="A320" t="s">
        <v>199</v>
      </c>
      <c r="B320" s="32">
        <v>139.13</v>
      </c>
      <c r="C320">
        <v>1</v>
      </c>
      <c r="D320">
        <v>0</v>
      </c>
      <c r="E320">
        <v>1</v>
      </c>
      <c r="F320" s="88">
        <v>42165</v>
      </c>
      <c r="G320" t="s">
        <v>51</v>
      </c>
      <c r="H320" s="88">
        <v>42165</v>
      </c>
      <c r="I320" t="s">
        <v>347</v>
      </c>
    </row>
    <row r="321" spans="1:9" x14ac:dyDescent="0.2">
      <c r="A321" t="s">
        <v>200</v>
      </c>
      <c r="B321" s="32">
        <v>66.61</v>
      </c>
      <c r="C321">
        <v>1</v>
      </c>
      <c r="D321">
        <v>0</v>
      </c>
      <c r="E321">
        <v>1</v>
      </c>
      <c r="F321" s="88">
        <v>42165</v>
      </c>
      <c r="G321" t="s">
        <v>51</v>
      </c>
      <c r="H321" s="88">
        <v>42165</v>
      </c>
      <c r="I321" t="s">
        <v>347</v>
      </c>
    </row>
    <row r="322" spans="1:9" x14ac:dyDescent="0.2">
      <c r="A322" s="103" t="s">
        <v>44</v>
      </c>
      <c r="B322" s="104">
        <v>250</v>
      </c>
      <c r="C322">
        <v>1</v>
      </c>
      <c r="D322">
        <v>0</v>
      </c>
      <c r="E322" s="103">
        <v>1</v>
      </c>
      <c r="F322" s="88">
        <v>42165</v>
      </c>
      <c r="G322" t="s">
        <v>54</v>
      </c>
      <c r="H322" s="88">
        <v>42165</v>
      </c>
      <c r="I322" s="1" t="s">
        <v>60</v>
      </c>
    </row>
    <row r="323" spans="1:9" x14ac:dyDescent="0.2">
      <c r="A323" s="103" t="s">
        <v>29</v>
      </c>
      <c r="B323" s="104">
        <v>518</v>
      </c>
      <c r="C323">
        <v>1</v>
      </c>
      <c r="D323">
        <v>0</v>
      </c>
      <c r="E323">
        <v>1</v>
      </c>
      <c r="F323" s="88">
        <v>42165</v>
      </c>
      <c r="G323" t="s">
        <v>54</v>
      </c>
      <c r="H323" s="88">
        <v>42165</v>
      </c>
      <c r="I323" s="1" t="s">
        <v>346</v>
      </c>
    </row>
    <row r="324" spans="1:9" x14ac:dyDescent="0.2">
      <c r="A324" s="103" t="s">
        <v>584</v>
      </c>
      <c r="B324" s="104">
        <v>1340</v>
      </c>
      <c r="C324">
        <v>1</v>
      </c>
      <c r="D324">
        <v>0</v>
      </c>
      <c r="E324">
        <v>1</v>
      </c>
      <c r="F324" s="88">
        <v>42165</v>
      </c>
      <c r="G324" t="s">
        <v>54</v>
      </c>
      <c r="H324" s="88">
        <v>42165</v>
      </c>
      <c r="I324" s="1" t="s">
        <v>346</v>
      </c>
    </row>
    <row r="325" spans="1:9" x14ac:dyDescent="0.2">
      <c r="A325" s="103" t="s">
        <v>96</v>
      </c>
      <c r="B325" s="104">
        <v>300</v>
      </c>
      <c r="C325">
        <v>0</v>
      </c>
      <c r="D325">
        <v>1</v>
      </c>
      <c r="E325">
        <v>1</v>
      </c>
      <c r="F325" s="88">
        <v>42165</v>
      </c>
      <c r="G325" t="s">
        <v>54</v>
      </c>
      <c r="H325" s="88">
        <v>42165</v>
      </c>
      <c r="I325" s="1" t="s">
        <v>50</v>
      </c>
    </row>
    <row r="326" spans="1:9" x14ac:dyDescent="0.2">
      <c r="A326" s="103" t="s">
        <v>52</v>
      </c>
      <c r="B326" s="104">
        <v>400</v>
      </c>
      <c r="C326">
        <v>0</v>
      </c>
      <c r="D326">
        <v>1</v>
      </c>
      <c r="E326">
        <v>1</v>
      </c>
      <c r="F326" s="88">
        <v>42165</v>
      </c>
      <c r="G326" t="s">
        <v>54</v>
      </c>
      <c r="H326" s="88">
        <v>42165</v>
      </c>
      <c r="I326" s="1" t="s">
        <v>52</v>
      </c>
    </row>
    <row r="327" spans="1:9" x14ac:dyDescent="0.2">
      <c r="A327" s="103" t="s">
        <v>189</v>
      </c>
      <c r="B327" s="104">
        <v>200</v>
      </c>
      <c r="C327">
        <v>0</v>
      </c>
      <c r="D327">
        <v>1</v>
      </c>
      <c r="E327">
        <v>1</v>
      </c>
      <c r="F327" s="88">
        <v>42165</v>
      </c>
      <c r="G327" t="s">
        <v>54</v>
      </c>
      <c r="H327" s="88">
        <v>42165</v>
      </c>
      <c r="I327" s="1" t="s">
        <v>189</v>
      </c>
    </row>
    <row r="328" spans="1:9" x14ac:dyDescent="0.2">
      <c r="A328" s="103" t="s">
        <v>43</v>
      </c>
      <c r="B328" s="104">
        <v>300</v>
      </c>
      <c r="C328">
        <v>1</v>
      </c>
      <c r="D328">
        <v>0</v>
      </c>
      <c r="E328">
        <v>1</v>
      </c>
      <c r="F328" s="88">
        <v>42165</v>
      </c>
      <c r="G328" t="s">
        <v>54</v>
      </c>
      <c r="H328" s="88">
        <v>42165</v>
      </c>
      <c r="I328" s="1" t="s">
        <v>340</v>
      </c>
    </row>
    <row r="329" spans="1:9" x14ac:dyDescent="0.2">
      <c r="A329" s="27" t="s">
        <v>21</v>
      </c>
      <c r="B329" s="85">
        <f>SUMIFS(credito!$B$2:$B$198,credito!$F$2:$F$198,F329,credito!$G$2:$G$198,0)</f>
        <v>0</v>
      </c>
      <c r="C329" s="27">
        <v>1</v>
      </c>
      <c r="D329" s="27">
        <v>0</v>
      </c>
      <c r="E329" s="27">
        <v>1</v>
      </c>
      <c r="F329" s="84">
        <v>42195</v>
      </c>
      <c r="G329" s="27" t="s">
        <v>51</v>
      </c>
      <c r="H329" s="84">
        <v>42202</v>
      </c>
      <c r="I329" s="27" t="s">
        <v>338</v>
      </c>
    </row>
    <row r="330" spans="1:9" x14ac:dyDescent="0.2">
      <c r="A330" t="s">
        <v>39</v>
      </c>
      <c r="B330" s="32">
        <v>41</v>
      </c>
      <c r="C330">
        <v>1</v>
      </c>
      <c r="D330">
        <v>0</v>
      </c>
      <c r="E330">
        <v>1</v>
      </c>
      <c r="F330" s="88">
        <v>42195</v>
      </c>
      <c r="G330" t="s">
        <v>51</v>
      </c>
      <c r="H330" s="72">
        <v>42159</v>
      </c>
      <c r="I330" t="s">
        <v>345</v>
      </c>
    </row>
    <row r="331" spans="1:9" x14ac:dyDescent="0.2">
      <c r="A331" t="s">
        <v>40</v>
      </c>
      <c r="B331" s="32">
        <v>4.99</v>
      </c>
      <c r="C331">
        <v>1</v>
      </c>
      <c r="D331">
        <v>0</v>
      </c>
      <c r="E331">
        <v>1</v>
      </c>
      <c r="F331" s="88">
        <v>42195</v>
      </c>
      <c r="G331" t="s">
        <v>51</v>
      </c>
      <c r="H331" s="88">
        <v>42195</v>
      </c>
      <c r="I331" t="s">
        <v>345</v>
      </c>
    </row>
    <row r="332" spans="1:9" x14ac:dyDescent="0.2">
      <c r="A332" t="s">
        <v>2</v>
      </c>
      <c r="B332" s="32">
        <v>50</v>
      </c>
      <c r="C332">
        <v>1</v>
      </c>
      <c r="D332">
        <v>0</v>
      </c>
      <c r="E332">
        <v>1</v>
      </c>
      <c r="F332" s="88">
        <v>42195</v>
      </c>
      <c r="G332" t="s">
        <v>51</v>
      </c>
      <c r="H332" s="88">
        <v>42195</v>
      </c>
      <c r="I332" t="s">
        <v>349</v>
      </c>
    </row>
    <row r="333" spans="1:9" x14ac:dyDescent="0.2">
      <c r="A333" t="s">
        <v>38</v>
      </c>
      <c r="B333" s="32">
        <v>57</v>
      </c>
      <c r="C333">
        <v>1</v>
      </c>
      <c r="D333">
        <v>0</v>
      </c>
      <c r="E333">
        <v>1</v>
      </c>
      <c r="F333" s="88">
        <v>42195</v>
      </c>
      <c r="G333" t="s">
        <v>51</v>
      </c>
      <c r="H333" s="88">
        <v>42195</v>
      </c>
      <c r="I333" t="s">
        <v>345</v>
      </c>
    </row>
    <row r="334" spans="1:9" x14ac:dyDescent="0.2">
      <c r="A334" t="s">
        <v>202</v>
      </c>
      <c r="B334" s="32">
        <v>40.78</v>
      </c>
      <c r="C334">
        <v>1</v>
      </c>
      <c r="D334">
        <v>0</v>
      </c>
      <c r="E334">
        <v>1</v>
      </c>
      <c r="F334" s="88">
        <v>42195</v>
      </c>
      <c r="G334" t="s">
        <v>51</v>
      </c>
      <c r="H334" s="88">
        <v>42195</v>
      </c>
      <c r="I334" t="s">
        <v>345</v>
      </c>
    </row>
    <row r="335" spans="1:9" x14ac:dyDescent="0.2">
      <c r="A335" t="s">
        <v>0</v>
      </c>
      <c r="B335" s="32">
        <v>0</v>
      </c>
      <c r="C335">
        <v>1</v>
      </c>
      <c r="D335">
        <v>0</v>
      </c>
      <c r="E335">
        <v>1</v>
      </c>
      <c r="F335" s="88">
        <v>42195</v>
      </c>
      <c r="G335" t="s">
        <v>51</v>
      </c>
      <c r="H335" s="88">
        <v>42195</v>
      </c>
      <c r="I335" t="s">
        <v>346</v>
      </c>
    </row>
    <row r="336" spans="1:9" x14ac:dyDescent="0.2">
      <c r="A336" t="s">
        <v>3</v>
      </c>
      <c r="B336" s="32">
        <v>0</v>
      </c>
      <c r="C336">
        <v>1</v>
      </c>
      <c r="D336">
        <v>0</v>
      </c>
      <c r="E336">
        <v>1</v>
      </c>
      <c r="F336" s="88">
        <v>42195</v>
      </c>
      <c r="G336" t="s">
        <v>51</v>
      </c>
      <c r="H336" s="88">
        <v>42195</v>
      </c>
      <c r="I336" t="s">
        <v>346</v>
      </c>
    </row>
    <row r="337" spans="1:9" x14ac:dyDescent="0.2">
      <c r="A337" t="s">
        <v>1</v>
      </c>
      <c r="B337">
        <v>264.08999999999997</v>
      </c>
      <c r="C337">
        <v>1</v>
      </c>
      <c r="D337">
        <v>0</v>
      </c>
      <c r="E337">
        <v>1</v>
      </c>
      <c r="F337" s="88">
        <v>42195</v>
      </c>
      <c r="G337" t="s">
        <v>51</v>
      </c>
      <c r="H337" s="88">
        <v>42195</v>
      </c>
      <c r="I337" t="s">
        <v>346</v>
      </c>
    </row>
    <row r="338" spans="1:9" x14ac:dyDescent="0.2">
      <c r="A338" t="s">
        <v>156</v>
      </c>
      <c r="B338" s="32">
        <v>0</v>
      </c>
      <c r="C338">
        <v>1</v>
      </c>
      <c r="D338">
        <v>0</v>
      </c>
      <c r="E338">
        <v>1</v>
      </c>
      <c r="F338" s="88">
        <v>42195</v>
      </c>
      <c r="G338" t="s">
        <v>51</v>
      </c>
      <c r="H338" s="88">
        <v>42195</v>
      </c>
      <c r="I338" t="s">
        <v>346</v>
      </c>
    </row>
    <row r="339" spans="1:9" x14ac:dyDescent="0.2">
      <c r="A339" t="s">
        <v>26</v>
      </c>
      <c r="B339" s="32">
        <v>501.76</v>
      </c>
      <c r="C339">
        <v>1</v>
      </c>
      <c r="D339">
        <v>0</v>
      </c>
      <c r="E339">
        <v>1</v>
      </c>
      <c r="F339" s="88">
        <v>42195</v>
      </c>
      <c r="G339" t="s">
        <v>51</v>
      </c>
      <c r="H339" s="88">
        <v>42195</v>
      </c>
      <c r="I339" t="s">
        <v>345</v>
      </c>
    </row>
    <row r="340" spans="1:9" x14ac:dyDescent="0.2">
      <c r="A340" t="s">
        <v>28</v>
      </c>
      <c r="B340" s="32">
        <v>38.5</v>
      </c>
      <c r="C340">
        <v>1</v>
      </c>
      <c r="D340">
        <v>0</v>
      </c>
      <c r="E340">
        <v>1</v>
      </c>
      <c r="F340" s="88">
        <v>42195</v>
      </c>
      <c r="G340" t="s">
        <v>51</v>
      </c>
      <c r="H340" s="88">
        <v>42195</v>
      </c>
      <c r="I340" t="s">
        <v>345</v>
      </c>
    </row>
    <row r="341" spans="1:9" x14ac:dyDescent="0.2">
      <c r="A341" t="s">
        <v>27</v>
      </c>
      <c r="B341" s="32">
        <v>282.25</v>
      </c>
      <c r="C341">
        <v>1</v>
      </c>
      <c r="D341">
        <v>0</v>
      </c>
      <c r="E341">
        <v>1</v>
      </c>
      <c r="F341" s="88">
        <v>42195</v>
      </c>
      <c r="G341" t="s">
        <v>51</v>
      </c>
      <c r="H341" s="88">
        <v>42195</v>
      </c>
      <c r="I341" t="s">
        <v>345</v>
      </c>
    </row>
    <row r="342" spans="1:9" x14ac:dyDescent="0.2">
      <c r="A342" t="s">
        <v>12</v>
      </c>
      <c r="B342" s="32">
        <v>536.46</v>
      </c>
      <c r="C342">
        <v>1</v>
      </c>
      <c r="D342">
        <v>0</v>
      </c>
      <c r="E342">
        <v>1</v>
      </c>
      <c r="F342" s="88">
        <v>42195</v>
      </c>
      <c r="G342" t="s">
        <v>51</v>
      </c>
      <c r="H342" s="88">
        <v>42195</v>
      </c>
      <c r="I342" t="s">
        <v>348</v>
      </c>
    </row>
    <row r="343" spans="1:9" x14ac:dyDescent="0.2">
      <c r="A343" t="s">
        <v>25</v>
      </c>
      <c r="B343" s="32">
        <v>120</v>
      </c>
      <c r="C343">
        <v>1</v>
      </c>
      <c r="D343">
        <v>0</v>
      </c>
      <c r="E343">
        <v>1</v>
      </c>
      <c r="F343" s="88">
        <v>42195</v>
      </c>
      <c r="G343" t="s">
        <v>51</v>
      </c>
      <c r="H343" s="88">
        <v>42195</v>
      </c>
      <c r="I343" t="s">
        <v>347</v>
      </c>
    </row>
    <row r="344" spans="1:9" x14ac:dyDescent="0.2">
      <c r="A344" t="s">
        <v>198</v>
      </c>
      <c r="B344" s="32">
        <v>148.01</v>
      </c>
      <c r="C344">
        <v>1</v>
      </c>
      <c r="D344">
        <v>0</v>
      </c>
      <c r="E344">
        <v>1</v>
      </c>
      <c r="F344" s="88">
        <v>42195</v>
      </c>
      <c r="G344" t="s">
        <v>51</v>
      </c>
      <c r="H344" s="88">
        <v>42195</v>
      </c>
      <c r="I344" t="s">
        <v>347</v>
      </c>
    </row>
    <row r="345" spans="1:9" x14ac:dyDescent="0.2">
      <c r="A345" t="s">
        <v>199</v>
      </c>
      <c r="B345" s="32">
        <v>139.13</v>
      </c>
      <c r="C345">
        <v>1</v>
      </c>
      <c r="D345">
        <v>0</v>
      </c>
      <c r="E345">
        <v>1</v>
      </c>
      <c r="F345" s="88">
        <v>42195</v>
      </c>
      <c r="G345" t="s">
        <v>51</v>
      </c>
      <c r="H345" s="88">
        <v>42195</v>
      </c>
      <c r="I345" t="s">
        <v>347</v>
      </c>
    </row>
    <row r="346" spans="1:9" x14ac:dyDescent="0.2">
      <c r="A346" t="s">
        <v>200</v>
      </c>
      <c r="B346" s="32">
        <v>66.61</v>
      </c>
      <c r="C346">
        <v>1</v>
      </c>
      <c r="D346">
        <v>0</v>
      </c>
      <c r="E346">
        <v>1</v>
      </c>
      <c r="F346" s="88">
        <v>42195</v>
      </c>
      <c r="G346" t="s">
        <v>51</v>
      </c>
      <c r="H346" s="88">
        <v>42195</v>
      </c>
      <c r="I346" t="s">
        <v>347</v>
      </c>
    </row>
    <row r="347" spans="1:9" x14ac:dyDescent="0.2">
      <c r="A347" s="103" t="s">
        <v>44</v>
      </c>
      <c r="B347" s="104">
        <v>200</v>
      </c>
      <c r="C347">
        <v>1</v>
      </c>
      <c r="D347">
        <v>0</v>
      </c>
      <c r="E347" s="103">
        <v>1</v>
      </c>
      <c r="F347" s="88">
        <v>42195</v>
      </c>
      <c r="G347" t="s">
        <v>54</v>
      </c>
      <c r="H347" s="88">
        <v>42195</v>
      </c>
      <c r="I347" s="1" t="s">
        <v>60</v>
      </c>
    </row>
    <row r="348" spans="1:9" x14ac:dyDescent="0.2">
      <c r="A348" s="103" t="s">
        <v>584</v>
      </c>
      <c r="B348" s="104">
        <v>1340</v>
      </c>
      <c r="C348">
        <v>1</v>
      </c>
      <c r="D348">
        <v>0</v>
      </c>
      <c r="E348">
        <v>1</v>
      </c>
      <c r="F348" s="88">
        <v>42195</v>
      </c>
      <c r="G348" t="s">
        <v>54</v>
      </c>
      <c r="H348" s="88">
        <v>42195</v>
      </c>
      <c r="I348" s="1" t="s">
        <v>346</v>
      </c>
    </row>
    <row r="349" spans="1:9" x14ac:dyDescent="0.2">
      <c r="A349" s="103" t="s">
        <v>96</v>
      </c>
      <c r="B349" s="104">
        <v>300</v>
      </c>
      <c r="C349">
        <v>0</v>
      </c>
      <c r="D349">
        <v>1</v>
      </c>
      <c r="E349">
        <v>1</v>
      </c>
      <c r="F349" s="88">
        <v>42195</v>
      </c>
      <c r="G349" t="s">
        <v>54</v>
      </c>
      <c r="H349" s="88">
        <v>42195</v>
      </c>
      <c r="I349" s="1" t="s">
        <v>50</v>
      </c>
    </row>
    <row r="350" spans="1:9" x14ac:dyDescent="0.2">
      <c r="A350" s="103" t="s">
        <v>52</v>
      </c>
      <c r="B350" s="104">
        <v>400</v>
      </c>
      <c r="C350">
        <v>0</v>
      </c>
      <c r="D350">
        <v>1</v>
      </c>
      <c r="E350">
        <v>1</v>
      </c>
      <c r="F350" s="88">
        <v>42195</v>
      </c>
      <c r="G350" t="s">
        <v>54</v>
      </c>
      <c r="H350" s="88">
        <v>42195</v>
      </c>
      <c r="I350" s="1" t="s">
        <v>52</v>
      </c>
    </row>
    <row r="351" spans="1:9" x14ac:dyDescent="0.2">
      <c r="A351" s="103" t="s">
        <v>189</v>
      </c>
      <c r="B351" s="104">
        <v>200</v>
      </c>
      <c r="C351">
        <v>0</v>
      </c>
      <c r="D351">
        <v>1</v>
      </c>
      <c r="E351">
        <v>1</v>
      </c>
      <c r="F351" s="88">
        <v>42195</v>
      </c>
      <c r="G351" t="s">
        <v>54</v>
      </c>
      <c r="H351" s="88">
        <v>42195</v>
      </c>
      <c r="I351" s="1" t="s">
        <v>189</v>
      </c>
    </row>
    <row r="352" spans="1:9" x14ac:dyDescent="0.2">
      <c r="A352" s="103" t="s">
        <v>43</v>
      </c>
      <c r="B352" s="104">
        <v>300</v>
      </c>
      <c r="C352">
        <v>1</v>
      </c>
      <c r="D352">
        <v>0</v>
      </c>
      <c r="E352">
        <v>1</v>
      </c>
      <c r="F352" s="88">
        <v>42195</v>
      </c>
      <c r="G352" t="s">
        <v>54</v>
      </c>
      <c r="H352" s="88">
        <v>42195</v>
      </c>
      <c r="I352" s="1" t="s">
        <v>340</v>
      </c>
    </row>
    <row r="353" spans="1:9" x14ac:dyDescent="0.2">
      <c r="A353" s="27" t="s">
        <v>21</v>
      </c>
      <c r="B353" s="85">
        <f>SUMIFS(credito!$B$2:$B$198,credito!$F$2:$F$198,F353,credito!$G$2:$G$198,0)</f>
        <v>0</v>
      </c>
      <c r="C353" s="27">
        <v>1</v>
      </c>
      <c r="D353" s="27">
        <v>0</v>
      </c>
      <c r="E353" s="27">
        <v>1</v>
      </c>
      <c r="F353" s="84">
        <v>42226</v>
      </c>
      <c r="G353" s="27" t="s">
        <v>51</v>
      </c>
      <c r="H353" s="84">
        <v>42233</v>
      </c>
      <c r="I353" s="27" t="s">
        <v>338</v>
      </c>
    </row>
    <row r="354" spans="1:9" x14ac:dyDescent="0.2">
      <c r="A354" t="s">
        <v>39</v>
      </c>
      <c r="B354" s="32">
        <v>41</v>
      </c>
      <c r="C354">
        <v>1</v>
      </c>
      <c r="D354">
        <v>0</v>
      </c>
      <c r="E354">
        <v>1</v>
      </c>
      <c r="F354" s="88">
        <v>42226</v>
      </c>
      <c r="G354" t="s">
        <v>51</v>
      </c>
      <c r="H354" s="72">
        <v>42189</v>
      </c>
      <c r="I354" t="s">
        <v>345</v>
      </c>
    </row>
    <row r="355" spans="1:9" x14ac:dyDescent="0.2">
      <c r="A355" t="s">
        <v>40</v>
      </c>
      <c r="B355" s="32">
        <v>4.99</v>
      </c>
      <c r="C355">
        <v>1</v>
      </c>
      <c r="D355">
        <v>0</v>
      </c>
      <c r="E355">
        <v>1</v>
      </c>
      <c r="F355" s="88">
        <v>42226</v>
      </c>
      <c r="G355" t="s">
        <v>51</v>
      </c>
      <c r="H355" s="88">
        <v>42226</v>
      </c>
      <c r="I355" t="s">
        <v>345</v>
      </c>
    </row>
    <row r="356" spans="1:9" x14ac:dyDescent="0.2">
      <c r="A356" t="s">
        <v>2</v>
      </c>
      <c r="B356" s="32">
        <v>50</v>
      </c>
      <c r="C356">
        <v>1</v>
      </c>
      <c r="D356">
        <v>0</v>
      </c>
      <c r="E356">
        <v>1</v>
      </c>
      <c r="F356" s="88">
        <v>42226</v>
      </c>
      <c r="G356" t="s">
        <v>51</v>
      </c>
      <c r="H356" s="88">
        <v>42226</v>
      </c>
      <c r="I356" t="s">
        <v>349</v>
      </c>
    </row>
    <row r="357" spans="1:9" x14ac:dyDescent="0.2">
      <c r="A357" t="s">
        <v>38</v>
      </c>
      <c r="B357" s="32">
        <v>51.9</v>
      </c>
      <c r="C357">
        <v>1</v>
      </c>
      <c r="D357">
        <v>0</v>
      </c>
      <c r="E357">
        <v>1</v>
      </c>
      <c r="F357" s="88">
        <v>42226</v>
      </c>
      <c r="G357" t="s">
        <v>51</v>
      </c>
      <c r="H357" s="88">
        <v>42226</v>
      </c>
      <c r="I357" t="s">
        <v>345</v>
      </c>
    </row>
    <row r="358" spans="1:9" x14ac:dyDescent="0.2">
      <c r="A358" t="s">
        <v>202</v>
      </c>
      <c r="B358" s="32">
        <v>57</v>
      </c>
      <c r="C358">
        <v>1</v>
      </c>
      <c r="D358">
        <v>0</v>
      </c>
      <c r="E358">
        <v>1</v>
      </c>
      <c r="F358" s="88">
        <v>42226</v>
      </c>
      <c r="G358" t="s">
        <v>51</v>
      </c>
      <c r="H358" s="88">
        <v>42226</v>
      </c>
      <c r="I358" t="s">
        <v>345</v>
      </c>
    </row>
    <row r="359" spans="1:9" x14ac:dyDescent="0.2">
      <c r="A359" t="s">
        <v>0</v>
      </c>
      <c r="B359" s="32">
        <v>0</v>
      </c>
      <c r="C359">
        <v>1</v>
      </c>
      <c r="D359">
        <v>0</v>
      </c>
      <c r="E359">
        <v>1</v>
      </c>
      <c r="F359" s="88">
        <v>42226</v>
      </c>
      <c r="G359" t="s">
        <v>51</v>
      </c>
      <c r="H359" s="88">
        <v>42226</v>
      </c>
      <c r="I359" t="s">
        <v>346</v>
      </c>
    </row>
    <row r="360" spans="1:9" x14ac:dyDescent="0.2">
      <c r="A360" t="s">
        <v>3</v>
      </c>
      <c r="B360" s="32">
        <v>0</v>
      </c>
      <c r="C360">
        <v>1</v>
      </c>
      <c r="D360">
        <v>0</v>
      </c>
      <c r="E360">
        <v>1</v>
      </c>
      <c r="F360" s="88">
        <v>42226</v>
      </c>
      <c r="G360" t="s">
        <v>51</v>
      </c>
      <c r="H360" s="88">
        <v>42226</v>
      </c>
      <c r="I360" t="s">
        <v>346</v>
      </c>
    </row>
    <row r="361" spans="1:9" x14ac:dyDescent="0.2">
      <c r="A361" t="s">
        <v>1</v>
      </c>
      <c r="B361">
        <v>264.08999999999997</v>
      </c>
      <c r="C361">
        <v>1</v>
      </c>
      <c r="D361">
        <v>0</v>
      </c>
      <c r="E361">
        <v>1</v>
      </c>
      <c r="F361" s="88">
        <v>42226</v>
      </c>
      <c r="G361" t="s">
        <v>51</v>
      </c>
      <c r="H361" s="88">
        <v>42226</v>
      </c>
      <c r="I361" t="s">
        <v>346</v>
      </c>
    </row>
    <row r="362" spans="1:9" x14ac:dyDescent="0.2">
      <c r="A362" t="s">
        <v>156</v>
      </c>
      <c r="B362" s="32">
        <v>0</v>
      </c>
      <c r="C362">
        <v>1</v>
      </c>
      <c r="D362">
        <v>0</v>
      </c>
      <c r="E362">
        <v>1</v>
      </c>
      <c r="F362" s="88">
        <v>42226</v>
      </c>
      <c r="G362" t="s">
        <v>51</v>
      </c>
      <c r="H362" s="88">
        <v>42226</v>
      </c>
      <c r="I362" t="s">
        <v>346</v>
      </c>
    </row>
    <row r="363" spans="1:9" x14ac:dyDescent="0.2">
      <c r="A363" t="s">
        <v>26</v>
      </c>
      <c r="B363" s="32">
        <v>501.76</v>
      </c>
      <c r="C363">
        <v>1</v>
      </c>
      <c r="D363">
        <v>0</v>
      </c>
      <c r="E363">
        <v>1</v>
      </c>
      <c r="F363" s="88">
        <v>42226</v>
      </c>
      <c r="G363" t="s">
        <v>51</v>
      </c>
      <c r="H363" s="88">
        <v>42226</v>
      </c>
      <c r="I363" t="s">
        <v>345</v>
      </c>
    </row>
    <row r="364" spans="1:9" x14ac:dyDescent="0.2">
      <c r="A364" t="s">
        <v>28</v>
      </c>
      <c r="B364" s="32">
        <v>38.5</v>
      </c>
      <c r="C364">
        <v>1</v>
      </c>
      <c r="D364">
        <v>0</v>
      </c>
      <c r="E364">
        <v>1</v>
      </c>
      <c r="F364" s="88">
        <v>42226</v>
      </c>
      <c r="G364" t="s">
        <v>51</v>
      </c>
      <c r="H364" s="88">
        <v>42226</v>
      </c>
      <c r="I364" t="s">
        <v>345</v>
      </c>
    </row>
    <row r="365" spans="1:9" x14ac:dyDescent="0.2">
      <c r="A365" t="s">
        <v>27</v>
      </c>
      <c r="B365" s="32">
        <v>282.25</v>
      </c>
      <c r="C365">
        <v>1</v>
      </c>
      <c r="D365">
        <v>0</v>
      </c>
      <c r="E365">
        <v>1</v>
      </c>
      <c r="F365" s="88">
        <v>42226</v>
      </c>
      <c r="G365" t="s">
        <v>51</v>
      </c>
      <c r="H365" s="88">
        <v>42226</v>
      </c>
      <c r="I365" t="s">
        <v>345</v>
      </c>
    </row>
    <row r="366" spans="1:9" x14ac:dyDescent="0.2">
      <c r="A366" t="s">
        <v>12</v>
      </c>
      <c r="B366" s="32">
        <v>536.46</v>
      </c>
      <c r="C366">
        <v>1</v>
      </c>
      <c r="D366">
        <v>0</v>
      </c>
      <c r="E366">
        <v>1</v>
      </c>
      <c r="F366" s="88">
        <v>42226</v>
      </c>
      <c r="G366" t="s">
        <v>51</v>
      </c>
      <c r="H366" s="88">
        <v>42226</v>
      </c>
      <c r="I366" t="s">
        <v>348</v>
      </c>
    </row>
    <row r="367" spans="1:9" x14ac:dyDescent="0.2">
      <c r="A367" t="s">
        <v>25</v>
      </c>
      <c r="B367" s="32">
        <v>120</v>
      </c>
      <c r="C367">
        <v>1</v>
      </c>
      <c r="D367">
        <v>0</v>
      </c>
      <c r="E367">
        <v>1</v>
      </c>
      <c r="F367" s="88">
        <v>42226</v>
      </c>
      <c r="G367" t="s">
        <v>51</v>
      </c>
      <c r="H367" s="88">
        <v>42226</v>
      </c>
      <c r="I367" t="s">
        <v>347</v>
      </c>
    </row>
    <row r="368" spans="1:9" x14ac:dyDescent="0.2">
      <c r="A368" t="s">
        <v>198</v>
      </c>
      <c r="B368" s="32">
        <v>148.01</v>
      </c>
      <c r="C368">
        <v>1</v>
      </c>
      <c r="D368">
        <v>0</v>
      </c>
      <c r="E368">
        <v>1</v>
      </c>
      <c r="F368" s="88">
        <v>42226</v>
      </c>
      <c r="G368" t="s">
        <v>51</v>
      </c>
      <c r="H368" s="88">
        <v>42226</v>
      </c>
      <c r="I368" t="s">
        <v>347</v>
      </c>
    </row>
    <row r="369" spans="1:9" x14ac:dyDescent="0.2">
      <c r="A369" t="s">
        <v>199</v>
      </c>
      <c r="B369" s="32">
        <v>139.13</v>
      </c>
      <c r="C369">
        <v>1</v>
      </c>
      <c r="D369">
        <v>0</v>
      </c>
      <c r="E369">
        <v>1</v>
      </c>
      <c r="F369" s="88">
        <v>42226</v>
      </c>
      <c r="G369" t="s">
        <v>51</v>
      </c>
      <c r="H369" s="88">
        <v>42226</v>
      </c>
      <c r="I369" t="s">
        <v>347</v>
      </c>
    </row>
    <row r="370" spans="1:9" x14ac:dyDescent="0.2">
      <c r="A370" t="s">
        <v>200</v>
      </c>
      <c r="B370" s="32">
        <v>66.61</v>
      </c>
      <c r="C370">
        <v>1</v>
      </c>
      <c r="D370">
        <v>0</v>
      </c>
      <c r="E370">
        <v>1</v>
      </c>
      <c r="F370" s="88">
        <v>42226</v>
      </c>
      <c r="G370" t="s">
        <v>51</v>
      </c>
      <c r="H370" s="88">
        <v>42226</v>
      </c>
      <c r="I370" t="s">
        <v>347</v>
      </c>
    </row>
    <row r="371" spans="1:9" x14ac:dyDescent="0.2">
      <c r="A371" s="103" t="s">
        <v>44</v>
      </c>
      <c r="B371" s="104">
        <v>200</v>
      </c>
      <c r="C371">
        <v>1</v>
      </c>
      <c r="D371">
        <v>0</v>
      </c>
      <c r="E371" s="103">
        <v>1</v>
      </c>
      <c r="F371" s="88">
        <v>42226</v>
      </c>
      <c r="G371" t="s">
        <v>54</v>
      </c>
      <c r="H371" s="88">
        <v>42226</v>
      </c>
      <c r="I371" s="1" t="s">
        <v>60</v>
      </c>
    </row>
    <row r="372" spans="1:9" x14ac:dyDescent="0.2">
      <c r="A372" s="103" t="s">
        <v>584</v>
      </c>
      <c r="B372" s="104">
        <v>1340</v>
      </c>
      <c r="C372">
        <v>1</v>
      </c>
      <c r="D372">
        <v>0</v>
      </c>
      <c r="E372">
        <v>1</v>
      </c>
      <c r="F372" s="88">
        <v>42226</v>
      </c>
      <c r="G372" t="s">
        <v>54</v>
      </c>
      <c r="H372" s="88">
        <v>42226</v>
      </c>
      <c r="I372" s="1" t="s">
        <v>346</v>
      </c>
    </row>
    <row r="373" spans="1:9" x14ac:dyDescent="0.2">
      <c r="A373" s="103" t="s">
        <v>96</v>
      </c>
      <c r="B373" s="104">
        <v>300</v>
      </c>
      <c r="C373">
        <v>0</v>
      </c>
      <c r="D373">
        <v>1</v>
      </c>
      <c r="E373">
        <v>1</v>
      </c>
      <c r="F373" s="88">
        <v>42226</v>
      </c>
      <c r="G373" t="s">
        <v>54</v>
      </c>
      <c r="H373" s="88">
        <v>42226</v>
      </c>
      <c r="I373" s="1" t="s">
        <v>50</v>
      </c>
    </row>
    <row r="374" spans="1:9" x14ac:dyDescent="0.2">
      <c r="A374" s="103" t="s">
        <v>52</v>
      </c>
      <c r="B374" s="104">
        <v>400</v>
      </c>
      <c r="C374">
        <v>0</v>
      </c>
      <c r="D374">
        <v>1</v>
      </c>
      <c r="E374">
        <v>1</v>
      </c>
      <c r="F374" s="88">
        <v>42226</v>
      </c>
      <c r="G374" t="s">
        <v>54</v>
      </c>
      <c r="H374" s="88">
        <v>42226</v>
      </c>
      <c r="I374" s="1" t="s">
        <v>52</v>
      </c>
    </row>
    <row r="375" spans="1:9" x14ac:dyDescent="0.2">
      <c r="A375" s="103" t="s">
        <v>189</v>
      </c>
      <c r="B375" s="104">
        <v>200</v>
      </c>
      <c r="C375">
        <v>0</v>
      </c>
      <c r="D375">
        <v>1</v>
      </c>
      <c r="E375">
        <v>1</v>
      </c>
      <c r="F375" s="88">
        <v>42226</v>
      </c>
      <c r="G375" t="s">
        <v>54</v>
      </c>
      <c r="H375" s="88">
        <v>42226</v>
      </c>
      <c r="I375" s="1" t="s">
        <v>189</v>
      </c>
    </row>
    <row r="376" spans="1:9" x14ac:dyDescent="0.2">
      <c r="A376" s="103" t="s">
        <v>43</v>
      </c>
      <c r="B376" s="104">
        <v>300</v>
      </c>
      <c r="C376">
        <v>1</v>
      </c>
      <c r="D376">
        <v>0</v>
      </c>
      <c r="E376">
        <v>1</v>
      </c>
      <c r="F376" s="88">
        <v>42226</v>
      </c>
      <c r="G376" t="s">
        <v>54</v>
      </c>
      <c r="H376" s="88">
        <v>42226</v>
      </c>
      <c r="I376" s="1" t="s">
        <v>340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entrada</vt:lpstr>
      <vt:lpstr>debito</vt:lpstr>
      <vt:lpstr>credito</vt:lpstr>
      <vt:lpstr>Planilha2</vt:lpstr>
      <vt:lpstr>pendente</vt:lpstr>
      <vt:lpstr>gasto</vt:lpstr>
      <vt:lpstr>planilha</vt:lpstr>
      <vt:lpstr>tipopagto</vt:lpstr>
      <vt:lpstr>Plan1</vt:lpstr>
      <vt:lpstr>mercado</vt:lpstr>
      <vt:lpstr>Plan2</vt:lpstr>
      <vt:lpstr>Planilha1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andre</cp:lastModifiedBy>
  <cp:lastPrinted>2011-06-01T19:00:57Z</cp:lastPrinted>
  <dcterms:created xsi:type="dcterms:W3CDTF">2011-04-26T13:46:03Z</dcterms:created>
  <dcterms:modified xsi:type="dcterms:W3CDTF">2017-07-14T23:56:18Z</dcterms:modified>
</cp:coreProperties>
</file>
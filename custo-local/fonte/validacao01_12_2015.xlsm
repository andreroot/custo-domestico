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ndre\Documents\custo\parametros\csv\validacao\"/>
    </mc:Choice>
  </mc:AlternateContent>
  <bookViews>
    <workbookView xWindow="2835" yWindow="1020" windowWidth="12525" windowHeight="3330" tabRatio="834" activeTab="2"/>
  </bookViews>
  <sheets>
    <sheet name="entrada" sheetId="48" r:id="rId1"/>
    <sheet name="debito" sheetId="39" r:id="rId2"/>
    <sheet name="credito" sheetId="41" r:id="rId3"/>
    <sheet name="Planilha2" sheetId="53" r:id="rId4"/>
    <sheet name="mercado" sheetId="42" r:id="rId5"/>
    <sheet name="planilha" sheetId="28" r:id="rId6"/>
    <sheet name="terceiro" sheetId="44" r:id="rId7"/>
    <sheet name="pendente" sheetId="40" r:id="rId8"/>
    <sheet name="gasto" sheetId="38" r:id="rId9"/>
    <sheet name="Plan1" sheetId="29" r:id="rId10"/>
    <sheet name="old" sheetId="16" r:id="rId11"/>
    <sheet name="divida empresa" sheetId="43" r:id="rId12"/>
    <sheet name="divida carro" sheetId="27" r:id="rId13"/>
    <sheet name="divida moto" sheetId="45" r:id="rId14"/>
    <sheet name="Plan2" sheetId="46" r:id="rId15"/>
    <sheet name="Plan3" sheetId="47" r:id="rId16"/>
    <sheet name="Plan5" sheetId="49" r:id="rId17"/>
    <sheet name="Plan4" sheetId="50" r:id="rId18"/>
    <sheet name="Plan6" sheetId="51" r:id="rId19"/>
    <sheet name="Planilha1" sheetId="52" r:id="rId20"/>
  </sheets>
  <definedNames>
    <definedName name="_xlnm._FilterDatabase" localSheetId="2" hidden="1">credito!$A$1:$L$316</definedName>
    <definedName name="_xlnm._FilterDatabase" localSheetId="1" hidden="1">debito!$A$1:$J$838</definedName>
    <definedName name="_xlnm._FilterDatabase" localSheetId="8" hidden="1">gasto!$A$1:$K$74</definedName>
    <definedName name="_xlnm._FilterDatabase" localSheetId="4" hidden="1">mercado!$A$1:$J$1118</definedName>
    <definedName name="_xlnm._FilterDatabase" localSheetId="7" hidden="1">pendente!$A$1:$E$46</definedName>
  </definedNames>
  <calcPr calcId="162913"/>
</workbook>
</file>

<file path=xl/calcChain.xml><?xml version="1.0" encoding="utf-8"?>
<calcChain xmlns="http://schemas.openxmlformats.org/spreadsheetml/2006/main">
  <c r="B91" i="53" l="1"/>
  <c r="B88" i="53"/>
  <c r="B44" i="53"/>
  <c r="B259" i="52"/>
  <c r="B167" i="52"/>
  <c r="B77" i="52"/>
  <c r="E1256" i="42" l="1"/>
  <c r="E1255" i="42"/>
  <c r="E1254" i="42"/>
  <c r="E1253" i="42"/>
  <c r="E1252" i="42" l="1"/>
  <c r="E1251" i="42"/>
  <c r="E1250" i="42"/>
  <c r="E1249" i="42" l="1"/>
  <c r="E1248" i="42"/>
  <c r="E1247" i="42"/>
  <c r="E1246" i="42"/>
  <c r="E1245" i="42"/>
  <c r="E1244" i="42"/>
  <c r="E1243" i="42"/>
  <c r="E1242" i="42"/>
  <c r="E1241" i="42"/>
  <c r="E1240" i="42"/>
  <c r="E1239" i="42"/>
  <c r="E1238" i="42"/>
  <c r="E1237" i="42"/>
  <c r="E1236" i="42"/>
  <c r="E1235" i="42"/>
  <c r="E1234" i="42"/>
  <c r="E1233" i="42"/>
  <c r="E1232" i="42"/>
  <c r="E1231" i="42"/>
  <c r="E1230" i="42"/>
  <c r="E1229" i="42"/>
  <c r="E1228" i="42"/>
  <c r="E1227" i="42"/>
  <c r="E1226" i="42"/>
  <c r="E1225" i="42"/>
  <c r="E1224" i="42"/>
  <c r="E1223" i="42"/>
  <c r="E1222" i="42"/>
  <c r="E1221" i="42"/>
  <c r="E1220" i="42"/>
  <c r="E1219" i="42"/>
  <c r="E1218" i="42"/>
  <c r="E1217" i="42"/>
  <c r="E1216" i="42"/>
  <c r="E1215" i="42"/>
  <c r="E1214" i="42"/>
  <c r="E1213" i="42"/>
  <c r="E1212" i="42"/>
  <c r="E1211" i="42"/>
  <c r="E1210" i="42"/>
  <c r="E1209" i="42"/>
  <c r="E1208" i="42"/>
  <c r="E1207" i="42"/>
  <c r="E1206" i="42"/>
  <c r="E1205" i="42"/>
  <c r="E1204" i="42"/>
  <c r="E1203" i="42"/>
  <c r="E1202" i="42"/>
  <c r="E1201" i="42"/>
  <c r="E1200" i="42"/>
  <c r="E1199" i="42"/>
  <c r="E1198" i="42"/>
  <c r="E1197" i="42"/>
  <c r="E1196" i="42"/>
  <c r="E1195" i="42"/>
  <c r="E1194" i="42"/>
  <c r="E1193" i="42"/>
  <c r="E1192" i="42"/>
  <c r="E1191" i="42"/>
  <c r="E1190" i="42"/>
  <c r="E1189" i="42"/>
  <c r="E1188" i="42"/>
  <c r="E1187" i="42"/>
  <c r="E1186" i="42"/>
  <c r="E1185" i="42"/>
  <c r="E1184" i="42"/>
  <c r="E1183" i="42"/>
  <c r="E1182" i="42"/>
  <c r="E1181" i="42"/>
  <c r="E1180" i="42"/>
  <c r="E1179" i="42"/>
  <c r="E1178" i="42"/>
  <c r="E1177" i="42"/>
  <c r="E1176" i="42"/>
  <c r="E1175" i="42"/>
  <c r="E1174" i="42"/>
  <c r="E1173" i="42"/>
  <c r="E1172" i="42"/>
  <c r="E1171" i="42"/>
  <c r="E1170" i="42"/>
  <c r="E1169" i="42"/>
  <c r="E1168" i="42"/>
  <c r="E1167" i="42"/>
  <c r="E1166" i="42"/>
  <c r="E1165" i="42"/>
  <c r="E1164" i="42"/>
  <c r="E1163" i="42"/>
  <c r="E1162" i="42"/>
  <c r="E1161" i="42"/>
  <c r="E1160" i="42"/>
  <c r="E1159" i="42"/>
  <c r="E1158" i="42"/>
  <c r="E1157" i="42"/>
  <c r="E1156" i="42"/>
  <c r="E1155" i="42"/>
  <c r="E1154" i="42"/>
  <c r="E1153" i="42"/>
  <c r="E1152" i="42"/>
  <c r="E1151" i="42"/>
  <c r="E1150" i="42"/>
  <c r="E1149" i="42"/>
  <c r="E1148" i="42"/>
  <c r="E1147" i="42"/>
  <c r="E1146" i="42"/>
  <c r="E1145" i="42"/>
  <c r="E1144" i="42"/>
  <c r="E1143" i="42"/>
  <c r="E1142" i="42"/>
  <c r="E1141" i="42"/>
  <c r="E1140" i="42"/>
  <c r="E1139" i="42"/>
  <c r="E1138" i="42"/>
  <c r="E1137" i="42"/>
  <c r="E1136" i="42"/>
  <c r="E1135" i="42"/>
  <c r="E1134" i="42"/>
  <c r="E1133" i="42"/>
  <c r="E1132" i="42"/>
  <c r="E1131" i="42"/>
  <c r="E1130" i="42"/>
  <c r="E1129" i="42"/>
  <c r="E1128" i="42"/>
  <c r="E1127" i="42"/>
  <c r="E1126" i="42"/>
  <c r="E1125" i="42"/>
  <c r="E1124" i="42"/>
  <c r="E1123" i="42"/>
  <c r="E1122" i="42"/>
  <c r="E1121" i="42"/>
  <c r="E1120" i="42"/>
  <c r="E1119" i="42"/>
  <c r="J750" i="39" l="1"/>
  <c r="J749" i="39"/>
  <c r="J748" i="39"/>
  <c r="J747" i="39"/>
  <c r="D6" i="44" l="1"/>
  <c r="B790" i="39" l="1"/>
  <c r="B712" i="39"/>
  <c r="E1044" i="42" l="1"/>
  <c r="E1118" i="42"/>
  <c r="E1117" i="42"/>
  <c r="E1116" i="42"/>
  <c r="E1115" i="42"/>
  <c r="E1114" i="42"/>
  <c r="E1113" i="42"/>
  <c r="E1112" i="42"/>
  <c r="E1111" i="42"/>
  <c r="E1110" i="42"/>
  <c r="E1109" i="42"/>
  <c r="E1108" i="42"/>
  <c r="E1107" i="42"/>
  <c r="E1106" i="42"/>
  <c r="E1105" i="42"/>
  <c r="E1104" i="42"/>
  <c r="E1103" i="42"/>
  <c r="E1102" i="42"/>
  <c r="E1101" i="42"/>
  <c r="E1100" i="42"/>
  <c r="E1099" i="42"/>
  <c r="E1098" i="42"/>
  <c r="E1097" i="42"/>
  <c r="E1096" i="42"/>
  <c r="E1095" i="42"/>
  <c r="E1094" i="42"/>
  <c r="E1093" i="42"/>
  <c r="E1092" i="42"/>
  <c r="E1091" i="42"/>
  <c r="E1090" i="42"/>
  <c r="E1089" i="42"/>
  <c r="E1088" i="42"/>
  <c r="E1087" i="42"/>
  <c r="E1086" i="42"/>
  <c r="E1085" i="42"/>
  <c r="E1084" i="42"/>
  <c r="E1083" i="42"/>
  <c r="E1082" i="42"/>
  <c r="E1081" i="42"/>
  <c r="E1080" i="42"/>
  <c r="E1079" i="42"/>
  <c r="E1078" i="42"/>
  <c r="E1077" i="42"/>
  <c r="E1076" i="42"/>
  <c r="E1075" i="42"/>
  <c r="E1074" i="42"/>
  <c r="E1073" i="42"/>
  <c r="E1072" i="42"/>
  <c r="E1070" i="42"/>
  <c r="E1069" i="42"/>
  <c r="E1068" i="42"/>
  <c r="E1067" i="42"/>
  <c r="E1066" i="42"/>
  <c r="E1065" i="42"/>
  <c r="E1064" i="42"/>
  <c r="E1063" i="42"/>
  <c r="E1062" i="42"/>
  <c r="E1061" i="42"/>
  <c r="E1060" i="42"/>
  <c r="E1059" i="42"/>
  <c r="E1058" i="42"/>
  <c r="E1057" i="42"/>
  <c r="E1056" i="42"/>
  <c r="E1055" i="42"/>
  <c r="E1054" i="42"/>
  <c r="E1053" i="42"/>
  <c r="E1052" i="42"/>
  <c r="E1051" i="42"/>
  <c r="E1050" i="42"/>
  <c r="E1032" i="42"/>
  <c r="E1031" i="42"/>
  <c r="E1030" i="42"/>
  <c r="E1048" i="42"/>
  <c r="E1047" i="42"/>
  <c r="E1046" i="42"/>
  <c r="E1045" i="42"/>
  <c r="E1043" i="42"/>
  <c r="E1042" i="42"/>
  <c r="C4" i="50" l="1"/>
  <c r="D4" i="50" s="1"/>
  <c r="D3" i="50"/>
  <c r="C5" i="50" l="1"/>
  <c r="D5" i="50"/>
  <c r="D6" i="50" s="1"/>
  <c r="E6" i="50" s="1"/>
  <c r="E1041" i="42"/>
  <c r="E1040" i="42"/>
  <c r="E1071" i="42"/>
  <c r="E1039" i="42"/>
  <c r="E1038" i="42"/>
  <c r="E1037" i="42"/>
  <c r="E1036" i="42"/>
  <c r="G17" i="28" l="1"/>
  <c r="G16" i="28"/>
  <c r="G15" i="28"/>
  <c r="G14" i="28"/>
  <c r="H14" i="28" s="1"/>
  <c r="G13" i="28"/>
  <c r="G12" i="28"/>
  <c r="G11" i="28"/>
  <c r="G10" i="28"/>
  <c r="G9" i="28"/>
  <c r="G8" i="28"/>
  <c r="G7" i="28"/>
  <c r="G6" i="28"/>
  <c r="G5" i="28"/>
  <c r="G4" i="28"/>
  <c r="G3" i="28"/>
  <c r="G2" i="28"/>
  <c r="E1035" i="42" l="1"/>
  <c r="E1016" i="42"/>
  <c r="E1017" i="42"/>
  <c r="E1018" i="42"/>
  <c r="E1019" i="42"/>
  <c r="E1020" i="42"/>
  <c r="E1021" i="42"/>
  <c r="E1022" i="42"/>
  <c r="E1023" i="42"/>
  <c r="E1024" i="42"/>
  <c r="E1025" i="42"/>
  <c r="E1026" i="42"/>
  <c r="E1027" i="42"/>
  <c r="E1028" i="42"/>
  <c r="E1029" i="42"/>
  <c r="E1015" i="42"/>
  <c r="E1014" i="42"/>
  <c r="E1013" i="42"/>
  <c r="E1012" i="42"/>
  <c r="E1011" i="42"/>
  <c r="E1010" i="42"/>
  <c r="E1009" i="42"/>
  <c r="E1008" i="42"/>
  <c r="E1006" i="42"/>
  <c r="E1005" i="42"/>
  <c r="E1004" i="42"/>
  <c r="E1003" i="42"/>
  <c r="E1002" i="42"/>
  <c r="E1001" i="42"/>
  <c r="E1000" i="42"/>
  <c r="E998" i="42"/>
  <c r="E997" i="42"/>
  <c r="E996" i="42"/>
  <c r="E995" i="42"/>
  <c r="E994" i="42"/>
  <c r="E992" i="42"/>
  <c r="E991" i="42"/>
  <c r="E990" i="42"/>
  <c r="E989" i="42"/>
  <c r="E988" i="42"/>
  <c r="E987" i="42"/>
  <c r="E986" i="42"/>
  <c r="E985" i="42"/>
  <c r="E984" i="42"/>
  <c r="E983" i="42"/>
  <c r="E982" i="42"/>
  <c r="E980" i="42"/>
  <c r="E979" i="42"/>
  <c r="E978" i="42"/>
  <c r="E977" i="42"/>
  <c r="E976" i="42"/>
  <c r="E975" i="42"/>
  <c r="E974" i="42"/>
  <c r="E973" i="42"/>
  <c r="E972" i="42"/>
  <c r="E971" i="42"/>
  <c r="E970" i="42"/>
  <c r="E969" i="42"/>
  <c r="E968" i="42"/>
  <c r="E967" i="42"/>
  <c r="E966" i="42"/>
  <c r="E965" i="42"/>
  <c r="E964" i="42"/>
  <c r="E963" i="42"/>
  <c r="E962" i="42"/>
  <c r="E961" i="42"/>
  <c r="E960" i="42"/>
  <c r="E959" i="42"/>
  <c r="E958" i="42"/>
  <c r="E957" i="42"/>
  <c r="E1034" i="42"/>
  <c r="E1049" i="42"/>
  <c r="E1033" i="42"/>
  <c r="E1007" i="42"/>
  <c r="B647" i="39"/>
  <c r="E999" i="42"/>
  <c r="E993" i="42"/>
  <c r="E981" i="42"/>
  <c r="E956" i="42"/>
  <c r="E955" i="42"/>
  <c r="E954" i="42"/>
  <c r="E953" i="42"/>
  <c r="E952" i="42"/>
  <c r="E951" i="42"/>
  <c r="E950" i="42"/>
  <c r="E949" i="42"/>
  <c r="E948" i="42"/>
  <c r="E947" i="42"/>
  <c r="E946" i="42"/>
  <c r="E945" i="42"/>
  <c r="E944" i="42"/>
  <c r="E943" i="42"/>
  <c r="E942" i="42"/>
  <c r="E941" i="42"/>
  <c r="E940" i="42"/>
  <c r="E939" i="42"/>
  <c r="E938" i="42"/>
  <c r="E937" i="42"/>
  <c r="E936" i="42"/>
  <c r="E935" i="42"/>
  <c r="E934" i="42"/>
  <c r="E933" i="42"/>
  <c r="E932" i="42"/>
  <c r="E931" i="42"/>
  <c r="E930" i="42"/>
  <c r="E929" i="42"/>
  <c r="E928" i="42"/>
  <c r="E927" i="42"/>
  <c r="E926" i="42"/>
  <c r="E925" i="42"/>
  <c r="E924" i="42"/>
  <c r="E923" i="42"/>
  <c r="E922" i="42"/>
  <c r="E921" i="42"/>
  <c r="E920" i="42"/>
  <c r="E919" i="42"/>
  <c r="E918" i="42"/>
  <c r="E917" i="42"/>
  <c r="E916" i="42"/>
  <c r="E915" i="42"/>
  <c r="E914" i="42"/>
  <c r="E913" i="42"/>
  <c r="E912" i="42"/>
  <c r="E911" i="42"/>
  <c r="E910" i="42"/>
  <c r="E909" i="42"/>
  <c r="E908" i="42"/>
  <c r="E907" i="42"/>
  <c r="E906" i="42"/>
  <c r="E905" i="42"/>
  <c r="E904" i="42"/>
  <c r="E903" i="42"/>
  <c r="E902" i="42"/>
  <c r="E901" i="42"/>
  <c r="E900" i="42"/>
  <c r="E899" i="42"/>
  <c r="E898" i="42"/>
  <c r="E897" i="42"/>
  <c r="E896" i="42"/>
  <c r="E895" i="42"/>
  <c r="E894" i="42"/>
  <c r="E893" i="42"/>
  <c r="E892" i="42"/>
  <c r="E891" i="42"/>
  <c r="E890" i="42"/>
  <c r="E889" i="42"/>
  <c r="E888" i="42"/>
  <c r="E887" i="42"/>
  <c r="E886" i="42"/>
  <c r="E885" i="42"/>
  <c r="E884" i="42"/>
  <c r="E883" i="42"/>
  <c r="E882" i="42"/>
  <c r="E881" i="42"/>
  <c r="E880" i="42"/>
  <c r="E879" i="42"/>
  <c r="E878" i="42"/>
  <c r="E877" i="42"/>
  <c r="E876" i="42"/>
  <c r="E875" i="42"/>
  <c r="E874" i="42"/>
  <c r="E873" i="42"/>
  <c r="E872" i="42"/>
  <c r="E871" i="42"/>
  <c r="E870" i="42"/>
  <c r="E869" i="42"/>
  <c r="E868" i="42"/>
  <c r="E867" i="42"/>
  <c r="E866" i="42"/>
  <c r="E865" i="42"/>
  <c r="E864" i="42"/>
  <c r="E863" i="42"/>
  <c r="H2" i="28"/>
  <c r="H3" i="28"/>
  <c r="H4" i="28"/>
  <c r="H5" i="28"/>
  <c r="H6" i="28"/>
  <c r="H7" i="28"/>
  <c r="H8" i="28"/>
  <c r="H9" i="28"/>
  <c r="H10" i="28"/>
  <c r="H11" i="28"/>
  <c r="H12" i="28"/>
  <c r="H13" i="28"/>
  <c r="B497" i="39"/>
  <c r="D23" i="43"/>
  <c r="B1" i="46" s="1"/>
  <c r="C6" i="27"/>
  <c r="B2" i="46" s="1"/>
  <c r="C14" i="27"/>
  <c r="C3" i="27"/>
  <c r="C11" i="45"/>
  <c r="B3" i="46" s="1"/>
  <c r="B171" i="41"/>
  <c r="B607" i="39" s="1"/>
  <c r="B170" i="41"/>
  <c r="B545" i="39" s="1"/>
  <c r="H15" i="28"/>
  <c r="E862" i="42"/>
  <c r="E861" i="42"/>
  <c r="E860" i="42"/>
  <c r="E859" i="42"/>
  <c r="E858" i="42"/>
  <c r="E857" i="42"/>
  <c r="E856" i="42"/>
  <c r="E855" i="42"/>
  <c r="E854" i="42"/>
  <c r="E853" i="42"/>
  <c r="E852" i="42"/>
  <c r="E851" i="42"/>
  <c r="E850" i="42"/>
  <c r="E849" i="42"/>
  <c r="E848" i="42"/>
  <c r="E847" i="42"/>
  <c r="E846" i="42"/>
  <c r="E845" i="42"/>
  <c r="E844" i="42"/>
  <c r="E843" i="42"/>
  <c r="E842" i="42"/>
  <c r="E841" i="42"/>
  <c r="E840" i="42"/>
  <c r="E839" i="42"/>
  <c r="E838" i="42"/>
  <c r="E837" i="42"/>
  <c r="E836" i="42"/>
  <c r="E835" i="42"/>
  <c r="E834" i="42"/>
  <c r="E833" i="42"/>
  <c r="E832" i="42"/>
  <c r="E831" i="42"/>
  <c r="E830" i="42"/>
  <c r="E829" i="42"/>
  <c r="E828" i="42"/>
  <c r="E827" i="42"/>
  <c r="E826" i="42"/>
  <c r="E825" i="42"/>
  <c r="E824" i="42"/>
  <c r="E823" i="42"/>
  <c r="E822" i="42"/>
  <c r="E821" i="42"/>
  <c r="E820" i="42"/>
  <c r="E819" i="42"/>
  <c r="E818" i="42"/>
  <c r="E817" i="42"/>
  <c r="E816" i="42"/>
  <c r="E815" i="42"/>
  <c r="E814" i="42"/>
  <c r="E813" i="42"/>
  <c r="E812" i="42"/>
  <c r="E811" i="42"/>
  <c r="E810" i="42"/>
  <c r="E809" i="42"/>
  <c r="E808" i="42"/>
  <c r="E807" i="42"/>
  <c r="E806" i="42"/>
  <c r="E805" i="42"/>
  <c r="E804" i="42"/>
  <c r="E803" i="42"/>
  <c r="E802" i="42"/>
  <c r="E801" i="42"/>
  <c r="E800" i="42"/>
  <c r="E799" i="42"/>
  <c r="E798" i="42"/>
  <c r="E797" i="42"/>
  <c r="E796" i="42"/>
  <c r="E795" i="42"/>
  <c r="E794" i="42"/>
  <c r="E793" i="42"/>
  <c r="E792" i="42"/>
  <c r="E791" i="42"/>
  <c r="E790" i="42"/>
  <c r="E789" i="42"/>
  <c r="E788" i="42"/>
  <c r="E787" i="42"/>
  <c r="E786" i="42"/>
  <c r="E785" i="42"/>
  <c r="E784" i="42"/>
  <c r="E783" i="42"/>
  <c r="E782" i="42"/>
  <c r="E781" i="42"/>
  <c r="E780" i="42"/>
  <c r="E779" i="42"/>
  <c r="E778" i="42"/>
  <c r="E777" i="42"/>
  <c r="E776" i="42"/>
  <c r="E775" i="42"/>
  <c r="E774" i="42"/>
  <c r="E773" i="42"/>
  <c r="E772" i="42"/>
  <c r="E771" i="42"/>
  <c r="E770" i="42"/>
  <c r="E769" i="42"/>
  <c r="E768" i="42"/>
  <c r="E767" i="42"/>
  <c r="E766" i="42"/>
  <c r="E765" i="42"/>
  <c r="E764" i="42"/>
  <c r="E763" i="42"/>
  <c r="E762" i="42"/>
  <c r="E761" i="42"/>
  <c r="E760" i="42"/>
  <c r="E759" i="42"/>
  <c r="E758" i="42"/>
  <c r="E757" i="42"/>
  <c r="E756" i="42"/>
  <c r="E755" i="42"/>
  <c r="E754" i="42"/>
  <c r="E753" i="42"/>
  <c r="E752" i="42"/>
  <c r="E751" i="42"/>
  <c r="E750" i="42"/>
  <c r="E749" i="42"/>
  <c r="E748" i="42"/>
  <c r="E747" i="42"/>
  <c r="E746" i="42"/>
  <c r="E745" i="42"/>
  <c r="E744" i="42"/>
  <c r="E743" i="42"/>
  <c r="E742" i="42"/>
  <c r="E741" i="42"/>
  <c r="E740" i="42"/>
  <c r="E739" i="42"/>
  <c r="E738" i="42"/>
  <c r="E737" i="42"/>
  <c r="E736" i="42"/>
  <c r="E735" i="42"/>
  <c r="E734" i="42"/>
  <c r="E733" i="42"/>
  <c r="E732" i="42"/>
  <c r="E731" i="42"/>
  <c r="E730" i="42"/>
  <c r="E729" i="42"/>
  <c r="E728" i="42"/>
  <c r="E727" i="42"/>
  <c r="E726" i="42"/>
  <c r="E725" i="42"/>
  <c r="E724" i="42"/>
  <c r="E723" i="42"/>
  <c r="E722" i="42"/>
  <c r="E721" i="42"/>
  <c r="E720" i="42"/>
  <c r="E719" i="42"/>
  <c r="E718" i="42"/>
  <c r="E717" i="42"/>
  <c r="E716" i="42"/>
  <c r="E715" i="42"/>
  <c r="E705" i="42"/>
  <c r="E714" i="42"/>
  <c r="E713" i="42"/>
  <c r="E712" i="42"/>
  <c r="E711" i="42"/>
  <c r="E710" i="42"/>
  <c r="E709" i="42"/>
  <c r="E708" i="42"/>
  <c r="E707" i="42"/>
  <c r="E706" i="42"/>
  <c r="E704" i="42"/>
  <c r="E703" i="42"/>
  <c r="E702" i="42"/>
  <c r="E701" i="42"/>
  <c r="E700" i="42"/>
  <c r="E699" i="42"/>
  <c r="E698" i="42"/>
  <c r="E697" i="42"/>
  <c r="E696" i="42"/>
  <c r="E695" i="42"/>
  <c r="E694" i="42"/>
  <c r="E693" i="42"/>
  <c r="E692" i="42"/>
  <c r="E691" i="42"/>
  <c r="E690" i="42"/>
  <c r="E689" i="42"/>
  <c r="E688" i="42"/>
  <c r="E687" i="42"/>
  <c r="E686" i="42"/>
  <c r="E685" i="42"/>
  <c r="E684" i="42"/>
  <c r="E683" i="42"/>
  <c r="E682" i="42"/>
  <c r="E681" i="42"/>
  <c r="E680" i="42"/>
  <c r="E679" i="42"/>
  <c r="E678" i="42"/>
  <c r="E677" i="42"/>
  <c r="E676" i="42"/>
  <c r="E675" i="42"/>
  <c r="E674" i="42"/>
  <c r="E673" i="42"/>
  <c r="E672" i="42"/>
  <c r="E671" i="42"/>
  <c r="E670" i="42"/>
  <c r="E669" i="42"/>
  <c r="E668" i="42"/>
  <c r="E667" i="42"/>
  <c r="E666" i="42"/>
  <c r="E665" i="42"/>
  <c r="B419" i="39"/>
  <c r="B495" i="39"/>
  <c r="B79" i="41"/>
  <c r="B344" i="39" s="1"/>
  <c r="E664" i="42"/>
  <c r="E663" i="42"/>
  <c r="E662" i="42"/>
  <c r="E661" i="42"/>
  <c r="E660" i="42"/>
  <c r="E659" i="42"/>
  <c r="E658" i="42"/>
  <c r="E657" i="42"/>
  <c r="E656" i="42"/>
  <c r="E655" i="42"/>
  <c r="E654" i="42"/>
  <c r="E653" i="42"/>
  <c r="E652" i="42"/>
  <c r="E651" i="42"/>
  <c r="E650" i="42"/>
  <c r="E649" i="42"/>
  <c r="E648" i="42"/>
  <c r="E647" i="42"/>
  <c r="E646" i="42"/>
  <c r="E645" i="42"/>
  <c r="E644" i="42"/>
  <c r="E643" i="42"/>
  <c r="E642" i="42"/>
  <c r="E641" i="42"/>
  <c r="E640" i="42"/>
  <c r="E639" i="42"/>
  <c r="E638" i="42"/>
  <c r="E637" i="42"/>
  <c r="E636" i="42"/>
  <c r="E635" i="42"/>
  <c r="E634" i="42"/>
  <c r="E633" i="42"/>
  <c r="E632" i="42"/>
  <c r="E631" i="42"/>
  <c r="E630" i="42"/>
  <c r="E629" i="42"/>
  <c r="E628" i="42"/>
  <c r="E627" i="42"/>
  <c r="E626" i="42"/>
  <c r="E625" i="42"/>
  <c r="E624" i="42"/>
  <c r="E623" i="42"/>
  <c r="G593" i="42"/>
  <c r="G601" i="42"/>
  <c r="G600" i="42"/>
  <c r="G599" i="42"/>
  <c r="G598" i="42"/>
  <c r="G597" i="42"/>
  <c r="G596" i="42"/>
  <c r="G595" i="42"/>
  <c r="G594" i="42"/>
  <c r="G590" i="42"/>
  <c r="G589" i="42"/>
  <c r="G588" i="42"/>
  <c r="G587" i="42"/>
  <c r="G586" i="42"/>
  <c r="G585" i="42"/>
  <c r="E622" i="42"/>
  <c r="E621" i="42"/>
  <c r="E620" i="42"/>
  <c r="E619" i="42"/>
  <c r="E618" i="42"/>
  <c r="E617" i="42"/>
  <c r="E616" i="42"/>
  <c r="E615" i="42"/>
  <c r="E614" i="42"/>
  <c r="E613" i="42"/>
  <c r="E612" i="42"/>
  <c r="E611" i="42"/>
  <c r="E610" i="42"/>
  <c r="E609" i="42"/>
  <c r="E608" i="42"/>
  <c r="E607" i="42"/>
  <c r="E606" i="42"/>
  <c r="E605" i="42"/>
  <c r="E604" i="42"/>
  <c r="E603" i="42"/>
  <c r="E602" i="42"/>
  <c r="E601" i="42"/>
  <c r="E600" i="42"/>
  <c r="E599" i="42"/>
  <c r="E598" i="42"/>
  <c r="E597" i="42"/>
  <c r="E596" i="42"/>
  <c r="E595" i="42"/>
  <c r="E594" i="42"/>
  <c r="E593" i="42"/>
  <c r="E592" i="42"/>
  <c r="E591" i="42"/>
  <c r="E590" i="42"/>
  <c r="E589" i="42"/>
  <c r="E588" i="42"/>
  <c r="E587" i="42"/>
  <c r="E586" i="42"/>
  <c r="E585" i="42"/>
  <c r="E584" i="42"/>
  <c r="E583" i="42"/>
  <c r="E582" i="42"/>
  <c r="E581" i="42"/>
  <c r="E580" i="42"/>
  <c r="E579" i="42"/>
  <c r="E578" i="42"/>
  <c r="E577" i="42"/>
  <c r="E576" i="42"/>
  <c r="E575" i="42"/>
  <c r="E574" i="42"/>
  <c r="E573" i="42"/>
  <c r="E572" i="42"/>
  <c r="E571" i="42"/>
  <c r="E570" i="42"/>
  <c r="E569" i="42"/>
  <c r="E568" i="42"/>
  <c r="E567" i="42"/>
  <c r="E566" i="42"/>
  <c r="E565" i="42"/>
  <c r="E564" i="42"/>
  <c r="E563" i="42"/>
  <c r="E562" i="42"/>
  <c r="E561" i="42"/>
  <c r="E560" i="42"/>
  <c r="E559" i="42"/>
  <c r="E558" i="42"/>
  <c r="E557" i="42"/>
  <c r="E556" i="42"/>
  <c r="E555" i="42"/>
  <c r="E554" i="42"/>
  <c r="E553" i="42"/>
  <c r="E552" i="42"/>
  <c r="E551" i="42"/>
  <c r="E550" i="42"/>
  <c r="E549" i="42"/>
  <c r="E548" i="42"/>
  <c r="E547" i="42"/>
  <c r="E546" i="42"/>
  <c r="E545" i="42"/>
  <c r="E544" i="42"/>
  <c r="E543" i="42"/>
  <c r="E542" i="42"/>
  <c r="E541" i="42"/>
  <c r="E540" i="42"/>
  <c r="E539" i="42"/>
  <c r="E538" i="42"/>
  <c r="E537" i="42"/>
  <c r="E536" i="42"/>
  <c r="E535" i="42"/>
  <c r="E534" i="42"/>
  <c r="E533" i="42"/>
  <c r="E532" i="42"/>
  <c r="E531" i="42"/>
  <c r="E530" i="42"/>
  <c r="E529" i="42"/>
  <c r="E528" i="42"/>
  <c r="E527" i="42"/>
  <c r="E526" i="42"/>
  <c r="E525" i="42"/>
  <c r="E524" i="42"/>
  <c r="E523" i="42"/>
  <c r="E522" i="42"/>
  <c r="E521" i="42"/>
  <c r="E520" i="42"/>
  <c r="E519" i="42"/>
  <c r="E518" i="42"/>
  <c r="E517" i="42"/>
  <c r="E516" i="42"/>
  <c r="E515" i="42"/>
  <c r="E514" i="42"/>
  <c r="E513" i="42"/>
  <c r="E512" i="42"/>
  <c r="E511" i="42"/>
  <c r="E510" i="42"/>
  <c r="E509" i="42"/>
  <c r="E508" i="42"/>
  <c r="E507" i="42"/>
  <c r="E506" i="42"/>
  <c r="E505" i="42"/>
  <c r="E504" i="42"/>
  <c r="E503" i="42"/>
  <c r="E502" i="42"/>
  <c r="E501" i="42"/>
  <c r="E500" i="42"/>
  <c r="E499" i="42"/>
  <c r="E498" i="42"/>
  <c r="E497" i="42"/>
  <c r="E496" i="42"/>
  <c r="E495" i="42"/>
  <c r="E494" i="42"/>
  <c r="E493" i="42"/>
  <c r="E492" i="42"/>
  <c r="E491" i="42"/>
  <c r="E490" i="42"/>
  <c r="E489" i="42"/>
  <c r="E488" i="42"/>
  <c r="E487" i="42"/>
  <c r="E486" i="42"/>
  <c r="E485" i="42"/>
  <c r="E484" i="42"/>
  <c r="E483" i="42"/>
  <c r="E482" i="42"/>
  <c r="E481" i="42"/>
  <c r="E480" i="42"/>
  <c r="E479" i="42"/>
  <c r="E478" i="42"/>
  <c r="E477" i="42"/>
  <c r="E476" i="42"/>
  <c r="E475" i="42"/>
  <c r="E474" i="42"/>
  <c r="E473" i="42"/>
  <c r="E472" i="42"/>
  <c r="E471" i="42"/>
  <c r="E470" i="42"/>
  <c r="E469" i="42"/>
  <c r="E468" i="42"/>
  <c r="E467" i="42"/>
  <c r="E466" i="42"/>
  <c r="E465" i="42"/>
  <c r="E464" i="42"/>
  <c r="E463" i="42"/>
  <c r="E462" i="42"/>
  <c r="E461" i="42"/>
  <c r="E460" i="42"/>
  <c r="E459" i="42"/>
  <c r="E458" i="42"/>
  <c r="E457" i="42"/>
  <c r="E456" i="42"/>
  <c r="E455" i="42"/>
  <c r="E454" i="42"/>
  <c r="E453" i="42"/>
  <c r="E452" i="42"/>
  <c r="E451" i="42"/>
  <c r="E450" i="42"/>
  <c r="E449" i="42"/>
  <c r="E448" i="42"/>
  <c r="E447" i="42"/>
  <c r="E446" i="42"/>
  <c r="E445" i="42"/>
  <c r="E444" i="42"/>
  <c r="E443" i="42"/>
  <c r="E442" i="42"/>
  <c r="E441" i="42"/>
  <c r="E440" i="42"/>
  <c r="H17" i="28"/>
  <c r="H16" i="28"/>
  <c r="E439" i="42"/>
  <c r="E438" i="42"/>
  <c r="E437" i="42"/>
  <c r="E436" i="42"/>
  <c r="E435" i="42"/>
  <c r="E434" i="42"/>
  <c r="E433" i="42"/>
  <c r="E432" i="42"/>
  <c r="E431" i="42"/>
  <c r="E430" i="42"/>
  <c r="E429" i="42"/>
  <c r="E428" i="42"/>
  <c r="E427" i="42"/>
  <c r="E426" i="42"/>
  <c r="E425" i="42"/>
  <c r="E424" i="42"/>
  <c r="E423" i="42"/>
  <c r="E422" i="42"/>
  <c r="E421" i="42"/>
  <c r="E420" i="42"/>
  <c r="E419" i="42"/>
  <c r="E418" i="42"/>
  <c r="E417" i="42"/>
  <c r="E416" i="42"/>
  <c r="E415" i="42"/>
  <c r="E414" i="42"/>
  <c r="E413" i="42"/>
  <c r="E412" i="42"/>
  <c r="E411" i="42"/>
  <c r="E410" i="42"/>
  <c r="E409" i="42"/>
  <c r="E408" i="42"/>
  <c r="E407" i="42"/>
  <c r="E406" i="42"/>
  <c r="E405" i="42"/>
  <c r="E404" i="42"/>
  <c r="B77" i="41"/>
  <c r="B198" i="39" s="1"/>
  <c r="E403" i="42"/>
  <c r="E402" i="42"/>
  <c r="E401" i="42"/>
  <c r="E400" i="42"/>
  <c r="E399" i="42"/>
  <c r="E398" i="42"/>
  <c r="E397" i="42"/>
  <c r="E396" i="42"/>
  <c r="E395" i="42"/>
  <c r="E394" i="42"/>
  <c r="E393" i="42"/>
  <c r="E392" i="42"/>
  <c r="E391" i="42"/>
  <c r="E390" i="42"/>
  <c r="E389" i="42"/>
  <c r="E388" i="42"/>
  <c r="E387" i="42"/>
  <c r="E386" i="42"/>
  <c r="E385" i="42"/>
  <c r="E384" i="42"/>
  <c r="E383" i="42"/>
  <c r="E382" i="42"/>
  <c r="E381" i="42"/>
  <c r="E380" i="42"/>
  <c r="E379" i="42"/>
  <c r="E378" i="42"/>
  <c r="E377" i="42"/>
  <c r="E376" i="42"/>
  <c r="E375" i="42"/>
  <c r="E374" i="42"/>
  <c r="E373" i="42"/>
  <c r="E372" i="42"/>
  <c r="E371" i="42"/>
  <c r="E370" i="42"/>
  <c r="E369" i="42"/>
  <c r="E368" i="42"/>
  <c r="E367" i="42"/>
  <c r="E366" i="42"/>
  <c r="E365" i="42"/>
  <c r="E364" i="42"/>
  <c r="E363" i="42"/>
  <c r="E362" i="42"/>
  <c r="E361" i="42"/>
  <c r="E360" i="42"/>
  <c r="E359" i="42"/>
  <c r="E358" i="42"/>
  <c r="E357" i="42"/>
  <c r="E356" i="42"/>
  <c r="E355" i="42"/>
  <c r="E354" i="42"/>
  <c r="E353" i="42"/>
  <c r="E352" i="42"/>
  <c r="E351" i="42"/>
  <c r="E350" i="42"/>
  <c r="E349" i="42"/>
  <c r="E348" i="42"/>
  <c r="E347" i="42"/>
  <c r="E346" i="42"/>
  <c r="E345" i="42"/>
  <c r="B41" i="29"/>
  <c r="A41" i="29"/>
  <c r="D31" i="29"/>
  <c r="A31" i="29"/>
  <c r="E28" i="29"/>
  <c r="F28" i="29" s="1"/>
  <c r="E29" i="29"/>
  <c r="F29" i="29" s="1"/>
  <c r="E30" i="29"/>
  <c r="F30" i="29" s="1"/>
  <c r="E27" i="29"/>
  <c r="F27" i="29" s="1"/>
  <c r="B103" i="39"/>
  <c r="B78" i="41"/>
  <c r="E344" i="42"/>
  <c r="E343" i="42"/>
  <c r="E342" i="42"/>
  <c r="E341" i="42"/>
  <c r="E340" i="42"/>
  <c r="E339" i="42"/>
  <c r="E338" i="42"/>
  <c r="E337" i="42"/>
  <c r="E336" i="42"/>
  <c r="E335" i="42"/>
  <c r="H4" i="40"/>
  <c r="H5" i="40"/>
  <c r="H6" i="40"/>
  <c r="H7" i="40"/>
  <c r="H8" i="40"/>
  <c r="H9" i="40"/>
  <c r="H10" i="40"/>
  <c r="H3" i="40"/>
  <c r="E275" i="42"/>
  <c r="E138" i="42"/>
  <c r="E28" i="42"/>
  <c r="D2" i="16"/>
  <c r="E2" i="16" s="1"/>
  <c r="F2" i="16" s="1"/>
  <c r="E334" i="42"/>
  <c r="E333" i="42"/>
  <c r="E332" i="42"/>
  <c r="E331" i="42"/>
  <c r="E330" i="42"/>
  <c r="E329" i="42"/>
  <c r="E328" i="42"/>
  <c r="E327" i="42"/>
  <c r="E326" i="42"/>
  <c r="E325" i="42"/>
  <c r="E324" i="42"/>
  <c r="E323" i="42"/>
  <c r="E322" i="42"/>
  <c r="E321" i="42"/>
  <c r="E320" i="42"/>
  <c r="E319" i="42"/>
  <c r="E318" i="42"/>
  <c r="E317" i="42"/>
  <c r="E316" i="42"/>
  <c r="E315" i="42"/>
  <c r="E314" i="42"/>
  <c r="E313" i="42"/>
  <c r="E312" i="42"/>
  <c r="E311" i="42"/>
  <c r="E310" i="42"/>
  <c r="E309" i="42"/>
  <c r="E308" i="42"/>
  <c r="E307" i="42"/>
  <c r="E306" i="42"/>
  <c r="E305" i="42"/>
  <c r="E304" i="42"/>
  <c r="E303" i="42"/>
  <c r="E302" i="42"/>
  <c r="E301" i="42"/>
  <c r="E300" i="42"/>
  <c r="E299" i="42"/>
  <c r="E298" i="42"/>
  <c r="E297" i="42"/>
  <c r="E296" i="42"/>
  <c r="E295" i="42"/>
  <c r="E294" i="42"/>
  <c r="B284" i="39"/>
  <c r="E280" i="42"/>
  <c r="E281" i="42"/>
  <c r="E282" i="42"/>
  <c r="E283" i="42"/>
  <c r="E284" i="42"/>
  <c r="E285" i="42"/>
  <c r="E286" i="42"/>
  <c r="E287" i="42"/>
  <c r="E288" i="42"/>
  <c r="E289" i="42"/>
  <c r="E290" i="42"/>
  <c r="E291" i="42"/>
  <c r="E292" i="42"/>
  <c r="E293" i="42"/>
  <c r="E268" i="42"/>
  <c r="E269" i="42"/>
  <c r="E270" i="42"/>
  <c r="E271" i="42"/>
  <c r="E272" i="42"/>
  <c r="E273" i="42"/>
  <c r="E274" i="42"/>
  <c r="E276" i="42"/>
  <c r="E277" i="42"/>
  <c r="E278" i="42"/>
  <c r="E279" i="42"/>
  <c r="E267" i="42"/>
  <c r="E266" i="42"/>
  <c r="E265" i="42"/>
  <c r="E264" i="42"/>
  <c r="E263" i="42"/>
  <c r="E262" i="42"/>
  <c r="E261" i="42"/>
  <c r="E260" i="42"/>
  <c r="E259" i="42"/>
  <c r="E258" i="42"/>
  <c r="E257" i="42"/>
  <c r="E256" i="42"/>
  <c r="E255" i="42"/>
  <c r="E254" i="42"/>
  <c r="E253" i="42"/>
  <c r="E252" i="42"/>
  <c r="E251" i="42"/>
  <c r="E250" i="42"/>
  <c r="E249" i="42"/>
  <c r="E248" i="42"/>
  <c r="E247" i="42"/>
  <c r="E246" i="42"/>
  <c r="E245" i="42"/>
  <c r="E244" i="42"/>
  <c r="E243" i="42"/>
  <c r="E242" i="42"/>
  <c r="E241" i="42"/>
  <c r="E240" i="42"/>
  <c r="E239" i="42"/>
  <c r="E238" i="42"/>
  <c r="E237" i="42"/>
  <c r="E236" i="42"/>
  <c r="E235" i="42"/>
  <c r="E234" i="42"/>
  <c r="E233" i="42"/>
  <c r="E232" i="42"/>
  <c r="E231" i="42"/>
  <c r="E230" i="42"/>
  <c r="E229" i="42"/>
  <c r="E228" i="42"/>
  <c r="E227" i="42"/>
  <c r="E226" i="42"/>
  <c r="E225" i="42"/>
  <c r="E224" i="42"/>
  <c r="E223" i="42"/>
  <c r="E222" i="42"/>
  <c r="E221" i="42"/>
  <c r="E220" i="42"/>
  <c r="E219" i="42"/>
  <c r="E218" i="42"/>
  <c r="E217" i="42"/>
  <c r="E216" i="42"/>
  <c r="E215" i="42"/>
  <c r="E214" i="42"/>
  <c r="E213" i="42"/>
  <c r="E212" i="42"/>
  <c r="E211" i="42"/>
  <c r="E210" i="42"/>
  <c r="E209" i="42"/>
  <c r="E208" i="42"/>
  <c r="E207" i="42"/>
  <c r="E206" i="42"/>
  <c r="E205" i="42"/>
  <c r="B2" i="39"/>
  <c r="E204" i="42"/>
  <c r="E203" i="42"/>
  <c r="E202" i="42"/>
  <c r="E201" i="42"/>
  <c r="E200" i="42"/>
  <c r="E199" i="42"/>
  <c r="E198" i="42"/>
  <c r="E197" i="42"/>
  <c r="E196" i="42"/>
  <c r="E195" i="42"/>
  <c r="E194" i="42"/>
  <c r="E193" i="42"/>
  <c r="E192" i="42"/>
  <c r="E191" i="42"/>
  <c r="E190" i="42"/>
  <c r="E189" i="42"/>
  <c r="E188" i="42"/>
  <c r="E187" i="42"/>
  <c r="E186" i="42"/>
  <c r="E185" i="42"/>
  <c r="E184" i="42"/>
  <c r="E183" i="42"/>
  <c r="E182" i="42"/>
  <c r="E181" i="42"/>
  <c r="E180" i="42"/>
  <c r="E179" i="42"/>
  <c r="E178" i="42"/>
  <c r="E177" i="42"/>
  <c r="E176" i="42"/>
  <c r="E175" i="42"/>
  <c r="E174" i="42"/>
  <c r="E173" i="42"/>
  <c r="E172" i="42"/>
  <c r="E171" i="42"/>
  <c r="E170" i="42"/>
  <c r="E169" i="42"/>
  <c r="E168" i="42"/>
  <c r="E167" i="42"/>
  <c r="E166" i="42"/>
  <c r="E165" i="42"/>
  <c r="E164" i="42"/>
  <c r="E163" i="42"/>
  <c r="E162" i="42"/>
  <c r="E161" i="42"/>
  <c r="E159" i="42"/>
  <c r="E160" i="42"/>
  <c r="B16" i="29"/>
  <c r="B17" i="29" s="1"/>
  <c r="E16" i="29"/>
  <c r="I16" i="29"/>
  <c r="F2" i="29"/>
  <c r="F3" i="29"/>
  <c r="D3" i="29" s="1"/>
  <c r="F4" i="29"/>
  <c r="D4" i="29" s="1"/>
  <c r="F5" i="29"/>
  <c r="D5" i="29" s="1"/>
  <c r="F6" i="29"/>
  <c r="D6" i="29" s="1"/>
  <c r="F7" i="29"/>
  <c r="D7" i="29" s="1"/>
  <c r="F8" i="29"/>
  <c r="D8" i="29" s="1"/>
  <c r="G2" i="29"/>
  <c r="G3" i="29"/>
  <c r="G4" i="29"/>
  <c r="G5" i="29"/>
  <c r="G6" i="29"/>
  <c r="G7" i="29"/>
  <c r="G8" i="29"/>
  <c r="F9" i="29"/>
  <c r="D9" i="29" s="1"/>
  <c r="G61" i="38"/>
  <c r="G62" i="38"/>
  <c r="G63" i="38"/>
  <c r="G64" i="38"/>
  <c r="G65" i="38"/>
  <c r="G66" i="38"/>
  <c r="G67" i="38"/>
  <c r="G68" i="38"/>
  <c r="G69" i="38"/>
  <c r="D70" i="38"/>
  <c r="G70" i="38"/>
  <c r="D71" i="38"/>
  <c r="G71" i="38"/>
  <c r="D72" i="38"/>
  <c r="G72" i="38"/>
  <c r="D73" i="38"/>
  <c r="G73" i="38"/>
  <c r="D74" i="38"/>
  <c r="G74" i="38"/>
  <c r="D78" i="38"/>
  <c r="G78" i="38"/>
  <c r="D79" i="38"/>
  <c r="G79" i="38"/>
  <c r="D80" i="38"/>
  <c r="G80" i="38"/>
  <c r="D81" i="38"/>
  <c r="G81" i="38"/>
  <c r="D82" i="38"/>
  <c r="G82" i="38"/>
  <c r="D83" i="38"/>
  <c r="G83" i="38"/>
  <c r="D84" i="38"/>
  <c r="G84" i="38"/>
  <c r="D85" i="38"/>
  <c r="G85" i="38"/>
  <c r="D86" i="38"/>
  <c r="G86" i="38"/>
  <c r="D87" i="38"/>
  <c r="G87" i="38"/>
  <c r="D88" i="38"/>
  <c r="G88" i="38"/>
  <c r="D89" i="38"/>
  <c r="G89" i="38"/>
  <c r="D90" i="38"/>
  <c r="G90" i="38"/>
  <c r="D91" i="38"/>
  <c r="G91" i="38"/>
  <c r="D92" i="38"/>
  <c r="G92" i="38"/>
  <c r="D93" i="38"/>
  <c r="G93" i="38"/>
  <c r="D94" i="38"/>
  <c r="G94" i="38"/>
  <c r="D95" i="38"/>
  <c r="G95" i="38"/>
  <c r="D96" i="38"/>
  <c r="G96" i="38"/>
  <c r="D97" i="38"/>
  <c r="G97" i="38"/>
  <c r="D98" i="38"/>
  <c r="G98" i="38"/>
  <c r="D99" i="38"/>
  <c r="G99" i="38"/>
  <c r="D100" i="38"/>
  <c r="G100" i="38"/>
  <c r="D101" i="38"/>
  <c r="G101" i="38"/>
  <c r="D102" i="38"/>
  <c r="G102" i="38"/>
  <c r="D103" i="38"/>
  <c r="G103" i="38"/>
  <c r="D104" i="38"/>
  <c r="G104" i="38"/>
  <c r="D105" i="38"/>
  <c r="G105" i="38"/>
  <c r="D106" i="38"/>
  <c r="G106" i="38"/>
  <c r="D107" i="38"/>
  <c r="G107" i="38"/>
  <c r="D108" i="38"/>
  <c r="G108" i="38"/>
  <c r="D109" i="38"/>
  <c r="G109" i="38"/>
  <c r="D110" i="38"/>
  <c r="G110" i="38"/>
  <c r="D111" i="38"/>
  <c r="G111" i="38"/>
  <c r="D112" i="38"/>
  <c r="G112" i="38"/>
  <c r="D113" i="38"/>
  <c r="G113" i="38"/>
  <c r="D114" i="38"/>
  <c r="G114" i="38"/>
  <c r="D115" i="38"/>
  <c r="G115" i="38"/>
  <c r="D116" i="38"/>
  <c r="G116" i="38"/>
  <c r="D117" i="38"/>
  <c r="G117" i="38"/>
  <c r="D118" i="38"/>
  <c r="G118" i="38"/>
  <c r="D119" i="38"/>
  <c r="G119" i="38"/>
  <c r="G16" i="29" l="1"/>
  <c r="F16" i="29"/>
  <c r="B19" i="29"/>
  <c r="B22" i="29"/>
  <c r="B20" i="29"/>
  <c r="E31" i="29"/>
  <c r="E32" i="29" s="1"/>
  <c r="D2" i="29"/>
  <c r="D16" i="29" s="1"/>
  <c r="B18" i="29" s="1"/>
  <c r="B23" i="29" s="1"/>
  <c r="I3" i="28"/>
  <c r="I4" i="28" s="1"/>
  <c r="K5" i="29" l="1"/>
  <c r="K2" i="29"/>
  <c r="K6" i="29"/>
  <c r="K7" i="29"/>
  <c r="K8" i="29"/>
  <c r="K4" i="29"/>
  <c r="K3" i="29"/>
  <c r="B21" i="29"/>
  <c r="B24" i="29" s="1"/>
  <c r="I5" i="28"/>
  <c r="I6" i="28" s="1"/>
  <c r="I7" i="28" s="1"/>
  <c r="I8" i="28" s="1"/>
  <c r="I9" i="28" l="1"/>
  <c r="I10" i="28" s="1"/>
  <c r="I11" i="28" s="1"/>
  <c r="I12" i="28" s="1"/>
  <c r="I13" i="28" s="1"/>
  <c r="I14" i="28" s="1"/>
  <c r="I15" i="28" s="1"/>
  <c r="I16" i="28" s="1"/>
  <c r="I17" i="28" s="1"/>
</calcChain>
</file>

<file path=xl/sharedStrings.xml><?xml version="1.0" encoding="utf-8"?>
<sst xmlns="http://schemas.openxmlformats.org/spreadsheetml/2006/main" count="11581" uniqueCount="1187">
  <si>
    <t>condominio</t>
  </si>
  <si>
    <t>net</t>
  </si>
  <si>
    <t>UNICEF</t>
  </si>
  <si>
    <t>luz</t>
  </si>
  <si>
    <t>data</t>
  </si>
  <si>
    <t>salario</t>
  </si>
  <si>
    <t>descrição</t>
  </si>
  <si>
    <t>dia</t>
  </si>
  <si>
    <t>valor disponivel</t>
  </si>
  <si>
    <t>valor bruto</t>
  </si>
  <si>
    <t>valor liquido</t>
  </si>
  <si>
    <t>valor desconto</t>
  </si>
  <si>
    <t>consorcio</t>
  </si>
  <si>
    <t>debito</t>
  </si>
  <si>
    <t>mês</t>
  </si>
  <si>
    <t>credito</t>
  </si>
  <si>
    <t>total</t>
  </si>
  <si>
    <t>semana</t>
  </si>
  <si>
    <t>pendente</t>
  </si>
  <si>
    <t>tipo</t>
  </si>
  <si>
    <t>saldo inicial</t>
  </si>
  <si>
    <t>cartão</t>
  </si>
  <si>
    <t>importante</t>
  </si>
  <si>
    <t>cond</t>
  </si>
  <si>
    <t>cond atrso</t>
  </si>
  <si>
    <t>contador</t>
  </si>
  <si>
    <t>emprestimo1</t>
  </si>
  <si>
    <t>emprestimo3</t>
  </si>
  <si>
    <t>emprestimo2</t>
  </si>
  <si>
    <t>seguro</t>
  </si>
  <si>
    <t>dpvat 2013</t>
  </si>
  <si>
    <t>dpvat 2014</t>
  </si>
  <si>
    <t>ipva 2014</t>
  </si>
  <si>
    <t>ipva 2013</t>
  </si>
  <si>
    <t>ipva 2012</t>
  </si>
  <si>
    <t>ipva 2011</t>
  </si>
  <si>
    <t>ipva 2010</t>
  </si>
  <si>
    <t>moto</t>
  </si>
  <si>
    <t>TAXA CONTA JURIDICA</t>
  </si>
  <si>
    <t>TAXA CONTA FISICA</t>
  </si>
  <si>
    <t>SEGURO CARTÃO</t>
  </si>
  <si>
    <t>urgente</t>
  </si>
  <si>
    <t>data pagamento</t>
  </si>
  <si>
    <t>gasolina</t>
  </si>
  <si>
    <t>sptransp</t>
  </si>
  <si>
    <t>mc donalds</t>
  </si>
  <si>
    <t>celular</t>
  </si>
  <si>
    <t>1ª semana</t>
  </si>
  <si>
    <t>saque</t>
  </si>
  <si>
    <t>fim de semana</t>
  </si>
  <si>
    <t>alimentação</t>
  </si>
  <si>
    <t>2ª semana</t>
  </si>
  <si>
    <t>mercado</t>
  </si>
  <si>
    <t>café da manha</t>
  </si>
  <si>
    <t>3ª semana</t>
  </si>
  <si>
    <t>4ª semana</t>
  </si>
  <si>
    <t>padaria arizona</t>
  </si>
  <si>
    <t>custo</t>
  </si>
  <si>
    <t>limite usado</t>
  </si>
  <si>
    <t>litro</t>
  </si>
  <si>
    <t>transporte</t>
  </si>
  <si>
    <t>custo variavel</t>
  </si>
  <si>
    <t>km</t>
  </si>
  <si>
    <t>preço/litro</t>
  </si>
  <si>
    <t>kmpercorrido</t>
  </si>
  <si>
    <t>litro real</t>
  </si>
  <si>
    <t>media / litro</t>
  </si>
  <si>
    <t>media / custo</t>
  </si>
  <si>
    <t>media / pr litro</t>
  </si>
  <si>
    <t>media / km</t>
  </si>
  <si>
    <t>cada litro faz(km)</t>
  </si>
  <si>
    <t>cada km percorrido custa($)</t>
  </si>
  <si>
    <t>custo fixo</t>
  </si>
  <si>
    <t>doces</t>
  </si>
  <si>
    <t>padaria - noite</t>
  </si>
  <si>
    <t>valor pago</t>
  </si>
  <si>
    <t>para percorrer min são ltrs</t>
  </si>
  <si>
    <t>valida</t>
  </si>
  <si>
    <t>s</t>
  </si>
  <si>
    <t>qtde</t>
  </si>
  <si>
    <t>preço dif</t>
  </si>
  <si>
    <t>almoço - sexta</t>
  </si>
  <si>
    <t>multas municipal</t>
  </si>
  <si>
    <t>multas DER</t>
  </si>
  <si>
    <t>Multas DETRAN</t>
  </si>
  <si>
    <t>LICENCIAMENTO</t>
  </si>
  <si>
    <t>padaria - arizona</t>
  </si>
  <si>
    <t>juros</t>
  </si>
  <si>
    <t>sptrasnp</t>
  </si>
  <si>
    <t>tx conta</t>
  </si>
  <si>
    <t>mercado vl olimpia</t>
  </si>
  <si>
    <t>padaria - mandaqui</t>
  </si>
  <si>
    <t>doceria metro</t>
  </si>
  <si>
    <t>almoço - quinta</t>
  </si>
  <si>
    <t>cafézinho - vl olimpia</t>
  </si>
  <si>
    <t>suco bagaço - tatuape</t>
  </si>
  <si>
    <t>almoço</t>
  </si>
  <si>
    <t>sorvete - noite</t>
  </si>
  <si>
    <t>pizza</t>
  </si>
  <si>
    <t>farmacia - nebaciti</t>
  </si>
  <si>
    <t>doces saida do trampo</t>
  </si>
  <si>
    <t>padaria manha</t>
  </si>
  <si>
    <t>farmacia - noite</t>
  </si>
  <si>
    <t>farmacia - manha</t>
  </si>
  <si>
    <t>farmacia - celular</t>
  </si>
  <si>
    <t>almoço - mocoto</t>
  </si>
  <si>
    <t>mc donalds - noite</t>
  </si>
  <si>
    <t>farmacia</t>
  </si>
  <si>
    <t>valor debito</t>
  </si>
  <si>
    <t>credito celular</t>
  </si>
  <si>
    <t>doces tucuruvi</t>
  </si>
  <si>
    <t>data pagto</t>
  </si>
  <si>
    <t>pao de queijo</t>
  </si>
  <si>
    <t>bezerra(2x380)</t>
  </si>
  <si>
    <t>mercado sonda</t>
  </si>
  <si>
    <t>agua padaria</t>
  </si>
  <si>
    <t>cabelereiro</t>
  </si>
  <si>
    <t>imposto</t>
  </si>
  <si>
    <t>imposto IRPJ 10/2013</t>
  </si>
  <si>
    <t>imposto IRPJ 01/2014</t>
  </si>
  <si>
    <t>imposto IRPJ 04/2014</t>
  </si>
  <si>
    <t>imposto CSLL 10/2013</t>
  </si>
  <si>
    <t>imposto CSLL 01/2014</t>
  </si>
  <si>
    <t>imposto CSLL 04/2014</t>
  </si>
  <si>
    <t>imposto CONTRIB 10/2013</t>
  </si>
  <si>
    <t>imposto CONTRIB 12/2013</t>
  </si>
  <si>
    <t>imposto CONTRIB 04/2014</t>
  </si>
  <si>
    <t>imposto CONTRIB 05/2014</t>
  </si>
  <si>
    <t>CASA DAS ALIANCAS 02/02</t>
  </si>
  <si>
    <t>WORLD TENIS 02/02</t>
  </si>
  <si>
    <t>CENTRO AUTOMOTIVO 02/02</t>
  </si>
  <si>
    <t>SONDA SUPERMERCADO02/02</t>
  </si>
  <si>
    <t>iss 03/2014</t>
  </si>
  <si>
    <t>csll tri 03/2014</t>
  </si>
  <si>
    <t>irpj 03/2014</t>
  </si>
  <si>
    <t>iss 04/2014</t>
  </si>
  <si>
    <t>csll tri 04/2014</t>
  </si>
  <si>
    <t>irpj 04/2014</t>
  </si>
  <si>
    <t>iss 05/2014</t>
  </si>
  <si>
    <t>csll tri 05/2014</t>
  </si>
  <si>
    <t>irpj 05/2014</t>
  </si>
  <si>
    <t>iss 06/2014</t>
  </si>
  <si>
    <t>csll tri 06/2014</t>
  </si>
  <si>
    <t>irpj 06/2014</t>
  </si>
  <si>
    <t>iss 07/2014</t>
  </si>
  <si>
    <t>csll tri 07/2014</t>
  </si>
  <si>
    <t>irpj 07/2014</t>
  </si>
  <si>
    <t>iss 08/2014</t>
  </si>
  <si>
    <t>csll tri 08/2014</t>
  </si>
  <si>
    <t>irpj 08/2014</t>
  </si>
  <si>
    <t>iss 09/2014</t>
  </si>
  <si>
    <t>csll tri 09/2014</t>
  </si>
  <si>
    <t>irpj 09/2014</t>
  </si>
  <si>
    <t>carro</t>
  </si>
  <si>
    <t>bezerra 02/02</t>
  </si>
  <si>
    <t>parcela</t>
  </si>
  <si>
    <t>condominio acordo</t>
  </si>
  <si>
    <t>condominio atrasado(08/2014)</t>
  </si>
  <si>
    <t>condominio acordo atrasado(08/2014)</t>
  </si>
  <si>
    <t>custo realizado</t>
  </si>
  <si>
    <t>custo pendente</t>
  </si>
  <si>
    <t>saldo</t>
  </si>
  <si>
    <t>custo total</t>
  </si>
  <si>
    <t>mercado extra</t>
  </si>
  <si>
    <t>doces - doceria</t>
  </si>
  <si>
    <t>doces - metro</t>
  </si>
  <si>
    <t>bezerra 01/02</t>
  </si>
  <si>
    <t>drogasil</t>
  </si>
  <si>
    <t>acessorio para celular</t>
  </si>
  <si>
    <t>plano pre pago tim</t>
  </si>
  <si>
    <t>roupa- broksfield 1/3</t>
  </si>
  <si>
    <t>roupa- broksfield 2/3</t>
  </si>
  <si>
    <t>roupa- broksfield 3/3</t>
  </si>
  <si>
    <t>café - metro</t>
  </si>
  <si>
    <t>mercado - vila olimpia</t>
  </si>
  <si>
    <t>cartão de memoria</t>
  </si>
  <si>
    <t>pizzaout</t>
  </si>
  <si>
    <t>sorvete macdonalds</t>
  </si>
  <si>
    <t>padaria a noite</t>
  </si>
  <si>
    <t>canelone - roland garros</t>
  </si>
  <si>
    <t>5ª semana</t>
  </si>
  <si>
    <t>farmacia - periogard</t>
  </si>
  <si>
    <t>iof - juros</t>
  </si>
  <si>
    <t>sorvete</t>
  </si>
  <si>
    <t>starbucks - shopping</t>
  </si>
  <si>
    <t>livros</t>
  </si>
  <si>
    <t>pao - arizona</t>
  </si>
  <si>
    <t>lis/juros</t>
  </si>
  <si>
    <t>bobs - segunda</t>
  </si>
  <si>
    <t>pizza hut</t>
  </si>
  <si>
    <t>padaria</t>
  </si>
  <si>
    <t>jantar - sexta</t>
  </si>
  <si>
    <t>café - salgado monte - sabado</t>
  </si>
  <si>
    <t>mocoto - domingo</t>
  </si>
  <si>
    <t>parcelamento 1/5</t>
  </si>
  <si>
    <t>previsão economia</t>
  </si>
  <si>
    <t>iss 10/2014</t>
  </si>
  <si>
    <t>csll tri 10/2014</t>
  </si>
  <si>
    <t>irpj 10/2014</t>
  </si>
  <si>
    <t>hotel</t>
  </si>
  <si>
    <t>credito rafael</t>
  </si>
  <si>
    <t>conserto - zelito - carro</t>
  </si>
  <si>
    <t>bar aurora</t>
  </si>
  <si>
    <t>lazer</t>
  </si>
  <si>
    <t>presente</t>
  </si>
  <si>
    <t>bmart - parcela 1/2</t>
  </si>
  <si>
    <t>bmart - parcela 2/2</t>
  </si>
  <si>
    <t xml:space="preserve">TIM LIBERTY*1amajl </t>
  </si>
  <si>
    <t>tempero</t>
  </si>
  <si>
    <t>forma pra torta</t>
  </si>
  <si>
    <t>descricao</t>
  </si>
  <si>
    <t>data_compra</t>
  </si>
  <si>
    <t>valor</t>
  </si>
  <si>
    <t>departamento</t>
  </si>
  <si>
    <t xml:space="preserve">sorvete </t>
  </si>
  <si>
    <t>leite</t>
  </si>
  <si>
    <t>salsa</t>
  </si>
  <si>
    <t>folha louro</t>
  </si>
  <si>
    <t>alface</t>
  </si>
  <si>
    <t>arroz</t>
  </si>
  <si>
    <t>agua bonafonte pcte (8)</t>
  </si>
  <si>
    <t>sobremesa</t>
  </si>
  <si>
    <t>liquido</t>
  </si>
  <si>
    <t>valor unitarioa</t>
  </si>
  <si>
    <t>oleo</t>
  </si>
  <si>
    <t>bolo suiço</t>
  </si>
  <si>
    <t>aveia</t>
  </si>
  <si>
    <t>pao frances</t>
  </si>
  <si>
    <t>bolo fuba</t>
  </si>
  <si>
    <t>feijao</t>
  </si>
  <si>
    <t>tomate</t>
  </si>
  <si>
    <t>melao</t>
  </si>
  <si>
    <t>mamao</t>
  </si>
  <si>
    <t>morango</t>
  </si>
  <si>
    <t>suco</t>
  </si>
  <si>
    <t>manteiga</t>
  </si>
  <si>
    <t>maragarina</t>
  </si>
  <si>
    <t>requeijao</t>
  </si>
  <si>
    <t>file peito frango</t>
  </si>
  <si>
    <t>coxa frango</t>
  </si>
  <si>
    <t>frango sadia</t>
  </si>
  <si>
    <t>agua sanitaria</t>
  </si>
  <si>
    <t>amaciante</t>
  </si>
  <si>
    <t>omo</t>
  </si>
  <si>
    <t>detergente</t>
  </si>
  <si>
    <t>luva</t>
  </si>
  <si>
    <t>desinfetante</t>
  </si>
  <si>
    <t>fosforo</t>
  </si>
  <si>
    <t>papel toalha</t>
  </si>
  <si>
    <t>iogurte litro</t>
  </si>
  <si>
    <t>agua bonafonte 6,25l</t>
  </si>
  <si>
    <t>coador papel café</t>
  </si>
  <si>
    <t>vagem</t>
  </si>
  <si>
    <t>banana</t>
  </si>
  <si>
    <t>refrigerante</t>
  </si>
  <si>
    <t>leite ninho</t>
  </si>
  <si>
    <t>pao queijo congelado</t>
  </si>
  <si>
    <t>sustagen</t>
  </si>
  <si>
    <t>pac dcol</t>
  </si>
  <si>
    <t>palm culti</t>
  </si>
  <si>
    <t>far mand</t>
  </si>
  <si>
    <t>lentilha</t>
  </si>
  <si>
    <t>frigideira</t>
  </si>
  <si>
    <t>ketchup</t>
  </si>
  <si>
    <t>molho masterf</t>
  </si>
  <si>
    <t>waffer</t>
  </si>
  <si>
    <t>ac de marc</t>
  </si>
  <si>
    <t>bolo</t>
  </si>
  <si>
    <t>b panc</t>
  </si>
  <si>
    <t>ovos</t>
  </si>
  <si>
    <t>sc pl metodo</t>
  </si>
  <si>
    <t>esponja</t>
  </si>
  <si>
    <t>rodo</t>
  </si>
  <si>
    <t>puri verd</t>
  </si>
  <si>
    <t>alvejante</t>
  </si>
  <si>
    <t>esponja soft</t>
  </si>
  <si>
    <t>sabao pedaco coco</t>
  </si>
  <si>
    <t>suco uva</t>
  </si>
  <si>
    <t>suco nectar</t>
  </si>
  <si>
    <t>frutas</t>
  </si>
  <si>
    <t>legumes</t>
  </si>
  <si>
    <t>fast food</t>
  </si>
  <si>
    <t>limpeza</t>
  </si>
  <si>
    <t>linguiça defumada</t>
  </si>
  <si>
    <t>bacon</t>
  </si>
  <si>
    <t>alcatra</t>
  </si>
  <si>
    <t xml:space="preserve">alcatra </t>
  </si>
  <si>
    <t>utensilios</t>
  </si>
  <si>
    <t>filet mignon</t>
  </si>
  <si>
    <t>peito frango</t>
  </si>
  <si>
    <t>cupim</t>
  </si>
  <si>
    <t>musculo</t>
  </si>
  <si>
    <t>contra filet</t>
  </si>
  <si>
    <t>bife patinho</t>
  </si>
  <si>
    <t>queijo minas</t>
  </si>
  <si>
    <t>mussarela</t>
  </si>
  <si>
    <t>peito peru</t>
  </si>
  <si>
    <t>fator_calculo</t>
  </si>
  <si>
    <t>unidade</t>
  </si>
  <si>
    <t>kg</t>
  </si>
  <si>
    <t>pimentao verde</t>
  </si>
  <si>
    <t>pimentao vermelho</t>
  </si>
  <si>
    <t>maça</t>
  </si>
  <si>
    <t>laranja</t>
  </si>
  <si>
    <t>batata</t>
  </si>
  <si>
    <t>mexerica</t>
  </si>
  <si>
    <t>abacate</t>
  </si>
  <si>
    <t>cebola</t>
  </si>
  <si>
    <t>manga</t>
  </si>
  <si>
    <t>coxao mole</t>
  </si>
  <si>
    <t>pessego</t>
  </si>
  <si>
    <t>limao</t>
  </si>
  <si>
    <t>abobora</t>
  </si>
  <si>
    <t>cenoura</t>
  </si>
  <si>
    <t>rucula</t>
  </si>
  <si>
    <t>alho</t>
  </si>
  <si>
    <t>batata seara congelada</t>
  </si>
  <si>
    <t>iogurte bandeja</t>
  </si>
  <si>
    <t>patinho</t>
  </si>
  <si>
    <t>bauduco</t>
  </si>
  <si>
    <t>papel higienico</t>
  </si>
  <si>
    <t>bombril aço</t>
  </si>
  <si>
    <t>higiene</t>
  </si>
  <si>
    <t>lanche</t>
  </si>
  <si>
    <t>oleo para carro</t>
  </si>
  <si>
    <t>jantar</t>
  </si>
  <si>
    <t>pneu para carro</t>
  </si>
  <si>
    <t>parcela 1/3 - renner</t>
  </si>
  <si>
    <t>parcela 2/3 - renner</t>
  </si>
  <si>
    <t>parcela 3/3 - renner</t>
  </si>
  <si>
    <t>guincho</t>
  </si>
  <si>
    <t>agasalho são paulo 1/2</t>
  </si>
  <si>
    <t>agasalho são paulo 2/2</t>
  </si>
  <si>
    <t>roupa</t>
  </si>
  <si>
    <t>parcelar_cartão</t>
  </si>
  <si>
    <t>bolsa</t>
  </si>
  <si>
    <t>cartão credito</t>
  </si>
  <si>
    <t>batida carro terceiro</t>
  </si>
  <si>
    <t>mecanico</t>
  </si>
  <si>
    <t>combustivel</t>
  </si>
  <si>
    <t>bone amigo secreto</t>
  </si>
  <si>
    <t>refrigerante - almoço</t>
  </si>
  <si>
    <t>bolo - gceu</t>
  </si>
  <si>
    <t>eventual</t>
  </si>
  <si>
    <t>pessoal</t>
  </si>
  <si>
    <t>banco</t>
  </si>
  <si>
    <t>casa</t>
  </si>
  <si>
    <t>empresa</t>
  </si>
  <si>
    <t>investimento</t>
  </si>
  <si>
    <t>unicef</t>
  </si>
  <si>
    <t>divida</t>
  </si>
  <si>
    <t>caixa de bis</t>
  </si>
  <si>
    <t>salame</t>
  </si>
  <si>
    <t>pao forma</t>
  </si>
  <si>
    <t>leite parmalat</t>
  </si>
  <si>
    <t>leite vida inteira</t>
  </si>
  <si>
    <t>miojo</t>
  </si>
  <si>
    <t>iogurte frasquinho</t>
  </si>
  <si>
    <t>valor_parcelado</t>
  </si>
  <si>
    <t>conta juridica</t>
  </si>
  <si>
    <t>conserto - carro - bezerra</t>
  </si>
  <si>
    <t>oleo hidraulico para carro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</si>
  <si>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</si>
  <si>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</si>
  <si>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</si>
  <si>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</si>
  <si>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</si>
  <si>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</si>
  <si>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semana_credito</t>
  </si>
  <si>
    <t>data_pagamento_credito</t>
  </si>
  <si>
    <t>tipo_credito</t>
  </si>
  <si>
    <t>igreja</t>
  </si>
  <si>
    <t>almoço - acompanhado</t>
  </si>
  <si>
    <t>lanche - acompanhado</t>
  </si>
  <si>
    <t>agua</t>
  </si>
  <si>
    <t>escova de dente</t>
  </si>
  <si>
    <t>cafeteira</t>
  </si>
  <si>
    <t>lanche noite shopping</t>
  </si>
  <si>
    <t>cinema</t>
  </si>
  <si>
    <t>suco - noite shopping</t>
  </si>
  <si>
    <t>lanche noite santana</t>
  </si>
  <si>
    <t>pão manhã</t>
  </si>
  <si>
    <t>café manhã domingo concilio</t>
  </si>
  <si>
    <t>lanche tarde</t>
  </si>
  <si>
    <t>barra chocolate tarde</t>
  </si>
  <si>
    <t>café da manhã</t>
  </si>
  <si>
    <t>dolce gusto - capsula</t>
  </si>
  <si>
    <t>lanche noite</t>
  </si>
  <si>
    <t>higiene pessoal</t>
  </si>
  <si>
    <t>panetone</t>
  </si>
  <si>
    <t>jantar burger</t>
  </si>
  <si>
    <t>benção</t>
  </si>
  <si>
    <t>bezerra 1/2</t>
  </si>
  <si>
    <t>bezerra 2/2</t>
  </si>
  <si>
    <t>parcelamento 2/5</t>
  </si>
  <si>
    <t>parcelamento 3/5</t>
  </si>
  <si>
    <t>parcelamento 4/5</t>
  </si>
  <si>
    <t>parcelamento 5/5</t>
  </si>
  <si>
    <t>feira</t>
  </si>
  <si>
    <t>advogada</t>
  </si>
  <si>
    <t>cinto</t>
  </si>
  <si>
    <t>blusa</t>
  </si>
  <si>
    <t>peça de carro</t>
  </si>
  <si>
    <t>sitio - mercado</t>
  </si>
  <si>
    <t>esponja BomBril</t>
  </si>
  <si>
    <t>bom ar</t>
  </si>
  <si>
    <t>Veja multi uso</t>
  </si>
  <si>
    <t>lustra moveis</t>
  </si>
  <si>
    <t>danone actimel</t>
  </si>
  <si>
    <t>mortadela</t>
  </si>
  <si>
    <t>zelito</t>
  </si>
  <si>
    <t>pão tarde</t>
  </si>
  <si>
    <t>zelito 1/2</t>
  </si>
  <si>
    <t>zelito 2/2</t>
  </si>
  <si>
    <t>cereja importada</t>
  </si>
  <si>
    <t>batata palha</t>
  </si>
  <si>
    <t>presunto</t>
  </si>
  <si>
    <t>suco kapo</t>
  </si>
  <si>
    <t>kinder ovo</t>
  </si>
  <si>
    <t>iogurte grego</t>
  </si>
  <si>
    <t>creme pentear</t>
  </si>
  <si>
    <t>pasta de dente</t>
  </si>
  <si>
    <t>pao de mel</t>
  </si>
  <si>
    <t>azeitona</t>
  </si>
  <si>
    <t>coentro</t>
  </si>
  <si>
    <t>panetone bauducco</t>
  </si>
  <si>
    <t>chinelo havaiana</t>
  </si>
  <si>
    <t>molho com salsa</t>
  </si>
  <si>
    <t>biscoito equilibrio</t>
  </si>
  <si>
    <t>biscoito cookies</t>
  </si>
  <si>
    <t>bis</t>
  </si>
  <si>
    <t>leite danone</t>
  </si>
  <si>
    <t>agua mineral</t>
  </si>
  <si>
    <t>nutella</t>
  </si>
  <si>
    <t>salsicha</t>
  </si>
  <si>
    <t>sal</t>
  </si>
  <si>
    <t>nuggets</t>
  </si>
  <si>
    <t>iogurte natural</t>
  </si>
  <si>
    <t>mandioquinha</t>
  </si>
  <si>
    <t>panos microfiba</t>
  </si>
  <si>
    <t>cueca microfiba</t>
  </si>
  <si>
    <t>shampoo</t>
  </si>
  <si>
    <t>sabonete</t>
  </si>
  <si>
    <t>fluor</t>
  </si>
  <si>
    <t>mel organico</t>
  </si>
  <si>
    <t>alface crespa</t>
  </si>
  <si>
    <t>suco maguary</t>
  </si>
  <si>
    <t>agua bonafonte</t>
  </si>
  <si>
    <t>congelado</t>
  </si>
  <si>
    <t>pasta de dente pct 2 unid</t>
  </si>
  <si>
    <t>localiza 1/2</t>
  </si>
  <si>
    <t>localiza 2/2</t>
  </si>
  <si>
    <t>café de manha</t>
  </si>
  <si>
    <t>gasolina - localiza</t>
  </si>
  <si>
    <t>pizza - praia</t>
  </si>
  <si>
    <t>pedagio - ida</t>
  </si>
  <si>
    <t>pedagio - volta</t>
  </si>
  <si>
    <t>açai - praia</t>
  </si>
  <si>
    <t>agua- praia</t>
  </si>
  <si>
    <t>gatorade</t>
  </si>
  <si>
    <t>hamburguer caio</t>
  </si>
  <si>
    <t>PT Kit</t>
  </si>
  <si>
    <t>panetone nestle</t>
  </si>
  <si>
    <t>nescafe dolce gusto</t>
  </si>
  <si>
    <t>suco 1.5</t>
  </si>
  <si>
    <t>biscoito</t>
  </si>
  <si>
    <t>arroz andorinha</t>
  </si>
  <si>
    <t>massa baril</t>
  </si>
  <si>
    <t>iogurte</t>
  </si>
  <si>
    <t>picanha</t>
  </si>
  <si>
    <t>salsao</t>
  </si>
  <si>
    <t>refrigerante schwepps</t>
  </si>
  <si>
    <t>Veja Cl a Banho</t>
  </si>
  <si>
    <t>Veja L Pesada</t>
  </si>
  <si>
    <t>iogurte vigor</t>
  </si>
  <si>
    <t>cereal kellong</t>
  </si>
  <si>
    <t>feijão</t>
  </si>
  <si>
    <t>iogurte batavo</t>
  </si>
  <si>
    <t>percentual</t>
  </si>
  <si>
    <t>csll</t>
  </si>
  <si>
    <t>irpj</t>
  </si>
  <si>
    <t>contribuicao previdencia fatura brut</t>
  </si>
  <si>
    <t>iss</t>
  </si>
  <si>
    <t>pis</t>
  </si>
  <si>
    <t>confis</t>
  </si>
  <si>
    <t>IR</t>
  </si>
  <si>
    <t>pão de manhã</t>
  </si>
  <si>
    <t>lanche a noite</t>
  </si>
  <si>
    <t>habibs - jantar</t>
  </si>
  <si>
    <t>sorvete - shopping noite</t>
  </si>
  <si>
    <t>sorvete - após almoço</t>
  </si>
  <si>
    <t>conserto janela do carro</t>
  </si>
  <si>
    <t>agua - reuniao igreja</t>
  </si>
  <si>
    <t>oleo pra carro</t>
  </si>
  <si>
    <t>agua/sorvete - posto</t>
  </si>
  <si>
    <t>marmitex - benção</t>
  </si>
  <si>
    <t>lanche da tarde</t>
  </si>
  <si>
    <t>frutas - entrada bit</t>
  </si>
  <si>
    <t>lanche - tapioca saida bit</t>
  </si>
  <si>
    <t>lanche - metro saida bit</t>
  </si>
  <si>
    <t>tapioca - saida bit</t>
  </si>
  <si>
    <t>jantar - shopping interlagos</t>
  </si>
  <si>
    <t>açai - shopping interlagos</t>
  </si>
  <si>
    <t>michelle</t>
  </si>
  <si>
    <t>almoço fim de semana</t>
  </si>
  <si>
    <t>confraternizacao bit</t>
  </si>
  <si>
    <t>vestido - shopping tatuape 1/2</t>
  </si>
  <si>
    <t>vestido - shopping tatuape 2/2</t>
  </si>
  <si>
    <t>mistura - canelone</t>
  </si>
  <si>
    <t>localiza 1/3</t>
  </si>
  <si>
    <t>localiza 2/3</t>
  </si>
  <si>
    <t>localiza 3/3</t>
  </si>
  <si>
    <t>sorvete - mercado bit</t>
  </si>
  <si>
    <t>estacionamento bit</t>
  </si>
  <si>
    <t>subway - interlago</t>
  </si>
  <si>
    <t>pao de noite - mandaqui</t>
  </si>
  <si>
    <t>leite batavo</t>
  </si>
  <si>
    <t>pão integral</t>
  </si>
  <si>
    <t>vitamina</t>
  </si>
  <si>
    <t>estacionamento tatuape</t>
  </si>
  <si>
    <t>vite a sec</t>
  </si>
  <si>
    <t>refeição graal - viagem</t>
  </si>
  <si>
    <t>saque - viagem</t>
  </si>
  <si>
    <t>gravata</t>
  </si>
  <si>
    <t>café viagem</t>
  </si>
  <si>
    <t>km iniciado</t>
  </si>
  <si>
    <t>km abastecido</t>
  </si>
  <si>
    <t>pedagio volta</t>
  </si>
  <si>
    <t>pedagio ida</t>
  </si>
  <si>
    <t>parcelamento 1/4</t>
  </si>
  <si>
    <t>parcelamento 2/4</t>
  </si>
  <si>
    <t>parcelamento 3/4</t>
  </si>
  <si>
    <t>parcelamento 4/4</t>
  </si>
  <si>
    <t>almoço aniversario</t>
  </si>
  <si>
    <t>socio torcedor</t>
  </si>
  <si>
    <t>bolo/lanche/pão</t>
  </si>
  <si>
    <t>mercado car - peças</t>
  </si>
  <si>
    <t>almoço - michelle</t>
  </si>
  <si>
    <t>pao/frios</t>
  </si>
  <si>
    <t>mercado legumes</t>
  </si>
  <si>
    <t>café da tarde</t>
  </si>
  <si>
    <t>pão/queijo/presunto</t>
  </si>
  <si>
    <t>caldo de cana</t>
  </si>
  <si>
    <t>caixa organizadora</t>
  </si>
  <si>
    <t>travesseiro</t>
  </si>
  <si>
    <t>sapolio</t>
  </si>
  <si>
    <t>removedor</t>
  </si>
  <si>
    <t>pct sabonete dove</t>
  </si>
  <si>
    <t>detergente limpol</t>
  </si>
  <si>
    <t>limpador veja</t>
  </si>
  <si>
    <t>limpador cloro</t>
  </si>
  <si>
    <t>confort</t>
  </si>
  <si>
    <t>outro</t>
  </si>
  <si>
    <t>lava roupa omo</t>
  </si>
  <si>
    <t>limpador tira veja</t>
  </si>
  <si>
    <t>oleo milho</t>
  </si>
  <si>
    <t>feijao carioca</t>
  </si>
  <si>
    <t>biscoito bauducco</t>
  </si>
  <si>
    <t>biscoito calipso</t>
  </si>
  <si>
    <t>leite paulista</t>
  </si>
  <si>
    <t>suco del valle</t>
  </si>
  <si>
    <t>maça fuji</t>
  </si>
  <si>
    <t>linguiça aurora</t>
  </si>
  <si>
    <t>file mignon</t>
  </si>
  <si>
    <t>alcatra c/ maminha</t>
  </si>
  <si>
    <t>acerola</t>
  </si>
  <si>
    <t>laranja pera</t>
  </si>
  <si>
    <t>pera</t>
  </si>
  <si>
    <t>sobrecoxa sadia</t>
  </si>
  <si>
    <t>bolo palm bondue</t>
  </si>
  <si>
    <t>requeijão vigor</t>
  </si>
  <si>
    <t>café soluvel</t>
  </si>
  <si>
    <t>frango passarinho</t>
  </si>
  <si>
    <t>pao caseiro panco</t>
  </si>
  <si>
    <t>cha matte</t>
  </si>
  <si>
    <t>saco de lixo</t>
  </si>
  <si>
    <t>shampoo clear</t>
  </si>
  <si>
    <t>café/agua</t>
  </si>
  <si>
    <t>doce</t>
  </si>
  <si>
    <t>milkshake - shopping</t>
  </si>
  <si>
    <t>almoço - sabado</t>
  </si>
  <si>
    <t>pizzaria - jantar</t>
  </si>
  <si>
    <t>custo total aluguel</t>
  </si>
  <si>
    <t>lanche - mc donalds</t>
  </si>
  <si>
    <t>mercado - jantar</t>
  </si>
  <si>
    <t>mercado - padaria</t>
  </si>
  <si>
    <t>chocolate</t>
  </si>
  <si>
    <t>agua mercado</t>
  </si>
  <si>
    <t>fita kilometrica</t>
  </si>
  <si>
    <t>pão / leite</t>
  </si>
  <si>
    <t>nuggets frango</t>
  </si>
  <si>
    <t>empanado sadia</t>
  </si>
  <si>
    <t>iogurte nestle</t>
  </si>
  <si>
    <t>filez perdigão</t>
  </si>
  <si>
    <t>lacta danone</t>
  </si>
  <si>
    <t>sorvete nestle</t>
  </si>
  <si>
    <t>queijo minas fresco</t>
  </si>
  <si>
    <t>queijo ralado</t>
  </si>
  <si>
    <t>biscoito belvita</t>
  </si>
  <si>
    <t>misf satis</t>
  </si>
  <si>
    <t>club social</t>
  </si>
  <si>
    <t>baston topz</t>
  </si>
  <si>
    <t>aveia quaker</t>
  </si>
  <si>
    <t>iogurte activia</t>
  </si>
  <si>
    <t>pao de forma</t>
  </si>
  <si>
    <t>adoçante</t>
  </si>
  <si>
    <t>melão</t>
  </si>
  <si>
    <t>sabão ufe</t>
  </si>
  <si>
    <t>sabão pedra coco</t>
  </si>
  <si>
    <t>carnes</t>
  </si>
  <si>
    <t>biscoito bono</t>
  </si>
  <si>
    <t>biscoito triunfo</t>
  </si>
  <si>
    <t>biscoito leite</t>
  </si>
  <si>
    <t>biscoito maril</t>
  </si>
  <si>
    <t>linguiça</t>
  </si>
  <si>
    <t>frango</t>
  </si>
  <si>
    <t>diferença</t>
  </si>
  <si>
    <t>massa</t>
  </si>
  <si>
    <t>molho</t>
  </si>
  <si>
    <t>chocolatado</t>
  </si>
  <si>
    <t>pão</t>
  </si>
  <si>
    <t>cereal</t>
  </si>
  <si>
    <t>cha</t>
  </si>
  <si>
    <t>cartorio</t>
  </si>
  <si>
    <t>agua / chocolate</t>
  </si>
  <si>
    <t>ultragas</t>
  </si>
  <si>
    <t>makro restaurante</t>
  </si>
  <si>
    <t>sanduicheira</t>
  </si>
  <si>
    <t>almoço - pastel kibe</t>
  </si>
  <si>
    <t>celular credito</t>
  </si>
  <si>
    <t>janta - shopping interlagos</t>
  </si>
  <si>
    <t>agua / sorvete</t>
  </si>
  <si>
    <t>MARABRAZ LOJA 114 01/04 - COZINHA</t>
  </si>
  <si>
    <t>MARABRAZ LOJA 114 01/04 - GUARDA ROUPA</t>
  </si>
  <si>
    <t>MARABRAZ LOJA 114 02/04 - GUARDA ROUPA</t>
  </si>
  <si>
    <t>MARABRAZ LOJA 114 02/04 - COZINHA</t>
  </si>
  <si>
    <t>MARABRAZ LOJA 114 03/04 - GUARDA ROUPA</t>
  </si>
  <si>
    <t>MARABRAZ LOJA 114 03/04 - COZINHA</t>
  </si>
  <si>
    <t>MARABRAZ LOJA 114 04/04 - GUARDA ROUPA</t>
  </si>
  <si>
    <t>MARABRAZ LOJA 114 04/04 - COZINHA</t>
  </si>
  <si>
    <t>bolacha</t>
  </si>
  <si>
    <t>ultrasom morfologico</t>
  </si>
  <si>
    <t>casa bahia - telefone</t>
  </si>
  <si>
    <t>sucos - shopping</t>
  </si>
  <si>
    <t>LOJA MATERIAL PRA CASA 1/2</t>
  </si>
  <si>
    <t>varão cortina</t>
  </si>
  <si>
    <t>açougue</t>
  </si>
  <si>
    <t>LOJA MATERIAL PRA CASA 2/2</t>
  </si>
  <si>
    <t>casas bahia via varejo 1/2</t>
  </si>
  <si>
    <t>casas bahia via varejo 3/3</t>
  </si>
  <si>
    <t>casas bahia via varejo 2/3</t>
  </si>
  <si>
    <t>regulador gas</t>
  </si>
  <si>
    <t>mamão</t>
  </si>
  <si>
    <t>frios</t>
  </si>
  <si>
    <t>pao wickbold</t>
  </si>
  <si>
    <t>calipso bolacha</t>
  </si>
  <si>
    <t>nesfit</t>
  </si>
  <si>
    <t>pao</t>
  </si>
  <si>
    <t>oregano</t>
  </si>
  <si>
    <t>tenis pe</t>
  </si>
  <si>
    <t>bolo de coco</t>
  </si>
  <si>
    <t>maionese</t>
  </si>
  <si>
    <t>shampoo seda</t>
  </si>
  <si>
    <t>maça verde</t>
  </si>
  <si>
    <t>açucar</t>
  </si>
  <si>
    <t>coador café</t>
  </si>
  <si>
    <t>bolo de banana</t>
  </si>
  <si>
    <t>salsisha</t>
  </si>
  <si>
    <t>margarina</t>
  </si>
  <si>
    <t>crystal</t>
  </si>
  <si>
    <t>macarrão</t>
  </si>
  <si>
    <t>suflair</t>
  </si>
  <si>
    <t>pao de coco</t>
  </si>
  <si>
    <t>arroz prato fino</t>
  </si>
  <si>
    <t>passatempo bolacha</t>
  </si>
  <si>
    <t>caldo sazon</t>
  </si>
  <si>
    <t>danone</t>
  </si>
  <si>
    <t>legumes picado</t>
  </si>
  <si>
    <t>coxao duro</t>
  </si>
  <si>
    <t>coxinha</t>
  </si>
  <si>
    <t>farinha mandioca</t>
  </si>
  <si>
    <t>grãos</t>
  </si>
  <si>
    <t>escorredor macarrão</t>
  </si>
  <si>
    <t>kitakat chocolate</t>
  </si>
  <si>
    <t>bolo panco</t>
  </si>
  <si>
    <t>coador plastico</t>
  </si>
  <si>
    <t>utensilios casa</t>
  </si>
  <si>
    <t>papelaria</t>
  </si>
  <si>
    <t>conserto do carro - bezerra 2/3</t>
  </si>
  <si>
    <t>conserto do carro - bezerra 3/3</t>
  </si>
  <si>
    <t>conserto do carro - bezerra 1/3</t>
  </si>
  <si>
    <t>CARREFOUR TUCURUVI 286</t>
  </si>
  <si>
    <t>data_pagamento</t>
  </si>
  <si>
    <t>montagem de armario</t>
  </si>
  <si>
    <t>saboneteira</t>
  </si>
  <si>
    <t>cotonetes</t>
  </si>
  <si>
    <t>desodorante</t>
  </si>
  <si>
    <t>lapis dallus</t>
  </si>
  <si>
    <t>sombra</t>
  </si>
  <si>
    <t>condor</t>
  </si>
  <si>
    <t>tempero mais sabor</t>
  </si>
  <si>
    <t>bolo de laranja</t>
  </si>
  <si>
    <t>creme de leite</t>
  </si>
  <si>
    <t>linguiça calabresa</t>
  </si>
  <si>
    <t>steak</t>
  </si>
  <si>
    <t>steak perdigão</t>
  </si>
  <si>
    <t>file frango</t>
  </si>
  <si>
    <t>milho verde</t>
  </si>
  <si>
    <t>patinho moido</t>
  </si>
  <si>
    <t>cheiro verde</t>
  </si>
  <si>
    <t>caldo knor carne</t>
  </si>
  <si>
    <t>caldo knor galinha</t>
  </si>
  <si>
    <t>tempero amarelo frango</t>
  </si>
  <si>
    <t>tempero chimichurri</t>
  </si>
  <si>
    <t>tempero ervas churrasco</t>
  </si>
  <si>
    <t>tempero kisabor carne</t>
  </si>
  <si>
    <t>tempero kisabor frango</t>
  </si>
  <si>
    <t>creme leite</t>
  </si>
  <si>
    <t>mamao papaya</t>
  </si>
  <si>
    <t>suco caju</t>
  </si>
  <si>
    <t>sabao neutro</t>
  </si>
  <si>
    <t>veja limpeza</t>
  </si>
  <si>
    <t>pao leve</t>
  </si>
  <si>
    <t>farinha rosca</t>
  </si>
  <si>
    <t>batata doce</t>
  </si>
  <si>
    <t>figado</t>
  </si>
  <si>
    <t>pepino</t>
  </si>
  <si>
    <t>limpa casa</t>
  </si>
  <si>
    <t>desodarante</t>
  </si>
  <si>
    <t>aparelho depilação</t>
  </si>
  <si>
    <t>mistura de bolo</t>
  </si>
  <si>
    <t>danete</t>
  </si>
  <si>
    <t>fermento</t>
  </si>
  <si>
    <t>pao pullman</t>
  </si>
  <si>
    <t>sabonete nivea</t>
  </si>
  <si>
    <t>sabonete protex</t>
  </si>
  <si>
    <t>ferramenta</t>
  </si>
  <si>
    <t>farinha</t>
  </si>
  <si>
    <t>RECARGA TIM</t>
  </si>
  <si>
    <t>tapioca - saida bit(camel)</t>
  </si>
  <si>
    <t>dvd metodista wesley</t>
  </si>
  <si>
    <t>alcool</t>
  </si>
  <si>
    <t>condicionador</t>
  </si>
  <si>
    <t>pao de milho</t>
  </si>
  <si>
    <t>saque michelle</t>
  </si>
  <si>
    <t>pão de açucar</t>
  </si>
  <si>
    <t>dorgaria nova adm</t>
  </si>
  <si>
    <t>chokkolocco</t>
  </si>
  <si>
    <t>sonda</t>
  </si>
  <si>
    <t>carrefour</t>
  </si>
  <si>
    <t>sacolão</t>
  </si>
  <si>
    <t>cia distribuição</t>
  </si>
  <si>
    <t>perfumaria sumire</t>
  </si>
  <si>
    <t>wal mart</t>
  </si>
  <si>
    <t>batata congelada</t>
  </si>
  <si>
    <t>abacaxi</t>
  </si>
  <si>
    <t>alface crespo</t>
  </si>
  <si>
    <t>café</t>
  </si>
  <si>
    <t>origem</t>
  </si>
  <si>
    <t>chocolate/agua</t>
  </si>
  <si>
    <t>açai</t>
  </si>
  <si>
    <t>subway</t>
  </si>
  <si>
    <t>jantar - habibs</t>
  </si>
  <si>
    <t>jantar - pizza hut</t>
  </si>
  <si>
    <t>estacionamento</t>
  </si>
  <si>
    <t>perua</t>
  </si>
  <si>
    <t>cartão michelle</t>
  </si>
  <si>
    <t>cirurgia martinelli</t>
  </si>
  <si>
    <t>bota feminina</t>
  </si>
  <si>
    <t>livro - presente mãe</t>
  </si>
  <si>
    <t>restaurante - dia das maes</t>
  </si>
  <si>
    <t>sorvete - shopping santana</t>
  </si>
  <si>
    <t>chocolate quente - sorvete</t>
  </si>
  <si>
    <t>pipoca / suco</t>
  </si>
  <si>
    <t>bobs</t>
  </si>
  <si>
    <t>doces / chocolate</t>
  </si>
  <si>
    <t>ajuda - domingo</t>
  </si>
  <si>
    <t>sacola de feira</t>
  </si>
  <si>
    <t>boleto socio torcedor</t>
  </si>
  <si>
    <t>clinica fares - ultrasom</t>
  </si>
  <si>
    <t>linguinça</t>
  </si>
  <si>
    <t>coxão duro</t>
  </si>
  <si>
    <t>salmão</t>
  </si>
  <si>
    <t>file tilapia</t>
  </si>
  <si>
    <t>peixe</t>
  </si>
  <si>
    <t>protetor diario</t>
  </si>
  <si>
    <t>creme dental</t>
  </si>
  <si>
    <t>agua sanitaria candida</t>
  </si>
  <si>
    <t>bolo pullman</t>
  </si>
  <si>
    <t>pao hot dog</t>
  </si>
  <si>
    <t>sopa</t>
  </si>
  <si>
    <t>coloral</t>
  </si>
  <si>
    <t>pimenta branca</t>
  </si>
  <si>
    <t>abobrinha</t>
  </si>
  <si>
    <t>chuchu</t>
  </si>
  <si>
    <t>limpeza casa</t>
  </si>
  <si>
    <t>limpeza desinfetante</t>
  </si>
  <si>
    <t>limpeza tira limo</t>
  </si>
  <si>
    <t>requeijão</t>
  </si>
  <si>
    <t>tempero carne</t>
  </si>
  <si>
    <t>futebol</t>
  </si>
  <si>
    <t>estacionamento fut</t>
  </si>
  <si>
    <t>churrasco fut</t>
  </si>
  <si>
    <t>almoço - posto - michelli</t>
  </si>
  <si>
    <t>starbucks</t>
  </si>
  <si>
    <t>utensilios charles - casa</t>
  </si>
  <si>
    <t>herbalife</t>
  </si>
  <si>
    <t>mexicano - jantar</t>
  </si>
  <si>
    <t>clinica sindicato - ultrassom</t>
  </si>
  <si>
    <t>lojas americanas presente 1/3</t>
  </si>
  <si>
    <t>lojas americanas presente 2/3</t>
  </si>
  <si>
    <t>lojas americanas presente 3/3</t>
  </si>
  <si>
    <t>padaria - bolo - encontro casal</t>
  </si>
  <si>
    <t>leite coco</t>
  </si>
  <si>
    <t>rosquinha</t>
  </si>
  <si>
    <t>lanchinho chips</t>
  </si>
  <si>
    <t>big tosty batata palha</t>
  </si>
  <si>
    <t>RAP pullman</t>
  </si>
  <si>
    <t>cheddar</t>
  </si>
  <si>
    <t>linguiça toscana</t>
  </si>
  <si>
    <t>queijo prato</t>
  </si>
  <si>
    <t>quiabo</t>
  </si>
  <si>
    <t>pescada</t>
  </si>
  <si>
    <t>condiocinador</t>
  </si>
  <si>
    <t>agua santiaria</t>
  </si>
  <si>
    <t>aparelho pretobar</t>
  </si>
  <si>
    <t>sabonte</t>
  </si>
  <si>
    <t>limpador casa</t>
  </si>
  <si>
    <t>file saint peper</t>
  </si>
  <si>
    <t>aparelho feminio venus</t>
  </si>
  <si>
    <t>amido</t>
  </si>
  <si>
    <t>queijo parmesão</t>
  </si>
  <si>
    <t>pao nutrella</t>
  </si>
  <si>
    <t>salgadinho</t>
  </si>
  <si>
    <t>maisena</t>
  </si>
  <si>
    <t>andorinha</t>
  </si>
  <si>
    <t>forma_pagto</t>
  </si>
  <si>
    <t>burger king</t>
  </si>
  <si>
    <t>jantar - espeto</t>
  </si>
  <si>
    <t>pastel</t>
  </si>
  <si>
    <t>cana de açucar</t>
  </si>
  <si>
    <t>chocolate vila olimpia</t>
  </si>
  <si>
    <t>gil mecanico 1/3</t>
  </si>
  <si>
    <t>gil mecanico 3/3</t>
  </si>
  <si>
    <t>gil mecanico 2/3</t>
  </si>
  <si>
    <t>weslyana moçambique</t>
  </si>
  <si>
    <t>jantar - batata shopping tatu</t>
  </si>
  <si>
    <t>presente dias dos namorados</t>
  </si>
  <si>
    <t>boticario</t>
  </si>
  <si>
    <t>jantar - bella paulista</t>
  </si>
  <si>
    <t>peça de lagarto 1k</t>
  </si>
  <si>
    <t>berço</t>
  </si>
  <si>
    <t>comoda</t>
  </si>
  <si>
    <t>roupas</t>
  </si>
  <si>
    <t>fraldas</t>
  </si>
  <si>
    <t>toalhinha</t>
  </si>
  <si>
    <t>maquina de lavar 1/3</t>
  </si>
  <si>
    <t>maquina de lavar 2/3</t>
  </si>
  <si>
    <t>maquina de lavar 3/3</t>
  </si>
  <si>
    <t>cha de bebe</t>
  </si>
  <si>
    <t>bebe</t>
  </si>
  <si>
    <t>sofa parte 1/2</t>
  </si>
  <si>
    <t>sofa parte 2/2</t>
  </si>
  <si>
    <t>almofada 1</t>
  </si>
  <si>
    <t>almofada 2</t>
  </si>
  <si>
    <t>roupa pra cama</t>
  </si>
  <si>
    <t>camisetas wesleyana</t>
  </si>
  <si>
    <t>farmacia - camisinha</t>
  </si>
  <si>
    <t>fundação abrinq</t>
  </si>
  <si>
    <t>lojao 1/3</t>
  </si>
  <si>
    <t>lojao 2/3</t>
  </si>
  <si>
    <t>lojao 3/3</t>
  </si>
  <si>
    <t>restaurante</t>
  </si>
  <si>
    <t>almoço - domingo</t>
  </si>
  <si>
    <t>aliança 1/2</t>
  </si>
  <si>
    <t>sopa / torta holandesa</t>
  </si>
  <si>
    <t>bombril</t>
  </si>
  <si>
    <t>filme pvc</t>
  </si>
  <si>
    <t>rolo de aluminio</t>
  </si>
  <si>
    <t>schewpps</t>
  </si>
  <si>
    <t>maca</t>
  </si>
  <si>
    <t>bife contra filte</t>
  </si>
  <si>
    <t>maracuja</t>
  </si>
  <si>
    <t>couve brocoli</t>
  </si>
  <si>
    <t>capeletti</t>
  </si>
  <si>
    <t>acem pedaço</t>
  </si>
  <si>
    <t>sopão knor</t>
  </si>
  <si>
    <t>peito frango temperado</t>
  </si>
  <si>
    <t>esfiha / lanche shooping</t>
  </si>
  <si>
    <t>suco shopping</t>
  </si>
  <si>
    <t>roupa de bebe</t>
  </si>
  <si>
    <t>foto</t>
  </si>
  <si>
    <t>restaurante - casamento</t>
  </si>
  <si>
    <t>sorvete shopping</t>
  </si>
  <si>
    <t>lanche subway</t>
  </si>
  <si>
    <t>batata frita mc donalnds</t>
  </si>
  <si>
    <t>beirute</t>
  </si>
  <si>
    <t>cartucho kalunga</t>
  </si>
  <si>
    <t>barraca fruta</t>
  </si>
  <si>
    <t>ursinho cha bebe</t>
  </si>
  <si>
    <t>almoço - frango</t>
  </si>
  <si>
    <t>matsumoto - cha bebe 1/2</t>
  </si>
  <si>
    <t>desconhecido</t>
  </si>
  <si>
    <t>renavam</t>
  </si>
  <si>
    <t>divida ativa</t>
  </si>
  <si>
    <t>ipva</t>
  </si>
  <si>
    <t>dpvat</t>
  </si>
  <si>
    <t>taxas</t>
  </si>
  <si>
    <t>DRE9087</t>
  </si>
  <si>
    <t>IPVA</t>
  </si>
  <si>
    <t>MULTAS</t>
  </si>
  <si>
    <t>bolachinha</t>
  </si>
  <si>
    <t>DETRAN-SP</t>
  </si>
  <si>
    <t>IPVA SP</t>
  </si>
  <si>
    <t>DPVAT</t>
  </si>
  <si>
    <t>PREFEITURA SP</t>
  </si>
  <si>
    <t>multas munici</t>
  </si>
  <si>
    <t>multas der</t>
  </si>
  <si>
    <t>multas detran</t>
  </si>
  <si>
    <t>TAXA 2015</t>
  </si>
  <si>
    <t>TAXA 2014</t>
  </si>
  <si>
    <t>milk shake</t>
  </si>
  <si>
    <t>palleto mexicana</t>
  </si>
  <si>
    <t>isopor / tinta - cha bebe</t>
  </si>
  <si>
    <t>matsumoto - cha bebe</t>
  </si>
  <si>
    <t>decoração - cha bebe 1/2</t>
  </si>
  <si>
    <t>ursinho - cha bebe</t>
  </si>
  <si>
    <t>brinco</t>
  </si>
  <si>
    <t>vestido madan</t>
  </si>
  <si>
    <t>mc donalds sorvete</t>
  </si>
  <si>
    <t>ragazzo</t>
  </si>
  <si>
    <t>pizza em pedaço shopping interlagos</t>
  </si>
  <si>
    <t>remedio</t>
  </si>
  <si>
    <t>mercado - bolo</t>
  </si>
  <si>
    <t>mercado - bebida</t>
  </si>
  <si>
    <t>mercado - carne louca / brigadeiro / mousse</t>
  </si>
  <si>
    <t>mercado - bebida / pate</t>
  </si>
  <si>
    <t>doceria</t>
  </si>
  <si>
    <t>pao paullman</t>
  </si>
  <si>
    <t>nescafe</t>
  </si>
  <si>
    <t>coador</t>
  </si>
  <si>
    <t>peito de frango</t>
  </si>
  <si>
    <t>pão pullman</t>
  </si>
  <si>
    <t>louro</t>
  </si>
  <si>
    <t>OMO</t>
  </si>
  <si>
    <t>filet tilapia</t>
  </si>
  <si>
    <t>braco em pedaço</t>
  </si>
  <si>
    <t>veja</t>
  </si>
  <si>
    <t>papel</t>
  </si>
  <si>
    <t>kid stock - roupa bebe</t>
  </si>
  <si>
    <t>burguer king</t>
  </si>
  <si>
    <t>big x picanha</t>
  </si>
  <si>
    <t>berço 1/2</t>
  </si>
  <si>
    <t>berço 2/2</t>
  </si>
  <si>
    <t>chocolate / coca cola</t>
  </si>
  <si>
    <t>colchão</t>
  </si>
  <si>
    <t>parafusadeira</t>
  </si>
  <si>
    <t>mc donalds interlagos</t>
  </si>
  <si>
    <t>farmacia - loção/chupeta bebe</t>
  </si>
  <si>
    <t>farmacia - hidratante pra pele</t>
  </si>
  <si>
    <t>roupa bebe</t>
  </si>
  <si>
    <t>chinelo / camisola 1/2</t>
  </si>
  <si>
    <t>chinelo / camisola 2/2</t>
  </si>
  <si>
    <t>emprestimos - itau</t>
  </si>
  <si>
    <t>torta / café</t>
  </si>
  <si>
    <t>carnes bovina</t>
  </si>
  <si>
    <t>emprestimo</t>
  </si>
  <si>
    <t>mac donalds</t>
  </si>
  <si>
    <t>esfiha</t>
  </si>
  <si>
    <t>padaria - tomar café</t>
  </si>
  <si>
    <t>yoguti</t>
  </si>
  <si>
    <t>bebe magazine 01/02</t>
  </si>
  <si>
    <t>bebe magazine 02/02</t>
  </si>
  <si>
    <t>mala para enxoval</t>
  </si>
  <si>
    <t>plasticos</t>
  </si>
  <si>
    <t>balde pra bebe</t>
  </si>
  <si>
    <t>saco lixo</t>
  </si>
  <si>
    <t>enxoval - edredom/protetor</t>
  </si>
  <si>
    <t>milk tatuape</t>
  </si>
  <si>
    <t>mercado - sacolao</t>
  </si>
  <si>
    <t>barras cereal</t>
  </si>
  <si>
    <t>salada de frutas</t>
  </si>
  <si>
    <t>SEGURO RESIDENCIA</t>
  </si>
  <si>
    <t>produto</t>
  </si>
  <si>
    <t>oferta missão</t>
  </si>
  <si>
    <t>almoço michelle</t>
  </si>
  <si>
    <t>sapatinho sampere</t>
  </si>
  <si>
    <t>suco emporio</t>
  </si>
  <si>
    <t>CARREFOUR BTU</t>
  </si>
  <si>
    <t>lanche kfc tatuape</t>
  </si>
  <si>
    <t>padaria / pao de queijo</t>
  </si>
  <si>
    <t>promofarma - ky/psorex</t>
  </si>
  <si>
    <t>mc donalds - tatuape</t>
  </si>
  <si>
    <t>milk tatupe</t>
  </si>
  <si>
    <t>mc donald - tatuape</t>
  </si>
  <si>
    <t>sorvete - tatuape ice cream</t>
  </si>
  <si>
    <t>padaria - pao</t>
  </si>
  <si>
    <t>dk center roupa intima</t>
  </si>
  <si>
    <t>dariana modas roupa intima 1/2</t>
  </si>
  <si>
    <t>nova bebe enxoval 1/2</t>
  </si>
  <si>
    <t>enxovais torre 1/2</t>
  </si>
  <si>
    <t>dariana modas roupa intima 2/2</t>
  </si>
  <si>
    <t>nova bebe enxoval 2/2</t>
  </si>
  <si>
    <t>enxovais torre 2/2</t>
  </si>
  <si>
    <t>barra cereal</t>
  </si>
  <si>
    <t>perfumaria 200 lj 01/02</t>
  </si>
  <si>
    <t>perfurmaria 200 lj 3</t>
  </si>
  <si>
    <t>farma conde - alcool</t>
  </si>
  <si>
    <t>drogaria nova DM - remedio cotonete</t>
  </si>
  <si>
    <t>podologoa - cuidar dos pes</t>
  </si>
  <si>
    <t>biscoito nesfit</t>
  </si>
  <si>
    <t>danone doce leite</t>
  </si>
  <si>
    <t>lava roupas ola - bebe</t>
  </si>
  <si>
    <t>paleta picado</t>
  </si>
  <si>
    <t>bisteca</t>
  </si>
  <si>
    <t>tempero kisabor</t>
  </si>
  <si>
    <t>flanela</t>
  </si>
  <si>
    <t>TIM LIBERTY EXPRESS*2hh</t>
  </si>
  <si>
    <t>CIRURGICA MARTINELLI</t>
  </si>
  <si>
    <t>CELERO DA FAZENDA</t>
  </si>
  <si>
    <t>SONDA SUPERMERCADOS</t>
  </si>
  <si>
    <t>ARIZONA PAES E DOCES</t>
  </si>
  <si>
    <t>J CERQUEIRA</t>
  </si>
  <si>
    <t>CENTURY</t>
  </si>
  <si>
    <t>ADIDAS-SHOP.D 01/03</t>
  </si>
  <si>
    <t>MANDRAKE COM.DE CHOCOL</t>
  </si>
  <si>
    <t>prev social - inss 08/2012</t>
  </si>
  <si>
    <t>RFB - Darf - 2089 31/12/2014</t>
  </si>
  <si>
    <t>RFB - Darf - 2089 30/09/2013</t>
  </si>
  <si>
    <t>RFB - Darf - 2372 30/09/2013</t>
  </si>
  <si>
    <t>RFB - Darf - 2372 31/12/2013</t>
  </si>
  <si>
    <t>RFB - Darf - 2985 30/11/2013</t>
  </si>
  <si>
    <t>RFB - Darf - 2985 30/09/2013</t>
  </si>
  <si>
    <t>j cerqueira</t>
  </si>
  <si>
    <t>boleto moçambique</t>
  </si>
  <si>
    <t>dizimo</t>
  </si>
  <si>
    <t>entrada</t>
  </si>
  <si>
    <t>pis - 0,650% - folha pg</t>
  </si>
  <si>
    <t>cofins - 3% - folha pg</t>
  </si>
  <si>
    <t>ir - 1,5 % - folha pg</t>
  </si>
  <si>
    <t>csll - 1% - folha pg</t>
  </si>
  <si>
    <t>iss - boleto - 2%</t>
  </si>
  <si>
    <t>csll tri - boleto - 1,88</t>
  </si>
  <si>
    <t>irpj - boleto - 0,90</t>
  </si>
  <si>
    <t>diferença banco</t>
  </si>
  <si>
    <t>folha_pagamento</t>
  </si>
  <si>
    <t>sindicato comerc</t>
  </si>
  <si>
    <t>casa do pao de queijo</t>
  </si>
  <si>
    <t>externo</t>
  </si>
  <si>
    <t>fgts</t>
  </si>
  <si>
    <t>data entrada</t>
  </si>
  <si>
    <t>data referencia</t>
  </si>
  <si>
    <t>magazine luiza</t>
  </si>
  <si>
    <t>dicico - suporte banheiro</t>
  </si>
  <si>
    <t>CBA</t>
  </si>
  <si>
    <t>mandaqui</t>
  </si>
  <si>
    <t>taxi</t>
  </si>
  <si>
    <t>carrinho de bebe</t>
  </si>
  <si>
    <t>celular michelle</t>
  </si>
  <si>
    <t>besni</t>
  </si>
  <si>
    <t>Evento</t>
  </si>
  <si>
    <t>Ref.</t>
  </si>
  <si>
    <t>Proventos</t>
  </si>
  <si>
    <t>Descontos</t>
  </si>
  <si>
    <t>Salário Bruto</t>
  </si>
  <si>
    <t>-</t>
  </si>
  <si>
    <t>INSS</t>
  </si>
  <si>
    <t>IRRF</t>
  </si>
  <si>
    <t>Totais</t>
  </si>
  <si>
    <t>dependetes</t>
  </si>
  <si>
    <t>consorcio porto seg</t>
  </si>
  <si>
    <t>fotos</t>
  </si>
  <si>
    <t>pen drive</t>
  </si>
  <si>
    <t>pretinho cabelo</t>
  </si>
  <si>
    <t>canenole</t>
  </si>
  <si>
    <t>rentabilidade</t>
  </si>
  <si>
    <t>extra</t>
  </si>
  <si>
    <t>cera veet depilacao</t>
  </si>
  <si>
    <t>aparelho depilacao</t>
  </si>
  <si>
    <t>escova dente</t>
  </si>
  <si>
    <t>carga depilacao</t>
  </si>
  <si>
    <t>cotonete</t>
  </si>
  <si>
    <t>tempero - realçar carne</t>
  </si>
  <si>
    <t>biscoito coco</t>
  </si>
  <si>
    <t>biscoito amanteg</t>
  </si>
  <si>
    <t>ola - roupa bebe</t>
  </si>
  <si>
    <t>desengordurante</t>
  </si>
  <si>
    <t>maca fuji</t>
  </si>
  <si>
    <t>bolo coco</t>
  </si>
  <si>
    <t>jg</t>
  </si>
  <si>
    <t>leite condensado</t>
  </si>
  <si>
    <t>tang</t>
  </si>
  <si>
    <t>ADIDAS-SHOP.D 02/03</t>
  </si>
  <si>
    <t>ADIDAS-SHOP.D 03/03</t>
  </si>
  <si>
    <t>magazine luiza 1/3</t>
  </si>
  <si>
    <t>magazine luiza 2/3</t>
  </si>
  <si>
    <t>magazine luiza 3/3</t>
  </si>
  <si>
    <t>localiza - aluguel carro</t>
  </si>
  <si>
    <t>convenio samuel</t>
  </si>
  <si>
    <t>roupa samuel</t>
  </si>
  <si>
    <t>roupa - akkar</t>
  </si>
  <si>
    <t>roupa - michelle</t>
  </si>
  <si>
    <t>café / sobremesa - dona chocolate</t>
  </si>
  <si>
    <t>blusinha michelle</t>
  </si>
  <si>
    <t>farmacia - colikids</t>
  </si>
  <si>
    <t>madam modas</t>
  </si>
  <si>
    <t>posto gasolina</t>
  </si>
  <si>
    <t>conveniencia posto gasolina</t>
  </si>
  <si>
    <t>hipogloss</t>
  </si>
  <si>
    <t>lojao do Bras</t>
  </si>
  <si>
    <t>data salario</t>
  </si>
  <si>
    <t>natacao</t>
  </si>
  <si>
    <t>rexona</t>
  </si>
  <si>
    <t>data custo</t>
  </si>
  <si>
    <t>valor custo</t>
  </si>
  <si>
    <t>descricao custo</t>
  </si>
  <si>
    <t>farmacia - remedio febre</t>
  </si>
  <si>
    <t>farmacia - bandeid</t>
  </si>
  <si>
    <t>mercado - refri</t>
  </si>
  <si>
    <t>farmacia - pomada / lencinho umedecido</t>
  </si>
  <si>
    <t>almoço - salada grill</t>
  </si>
  <si>
    <t>bazar e papelaria</t>
  </si>
  <si>
    <t>dentista - adriana</t>
  </si>
  <si>
    <t>convites 18/12 teatro de natal</t>
  </si>
  <si>
    <t>praia - mae</t>
  </si>
  <si>
    <t>adriana dentista</t>
  </si>
  <si>
    <t>roupas por bebe</t>
  </si>
  <si>
    <t>Processador 750w com 28 funções + Liquidificador + Miniprocessador RI7761/00 - 110v - Philips Walita</t>
  </si>
  <si>
    <t>Batedereira Activa Duo Plus 127v Mallory</t>
  </si>
  <si>
    <t>Espremedor Citrus Power 110V</t>
  </si>
  <si>
    <t>Mixer ProMix c/ Mni Processador RI1602/91 127V Philips Walita</t>
  </si>
  <si>
    <t>frango assado</t>
  </si>
  <si>
    <t>nakata</t>
  </si>
  <si>
    <t>agasalho nba</t>
  </si>
  <si>
    <t>presente vitor nba</t>
  </si>
  <si>
    <t>lotação - guarulhos</t>
  </si>
  <si>
    <t>izamodas</t>
  </si>
  <si>
    <t>perfumaria 2000</t>
  </si>
  <si>
    <t>lojao do bras</t>
  </si>
  <si>
    <t>mundial - sandalia</t>
  </si>
  <si>
    <t>deny - tenis adidas</t>
  </si>
  <si>
    <t>leticia esthetic center</t>
  </si>
  <si>
    <t>out back almoço</t>
  </si>
  <si>
    <t>sorvete metro</t>
  </si>
  <si>
    <t>suco almoço</t>
  </si>
  <si>
    <t>bolacha importada</t>
  </si>
  <si>
    <t>peito de peru</t>
  </si>
  <si>
    <t>rap pullman</t>
  </si>
  <si>
    <t>limpol</t>
  </si>
  <si>
    <t>cravo india</t>
  </si>
  <si>
    <t>canela casca</t>
  </si>
  <si>
    <t>canela po</t>
  </si>
  <si>
    <t>tempero knor</t>
  </si>
  <si>
    <t>pimentao</t>
  </si>
  <si>
    <t>couve flor</t>
  </si>
  <si>
    <t>toalha umedecida</t>
  </si>
  <si>
    <t>acem</t>
  </si>
  <si>
    <t>peito picado</t>
  </si>
  <si>
    <t>molho pimenta</t>
  </si>
  <si>
    <t>biscoito maisena</t>
  </si>
  <si>
    <t>queijo gourment</t>
  </si>
  <si>
    <t>queijo cabra</t>
  </si>
  <si>
    <t>nectariana</t>
  </si>
  <si>
    <t>castanha</t>
  </si>
  <si>
    <t>nozes</t>
  </si>
  <si>
    <t>agriao</t>
  </si>
  <si>
    <t>graos</t>
  </si>
  <si>
    <t>chocolate agua</t>
  </si>
  <si>
    <t>pernil</t>
  </si>
  <si>
    <t>mercado - bolo/sorvete</t>
  </si>
  <si>
    <t>miolo de acem</t>
  </si>
  <si>
    <t>file de frango</t>
  </si>
  <si>
    <t>bermuda centauro</t>
  </si>
  <si>
    <t>esfiha aniversario</t>
  </si>
  <si>
    <t>bolo de aniversario</t>
  </si>
  <si>
    <t>oferta benção</t>
  </si>
  <si>
    <t>presentes bebe</t>
  </si>
  <si>
    <t>matsumoto - cha bebe 2/2</t>
  </si>
  <si>
    <t>churros</t>
  </si>
  <si>
    <t>estacionamento tiete</t>
  </si>
  <si>
    <t>mercado - salgado volta praia</t>
  </si>
  <si>
    <t>retirada da conta corrente 2016</t>
  </si>
  <si>
    <t>divergente</t>
  </si>
  <si>
    <t>doação</t>
  </si>
  <si>
    <t>aliança 2/2</t>
  </si>
  <si>
    <t>sindicato</t>
  </si>
  <si>
    <t>saude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</si>
</sst>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(&quot;R$ &quot;* #,##0.00_);_(&quot;R$ &quot;* \(#,##0.00\);_(&quot;R$ &quot;* &quot;-&quot;??_);_(@_)"/>
    <numFmt numFmtId="167" formatCode="0.000"/>
  </numFmts>
  <fonts count="1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8"/>
      <color rgb="FF333333"/>
      <name val="Arial"/>
      <family val="2"/>
    </font>
    <font>
      <sz val="10"/>
      <color rgb="FF002060"/>
      <name val="Arial"/>
      <family val="2"/>
    </font>
    <font>
      <sz val="8"/>
      <color rgb="FFFF0000"/>
      <name val="Arial"/>
      <family val="2"/>
    </font>
    <font>
      <sz val="10"/>
      <color theme="0"/>
      <name val="Arial"/>
      <family val="2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sz val="9"/>
      <color rgb="FF333333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thick">
        <color rgb="FFDDDDDD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7" fillId="0" borderId="0"/>
  </cellStyleXfs>
  <cellXfs count="177">
    <xf numFmtId="0" fontId="0" fillId="0" borderId="0" xfId="0"/>
    <xf numFmtId="0" fontId="3" fillId="0" borderId="0" xfId="0" applyFont="1"/>
    <xf numFmtId="0" fontId="0" fillId="0" borderId="1" xfId="0" applyBorder="1"/>
    <xf numFmtId="0" fontId="2" fillId="0" borderId="0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left"/>
    </xf>
    <xf numFmtId="166" fontId="9" fillId="0" borderId="1" xfId="1" applyFont="1" applyFill="1" applyBorder="1" applyAlignment="1">
      <alignment horizontal="center"/>
    </xf>
    <xf numFmtId="166" fontId="0" fillId="0" borderId="0" xfId="1" applyFont="1"/>
    <xf numFmtId="43" fontId="0" fillId="0" borderId="0" xfId="0" applyNumberFormat="1"/>
    <xf numFmtId="166" fontId="9" fillId="0" borderId="0" xfId="1" applyFont="1" applyFill="1"/>
    <xf numFmtId="0" fontId="9" fillId="0" borderId="0" xfId="0" applyFont="1" applyFill="1"/>
    <xf numFmtId="0" fontId="3" fillId="0" borderId="0" xfId="0" applyFont="1" applyFill="1"/>
    <xf numFmtId="0" fontId="3" fillId="2" borderId="1" xfId="0" applyFont="1" applyFill="1" applyBorder="1"/>
    <xf numFmtId="0" fontId="9" fillId="3" borderId="0" xfId="0" applyFont="1" applyFill="1"/>
    <xf numFmtId="166" fontId="9" fillId="3" borderId="0" xfId="0" applyNumberFormat="1" applyFont="1" applyFill="1"/>
    <xf numFmtId="43" fontId="9" fillId="3" borderId="0" xfId="0" applyNumberFormat="1" applyFont="1" applyFill="1"/>
    <xf numFmtId="0" fontId="10" fillId="0" borderId="1" xfId="0" applyFont="1" applyFill="1" applyBorder="1" applyAlignment="1">
      <alignment horizontal="left"/>
    </xf>
    <xf numFmtId="166" fontId="10" fillId="0" borderId="1" xfId="1" applyFont="1" applyFill="1" applyBorder="1" applyAlignment="1">
      <alignment horizontal="center"/>
    </xf>
    <xf numFmtId="16" fontId="10" fillId="0" borderId="1" xfId="0" applyNumberFormat="1" applyFont="1" applyFill="1" applyBorder="1" applyAlignment="1">
      <alignment horizontal="center"/>
    </xf>
    <xf numFmtId="16" fontId="0" fillId="0" borderId="0" xfId="0" applyNumberFormat="1"/>
    <xf numFmtId="1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43" fontId="9" fillId="0" borderId="0" xfId="0" applyNumberFormat="1" applyFont="1" applyFill="1"/>
    <xf numFmtId="2" fontId="9" fillId="3" borderId="0" xfId="0" applyNumberFormat="1" applyFont="1" applyFill="1"/>
    <xf numFmtId="0" fontId="9" fillId="2" borderId="0" xfId="0" applyFont="1" applyFill="1"/>
    <xf numFmtId="43" fontId="9" fillId="2" borderId="0" xfId="0" applyNumberFormat="1" applyFont="1" applyFill="1"/>
    <xf numFmtId="0" fontId="0" fillId="2" borderId="0" xfId="0" applyFill="1"/>
    <xf numFmtId="0" fontId="0" fillId="3" borderId="0" xfId="0" applyFill="1"/>
    <xf numFmtId="0" fontId="10" fillId="0" borderId="0" xfId="0" applyFont="1" applyFill="1" applyBorder="1" applyAlignment="1">
      <alignment horizontal="left"/>
    </xf>
    <xf numFmtId="166" fontId="10" fillId="0" borderId="0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0" xfId="0" applyNumberFormat="1"/>
    <xf numFmtId="0" fontId="3" fillId="2" borderId="1" xfId="0" applyNumberFormat="1" applyFont="1" applyFill="1" applyBorder="1"/>
    <xf numFmtId="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2" borderId="1" xfId="1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left"/>
    </xf>
    <xf numFmtId="166" fontId="9" fillId="5" borderId="1" xfId="1" applyFont="1" applyFill="1" applyBorder="1" applyAlignment="1">
      <alignment horizontal="center"/>
    </xf>
    <xf numFmtId="166" fontId="8" fillId="5" borderId="1" xfId="1" applyFont="1" applyFill="1" applyBorder="1"/>
    <xf numFmtId="166" fontId="8" fillId="5" borderId="1" xfId="1" applyFont="1" applyFill="1" applyBorder="1" applyAlignment="1">
      <alignment horizontal="center"/>
    </xf>
    <xf numFmtId="166" fontId="8" fillId="5" borderId="1" xfId="1" applyFont="1" applyFill="1" applyBorder="1" applyAlignment="1">
      <alignment horizontal="left" wrapText="1"/>
    </xf>
    <xf numFmtId="16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left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0" fontId="3" fillId="4" borderId="1" xfId="1" applyNumberFormat="1" applyFont="1" applyFill="1" applyBorder="1" applyAlignment="1">
      <alignment horizontal="center"/>
    </xf>
    <xf numFmtId="0" fontId="10" fillId="4" borderId="1" xfId="1" applyNumberFormat="1" applyFon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10" fillId="4" borderId="1" xfId="0" applyNumberFormat="1" applyFont="1" applyFill="1" applyBorder="1" applyAlignment="1">
      <alignment horizontal="center"/>
    </xf>
    <xf numFmtId="0" fontId="4" fillId="4" borderId="1" xfId="1" applyNumberFormat="1" applyFont="1" applyFill="1" applyBorder="1" applyAlignment="1">
      <alignment horizontal="center"/>
    </xf>
    <xf numFmtId="0" fontId="3" fillId="4" borderId="1" xfId="0" applyNumberFormat="1" applyFont="1" applyFill="1" applyBorder="1" applyAlignment="1">
      <alignment horizontal="center"/>
    </xf>
    <xf numFmtId="0" fontId="3" fillId="4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NumberFormat="1" applyFill="1"/>
    <xf numFmtId="0" fontId="0" fillId="4" borderId="0" xfId="0" applyNumberFormat="1" applyFill="1" applyAlignment="1">
      <alignment horizontal="center"/>
    </xf>
    <xf numFmtId="166" fontId="8" fillId="0" borderId="1" xfId="1" applyFont="1" applyFill="1" applyBorder="1" applyAlignment="1">
      <alignment horizontal="center"/>
    </xf>
    <xf numFmtId="166" fontId="8" fillId="0" borderId="1" xfId="1" applyFont="1" applyBorder="1"/>
    <xf numFmtId="166" fontId="8" fillId="5" borderId="1" xfId="1" applyFont="1" applyFill="1" applyBorder="1" applyAlignment="1">
      <alignment horizontal="left" vertical="center" wrapText="1"/>
    </xf>
    <xf numFmtId="166" fontId="8" fillId="5" borderId="1" xfId="1" applyFont="1" applyFill="1" applyBorder="1" applyAlignment="1">
      <alignment horizontal="left"/>
    </xf>
    <xf numFmtId="0" fontId="8" fillId="0" borderId="0" xfId="0" applyFont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4" borderId="1" xfId="0" applyNumberFormat="1" applyFill="1" applyBorder="1"/>
    <xf numFmtId="0" fontId="5" fillId="5" borderId="1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 wrapText="1"/>
    </xf>
    <xf numFmtId="166" fontId="8" fillId="5" borderId="1" xfId="1" applyFont="1" applyFill="1" applyBorder="1" applyAlignment="1">
      <alignment horizontal="right" vertical="center" wrapText="1"/>
    </xf>
    <xf numFmtId="14" fontId="0" fillId="0" borderId="0" xfId="0" applyNumberFormat="1"/>
    <xf numFmtId="14" fontId="3" fillId="0" borderId="0" xfId="0" applyNumberFormat="1" applyFont="1"/>
    <xf numFmtId="166" fontId="3" fillId="0" borderId="0" xfId="1" applyFont="1" applyFill="1" applyBorder="1"/>
    <xf numFmtId="166" fontId="3" fillId="0" borderId="0" xfId="1" applyFont="1" applyFill="1"/>
    <xf numFmtId="166" fontId="4" fillId="0" borderId="0" xfId="1" applyFont="1" applyFill="1"/>
    <xf numFmtId="166" fontId="0" fillId="0" borderId="0" xfId="0" applyNumberFormat="1" applyFill="1"/>
    <xf numFmtId="166" fontId="9" fillId="0" borderId="0" xfId="0" applyNumberFormat="1" applyFont="1" applyFill="1"/>
    <xf numFmtId="0" fontId="9" fillId="0" borderId="0" xfId="0" applyFont="1"/>
    <xf numFmtId="14" fontId="9" fillId="0" borderId="0" xfId="0" applyNumberFormat="1" applyFont="1"/>
    <xf numFmtId="14" fontId="0" fillId="0" borderId="0" xfId="0" applyNumberFormat="1" applyFont="1"/>
    <xf numFmtId="167" fontId="0" fillId="0" borderId="0" xfId="0" applyNumberFormat="1"/>
    <xf numFmtId="14" fontId="0" fillId="3" borderId="0" xfId="0" applyNumberFormat="1" applyFill="1"/>
    <xf numFmtId="0" fontId="0" fillId="3" borderId="0" xfId="0" applyNumberFormat="1" applyFill="1"/>
    <xf numFmtId="0" fontId="9" fillId="0" borderId="0" xfId="0" applyNumberFormat="1" applyFont="1"/>
    <xf numFmtId="14" fontId="0" fillId="0" borderId="0" xfId="0" applyNumberFormat="1" applyFill="1"/>
    <xf numFmtId="166" fontId="3" fillId="0" borderId="0" xfId="1" applyFont="1"/>
    <xf numFmtId="0" fontId="3" fillId="0" borderId="0" xfId="0" applyNumberFormat="1" applyFont="1"/>
    <xf numFmtId="0" fontId="9" fillId="3" borderId="0" xfId="0" applyNumberFormat="1" applyFont="1" applyFill="1"/>
    <xf numFmtId="14" fontId="9" fillId="3" borderId="0" xfId="0" applyNumberFormat="1" applyFont="1" applyFill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66" fontId="0" fillId="0" borderId="8" xfId="1" applyFont="1" applyBorder="1"/>
    <xf numFmtId="166" fontId="0" fillId="0" borderId="1" xfId="1" applyFont="1" applyBorder="1"/>
    <xf numFmtId="166" fontId="0" fillId="0" borderId="9" xfId="1" applyFont="1" applyBorder="1"/>
    <xf numFmtId="0" fontId="3" fillId="0" borderId="0" xfId="0" applyFont="1" applyFill="1" applyBorder="1"/>
    <xf numFmtId="0" fontId="0" fillId="0" borderId="0" xfId="0" applyFill="1"/>
    <xf numFmtId="0" fontId="0" fillId="0" borderId="0" xfId="0" applyNumberFormat="1" applyFill="1"/>
    <xf numFmtId="0" fontId="3" fillId="0" borderId="0" xfId="0" applyNumberFormat="1" applyFont="1" applyFill="1"/>
    <xf numFmtId="14" fontId="3" fillId="0" borderId="0" xfId="0" applyNumberFormat="1" applyFont="1" applyFill="1"/>
    <xf numFmtId="0" fontId="11" fillId="0" borderId="0" xfId="0" applyFont="1"/>
    <xf numFmtId="0" fontId="0" fillId="6" borderId="0" xfId="0" applyFill="1"/>
    <xf numFmtId="0" fontId="0" fillId="6" borderId="0" xfId="0" applyNumberFormat="1" applyFill="1"/>
    <xf numFmtId="14" fontId="0" fillId="6" borderId="0" xfId="0" applyNumberFormat="1" applyFill="1"/>
    <xf numFmtId="0" fontId="3" fillId="6" borderId="0" xfId="0" applyFont="1" applyFill="1"/>
    <xf numFmtId="0" fontId="3" fillId="6" borderId="0" xfId="0" applyNumberFormat="1" applyFont="1" applyFill="1"/>
    <xf numFmtId="14" fontId="3" fillId="6" borderId="0" xfId="0" applyNumberFormat="1" applyFont="1" applyFill="1"/>
    <xf numFmtId="14" fontId="3" fillId="3" borderId="0" xfId="0" applyNumberFormat="1" applyFont="1" applyFill="1"/>
    <xf numFmtId="14" fontId="3" fillId="0" borderId="0" xfId="0" applyNumberFormat="1" applyFont="1" applyFill="1" applyBorder="1"/>
    <xf numFmtId="14" fontId="3" fillId="0" borderId="0" xfId="0" applyNumberFormat="1" applyFont="1" applyFill="1" applyAlignment="1"/>
    <xf numFmtId="0" fontId="8" fillId="3" borderId="0" xfId="0" applyNumberFormat="1" applyFont="1" applyFill="1"/>
    <xf numFmtId="0" fontId="8" fillId="3" borderId="0" xfId="0" applyFont="1" applyFill="1"/>
    <xf numFmtId="14" fontId="8" fillId="3" borderId="0" xfId="0" applyNumberFormat="1" applyFont="1" applyFill="1"/>
    <xf numFmtId="0" fontId="9" fillId="6" borderId="0" xfId="0" applyNumberFormat="1" applyFont="1" applyFill="1"/>
    <xf numFmtId="0" fontId="9" fillId="6" borderId="0" xfId="0" applyFont="1" applyFill="1"/>
    <xf numFmtId="14" fontId="9" fillId="6" borderId="0" xfId="0" applyNumberFormat="1" applyFont="1" applyFill="1"/>
    <xf numFmtId="0" fontId="12" fillId="7" borderId="0" xfId="0" applyFont="1" applyFill="1"/>
    <xf numFmtId="0" fontId="12" fillId="7" borderId="0" xfId="0" applyNumberFormat="1" applyFont="1" applyFill="1"/>
    <xf numFmtId="14" fontId="12" fillId="7" borderId="0" xfId="0" applyNumberFormat="1" applyFont="1" applyFill="1"/>
    <xf numFmtId="0" fontId="2" fillId="0" borderId="0" xfId="0" applyFont="1"/>
    <xf numFmtId="1" fontId="3" fillId="0" borderId="0" xfId="0" applyNumberFormat="1" applyFont="1"/>
    <xf numFmtId="0" fontId="0" fillId="0" borderId="0" xfId="0" applyFont="1" applyFill="1"/>
    <xf numFmtId="14" fontId="0" fillId="4" borderId="0" xfId="0" applyNumberFormat="1" applyFill="1"/>
    <xf numFmtId="0" fontId="3" fillId="4" borderId="0" xfId="0" applyNumberFormat="1" applyFont="1" applyFill="1"/>
    <xf numFmtId="16" fontId="11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/>
    <xf numFmtId="14" fontId="0" fillId="0" borderId="0" xfId="0" applyNumberFormat="1" applyFill="1" applyBorder="1"/>
    <xf numFmtId="0" fontId="9" fillId="7" borderId="0" xfId="0" applyNumberFormat="1" applyFont="1" applyFill="1"/>
    <xf numFmtId="0" fontId="9" fillId="4" borderId="0" xfId="0" applyFont="1" applyFill="1"/>
    <xf numFmtId="14" fontId="9" fillId="4" borderId="0" xfId="0" applyNumberFormat="1" applyFont="1" applyFill="1"/>
    <xf numFmtId="0" fontId="9" fillId="4" borderId="0" xfId="0" applyNumberFormat="1" applyFont="1" applyFill="1"/>
    <xf numFmtId="16" fontId="13" fillId="0" borderId="0" xfId="0" applyNumberFormat="1" applyFont="1" applyFill="1" applyBorder="1" applyAlignment="1">
      <alignment horizontal="left" vertical="center" wrapText="1"/>
    </xf>
    <xf numFmtId="0" fontId="9" fillId="0" borderId="0" xfId="0" applyFont="1" applyFill="1" applyBorder="1"/>
    <xf numFmtId="2" fontId="11" fillId="0" borderId="0" xfId="0" applyNumberFormat="1" applyFont="1" applyFill="1" applyBorder="1" applyAlignment="1">
      <alignment horizontal="right" vertical="center" wrapText="1"/>
    </xf>
    <xf numFmtId="2" fontId="13" fillId="0" borderId="0" xfId="0" applyNumberFormat="1" applyFont="1" applyFill="1" applyBorder="1" applyAlignment="1">
      <alignment horizontal="right" vertical="center" wrapText="1"/>
    </xf>
    <xf numFmtId="16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NumberFormat="1" applyFill="1"/>
    <xf numFmtId="14" fontId="0" fillId="2" borderId="0" xfId="0" applyNumberFormat="1" applyFill="1"/>
    <xf numFmtId="0" fontId="3" fillId="2" borderId="0" xfId="0" applyFont="1" applyFill="1"/>
    <xf numFmtId="166" fontId="0" fillId="0" borderId="0" xfId="1" applyFont="1" applyFill="1"/>
    <xf numFmtId="0" fontId="0" fillId="0" borderId="0" xfId="1" applyNumberFormat="1" applyFont="1"/>
    <xf numFmtId="43" fontId="0" fillId="0" borderId="0" xfId="0" applyNumberFormat="1" applyFill="1"/>
    <xf numFmtId="0" fontId="14" fillId="8" borderId="0" xfId="0" applyFont="1" applyFill="1"/>
    <xf numFmtId="0" fontId="14" fillId="8" borderId="0" xfId="0" applyNumberFormat="1" applyFont="1" applyFill="1"/>
    <xf numFmtId="14" fontId="14" fillId="8" borderId="0" xfId="0" applyNumberFormat="1" applyFont="1" applyFill="1"/>
    <xf numFmtId="0" fontId="16" fillId="9" borderId="13" xfId="0" applyFont="1" applyFill="1" applyBorder="1" applyAlignment="1">
      <alignment vertical="top" wrapText="1"/>
    </xf>
    <xf numFmtId="0" fontId="16" fillId="9" borderId="13" xfId="0" applyFont="1" applyFill="1" applyBorder="1" applyAlignment="1">
      <alignment horizontal="center" vertical="top" wrapText="1"/>
    </xf>
    <xf numFmtId="164" fontId="16" fillId="9" borderId="13" xfId="0" applyNumberFormat="1" applyFont="1" applyFill="1" applyBorder="1" applyAlignment="1">
      <alignment horizontal="right" vertical="top" wrapText="1"/>
    </xf>
    <xf numFmtId="0" fontId="16" fillId="9" borderId="13" xfId="0" applyFont="1" applyFill="1" applyBorder="1" applyAlignment="1">
      <alignment horizontal="right" vertical="top" wrapText="1"/>
    </xf>
    <xf numFmtId="0" fontId="15" fillId="9" borderId="16" xfId="0" applyFont="1" applyFill="1" applyBorder="1" applyAlignment="1">
      <alignment horizontal="left" wrapText="1"/>
    </xf>
    <xf numFmtId="164" fontId="0" fillId="0" borderId="0" xfId="0" applyNumberFormat="1"/>
    <xf numFmtId="164" fontId="17" fillId="0" borderId="0" xfId="0" applyNumberFormat="1" applyFont="1"/>
    <xf numFmtId="2" fontId="16" fillId="9" borderId="13" xfId="0" applyNumberFormat="1" applyFont="1" applyFill="1" applyBorder="1" applyAlignment="1">
      <alignment horizontal="center" vertical="top" wrapText="1"/>
    </xf>
    <xf numFmtId="0" fontId="1" fillId="0" borderId="0" xfId="0" applyFont="1" applyFill="1"/>
    <xf numFmtId="2" fontId="1" fillId="0" borderId="0" xfId="0" applyNumberFormat="1" applyFont="1" applyFill="1"/>
    <xf numFmtId="0" fontId="2" fillId="0" borderId="1" xfId="0" applyFont="1" applyFill="1" applyBorder="1"/>
    <xf numFmtId="0" fontId="0" fillId="0" borderId="1" xfId="0" applyFill="1" applyBorder="1" applyAlignment="1">
      <alignment horizontal="center"/>
    </xf>
    <xf numFmtId="16" fontId="0" fillId="0" borderId="1" xfId="0" applyNumberForma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0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6" borderId="0" xfId="0" applyFont="1" applyFill="1"/>
    <xf numFmtId="0" fontId="0" fillId="6" borderId="0" xfId="0" applyFont="1" applyFill="1"/>
    <xf numFmtId="0" fontId="1" fillId="4" borderId="0" xfId="0" applyFont="1" applyFill="1"/>
    <xf numFmtId="0" fontId="1" fillId="0" borderId="0" xfId="0" applyFont="1"/>
    <xf numFmtId="166" fontId="3" fillId="0" borderId="10" xfId="1" applyFont="1" applyBorder="1" applyAlignment="1">
      <alignment horizontal="center" vertical="distributed"/>
    </xf>
    <xf numFmtId="166" fontId="3" fillId="0" borderId="11" xfId="1" applyFont="1" applyBorder="1" applyAlignment="1">
      <alignment horizontal="center" vertical="distributed"/>
    </xf>
    <xf numFmtId="166" fontId="3" fillId="0" borderId="12" xfId="1" applyFont="1" applyBorder="1" applyAlignment="1">
      <alignment horizontal="center" vertical="distributed"/>
    </xf>
    <xf numFmtId="0" fontId="16" fillId="9" borderId="14" xfId="0" applyFont="1" applyFill="1" applyBorder="1" applyAlignment="1">
      <alignment vertical="top" wrapText="1"/>
    </xf>
    <xf numFmtId="0" fontId="16" fillId="9" borderId="15" xfId="0" applyFont="1" applyFill="1" applyBorder="1" applyAlignment="1">
      <alignment vertical="top" wrapText="1"/>
    </xf>
  </cellXfs>
  <cellStyles count="4">
    <cellStyle name="Moeda" xfId="1" builtinId="4"/>
    <cellStyle name="Moeda 2" xfId="2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D30"/>
  <sheetViews>
    <sheetView topLeftCell="A3" workbookViewId="0">
      <selection activeCell="D31" sqref="D31"/>
    </sheetView>
  </sheetViews>
  <sheetFormatPr defaultRowHeight="12.75" x14ac:dyDescent="0.2"/>
  <cols>
    <col min="1" max="1" width="10.5703125" bestFit="1" customWidth="1"/>
    <col min="2" max="2" width="13.28515625" style="71" bestFit="1" customWidth="1"/>
    <col min="4" max="4" width="11.28515625" bestFit="1" customWidth="1"/>
  </cols>
  <sheetData>
    <row r="1" spans="1:4" x14ac:dyDescent="0.2">
      <c r="A1" t="s">
        <v>1036</v>
      </c>
      <c r="B1" s="71" t="s">
        <v>1051</v>
      </c>
      <c r="C1" t="s">
        <v>758</v>
      </c>
      <c r="D1" t="s">
        <v>1050</v>
      </c>
    </row>
    <row r="2" spans="1:4" x14ac:dyDescent="0.2">
      <c r="A2" s="31">
        <v>7100</v>
      </c>
      <c r="B2" s="72">
        <v>41892</v>
      </c>
      <c r="C2" t="s">
        <v>5</v>
      </c>
      <c r="D2" s="72">
        <v>41892</v>
      </c>
    </row>
    <row r="3" spans="1:4" x14ac:dyDescent="0.2">
      <c r="A3" s="31">
        <v>7100</v>
      </c>
      <c r="B3" s="72">
        <v>41922</v>
      </c>
      <c r="C3" t="s">
        <v>5</v>
      </c>
      <c r="D3" s="72">
        <v>41922</v>
      </c>
    </row>
    <row r="4" spans="1:4" x14ac:dyDescent="0.2">
      <c r="A4" s="31">
        <v>7100</v>
      </c>
      <c r="B4" s="72">
        <v>41953</v>
      </c>
      <c r="C4" t="s">
        <v>5</v>
      </c>
      <c r="D4" s="72">
        <v>41953</v>
      </c>
    </row>
    <row r="5" spans="1:4" x14ac:dyDescent="0.2">
      <c r="A5" s="31">
        <v>7100</v>
      </c>
      <c r="B5" s="72">
        <v>41983</v>
      </c>
      <c r="C5" t="s">
        <v>5</v>
      </c>
      <c r="D5" s="72">
        <v>41983</v>
      </c>
    </row>
    <row r="6" spans="1:4" x14ac:dyDescent="0.2">
      <c r="A6" s="31">
        <v>7400.48</v>
      </c>
      <c r="B6" s="72">
        <v>42014</v>
      </c>
      <c r="C6" t="s">
        <v>5</v>
      </c>
      <c r="D6" s="72">
        <v>42014</v>
      </c>
    </row>
    <row r="7" spans="1:4" x14ac:dyDescent="0.2">
      <c r="A7" s="31">
        <v>7400.48</v>
      </c>
      <c r="B7" s="72">
        <v>42045</v>
      </c>
      <c r="C7" t="s">
        <v>5</v>
      </c>
      <c r="D7" s="72">
        <v>42045</v>
      </c>
    </row>
    <row r="8" spans="1:4" x14ac:dyDescent="0.2">
      <c r="A8" s="31">
        <v>7400.48</v>
      </c>
      <c r="B8" s="72">
        <v>42073</v>
      </c>
      <c r="C8" t="s">
        <v>5</v>
      </c>
      <c r="D8" s="72">
        <v>42073</v>
      </c>
    </row>
    <row r="9" spans="1:4" x14ac:dyDescent="0.2">
      <c r="A9" s="31">
        <v>7400.48</v>
      </c>
      <c r="B9" s="72">
        <v>42104</v>
      </c>
      <c r="C9" t="s">
        <v>5</v>
      </c>
      <c r="D9" s="72">
        <v>42104</v>
      </c>
    </row>
    <row r="10" spans="1:4" x14ac:dyDescent="0.2">
      <c r="A10" s="31">
        <v>7400.48</v>
      </c>
      <c r="B10" s="72">
        <v>42134</v>
      </c>
      <c r="C10" t="s">
        <v>5</v>
      </c>
      <c r="D10" s="72">
        <v>42134</v>
      </c>
    </row>
    <row r="11" spans="1:4" x14ac:dyDescent="0.2">
      <c r="A11" s="31">
        <v>7400.48</v>
      </c>
      <c r="B11" s="111">
        <v>42165</v>
      </c>
      <c r="C11" t="s">
        <v>5</v>
      </c>
      <c r="D11" s="111">
        <v>42165</v>
      </c>
    </row>
    <row r="12" spans="1:4" x14ac:dyDescent="0.2">
      <c r="A12" s="31">
        <v>7400.48</v>
      </c>
      <c r="B12" s="72">
        <v>42195</v>
      </c>
      <c r="C12" t="s">
        <v>5</v>
      </c>
      <c r="D12" s="72">
        <v>42195</v>
      </c>
    </row>
    <row r="13" spans="1:4" x14ac:dyDescent="0.2">
      <c r="A13" s="31">
        <v>7400.48</v>
      </c>
      <c r="B13" s="72">
        <v>42226</v>
      </c>
      <c r="C13" t="s">
        <v>5</v>
      </c>
      <c r="D13" s="72">
        <v>42226</v>
      </c>
    </row>
    <row r="14" spans="1:4" x14ac:dyDescent="0.2">
      <c r="A14" s="31">
        <v>7400.48</v>
      </c>
      <c r="B14" s="72">
        <v>42257</v>
      </c>
      <c r="C14" t="s">
        <v>5</v>
      </c>
      <c r="D14" s="72">
        <v>42257</v>
      </c>
    </row>
    <row r="15" spans="1:4" x14ac:dyDescent="0.2">
      <c r="A15" s="31">
        <v>7400.48</v>
      </c>
      <c r="B15" s="72">
        <v>42287</v>
      </c>
      <c r="C15" t="s">
        <v>5</v>
      </c>
      <c r="D15" s="72">
        <v>42287</v>
      </c>
    </row>
    <row r="16" spans="1:4" x14ac:dyDescent="0.2">
      <c r="A16" s="31">
        <v>7400.48</v>
      </c>
      <c r="B16" s="72">
        <v>42318</v>
      </c>
      <c r="C16" t="s">
        <v>5</v>
      </c>
      <c r="D16" s="72">
        <v>42318</v>
      </c>
    </row>
    <row r="17" spans="1:4" x14ac:dyDescent="0.2">
      <c r="A17" s="31">
        <v>7400.48</v>
      </c>
      <c r="B17" s="72">
        <v>42348</v>
      </c>
      <c r="C17" t="s">
        <v>5</v>
      </c>
      <c r="D17" s="72">
        <v>42348</v>
      </c>
    </row>
    <row r="18" spans="1:4" x14ac:dyDescent="0.2">
      <c r="A18" s="31">
        <v>281</v>
      </c>
      <c r="B18" s="103">
        <v>41953</v>
      </c>
      <c r="C18" t="s">
        <v>1048</v>
      </c>
      <c r="D18" s="103">
        <v>41953</v>
      </c>
    </row>
    <row r="19" spans="1:4" x14ac:dyDescent="0.2">
      <c r="A19" s="146">
        <v>150</v>
      </c>
      <c r="B19" s="103">
        <v>41983</v>
      </c>
      <c r="C19" t="s">
        <v>1048</v>
      </c>
      <c r="D19" s="103">
        <v>41983</v>
      </c>
    </row>
    <row r="20" spans="1:4" x14ac:dyDescent="0.2">
      <c r="A20" s="31">
        <v>1504.54</v>
      </c>
      <c r="B20" s="103">
        <v>42104</v>
      </c>
      <c r="C20" t="s">
        <v>503</v>
      </c>
      <c r="D20" s="103">
        <v>42104</v>
      </c>
    </row>
    <row r="21" spans="1:4" x14ac:dyDescent="0.2">
      <c r="A21" s="31">
        <v>900</v>
      </c>
      <c r="B21" s="103">
        <v>42134</v>
      </c>
      <c r="C21" t="s">
        <v>503</v>
      </c>
      <c r="D21" s="103">
        <v>42134</v>
      </c>
    </row>
    <row r="22" spans="1:4" x14ac:dyDescent="0.2">
      <c r="A22" s="31">
        <v>16845.18</v>
      </c>
      <c r="B22" s="71">
        <v>42195</v>
      </c>
      <c r="C22" t="s">
        <v>1049</v>
      </c>
      <c r="D22" s="71">
        <v>42195</v>
      </c>
    </row>
    <row r="23" spans="1:4" x14ac:dyDescent="0.2">
      <c r="A23" s="31">
        <v>1088.78</v>
      </c>
      <c r="B23" s="72">
        <v>42257</v>
      </c>
      <c r="C23" t="s">
        <v>1070</v>
      </c>
      <c r="D23" s="72">
        <v>42283</v>
      </c>
    </row>
    <row r="24" spans="1:4" x14ac:dyDescent="0.2">
      <c r="A24" s="31">
        <v>9</v>
      </c>
      <c r="B24" s="71">
        <v>42287</v>
      </c>
      <c r="C24" t="s">
        <v>1075</v>
      </c>
      <c r="D24" s="72">
        <v>42289</v>
      </c>
    </row>
    <row r="25" spans="1:4" x14ac:dyDescent="0.2">
      <c r="A25" s="31">
        <v>1</v>
      </c>
      <c r="B25" s="71">
        <v>42287</v>
      </c>
      <c r="C25" t="s">
        <v>1075</v>
      </c>
      <c r="D25" s="72">
        <v>42318</v>
      </c>
    </row>
    <row r="26" spans="1:4" x14ac:dyDescent="0.2">
      <c r="A26" s="31">
        <v>0.5</v>
      </c>
      <c r="B26" s="71">
        <v>42318</v>
      </c>
      <c r="C26" t="s">
        <v>1075</v>
      </c>
      <c r="D26" s="72">
        <v>42318</v>
      </c>
    </row>
    <row r="27" spans="1:4" x14ac:dyDescent="0.2">
      <c r="A27" s="31">
        <v>1.54</v>
      </c>
      <c r="B27" s="71">
        <v>42318</v>
      </c>
      <c r="C27" t="s">
        <v>1075</v>
      </c>
      <c r="D27" s="72">
        <v>42324</v>
      </c>
    </row>
    <row r="28" spans="1:4" x14ac:dyDescent="0.2">
      <c r="A28" s="31">
        <v>0.14000000000000001</v>
      </c>
      <c r="B28" s="71">
        <v>42318</v>
      </c>
      <c r="C28" t="s">
        <v>1075</v>
      </c>
      <c r="D28" s="72">
        <v>42317</v>
      </c>
    </row>
    <row r="29" spans="1:4" x14ac:dyDescent="0.2">
      <c r="A29" s="31">
        <v>0.31</v>
      </c>
      <c r="B29" s="71">
        <v>42318</v>
      </c>
      <c r="C29" t="s">
        <v>1075</v>
      </c>
      <c r="D29" s="72">
        <v>42319</v>
      </c>
    </row>
    <row r="30" spans="1:4" x14ac:dyDescent="0.2">
      <c r="A30" s="31">
        <v>1.97</v>
      </c>
      <c r="B30" s="71">
        <v>42348</v>
      </c>
      <c r="C30" t="s">
        <v>1075</v>
      </c>
      <c r="D30" s="72">
        <v>42353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J838"/>
  <sheetViews>
    <sheetView zoomScaleNormal="100" workbookViewId="0">
      <selection activeCell="I1" sqref="I1"/>
    </sheetView>
  </sheetViews>
  <sheetFormatPr defaultRowHeight="12.75" x14ac:dyDescent="0.2"/>
  <cols>
    <col min="1" max="1" width="32.7109375" bestFit="1" customWidth="1"/>
    <col min="2" max="2" width="10.5703125" bestFit="1" customWidth="1"/>
    <col min="4" max="4" width="12" bestFit="1" customWidth="1"/>
    <col min="5" max="5" width="10.140625" style="31" bestFit="1" customWidth="1"/>
    <col min="6" max="6" width="10.140625" style="71" bestFit="1" customWidth="1"/>
    <col min="8" max="8" width="10.140625" style="71" bestFit="1" customWidth="1"/>
    <col min="9" max="9" width="15.140625" bestFit="1" customWidth="1"/>
  </cols>
  <sheetData>
    <row r="1" spans="1:9" x14ac:dyDescent="0.2">
      <c r="A1" t="s">
        <v>57</v>
      </c>
      <c r="B1" t="s">
        <v>108</v>
      </c>
      <c r="C1" t="s">
        <v>72</v>
      </c>
      <c r="D1" t="s">
        <v>61</v>
      </c>
      <c r="E1" t="s">
        <v>18</v>
      </c>
      <c r="F1" t="s">
        <v>111</v>
      </c>
      <c r="G1" t="s">
        <v>17</v>
      </c>
      <c r="H1" t="s">
        <v>42</v>
      </c>
      <c r="I1" t="s">
        <v>19</v>
      </c>
    </row>
    <row r="2" spans="1:9" x14ac:dyDescent="0.2">
      <c r="A2" s="12" t="s">
        <v>21</v>
      </c>
      <c r="B2" s="88">
        <f>SUMIFS(credito!$B$2:$B$107,credito!$F$2:$F$107,F2,credito!$G$2:$G$107,0)</f>
        <v>1781.3700000000003</v>
      </c>
      <c r="C2" s="12">
        <v>1</v>
      </c>
      <c r="D2" s="12">
        <v>0</v>
      </c>
      <c r="E2" s="12">
        <v>0</v>
      </c>
      <c r="F2" s="89">
        <v>42014</v>
      </c>
      <c r="G2" s="12" t="s">
        <v>49</v>
      </c>
      <c r="H2" s="89">
        <v>42014</v>
      </c>
      <c r="I2" s="12" t="s">
        <v>336</v>
      </c>
    </row>
    <row r="3" spans="1:9" x14ac:dyDescent="0.2">
      <c r="A3" s="27" t="s">
        <v>328</v>
      </c>
      <c r="B3" s="27">
        <v>235.19</v>
      </c>
      <c r="C3" s="27">
        <v>1</v>
      </c>
      <c r="D3" s="27">
        <v>0</v>
      </c>
      <c r="E3" s="27">
        <v>0</v>
      </c>
      <c r="F3" s="82">
        <v>42014</v>
      </c>
      <c r="G3" s="100" t="s">
        <v>49</v>
      </c>
      <c r="H3" s="82">
        <v>42014</v>
      </c>
      <c r="I3" s="27" t="s">
        <v>350</v>
      </c>
    </row>
    <row r="4" spans="1:9" x14ac:dyDescent="0.2">
      <c r="A4" t="s">
        <v>2</v>
      </c>
      <c r="B4" s="31">
        <v>50</v>
      </c>
      <c r="C4">
        <v>1</v>
      </c>
      <c r="D4">
        <v>0</v>
      </c>
      <c r="E4">
        <v>0</v>
      </c>
      <c r="F4" s="71">
        <v>42014</v>
      </c>
      <c r="G4" s="100" t="s">
        <v>49</v>
      </c>
      <c r="H4" s="71">
        <v>42014</v>
      </c>
      <c r="I4" t="s">
        <v>1183</v>
      </c>
    </row>
    <row r="5" spans="1:9" x14ac:dyDescent="0.2">
      <c r="A5" t="s">
        <v>38</v>
      </c>
      <c r="B5" s="31">
        <v>51.9</v>
      </c>
      <c r="C5">
        <v>1</v>
      </c>
      <c r="D5">
        <v>0</v>
      </c>
      <c r="E5">
        <v>0</v>
      </c>
      <c r="F5" s="71">
        <v>42014</v>
      </c>
      <c r="G5" s="100" t="s">
        <v>49</v>
      </c>
      <c r="H5" s="71">
        <v>42014</v>
      </c>
      <c r="I5" t="s">
        <v>345</v>
      </c>
    </row>
    <row r="6" spans="1:9" x14ac:dyDescent="0.2">
      <c r="A6" t="s">
        <v>0</v>
      </c>
      <c r="B6" s="31">
        <v>347.65</v>
      </c>
      <c r="C6">
        <v>1</v>
      </c>
      <c r="D6">
        <v>0</v>
      </c>
      <c r="E6">
        <v>0</v>
      </c>
      <c r="F6" s="71">
        <v>42014</v>
      </c>
      <c r="G6" s="100" t="s">
        <v>49</v>
      </c>
      <c r="H6" s="71">
        <v>42014</v>
      </c>
      <c r="I6" t="s">
        <v>346</v>
      </c>
    </row>
    <row r="7" spans="1:9" x14ac:dyDescent="0.2">
      <c r="A7" t="s">
        <v>1</v>
      </c>
      <c r="B7">
        <v>266.39</v>
      </c>
      <c r="C7">
        <v>1</v>
      </c>
      <c r="D7">
        <v>0</v>
      </c>
      <c r="E7">
        <v>0</v>
      </c>
      <c r="F7" s="71">
        <v>42014</v>
      </c>
      <c r="G7" s="100" t="s">
        <v>49</v>
      </c>
      <c r="H7" s="71">
        <v>42014</v>
      </c>
      <c r="I7" t="s">
        <v>346</v>
      </c>
    </row>
    <row r="8" spans="1:9" x14ac:dyDescent="0.2">
      <c r="A8" t="s">
        <v>156</v>
      </c>
      <c r="B8" s="31">
        <v>450</v>
      </c>
      <c r="C8">
        <v>1</v>
      </c>
      <c r="D8">
        <v>0</v>
      </c>
      <c r="E8">
        <v>0</v>
      </c>
      <c r="F8" s="71">
        <v>42014</v>
      </c>
      <c r="G8" s="100" t="s">
        <v>49</v>
      </c>
      <c r="H8" s="71">
        <v>42014</v>
      </c>
      <c r="I8" t="s">
        <v>346</v>
      </c>
    </row>
    <row r="9" spans="1:9" x14ac:dyDescent="0.2">
      <c r="A9" t="s">
        <v>441</v>
      </c>
      <c r="B9" s="31">
        <v>47.41</v>
      </c>
      <c r="C9">
        <v>0</v>
      </c>
      <c r="D9">
        <v>1</v>
      </c>
      <c r="E9">
        <v>0</v>
      </c>
      <c r="F9" s="71">
        <v>42014</v>
      </c>
      <c r="G9" s="100" t="s">
        <v>49</v>
      </c>
      <c r="H9" s="71">
        <v>42014</v>
      </c>
      <c r="I9" t="s">
        <v>344</v>
      </c>
    </row>
    <row r="10" spans="1:9" x14ac:dyDescent="0.2">
      <c r="A10" t="s">
        <v>399</v>
      </c>
      <c r="B10" s="31">
        <v>0</v>
      </c>
      <c r="C10">
        <v>1</v>
      </c>
      <c r="D10">
        <v>0</v>
      </c>
      <c r="E10">
        <v>1</v>
      </c>
      <c r="F10" s="71">
        <v>42014</v>
      </c>
      <c r="G10" s="100" t="s">
        <v>49</v>
      </c>
      <c r="H10" s="71">
        <v>42014</v>
      </c>
      <c r="I10" s="1" t="s">
        <v>344</v>
      </c>
    </row>
    <row r="11" spans="1:9" x14ac:dyDescent="0.2">
      <c r="A11" t="s">
        <v>391</v>
      </c>
      <c r="B11" s="31">
        <v>40</v>
      </c>
      <c r="C11">
        <v>0</v>
      </c>
      <c r="D11">
        <v>1</v>
      </c>
      <c r="E11">
        <v>0</v>
      </c>
      <c r="F11" s="71">
        <v>42014</v>
      </c>
      <c r="G11" s="100" t="s">
        <v>49</v>
      </c>
      <c r="H11" s="71">
        <v>42015</v>
      </c>
      <c r="I11" s="171" t="s">
        <v>391</v>
      </c>
    </row>
    <row r="12" spans="1:9" x14ac:dyDescent="0.2">
      <c r="A12" t="s">
        <v>40</v>
      </c>
      <c r="B12" s="31">
        <v>4.99</v>
      </c>
      <c r="C12">
        <v>1</v>
      </c>
      <c r="D12">
        <v>0</v>
      </c>
      <c r="E12">
        <v>0</v>
      </c>
      <c r="F12" s="71">
        <v>42014</v>
      </c>
      <c r="G12" t="s">
        <v>47</v>
      </c>
      <c r="H12" s="71">
        <v>42016</v>
      </c>
      <c r="I12" t="s">
        <v>345</v>
      </c>
    </row>
    <row r="13" spans="1:9" x14ac:dyDescent="0.2">
      <c r="A13" t="s">
        <v>982</v>
      </c>
      <c r="B13" s="31">
        <v>40.78</v>
      </c>
      <c r="C13">
        <v>1</v>
      </c>
      <c r="D13">
        <v>0</v>
      </c>
      <c r="E13">
        <v>0</v>
      </c>
      <c r="F13" s="71">
        <v>42014</v>
      </c>
      <c r="G13" t="s">
        <v>47</v>
      </c>
      <c r="H13" s="71">
        <v>42016</v>
      </c>
      <c r="I13" t="s">
        <v>345</v>
      </c>
    </row>
    <row r="14" spans="1:9" x14ac:dyDescent="0.2">
      <c r="A14" t="s">
        <v>26</v>
      </c>
      <c r="B14" s="31">
        <v>501.76</v>
      </c>
      <c r="C14">
        <v>1</v>
      </c>
      <c r="D14">
        <v>0</v>
      </c>
      <c r="E14">
        <v>0</v>
      </c>
      <c r="F14" s="71">
        <v>42014</v>
      </c>
      <c r="G14" t="s">
        <v>47</v>
      </c>
      <c r="H14" s="71">
        <v>42016</v>
      </c>
      <c r="I14" t="s">
        <v>345</v>
      </c>
    </row>
    <row r="15" spans="1:9" x14ac:dyDescent="0.2">
      <c r="A15" t="s">
        <v>28</v>
      </c>
      <c r="B15" s="31">
        <v>38.5</v>
      </c>
      <c r="C15">
        <v>1</v>
      </c>
      <c r="D15">
        <v>0</v>
      </c>
      <c r="E15">
        <v>0</v>
      </c>
      <c r="F15" s="71">
        <v>42014</v>
      </c>
      <c r="G15" t="s">
        <v>47</v>
      </c>
      <c r="H15" s="71">
        <v>42016</v>
      </c>
      <c r="I15" t="s">
        <v>345</v>
      </c>
    </row>
    <row r="16" spans="1:9" x14ac:dyDescent="0.2">
      <c r="A16" t="s">
        <v>27</v>
      </c>
      <c r="B16" s="31">
        <v>282.25</v>
      </c>
      <c r="C16">
        <v>1</v>
      </c>
      <c r="D16">
        <v>0</v>
      </c>
      <c r="E16">
        <v>0</v>
      </c>
      <c r="F16" s="71">
        <v>42014</v>
      </c>
      <c r="G16" t="s">
        <v>47</v>
      </c>
      <c r="H16" s="71">
        <v>42016</v>
      </c>
      <c r="I16" t="s">
        <v>345</v>
      </c>
    </row>
    <row r="17" spans="1:9" x14ac:dyDescent="0.2">
      <c r="A17" t="s">
        <v>96</v>
      </c>
      <c r="B17" s="31">
        <v>20.9</v>
      </c>
      <c r="C17">
        <v>0</v>
      </c>
      <c r="D17">
        <v>1</v>
      </c>
      <c r="E17">
        <v>0</v>
      </c>
      <c r="F17" s="71">
        <v>42014</v>
      </c>
      <c r="G17" t="s">
        <v>47</v>
      </c>
      <c r="H17" s="71">
        <v>42016</v>
      </c>
      <c r="I17" t="s">
        <v>96</v>
      </c>
    </row>
    <row r="18" spans="1:9" x14ac:dyDescent="0.2">
      <c r="A18" t="s">
        <v>3</v>
      </c>
      <c r="B18" s="31">
        <v>56.08</v>
      </c>
      <c r="C18">
        <v>1</v>
      </c>
      <c r="D18">
        <v>0</v>
      </c>
      <c r="E18">
        <v>0</v>
      </c>
      <c r="F18" s="71">
        <v>42014</v>
      </c>
      <c r="G18" t="s">
        <v>47</v>
      </c>
      <c r="H18" s="71">
        <v>42017</v>
      </c>
      <c r="I18" t="s">
        <v>346</v>
      </c>
    </row>
    <row r="19" spans="1:9" x14ac:dyDescent="0.2">
      <c r="A19" t="s">
        <v>25</v>
      </c>
      <c r="B19" s="31">
        <v>120</v>
      </c>
      <c r="C19">
        <v>1</v>
      </c>
      <c r="D19">
        <v>0</v>
      </c>
      <c r="E19">
        <v>0</v>
      </c>
      <c r="F19" s="71">
        <v>42014</v>
      </c>
      <c r="G19" t="s">
        <v>47</v>
      </c>
      <c r="H19" s="71">
        <v>42017</v>
      </c>
      <c r="I19" t="s">
        <v>25</v>
      </c>
    </row>
    <row r="20" spans="1:9" x14ac:dyDescent="0.2">
      <c r="A20" s="100" t="s">
        <v>1041</v>
      </c>
      <c r="B20" s="31">
        <v>142</v>
      </c>
      <c r="C20">
        <v>1</v>
      </c>
      <c r="D20">
        <v>0</v>
      </c>
      <c r="E20">
        <v>0</v>
      </c>
      <c r="F20" s="71">
        <v>42014</v>
      </c>
      <c r="G20" t="s">
        <v>47</v>
      </c>
      <c r="H20" s="71">
        <v>42017</v>
      </c>
      <c r="I20" t="s">
        <v>117</v>
      </c>
    </row>
    <row r="21" spans="1:9" x14ac:dyDescent="0.2">
      <c r="A21" s="100" t="s">
        <v>1042</v>
      </c>
      <c r="B21" s="31">
        <v>133.47999999999999</v>
      </c>
      <c r="C21">
        <v>1</v>
      </c>
      <c r="D21">
        <v>0</v>
      </c>
      <c r="E21">
        <v>0</v>
      </c>
      <c r="F21" s="71">
        <v>42014</v>
      </c>
      <c r="G21" t="s">
        <v>47</v>
      </c>
      <c r="H21" s="71">
        <v>42017</v>
      </c>
      <c r="I21" t="s">
        <v>117</v>
      </c>
    </row>
    <row r="22" spans="1:9" x14ac:dyDescent="0.2">
      <c r="A22" s="100" t="s">
        <v>1043</v>
      </c>
      <c r="B22" s="31">
        <v>63.9</v>
      </c>
      <c r="C22">
        <v>1</v>
      </c>
      <c r="D22">
        <v>0</v>
      </c>
      <c r="E22">
        <v>0</v>
      </c>
      <c r="F22" s="71">
        <v>42014</v>
      </c>
      <c r="G22" t="s">
        <v>47</v>
      </c>
      <c r="H22" s="71">
        <v>42017</v>
      </c>
      <c r="I22" t="s">
        <v>117</v>
      </c>
    </row>
    <row r="23" spans="1:9" x14ac:dyDescent="0.2">
      <c r="A23" s="1" t="s">
        <v>381</v>
      </c>
      <c r="B23" s="31">
        <v>9.89</v>
      </c>
      <c r="C23">
        <v>0</v>
      </c>
      <c r="D23">
        <v>1</v>
      </c>
      <c r="E23">
        <v>0</v>
      </c>
      <c r="F23" s="71">
        <v>42014</v>
      </c>
      <c r="G23" t="s">
        <v>47</v>
      </c>
      <c r="H23" s="71">
        <v>42017</v>
      </c>
      <c r="I23" s="1" t="s">
        <v>190</v>
      </c>
    </row>
    <row r="24" spans="1:9" x14ac:dyDescent="0.2">
      <c r="A24" t="s">
        <v>44</v>
      </c>
      <c r="B24" s="31">
        <v>200</v>
      </c>
      <c r="C24">
        <v>1</v>
      </c>
      <c r="D24">
        <v>0</v>
      </c>
      <c r="E24">
        <v>0</v>
      </c>
      <c r="F24" s="71">
        <v>42014</v>
      </c>
      <c r="G24" t="s">
        <v>47</v>
      </c>
      <c r="H24" s="71">
        <v>42017</v>
      </c>
      <c r="I24" s="1" t="s">
        <v>60</v>
      </c>
    </row>
    <row r="25" spans="1:9" x14ac:dyDescent="0.2">
      <c r="A25" t="s">
        <v>43</v>
      </c>
      <c r="B25" s="31">
        <v>30</v>
      </c>
      <c r="C25">
        <v>1</v>
      </c>
      <c r="D25">
        <v>0</v>
      </c>
      <c r="E25">
        <v>0</v>
      </c>
      <c r="F25" s="71">
        <v>42014</v>
      </c>
      <c r="G25" t="s">
        <v>47</v>
      </c>
      <c r="H25" s="71">
        <v>42017</v>
      </c>
      <c r="I25" s="1" t="s">
        <v>153</v>
      </c>
    </row>
    <row r="26" spans="1:9" x14ac:dyDescent="0.2">
      <c r="A26" t="s">
        <v>489</v>
      </c>
      <c r="B26" s="31">
        <v>15</v>
      </c>
      <c r="C26">
        <v>0</v>
      </c>
      <c r="D26">
        <v>1</v>
      </c>
      <c r="E26">
        <v>0</v>
      </c>
      <c r="F26" s="71">
        <v>42014</v>
      </c>
      <c r="G26" t="s">
        <v>47</v>
      </c>
      <c r="H26" s="71">
        <v>42017</v>
      </c>
      <c r="I26" s="1" t="s">
        <v>50</v>
      </c>
    </row>
    <row r="27" spans="1:9" x14ac:dyDescent="0.2">
      <c r="A27" t="s">
        <v>12</v>
      </c>
      <c r="B27" s="31">
        <v>542.1</v>
      </c>
      <c r="C27">
        <v>1</v>
      </c>
      <c r="D27">
        <v>0</v>
      </c>
      <c r="E27">
        <v>0</v>
      </c>
      <c r="F27" s="71">
        <v>42014</v>
      </c>
      <c r="G27" t="s">
        <v>47</v>
      </c>
      <c r="H27" s="71">
        <v>42019</v>
      </c>
      <c r="I27" t="s">
        <v>348</v>
      </c>
    </row>
    <row r="28" spans="1:9" x14ac:dyDescent="0.2">
      <c r="A28" t="s">
        <v>96</v>
      </c>
      <c r="B28" s="31">
        <v>24.7</v>
      </c>
      <c r="C28">
        <v>0</v>
      </c>
      <c r="D28">
        <v>1</v>
      </c>
      <c r="E28">
        <v>0</v>
      </c>
      <c r="F28" s="71">
        <v>42014</v>
      </c>
      <c r="G28" t="s">
        <v>47</v>
      </c>
      <c r="H28" s="71">
        <v>42019</v>
      </c>
      <c r="I28" t="s">
        <v>96</v>
      </c>
    </row>
    <row r="29" spans="1:9" x14ac:dyDescent="0.2">
      <c r="A29" t="s">
        <v>490</v>
      </c>
      <c r="B29" s="31">
        <v>6</v>
      </c>
      <c r="C29">
        <v>0</v>
      </c>
      <c r="D29">
        <v>1</v>
      </c>
      <c r="E29">
        <v>0</v>
      </c>
      <c r="F29" s="71">
        <v>42014</v>
      </c>
      <c r="G29" t="s">
        <v>47</v>
      </c>
      <c r="H29" s="71">
        <v>42020</v>
      </c>
      <c r="I29" s="1" t="s">
        <v>50</v>
      </c>
    </row>
    <row r="30" spans="1:9" x14ac:dyDescent="0.2">
      <c r="A30" t="s">
        <v>491</v>
      </c>
      <c r="B30" s="31">
        <v>75</v>
      </c>
      <c r="C30">
        <v>0</v>
      </c>
      <c r="D30">
        <v>1</v>
      </c>
      <c r="E30">
        <v>0</v>
      </c>
      <c r="F30" s="71">
        <v>42014</v>
      </c>
      <c r="G30" t="s">
        <v>49</v>
      </c>
      <c r="H30" s="71">
        <v>42021</v>
      </c>
      <c r="I30" s="1" t="s">
        <v>153</v>
      </c>
    </row>
    <row r="31" spans="1:9" x14ac:dyDescent="0.2">
      <c r="A31" s="100" t="s">
        <v>116</v>
      </c>
      <c r="B31" s="100">
        <v>15</v>
      </c>
      <c r="C31" s="100">
        <v>0</v>
      </c>
      <c r="D31" s="100">
        <v>1</v>
      </c>
      <c r="E31" s="100">
        <v>0</v>
      </c>
      <c r="F31" s="85">
        <v>42014</v>
      </c>
      <c r="G31" s="100" t="s">
        <v>49</v>
      </c>
      <c r="H31" s="85">
        <v>42021</v>
      </c>
      <c r="I31" s="100" t="s">
        <v>344</v>
      </c>
    </row>
    <row r="32" spans="1:9" x14ac:dyDescent="0.2">
      <c r="A32" s="100" t="s">
        <v>323</v>
      </c>
      <c r="B32" s="100">
        <v>19</v>
      </c>
      <c r="C32" s="100">
        <v>0</v>
      </c>
      <c r="D32" s="100">
        <v>1</v>
      </c>
      <c r="E32" s="100">
        <v>0</v>
      </c>
      <c r="F32" s="85">
        <v>42014</v>
      </c>
      <c r="G32" s="100" t="s">
        <v>49</v>
      </c>
      <c r="H32" s="85">
        <v>42021</v>
      </c>
      <c r="I32" s="10" t="s">
        <v>50</v>
      </c>
    </row>
    <row r="33" spans="1:9" x14ac:dyDescent="0.2">
      <c r="A33" s="100" t="s">
        <v>107</v>
      </c>
      <c r="B33" s="100">
        <v>14.31</v>
      </c>
      <c r="C33" s="100">
        <v>0</v>
      </c>
      <c r="D33" s="100">
        <v>1</v>
      </c>
      <c r="E33" s="100">
        <v>0</v>
      </c>
      <c r="F33" s="85">
        <v>42014</v>
      </c>
      <c r="G33" s="100" t="s">
        <v>51</v>
      </c>
      <c r="H33" s="85">
        <v>42026</v>
      </c>
      <c r="I33" s="159" t="s">
        <v>107</v>
      </c>
    </row>
    <row r="34" spans="1:9" x14ac:dyDescent="0.2">
      <c r="A34" s="100" t="s">
        <v>498</v>
      </c>
      <c r="B34" s="100">
        <v>5</v>
      </c>
      <c r="C34" s="100">
        <v>0</v>
      </c>
      <c r="D34" s="100">
        <v>1</v>
      </c>
      <c r="E34" s="100">
        <v>0</v>
      </c>
      <c r="F34" s="85">
        <v>42014</v>
      </c>
      <c r="G34" s="100" t="s">
        <v>51</v>
      </c>
      <c r="H34" s="85">
        <v>42026</v>
      </c>
      <c r="I34" s="10" t="s">
        <v>50</v>
      </c>
    </row>
    <row r="35" spans="1:9" x14ac:dyDescent="0.2">
      <c r="A35" s="100" t="s">
        <v>499</v>
      </c>
      <c r="B35" s="100">
        <v>8</v>
      </c>
      <c r="C35" s="100">
        <v>0</v>
      </c>
      <c r="D35" s="100">
        <v>1</v>
      </c>
      <c r="E35" s="100">
        <v>0</v>
      </c>
      <c r="F35" s="85">
        <v>42014</v>
      </c>
      <c r="G35" s="100" t="s">
        <v>51</v>
      </c>
      <c r="H35" s="85">
        <v>42026</v>
      </c>
      <c r="I35" s="10" t="s">
        <v>50</v>
      </c>
    </row>
    <row r="36" spans="1:9" x14ac:dyDescent="0.2">
      <c r="A36" s="100" t="s">
        <v>497</v>
      </c>
      <c r="B36" s="100">
        <v>3</v>
      </c>
      <c r="C36" s="100">
        <v>0</v>
      </c>
      <c r="D36" s="100">
        <v>1</v>
      </c>
      <c r="E36" s="100">
        <v>0</v>
      </c>
      <c r="F36" s="85">
        <v>42014</v>
      </c>
      <c r="G36" s="100" t="s">
        <v>51</v>
      </c>
      <c r="H36" s="85">
        <v>42026</v>
      </c>
      <c r="I36" s="10" t="s">
        <v>50</v>
      </c>
    </row>
    <row r="37" spans="1:9" x14ac:dyDescent="0.2">
      <c r="A37" s="100" t="s">
        <v>500</v>
      </c>
      <c r="B37" s="100">
        <v>5</v>
      </c>
      <c r="C37" s="100">
        <v>0</v>
      </c>
      <c r="D37" s="100">
        <v>1</v>
      </c>
      <c r="E37" s="100">
        <v>0</v>
      </c>
      <c r="F37" s="85">
        <v>42014</v>
      </c>
      <c r="G37" s="100" t="s">
        <v>51</v>
      </c>
      <c r="H37" s="85">
        <v>42027</v>
      </c>
      <c r="I37" s="10" t="s">
        <v>50</v>
      </c>
    </row>
    <row r="38" spans="1:9" x14ac:dyDescent="0.2">
      <c r="A38" s="100" t="s">
        <v>501</v>
      </c>
      <c r="B38" s="100">
        <v>26</v>
      </c>
      <c r="C38" s="100">
        <v>0</v>
      </c>
      <c r="D38" s="100">
        <v>1</v>
      </c>
      <c r="E38" s="100">
        <v>0</v>
      </c>
      <c r="F38" s="85">
        <v>42014</v>
      </c>
      <c r="G38" s="100" t="s">
        <v>51</v>
      </c>
      <c r="H38" s="85">
        <v>42027</v>
      </c>
      <c r="I38" s="159" t="s">
        <v>203</v>
      </c>
    </row>
    <row r="39" spans="1:9" x14ac:dyDescent="0.2">
      <c r="A39" s="100" t="s">
        <v>502</v>
      </c>
      <c r="B39" s="100">
        <v>15</v>
      </c>
      <c r="C39" s="100">
        <v>0</v>
      </c>
      <c r="D39" s="100">
        <v>1</v>
      </c>
      <c r="E39" s="100">
        <v>0</v>
      </c>
      <c r="F39" s="85">
        <v>42014</v>
      </c>
      <c r="G39" s="100" t="s">
        <v>51</v>
      </c>
      <c r="H39" s="85">
        <v>42027</v>
      </c>
      <c r="I39" s="10" t="s">
        <v>50</v>
      </c>
    </row>
    <row r="40" spans="1:9" x14ac:dyDescent="0.2">
      <c r="A40" s="100" t="s">
        <v>503</v>
      </c>
      <c r="B40" s="100">
        <v>100</v>
      </c>
      <c r="C40" s="100">
        <v>0</v>
      </c>
      <c r="D40" s="100">
        <v>1</v>
      </c>
      <c r="E40" s="100">
        <v>0</v>
      </c>
      <c r="F40" s="85">
        <v>42014</v>
      </c>
      <c r="G40" s="100" t="s">
        <v>51</v>
      </c>
      <c r="H40" s="85">
        <v>42027</v>
      </c>
      <c r="I40" s="10" t="s">
        <v>344</v>
      </c>
    </row>
    <row r="41" spans="1:9" x14ac:dyDescent="0.2">
      <c r="A41" s="100" t="s">
        <v>505</v>
      </c>
      <c r="B41" s="100">
        <v>10</v>
      </c>
      <c r="C41" s="100">
        <v>0</v>
      </c>
      <c r="D41" s="100">
        <v>1</v>
      </c>
      <c r="E41" s="100">
        <v>0</v>
      </c>
      <c r="F41" s="85">
        <v>42014</v>
      </c>
      <c r="G41" s="100" t="s">
        <v>54</v>
      </c>
      <c r="H41" s="85">
        <v>42031</v>
      </c>
      <c r="I41" s="10" t="s">
        <v>203</v>
      </c>
    </row>
    <row r="42" spans="1:9" x14ac:dyDescent="0.2">
      <c r="A42" s="100" t="s">
        <v>385</v>
      </c>
      <c r="B42" s="100">
        <v>6</v>
      </c>
      <c r="C42" s="100">
        <v>0</v>
      </c>
      <c r="D42" s="100">
        <v>1</v>
      </c>
      <c r="E42" s="100">
        <v>0</v>
      </c>
      <c r="F42" s="85">
        <v>42014</v>
      </c>
      <c r="G42" s="100" t="s">
        <v>54</v>
      </c>
      <c r="H42" s="85">
        <v>42032</v>
      </c>
      <c r="I42" s="10" t="s">
        <v>50</v>
      </c>
    </row>
    <row r="43" spans="1:9" x14ac:dyDescent="0.2">
      <c r="A43" s="100" t="s">
        <v>512</v>
      </c>
      <c r="B43" s="100">
        <v>7</v>
      </c>
      <c r="C43" s="100">
        <v>0</v>
      </c>
      <c r="D43" s="100">
        <v>1</v>
      </c>
      <c r="E43" s="100">
        <v>0</v>
      </c>
      <c r="F43" s="85">
        <v>42014</v>
      </c>
      <c r="G43" s="100" t="s">
        <v>54</v>
      </c>
      <c r="H43" s="85">
        <v>42034</v>
      </c>
      <c r="I43" s="10" t="s">
        <v>50</v>
      </c>
    </row>
    <row r="44" spans="1:9" x14ac:dyDescent="0.2">
      <c r="A44" s="100" t="s">
        <v>513</v>
      </c>
      <c r="B44" s="100">
        <v>15</v>
      </c>
      <c r="C44" s="100">
        <v>0</v>
      </c>
      <c r="D44" s="100">
        <v>1</v>
      </c>
      <c r="E44" s="100">
        <v>0</v>
      </c>
      <c r="F44" s="85">
        <v>42014</v>
      </c>
      <c r="G44" s="100" t="s">
        <v>54</v>
      </c>
      <c r="H44" s="85">
        <v>42034</v>
      </c>
      <c r="I44" s="1" t="s">
        <v>153</v>
      </c>
    </row>
    <row r="45" spans="1:9" x14ac:dyDescent="0.2">
      <c r="A45" s="100" t="s">
        <v>48</v>
      </c>
      <c r="B45" s="100">
        <v>45</v>
      </c>
      <c r="C45" s="100">
        <v>0</v>
      </c>
      <c r="D45" s="100">
        <v>1</v>
      </c>
      <c r="E45" s="100">
        <v>0</v>
      </c>
      <c r="F45" s="85">
        <v>42014</v>
      </c>
      <c r="G45" s="100" t="s">
        <v>54</v>
      </c>
      <c r="H45" s="85">
        <v>42034</v>
      </c>
      <c r="I45" s="10" t="s">
        <v>344</v>
      </c>
    </row>
    <row r="46" spans="1:9" x14ac:dyDescent="0.2">
      <c r="A46" s="27" t="s">
        <v>329</v>
      </c>
      <c r="B46" s="27">
        <v>225.7</v>
      </c>
      <c r="C46" s="27">
        <v>1</v>
      </c>
      <c r="D46" s="27">
        <v>0</v>
      </c>
      <c r="E46" s="27">
        <v>0</v>
      </c>
      <c r="F46" s="82">
        <v>42014</v>
      </c>
      <c r="G46" s="100" t="s">
        <v>49</v>
      </c>
      <c r="H46" s="82">
        <v>42036</v>
      </c>
      <c r="I46" s="27" t="s">
        <v>350</v>
      </c>
    </row>
    <row r="47" spans="1:9" x14ac:dyDescent="0.2">
      <c r="A47" s="10" t="s">
        <v>616</v>
      </c>
      <c r="B47" s="100">
        <v>0</v>
      </c>
      <c r="C47" s="100">
        <v>0</v>
      </c>
      <c r="D47" s="100">
        <v>1</v>
      </c>
      <c r="E47" s="100">
        <v>0</v>
      </c>
      <c r="F47" s="85">
        <v>42014</v>
      </c>
      <c r="G47" s="100" t="s">
        <v>49</v>
      </c>
      <c r="H47" s="85">
        <v>42036</v>
      </c>
      <c r="I47" s="159" t="s">
        <v>1182</v>
      </c>
    </row>
    <row r="48" spans="1:9" x14ac:dyDescent="0.2">
      <c r="A48" s="100" t="s">
        <v>52</v>
      </c>
      <c r="B48" s="100">
        <v>81.88</v>
      </c>
      <c r="C48" s="100">
        <v>0</v>
      </c>
      <c r="D48" s="100">
        <v>1</v>
      </c>
      <c r="E48" s="100">
        <v>0</v>
      </c>
      <c r="F48" s="85">
        <v>42014</v>
      </c>
      <c r="G48" s="100" t="s">
        <v>49</v>
      </c>
      <c r="H48" s="85">
        <v>42037</v>
      </c>
      <c r="I48" s="10" t="s">
        <v>52</v>
      </c>
    </row>
    <row r="49" spans="1:9" x14ac:dyDescent="0.2">
      <c r="A49" s="100" t="s">
        <v>518</v>
      </c>
      <c r="B49" s="100">
        <v>10</v>
      </c>
      <c r="C49" s="100">
        <v>0</v>
      </c>
      <c r="D49" s="100">
        <v>1</v>
      </c>
      <c r="E49" s="100">
        <v>0</v>
      </c>
      <c r="F49" s="85">
        <v>42014</v>
      </c>
      <c r="G49" s="100" t="s">
        <v>55</v>
      </c>
      <c r="H49" s="85">
        <v>42037</v>
      </c>
      <c r="I49" s="10" t="s">
        <v>50</v>
      </c>
    </row>
    <row r="50" spans="1:9" x14ac:dyDescent="0.2">
      <c r="A50" s="100" t="s">
        <v>96</v>
      </c>
      <c r="B50" s="100">
        <v>15.12</v>
      </c>
      <c r="C50" s="100">
        <v>0</v>
      </c>
      <c r="D50" s="100">
        <v>1</v>
      </c>
      <c r="E50" s="100">
        <v>0</v>
      </c>
      <c r="F50" s="85">
        <v>42014</v>
      </c>
      <c r="G50" s="100" t="s">
        <v>55</v>
      </c>
      <c r="H50" s="85">
        <v>42038</v>
      </c>
      <c r="I50" t="s">
        <v>96</v>
      </c>
    </row>
    <row r="51" spans="1:9" x14ac:dyDescent="0.2">
      <c r="A51" s="100" t="s">
        <v>385</v>
      </c>
      <c r="B51" s="100">
        <v>3</v>
      </c>
      <c r="C51" s="100">
        <v>0</v>
      </c>
      <c r="D51" s="100">
        <v>1</v>
      </c>
      <c r="E51" s="100">
        <v>0</v>
      </c>
      <c r="F51" s="85">
        <v>42014</v>
      </c>
      <c r="G51" s="100" t="s">
        <v>55</v>
      </c>
      <c r="H51" s="85">
        <v>42038</v>
      </c>
      <c r="I51" s="10" t="s">
        <v>50</v>
      </c>
    </row>
    <row r="52" spans="1:9" x14ac:dyDescent="0.2">
      <c r="A52" t="s">
        <v>39</v>
      </c>
      <c r="B52" s="31">
        <v>41</v>
      </c>
      <c r="C52">
        <v>1</v>
      </c>
      <c r="D52">
        <v>0</v>
      </c>
      <c r="E52">
        <v>0</v>
      </c>
      <c r="F52" s="71">
        <v>42014</v>
      </c>
      <c r="G52" s="100" t="s">
        <v>55</v>
      </c>
      <c r="H52" s="71">
        <v>42039</v>
      </c>
      <c r="I52" t="s">
        <v>345</v>
      </c>
    </row>
    <row r="53" spans="1:9" x14ac:dyDescent="0.2">
      <c r="A53" s="100" t="s">
        <v>52</v>
      </c>
      <c r="B53" s="100">
        <v>15.32</v>
      </c>
      <c r="C53" s="100">
        <v>0</v>
      </c>
      <c r="D53" s="100">
        <v>1</v>
      </c>
      <c r="E53" s="100">
        <v>0</v>
      </c>
      <c r="F53" s="85">
        <v>42014</v>
      </c>
      <c r="G53" s="100" t="s">
        <v>55</v>
      </c>
      <c r="H53" s="85">
        <v>42039</v>
      </c>
      <c r="I53" s="10" t="s">
        <v>52</v>
      </c>
    </row>
    <row r="54" spans="1:9" x14ac:dyDescent="0.2">
      <c r="A54" s="100" t="s">
        <v>43</v>
      </c>
      <c r="B54" s="100">
        <v>30</v>
      </c>
      <c r="C54">
        <v>1</v>
      </c>
      <c r="D54">
        <v>0</v>
      </c>
      <c r="E54" s="100">
        <v>0</v>
      </c>
      <c r="F54" s="85">
        <v>42014</v>
      </c>
      <c r="G54" s="100" t="s">
        <v>55</v>
      </c>
      <c r="H54" s="85">
        <v>42039</v>
      </c>
      <c r="I54" s="1" t="s">
        <v>153</v>
      </c>
    </row>
    <row r="55" spans="1:9" x14ac:dyDescent="0.2">
      <c r="A55" s="100" t="s">
        <v>48</v>
      </c>
      <c r="B55" s="100">
        <v>40</v>
      </c>
      <c r="C55" s="100">
        <v>0</v>
      </c>
      <c r="D55" s="100">
        <v>1</v>
      </c>
      <c r="E55" s="100">
        <v>0</v>
      </c>
      <c r="F55" s="85">
        <v>42014</v>
      </c>
      <c r="G55" s="100" t="s">
        <v>55</v>
      </c>
      <c r="H55" s="85">
        <v>42039</v>
      </c>
      <c r="I55" s="10" t="s">
        <v>48</v>
      </c>
    </row>
    <row r="56" spans="1:9" x14ac:dyDescent="0.2">
      <c r="A56" s="100" t="s">
        <v>44</v>
      </c>
      <c r="B56" s="100">
        <v>50</v>
      </c>
      <c r="C56" s="100">
        <v>1</v>
      </c>
      <c r="D56" s="100">
        <v>0</v>
      </c>
      <c r="E56" s="100">
        <v>0</v>
      </c>
      <c r="F56" s="85">
        <v>42014</v>
      </c>
      <c r="G56" s="100" t="s">
        <v>55</v>
      </c>
      <c r="H56" s="85">
        <v>42040</v>
      </c>
      <c r="I56" s="10" t="s">
        <v>60</v>
      </c>
    </row>
    <row r="57" spans="1:9" x14ac:dyDescent="0.2">
      <c r="A57" s="100" t="s">
        <v>96</v>
      </c>
      <c r="B57" s="100">
        <v>16.2</v>
      </c>
      <c r="C57" s="100">
        <v>0</v>
      </c>
      <c r="D57" s="100">
        <v>1</v>
      </c>
      <c r="E57" s="100">
        <v>0</v>
      </c>
      <c r="F57" s="85">
        <v>42014</v>
      </c>
      <c r="G57" s="100" t="s">
        <v>55</v>
      </c>
      <c r="H57" s="85">
        <v>42040</v>
      </c>
      <c r="I57" t="s">
        <v>96</v>
      </c>
    </row>
    <row r="58" spans="1:9" x14ac:dyDescent="0.2">
      <c r="A58" s="100" t="s">
        <v>522</v>
      </c>
      <c r="B58" s="100">
        <v>250</v>
      </c>
      <c r="C58" s="100">
        <v>0</v>
      </c>
      <c r="D58" s="100">
        <v>1</v>
      </c>
      <c r="E58" s="100">
        <v>0</v>
      </c>
      <c r="F58" s="85">
        <v>42014</v>
      </c>
      <c r="G58" s="100" t="s">
        <v>55</v>
      </c>
      <c r="H58" s="85">
        <v>42041</v>
      </c>
      <c r="I58" s="10" t="s">
        <v>48</v>
      </c>
    </row>
    <row r="59" spans="1:9" x14ac:dyDescent="0.2">
      <c r="A59" s="100" t="s">
        <v>519</v>
      </c>
      <c r="B59" s="100">
        <v>6</v>
      </c>
      <c r="C59" s="100">
        <v>0</v>
      </c>
      <c r="D59" s="100">
        <v>1</v>
      </c>
      <c r="E59" s="100">
        <v>0</v>
      </c>
      <c r="F59" s="85">
        <v>42014</v>
      </c>
      <c r="G59" s="100" t="s">
        <v>55</v>
      </c>
      <c r="H59" s="85">
        <v>42041</v>
      </c>
      <c r="I59" s="1" t="s">
        <v>153</v>
      </c>
    </row>
    <row r="60" spans="1:9" x14ac:dyDescent="0.2">
      <c r="A60" s="100" t="s">
        <v>520</v>
      </c>
      <c r="B60" s="100">
        <v>113</v>
      </c>
      <c r="C60">
        <v>0</v>
      </c>
      <c r="D60">
        <v>1</v>
      </c>
      <c r="E60">
        <v>0</v>
      </c>
      <c r="F60" s="85">
        <v>42014</v>
      </c>
      <c r="G60" s="100" t="s">
        <v>55</v>
      </c>
      <c r="H60" s="71">
        <v>42041</v>
      </c>
      <c r="I60" s="1" t="s">
        <v>344</v>
      </c>
    </row>
    <row r="61" spans="1:9" x14ac:dyDescent="0.2">
      <c r="A61" s="100" t="s">
        <v>524</v>
      </c>
      <c r="B61" s="100">
        <v>14.5</v>
      </c>
      <c r="C61" s="100">
        <v>0</v>
      </c>
      <c r="D61" s="100">
        <v>1</v>
      </c>
      <c r="E61" s="100">
        <v>0</v>
      </c>
      <c r="F61" s="85">
        <v>42014</v>
      </c>
      <c r="G61" s="100" t="s">
        <v>55</v>
      </c>
      <c r="H61" s="85">
        <v>42041</v>
      </c>
      <c r="I61" s="10" t="s">
        <v>50</v>
      </c>
    </row>
    <row r="62" spans="1:9" x14ac:dyDescent="0.2">
      <c r="A62" s="100" t="s">
        <v>43</v>
      </c>
      <c r="B62" s="100">
        <v>70.19</v>
      </c>
      <c r="C62">
        <v>1</v>
      </c>
      <c r="D62">
        <v>0</v>
      </c>
      <c r="E62" s="100">
        <v>0</v>
      </c>
      <c r="F62" s="85">
        <v>42014</v>
      </c>
      <c r="G62" s="100" t="s">
        <v>49</v>
      </c>
      <c r="H62" s="85">
        <v>42043</v>
      </c>
      <c r="I62" s="1" t="s">
        <v>153</v>
      </c>
    </row>
    <row r="63" spans="1:9" x14ac:dyDescent="0.2">
      <c r="A63" s="100" t="s">
        <v>43</v>
      </c>
      <c r="B63" s="100">
        <v>76.010000000000005</v>
      </c>
      <c r="C63">
        <v>1</v>
      </c>
      <c r="D63">
        <v>0</v>
      </c>
      <c r="E63" s="100">
        <v>0</v>
      </c>
      <c r="F63" s="85">
        <v>42014</v>
      </c>
      <c r="G63" s="100" t="s">
        <v>49</v>
      </c>
      <c r="H63" s="85">
        <v>42043</v>
      </c>
      <c r="I63" s="1" t="s">
        <v>153</v>
      </c>
    </row>
    <row r="64" spans="1:9" x14ac:dyDescent="0.2">
      <c r="A64" s="100" t="s">
        <v>96</v>
      </c>
      <c r="B64" s="100">
        <v>11.79</v>
      </c>
      <c r="C64" s="100">
        <v>0</v>
      </c>
      <c r="D64" s="100">
        <v>1</v>
      </c>
      <c r="E64" s="100">
        <v>0</v>
      </c>
      <c r="F64" s="85">
        <v>42014</v>
      </c>
      <c r="G64" s="100" t="s">
        <v>180</v>
      </c>
      <c r="H64" s="85">
        <v>42044</v>
      </c>
      <c r="I64" t="s">
        <v>96</v>
      </c>
    </row>
    <row r="65" spans="1:9" x14ac:dyDescent="0.2">
      <c r="A65" s="100" t="s">
        <v>43</v>
      </c>
      <c r="B65" s="100">
        <v>30</v>
      </c>
      <c r="C65">
        <v>1</v>
      </c>
      <c r="D65">
        <v>0</v>
      </c>
      <c r="E65" s="100">
        <v>0</v>
      </c>
      <c r="F65" s="85">
        <v>42014</v>
      </c>
      <c r="G65" s="100" t="s">
        <v>180</v>
      </c>
      <c r="H65" s="85">
        <v>42044</v>
      </c>
      <c r="I65" s="1" t="s">
        <v>153</v>
      </c>
    </row>
    <row r="66" spans="1:9" x14ac:dyDescent="0.2">
      <c r="A66" s="100" t="s">
        <v>1037</v>
      </c>
      <c r="B66" s="101">
        <v>48.1</v>
      </c>
      <c r="C66" s="100">
        <v>1</v>
      </c>
      <c r="D66" s="100">
        <v>0</v>
      </c>
      <c r="E66" s="100">
        <v>0</v>
      </c>
      <c r="F66" s="85">
        <v>42014</v>
      </c>
      <c r="G66" s="100" t="s">
        <v>47</v>
      </c>
      <c r="H66" s="85">
        <v>42014</v>
      </c>
      <c r="I66" s="100" t="s">
        <v>1045</v>
      </c>
    </row>
    <row r="67" spans="1:9" x14ac:dyDescent="0.2">
      <c r="A67" s="100" t="s">
        <v>1038</v>
      </c>
      <c r="B67" s="101">
        <v>222.01</v>
      </c>
      <c r="C67" s="100">
        <v>1</v>
      </c>
      <c r="D67" s="100">
        <v>0</v>
      </c>
      <c r="E67" s="100">
        <v>0</v>
      </c>
      <c r="F67" s="85">
        <v>42014</v>
      </c>
      <c r="G67" s="100" t="s">
        <v>47</v>
      </c>
      <c r="H67" s="85">
        <v>42014</v>
      </c>
      <c r="I67" s="100" t="s">
        <v>1045</v>
      </c>
    </row>
    <row r="68" spans="1:9" x14ac:dyDescent="0.2">
      <c r="A68" s="100" t="s">
        <v>1039</v>
      </c>
      <c r="B68" s="101">
        <v>111.01</v>
      </c>
      <c r="C68" s="100">
        <v>1</v>
      </c>
      <c r="D68" s="100">
        <v>0</v>
      </c>
      <c r="E68" s="100">
        <v>0</v>
      </c>
      <c r="F68" s="85">
        <v>42014</v>
      </c>
      <c r="G68" s="100" t="s">
        <v>47</v>
      </c>
      <c r="H68" s="85">
        <v>42014</v>
      </c>
      <c r="I68" s="100" t="s">
        <v>1045</v>
      </c>
    </row>
    <row r="69" spans="1:9" x14ac:dyDescent="0.2">
      <c r="A69" s="100" t="s">
        <v>1040</v>
      </c>
      <c r="B69" s="101">
        <v>74</v>
      </c>
      <c r="C69" s="100">
        <v>1</v>
      </c>
      <c r="D69" s="100">
        <v>0</v>
      </c>
      <c r="E69" s="100">
        <v>0</v>
      </c>
      <c r="F69" s="85">
        <v>42014</v>
      </c>
      <c r="G69" s="100" t="s">
        <v>47</v>
      </c>
      <c r="H69" s="85">
        <v>42014</v>
      </c>
      <c r="I69" s="100" t="s">
        <v>1045</v>
      </c>
    </row>
    <row r="70" spans="1:9" x14ac:dyDescent="0.2">
      <c r="A70" s="105" t="s">
        <v>40</v>
      </c>
      <c r="B70" s="106">
        <v>4.99</v>
      </c>
      <c r="C70" s="105">
        <v>1</v>
      </c>
      <c r="D70" s="105">
        <v>0</v>
      </c>
      <c r="E70" s="105">
        <v>0</v>
      </c>
      <c r="F70" s="107">
        <v>42045</v>
      </c>
      <c r="G70" s="105" t="s">
        <v>47</v>
      </c>
      <c r="H70" s="107">
        <v>42045</v>
      </c>
      <c r="I70" s="105" t="s">
        <v>345</v>
      </c>
    </row>
    <row r="71" spans="1:9" x14ac:dyDescent="0.2">
      <c r="A71" s="105" t="s">
        <v>2</v>
      </c>
      <c r="B71" s="106">
        <v>50</v>
      </c>
      <c r="C71" s="105">
        <v>1</v>
      </c>
      <c r="D71" s="105">
        <v>0</v>
      </c>
      <c r="E71" s="105">
        <v>0</v>
      </c>
      <c r="F71" s="107">
        <v>42045</v>
      </c>
      <c r="G71" s="105" t="s">
        <v>47</v>
      </c>
      <c r="H71" s="107">
        <v>42045</v>
      </c>
      <c r="I71" s="105" t="s">
        <v>1183</v>
      </c>
    </row>
    <row r="72" spans="1:9" x14ac:dyDescent="0.2">
      <c r="A72" s="105" t="s">
        <v>38</v>
      </c>
      <c r="B72" s="106">
        <v>57</v>
      </c>
      <c r="C72" s="105">
        <v>1</v>
      </c>
      <c r="D72" s="105">
        <v>0</v>
      </c>
      <c r="E72" s="105">
        <v>0</v>
      </c>
      <c r="F72" s="107">
        <v>42045</v>
      </c>
      <c r="G72" s="105" t="s">
        <v>47</v>
      </c>
      <c r="H72" s="107">
        <v>42045</v>
      </c>
      <c r="I72" s="105" t="s">
        <v>345</v>
      </c>
    </row>
    <row r="73" spans="1:9" x14ac:dyDescent="0.2">
      <c r="A73" s="105" t="s">
        <v>982</v>
      </c>
      <c r="B73" s="106">
        <v>40.78</v>
      </c>
      <c r="C73" s="105">
        <v>1</v>
      </c>
      <c r="D73" s="105">
        <v>0</v>
      </c>
      <c r="E73" s="105">
        <v>0</v>
      </c>
      <c r="F73" s="107">
        <v>42045</v>
      </c>
      <c r="G73" s="105" t="s">
        <v>47</v>
      </c>
      <c r="H73" s="107">
        <v>42045</v>
      </c>
      <c r="I73" s="105" t="s">
        <v>345</v>
      </c>
    </row>
    <row r="74" spans="1:9" x14ac:dyDescent="0.2">
      <c r="A74" s="105" t="s">
        <v>0</v>
      </c>
      <c r="B74" s="106">
        <v>426</v>
      </c>
      <c r="C74" s="105">
        <v>1</v>
      </c>
      <c r="D74" s="105">
        <v>0</v>
      </c>
      <c r="E74" s="105">
        <v>0</v>
      </c>
      <c r="F74" s="107">
        <v>42045</v>
      </c>
      <c r="G74" s="105" t="s">
        <v>47</v>
      </c>
      <c r="H74" s="107">
        <v>42045</v>
      </c>
      <c r="I74" s="105" t="s">
        <v>346</v>
      </c>
    </row>
    <row r="75" spans="1:9" x14ac:dyDescent="0.2">
      <c r="A75" s="105" t="s">
        <v>3</v>
      </c>
      <c r="B75" s="106">
        <v>66.63</v>
      </c>
      <c r="C75" s="105">
        <v>1</v>
      </c>
      <c r="D75" s="105">
        <v>0</v>
      </c>
      <c r="E75" s="105">
        <v>0</v>
      </c>
      <c r="F75" s="107">
        <v>42045</v>
      </c>
      <c r="G75" s="105" t="s">
        <v>47</v>
      </c>
      <c r="H75" s="107">
        <v>42045</v>
      </c>
      <c r="I75" s="105" t="s">
        <v>346</v>
      </c>
    </row>
    <row r="76" spans="1:9" x14ac:dyDescent="0.2">
      <c r="A76" s="105" t="s">
        <v>1</v>
      </c>
      <c r="B76" s="105">
        <v>286.99</v>
      </c>
      <c r="C76" s="105">
        <v>1</v>
      </c>
      <c r="D76" s="105">
        <v>0</v>
      </c>
      <c r="E76" s="105">
        <v>0</v>
      </c>
      <c r="F76" s="107">
        <v>42045</v>
      </c>
      <c r="G76" s="105" t="s">
        <v>47</v>
      </c>
      <c r="H76" s="107">
        <v>42045</v>
      </c>
      <c r="I76" s="105" t="s">
        <v>346</v>
      </c>
    </row>
    <row r="77" spans="1:9" x14ac:dyDescent="0.2">
      <c r="A77" s="105" t="s">
        <v>156</v>
      </c>
      <c r="B77" s="106">
        <v>450</v>
      </c>
      <c r="C77" s="105">
        <v>1</v>
      </c>
      <c r="D77" s="105">
        <v>0</v>
      </c>
      <c r="E77" s="105">
        <v>0</v>
      </c>
      <c r="F77" s="107">
        <v>42045</v>
      </c>
      <c r="G77" s="105" t="s">
        <v>47</v>
      </c>
      <c r="H77" s="107">
        <v>42045</v>
      </c>
      <c r="I77" s="105" t="s">
        <v>346</v>
      </c>
    </row>
    <row r="78" spans="1:9" x14ac:dyDescent="0.2">
      <c r="A78" s="105" t="s">
        <v>26</v>
      </c>
      <c r="B78" s="106">
        <v>501.76</v>
      </c>
      <c r="C78" s="105">
        <v>1</v>
      </c>
      <c r="D78" s="105">
        <v>0</v>
      </c>
      <c r="E78" s="105">
        <v>0</v>
      </c>
      <c r="F78" s="107">
        <v>42045</v>
      </c>
      <c r="G78" s="105" t="s">
        <v>47</v>
      </c>
      <c r="H78" s="107">
        <v>42045</v>
      </c>
      <c r="I78" s="105" t="s">
        <v>345</v>
      </c>
    </row>
    <row r="79" spans="1:9" x14ac:dyDescent="0.2">
      <c r="A79" s="105" t="s">
        <v>28</v>
      </c>
      <c r="B79" s="106">
        <v>38.5</v>
      </c>
      <c r="C79" s="105">
        <v>1</v>
      </c>
      <c r="D79" s="105">
        <v>0</v>
      </c>
      <c r="E79" s="105">
        <v>0</v>
      </c>
      <c r="F79" s="107">
        <v>42045</v>
      </c>
      <c r="G79" s="105" t="s">
        <v>47</v>
      </c>
      <c r="H79" s="107">
        <v>42045</v>
      </c>
      <c r="I79" s="105" t="s">
        <v>345</v>
      </c>
    </row>
    <row r="80" spans="1:9" x14ac:dyDescent="0.2">
      <c r="A80" s="105" t="s">
        <v>27</v>
      </c>
      <c r="B80" s="106">
        <v>282.25</v>
      </c>
      <c r="C80" s="105">
        <v>1</v>
      </c>
      <c r="D80" s="105">
        <v>0</v>
      </c>
      <c r="E80" s="105">
        <v>0</v>
      </c>
      <c r="F80" s="107">
        <v>42045</v>
      </c>
      <c r="G80" s="105" t="s">
        <v>47</v>
      </c>
      <c r="H80" s="107">
        <v>42045</v>
      </c>
      <c r="I80" s="105" t="s">
        <v>345</v>
      </c>
    </row>
    <row r="81" spans="1:9" x14ac:dyDescent="0.2">
      <c r="A81" s="105" t="s">
        <v>12</v>
      </c>
      <c r="B81" s="106">
        <v>536.46</v>
      </c>
      <c r="C81" s="105">
        <v>1</v>
      </c>
      <c r="D81" s="105">
        <v>0</v>
      </c>
      <c r="E81" s="105">
        <v>0</v>
      </c>
      <c r="F81" s="107">
        <v>42045</v>
      </c>
      <c r="G81" s="105" t="s">
        <v>47</v>
      </c>
      <c r="H81" s="107">
        <v>42045</v>
      </c>
      <c r="I81" s="105" t="s">
        <v>348</v>
      </c>
    </row>
    <row r="82" spans="1:9" x14ac:dyDescent="0.2">
      <c r="A82" s="105" t="s">
        <v>25</v>
      </c>
      <c r="B82" s="106">
        <v>130</v>
      </c>
      <c r="C82" s="105">
        <v>1</v>
      </c>
      <c r="D82" s="105">
        <v>0</v>
      </c>
      <c r="E82" s="105">
        <v>0</v>
      </c>
      <c r="F82" s="107">
        <v>42045</v>
      </c>
      <c r="G82" s="105" t="s">
        <v>47</v>
      </c>
      <c r="H82" s="107">
        <v>42045</v>
      </c>
      <c r="I82" s="105" t="s">
        <v>25</v>
      </c>
    </row>
    <row r="83" spans="1:9" x14ac:dyDescent="0.2">
      <c r="A83" s="105" t="s">
        <v>1041</v>
      </c>
      <c r="B83" s="106">
        <v>148.01</v>
      </c>
      <c r="C83" s="105">
        <v>1</v>
      </c>
      <c r="D83" s="105">
        <v>0</v>
      </c>
      <c r="E83" s="105">
        <v>0</v>
      </c>
      <c r="F83" s="107">
        <v>42045</v>
      </c>
      <c r="G83" s="105" t="s">
        <v>47</v>
      </c>
      <c r="H83" s="107">
        <v>42045</v>
      </c>
      <c r="I83" s="105" t="s">
        <v>117</v>
      </c>
    </row>
    <row r="84" spans="1:9" x14ac:dyDescent="0.2">
      <c r="A84" s="105" t="s">
        <v>1042</v>
      </c>
      <c r="B84" s="106">
        <v>139.13</v>
      </c>
      <c r="C84" s="105">
        <v>1</v>
      </c>
      <c r="D84" s="105">
        <v>0</v>
      </c>
      <c r="E84" s="105">
        <v>0</v>
      </c>
      <c r="F84" s="107">
        <v>42045</v>
      </c>
      <c r="G84" s="105" t="s">
        <v>47</v>
      </c>
      <c r="H84" s="107">
        <v>42045</v>
      </c>
      <c r="I84" s="105" t="s">
        <v>117</v>
      </c>
    </row>
    <row r="85" spans="1:9" x14ac:dyDescent="0.2">
      <c r="A85" s="105" t="s">
        <v>1043</v>
      </c>
      <c r="B85" s="106">
        <v>66.61</v>
      </c>
      <c r="C85" s="105">
        <v>1</v>
      </c>
      <c r="D85" s="105">
        <v>0</v>
      </c>
      <c r="E85" s="105">
        <v>0</v>
      </c>
      <c r="F85" s="107">
        <v>42045</v>
      </c>
      <c r="G85" s="105" t="s">
        <v>47</v>
      </c>
      <c r="H85" s="107">
        <v>42045</v>
      </c>
      <c r="I85" s="105" t="s">
        <v>117</v>
      </c>
    </row>
    <row r="86" spans="1:9" x14ac:dyDescent="0.2">
      <c r="A86" s="108" t="s">
        <v>533</v>
      </c>
      <c r="B86" s="109">
        <v>128</v>
      </c>
      <c r="C86" s="108">
        <v>0</v>
      </c>
      <c r="D86" s="108">
        <v>1</v>
      </c>
      <c r="E86" s="105">
        <v>0</v>
      </c>
      <c r="F86" s="110">
        <v>42045</v>
      </c>
      <c r="G86" s="105" t="s">
        <v>47</v>
      </c>
      <c r="H86" s="110">
        <v>42045</v>
      </c>
      <c r="I86" t="s">
        <v>96</v>
      </c>
    </row>
    <row r="87" spans="1:9" x14ac:dyDescent="0.2">
      <c r="A87" s="108" t="s">
        <v>96</v>
      </c>
      <c r="B87" s="109">
        <v>21.5</v>
      </c>
      <c r="C87" s="108">
        <v>0</v>
      </c>
      <c r="D87" s="108">
        <v>1</v>
      </c>
      <c r="E87" s="105">
        <v>0</v>
      </c>
      <c r="F87" s="110">
        <v>42045</v>
      </c>
      <c r="G87" s="105" t="s">
        <v>47</v>
      </c>
      <c r="H87" s="110">
        <v>42046</v>
      </c>
      <c r="I87" t="s">
        <v>96</v>
      </c>
    </row>
    <row r="88" spans="1:9" x14ac:dyDescent="0.2">
      <c r="A88" s="108" t="s">
        <v>44</v>
      </c>
      <c r="B88" s="109">
        <v>100</v>
      </c>
      <c r="C88" s="108">
        <v>1</v>
      </c>
      <c r="D88" s="108">
        <v>0</v>
      </c>
      <c r="E88" s="105">
        <v>0</v>
      </c>
      <c r="F88" s="110">
        <v>42045</v>
      </c>
      <c r="G88" s="105" t="s">
        <v>47</v>
      </c>
      <c r="H88" s="110">
        <v>42047</v>
      </c>
      <c r="I88" s="108" t="s">
        <v>60</v>
      </c>
    </row>
    <row r="89" spans="1:9" x14ac:dyDescent="0.2">
      <c r="A89" s="108" t="s">
        <v>96</v>
      </c>
      <c r="B89" s="109">
        <v>10.67</v>
      </c>
      <c r="C89" s="108">
        <v>0</v>
      </c>
      <c r="D89" s="108">
        <v>1</v>
      </c>
      <c r="E89" s="105">
        <v>0</v>
      </c>
      <c r="F89" s="110">
        <v>42045</v>
      </c>
      <c r="G89" s="105" t="s">
        <v>47</v>
      </c>
      <c r="H89" s="110">
        <v>42047</v>
      </c>
      <c r="I89" t="s">
        <v>96</v>
      </c>
    </row>
    <row r="90" spans="1:9" x14ac:dyDescent="0.2">
      <c r="A90" s="108" t="s">
        <v>534</v>
      </c>
      <c r="B90" s="109">
        <v>30</v>
      </c>
      <c r="C90" s="108">
        <v>0</v>
      </c>
      <c r="D90" s="108">
        <v>1</v>
      </c>
      <c r="E90" s="105">
        <v>0</v>
      </c>
      <c r="F90" s="110">
        <v>42045</v>
      </c>
      <c r="G90" s="105" t="s">
        <v>47</v>
      </c>
      <c r="H90" s="110">
        <v>42047</v>
      </c>
      <c r="I90" s="108" t="s">
        <v>344</v>
      </c>
    </row>
    <row r="91" spans="1:9" x14ac:dyDescent="0.2">
      <c r="A91" s="108" t="s">
        <v>535</v>
      </c>
      <c r="B91" s="109">
        <v>89.18</v>
      </c>
      <c r="C91" s="108">
        <v>0</v>
      </c>
      <c r="D91" s="108">
        <v>1</v>
      </c>
      <c r="E91" s="105">
        <v>0</v>
      </c>
      <c r="F91" s="110">
        <v>42045</v>
      </c>
      <c r="G91" s="105" t="s">
        <v>47</v>
      </c>
      <c r="H91" s="110">
        <v>42048</v>
      </c>
      <c r="I91" s="168" t="s">
        <v>50</v>
      </c>
    </row>
    <row r="92" spans="1:9" x14ac:dyDescent="0.2">
      <c r="A92" s="108" t="s">
        <v>96</v>
      </c>
      <c r="B92" s="109">
        <v>18.920000000000002</v>
      </c>
      <c r="C92" s="108">
        <v>0</v>
      </c>
      <c r="D92" s="108">
        <v>1</v>
      </c>
      <c r="E92" s="105">
        <v>0</v>
      </c>
      <c r="F92" s="110">
        <v>42045</v>
      </c>
      <c r="G92" s="105" t="s">
        <v>47</v>
      </c>
      <c r="H92" s="110">
        <v>42048</v>
      </c>
      <c r="I92" t="s">
        <v>96</v>
      </c>
    </row>
    <row r="93" spans="1:9" x14ac:dyDescent="0.2">
      <c r="A93" s="108" t="s">
        <v>43</v>
      </c>
      <c r="B93" s="109">
        <v>30</v>
      </c>
      <c r="C93" s="105">
        <v>1</v>
      </c>
      <c r="D93" s="105">
        <v>0</v>
      </c>
      <c r="E93" s="105">
        <v>0</v>
      </c>
      <c r="F93" s="110">
        <v>42045</v>
      </c>
      <c r="G93" s="105" t="s">
        <v>47</v>
      </c>
      <c r="H93" s="110">
        <v>42048</v>
      </c>
      <c r="I93" s="1" t="s">
        <v>153</v>
      </c>
    </row>
    <row r="94" spans="1:9" x14ac:dyDescent="0.2">
      <c r="A94" s="108" t="s">
        <v>95</v>
      </c>
      <c r="B94" s="109">
        <v>13.9</v>
      </c>
      <c r="C94" s="108">
        <v>0</v>
      </c>
      <c r="D94" s="108">
        <v>1</v>
      </c>
      <c r="E94" s="105">
        <v>0</v>
      </c>
      <c r="F94" s="110">
        <v>42045</v>
      </c>
      <c r="G94" s="105" t="s">
        <v>47</v>
      </c>
      <c r="H94" s="110">
        <v>42048</v>
      </c>
      <c r="I94" s="108" t="s">
        <v>50</v>
      </c>
    </row>
    <row r="95" spans="1:9" x14ac:dyDescent="0.2">
      <c r="A95" s="108" t="s">
        <v>43</v>
      </c>
      <c r="B95" s="109">
        <v>30</v>
      </c>
      <c r="C95" s="105">
        <v>1</v>
      </c>
      <c r="D95" s="105">
        <v>0</v>
      </c>
      <c r="E95" s="105">
        <v>0</v>
      </c>
      <c r="F95" s="110">
        <v>42045</v>
      </c>
      <c r="G95" s="108" t="s">
        <v>49</v>
      </c>
      <c r="H95" s="110">
        <v>42049</v>
      </c>
      <c r="I95" s="1" t="s">
        <v>153</v>
      </c>
    </row>
    <row r="96" spans="1:9" x14ac:dyDescent="0.2">
      <c r="A96" s="108" t="s">
        <v>43</v>
      </c>
      <c r="B96" s="109">
        <v>30</v>
      </c>
      <c r="C96" s="105">
        <v>1</v>
      </c>
      <c r="D96" s="105">
        <v>0</v>
      </c>
      <c r="E96" s="105">
        <v>0</v>
      </c>
      <c r="F96" s="110">
        <v>42045</v>
      </c>
      <c r="G96" s="108" t="s">
        <v>49</v>
      </c>
      <c r="H96" s="110">
        <v>42049</v>
      </c>
      <c r="I96" s="1" t="s">
        <v>153</v>
      </c>
    </row>
    <row r="97" spans="1:9" x14ac:dyDescent="0.2">
      <c r="A97" s="108" t="s">
        <v>537</v>
      </c>
      <c r="B97" s="109">
        <v>20</v>
      </c>
      <c r="C97" s="108">
        <v>0</v>
      </c>
      <c r="D97" s="108">
        <v>1</v>
      </c>
      <c r="E97" s="105">
        <v>0</v>
      </c>
      <c r="F97" s="110">
        <v>42045</v>
      </c>
      <c r="G97" s="108" t="s">
        <v>49</v>
      </c>
      <c r="H97" s="110">
        <v>42049</v>
      </c>
      <c r="I97" t="s">
        <v>96</v>
      </c>
    </row>
    <row r="98" spans="1:9" x14ac:dyDescent="0.2">
      <c r="A98" s="108" t="s">
        <v>96</v>
      </c>
      <c r="B98" s="109">
        <v>14.9</v>
      </c>
      <c r="C98" s="108">
        <v>0</v>
      </c>
      <c r="D98" s="108">
        <v>1</v>
      </c>
      <c r="E98" s="105">
        <v>0</v>
      </c>
      <c r="F98" s="110">
        <v>42045</v>
      </c>
      <c r="G98" s="108" t="s">
        <v>49</v>
      </c>
      <c r="H98" s="110">
        <v>42049</v>
      </c>
      <c r="I98" t="s">
        <v>96</v>
      </c>
    </row>
    <row r="99" spans="1:9" x14ac:dyDescent="0.2">
      <c r="A99" s="108" t="s">
        <v>96</v>
      </c>
      <c r="B99" s="109">
        <v>21.8</v>
      </c>
      <c r="C99" s="108">
        <v>0</v>
      </c>
      <c r="D99" s="108">
        <v>1</v>
      </c>
      <c r="E99" s="105">
        <v>0</v>
      </c>
      <c r="F99" s="110">
        <v>42045</v>
      </c>
      <c r="G99" s="108" t="s">
        <v>49</v>
      </c>
      <c r="H99" s="110">
        <v>42049</v>
      </c>
      <c r="I99" t="s">
        <v>96</v>
      </c>
    </row>
    <row r="100" spans="1:9" x14ac:dyDescent="0.2">
      <c r="A100" s="108" t="s">
        <v>536</v>
      </c>
      <c r="B100" s="109">
        <v>81</v>
      </c>
      <c r="C100" s="108">
        <v>0</v>
      </c>
      <c r="D100" s="108">
        <v>1</v>
      </c>
      <c r="E100" s="105">
        <v>0</v>
      </c>
      <c r="F100" s="110">
        <v>42045</v>
      </c>
      <c r="G100" s="108" t="s">
        <v>49</v>
      </c>
      <c r="H100" s="110">
        <v>42050</v>
      </c>
      <c r="I100" s="1" t="s">
        <v>153</v>
      </c>
    </row>
    <row r="101" spans="1:9" x14ac:dyDescent="0.2">
      <c r="A101" s="108" t="s">
        <v>538</v>
      </c>
      <c r="B101" s="109">
        <v>75.14</v>
      </c>
      <c r="C101" s="108">
        <v>0</v>
      </c>
      <c r="D101" s="108">
        <v>1</v>
      </c>
      <c r="E101" s="108">
        <v>0</v>
      </c>
      <c r="F101" s="110">
        <v>42045</v>
      </c>
      <c r="G101" s="108" t="s">
        <v>49</v>
      </c>
      <c r="H101" s="110">
        <v>42050</v>
      </c>
      <c r="I101" s="108" t="s">
        <v>190</v>
      </c>
    </row>
    <row r="102" spans="1:9" x14ac:dyDescent="0.2">
      <c r="A102" s="108" t="s">
        <v>43</v>
      </c>
      <c r="B102" s="109">
        <v>30</v>
      </c>
      <c r="C102" s="105">
        <v>1</v>
      </c>
      <c r="D102" s="105">
        <v>0</v>
      </c>
      <c r="E102" s="108">
        <v>0</v>
      </c>
      <c r="F102" s="110">
        <v>42045</v>
      </c>
      <c r="G102" s="108" t="s">
        <v>51</v>
      </c>
      <c r="H102" s="110">
        <v>42051</v>
      </c>
      <c r="I102" s="1" t="s">
        <v>153</v>
      </c>
    </row>
    <row r="103" spans="1:9" x14ac:dyDescent="0.2">
      <c r="A103" s="12" t="s">
        <v>21</v>
      </c>
      <c r="B103" s="88">
        <f>SUMIFS(credito!$B$2:$B$107,credito!$F$2:$F$107,F103,credito!$G$2:$G$107,0)</f>
        <v>670</v>
      </c>
      <c r="C103" s="12">
        <v>1</v>
      </c>
      <c r="D103" s="12">
        <v>0</v>
      </c>
      <c r="E103" s="12">
        <v>0</v>
      </c>
      <c r="F103" s="89">
        <v>42045</v>
      </c>
      <c r="G103" s="12" t="s">
        <v>51</v>
      </c>
      <c r="H103" s="89">
        <v>42052</v>
      </c>
      <c r="I103" s="12" t="s">
        <v>336</v>
      </c>
    </row>
    <row r="104" spans="1:9" x14ac:dyDescent="0.2">
      <c r="A104" s="108" t="s">
        <v>43</v>
      </c>
      <c r="B104" s="109">
        <v>30</v>
      </c>
      <c r="C104" s="105">
        <v>1</v>
      </c>
      <c r="D104" s="105">
        <v>0</v>
      </c>
      <c r="E104" s="108">
        <v>0</v>
      </c>
      <c r="F104" s="110">
        <v>42045</v>
      </c>
      <c r="G104" s="108" t="s">
        <v>51</v>
      </c>
      <c r="H104" s="110">
        <v>42052</v>
      </c>
      <c r="I104" s="1" t="s">
        <v>153</v>
      </c>
    </row>
    <row r="105" spans="1:9" x14ac:dyDescent="0.2">
      <c r="A105" s="108" t="s">
        <v>539</v>
      </c>
      <c r="B105" s="109">
        <v>10</v>
      </c>
      <c r="C105" s="108">
        <v>0</v>
      </c>
      <c r="D105" s="108">
        <v>1</v>
      </c>
      <c r="E105" s="108">
        <v>0</v>
      </c>
      <c r="F105" s="110">
        <v>42045</v>
      </c>
      <c r="G105" s="108" t="s">
        <v>51</v>
      </c>
      <c r="H105" s="110">
        <v>42052</v>
      </c>
      <c r="I105" s="108" t="s">
        <v>50</v>
      </c>
    </row>
    <row r="106" spans="1:9" x14ac:dyDescent="0.2">
      <c r="A106" s="108" t="s">
        <v>48</v>
      </c>
      <c r="B106" s="109">
        <v>34</v>
      </c>
      <c r="C106" s="108">
        <v>0</v>
      </c>
      <c r="D106" s="108">
        <v>1</v>
      </c>
      <c r="E106" s="108">
        <v>0</v>
      </c>
      <c r="F106" s="110">
        <v>42045</v>
      </c>
      <c r="G106" s="108" t="s">
        <v>51</v>
      </c>
      <c r="H106" s="110">
        <v>42053</v>
      </c>
      <c r="I106" s="108" t="s">
        <v>48</v>
      </c>
    </row>
    <row r="107" spans="1:9" x14ac:dyDescent="0.2">
      <c r="A107" s="108" t="s">
        <v>48</v>
      </c>
      <c r="B107" s="109">
        <v>40</v>
      </c>
      <c r="C107" s="108">
        <v>0</v>
      </c>
      <c r="D107" s="108">
        <v>1</v>
      </c>
      <c r="E107" s="108">
        <v>0</v>
      </c>
      <c r="F107" s="110">
        <v>42045</v>
      </c>
      <c r="G107" s="108" t="s">
        <v>51</v>
      </c>
      <c r="H107" s="110">
        <v>42053</v>
      </c>
      <c r="I107" s="108" t="s">
        <v>48</v>
      </c>
    </row>
    <row r="108" spans="1:9" x14ac:dyDescent="0.2">
      <c r="A108" s="108" t="s">
        <v>96</v>
      </c>
      <c r="B108" s="109">
        <v>21.3</v>
      </c>
      <c r="C108" s="108">
        <v>0</v>
      </c>
      <c r="D108" s="108">
        <v>1</v>
      </c>
      <c r="E108" s="108">
        <v>0</v>
      </c>
      <c r="F108" s="110">
        <v>42045</v>
      </c>
      <c r="G108" s="108" t="s">
        <v>51</v>
      </c>
      <c r="H108" s="110">
        <v>42054</v>
      </c>
      <c r="I108" t="s">
        <v>96</v>
      </c>
    </row>
    <row r="109" spans="1:9" x14ac:dyDescent="0.2">
      <c r="A109" s="108" t="s">
        <v>540</v>
      </c>
      <c r="B109" s="109">
        <v>6</v>
      </c>
      <c r="C109" s="108">
        <v>0</v>
      </c>
      <c r="D109" s="108">
        <v>1</v>
      </c>
      <c r="E109" s="108">
        <v>0</v>
      </c>
      <c r="F109" s="110">
        <v>42045</v>
      </c>
      <c r="G109" s="108" t="s">
        <v>51</v>
      </c>
      <c r="H109" s="110">
        <v>42054</v>
      </c>
      <c r="I109" s="108" t="s">
        <v>50</v>
      </c>
    </row>
    <row r="110" spans="1:9" x14ac:dyDescent="0.2">
      <c r="A110" s="108" t="s">
        <v>541</v>
      </c>
      <c r="B110" s="109">
        <v>19.739999999999998</v>
      </c>
      <c r="C110" s="108">
        <v>0</v>
      </c>
      <c r="D110" s="108">
        <v>1</v>
      </c>
      <c r="E110" s="108">
        <v>0</v>
      </c>
      <c r="F110" s="110">
        <v>42045</v>
      </c>
      <c r="G110" s="108" t="s">
        <v>51</v>
      </c>
      <c r="H110" s="110">
        <v>42055</v>
      </c>
      <c r="I110" s="108" t="s">
        <v>190</v>
      </c>
    </row>
    <row r="111" spans="1:9" x14ac:dyDescent="0.2">
      <c r="A111" s="108" t="s">
        <v>43</v>
      </c>
      <c r="B111" s="109">
        <v>30</v>
      </c>
      <c r="C111" s="105">
        <v>1</v>
      </c>
      <c r="D111" s="105">
        <v>0</v>
      </c>
      <c r="E111" s="108">
        <v>0</v>
      </c>
      <c r="F111" s="110">
        <v>42045</v>
      </c>
      <c r="G111" s="108" t="s">
        <v>51</v>
      </c>
      <c r="H111" s="110">
        <v>42055</v>
      </c>
      <c r="I111" s="1" t="s">
        <v>153</v>
      </c>
    </row>
    <row r="112" spans="1:9" x14ac:dyDescent="0.2">
      <c r="A112" s="108" t="s">
        <v>96</v>
      </c>
      <c r="B112" s="109">
        <v>22</v>
      </c>
      <c r="C112" s="108">
        <v>0</v>
      </c>
      <c r="D112" s="108">
        <v>1</v>
      </c>
      <c r="E112" s="108">
        <v>0</v>
      </c>
      <c r="F112" s="110">
        <v>42045</v>
      </c>
      <c r="G112" s="108" t="s">
        <v>51</v>
      </c>
      <c r="H112" s="110">
        <v>42055</v>
      </c>
      <c r="I112" t="s">
        <v>96</v>
      </c>
    </row>
    <row r="113" spans="1:9" x14ac:dyDescent="0.2">
      <c r="A113" s="108" t="s">
        <v>46</v>
      </c>
      <c r="B113" s="109">
        <v>18</v>
      </c>
      <c r="C113" s="108">
        <v>0</v>
      </c>
      <c r="D113" s="108">
        <v>1</v>
      </c>
      <c r="E113" s="108">
        <v>0</v>
      </c>
      <c r="F113" s="110">
        <v>42045</v>
      </c>
      <c r="G113" s="108" t="s">
        <v>51</v>
      </c>
      <c r="H113" s="110">
        <v>42055</v>
      </c>
      <c r="I113" s="168" t="s">
        <v>46</v>
      </c>
    </row>
    <row r="114" spans="1:9" x14ac:dyDescent="0.2">
      <c r="A114" s="108" t="s">
        <v>53</v>
      </c>
      <c r="B114" s="109">
        <v>21.4</v>
      </c>
      <c r="C114" s="108">
        <v>0</v>
      </c>
      <c r="D114" s="108">
        <v>1</v>
      </c>
      <c r="E114" s="108">
        <v>0</v>
      </c>
      <c r="F114" s="110">
        <v>42045</v>
      </c>
      <c r="G114" s="108" t="s">
        <v>49</v>
      </c>
      <c r="H114" s="110">
        <v>42056</v>
      </c>
      <c r="I114" s="108" t="s">
        <v>50</v>
      </c>
    </row>
    <row r="115" spans="1:9" x14ac:dyDescent="0.2">
      <c r="A115" s="108" t="s">
        <v>542</v>
      </c>
      <c r="B115" s="109">
        <v>10</v>
      </c>
      <c r="C115" s="108">
        <v>0</v>
      </c>
      <c r="D115" s="108">
        <v>1</v>
      </c>
      <c r="E115" s="108">
        <v>0</v>
      </c>
      <c r="F115" s="110">
        <v>42045</v>
      </c>
      <c r="G115" s="108" t="s">
        <v>49</v>
      </c>
      <c r="H115" s="110">
        <v>42056</v>
      </c>
      <c r="I115" s="108" t="s">
        <v>50</v>
      </c>
    </row>
    <row r="116" spans="1:9" x14ac:dyDescent="0.2">
      <c r="A116" s="108" t="s">
        <v>48</v>
      </c>
      <c r="B116" s="109">
        <v>20</v>
      </c>
      <c r="C116" s="108">
        <v>0</v>
      </c>
      <c r="D116" s="108">
        <v>1</v>
      </c>
      <c r="E116" s="108">
        <v>0</v>
      </c>
      <c r="F116" s="110">
        <v>42045</v>
      </c>
      <c r="G116" s="108" t="s">
        <v>49</v>
      </c>
      <c r="H116" s="110">
        <v>42056</v>
      </c>
      <c r="I116" s="108" t="s">
        <v>48</v>
      </c>
    </row>
    <row r="117" spans="1:9" x14ac:dyDescent="0.2">
      <c r="A117" s="108" t="s">
        <v>43</v>
      </c>
      <c r="B117" s="109">
        <v>30</v>
      </c>
      <c r="C117" s="108">
        <v>1</v>
      </c>
      <c r="D117" s="108">
        <v>0</v>
      </c>
      <c r="E117" s="108">
        <v>0</v>
      </c>
      <c r="F117" s="110">
        <v>42045</v>
      </c>
      <c r="G117" s="108" t="s">
        <v>49</v>
      </c>
      <c r="H117" s="110">
        <v>42057</v>
      </c>
      <c r="I117" s="1" t="s">
        <v>153</v>
      </c>
    </row>
    <row r="118" spans="1:9" x14ac:dyDescent="0.2">
      <c r="A118" s="108" t="s">
        <v>324</v>
      </c>
      <c r="B118" s="109">
        <v>55.5</v>
      </c>
      <c r="C118" s="108">
        <v>0</v>
      </c>
      <c r="D118" s="108">
        <v>1</v>
      </c>
      <c r="E118" s="108">
        <v>0</v>
      </c>
      <c r="F118" s="110">
        <v>42045</v>
      </c>
      <c r="G118" s="108" t="s">
        <v>49</v>
      </c>
      <c r="H118" s="110">
        <v>42057</v>
      </c>
      <c r="I118" s="1" t="s">
        <v>153</v>
      </c>
    </row>
    <row r="119" spans="1:9" x14ac:dyDescent="0.2">
      <c r="A119" s="108" t="s">
        <v>578</v>
      </c>
      <c r="B119" s="109">
        <v>12</v>
      </c>
      <c r="C119" s="108">
        <v>0</v>
      </c>
      <c r="D119" s="108">
        <v>1</v>
      </c>
      <c r="E119" s="108">
        <v>0</v>
      </c>
      <c r="F119" s="110">
        <v>42045</v>
      </c>
      <c r="G119" s="108" t="s">
        <v>54</v>
      </c>
      <c r="H119" s="110">
        <v>42058</v>
      </c>
      <c r="I119" s="108" t="s">
        <v>50</v>
      </c>
    </row>
    <row r="120" spans="1:9" x14ac:dyDescent="0.2">
      <c r="A120" s="108" t="s">
        <v>577</v>
      </c>
      <c r="B120" s="109">
        <v>5</v>
      </c>
      <c r="C120" s="108">
        <v>0</v>
      </c>
      <c r="D120" s="108">
        <v>1</v>
      </c>
      <c r="E120" s="108">
        <v>0</v>
      </c>
      <c r="F120" s="110">
        <v>42045</v>
      </c>
      <c r="G120" s="108" t="s">
        <v>54</v>
      </c>
      <c r="H120" s="110">
        <v>42059</v>
      </c>
      <c r="I120" s="108" t="s">
        <v>50</v>
      </c>
    </row>
    <row r="121" spans="1:9" x14ac:dyDescent="0.2">
      <c r="A121" s="108" t="s">
        <v>96</v>
      </c>
      <c r="B121" s="109">
        <v>20.13</v>
      </c>
      <c r="C121" s="108">
        <v>0</v>
      </c>
      <c r="D121" s="108">
        <v>1</v>
      </c>
      <c r="E121" s="108">
        <v>0</v>
      </c>
      <c r="F121" s="110">
        <v>42045</v>
      </c>
      <c r="G121" s="108" t="s">
        <v>54</v>
      </c>
      <c r="H121" s="110">
        <v>42059</v>
      </c>
      <c r="I121" t="s">
        <v>96</v>
      </c>
    </row>
    <row r="122" spans="1:9" x14ac:dyDescent="0.2">
      <c r="A122" s="108" t="s">
        <v>96</v>
      </c>
      <c r="B122" s="109">
        <v>29.58</v>
      </c>
      <c r="C122" s="108">
        <v>0</v>
      </c>
      <c r="D122" s="108">
        <v>1</v>
      </c>
      <c r="E122" s="108">
        <v>0</v>
      </c>
      <c r="F122" s="110">
        <v>42045</v>
      </c>
      <c r="G122" s="108" t="s">
        <v>54</v>
      </c>
      <c r="H122" s="110">
        <v>42060</v>
      </c>
      <c r="I122" t="s">
        <v>96</v>
      </c>
    </row>
    <row r="123" spans="1:9" x14ac:dyDescent="0.2">
      <c r="A123" s="108" t="s">
        <v>96</v>
      </c>
      <c r="B123" s="109">
        <v>24.9</v>
      </c>
      <c r="C123" s="108">
        <v>0</v>
      </c>
      <c r="D123" s="108">
        <v>1</v>
      </c>
      <c r="E123" s="108">
        <v>0</v>
      </c>
      <c r="F123" s="110">
        <v>42045</v>
      </c>
      <c r="G123" s="108" t="s">
        <v>54</v>
      </c>
      <c r="H123" s="110">
        <v>42061</v>
      </c>
      <c r="I123" t="s">
        <v>96</v>
      </c>
    </row>
    <row r="124" spans="1:9" x14ac:dyDescent="0.2">
      <c r="A124" s="108" t="s">
        <v>581</v>
      </c>
      <c r="B124" s="109">
        <v>88.02</v>
      </c>
      <c r="C124" s="108">
        <v>0</v>
      </c>
      <c r="D124" s="108">
        <v>1</v>
      </c>
      <c r="E124" s="108">
        <v>0</v>
      </c>
      <c r="F124" s="110">
        <v>42045</v>
      </c>
      <c r="G124" s="108" t="s">
        <v>54</v>
      </c>
      <c r="H124" s="110">
        <v>42061</v>
      </c>
      <c r="I124" s="168" t="s">
        <v>50</v>
      </c>
    </row>
    <row r="125" spans="1:9" x14ac:dyDescent="0.2">
      <c r="A125" s="108" t="s">
        <v>43</v>
      </c>
      <c r="B125" s="109">
        <v>30</v>
      </c>
      <c r="C125" s="108">
        <v>1</v>
      </c>
      <c r="D125" s="108">
        <v>0</v>
      </c>
      <c r="E125" s="108">
        <v>0</v>
      </c>
      <c r="F125" s="110">
        <v>42045</v>
      </c>
      <c r="G125" s="108" t="s">
        <v>54</v>
      </c>
      <c r="H125" s="110">
        <v>42061</v>
      </c>
      <c r="I125" s="1" t="s">
        <v>153</v>
      </c>
    </row>
    <row r="126" spans="1:9" x14ac:dyDescent="0.2">
      <c r="A126" s="108" t="s">
        <v>96</v>
      </c>
      <c r="B126" s="109">
        <v>43.45</v>
      </c>
      <c r="C126" s="108">
        <v>0</v>
      </c>
      <c r="D126" s="108">
        <v>1</v>
      </c>
      <c r="E126" s="108">
        <v>0</v>
      </c>
      <c r="F126" s="110">
        <v>42045</v>
      </c>
      <c r="G126" s="108" t="s">
        <v>54</v>
      </c>
      <c r="H126" s="110">
        <v>42062</v>
      </c>
      <c r="I126" t="s">
        <v>96</v>
      </c>
    </row>
    <row r="127" spans="1:9" x14ac:dyDescent="0.2">
      <c r="A127" s="108" t="s">
        <v>579</v>
      </c>
      <c r="B127" s="109">
        <v>7</v>
      </c>
      <c r="C127" s="108">
        <v>0</v>
      </c>
      <c r="D127" s="108">
        <v>1</v>
      </c>
      <c r="E127" s="108">
        <v>0</v>
      </c>
      <c r="F127" s="110">
        <v>42045</v>
      </c>
      <c r="G127" s="108" t="s">
        <v>54</v>
      </c>
      <c r="H127" s="110">
        <v>42062</v>
      </c>
      <c r="I127" s="108" t="s">
        <v>50</v>
      </c>
    </row>
    <row r="128" spans="1:9" x14ac:dyDescent="0.2">
      <c r="A128" s="108" t="s">
        <v>44</v>
      </c>
      <c r="B128" s="109">
        <v>100</v>
      </c>
      <c r="C128" s="108">
        <v>1</v>
      </c>
      <c r="D128" s="108">
        <v>0</v>
      </c>
      <c r="E128" s="108">
        <v>0</v>
      </c>
      <c r="F128" s="110">
        <v>42045</v>
      </c>
      <c r="G128" s="108" t="s">
        <v>54</v>
      </c>
      <c r="H128" s="110">
        <v>42062</v>
      </c>
      <c r="I128" s="108" t="s">
        <v>60</v>
      </c>
    </row>
    <row r="129" spans="1:9" x14ac:dyDescent="0.2">
      <c r="A129" s="108" t="s">
        <v>579</v>
      </c>
      <c r="B129" s="109">
        <v>6.5</v>
      </c>
      <c r="C129" s="108">
        <v>0</v>
      </c>
      <c r="D129" s="108">
        <v>1</v>
      </c>
      <c r="E129" s="108">
        <v>0</v>
      </c>
      <c r="F129" s="110">
        <v>42045</v>
      </c>
      <c r="G129" s="108" t="s">
        <v>54</v>
      </c>
      <c r="H129" s="110">
        <v>42062</v>
      </c>
      <c r="I129" s="108" t="s">
        <v>50</v>
      </c>
    </row>
    <row r="130" spans="1:9" x14ac:dyDescent="0.2">
      <c r="A130" s="108" t="s">
        <v>580</v>
      </c>
      <c r="B130" s="109">
        <v>92</v>
      </c>
      <c r="C130" s="108">
        <v>0</v>
      </c>
      <c r="D130" s="108">
        <v>1</v>
      </c>
      <c r="E130" s="108">
        <v>0</v>
      </c>
      <c r="F130" s="110">
        <v>42045</v>
      </c>
      <c r="G130" s="108" t="s">
        <v>49</v>
      </c>
      <c r="H130" s="110">
        <v>42063</v>
      </c>
      <c r="I130" t="s">
        <v>96</v>
      </c>
    </row>
    <row r="131" spans="1:9" x14ac:dyDescent="0.2">
      <c r="A131" s="108" t="s">
        <v>43</v>
      </c>
      <c r="B131" s="109">
        <v>30</v>
      </c>
      <c r="C131" s="108">
        <v>1</v>
      </c>
      <c r="D131" s="108">
        <v>0</v>
      </c>
      <c r="E131" s="108">
        <v>0</v>
      </c>
      <c r="F131" s="110">
        <v>42045</v>
      </c>
      <c r="G131" s="108" t="s">
        <v>49</v>
      </c>
      <c r="H131" s="110">
        <v>42063</v>
      </c>
      <c r="I131" s="1" t="s">
        <v>153</v>
      </c>
    </row>
    <row r="132" spans="1:9" x14ac:dyDescent="0.2">
      <c r="A132" s="108" t="s">
        <v>96</v>
      </c>
      <c r="B132" s="109">
        <v>18</v>
      </c>
      <c r="C132" s="108">
        <v>0</v>
      </c>
      <c r="D132" s="108">
        <v>1</v>
      </c>
      <c r="E132" s="108">
        <v>0</v>
      </c>
      <c r="F132" s="110">
        <v>42045</v>
      </c>
      <c r="G132" s="108" t="s">
        <v>55</v>
      </c>
      <c r="H132" s="110">
        <v>42065</v>
      </c>
      <c r="I132" t="s">
        <v>96</v>
      </c>
    </row>
    <row r="133" spans="1:9" x14ac:dyDescent="0.2">
      <c r="A133" s="108" t="s">
        <v>585</v>
      </c>
      <c r="B133" s="109">
        <v>21.7</v>
      </c>
      <c r="C133" s="108">
        <v>0</v>
      </c>
      <c r="D133" s="108">
        <v>1</v>
      </c>
      <c r="E133" s="108">
        <v>0</v>
      </c>
      <c r="F133" s="110">
        <v>42045</v>
      </c>
      <c r="G133" s="108" t="s">
        <v>55</v>
      </c>
      <c r="H133" s="110">
        <v>42065</v>
      </c>
      <c r="I133" s="108" t="s">
        <v>190</v>
      </c>
    </row>
    <row r="134" spans="1:9" x14ac:dyDescent="0.2">
      <c r="A134" s="108" t="s">
        <v>96</v>
      </c>
      <c r="B134" s="109">
        <v>21.9</v>
      </c>
      <c r="C134" s="108">
        <v>0</v>
      </c>
      <c r="D134" s="108">
        <v>1</v>
      </c>
      <c r="E134" s="108">
        <v>0</v>
      </c>
      <c r="F134" s="110">
        <v>42045</v>
      </c>
      <c r="G134" s="108" t="s">
        <v>55</v>
      </c>
      <c r="H134" s="110">
        <v>42066</v>
      </c>
      <c r="I134" t="s">
        <v>96</v>
      </c>
    </row>
    <row r="135" spans="1:9" x14ac:dyDescent="0.2">
      <c r="A135" s="108" t="s">
        <v>583</v>
      </c>
      <c r="B135" s="109">
        <v>13.5</v>
      </c>
      <c r="C135" s="108">
        <v>0</v>
      </c>
      <c r="D135" s="108">
        <v>1</v>
      </c>
      <c r="E135" s="108">
        <v>0</v>
      </c>
      <c r="F135" s="110">
        <v>42045</v>
      </c>
      <c r="G135" s="108" t="s">
        <v>55</v>
      </c>
      <c r="H135" s="110">
        <v>42066</v>
      </c>
      <c r="I135" s="108" t="s">
        <v>50</v>
      </c>
    </row>
    <row r="136" spans="1:9" x14ac:dyDescent="0.2">
      <c r="A136" s="105" t="s">
        <v>39</v>
      </c>
      <c r="B136" s="106">
        <v>45</v>
      </c>
      <c r="C136" s="105">
        <v>1</v>
      </c>
      <c r="D136" s="105">
        <v>0</v>
      </c>
      <c r="E136" s="105">
        <v>0</v>
      </c>
      <c r="F136" s="107">
        <v>42045</v>
      </c>
      <c r="G136" s="108" t="s">
        <v>55</v>
      </c>
      <c r="H136" s="107">
        <v>42067</v>
      </c>
      <c r="I136" s="105" t="s">
        <v>345</v>
      </c>
    </row>
    <row r="137" spans="1:9" x14ac:dyDescent="0.2">
      <c r="A137" s="108" t="s">
        <v>96</v>
      </c>
      <c r="B137" s="109">
        <v>19</v>
      </c>
      <c r="C137" s="108">
        <v>0</v>
      </c>
      <c r="D137" s="108">
        <v>1</v>
      </c>
      <c r="E137" s="108">
        <v>0</v>
      </c>
      <c r="F137" s="110">
        <v>42045</v>
      </c>
      <c r="G137" s="108" t="s">
        <v>55</v>
      </c>
      <c r="H137" s="110">
        <v>42067</v>
      </c>
      <c r="I137" t="s">
        <v>96</v>
      </c>
    </row>
    <row r="138" spans="1:9" x14ac:dyDescent="0.2">
      <c r="A138" s="108" t="s">
        <v>584</v>
      </c>
      <c r="B138" s="109">
        <v>39.520000000000003</v>
      </c>
      <c r="C138" s="108">
        <v>0</v>
      </c>
      <c r="D138" s="108">
        <v>1</v>
      </c>
      <c r="E138" s="108">
        <v>0</v>
      </c>
      <c r="F138" s="110">
        <v>42045</v>
      </c>
      <c r="G138" s="108" t="s">
        <v>55</v>
      </c>
      <c r="H138" s="110">
        <v>42067</v>
      </c>
      <c r="I138" s="108" t="s">
        <v>52</v>
      </c>
    </row>
    <row r="139" spans="1:9" x14ac:dyDescent="0.2">
      <c r="A139" s="108" t="s">
        <v>374</v>
      </c>
      <c r="B139" s="109">
        <v>2.5</v>
      </c>
      <c r="C139" s="108">
        <v>0</v>
      </c>
      <c r="D139" s="108">
        <v>1</v>
      </c>
      <c r="E139" s="108">
        <v>0</v>
      </c>
      <c r="F139" s="110">
        <v>42045</v>
      </c>
      <c r="G139" s="108" t="s">
        <v>55</v>
      </c>
      <c r="H139" s="110">
        <v>42067</v>
      </c>
      <c r="I139" s="108" t="s">
        <v>50</v>
      </c>
    </row>
    <row r="140" spans="1:9" x14ac:dyDescent="0.2">
      <c r="A140" s="108" t="s">
        <v>183</v>
      </c>
      <c r="B140" s="109">
        <v>9</v>
      </c>
      <c r="C140" s="108">
        <v>0</v>
      </c>
      <c r="D140" s="108">
        <v>1</v>
      </c>
      <c r="E140" s="108">
        <v>0</v>
      </c>
      <c r="F140" s="110">
        <v>42045</v>
      </c>
      <c r="G140" s="108" t="s">
        <v>55</v>
      </c>
      <c r="H140" s="110">
        <v>42067</v>
      </c>
      <c r="I140" s="108" t="s">
        <v>50</v>
      </c>
    </row>
    <row r="141" spans="1:9" x14ac:dyDescent="0.2">
      <c r="A141" s="108" t="s">
        <v>107</v>
      </c>
      <c r="B141" s="109">
        <v>26.38</v>
      </c>
      <c r="C141" s="108">
        <v>0</v>
      </c>
      <c r="D141" s="108">
        <v>1</v>
      </c>
      <c r="E141" s="108">
        <v>0</v>
      </c>
      <c r="F141" s="110">
        <v>42045</v>
      </c>
      <c r="G141" s="108" t="s">
        <v>55</v>
      </c>
      <c r="H141" s="110">
        <v>42068</v>
      </c>
      <c r="I141" s="159" t="s">
        <v>107</v>
      </c>
    </row>
    <row r="142" spans="1:9" x14ac:dyDescent="0.2">
      <c r="A142" s="108" t="s">
        <v>96</v>
      </c>
      <c r="B142" s="109">
        <v>16.61</v>
      </c>
      <c r="C142" s="108">
        <v>0</v>
      </c>
      <c r="D142" s="108">
        <v>1</v>
      </c>
      <c r="E142" s="108">
        <v>0</v>
      </c>
      <c r="F142" s="110">
        <v>42045</v>
      </c>
      <c r="G142" s="108" t="s">
        <v>55</v>
      </c>
      <c r="H142" s="110">
        <v>42068</v>
      </c>
      <c r="I142" t="s">
        <v>96</v>
      </c>
    </row>
    <row r="143" spans="1:9" x14ac:dyDescent="0.2">
      <c r="A143" s="108" t="s">
        <v>96</v>
      </c>
      <c r="B143" s="109">
        <v>22.5</v>
      </c>
      <c r="C143" s="108">
        <v>0</v>
      </c>
      <c r="D143" s="108">
        <v>1</v>
      </c>
      <c r="E143" s="108">
        <v>0</v>
      </c>
      <c r="F143" s="110">
        <v>42045</v>
      </c>
      <c r="G143" s="108" t="s">
        <v>55</v>
      </c>
      <c r="H143" s="110">
        <v>42069</v>
      </c>
      <c r="I143" t="s">
        <v>96</v>
      </c>
    </row>
    <row r="144" spans="1:9" x14ac:dyDescent="0.2">
      <c r="A144" s="108" t="s">
        <v>374</v>
      </c>
      <c r="B144" s="109">
        <v>3.9</v>
      </c>
      <c r="C144" s="108">
        <v>0</v>
      </c>
      <c r="D144" s="108">
        <v>1</v>
      </c>
      <c r="E144" s="108">
        <v>0</v>
      </c>
      <c r="F144" s="110">
        <v>42045</v>
      </c>
      <c r="G144" s="108" t="s">
        <v>55</v>
      </c>
      <c r="H144" s="110">
        <v>42069</v>
      </c>
      <c r="I144" s="108" t="s">
        <v>50</v>
      </c>
    </row>
    <row r="145" spans="1:9" x14ac:dyDescent="0.2">
      <c r="A145" s="108" t="s">
        <v>588</v>
      </c>
      <c r="B145" s="109">
        <v>7.9</v>
      </c>
      <c r="C145" s="108">
        <v>0</v>
      </c>
      <c r="D145" s="108">
        <v>1</v>
      </c>
      <c r="E145" s="108">
        <v>0</v>
      </c>
      <c r="F145" s="110">
        <v>42045</v>
      </c>
      <c r="G145" s="108" t="s">
        <v>49</v>
      </c>
      <c r="H145" s="110">
        <v>42070</v>
      </c>
      <c r="I145" s="108" t="s">
        <v>344</v>
      </c>
    </row>
    <row r="146" spans="1:9" x14ac:dyDescent="0.2">
      <c r="A146" s="108" t="s">
        <v>586</v>
      </c>
      <c r="B146" s="109">
        <v>5.98</v>
      </c>
      <c r="C146" s="108">
        <v>0</v>
      </c>
      <c r="D146" s="108">
        <v>1</v>
      </c>
      <c r="E146" s="108">
        <v>0</v>
      </c>
      <c r="F146" s="110">
        <v>42045</v>
      </c>
      <c r="G146" s="108" t="s">
        <v>49</v>
      </c>
      <c r="H146" s="110">
        <v>42070</v>
      </c>
      <c r="I146" s="108" t="s">
        <v>50</v>
      </c>
    </row>
    <row r="147" spans="1:9" x14ac:dyDescent="0.2">
      <c r="A147" s="108" t="s">
        <v>587</v>
      </c>
      <c r="B147" s="109">
        <v>15.12</v>
      </c>
      <c r="C147" s="108">
        <v>0</v>
      </c>
      <c r="D147" s="108">
        <v>1</v>
      </c>
      <c r="E147" s="108">
        <v>0</v>
      </c>
      <c r="F147" s="110">
        <v>42045</v>
      </c>
      <c r="G147" s="108" t="s">
        <v>49</v>
      </c>
      <c r="H147" s="110">
        <v>42070</v>
      </c>
      <c r="I147" s="108" t="s">
        <v>52</v>
      </c>
    </row>
    <row r="148" spans="1:9" x14ac:dyDescent="0.2">
      <c r="A148" s="108" t="s">
        <v>48</v>
      </c>
      <c r="B148" s="109">
        <v>25</v>
      </c>
      <c r="C148" s="108">
        <v>0</v>
      </c>
      <c r="D148" s="108">
        <v>1</v>
      </c>
      <c r="E148" s="108">
        <v>0</v>
      </c>
      <c r="F148" s="110">
        <v>42045</v>
      </c>
      <c r="G148" s="108" t="s">
        <v>49</v>
      </c>
      <c r="H148" s="110">
        <v>42070</v>
      </c>
      <c r="I148" s="108" t="s">
        <v>48</v>
      </c>
    </row>
    <row r="149" spans="1:9" x14ac:dyDescent="0.2">
      <c r="A149" s="108" t="s">
        <v>116</v>
      </c>
      <c r="B149" s="109">
        <v>15</v>
      </c>
      <c r="C149" s="108">
        <v>0</v>
      </c>
      <c r="D149" s="108">
        <v>1</v>
      </c>
      <c r="E149" s="108">
        <v>0</v>
      </c>
      <c r="F149" s="110">
        <v>42045</v>
      </c>
      <c r="G149" s="108" t="s">
        <v>49</v>
      </c>
      <c r="H149" s="110">
        <v>42070</v>
      </c>
      <c r="I149" s="108" t="s">
        <v>344</v>
      </c>
    </row>
    <row r="150" spans="1:9" x14ac:dyDescent="0.2">
      <c r="A150" s="108" t="s">
        <v>616</v>
      </c>
      <c r="B150" s="109">
        <v>0</v>
      </c>
      <c r="C150" s="108">
        <v>0</v>
      </c>
      <c r="D150" s="108">
        <v>1</v>
      </c>
      <c r="E150" s="108">
        <v>0</v>
      </c>
      <c r="F150" s="110">
        <v>42045</v>
      </c>
      <c r="G150" s="108" t="s">
        <v>49</v>
      </c>
      <c r="H150" s="110">
        <v>42071</v>
      </c>
      <c r="I150" s="159" t="s">
        <v>1182</v>
      </c>
    </row>
    <row r="151" spans="1:9" x14ac:dyDescent="0.2">
      <c r="A151" s="108" t="s">
        <v>589</v>
      </c>
      <c r="B151" s="109">
        <v>22.07</v>
      </c>
      <c r="C151" s="108">
        <v>0</v>
      </c>
      <c r="D151" s="108">
        <v>1</v>
      </c>
      <c r="E151" s="108">
        <v>0</v>
      </c>
      <c r="F151" s="110">
        <v>42045</v>
      </c>
      <c r="G151" s="108" t="s">
        <v>49</v>
      </c>
      <c r="H151" s="110">
        <v>42071</v>
      </c>
      <c r="I151" s="108" t="s">
        <v>190</v>
      </c>
    </row>
    <row r="152" spans="1:9" x14ac:dyDescent="0.2">
      <c r="A152" s="108" t="s">
        <v>46</v>
      </c>
      <c r="B152" s="109">
        <v>35</v>
      </c>
      <c r="C152" s="108">
        <v>0</v>
      </c>
      <c r="D152" s="108">
        <v>1</v>
      </c>
      <c r="E152" s="108">
        <v>0</v>
      </c>
      <c r="F152" s="110">
        <v>42045</v>
      </c>
      <c r="G152" s="108" t="s">
        <v>49</v>
      </c>
      <c r="H152" s="110">
        <v>42071</v>
      </c>
      <c r="I152" s="168" t="s">
        <v>46</v>
      </c>
    </row>
    <row r="153" spans="1:9" x14ac:dyDescent="0.2">
      <c r="A153" s="105" t="s">
        <v>1037</v>
      </c>
      <c r="B153" s="106">
        <v>48.1</v>
      </c>
      <c r="C153" s="105">
        <v>1</v>
      </c>
      <c r="D153" s="105">
        <v>0</v>
      </c>
      <c r="E153" s="105">
        <v>0</v>
      </c>
      <c r="F153" s="107">
        <v>42045</v>
      </c>
      <c r="G153" s="105" t="s">
        <v>47</v>
      </c>
      <c r="H153" s="107">
        <v>42045</v>
      </c>
      <c r="I153" s="105" t="s">
        <v>1045</v>
      </c>
    </row>
    <row r="154" spans="1:9" x14ac:dyDescent="0.2">
      <c r="A154" s="105" t="s">
        <v>1038</v>
      </c>
      <c r="B154" s="106">
        <v>222.01</v>
      </c>
      <c r="C154" s="105">
        <v>1</v>
      </c>
      <c r="D154" s="105">
        <v>0</v>
      </c>
      <c r="E154" s="105">
        <v>0</v>
      </c>
      <c r="F154" s="107">
        <v>42045</v>
      </c>
      <c r="G154" s="105" t="s">
        <v>47</v>
      </c>
      <c r="H154" s="107">
        <v>42045</v>
      </c>
      <c r="I154" s="105" t="s">
        <v>1045</v>
      </c>
    </row>
    <row r="155" spans="1:9" x14ac:dyDescent="0.2">
      <c r="A155" s="105" t="s">
        <v>1039</v>
      </c>
      <c r="B155" s="106">
        <v>111.01</v>
      </c>
      <c r="C155" s="105">
        <v>1</v>
      </c>
      <c r="D155" s="105">
        <v>0</v>
      </c>
      <c r="E155" s="105">
        <v>0</v>
      </c>
      <c r="F155" s="107">
        <v>42045</v>
      </c>
      <c r="G155" s="105" t="s">
        <v>47</v>
      </c>
      <c r="H155" s="107">
        <v>42045</v>
      </c>
      <c r="I155" s="105" t="s">
        <v>1045</v>
      </c>
    </row>
    <row r="156" spans="1:9" x14ac:dyDescent="0.2">
      <c r="A156" s="105" t="s">
        <v>1040</v>
      </c>
      <c r="B156" s="106">
        <v>74</v>
      </c>
      <c r="C156" s="105">
        <v>1</v>
      </c>
      <c r="D156" s="105">
        <v>0</v>
      </c>
      <c r="E156" s="105">
        <v>0</v>
      </c>
      <c r="F156" s="107">
        <v>42045</v>
      </c>
      <c r="G156" s="105" t="s">
        <v>47</v>
      </c>
      <c r="H156" s="107">
        <v>42045</v>
      </c>
      <c r="I156" s="105" t="s">
        <v>1045</v>
      </c>
    </row>
    <row r="157" spans="1:9" x14ac:dyDescent="0.2">
      <c r="A157" s="27" t="s">
        <v>40</v>
      </c>
      <c r="B157" s="83">
        <v>4.99</v>
      </c>
      <c r="C157" s="27">
        <v>1</v>
      </c>
      <c r="D157" s="27">
        <v>0</v>
      </c>
      <c r="E157" s="27">
        <v>0</v>
      </c>
      <c r="F157" s="82">
        <v>42073</v>
      </c>
      <c r="G157" s="27" t="s">
        <v>47</v>
      </c>
      <c r="H157" s="82">
        <v>42073</v>
      </c>
      <c r="I157" s="27" t="s">
        <v>345</v>
      </c>
    </row>
    <row r="158" spans="1:9" x14ac:dyDescent="0.2">
      <c r="A158" t="s">
        <v>2</v>
      </c>
      <c r="B158" s="31">
        <v>50</v>
      </c>
      <c r="C158">
        <v>1</v>
      </c>
      <c r="D158">
        <v>0</v>
      </c>
      <c r="E158">
        <v>0</v>
      </c>
      <c r="F158" s="85">
        <v>42073</v>
      </c>
      <c r="G158" t="s">
        <v>47</v>
      </c>
      <c r="H158" s="71">
        <v>42073</v>
      </c>
      <c r="I158" s="105" t="s">
        <v>1183</v>
      </c>
    </row>
    <row r="159" spans="1:9" x14ac:dyDescent="0.2">
      <c r="A159" t="s">
        <v>38</v>
      </c>
      <c r="B159" s="31">
        <v>57</v>
      </c>
      <c r="C159">
        <v>1</v>
      </c>
      <c r="D159">
        <v>0</v>
      </c>
      <c r="E159">
        <v>0</v>
      </c>
      <c r="F159" s="85">
        <v>42073</v>
      </c>
      <c r="G159" t="s">
        <v>47</v>
      </c>
      <c r="H159" s="71">
        <v>42073</v>
      </c>
      <c r="I159" t="s">
        <v>345</v>
      </c>
    </row>
    <row r="160" spans="1:9" x14ac:dyDescent="0.2">
      <c r="A160" t="s">
        <v>982</v>
      </c>
      <c r="B160" s="31">
        <v>40.78</v>
      </c>
      <c r="C160">
        <v>1</v>
      </c>
      <c r="D160">
        <v>0</v>
      </c>
      <c r="E160">
        <v>0</v>
      </c>
      <c r="F160" s="85">
        <v>42073</v>
      </c>
      <c r="G160" t="s">
        <v>47</v>
      </c>
      <c r="H160" s="71">
        <v>42073</v>
      </c>
      <c r="I160" t="s">
        <v>345</v>
      </c>
    </row>
    <row r="161" spans="1:9" x14ac:dyDescent="0.2">
      <c r="A161" t="s">
        <v>0</v>
      </c>
      <c r="B161" s="31">
        <v>155.55000000000001</v>
      </c>
      <c r="C161">
        <v>1</v>
      </c>
      <c r="D161">
        <v>0</v>
      </c>
      <c r="E161">
        <v>0</v>
      </c>
      <c r="F161" s="85">
        <v>42073</v>
      </c>
      <c r="G161" t="s">
        <v>47</v>
      </c>
      <c r="H161" s="71">
        <v>42073</v>
      </c>
      <c r="I161" t="s">
        <v>346</v>
      </c>
    </row>
    <row r="162" spans="1:9" x14ac:dyDescent="0.2">
      <c r="A162" t="s">
        <v>3</v>
      </c>
      <c r="B162" s="31">
        <v>0</v>
      </c>
      <c r="C162">
        <v>1</v>
      </c>
      <c r="D162">
        <v>0</v>
      </c>
      <c r="E162">
        <v>1</v>
      </c>
      <c r="F162" s="85">
        <v>42073</v>
      </c>
      <c r="G162" t="s">
        <v>47</v>
      </c>
      <c r="H162" s="71">
        <v>42073</v>
      </c>
      <c r="I162" t="s">
        <v>346</v>
      </c>
    </row>
    <row r="163" spans="1:9" x14ac:dyDescent="0.2">
      <c r="A163" t="s">
        <v>1</v>
      </c>
      <c r="B163">
        <v>242.39</v>
      </c>
      <c r="C163">
        <v>1</v>
      </c>
      <c r="D163">
        <v>0</v>
      </c>
      <c r="E163">
        <v>0</v>
      </c>
      <c r="F163" s="85">
        <v>42073</v>
      </c>
      <c r="G163" t="s">
        <v>47</v>
      </c>
      <c r="H163" s="71">
        <v>42073</v>
      </c>
      <c r="I163" t="s">
        <v>346</v>
      </c>
    </row>
    <row r="164" spans="1:9" x14ac:dyDescent="0.2">
      <c r="A164" t="s">
        <v>156</v>
      </c>
      <c r="B164" s="31">
        <v>0</v>
      </c>
      <c r="C164">
        <v>1</v>
      </c>
      <c r="D164">
        <v>0</v>
      </c>
      <c r="E164">
        <v>1</v>
      </c>
      <c r="F164" s="85">
        <v>42073</v>
      </c>
      <c r="G164" t="s">
        <v>47</v>
      </c>
      <c r="H164" s="71">
        <v>42073</v>
      </c>
      <c r="I164" t="s">
        <v>346</v>
      </c>
    </row>
    <row r="165" spans="1:9" x14ac:dyDescent="0.2">
      <c r="A165" t="s">
        <v>26</v>
      </c>
      <c r="B165" s="31">
        <v>501.76</v>
      </c>
      <c r="C165">
        <v>1</v>
      </c>
      <c r="D165">
        <v>0</v>
      </c>
      <c r="E165">
        <v>0</v>
      </c>
      <c r="F165" s="85">
        <v>42073</v>
      </c>
      <c r="G165" t="s">
        <v>47</v>
      </c>
      <c r="H165" s="71">
        <v>42073</v>
      </c>
      <c r="I165" t="s">
        <v>345</v>
      </c>
    </row>
    <row r="166" spans="1:9" x14ac:dyDescent="0.2">
      <c r="A166" t="s">
        <v>28</v>
      </c>
      <c r="B166" s="31">
        <v>38.5</v>
      </c>
      <c r="C166">
        <v>1</v>
      </c>
      <c r="D166">
        <v>0</v>
      </c>
      <c r="E166">
        <v>0</v>
      </c>
      <c r="F166" s="85">
        <v>42073</v>
      </c>
      <c r="G166" t="s">
        <v>47</v>
      </c>
      <c r="H166" s="71">
        <v>42073</v>
      </c>
      <c r="I166" t="s">
        <v>345</v>
      </c>
    </row>
    <row r="167" spans="1:9" x14ac:dyDescent="0.2">
      <c r="A167" t="s">
        <v>27</v>
      </c>
      <c r="B167" s="31">
        <v>282.25</v>
      </c>
      <c r="C167">
        <v>1</v>
      </c>
      <c r="D167">
        <v>0</v>
      </c>
      <c r="E167">
        <v>0</v>
      </c>
      <c r="F167" s="85">
        <v>42073</v>
      </c>
      <c r="G167" t="s">
        <v>47</v>
      </c>
      <c r="H167" s="71">
        <v>42073</v>
      </c>
      <c r="I167" t="s">
        <v>345</v>
      </c>
    </row>
    <row r="168" spans="1:9" x14ac:dyDescent="0.2">
      <c r="A168" t="s">
        <v>12</v>
      </c>
      <c r="B168" s="31">
        <v>536.46</v>
      </c>
      <c r="C168">
        <v>1</v>
      </c>
      <c r="D168">
        <v>0</v>
      </c>
      <c r="E168">
        <v>0</v>
      </c>
      <c r="F168" s="85">
        <v>42073</v>
      </c>
      <c r="G168" t="s">
        <v>47</v>
      </c>
      <c r="H168" s="71">
        <v>42073</v>
      </c>
      <c r="I168" t="s">
        <v>348</v>
      </c>
    </row>
    <row r="169" spans="1:9" x14ac:dyDescent="0.2">
      <c r="A169" t="s">
        <v>25</v>
      </c>
      <c r="B169" s="31">
        <v>168.6</v>
      </c>
      <c r="C169">
        <v>1</v>
      </c>
      <c r="D169">
        <v>0</v>
      </c>
      <c r="E169">
        <v>0</v>
      </c>
      <c r="F169" s="85">
        <v>42073</v>
      </c>
      <c r="G169" t="s">
        <v>47</v>
      </c>
      <c r="H169" s="71">
        <v>42073</v>
      </c>
      <c r="I169" t="s">
        <v>25</v>
      </c>
    </row>
    <row r="170" spans="1:9" x14ac:dyDescent="0.2">
      <c r="A170" s="100" t="s">
        <v>1041</v>
      </c>
      <c r="B170" s="31">
        <v>148.01</v>
      </c>
      <c r="C170">
        <v>1</v>
      </c>
      <c r="D170">
        <v>0</v>
      </c>
      <c r="E170">
        <v>0</v>
      </c>
      <c r="F170" s="85">
        <v>42073</v>
      </c>
      <c r="G170" t="s">
        <v>47</v>
      </c>
      <c r="H170" s="71">
        <v>42073</v>
      </c>
      <c r="I170" t="s">
        <v>117</v>
      </c>
    </row>
    <row r="171" spans="1:9" x14ac:dyDescent="0.2">
      <c r="A171" s="100" t="s">
        <v>1042</v>
      </c>
      <c r="B171" s="31">
        <v>139.13</v>
      </c>
      <c r="C171">
        <v>1</v>
      </c>
      <c r="D171">
        <v>0</v>
      </c>
      <c r="E171">
        <v>0</v>
      </c>
      <c r="F171" s="85">
        <v>42073</v>
      </c>
      <c r="G171" t="s">
        <v>47</v>
      </c>
      <c r="H171" s="71">
        <v>42073</v>
      </c>
      <c r="I171" t="s">
        <v>117</v>
      </c>
    </row>
    <row r="172" spans="1:9" x14ac:dyDescent="0.2">
      <c r="A172" s="100" t="s">
        <v>1043</v>
      </c>
      <c r="B172" s="31">
        <v>66.61</v>
      </c>
      <c r="C172">
        <v>1</v>
      </c>
      <c r="D172">
        <v>0</v>
      </c>
      <c r="E172">
        <v>0</v>
      </c>
      <c r="F172" s="85">
        <v>42073</v>
      </c>
      <c r="G172" t="s">
        <v>47</v>
      </c>
      <c r="H172" s="71">
        <v>42073</v>
      </c>
      <c r="I172" t="s">
        <v>117</v>
      </c>
    </row>
    <row r="173" spans="1:9" x14ac:dyDescent="0.2">
      <c r="A173" s="100" t="s">
        <v>44</v>
      </c>
      <c r="B173" s="101">
        <v>100</v>
      </c>
      <c r="C173">
        <v>1</v>
      </c>
      <c r="D173">
        <v>0</v>
      </c>
      <c r="E173">
        <v>0</v>
      </c>
      <c r="F173" s="85">
        <v>42073</v>
      </c>
      <c r="G173" t="s">
        <v>47</v>
      </c>
      <c r="H173" s="71">
        <v>42073</v>
      </c>
      <c r="I173" s="1" t="s">
        <v>60</v>
      </c>
    </row>
    <row r="174" spans="1:9" x14ac:dyDescent="0.2">
      <c r="A174" s="100" t="s">
        <v>582</v>
      </c>
      <c r="B174" s="101">
        <v>0</v>
      </c>
      <c r="C174">
        <v>1</v>
      </c>
      <c r="D174">
        <v>0</v>
      </c>
      <c r="E174">
        <v>1</v>
      </c>
      <c r="F174" s="85">
        <v>42073</v>
      </c>
      <c r="G174" t="s">
        <v>47</v>
      </c>
      <c r="H174" s="71">
        <v>42073</v>
      </c>
      <c r="I174" s="1" t="s">
        <v>346</v>
      </c>
    </row>
    <row r="175" spans="1:9" x14ac:dyDescent="0.2">
      <c r="A175" s="100" t="s">
        <v>624</v>
      </c>
      <c r="B175" s="101">
        <v>10</v>
      </c>
      <c r="C175">
        <v>0</v>
      </c>
      <c r="D175">
        <v>1</v>
      </c>
      <c r="E175">
        <v>0</v>
      </c>
      <c r="F175" s="85">
        <v>42073</v>
      </c>
      <c r="G175" t="s">
        <v>47</v>
      </c>
      <c r="H175" s="71">
        <v>42073</v>
      </c>
      <c r="I175" s="1" t="s">
        <v>50</v>
      </c>
    </row>
    <row r="176" spans="1:9" x14ac:dyDescent="0.2">
      <c r="A176" s="100" t="s">
        <v>96</v>
      </c>
      <c r="B176" s="101">
        <v>15.46</v>
      </c>
      <c r="C176">
        <v>0</v>
      </c>
      <c r="D176">
        <v>1</v>
      </c>
      <c r="E176">
        <v>0</v>
      </c>
      <c r="F176" s="85">
        <v>42073</v>
      </c>
      <c r="G176" t="s">
        <v>47</v>
      </c>
      <c r="H176" s="71">
        <v>42073</v>
      </c>
      <c r="I176" t="s">
        <v>96</v>
      </c>
    </row>
    <row r="177" spans="1:9" x14ac:dyDescent="0.2">
      <c r="A177" s="100" t="s">
        <v>374</v>
      </c>
      <c r="B177" s="101">
        <v>3</v>
      </c>
      <c r="C177">
        <v>0</v>
      </c>
      <c r="D177">
        <v>1</v>
      </c>
      <c r="E177">
        <v>0</v>
      </c>
      <c r="F177" s="85">
        <v>42073</v>
      </c>
      <c r="G177" t="s">
        <v>47</v>
      </c>
      <c r="H177" s="71">
        <v>42073</v>
      </c>
      <c r="I177" s="1" t="s">
        <v>50</v>
      </c>
    </row>
    <row r="178" spans="1:9" x14ac:dyDescent="0.2">
      <c r="A178" s="100" t="s">
        <v>640</v>
      </c>
      <c r="B178" s="101">
        <v>5.54</v>
      </c>
      <c r="C178">
        <v>0</v>
      </c>
      <c r="D178">
        <v>1</v>
      </c>
      <c r="E178">
        <v>0</v>
      </c>
      <c r="F178" s="85">
        <v>42073</v>
      </c>
      <c r="G178" t="s">
        <v>47</v>
      </c>
      <c r="H178" s="71">
        <v>42074</v>
      </c>
      <c r="I178" s="1" t="s">
        <v>50</v>
      </c>
    </row>
    <row r="179" spans="1:9" x14ac:dyDescent="0.2">
      <c r="A179" s="100" t="s">
        <v>623</v>
      </c>
      <c r="B179" s="101">
        <v>33.299999999999997</v>
      </c>
      <c r="C179">
        <v>0</v>
      </c>
      <c r="D179">
        <v>1</v>
      </c>
      <c r="E179">
        <v>0</v>
      </c>
      <c r="F179" s="85">
        <v>42073</v>
      </c>
      <c r="G179" t="s">
        <v>47</v>
      </c>
      <c r="H179" s="71">
        <v>42074</v>
      </c>
      <c r="I179" s="171" t="s">
        <v>623</v>
      </c>
    </row>
    <row r="180" spans="1:9" x14ac:dyDescent="0.2">
      <c r="A180" s="100" t="s">
        <v>96</v>
      </c>
      <c r="B180" s="101">
        <v>15.32</v>
      </c>
      <c r="C180">
        <v>0</v>
      </c>
      <c r="D180">
        <v>1</v>
      </c>
      <c r="E180">
        <v>0</v>
      </c>
      <c r="F180" s="85">
        <v>42073</v>
      </c>
      <c r="G180" t="s">
        <v>47</v>
      </c>
      <c r="H180" s="71">
        <v>42075</v>
      </c>
      <c r="I180" t="s">
        <v>96</v>
      </c>
    </row>
    <row r="181" spans="1:9" x14ac:dyDescent="0.2">
      <c r="A181" s="100" t="s">
        <v>500</v>
      </c>
      <c r="B181" s="101">
        <v>10</v>
      </c>
      <c r="C181">
        <v>0</v>
      </c>
      <c r="D181">
        <v>1</v>
      </c>
      <c r="E181">
        <v>0</v>
      </c>
      <c r="F181" s="85">
        <v>42073</v>
      </c>
      <c r="G181" t="s">
        <v>47</v>
      </c>
      <c r="H181" s="71">
        <v>42075</v>
      </c>
      <c r="I181" s="1" t="s">
        <v>50</v>
      </c>
    </row>
    <row r="182" spans="1:9" x14ac:dyDescent="0.2">
      <c r="A182" s="100" t="s">
        <v>53</v>
      </c>
      <c r="B182" s="101">
        <v>2</v>
      </c>
      <c r="C182">
        <v>0</v>
      </c>
      <c r="D182">
        <v>1</v>
      </c>
      <c r="E182">
        <v>0</v>
      </c>
      <c r="F182" s="85">
        <v>42073</v>
      </c>
      <c r="G182" t="s">
        <v>47</v>
      </c>
      <c r="H182" s="71">
        <v>42075</v>
      </c>
      <c r="I182" s="1" t="s">
        <v>50</v>
      </c>
    </row>
    <row r="183" spans="1:9" x14ac:dyDescent="0.2">
      <c r="A183" s="100" t="s">
        <v>374</v>
      </c>
      <c r="B183" s="101">
        <v>3</v>
      </c>
      <c r="C183">
        <v>0</v>
      </c>
      <c r="D183">
        <v>1</v>
      </c>
      <c r="E183">
        <v>0</v>
      </c>
      <c r="F183" s="85">
        <v>42073</v>
      </c>
      <c r="G183" t="s">
        <v>47</v>
      </c>
      <c r="H183" s="71">
        <v>42075</v>
      </c>
      <c r="I183" s="1" t="s">
        <v>50</v>
      </c>
    </row>
    <row r="184" spans="1:9" x14ac:dyDescent="0.2">
      <c r="A184" s="100" t="s">
        <v>112</v>
      </c>
      <c r="B184" s="101">
        <v>7</v>
      </c>
      <c r="C184">
        <v>0</v>
      </c>
      <c r="D184">
        <v>1</v>
      </c>
      <c r="E184">
        <v>0</v>
      </c>
      <c r="F184" s="85">
        <v>42073</v>
      </c>
      <c r="G184" t="s">
        <v>47</v>
      </c>
      <c r="H184" s="71">
        <v>42075</v>
      </c>
      <c r="I184" s="1" t="s">
        <v>50</v>
      </c>
    </row>
    <row r="185" spans="1:9" x14ac:dyDescent="0.2">
      <c r="A185" s="100" t="s">
        <v>53</v>
      </c>
      <c r="B185" s="101">
        <v>7</v>
      </c>
      <c r="C185">
        <v>0</v>
      </c>
      <c r="D185">
        <v>1</v>
      </c>
      <c r="E185">
        <v>0</v>
      </c>
      <c r="F185" s="85">
        <v>42073</v>
      </c>
      <c r="G185" t="s">
        <v>47</v>
      </c>
      <c r="H185" s="71">
        <v>42076</v>
      </c>
      <c r="I185" s="1" t="s">
        <v>50</v>
      </c>
    </row>
    <row r="186" spans="1:9" x14ac:dyDescent="0.2">
      <c r="A186" s="100" t="s">
        <v>96</v>
      </c>
      <c r="B186" s="101">
        <v>21.75</v>
      </c>
      <c r="C186">
        <v>0</v>
      </c>
      <c r="D186">
        <v>1</v>
      </c>
      <c r="E186">
        <v>0</v>
      </c>
      <c r="F186" s="85">
        <v>42073</v>
      </c>
      <c r="G186" t="s">
        <v>47</v>
      </c>
      <c r="H186" s="71">
        <v>42076</v>
      </c>
      <c r="I186" t="s">
        <v>96</v>
      </c>
    </row>
    <row r="187" spans="1:9" x14ac:dyDescent="0.2">
      <c r="A187" s="10" t="s">
        <v>534</v>
      </c>
      <c r="B187" s="101">
        <v>30</v>
      </c>
      <c r="C187">
        <v>0</v>
      </c>
      <c r="D187">
        <v>1</v>
      </c>
      <c r="E187">
        <v>0</v>
      </c>
      <c r="F187" s="85">
        <v>42073</v>
      </c>
      <c r="G187" t="s">
        <v>47</v>
      </c>
      <c r="H187" s="71">
        <v>42076</v>
      </c>
      <c r="I187" s="1" t="s">
        <v>344</v>
      </c>
    </row>
    <row r="188" spans="1:9" x14ac:dyDescent="0.2">
      <c r="A188" s="100" t="s">
        <v>43</v>
      </c>
      <c r="B188" s="101">
        <v>50</v>
      </c>
      <c r="C188">
        <v>1</v>
      </c>
      <c r="D188">
        <v>0</v>
      </c>
      <c r="E188">
        <v>0</v>
      </c>
      <c r="F188" s="85">
        <v>42073</v>
      </c>
      <c r="G188" t="s">
        <v>49</v>
      </c>
      <c r="H188" s="71">
        <v>42077</v>
      </c>
      <c r="I188" s="1" t="s">
        <v>153</v>
      </c>
    </row>
    <row r="189" spans="1:9" x14ac:dyDescent="0.2">
      <c r="A189" s="100" t="s">
        <v>52</v>
      </c>
      <c r="B189" s="101">
        <v>111.22</v>
      </c>
      <c r="C189">
        <v>0</v>
      </c>
      <c r="D189">
        <v>1</v>
      </c>
      <c r="E189">
        <v>0</v>
      </c>
      <c r="F189" s="85">
        <v>42073</v>
      </c>
      <c r="G189" t="s">
        <v>49</v>
      </c>
      <c r="H189" s="71">
        <v>42077</v>
      </c>
      <c r="I189" s="1" t="s">
        <v>52</v>
      </c>
    </row>
    <row r="190" spans="1:9" x14ac:dyDescent="0.2">
      <c r="A190" s="100" t="s">
        <v>626</v>
      </c>
      <c r="B190" s="101">
        <v>29.2</v>
      </c>
      <c r="C190">
        <v>0</v>
      </c>
      <c r="D190">
        <v>1</v>
      </c>
      <c r="E190">
        <v>0</v>
      </c>
      <c r="F190" s="85">
        <v>42073</v>
      </c>
      <c r="G190" t="s">
        <v>49</v>
      </c>
      <c r="H190" s="71">
        <v>42077</v>
      </c>
      <c r="I190" s="1" t="s">
        <v>50</v>
      </c>
    </row>
    <row r="191" spans="1:9" x14ac:dyDescent="0.2">
      <c r="A191" s="100" t="s">
        <v>627</v>
      </c>
      <c r="B191" s="101">
        <v>59.9</v>
      </c>
      <c r="C191">
        <v>0</v>
      </c>
      <c r="D191">
        <v>1</v>
      </c>
      <c r="E191">
        <v>0</v>
      </c>
      <c r="F191" s="85">
        <v>42073</v>
      </c>
      <c r="G191" t="s">
        <v>49</v>
      </c>
      <c r="H191" s="71">
        <v>42077</v>
      </c>
      <c r="I191" s="1" t="s">
        <v>344</v>
      </c>
    </row>
    <row r="192" spans="1:9" x14ac:dyDescent="0.2">
      <c r="A192" s="100" t="s">
        <v>43</v>
      </c>
      <c r="B192" s="101">
        <v>30</v>
      </c>
      <c r="C192">
        <v>1</v>
      </c>
      <c r="D192">
        <v>0</v>
      </c>
      <c r="E192">
        <v>0</v>
      </c>
      <c r="F192" s="85">
        <v>42073</v>
      </c>
      <c r="G192" t="s">
        <v>49</v>
      </c>
      <c r="H192" s="71">
        <v>42078</v>
      </c>
      <c r="I192" s="1" t="s">
        <v>153</v>
      </c>
    </row>
    <row r="193" spans="1:9" x14ac:dyDescent="0.2">
      <c r="A193" s="100" t="s">
        <v>43</v>
      </c>
      <c r="B193" s="101">
        <v>30</v>
      </c>
      <c r="C193">
        <v>1</v>
      </c>
      <c r="D193">
        <v>0</v>
      </c>
      <c r="E193">
        <v>0</v>
      </c>
      <c r="F193" s="85">
        <v>42073</v>
      </c>
      <c r="G193" t="s">
        <v>49</v>
      </c>
      <c r="H193" s="71">
        <v>42078</v>
      </c>
      <c r="I193" s="1" t="s">
        <v>153</v>
      </c>
    </row>
    <row r="194" spans="1:9" x14ac:dyDescent="0.2">
      <c r="A194" s="100" t="s">
        <v>625</v>
      </c>
      <c r="B194" s="101">
        <v>50</v>
      </c>
      <c r="C194">
        <v>0</v>
      </c>
      <c r="D194">
        <v>1</v>
      </c>
      <c r="E194">
        <v>0</v>
      </c>
      <c r="F194" s="85">
        <v>42073</v>
      </c>
      <c r="G194" t="s">
        <v>49</v>
      </c>
      <c r="H194" s="71">
        <v>42078</v>
      </c>
      <c r="I194" s="171" t="s">
        <v>346</v>
      </c>
    </row>
    <row r="195" spans="1:9" x14ac:dyDescent="0.2">
      <c r="A195" s="100" t="s">
        <v>52</v>
      </c>
      <c r="B195" s="101">
        <v>37.85</v>
      </c>
      <c r="C195">
        <v>0</v>
      </c>
      <c r="D195">
        <v>1</v>
      </c>
      <c r="E195">
        <v>0</v>
      </c>
      <c r="F195" s="85">
        <v>42073</v>
      </c>
      <c r="G195" t="s">
        <v>51</v>
      </c>
      <c r="H195" s="71">
        <v>42079</v>
      </c>
      <c r="I195" s="1" t="s">
        <v>52</v>
      </c>
    </row>
    <row r="196" spans="1:9" x14ac:dyDescent="0.2">
      <c r="A196" s="100" t="s">
        <v>52</v>
      </c>
      <c r="B196" s="101">
        <v>4.6500000000000004</v>
      </c>
      <c r="C196">
        <v>0</v>
      </c>
      <c r="D196">
        <v>1</v>
      </c>
      <c r="E196">
        <v>0</v>
      </c>
      <c r="F196" s="85">
        <v>42073</v>
      </c>
      <c r="G196" t="s">
        <v>51</v>
      </c>
      <c r="H196" s="71">
        <v>42079</v>
      </c>
      <c r="I196" s="1" t="s">
        <v>52</v>
      </c>
    </row>
    <row r="197" spans="1:9" x14ac:dyDescent="0.2">
      <c r="A197" s="100" t="s">
        <v>96</v>
      </c>
      <c r="B197" s="101">
        <v>17</v>
      </c>
      <c r="C197">
        <v>0</v>
      </c>
      <c r="D197">
        <v>1</v>
      </c>
      <c r="E197">
        <v>0</v>
      </c>
      <c r="F197" s="85">
        <v>42073</v>
      </c>
      <c r="G197" t="s">
        <v>51</v>
      </c>
      <c r="H197" s="71">
        <v>42079</v>
      </c>
      <c r="I197" t="s">
        <v>96</v>
      </c>
    </row>
    <row r="198" spans="1:9" x14ac:dyDescent="0.2">
      <c r="A198" s="12" t="s">
        <v>21</v>
      </c>
      <c r="B198" s="88">
        <f>SUMIFS(credito!$B$2:$B$109,credito!$F$2:$F$109,F198,credito!$G$2:$G$109,0)</f>
        <v>1312.4566666666667</v>
      </c>
      <c r="C198" s="12">
        <v>1</v>
      </c>
      <c r="D198" s="12">
        <v>0</v>
      </c>
      <c r="E198" s="12">
        <v>0</v>
      </c>
      <c r="F198" s="89">
        <v>42073</v>
      </c>
      <c r="G198" s="12" t="s">
        <v>51</v>
      </c>
      <c r="H198" s="89">
        <v>42080</v>
      </c>
      <c r="I198" s="12" t="s">
        <v>336</v>
      </c>
    </row>
    <row r="199" spans="1:9" x14ac:dyDescent="0.2">
      <c r="A199" s="100" t="s">
        <v>96</v>
      </c>
      <c r="B199" s="101">
        <v>34.78</v>
      </c>
      <c r="C199">
        <v>0</v>
      </c>
      <c r="D199">
        <v>1</v>
      </c>
      <c r="E199">
        <v>0</v>
      </c>
      <c r="F199" s="85">
        <v>42073</v>
      </c>
      <c r="G199" t="s">
        <v>51</v>
      </c>
      <c r="H199" s="85">
        <v>42080</v>
      </c>
      <c r="I199" t="s">
        <v>96</v>
      </c>
    </row>
    <row r="200" spans="1:9" x14ac:dyDescent="0.2">
      <c r="A200" s="100" t="s">
        <v>629</v>
      </c>
      <c r="B200" s="101">
        <v>18</v>
      </c>
      <c r="C200">
        <v>0</v>
      </c>
      <c r="D200">
        <v>1</v>
      </c>
      <c r="E200">
        <v>0</v>
      </c>
      <c r="F200" s="85">
        <v>42073</v>
      </c>
      <c r="G200" t="s">
        <v>51</v>
      </c>
      <c r="H200" s="71">
        <v>42080</v>
      </c>
      <c r="I200" s="171" t="s">
        <v>46</v>
      </c>
    </row>
    <row r="201" spans="1:9" x14ac:dyDescent="0.2">
      <c r="A201" s="100" t="s">
        <v>52</v>
      </c>
      <c r="B201" s="101">
        <v>33.89</v>
      </c>
      <c r="C201">
        <v>0</v>
      </c>
      <c r="D201">
        <v>1</v>
      </c>
      <c r="E201">
        <v>0</v>
      </c>
      <c r="F201" s="85">
        <v>42073</v>
      </c>
      <c r="G201" t="s">
        <v>51</v>
      </c>
      <c r="H201" s="71">
        <v>42082</v>
      </c>
      <c r="I201" s="1" t="s">
        <v>52</v>
      </c>
    </row>
    <row r="202" spans="1:9" x14ac:dyDescent="0.2">
      <c r="A202" s="100" t="s">
        <v>44</v>
      </c>
      <c r="B202" s="101">
        <v>100</v>
      </c>
      <c r="C202">
        <v>1</v>
      </c>
      <c r="D202">
        <v>0</v>
      </c>
      <c r="E202">
        <v>0</v>
      </c>
      <c r="F202" s="85">
        <v>42073</v>
      </c>
      <c r="G202" t="s">
        <v>51</v>
      </c>
      <c r="H202" s="71">
        <v>42082</v>
      </c>
      <c r="I202" s="1" t="s">
        <v>60</v>
      </c>
    </row>
    <row r="203" spans="1:9" x14ac:dyDescent="0.2">
      <c r="A203" s="100" t="s">
        <v>628</v>
      </c>
      <c r="B203" s="101">
        <v>26</v>
      </c>
      <c r="C203">
        <v>0</v>
      </c>
      <c r="D203">
        <v>1</v>
      </c>
      <c r="E203">
        <v>0</v>
      </c>
      <c r="F203" s="85">
        <v>42073</v>
      </c>
      <c r="G203" t="s">
        <v>51</v>
      </c>
      <c r="H203" s="71">
        <v>42082</v>
      </c>
      <c r="I203" t="s">
        <v>96</v>
      </c>
    </row>
    <row r="204" spans="1:9" x14ac:dyDescent="0.2">
      <c r="A204" s="100" t="s">
        <v>630</v>
      </c>
      <c r="B204" s="101">
        <v>10.9</v>
      </c>
      <c r="C204">
        <v>0</v>
      </c>
      <c r="D204">
        <v>1</v>
      </c>
      <c r="E204">
        <v>0</v>
      </c>
      <c r="F204" s="85">
        <v>42073</v>
      </c>
      <c r="G204" t="s">
        <v>51</v>
      </c>
      <c r="H204" s="71">
        <v>42082</v>
      </c>
      <c r="I204" s="171" t="s">
        <v>203</v>
      </c>
    </row>
    <row r="205" spans="1:9" x14ac:dyDescent="0.2">
      <c r="A205" s="100" t="s">
        <v>96</v>
      </c>
      <c r="B205" s="101">
        <v>9.9700000000000006</v>
      </c>
      <c r="C205">
        <v>0</v>
      </c>
      <c r="D205">
        <v>1</v>
      </c>
      <c r="E205">
        <v>0</v>
      </c>
      <c r="F205" s="85">
        <v>42073</v>
      </c>
      <c r="G205" t="s">
        <v>51</v>
      </c>
      <c r="H205" s="71">
        <v>42083</v>
      </c>
      <c r="I205" t="s">
        <v>96</v>
      </c>
    </row>
    <row r="206" spans="1:9" x14ac:dyDescent="0.2">
      <c r="A206" s="100" t="s">
        <v>631</v>
      </c>
      <c r="B206" s="101">
        <v>8.5</v>
      </c>
      <c r="C206">
        <v>0</v>
      </c>
      <c r="D206">
        <v>1</v>
      </c>
      <c r="E206">
        <v>0</v>
      </c>
      <c r="F206" s="85">
        <v>42073</v>
      </c>
      <c r="G206" t="s">
        <v>51</v>
      </c>
      <c r="H206" s="71">
        <v>42083</v>
      </c>
      <c r="I206" s="1" t="s">
        <v>50</v>
      </c>
    </row>
    <row r="207" spans="1:9" x14ac:dyDescent="0.2">
      <c r="A207" s="10" t="s">
        <v>488</v>
      </c>
      <c r="B207" s="102">
        <v>43.95</v>
      </c>
      <c r="C207" s="10">
        <v>0</v>
      </c>
      <c r="D207" s="10">
        <v>1</v>
      </c>
      <c r="E207" s="10">
        <v>0</v>
      </c>
      <c r="F207" s="103">
        <v>42073</v>
      </c>
      <c r="G207" t="s">
        <v>51</v>
      </c>
      <c r="H207" s="103">
        <v>42083</v>
      </c>
      <c r="I207" s="1" t="s">
        <v>50</v>
      </c>
    </row>
    <row r="208" spans="1:9" x14ac:dyDescent="0.2">
      <c r="A208" s="10" t="s">
        <v>642</v>
      </c>
      <c r="B208" s="102">
        <v>34.9</v>
      </c>
      <c r="C208" s="10">
        <v>0</v>
      </c>
      <c r="D208" s="10">
        <v>1</v>
      </c>
      <c r="E208" s="10">
        <v>0</v>
      </c>
      <c r="F208" s="103">
        <v>42073</v>
      </c>
      <c r="G208" t="s">
        <v>51</v>
      </c>
      <c r="H208" s="103">
        <v>42083</v>
      </c>
      <c r="I208" s="159" t="s">
        <v>346</v>
      </c>
    </row>
    <row r="209" spans="1:9" x14ac:dyDescent="0.2">
      <c r="A209" s="10" t="s">
        <v>43</v>
      </c>
      <c r="B209" s="102">
        <v>30</v>
      </c>
      <c r="C209" s="10">
        <v>1</v>
      </c>
      <c r="D209" s="10">
        <v>0</v>
      </c>
      <c r="E209" s="10">
        <v>0</v>
      </c>
      <c r="F209" s="103">
        <v>42073</v>
      </c>
      <c r="G209" t="s">
        <v>51</v>
      </c>
      <c r="H209" s="103">
        <v>42083</v>
      </c>
      <c r="I209" s="1" t="s">
        <v>153</v>
      </c>
    </row>
    <row r="210" spans="1:9" x14ac:dyDescent="0.2">
      <c r="A210" s="10" t="s">
        <v>52</v>
      </c>
      <c r="B210" s="102">
        <v>31.07</v>
      </c>
      <c r="C210" s="10">
        <v>0</v>
      </c>
      <c r="D210" s="10">
        <v>1</v>
      </c>
      <c r="E210" s="10">
        <v>0</v>
      </c>
      <c r="F210" s="103">
        <v>42073</v>
      </c>
      <c r="G210" t="s">
        <v>51</v>
      </c>
      <c r="H210" s="103">
        <v>42083</v>
      </c>
      <c r="I210" s="10" t="s">
        <v>52</v>
      </c>
    </row>
    <row r="211" spans="1:9" x14ac:dyDescent="0.2">
      <c r="A211" s="10" t="s">
        <v>109</v>
      </c>
      <c r="B211" s="102">
        <v>18</v>
      </c>
      <c r="C211" s="10">
        <v>0</v>
      </c>
      <c r="D211" s="10">
        <v>1</v>
      </c>
      <c r="E211" s="10">
        <v>0</v>
      </c>
      <c r="F211" s="103">
        <v>42073</v>
      </c>
      <c r="G211" t="s">
        <v>51</v>
      </c>
      <c r="H211" s="103">
        <v>42083</v>
      </c>
      <c r="I211" s="159" t="s">
        <v>46</v>
      </c>
    </row>
    <row r="212" spans="1:9" x14ac:dyDescent="0.2">
      <c r="A212" s="10" t="s">
        <v>586</v>
      </c>
      <c r="B212" s="102">
        <v>10</v>
      </c>
      <c r="C212" s="10">
        <v>0</v>
      </c>
      <c r="D212" s="10">
        <v>1</v>
      </c>
      <c r="E212" s="10">
        <v>0</v>
      </c>
      <c r="F212" s="103">
        <v>42073</v>
      </c>
      <c r="G212" t="s">
        <v>51</v>
      </c>
      <c r="H212" s="103">
        <v>42083</v>
      </c>
      <c r="I212" s="10" t="s">
        <v>50</v>
      </c>
    </row>
    <row r="213" spans="1:9" x14ac:dyDescent="0.2">
      <c r="A213" s="10" t="s">
        <v>736</v>
      </c>
      <c r="B213" s="101">
        <v>40</v>
      </c>
      <c r="C213">
        <v>0</v>
      </c>
      <c r="D213">
        <v>1</v>
      </c>
      <c r="E213">
        <v>0</v>
      </c>
      <c r="F213" s="85">
        <v>42073</v>
      </c>
      <c r="G213" t="s">
        <v>49</v>
      </c>
      <c r="H213" s="71">
        <v>42084</v>
      </c>
      <c r="I213" s="1" t="s">
        <v>344</v>
      </c>
    </row>
    <row r="214" spans="1:9" x14ac:dyDescent="0.2">
      <c r="A214" s="10" t="s">
        <v>686</v>
      </c>
      <c r="B214" s="101">
        <v>53</v>
      </c>
      <c r="C214">
        <v>0</v>
      </c>
      <c r="D214">
        <v>1</v>
      </c>
      <c r="E214">
        <v>0</v>
      </c>
      <c r="F214" s="85">
        <v>42073</v>
      </c>
      <c r="G214" t="s">
        <v>49</v>
      </c>
      <c r="H214" s="71">
        <v>42084</v>
      </c>
      <c r="I214" s="171" t="s">
        <v>346</v>
      </c>
    </row>
    <row r="215" spans="1:9" x14ac:dyDescent="0.2">
      <c r="A215" s="100" t="s">
        <v>52</v>
      </c>
      <c r="B215" s="101">
        <v>39.21</v>
      </c>
      <c r="C215">
        <v>0</v>
      </c>
      <c r="D215">
        <v>1</v>
      </c>
      <c r="E215">
        <v>0</v>
      </c>
      <c r="F215" s="85">
        <v>42073</v>
      </c>
      <c r="G215" t="s">
        <v>49</v>
      </c>
      <c r="H215" s="71">
        <v>42084</v>
      </c>
      <c r="I215" s="1" t="s">
        <v>52</v>
      </c>
    </row>
    <row r="216" spans="1:9" x14ac:dyDescent="0.2">
      <c r="A216" s="100" t="s">
        <v>690</v>
      </c>
      <c r="B216" s="101">
        <v>350</v>
      </c>
      <c r="C216">
        <v>1</v>
      </c>
      <c r="D216">
        <v>0</v>
      </c>
      <c r="E216">
        <v>0</v>
      </c>
      <c r="F216" s="85">
        <v>42073</v>
      </c>
      <c r="G216" t="s">
        <v>49</v>
      </c>
      <c r="H216" s="71">
        <v>42084</v>
      </c>
      <c r="I216" s="1" t="s">
        <v>153</v>
      </c>
    </row>
    <row r="217" spans="1:9" x14ac:dyDescent="0.2">
      <c r="A217" s="100" t="s">
        <v>48</v>
      </c>
      <c r="B217" s="101">
        <v>50</v>
      </c>
      <c r="C217">
        <v>0</v>
      </c>
      <c r="D217">
        <v>1</v>
      </c>
      <c r="E217">
        <v>0</v>
      </c>
      <c r="F217" s="85">
        <v>42073</v>
      </c>
      <c r="G217" t="s">
        <v>49</v>
      </c>
      <c r="H217" s="71">
        <v>42084</v>
      </c>
      <c r="I217" s="1" t="s">
        <v>48</v>
      </c>
    </row>
    <row r="218" spans="1:9" x14ac:dyDescent="0.2">
      <c r="A218" s="100" t="s">
        <v>190</v>
      </c>
      <c r="B218" s="101">
        <v>16.440000000000001</v>
      </c>
      <c r="C218">
        <v>0</v>
      </c>
      <c r="D218">
        <v>1</v>
      </c>
      <c r="E218">
        <v>0</v>
      </c>
      <c r="F218" s="85">
        <v>42073</v>
      </c>
      <c r="G218" t="s">
        <v>49</v>
      </c>
      <c r="H218" s="71">
        <v>42084</v>
      </c>
      <c r="I218" s="1" t="s">
        <v>190</v>
      </c>
    </row>
    <row r="219" spans="1:9" x14ac:dyDescent="0.2">
      <c r="A219" s="100" t="s">
        <v>641</v>
      </c>
      <c r="B219" s="101">
        <v>70</v>
      </c>
      <c r="C219">
        <v>1</v>
      </c>
      <c r="D219">
        <v>0</v>
      </c>
      <c r="E219">
        <v>0</v>
      </c>
      <c r="F219" s="85">
        <v>42073</v>
      </c>
      <c r="G219" t="s">
        <v>54</v>
      </c>
      <c r="H219" s="71">
        <v>42086</v>
      </c>
      <c r="I219" s="105" t="s">
        <v>1186</v>
      </c>
    </row>
    <row r="220" spans="1:9" x14ac:dyDescent="0.2">
      <c r="A220" s="10" t="s">
        <v>96</v>
      </c>
      <c r="B220" s="102">
        <v>36</v>
      </c>
      <c r="C220" s="10">
        <v>0</v>
      </c>
      <c r="D220" s="10">
        <v>1</v>
      </c>
      <c r="E220" s="10">
        <v>0</v>
      </c>
      <c r="F220" s="103">
        <v>42073</v>
      </c>
      <c r="G220" t="s">
        <v>54</v>
      </c>
      <c r="H220" s="103">
        <v>42086</v>
      </c>
      <c r="I220" t="s">
        <v>96</v>
      </c>
    </row>
    <row r="221" spans="1:9" x14ac:dyDescent="0.2">
      <c r="A221" s="10" t="s">
        <v>96</v>
      </c>
      <c r="B221" s="102">
        <v>18</v>
      </c>
      <c r="C221" s="10">
        <v>0</v>
      </c>
      <c r="D221" s="10">
        <v>1</v>
      </c>
      <c r="E221" s="10">
        <v>0</v>
      </c>
      <c r="F221" s="103">
        <v>42073</v>
      </c>
      <c r="G221" t="s">
        <v>54</v>
      </c>
      <c r="H221" s="103">
        <v>42087</v>
      </c>
      <c r="I221" t="s">
        <v>96</v>
      </c>
    </row>
    <row r="222" spans="1:9" x14ac:dyDescent="0.2">
      <c r="A222" s="10" t="s">
        <v>643</v>
      </c>
      <c r="B222" s="102">
        <v>19</v>
      </c>
      <c r="C222" s="10">
        <v>0</v>
      </c>
      <c r="D222" s="10">
        <v>1</v>
      </c>
      <c r="E222" s="10">
        <v>0</v>
      </c>
      <c r="F222" s="103">
        <v>42073</v>
      </c>
      <c r="G222" t="s">
        <v>54</v>
      </c>
      <c r="H222" s="103">
        <v>42087</v>
      </c>
      <c r="I222" s="10" t="s">
        <v>50</v>
      </c>
    </row>
    <row r="223" spans="1:9" x14ac:dyDescent="0.2">
      <c r="A223" s="10" t="s">
        <v>52</v>
      </c>
      <c r="B223" s="102">
        <v>33.380000000000003</v>
      </c>
      <c r="C223" s="10">
        <v>0</v>
      </c>
      <c r="D223" s="10">
        <v>1</v>
      </c>
      <c r="E223" s="10">
        <v>0</v>
      </c>
      <c r="F223" s="103">
        <v>42073</v>
      </c>
      <c r="G223" t="s">
        <v>54</v>
      </c>
      <c r="H223" s="103">
        <v>42087</v>
      </c>
      <c r="I223" s="10" t="s">
        <v>52</v>
      </c>
    </row>
    <row r="224" spans="1:9" x14ac:dyDescent="0.2">
      <c r="A224" s="10" t="s">
        <v>96</v>
      </c>
      <c r="B224" s="102">
        <v>21.5</v>
      </c>
      <c r="C224" s="10">
        <v>0</v>
      </c>
      <c r="D224" s="10">
        <v>1</v>
      </c>
      <c r="E224" s="10">
        <v>0</v>
      </c>
      <c r="F224" s="103">
        <v>42073</v>
      </c>
      <c r="G224" t="s">
        <v>54</v>
      </c>
      <c r="H224" s="103">
        <v>42088</v>
      </c>
      <c r="I224" t="s">
        <v>96</v>
      </c>
    </row>
    <row r="225" spans="1:9" x14ac:dyDescent="0.2">
      <c r="A225" s="10" t="s">
        <v>52</v>
      </c>
      <c r="B225" s="102">
        <v>68.150000000000006</v>
      </c>
      <c r="C225" s="10">
        <v>0</v>
      </c>
      <c r="D225" s="10">
        <v>1</v>
      </c>
      <c r="E225" s="10">
        <v>0</v>
      </c>
      <c r="F225" s="103">
        <v>42073</v>
      </c>
      <c r="G225" t="s">
        <v>54</v>
      </c>
      <c r="H225" s="103">
        <v>42088</v>
      </c>
      <c r="I225" s="10" t="s">
        <v>52</v>
      </c>
    </row>
    <row r="226" spans="1:9" x14ac:dyDescent="0.2">
      <c r="A226" s="10" t="s">
        <v>96</v>
      </c>
      <c r="B226" s="102">
        <v>15</v>
      </c>
      <c r="C226" s="10">
        <v>0</v>
      </c>
      <c r="D226" s="10">
        <v>1</v>
      </c>
      <c r="E226" s="10">
        <v>0</v>
      </c>
      <c r="F226" s="103">
        <v>42073</v>
      </c>
      <c r="G226" t="s">
        <v>54</v>
      </c>
      <c r="H226" s="103">
        <v>42089</v>
      </c>
      <c r="I226" t="s">
        <v>96</v>
      </c>
    </row>
    <row r="227" spans="1:9" x14ac:dyDescent="0.2">
      <c r="A227" s="10" t="s">
        <v>46</v>
      </c>
      <c r="B227" s="102">
        <v>27</v>
      </c>
      <c r="C227" s="10">
        <v>0</v>
      </c>
      <c r="D227" s="10">
        <v>1</v>
      </c>
      <c r="E227" s="10">
        <v>0</v>
      </c>
      <c r="F227" s="103">
        <v>42073</v>
      </c>
      <c r="G227" t="s">
        <v>54</v>
      </c>
      <c r="H227" s="103">
        <v>42089</v>
      </c>
      <c r="I227" s="159" t="s">
        <v>46</v>
      </c>
    </row>
    <row r="228" spans="1:9" x14ac:dyDescent="0.2">
      <c r="A228" s="10" t="s">
        <v>48</v>
      </c>
      <c r="B228" s="102">
        <v>25</v>
      </c>
      <c r="C228" s="10">
        <v>0</v>
      </c>
      <c r="D228" s="10">
        <v>1</v>
      </c>
      <c r="E228" s="10">
        <v>0</v>
      </c>
      <c r="F228" s="103">
        <v>42073</v>
      </c>
      <c r="G228" t="s">
        <v>54</v>
      </c>
      <c r="H228" s="103">
        <v>42089</v>
      </c>
      <c r="I228" s="10" t="s">
        <v>48</v>
      </c>
    </row>
    <row r="229" spans="1:9" x14ac:dyDescent="0.2">
      <c r="A229" s="100" t="s">
        <v>29</v>
      </c>
      <c r="B229" s="101">
        <v>518</v>
      </c>
      <c r="C229">
        <v>1</v>
      </c>
      <c r="D229">
        <v>0</v>
      </c>
      <c r="E229">
        <v>0</v>
      </c>
      <c r="F229" s="85">
        <v>42073</v>
      </c>
      <c r="G229" t="s">
        <v>54</v>
      </c>
      <c r="H229" s="71">
        <v>42090</v>
      </c>
      <c r="I229" s="1" t="s">
        <v>346</v>
      </c>
    </row>
    <row r="230" spans="1:9" x14ac:dyDescent="0.2">
      <c r="A230" s="10" t="s">
        <v>96</v>
      </c>
      <c r="B230" s="102">
        <v>19.36</v>
      </c>
      <c r="C230" s="10">
        <v>0</v>
      </c>
      <c r="D230" s="10">
        <v>1</v>
      </c>
      <c r="E230" s="10">
        <v>0</v>
      </c>
      <c r="F230" s="103">
        <v>42073</v>
      </c>
      <c r="G230" t="s">
        <v>54</v>
      </c>
      <c r="H230" s="103">
        <v>42090</v>
      </c>
      <c r="I230" t="s">
        <v>96</v>
      </c>
    </row>
    <row r="231" spans="1:9" x14ac:dyDescent="0.2">
      <c r="A231" s="10" t="s">
        <v>52</v>
      </c>
      <c r="B231" s="102">
        <v>60.42</v>
      </c>
      <c r="C231" s="10">
        <v>0</v>
      </c>
      <c r="D231" s="10">
        <v>1</v>
      </c>
      <c r="E231" s="10">
        <v>0</v>
      </c>
      <c r="F231" s="103">
        <v>42073</v>
      </c>
      <c r="G231" t="s">
        <v>54</v>
      </c>
      <c r="H231" s="103">
        <v>42090</v>
      </c>
      <c r="I231" s="10" t="s">
        <v>52</v>
      </c>
    </row>
    <row r="232" spans="1:9" x14ac:dyDescent="0.2">
      <c r="A232" s="100" t="s">
        <v>44</v>
      </c>
      <c r="B232" s="101">
        <v>100</v>
      </c>
      <c r="C232">
        <v>1</v>
      </c>
      <c r="D232">
        <v>0</v>
      </c>
      <c r="E232">
        <v>0</v>
      </c>
      <c r="F232" s="85">
        <v>42073</v>
      </c>
      <c r="G232" s="1" t="s">
        <v>49</v>
      </c>
      <c r="H232" s="71">
        <v>42091</v>
      </c>
      <c r="I232" s="1" t="s">
        <v>60</v>
      </c>
    </row>
    <row r="233" spans="1:9" x14ac:dyDescent="0.2">
      <c r="A233" s="10" t="s">
        <v>686</v>
      </c>
      <c r="B233" s="102">
        <v>96.89</v>
      </c>
      <c r="C233" s="10">
        <v>0</v>
      </c>
      <c r="D233" s="10">
        <v>1</v>
      </c>
      <c r="E233" s="10">
        <v>0</v>
      </c>
      <c r="F233" s="103">
        <v>42073</v>
      </c>
      <c r="G233" t="s">
        <v>49</v>
      </c>
      <c r="H233" s="103">
        <v>42091</v>
      </c>
      <c r="I233" s="159" t="s">
        <v>346</v>
      </c>
    </row>
    <row r="234" spans="1:9" x14ac:dyDescent="0.2">
      <c r="A234" s="10" t="s">
        <v>645</v>
      </c>
      <c r="B234" s="102">
        <v>29.9</v>
      </c>
      <c r="C234" s="10">
        <v>0</v>
      </c>
      <c r="D234" s="10">
        <v>1</v>
      </c>
      <c r="E234" s="10">
        <v>0</v>
      </c>
      <c r="F234" s="103">
        <v>42073</v>
      </c>
      <c r="G234" t="s">
        <v>49</v>
      </c>
      <c r="H234" s="103">
        <v>42091</v>
      </c>
      <c r="I234" s="159" t="s">
        <v>346</v>
      </c>
    </row>
    <row r="235" spans="1:9" x14ac:dyDescent="0.2">
      <c r="A235" s="10" t="s">
        <v>190</v>
      </c>
      <c r="B235" s="102">
        <v>46.83</v>
      </c>
      <c r="C235" s="10">
        <v>0</v>
      </c>
      <c r="D235" s="10">
        <v>1</v>
      </c>
      <c r="E235" s="10">
        <v>0</v>
      </c>
      <c r="F235" s="103">
        <v>42073</v>
      </c>
      <c r="G235" t="s">
        <v>49</v>
      </c>
      <c r="H235" s="103">
        <v>42091</v>
      </c>
      <c r="I235" s="10" t="s">
        <v>190</v>
      </c>
    </row>
    <row r="236" spans="1:9" x14ac:dyDescent="0.2">
      <c r="A236" s="10" t="s">
        <v>52</v>
      </c>
      <c r="B236" s="102">
        <v>11.53</v>
      </c>
      <c r="C236" s="10">
        <v>0</v>
      </c>
      <c r="D236" s="10">
        <v>1</v>
      </c>
      <c r="E236" s="10">
        <v>0</v>
      </c>
      <c r="F236" s="103">
        <v>42073</v>
      </c>
      <c r="G236" t="s">
        <v>49</v>
      </c>
      <c r="H236" s="103">
        <v>42091</v>
      </c>
      <c r="I236" s="10" t="s">
        <v>52</v>
      </c>
    </row>
    <row r="237" spans="1:9" x14ac:dyDescent="0.2">
      <c r="A237" s="10" t="s">
        <v>190</v>
      </c>
      <c r="B237" s="102">
        <v>22.05</v>
      </c>
      <c r="C237" s="10">
        <v>0</v>
      </c>
      <c r="D237" s="10">
        <v>1</v>
      </c>
      <c r="E237" s="10">
        <v>0</v>
      </c>
      <c r="F237" s="103">
        <v>42073</v>
      </c>
      <c r="G237" t="s">
        <v>49</v>
      </c>
      <c r="H237" s="103">
        <v>42091</v>
      </c>
      <c r="I237" s="10" t="s">
        <v>190</v>
      </c>
    </row>
    <row r="238" spans="1:9" x14ac:dyDescent="0.2">
      <c r="A238" s="10" t="s">
        <v>398</v>
      </c>
      <c r="B238" s="102">
        <v>25</v>
      </c>
      <c r="C238" s="10">
        <v>0</v>
      </c>
      <c r="D238" s="10">
        <v>1</v>
      </c>
      <c r="E238" s="10">
        <v>0</v>
      </c>
      <c r="F238" s="103">
        <v>42073</v>
      </c>
      <c r="G238" t="s">
        <v>49</v>
      </c>
      <c r="H238" s="103">
        <v>42092</v>
      </c>
      <c r="I238" s="10" t="s">
        <v>398</v>
      </c>
    </row>
    <row r="239" spans="1:9" x14ac:dyDescent="0.2">
      <c r="A239" s="10" t="s">
        <v>646</v>
      </c>
      <c r="B239" s="102">
        <v>15.27</v>
      </c>
      <c r="C239" s="10">
        <v>0</v>
      </c>
      <c r="D239" s="10">
        <v>1</v>
      </c>
      <c r="E239" s="10">
        <v>0</v>
      </c>
      <c r="F239" s="103">
        <v>42073</v>
      </c>
      <c r="G239" t="s">
        <v>49</v>
      </c>
      <c r="H239" s="103">
        <v>42092</v>
      </c>
      <c r="I239" s="159" t="s">
        <v>96</v>
      </c>
    </row>
    <row r="240" spans="1:9" x14ac:dyDescent="0.2">
      <c r="A240" s="10" t="s">
        <v>616</v>
      </c>
      <c r="B240" s="102">
        <v>0</v>
      </c>
      <c r="C240" s="10">
        <v>0</v>
      </c>
      <c r="D240" s="10">
        <v>1</v>
      </c>
      <c r="E240" s="10">
        <v>0</v>
      </c>
      <c r="F240" s="103">
        <v>42073</v>
      </c>
      <c r="G240" t="s">
        <v>49</v>
      </c>
      <c r="H240" s="103">
        <v>42092</v>
      </c>
      <c r="I240" s="159" t="s">
        <v>1182</v>
      </c>
    </row>
    <row r="241" spans="1:9" x14ac:dyDescent="0.2">
      <c r="A241" s="10" t="s">
        <v>52</v>
      </c>
      <c r="B241" s="102">
        <v>63</v>
      </c>
      <c r="C241" s="10">
        <v>0</v>
      </c>
      <c r="D241" s="10">
        <v>1</v>
      </c>
      <c r="E241" s="10">
        <v>0</v>
      </c>
      <c r="F241" s="103">
        <v>42073</v>
      </c>
      <c r="G241" s="1" t="s">
        <v>55</v>
      </c>
      <c r="H241" s="103">
        <v>42093</v>
      </c>
      <c r="I241" s="10" t="s">
        <v>52</v>
      </c>
    </row>
    <row r="242" spans="1:9" x14ac:dyDescent="0.2">
      <c r="A242" s="10" t="s">
        <v>500</v>
      </c>
      <c r="B242" s="102">
        <v>5</v>
      </c>
      <c r="C242" s="10">
        <v>0</v>
      </c>
      <c r="D242" s="10">
        <v>1</v>
      </c>
      <c r="E242" s="10">
        <v>0</v>
      </c>
      <c r="F242" s="103">
        <v>42073</v>
      </c>
      <c r="G242" s="1" t="s">
        <v>55</v>
      </c>
      <c r="H242" s="103">
        <v>42095</v>
      </c>
      <c r="I242" s="10" t="s">
        <v>50</v>
      </c>
    </row>
    <row r="243" spans="1:9" x14ac:dyDescent="0.2">
      <c r="A243" s="10" t="s">
        <v>52</v>
      </c>
      <c r="B243" s="102">
        <v>47.29</v>
      </c>
      <c r="C243" s="10">
        <v>0</v>
      </c>
      <c r="D243" s="10">
        <v>1</v>
      </c>
      <c r="E243" s="10">
        <v>0</v>
      </c>
      <c r="F243" s="103">
        <v>42073</v>
      </c>
      <c r="G243" s="1" t="s">
        <v>55</v>
      </c>
      <c r="H243" s="103">
        <v>42096</v>
      </c>
      <c r="I243" s="10" t="s">
        <v>52</v>
      </c>
    </row>
    <row r="244" spans="1:9" x14ac:dyDescent="0.2">
      <c r="A244" s="10" t="s">
        <v>190</v>
      </c>
      <c r="B244" s="102">
        <v>40.9</v>
      </c>
      <c r="C244" s="10">
        <v>0</v>
      </c>
      <c r="D244" s="10">
        <v>1</v>
      </c>
      <c r="E244" s="10">
        <v>0</v>
      </c>
      <c r="F244" s="103">
        <v>42073</v>
      </c>
      <c r="G244" s="1" t="s">
        <v>55</v>
      </c>
      <c r="H244" s="103">
        <v>42097</v>
      </c>
      <c r="I244" s="10" t="s">
        <v>190</v>
      </c>
    </row>
    <row r="245" spans="1:9" x14ac:dyDescent="0.2">
      <c r="A245" t="s">
        <v>39</v>
      </c>
      <c r="B245" s="31">
        <v>45</v>
      </c>
      <c r="C245">
        <v>1</v>
      </c>
      <c r="D245">
        <v>0</v>
      </c>
      <c r="E245">
        <v>0</v>
      </c>
      <c r="F245" s="85">
        <v>42073</v>
      </c>
      <c r="G245" s="1" t="s">
        <v>55</v>
      </c>
      <c r="H245" s="71">
        <v>42098</v>
      </c>
      <c r="I245" t="s">
        <v>345</v>
      </c>
    </row>
    <row r="246" spans="1:9" x14ac:dyDescent="0.2">
      <c r="A246" s="10" t="s">
        <v>686</v>
      </c>
      <c r="B246" s="102">
        <v>140</v>
      </c>
      <c r="C246" s="10">
        <v>0</v>
      </c>
      <c r="D246" s="10">
        <v>1</v>
      </c>
      <c r="E246" s="10">
        <v>0</v>
      </c>
      <c r="F246" s="103">
        <v>42073</v>
      </c>
      <c r="G246" t="s">
        <v>49</v>
      </c>
      <c r="H246" s="103">
        <v>42098</v>
      </c>
      <c r="I246" s="159" t="s">
        <v>346</v>
      </c>
    </row>
    <row r="247" spans="1:9" x14ac:dyDescent="0.2">
      <c r="A247" s="10" t="s">
        <v>687</v>
      </c>
      <c r="B247" s="102">
        <v>10.9</v>
      </c>
      <c r="C247" s="10">
        <v>0</v>
      </c>
      <c r="D247" s="10">
        <v>1</v>
      </c>
      <c r="E247" s="10">
        <v>0</v>
      </c>
      <c r="F247" s="103">
        <v>42073</v>
      </c>
      <c r="G247" t="s">
        <v>49</v>
      </c>
      <c r="H247" s="103">
        <v>42098</v>
      </c>
      <c r="I247" s="10" t="s">
        <v>344</v>
      </c>
    </row>
    <row r="248" spans="1:9" x14ac:dyDescent="0.2">
      <c r="A248" s="10" t="s">
        <v>116</v>
      </c>
      <c r="B248" s="102">
        <v>20</v>
      </c>
      <c r="C248" s="10">
        <v>0</v>
      </c>
      <c r="D248" s="10">
        <v>1</v>
      </c>
      <c r="E248" s="10">
        <v>0</v>
      </c>
      <c r="F248" s="103">
        <v>42073</v>
      </c>
      <c r="G248" t="s">
        <v>49</v>
      </c>
      <c r="H248" s="103">
        <v>42098</v>
      </c>
      <c r="I248" s="10" t="s">
        <v>344</v>
      </c>
    </row>
    <row r="249" spans="1:9" x14ac:dyDescent="0.2">
      <c r="A249" s="10" t="s">
        <v>43</v>
      </c>
      <c r="B249" s="102">
        <v>30</v>
      </c>
      <c r="C249" s="10">
        <v>1</v>
      </c>
      <c r="D249" s="10">
        <v>0</v>
      </c>
      <c r="E249" s="10">
        <v>0</v>
      </c>
      <c r="F249" s="103">
        <v>42073</v>
      </c>
      <c r="G249" t="s">
        <v>49</v>
      </c>
      <c r="H249" s="103">
        <v>42099</v>
      </c>
      <c r="I249" s="1" t="s">
        <v>153</v>
      </c>
    </row>
    <row r="250" spans="1:9" x14ac:dyDescent="0.2">
      <c r="A250" s="10" t="s">
        <v>190</v>
      </c>
      <c r="B250" s="102">
        <v>13.39</v>
      </c>
      <c r="C250" s="10">
        <v>0</v>
      </c>
      <c r="D250" s="10">
        <v>1</v>
      </c>
      <c r="E250" s="10">
        <v>0</v>
      </c>
      <c r="F250" s="103">
        <v>42073</v>
      </c>
      <c r="G250" s="1" t="s">
        <v>180</v>
      </c>
      <c r="H250" s="103">
        <v>42101</v>
      </c>
      <c r="I250" s="10" t="s">
        <v>190</v>
      </c>
    </row>
    <row r="251" spans="1:9" x14ac:dyDescent="0.2">
      <c r="A251" s="10" t="s">
        <v>52</v>
      </c>
      <c r="B251" s="102">
        <v>50.44</v>
      </c>
      <c r="C251" s="10">
        <v>0</v>
      </c>
      <c r="D251" s="10">
        <v>1</v>
      </c>
      <c r="E251" s="10">
        <v>0</v>
      </c>
      <c r="F251" s="103">
        <v>42073</v>
      </c>
      <c r="G251" s="1" t="s">
        <v>180</v>
      </c>
      <c r="H251" s="103">
        <v>42101</v>
      </c>
      <c r="I251" s="10" t="s">
        <v>52</v>
      </c>
    </row>
    <row r="252" spans="1:9" x14ac:dyDescent="0.2">
      <c r="A252" s="10" t="s">
        <v>44</v>
      </c>
      <c r="B252" s="102">
        <v>100</v>
      </c>
      <c r="C252" s="10">
        <v>1</v>
      </c>
      <c r="D252" s="10">
        <v>0</v>
      </c>
      <c r="E252" s="10">
        <v>0</v>
      </c>
      <c r="F252" s="103">
        <v>42073</v>
      </c>
      <c r="G252" s="1" t="s">
        <v>180</v>
      </c>
      <c r="H252" s="103">
        <v>42101</v>
      </c>
      <c r="I252" s="10" t="s">
        <v>60</v>
      </c>
    </row>
    <row r="253" spans="1:9" x14ac:dyDescent="0.2">
      <c r="A253" s="10" t="s">
        <v>43</v>
      </c>
      <c r="B253" s="102">
        <v>30</v>
      </c>
      <c r="C253" s="10">
        <v>1</v>
      </c>
      <c r="D253" s="10">
        <v>0</v>
      </c>
      <c r="E253" s="10">
        <v>0</v>
      </c>
      <c r="F253" s="103">
        <v>42073</v>
      </c>
      <c r="G253" s="1" t="s">
        <v>180</v>
      </c>
      <c r="H253" s="103">
        <v>42102</v>
      </c>
      <c r="I253" s="1" t="s">
        <v>153</v>
      </c>
    </row>
    <row r="254" spans="1:9" x14ac:dyDescent="0.2">
      <c r="A254" s="10" t="s">
        <v>52</v>
      </c>
      <c r="B254" s="102">
        <v>58.76</v>
      </c>
      <c r="C254" s="10">
        <v>0</v>
      </c>
      <c r="D254" s="10">
        <v>1</v>
      </c>
      <c r="E254" s="10">
        <v>0</v>
      </c>
      <c r="F254" s="103">
        <v>42073</v>
      </c>
      <c r="G254" s="1" t="s">
        <v>180</v>
      </c>
      <c r="H254" s="103">
        <v>42103</v>
      </c>
      <c r="I254" s="10" t="s">
        <v>52</v>
      </c>
    </row>
    <row r="255" spans="1:9" x14ac:dyDescent="0.2">
      <c r="A255" s="10" t="s">
        <v>52</v>
      </c>
      <c r="B255" s="102">
        <v>89.91</v>
      </c>
      <c r="C255" s="10">
        <v>0</v>
      </c>
      <c r="D255" s="10">
        <v>1</v>
      </c>
      <c r="E255" s="10">
        <v>0</v>
      </c>
      <c r="F255" s="103">
        <v>42073</v>
      </c>
      <c r="G255" s="1" t="s">
        <v>180</v>
      </c>
      <c r="H255" s="103">
        <v>42103</v>
      </c>
      <c r="I255" s="10" t="s">
        <v>52</v>
      </c>
    </row>
    <row r="256" spans="1:9" x14ac:dyDescent="0.2">
      <c r="A256" s="100" t="s">
        <v>1037</v>
      </c>
      <c r="B256" s="101">
        <v>48.1</v>
      </c>
      <c r="C256" s="100">
        <v>1</v>
      </c>
      <c r="D256" s="100">
        <v>0</v>
      </c>
      <c r="E256" s="100">
        <v>0</v>
      </c>
      <c r="F256" s="85">
        <v>42073</v>
      </c>
      <c r="G256" s="100" t="s">
        <v>47</v>
      </c>
      <c r="H256" s="85">
        <v>42073</v>
      </c>
      <c r="I256" s="100" t="s">
        <v>1045</v>
      </c>
    </row>
    <row r="257" spans="1:9" x14ac:dyDescent="0.2">
      <c r="A257" s="100" t="s">
        <v>1038</v>
      </c>
      <c r="B257" s="101">
        <v>222.01</v>
      </c>
      <c r="C257" s="100">
        <v>1</v>
      </c>
      <c r="D257" s="100">
        <v>0</v>
      </c>
      <c r="E257" s="100">
        <v>0</v>
      </c>
      <c r="F257" s="85">
        <v>42073</v>
      </c>
      <c r="G257" s="100" t="s">
        <v>47</v>
      </c>
      <c r="H257" s="85">
        <v>42073</v>
      </c>
      <c r="I257" s="100" t="s">
        <v>1045</v>
      </c>
    </row>
    <row r="258" spans="1:9" x14ac:dyDescent="0.2">
      <c r="A258" s="100" t="s">
        <v>1039</v>
      </c>
      <c r="B258" s="101">
        <v>111.01</v>
      </c>
      <c r="C258" s="100">
        <v>1</v>
      </c>
      <c r="D258" s="100">
        <v>0</v>
      </c>
      <c r="E258" s="100">
        <v>0</v>
      </c>
      <c r="F258" s="85">
        <v>42073</v>
      </c>
      <c r="G258" s="100" t="s">
        <v>47</v>
      </c>
      <c r="H258" s="85">
        <v>42073</v>
      </c>
      <c r="I258" s="100" t="s">
        <v>1045</v>
      </c>
    </row>
    <row r="259" spans="1:9" x14ac:dyDescent="0.2">
      <c r="A259" s="100" t="s">
        <v>1040</v>
      </c>
      <c r="B259" s="101">
        <v>74</v>
      </c>
      <c r="C259" s="100">
        <v>1</v>
      </c>
      <c r="D259" s="100">
        <v>0</v>
      </c>
      <c r="E259" s="100">
        <v>0</v>
      </c>
      <c r="F259" s="85">
        <v>42073</v>
      </c>
      <c r="G259" s="100" t="s">
        <v>47</v>
      </c>
      <c r="H259" s="85">
        <v>42073</v>
      </c>
      <c r="I259" s="100" t="s">
        <v>1045</v>
      </c>
    </row>
    <row r="260" spans="1:9" x14ac:dyDescent="0.2">
      <c r="A260" s="105" t="s">
        <v>40</v>
      </c>
      <c r="B260" s="106">
        <v>5.32</v>
      </c>
      <c r="C260" s="105">
        <v>1</v>
      </c>
      <c r="D260" s="105">
        <v>0</v>
      </c>
      <c r="E260" s="105">
        <v>0</v>
      </c>
      <c r="F260" s="107">
        <v>42104</v>
      </c>
      <c r="G260" s="105" t="s">
        <v>47</v>
      </c>
      <c r="H260" s="107">
        <v>42104</v>
      </c>
      <c r="I260" s="105" t="s">
        <v>345</v>
      </c>
    </row>
    <row r="261" spans="1:9" x14ac:dyDescent="0.2">
      <c r="A261" s="105" t="s">
        <v>2</v>
      </c>
      <c r="B261" s="106">
        <v>50</v>
      </c>
      <c r="C261" s="105">
        <v>1</v>
      </c>
      <c r="D261" s="105">
        <v>0</v>
      </c>
      <c r="E261" s="105">
        <v>0</v>
      </c>
      <c r="F261" s="107">
        <v>42104</v>
      </c>
      <c r="G261" s="105" t="s">
        <v>47</v>
      </c>
      <c r="H261" s="107">
        <v>42104</v>
      </c>
      <c r="I261" s="105" t="s">
        <v>1183</v>
      </c>
    </row>
    <row r="262" spans="1:9" x14ac:dyDescent="0.2">
      <c r="A262" s="105" t="s">
        <v>38</v>
      </c>
      <c r="B262" s="106">
        <v>57</v>
      </c>
      <c r="C262" s="105">
        <v>1</v>
      </c>
      <c r="D262" s="105">
        <v>0</v>
      </c>
      <c r="E262" s="105">
        <v>0</v>
      </c>
      <c r="F262" s="107">
        <v>42104</v>
      </c>
      <c r="G262" s="105" t="s">
        <v>47</v>
      </c>
      <c r="H262" s="107">
        <v>42104</v>
      </c>
      <c r="I262" s="105" t="s">
        <v>345</v>
      </c>
    </row>
    <row r="263" spans="1:9" x14ac:dyDescent="0.2">
      <c r="A263" s="105" t="s">
        <v>982</v>
      </c>
      <c r="B263" s="106">
        <v>40.78</v>
      </c>
      <c r="C263" s="105">
        <v>1</v>
      </c>
      <c r="D263" s="105">
        <v>0</v>
      </c>
      <c r="E263" s="105">
        <v>0</v>
      </c>
      <c r="F263" s="107">
        <v>42104</v>
      </c>
      <c r="G263" s="105" t="s">
        <v>47</v>
      </c>
      <c r="H263" s="107">
        <v>42104</v>
      </c>
      <c r="I263" s="105" t="s">
        <v>345</v>
      </c>
    </row>
    <row r="264" spans="1:9" x14ac:dyDescent="0.2">
      <c r="A264" s="105" t="s">
        <v>1</v>
      </c>
      <c r="B264" s="105">
        <v>272.29000000000002</v>
      </c>
      <c r="C264" s="105">
        <v>1</v>
      </c>
      <c r="D264" s="105">
        <v>0</v>
      </c>
      <c r="E264" s="105">
        <v>0</v>
      </c>
      <c r="F264" s="107">
        <v>42104</v>
      </c>
      <c r="G264" s="105" t="s">
        <v>47</v>
      </c>
      <c r="H264" s="107">
        <v>42104</v>
      </c>
      <c r="I264" s="105" t="s">
        <v>346</v>
      </c>
    </row>
    <row r="265" spans="1:9" x14ac:dyDescent="0.2">
      <c r="A265" s="105" t="s">
        <v>26</v>
      </c>
      <c r="B265" s="106">
        <v>501.76</v>
      </c>
      <c r="C265" s="105">
        <v>1</v>
      </c>
      <c r="D265" s="105">
        <v>0</v>
      </c>
      <c r="E265" s="105">
        <v>0</v>
      </c>
      <c r="F265" s="107">
        <v>42104</v>
      </c>
      <c r="G265" s="105" t="s">
        <v>47</v>
      </c>
      <c r="H265" s="107">
        <v>42104</v>
      </c>
      <c r="I265" s="105" t="s">
        <v>345</v>
      </c>
    </row>
    <row r="266" spans="1:9" x14ac:dyDescent="0.2">
      <c r="A266" s="105" t="s">
        <v>28</v>
      </c>
      <c r="B266" s="106">
        <v>38.5</v>
      </c>
      <c r="C266" s="105">
        <v>1</v>
      </c>
      <c r="D266" s="105">
        <v>0</v>
      </c>
      <c r="E266" s="105">
        <v>0</v>
      </c>
      <c r="F266" s="107">
        <v>42104</v>
      </c>
      <c r="G266" s="105" t="s">
        <v>47</v>
      </c>
      <c r="H266" s="107">
        <v>42104</v>
      </c>
      <c r="I266" s="105" t="s">
        <v>345</v>
      </c>
    </row>
    <row r="267" spans="1:9" x14ac:dyDescent="0.2">
      <c r="A267" s="105" t="s">
        <v>27</v>
      </c>
      <c r="B267" s="106">
        <v>282.25</v>
      </c>
      <c r="C267" s="105">
        <v>1</v>
      </c>
      <c r="D267" s="105">
        <v>0</v>
      </c>
      <c r="E267" s="105">
        <v>0</v>
      </c>
      <c r="F267" s="107">
        <v>42104</v>
      </c>
      <c r="G267" s="105" t="s">
        <v>47</v>
      </c>
      <c r="H267" s="107">
        <v>42104</v>
      </c>
      <c r="I267" s="105" t="s">
        <v>345</v>
      </c>
    </row>
    <row r="268" spans="1:9" x14ac:dyDescent="0.2">
      <c r="A268" s="105" t="s">
        <v>12</v>
      </c>
      <c r="B268" s="106">
        <v>539.16</v>
      </c>
      <c r="C268" s="105">
        <v>1</v>
      </c>
      <c r="D268" s="105">
        <v>0</v>
      </c>
      <c r="E268" s="105">
        <v>0</v>
      </c>
      <c r="F268" s="107">
        <v>42104</v>
      </c>
      <c r="G268" s="105" t="s">
        <v>47</v>
      </c>
      <c r="H268" s="107">
        <v>42104</v>
      </c>
      <c r="I268" s="105" t="s">
        <v>348</v>
      </c>
    </row>
    <row r="269" spans="1:9" x14ac:dyDescent="0.2">
      <c r="A269" s="105" t="s">
        <v>25</v>
      </c>
      <c r="B269" s="106">
        <v>130</v>
      </c>
      <c r="C269" s="105">
        <v>1</v>
      </c>
      <c r="D269" s="105">
        <v>0</v>
      </c>
      <c r="E269" s="105">
        <v>0</v>
      </c>
      <c r="F269" s="107">
        <v>42104</v>
      </c>
      <c r="G269" s="105" t="s">
        <v>47</v>
      </c>
      <c r="H269" s="107">
        <v>42104</v>
      </c>
      <c r="I269" s="105" t="s">
        <v>25</v>
      </c>
    </row>
    <row r="270" spans="1:9" x14ac:dyDescent="0.2">
      <c r="A270" s="105" t="s">
        <v>1041</v>
      </c>
      <c r="B270" s="106">
        <v>148.01</v>
      </c>
      <c r="C270" s="105">
        <v>1</v>
      </c>
      <c r="D270" s="105">
        <v>0</v>
      </c>
      <c r="E270" s="105">
        <v>0</v>
      </c>
      <c r="F270" s="107">
        <v>42104</v>
      </c>
      <c r="G270" s="105" t="s">
        <v>47</v>
      </c>
      <c r="H270" s="107">
        <v>42104</v>
      </c>
      <c r="I270" s="105" t="s">
        <v>117</v>
      </c>
    </row>
    <row r="271" spans="1:9" x14ac:dyDescent="0.2">
      <c r="A271" s="105" t="s">
        <v>1042</v>
      </c>
      <c r="B271" s="106">
        <v>139.13</v>
      </c>
      <c r="C271" s="105">
        <v>1</v>
      </c>
      <c r="D271" s="105">
        <v>0</v>
      </c>
      <c r="E271" s="105">
        <v>0</v>
      </c>
      <c r="F271" s="107">
        <v>42104</v>
      </c>
      <c r="G271" s="105" t="s">
        <v>47</v>
      </c>
      <c r="H271" s="107">
        <v>42104</v>
      </c>
      <c r="I271" s="105" t="s">
        <v>117</v>
      </c>
    </row>
    <row r="272" spans="1:9" x14ac:dyDescent="0.2">
      <c r="A272" s="105" t="s">
        <v>1043</v>
      </c>
      <c r="B272" s="106">
        <v>66.61</v>
      </c>
      <c r="C272" s="105">
        <v>1</v>
      </c>
      <c r="D272" s="105">
        <v>0</v>
      </c>
      <c r="E272" s="105">
        <v>0</v>
      </c>
      <c r="F272" s="107">
        <v>42104</v>
      </c>
      <c r="G272" s="105" t="s">
        <v>47</v>
      </c>
      <c r="H272" s="107">
        <v>42104</v>
      </c>
      <c r="I272" s="105" t="s">
        <v>117</v>
      </c>
    </row>
    <row r="273" spans="1:9" x14ac:dyDescent="0.2">
      <c r="A273" s="105" t="s">
        <v>582</v>
      </c>
      <c r="B273" s="106">
        <v>1242.58</v>
      </c>
      <c r="C273" s="105">
        <v>1</v>
      </c>
      <c r="D273" s="105">
        <v>0</v>
      </c>
      <c r="E273" s="105">
        <v>0</v>
      </c>
      <c r="F273" s="107">
        <v>42104</v>
      </c>
      <c r="G273" s="105" t="s">
        <v>47</v>
      </c>
      <c r="H273" s="107">
        <v>42104</v>
      </c>
      <c r="I273" s="108" t="s">
        <v>346</v>
      </c>
    </row>
    <row r="274" spans="1:9" x14ac:dyDescent="0.2">
      <c r="A274" s="105" t="s">
        <v>688</v>
      </c>
      <c r="B274" s="106">
        <v>378</v>
      </c>
      <c r="C274" s="105">
        <v>1</v>
      </c>
      <c r="D274" s="105">
        <v>0</v>
      </c>
      <c r="E274" s="105">
        <v>0</v>
      </c>
      <c r="F274" s="107">
        <v>42104</v>
      </c>
      <c r="G274" s="105" t="s">
        <v>47</v>
      </c>
      <c r="H274" s="107">
        <v>42104</v>
      </c>
      <c r="I274" s="1" t="s">
        <v>153</v>
      </c>
    </row>
    <row r="275" spans="1:9" x14ac:dyDescent="0.2">
      <c r="A275" s="105" t="s">
        <v>52</v>
      </c>
      <c r="B275" s="106">
        <v>15.86</v>
      </c>
      <c r="C275" s="105">
        <v>0</v>
      </c>
      <c r="D275" s="105">
        <v>1</v>
      </c>
      <c r="E275" s="105">
        <v>0</v>
      </c>
      <c r="F275" s="107">
        <v>42104</v>
      </c>
      <c r="G275" s="105" t="s">
        <v>49</v>
      </c>
      <c r="H275" s="107">
        <v>42105</v>
      </c>
      <c r="I275" s="108" t="s">
        <v>52</v>
      </c>
    </row>
    <row r="276" spans="1:9" x14ac:dyDescent="0.2">
      <c r="A276" s="105" t="s">
        <v>398</v>
      </c>
      <c r="B276" s="106">
        <v>30</v>
      </c>
      <c r="C276" s="105">
        <v>0</v>
      </c>
      <c r="D276" s="105">
        <v>1</v>
      </c>
      <c r="E276" s="105">
        <v>0</v>
      </c>
      <c r="F276" s="107">
        <v>42104</v>
      </c>
      <c r="G276" s="105" t="s">
        <v>49</v>
      </c>
      <c r="H276" s="107">
        <v>42105</v>
      </c>
      <c r="I276" s="108" t="s">
        <v>398</v>
      </c>
    </row>
    <row r="277" spans="1:9" x14ac:dyDescent="0.2">
      <c r="A277" s="105" t="s">
        <v>693</v>
      </c>
      <c r="B277" s="106">
        <v>60</v>
      </c>
      <c r="C277" s="105">
        <v>0</v>
      </c>
      <c r="D277" s="105">
        <v>1</v>
      </c>
      <c r="E277" s="105">
        <v>0</v>
      </c>
      <c r="F277" s="107">
        <v>42104</v>
      </c>
      <c r="G277" s="105" t="s">
        <v>49</v>
      </c>
      <c r="H277" s="107">
        <v>42105</v>
      </c>
      <c r="I277" s="108" t="s">
        <v>344</v>
      </c>
    </row>
    <row r="278" spans="1:9" x14ac:dyDescent="0.2">
      <c r="A278" s="105" t="s">
        <v>48</v>
      </c>
      <c r="B278" s="106">
        <v>50</v>
      </c>
      <c r="C278" s="105">
        <v>0</v>
      </c>
      <c r="D278" s="105">
        <v>1</v>
      </c>
      <c r="E278" s="105">
        <v>0</v>
      </c>
      <c r="F278" s="107">
        <v>42104</v>
      </c>
      <c r="G278" s="105" t="s">
        <v>49</v>
      </c>
      <c r="H278" s="107">
        <v>42105</v>
      </c>
      <c r="I278" s="108" t="s">
        <v>48</v>
      </c>
    </row>
    <row r="279" spans="1:9" x14ac:dyDescent="0.2">
      <c r="A279" s="108" t="s">
        <v>52</v>
      </c>
      <c r="B279" s="109">
        <v>15.86</v>
      </c>
      <c r="C279" s="108">
        <v>0</v>
      </c>
      <c r="D279" s="108">
        <v>1</v>
      </c>
      <c r="E279" s="105">
        <v>0</v>
      </c>
      <c r="F279" s="107">
        <v>42104</v>
      </c>
      <c r="G279" s="105" t="s">
        <v>49</v>
      </c>
      <c r="H279" s="110">
        <v>42105</v>
      </c>
      <c r="I279" s="108" t="s">
        <v>52</v>
      </c>
    </row>
    <row r="280" spans="1:9" x14ac:dyDescent="0.2">
      <c r="A280" s="108" t="s">
        <v>43</v>
      </c>
      <c r="B280" s="109">
        <v>30</v>
      </c>
      <c r="C280" s="108">
        <v>1</v>
      </c>
      <c r="D280" s="108">
        <v>0</v>
      </c>
      <c r="E280" s="105">
        <v>0</v>
      </c>
      <c r="F280" s="107">
        <v>42104</v>
      </c>
      <c r="G280" s="105" t="s">
        <v>49</v>
      </c>
      <c r="H280" s="110">
        <v>42106</v>
      </c>
      <c r="I280" s="1" t="s">
        <v>153</v>
      </c>
    </row>
    <row r="281" spans="1:9" x14ac:dyDescent="0.2">
      <c r="A281" s="105" t="s">
        <v>52</v>
      </c>
      <c r="B281" s="106">
        <v>26.92</v>
      </c>
      <c r="C281" s="105">
        <v>0</v>
      </c>
      <c r="D281" s="105">
        <v>1</v>
      </c>
      <c r="E281" s="105">
        <v>0</v>
      </c>
      <c r="F281" s="107">
        <v>42104</v>
      </c>
      <c r="G281" s="105" t="s">
        <v>51</v>
      </c>
      <c r="H281" s="107">
        <v>42107</v>
      </c>
      <c r="I281" s="108" t="s">
        <v>52</v>
      </c>
    </row>
    <row r="282" spans="1:9" x14ac:dyDescent="0.2">
      <c r="A282" s="105" t="s">
        <v>52</v>
      </c>
      <c r="B282" s="106">
        <v>43.41</v>
      </c>
      <c r="C282" s="105">
        <v>0</v>
      </c>
      <c r="D282" s="105">
        <v>1</v>
      </c>
      <c r="E282" s="105">
        <v>0</v>
      </c>
      <c r="F282" s="107">
        <v>42104</v>
      </c>
      <c r="G282" s="105" t="s">
        <v>51</v>
      </c>
      <c r="H282" s="107">
        <v>42108</v>
      </c>
      <c r="I282" s="108" t="s">
        <v>52</v>
      </c>
    </row>
    <row r="283" spans="1:9" x14ac:dyDescent="0.2">
      <c r="A283" s="105" t="s">
        <v>374</v>
      </c>
      <c r="B283" s="106">
        <v>3</v>
      </c>
      <c r="C283" s="105">
        <v>0</v>
      </c>
      <c r="D283" s="105">
        <v>1</v>
      </c>
      <c r="E283" s="105">
        <v>0</v>
      </c>
      <c r="F283" s="107">
        <v>42104</v>
      </c>
      <c r="G283" s="105" t="s">
        <v>51</v>
      </c>
      <c r="H283" s="107">
        <v>42108</v>
      </c>
      <c r="I283" s="108" t="s">
        <v>50</v>
      </c>
    </row>
    <row r="284" spans="1:9" x14ac:dyDescent="0.2">
      <c r="A284" s="12" t="s">
        <v>21</v>
      </c>
      <c r="B284" s="88">
        <f>SUMIFS(credito!$B$2:$B$107,credito!$F$2:$F$107,F284,credito!$G$2:$G$107,0)</f>
        <v>1495.0566666666668</v>
      </c>
      <c r="C284" s="12">
        <v>1</v>
      </c>
      <c r="D284" s="12">
        <v>0</v>
      </c>
      <c r="E284" s="12">
        <v>0</v>
      </c>
      <c r="F284" s="89">
        <v>42104</v>
      </c>
      <c r="G284" s="12" t="s">
        <v>51</v>
      </c>
      <c r="H284" s="89">
        <v>42111</v>
      </c>
      <c r="I284" s="12" t="s">
        <v>336</v>
      </c>
    </row>
    <row r="285" spans="1:9" x14ac:dyDescent="0.2">
      <c r="A285" s="108" t="s">
        <v>52</v>
      </c>
      <c r="B285" s="109">
        <v>47.7</v>
      </c>
      <c r="C285" s="108">
        <v>0</v>
      </c>
      <c r="D285" s="108">
        <v>1</v>
      </c>
      <c r="E285" s="105">
        <v>0</v>
      </c>
      <c r="F285" s="107">
        <v>42104</v>
      </c>
      <c r="G285" s="105" t="s">
        <v>51</v>
      </c>
      <c r="H285" s="110">
        <v>42111</v>
      </c>
      <c r="I285" s="108" t="s">
        <v>52</v>
      </c>
    </row>
    <row r="286" spans="1:9" x14ac:dyDescent="0.2">
      <c r="A286" s="108" t="s">
        <v>686</v>
      </c>
      <c r="B286" s="109">
        <v>24.5</v>
      </c>
      <c r="C286" s="108">
        <v>0</v>
      </c>
      <c r="D286" s="108">
        <v>1</v>
      </c>
      <c r="E286" s="105">
        <v>0</v>
      </c>
      <c r="F286" s="107">
        <v>42104</v>
      </c>
      <c r="G286" s="105" t="s">
        <v>49</v>
      </c>
      <c r="H286" s="110">
        <v>42112</v>
      </c>
      <c r="I286" s="168" t="s">
        <v>346</v>
      </c>
    </row>
    <row r="287" spans="1:9" x14ac:dyDescent="0.2">
      <c r="A287" s="108" t="s">
        <v>736</v>
      </c>
      <c r="B287" s="109">
        <v>63.84</v>
      </c>
      <c r="C287" s="108">
        <v>0</v>
      </c>
      <c r="D287" s="108">
        <v>1</v>
      </c>
      <c r="E287" s="105">
        <v>0</v>
      </c>
      <c r="F287" s="107">
        <v>42104</v>
      </c>
      <c r="G287" s="105" t="s">
        <v>49</v>
      </c>
      <c r="H287" s="110">
        <v>42112</v>
      </c>
      <c r="I287" s="108" t="s">
        <v>344</v>
      </c>
    </row>
    <row r="288" spans="1:9" x14ac:dyDescent="0.2">
      <c r="A288" s="108" t="s">
        <v>116</v>
      </c>
      <c r="B288" s="109">
        <v>20</v>
      </c>
      <c r="C288" s="108">
        <v>0</v>
      </c>
      <c r="D288" s="108">
        <v>1</v>
      </c>
      <c r="E288" s="105">
        <v>0</v>
      </c>
      <c r="F288" s="107">
        <v>42104</v>
      </c>
      <c r="G288" s="105" t="s">
        <v>49</v>
      </c>
      <c r="H288" s="110">
        <v>42112</v>
      </c>
      <c r="I288" s="108" t="s">
        <v>344</v>
      </c>
    </row>
    <row r="289" spans="1:9" x14ac:dyDescent="0.2">
      <c r="A289" s="108" t="s">
        <v>398</v>
      </c>
      <c r="B289" s="109">
        <v>50</v>
      </c>
      <c r="C289" s="108">
        <v>0</v>
      </c>
      <c r="D289" s="108">
        <v>1</v>
      </c>
      <c r="E289" s="105">
        <v>0</v>
      </c>
      <c r="F289" s="107">
        <v>42104</v>
      </c>
      <c r="G289" s="105" t="s">
        <v>49</v>
      </c>
      <c r="H289" s="110">
        <v>42113</v>
      </c>
      <c r="I289" s="108" t="s">
        <v>398</v>
      </c>
    </row>
    <row r="290" spans="1:9" x14ac:dyDescent="0.2">
      <c r="A290" s="108" t="s">
        <v>43</v>
      </c>
      <c r="B290" s="109">
        <v>90</v>
      </c>
      <c r="C290" s="108">
        <v>1</v>
      </c>
      <c r="D290" s="108">
        <v>0</v>
      </c>
      <c r="E290" s="105">
        <v>0</v>
      </c>
      <c r="F290" s="107">
        <v>42104</v>
      </c>
      <c r="G290" s="105" t="s">
        <v>49</v>
      </c>
      <c r="H290" s="110">
        <v>42113</v>
      </c>
      <c r="I290" s="1" t="s">
        <v>153</v>
      </c>
    </row>
    <row r="291" spans="1:9" x14ac:dyDescent="0.2">
      <c r="A291" s="108" t="s">
        <v>96</v>
      </c>
      <c r="B291" s="109">
        <v>36.43</v>
      </c>
      <c r="C291" s="105">
        <v>0</v>
      </c>
      <c r="D291" s="105">
        <v>1</v>
      </c>
      <c r="E291" s="105">
        <v>0</v>
      </c>
      <c r="F291" s="107">
        <v>42104</v>
      </c>
      <c r="G291" s="105" t="s">
        <v>54</v>
      </c>
      <c r="H291" s="107">
        <v>42114</v>
      </c>
      <c r="I291" t="s">
        <v>96</v>
      </c>
    </row>
    <row r="292" spans="1:9" x14ac:dyDescent="0.2">
      <c r="A292" s="108" t="s">
        <v>44</v>
      </c>
      <c r="B292" s="109">
        <v>50</v>
      </c>
      <c r="C292" s="105">
        <v>1</v>
      </c>
      <c r="D292" s="105">
        <v>0</v>
      </c>
      <c r="E292" s="105">
        <v>0</v>
      </c>
      <c r="F292" s="107">
        <v>42104</v>
      </c>
      <c r="G292" s="105" t="s">
        <v>54</v>
      </c>
      <c r="H292" s="107">
        <v>42114</v>
      </c>
      <c r="I292" s="108" t="s">
        <v>60</v>
      </c>
    </row>
    <row r="293" spans="1:9" x14ac:dyDescent="0.2">
      <c r="A293" s="108" t="s">
        <v>52</v>
      </c>
      <c r="B293" s="109">
        <v>17</v>
      </c>
      <c r="C293" s="108">
        <v>0</v>
      </c>
      <c r="D293" s="108">
        <v>1</v>
      </c>
      <c r="E293" s="105">
        <v>0</v>
      </c>
      <c r="F293" s="107">
        <v>42104</v>
      </c>
      <c r="G293" s="105" t="s">
        <v>54</v>
      </c>
      <c r="H293" s="110">
        <v>42114</v>
      </c>
      <c r="I293" s="108" t="s">
        <v>52</v>
      </c>
    </row>
    <row r="294" spans="1:9" x14ac:dyDescent="0.2">
      <c r="A294" s="108" t="s">
        <v>52</v>
      </c>
      <c r="B294" s="109">
        <v>74.59</v>
      </c>
      <c r="C294" s="108">
        <v>0</v>
      </c>
      <c r="D294" s="108">
        <v>1</v>
      </c>
      <c r="E294" s="105">
        <v>0</v>
      </c>
      <c r="F294" s="107">
        <v>42104</v>
      </c>
      <c r="G294" s="105" t="s">
        <v>54</v>
      </c>
      <c r="H294" s="110">
        <v>42115</v>
      </c>
      <c r="I294" s="108" t="s">
        <v>52</v>
      </c>
    </row>
    <row r="295" spans="1:9" x14ac:dyDescent="0.2">
      <c r="A295" s="108" t="s">
        <v>740</v>
      </c>
      <c r="B295" s="109">
        <v>100</v>
      </c>
      <c r="C295" s="108">
        <v>0</v>
      </c>
      <c r="D295" s="108">
        <v>1</v>
      </c>
      <c r="E295" s="108">
        <v>0</v>
      </c>
      <c r="F295" s="107">
        <v>42104</v>
      </c>
      <c r="G295" s="105" t="s">
        <v>54</v>
      </c>
      <c r="H295" s="110">
        <v>42117</v>
      </c>
      <c r="I295" s="108" t="s">
        <v>344</v>
      </c>
    </row>
    <row r="296" spans="1:9" x14ac:dyDescent="0.2">
      <c r="A296" s="108" t="s">
        <v>739</v>
      </c>
      <c r="B296" s="109">
        <v>14</v>
      </c>
      <c r="C296" s="108">
        <v>0</v>
      </c>
      <c r="D296" s="108">
        <v>1</v>
      </c>
      <c r="E296" s="108">
        <v>0</v>
      </c>
      <c r="F296" s="107">
        <v>42104</v>
      </c>
      <c r="G296" s="105" t="s">
        <v>54</v>
      </c>
      <c r="H296" s="110">
        <v>42118</v>
      </c>
      <c r="I296" s="108" t="s">
        <v>50</v>
      </c>
    </row>
    <row r="297" spans="1:9" x14ac:dyDescent="0.2">
      <c r="A297" s="105" t="s">
        <v>29</v>
      </c>
      <c r="B297" s="106">
        <v>518</v>
      </c>
      <c r="C297" s="105">
        <v>1</v>
      </c>
      <c r="D297" s="105">
        <v>0</v>
      </c>
      <c r="E297" s="105">
        <v>0</v>
      </c>
      <c r="F297" s="107">
        <v>42104</v>
      </c>
      <c r="G297" s="105" t="s">
        <v>55</v>
      </c>
      <c r="H297" s="107">
        <v>42121</v>
      </c>
      <c r="I297" s="108" t="s">
        <v>346</v>
      </c>
    </row>
    <row r="298" spans="1:9" x14ac:dyDescent="0.2">
      <c r="A298" s="108" t="s">
        <v>44</v>
      </c>
      <c r="B298" s="109">
        <v>100</v>
      </c>
      <c r="C298" s="108">
        <v>1</v>
      </c>
      <c r="D298" s="108">
        <v>0</v>
      </c>
      <c r="E298" s="108">
        <v>0</v>
      </c>
      <c r="F298" s="107">
        <v>42104</v>
      </c>
      <c r="G298" s="105" t="s">
        <v>55</v>
      </c>
      <c r="H298" s="110">
        <v>42121</v>
      </c>
      <c r="I298" s="108" t="s">
        <v>60</v>
      </c>
    </row>
    <row r="299" spans="1:9" x14ac:dyDescent="0.2">
      <c r="A299" s="108" t="s">
        <v>52</v>
      </c>
      <c r="B299" s="109">
        <v>63.61</v>
      </c>
      <c r="C299" s="108">
        <v>0</v>
      </c>
      <c r="D299" s="108">
        <v>1</v>
      </c>
      <c r="E299" s="108">
        <v>0</v>
      </c>
      <c r="F299" s="107">
        <v>42104</v>
      </c>
      <c r="G299" s="105" t="s">
        <v>55</v>
      </c>
      <c r="H299" s="110">
        <v>42122</v>
      </c>
      <c r="I299" s="108" t="s">
        <v>52</v>
      </c>
    </row>
    <row r="300" spans="1:9" x14ac:dyDescent="0.2">
      <c r="A300" s="108" t="s">
        <v>52</v>
      </c>
      <c r="B300" s="109">
        <v>52.25</v>
      </c>
      <c r="C300" s="108">
        <v>0</v>
      </c>
      <c r="D300" s="108">
        <v>1</v>
      </c>
      <c r="E300" s="108">
        <v>0</v>
      </c>
      <c r="F300" s="107">
        <v>42104</v>
      </c>
      <c r="G300" s="105" t="s">
        <v>55</v>
      </c>
      <c r="H300" s="110">
        <v>42123</v>
      </c>
      <c r="I300" s="108" t="s">
        <v>52</v>
      </c>
    </row>
    <row r="301" spans="1:9" x14ac:dyDescent="0.2">
      <c r="A301" s="108" t="s">
        <v>96</v>
      </c>
      <c r="B301" s="109">
        <v>21.1</v>
      </c>
      <c r="C301" s="108">
        <v>0</v>
      </c>
      <c r="D301" s="108">
        <v>1</v>
      </c>
      <c r="E301" s="108">
        <v>0</v>
      </c>
      <c r="F301" s="107">
        <v>42104</v>
      </c>
      <c r="G301" s="105" t="s">
        <v>55</v>
      </c>
      <c r="H301" s="110">
        <v>42123</v>
      </c>
      <c r="I301" t="s">
        <v>96</v>
      </c>
    </row>
    <row r="302" spans="1:9" x14ac:dyDescent="0.2">
      <c r="A302" s="108" t="s">
        <v>744</v>
      </c>
      <c r="B302" s="109">
        <v>200</v>
      </c>
      <c r="C302" s="108">
        <v>0</v>
      </c>
      <c r="D302" s="108">
        <v>1</v>
      </c>
      <c r="E302" s="108">
        <v>0</v>
      </c>
      <c r="F302" s="107">
        <v>42104</v>
      </c>
      <c r="G302" s="105" t="s">
        <v>55</v>
      </c>
      <c r="H302" s="110">
        <v>42123</v>
      </c>
      <c r="I302" s="168" t="s">
        <v>503</v>
      </c>
    </row>
    <row r="303" spans="1:9" x14ac:dyDescent="0.2">
      <c r="A303" s="108" t="s">
        <v>190</v>
      </c>
      <c r="B303" s="109">
        <v>4.4400000000000004</v>
      </c>
      <c r="C303" s="108">
        <v>0</v>
      </c>
      <c r="D303" s="108">
        <v>1</v>
      </c>
      <c r="E303" s="108">
        <v>0</v>
      </c>
      <c r="F303" s="107">
        <v>42104</v>
      </c>
      <c r="G303" s="105" t="s">
        <v>55</v>
      </c>
      <c r="H303" s="110">
        <v>42124</v>
      </c>
      <c r="I303" s="108" t="s">
        <v>190</v>
      </c>
    </row>
    <row r="304" spans="1:9" x14ac:dyDescent="0.2">
      <c r="A304" s="108" t="s">
        <v>759</v>
      </c>
      <c r="B304" s="109">
        <v>5.94</v>
      </c>
      <c r="C304" s="108">
        <v>0</v>
      </c>
      <c r="D304" s="108">
        <v>1</v>
      </c>
      <c r="E304" s="108">
        <v>0</v>
      </c>
      <c r="F304" s="107">
        <v>42104</v>
      </c>
      <c r="G304" s="105" t="s">
        <v>55</v>
      </c>
      <c r="H304" s="110">
        <v>42123</v>
      </c>
      <c r="I304" s="108" t="s">
        <v>50</v>
      </c>
    </row>
    <row r="305" spans="1:9" x14ac:dyDescent="0.2">
      <c r="A305" s="105" t="s">
        <v>39</v>
      </c>
      <c r="B305" s="106">
        <v>45</v>
      </c>
      <c r="C305" s="105">
        <v>1</v>
      </c>
      <c r="D305" s="105">
        <v>0</v>
      </c>
      <c r="E305" s="108">
        <v>0</v>
      </c>
      <c r="F305" s="107">
        <v>42104</v>
      </c>
      <c r="G305" s="108" t="s">
        <v>180</v>
      </c>
      <c r="H305" s="107">
        <v>42128</v>
      </c>
      <c r="I305" s="105" t="s">
        <v>345</v>
      </c>
    </row>
    <row r="306" spans="1:9" x14ac:dyDescent="0.2">
      <c r="A306" s="105" t="s">
        <v>398</v>
      </c>
      <c r="B306" s="106">
        <v>50</v>
      </c>
      <c r="C306" s="108">
        <v>0</v>
      </c>
      <c r="D306" s="108">
        <v>1</v>
      </c>
      <c r="E306" s="108">
        <v>0</v>
      </c>
      <c r="F306" s="107">
        <v>42104</v>
      </c>
      <c r="G306" s="108" t="s">
        <v>49</v>
      </c>
      <c r="H306" s="107">
        <v>42127</v>
      </c>
      <c r="I306" s="105" t="s">
        <v>398</v>
      </c>
    </row>
    <row r="307" spans="1:9" x14ac:dyDescent="0.2">
      <c r="A307" s="105" t="s">
        <v>760</v>
      </c>
      <c r="B307" s="106">
        <v>20.79</v>
      </c>
      <c r="C307" s="108">
        <v>0</v>
      </c>
      <c r="D307" s="108">
        <v>1</v>
      </c>
      <c r="E307" s="108">
        <v>0</v>
      </c>
      <c r="F307" s="107">
        <v>42104</v>
      </c>
      <c r="G307" s="108" t="s">
        <v>49</v>
      </c>
      <c r="H307" s="107">
        <v>42126</v>
      </c>
      <c r="I307" s="105" t="s">
        <v>50</v>
      </c>
    </row>
    <row r="308" spans="1:9" x14ac:dyDescent="0.2">
      <c r="A308" s="105" t="s">
        <v>190</v>
      </c>
      <c r="B308" s="106">
        <v>28.44</v>
      </c>
      <c r="C308" s="108">
        <v>0</v>
      </c>
      <c r="D308" s="108">
        <v>1</v>
      </c>
      <c r="E308" s="108">
        <v>0</v>
      </c>
      <c r="F308" s="107">
        <v>42104</v>
      </c>
      <c r="G308" s="108" t="s">
        <v>49</v>
      </c>
      <c r="H308" s="107">
        <v>42127</v>
      </c>
      <c r="I308" s="105" t="s">
        <v>190</v>
      </c>
    </row>
    <row r="309" spans="1:9" x14ac:dyDescent="0.2">
      <c r="A309" s="105" t="s">
        <v>52</v>
      </c>
      <c r="B309" s="106">
        <v>85.87</v>
      </c>
      <c r="C309" s="108">
        <v>0</v>
      </c>
      <c r="D309" s="108">
        <v>1</v>
      </c>
      <c r="E309" s="108">
        <v>0</v>
      </c>
      <c r="F309" s="107">
        <v>42104</v>
      </c>
      <c r="G309" s="108" t="s">
        <v>180</v>
      </c>
      <c r="H309" s="107">
        <v>42128</v>
      </c>
      <c r="I309" s="105" t="s">
        <v>52</v>
      </c>
    </row>
    <row r="310" spans="1:9" x14ac:dyDescent="0.2">
      <c r="A310" s="105" t="s">
        <v>52</v>
      </c>
      <c r="B310" s="106">
        <v>13.4</v>
      </c>
      <c r="C310" s="108">
        <v>0</v>
      </c>
      <c r="D310" s="108">
        <v>1</v>
      </c>
      <c r="E310" s="108">
        <v>0</v>
      </c>
      <c r="F310" s="107">
        <v>42104</v>
      </c>
      <c r="G310" s="108" t="s">
        <v>49</v>
      </c>
      <c r="H310" s="107">
        <v>42126</v>
      </c>
      <c r="I310" s="105" t="s">
        <v>52</v>
      </c>
    </row>
    <row r="311" spans="1:9" x14ac:dyDescent="0.2">
      <c r="A311" s="105" t="s">
        <v>761</v>
      </c>
      <c r="B311" s="106">
        <v>17</v>
      </c>
      <c r="C311" s="108">
        <v>0</v>
      </c>
      <c r="D311" s="108">
        <v>1</v>
      </c>
      <c r="E311" s="108">
        <v>0</v>
      </c>
      <c r="F311" s="107">
        <v>42104</v>
      </c>
      <c r="G311" s="108" t="s">
        <v>49</v>
      </c>
      <c r="H311" s="107">
        <v>42126</v>
      </c>
      <c r="I311" s="105" t="s">
        <v>50</v>
      </c>
    </row>
    <row r="312" spans="1:9" x14ac:dyDescent="0.2">
      <c r="A312" s="105" t="s">
        <v>762</v>
      </c>
      <c r="B312" s="106">
        <v>18.96</v>
      </c>
      <c r="C312" s="108">
        <v>0</v>
      </c>
      <c r="D312" s="108">
        <v>1</v>
      </c>
      <c r="E312" s="108">
        <v>0</v>
      </c>
      <c r="F312" s="107">
        <v>42104</v>
      </c>
      <c r="G312" s="108" t="s">
        <v>180</v>
      </c>
      <c r="H312" s="107">
        <v>42130</v>
      </c>
      <c r="I312" s="105" t="s">
        <v>203</v>
      </c>
    </row>
    <row r="313" spans="1:9" x14ac:dyDescent="0.2">
      <c r="A313" s="105" t="s">
        <v>763</v>
      </c>
      <c r="B313" s="106">
        <v>9.9</v>
      </c>
      <c r="C313" s="108">
        <v>0</v>
      </c>
      <c r="D313" s="108">
        <v>1</v>
      </c>
      <c r="E313" s="108">
        <v>0</v>
      </c>
      <c r="F313" s="107">
        <v>42104</v>
      </c>
      <c r="G313" s="108" t="s">
        <v>180</v>
      </c>
      <c r="H313" s="107">
        <v>42130</v>
      </c>
      <c r="I313" s="105" t="s">
        <v>203</v>
      </c>
    </row>
    <row r="314" spans="1:9" x14ac:dyDescent="0.2">
      <c r="A314" s="105" t="s">
        <v>771</v>
      </c>
      <c r="B314" s="106">
        <v>14</v>
      </c>
      <c r="C314" s="108">
        <v>0</v>
      </c>
      <c r="D314" s="108">
        <v>1</v>
      </c>
      <c r="E314" s="108">
        <v>0</v>
      </c>
      <c r="F314" s="107">
        <v>42104</v>
      </c>
      <c r="G314" s="108" t="s">
        <v>180</v>
      </c>
      <c r="H314" s="107">
        <v>42131</v>
      </c>
      <c r="I314" s="105" t="s">
        <v>50</v>
      </c>
    </row>
    <row r="315" spans="1:9" x14ac:dyDescent="0.2">
      <c r="A315" s="105" t="s">
        <v>764</v>
      </c>
      <c r="B315" s="106">
        <v>8.5</v>
      </c>
      <c r="C315" s="108">
        <v>0</v>
      </c>
      <c r="D315" s="108">
        <v>1</v>
      </c>
      <c r="E315" s="108">
        <v>0</v>
      </c>
      <c r="F315" s="107">
        <v>42104</v>
      </c>
      <c r="G315" s="108" t="s">
        <v>180</v>
      </c>
      <c r="H315" s="107">
        <v>42131</v>
      </c>
      <c r="I315" s="1" t="s">
        <v>153</v>
      </c>
    </row>
    <row r="316" spans="1:9" x14ac:dyDescent="0.2">
      <c r="A316" s="105" t="s">
        <v>96</v>
      </c>
      <c r="B316" s="106">
        <v>43.27</v>
      </c>
      <c r="C316" s="108">
        <v>0</v>
      </c>
      <c r="D316" s="108">
        <v>1</v>
      </c>
      <c r="E316" s="108">
        <v>0</v>
      </c>
      <c r="F316" s="107">
        <v>42104</v>
      </c>
      <c r="G316" s="108" t="s">
        <v>180</v>
      </c>
      <c r="H316" s="107">
        <v>42131</v>
      </c>
      <c r="I316" t="s">
        <v>96</v>
      </c>
    </row>
    <row r="317" spans="1:9" x14ac:dyDescent="0.2">
      <c r="A317" s="105" t="s">
        <v>190</v>
      </c>
      <c r="B317" s="106">
        <v>5.46</v>
      </c>
      <c r="C317" s="108">
        <v>0</v>
      </c>
      <c r="D317" s="108">
        <v>1</v>
      </c>
      <c r="E317" s="108">
        <v>0</v>
      </c>
      <c r="F317" s="107">
        <v>42104</v>
      </c>
      <c r="G317" s="108" t="s">
        <v>180</v>
      </c>
      <c r="H317" s="107">
        <v>42131</v>
      </c>
      <c r="I317" s="105" t="s">
        <v>190</v>
      </c>
    </row>
    <row r="318" spans="1:9" x14ac:dyDescent="0.2">
      <c r="A318" s="105" t="s">
        <v>44</v>
      </c>
      <c r="B318" s="106">
        <v>100</v>
      </c>
      <c r="C318" s="108">
        <v>1</v>
      </c>
      <c r="D318" s="108">
        <v>0</v>
      </c>
      <c r="E318" s="108">
        <v>0</v>
      </c>
      <c r="F318" s="107">
        <v>42104</v>
      </c>
      <c r="G318" s="108" t="s">
        <v>180</v>
      </c>
      <c r="H318" s="107">
        <v>42131</v>
      </c>
      <c r="I318" s="105" t="s">
        <v>60</v>
      </c>
    </row>
    <row r="319" spans="1:9" x14ac:dyDescent="0.2">
      <c r="A319" s="108" t="s">
        <v>744</v>
      </c>
      <c r="B319" s="106">
        <v>250</v>
      </c>
      <c r="C319" s="108">
        <v>0</v>
      </c>
      <c r="D319" s="108">
        <v>1</v>
      </c>
      <c r="E319" s="108">
        <v>0</v>
      </c>
      <c r="F319" s="107">
        <v>42104</v>
      </c>
      <c r="G319" s="108" t="s">
        <v>180</v>
      </c>
      <c r="H319" s="107">
        <v>42132</v>
      </c>
      <c r="I319" s="105" t="s">
        <v>503</v>
      </c>
    </row>
    <row r="320" spans="1:9" x14ac:dyDescent="0.2">
      <c r="A320" s="108" t="s">
        <v>766</v>
      </c>
      <c r="B320" s="106">
        <v>456.14</v>
      </c>
      <c r="C320" s="108">
        <v>0</v>
      </c>
      <c r="D320" s="108">
        <v>1</v>
      </c>
      <c r="E320" s="108">
        <v>0</v>
      </c>
      <c r="F320" s="107">
        <v>42104</v>
      </c>
      <c r="G320" s="108" t="s">
        <v>180</v>
      </c>
      <c r="H320" s="107">
        <v>42132</v>
      </c>
      <c r="I320" s="105" t="s">
        <v>503</v>
      </c>
    </row>
    <row r="321" spans="1:9" x14ac:dyDescent="0.2">
      <c r="A321" s="105" t="s">
        <v>1037</v>
      </c>
      <c r="B321" s="106">
        <v>48.1</v>
      </c>
      <c r="C321" s="105">
        <v>1</v>
      </c>
      <c r="D321" s="105">
        <v>0</v>
      </c>
      <c r="E321" s="105">
        <v>0</v>
      </c>
      <c r="F321" s="107">
        <v>42104</v>
      </c>
      <c r="G321" s="105" t="s">
        <v>47</v>
      </c>
      <c r="H321" s="107">
        <v>42104</v>
      </c>
      <c r="I321" s="105" t="s">
        <v>1045</v>
      </c>
    </row>
    <row r="322" spans="1:9" x14ac:dyDescent="0.2">
      <c r="A322" s="105" t="s">
        <v>1038</v>
      </c>
      <c r="B322" s="106">
        <v>222.01</v>
      </c>
      <c r="C322" s="105">
        <v>1</v>
      </c>
      <c r="D322" s="105">
        <v>0</v>
      </c>
      <c r="E322" s="105">
        <v>0</v>
      </c>
      <c r="F322" s="107">
        <v>42104</v>
      </c>
      <c r="G322" s="105" t="s">
        <v>47</v>
      </c>
      <c r="H322" s="107">
        <v>42104</v>
      </c>
      <c r="I322" s="105" t="s">
        <v>1045</v>
      </c>
    </row>
    <row r="323" spans="1:9" x14ac:dyDescent="0.2">
      <c r="A323" s="105" t="s">
        <v>1039</v>
      </c>
      <c r="B323" s="106">
        <v>111.01</v>
      </c>
      <c r="C323" s="105">
        <v>1</v>
      </c>
      <c r="D323" s="105">
        <v>0</v>
      </c>
      <c r="E323" s="105">
        <v>0</v>
      </c>
      <c r="F323" s="107">
        <v>42104</v>
      </c>
      <c r="G323" s="105" t="s">
        <v>47</v>
      </c>
      <c r="H323" s="107">
        <v>42104</v>
      </c>
      <c r="I323" s="105" t="s">
        <v>1045</v>
      </c>
    </row>
    <row r="324" spans="1:9" x14ac:dyDescent="0.2">
      <c r="A324" s="105" t="s">
        <v>1040</v>
      </c>
      <c r="B324" s="106">
        <v>74</v>
      </c>
      <c r="C324" s="105">
        <v>1</v>
      </c>
      <c r="D324" s="105">
        <v>0</v>
      </c>
      <c r="E324" s="105">
        <v>0</v>
      </c>
      <c r="F324" s="107">
        <v>42104</v>
      </c>
      <c r="G324" s="105" t="s">
        <v>47</v>
      </c>
      <c r="H324" s="107">
        <v>42104</v>
      </c>
      <c r="I324" s="105" t="s">
        <v>1045</v>
      </c>
    </row>
    <row r="325" spans="1:9" x14ac:dyDescent="0.2">
      <c r="A325" s="27" t="s">
        <v>40</v>
      </c>
      <c r="B325" s="83">
        <v>4.99</v>
      </c>
      <c r="C325" s="27">
        <v>1</v>
      </c>
      <c r="D325" s="27">
        <v>0</v>
      </c>
      <c r="E325" s="27">
        <v>0</v>
      </c>
      <c r="F325" s="82">
        <v>42134</v>
      </c>
      <c r="G325" s="27" t="s">
        <v>49</v>
      </c>
      <c r="H325" s="82">
        <v>42134</v>
      </c>
      <c r="I325" s="27" t="s">
        <v>345</v>
      </c>
    </row>
    <row r="326" spans="1:9" x14ac:dyDescent="0.2">
      <c r="A326" t="s">
        <v>2</v>
      </c>
      <c r="B326" s="31">
        <v>50</v>
      </c>
      <c r="C326">
        <v>1</v>
      </c>
      <c r="D326">
        <v>0</v>
      </c>
      <c r="E326">
        <v>0</v>
      </c>
      <c r="F326" s="85">
        <v>42134</v>
      </c>
      <c r="G326" t="s">
        <v>49</v>
      </c>
      <c r="H326" s="85">
        <v>42134</v>
      </c>
      <c r="I326" s="105" t="s">
        <v>1183</v>
      </c>
    </row>
    <row r="327" spans="1:9" x14ac:dyDescent="0.2">
      <c r="A327" t="s">
        <v>38</v>
      </c>
      <c r="B327" s="31">
        <v>57</v>
      </c>
      <c r="C327">
        <v>1</v>
      </c>
      <c r="D327">
        <v>0</v>
      </c>
      <c r="E327">
        <v>0</v>
      </c>
      <c r="F327" s="85">
        <v>42134</v>
      </c>
      <c r="G327" t="s">
        <v>49</v>
      </c>
      <c r="H327" s="85">
        <v>42134</v>
      </c>
      <c r="I327" t="s">
        <v>345</v>
      </c>
    </row>
    <row r="328" spans="1:9" x14ac:dyDescent="0.2">
      <c r="A328" t="s">
        <v>982</v>
      </c>
      <c r="B328" s="31">
        <v>40.78</v>
      </c>
      <c r="C328">
        <v>1</v>
      </c>
      <c r="D328">
        <v>0</v>
      </c>
      <c r="E328">
        <v>0</v>
      </c>
      <c r="F328" s="85">
        <v>42134</v>
      </c>
      <c r="G328" t="s">
        <v>49</v>
      </c>
      <c r="H328" s="85">
        <v>42134</v>
      </c>
      <c r="I328" t="s">
        <v>345</v>
      </c>
    </row>
    <row r="329" spans="1:9" x14ac:dyDescent="0.2">
      <c r="A329" t="s">
        <v>0</v>
      </c>
      <c r="B329" s="31">
        <v>0</v>
      </c>
      <c r="C329">
        <v>1</v>
      </c>
      <c r="D329">
        <v>0</v>
      </c>
      <c r="E329">
        <v>1</v>
      </c>
      <c r="F329" s="85">
        <v>42134</v>
      </c>
      <c r="G329" t="s">
        <v>49</v>
      </c>
      <c r="H329" s="85">
        <v>42134</v>
      </c>
      <c r="I329" t="s">
        <v>346</v>
      </c>
    </row>
    <row r="330" spans="1:9" x14ac:dyDescent="0.2">
      <c r="A330" t="s">
        <v>3</v>
      </c>
      <c r="B330" s="31">
        <v>93.48</v>
      </c>
      <c r="C330">
        <v>1</v>
      </c>
      <c r="D330">
        <v>0</v>
      </c>
      <c r="E330">
        <v>0</v>
      </c>
      <c r="F330" s="85">
        <v>42134</v>
      </c>
      <c r="G330" t="s">
        <v>47</v>
      </c>
      <c r="H330" s="85">
        <v>42138</v>
      </c>
      <c r="I330" t="s">
        <v>346</v>
      </c>
    </row>
    <row r="331" spans="1:9" x14ac:dyDescent="0.2">
      <c r="A331" t="s">
        <v>1</v>
      </c>
      <c r="B331">
        <v>217.67</v>
      </c>
      <c r="C331">
        <v>1</v>
      </c>
      <c r="D331">
        <v>0</v>
      </c>
      <c r="E331">
        <v>0</v>
      </c>
      <c r="F331" s="85">
        <v>42134</v>
      </c>
      <c r="G331" t="s">
        <v>49</v>
      </c>
      <c r="H331" s="85">
        <v>42134</v>
      </c>
      <c r="I331" t="s">
        <v>346</v>
      </c>
    </row>
    <row r="332" spans="1:9" x14ac:dyDescent="0.2">
      <c r="A332" t="s">
        <v>156</v>
      </c>
      <c r="B332" s="31">
        <v>0</v>
      </c>
      <c r="C332">
        <v>1</v>
      </c>
      <c r="D332">
        <v>0</v>
      </c>
      <c r="E332">
        <v>1</v>
      </c>
      <c r="F332" s="85">
        <v>42134</v>
      </c>
      <c r="G332" t="s">
        <v>49</v>
      </c>
      <c r="H332" s="85">
        <v>42134</v>
      </c>
      <c r="I332" t="s">
        <v>346</v>
      </c>
    </row>
    <row r="333" spans="1:9" x14ac:dyDescent="0.2">
      <c r="A333" t="s">
        <v>26</v>
      </c>
      <c r="B333" s="31">
        <v>501.76</v>
      </c>
      <c r="C333">
        <v>1</v>
      </c>
      <c r="D333">
        <v>0</v>
      </c>
      <c r="E333">
        <v>0</v>
      </c>
      <c r="F333" s="85">
        <v>42134</v>
      </c>
      <c r="G333" t="s">
        <v>49</v>
      </c>
      <c r="H333" s="85">
        <v>42134</v>
      </c>
      <c r="I333" t="s">
        <v>345</v>
      </c>
    </row>
    <row r="334" spans="1:9" x14ac:dyDescent="0.2">
      <c r="A334" t="s">
        <v>28</v>
      </c>
      <c r="B334" s="31">
        <v>38.5</v>
      </c>
      <c r="C334">
        <v>1</v>
      </c>
      <c r="D334">
        <v>0</v>
      </c>
      <c r="E334">
        <v>0</v>
      </c>
      <c r="F334" s="85">
        <v>42134</v>
      </c>
      <c r="G334" t="s">
        <v>49</v>
      </c>
      <c r="H334" s="85">
        <v>42134</v>
      </c>
      <c r="I334" t="s">
        <v>345</v>
      </c>
    </row>
    <row r="335" spans="1:9" x14ac:dyDescent="0.2">
      <c r="A335" t="s">
        <v>27</v>
      </c>
      <c r="B335" s="31">
        <v>282.25</v>
      </c>
      <c r="C335">
        <v>1</v>
      </c>
      <c r="D335">
        <v>0</v>
      </c>
      <c r="E335">
        <v>0</v>
      </c>
      <c r="F335" s="85">
        <v>42134</v>
      </c>
      <c r="G335" t="s">
        <v>49</v>
      </c>
      <c r="H335" s="85">
        <v>42134</v>
      </c>
      <c r="I335" t="s">
        <v>345</v>
      </c>
    </row>
    <row r="336" spans="1:9" x14ac:dyDescent="0.2">
      <c r="A336" t="s">
        <v>12</v>
      </c>
      <c r="B336" s="31">
        <v>533.26</v>
      </c>
      <c r="C336">
        <v>1</v>
      </c>
      <c r="D336">
        <v>0</v>
      </c>
      <c r="E336">
        <v>0</v>
      </c>
      <c r="F336" s="85">
        <v>42134</v>
      </c>
      <c r="G336" t="s">
        <v>49</v>
      </c>
      <c r="H336" s="85">
        <v>42134</v>
      </c>
      <c r="I336" t="s">
        <v>348</v>
      </c>
    </row>
    <row r="337" spans="1:9" x14ac:dyDescent="0.2">
      <c r="A337" t="s">
        <v>25</v>
      </c>
      <c r="B337" s="31">
        <v>130</v>
      </c>
      <c r="C337">
        <v>1</v>
      </c>
      <c r="D337">
        <v>0</v>
      </c>
      <c r="E337">
        <v>0</v>
      </c>
      <c r="F337" s="85">
        <v>42134</v>
      </c>
      <c r="G337" t="s">
        <v>49</v>
      </c>
      <c r="H337" s="85">
        <v>42134</v>
      </c>
      <c r="I337" t="s">
        <v>25</v>
      </c>
    </row>
    <row r="338" spans="1:9" x14ac:dyDescent="0.2">
      <c r="A338" s="100" t="s">
        <v>1041</v>
      </c>
      <c r="B338" s="31">
        <v>148.01</v>
      </c>
      <c r="C338">
        <v>1</v>
      </c>
      <c r="D338">
        <v>0</v>
      </c>
      <c r="E338">
        <v>0</v>
      </c>
      <c r="F338" s="85">
        <v>42134</v>
      </c>
      <c r="G338" t="s">
        <v>49</v>
      </c>
      <c r="H338" s="85">
        <v>42134</v>
      </c>
      <c r="I338" t="s">
        <v>117</v>
      </c>
    </row>
    <row r="339" spans="1:9" x14ac:dyDescent="0.2">
      <c r="A339" s="100" t="s">
        <v>1042</v>
      </c>
      <c r="B339" s="31">
        <v>139.13</v>
      </c>
      <c r="C339">
        <v>1</v>
      </c>
      <c r="D339">
        <v>0</v>
      </c>
      <c r="E339">
        <v>0</v>
      </c>
      <c r="F339" s="85">
        <v>42134</v>
      </c>
      <c r="G339" t="s">
        <v>49</v>
      </c>
      <c r="H339" s="85">
        <v>42134</v>
      </c>
      <c r="I339" t="s">
        <v>117</v>
      </c>
    </row>
    <row r="340" spans="1:9" x14ac:dyDescent="0.2">
      <c r="A340" s="100" t="s">
        <v>1043</v>
      </c>
      <c r="B340" s="31">
        <v>66.61</v>
      </c>
      <c r="C340">
        <v>1</v>
      </c>
      <c r="D340">
        <v>0</v>
      </c>
      <c r="E340">
        <v>0</v>
      </c>
      <c r="F340" s="85">
        <v>42134</v>
      </c>
      <c r="G340" t="s">
        <v>49</v>
      </c>
      <c r="H340" s="85">
        <v>42134</v>
      </c>
      <c r="I340" t="s">
        <v>117</v>
      </c>
    </row>
    <row r="341" spans="1:9" x14ac:dyDescent="0.2">
      <c r="A341" s="100" t="s">
        <v>29</v>
      </c>
      <c r="B341" s="101">
        <v>518</v>
      </c>
      <c r="C341">
        <v>1</v>
      </c>
      <c r="D341">
        <v>0</v>
      </c>
      <c r="E341">
        <v>0</v>
      </c>
      <c r="F341" s="85">
        <v>42134</v>
      </c>
      <c r="G341" t="s">
        <v>49</v>
      </c>
      <c r="H341" s="85">
        <v>42134</v>
      </c>
      <c r="I341" s="1" t="s">
        <v>346</v>
      </c>
    </row>
    <row r="342" spans="1:9" x14ac:dyDescent="0.2">
      <c r="A342" s="100" t="s">
        <v>582</v>
      </c>
      <c r="B342" s="101">
        <v>1262</v>
      </c>
      <c r="C342">
        <v>1</v>
      </c>
      <c r="D342">
        <v>0</v>
      </c>
      <c r="E342">
        <v>0</v>
      </c>
      <c r="F342" s="85">
        <v>42134</v>
      </c>
      <c r="G342" t="s">
        <v>49</v>
      </c>
      <c r="H342" s="85">
        <v>42134</v>
      </c>
      <c r="I342" s="1" t="s">
        <v>346</v>
      </c>
    </row>
    <row r="343" spans="1:9" x14ac:dyDescent="0.2">
      <c r="A343" s="100" t="s">
        <v>689</v>
      </c>
      <c r="B343" s="101">
        <v>0</v>
      </c>
      <c r="C343">
        <v>1</v>
      </c>
      <c r="D343">
        <v>0</v>
      </c>
      <c r="E343">
        <v>0</v>
      </c>
      <c r="F343" s="85">
        <v>42134</v>
      </c>
      <c r="G343" t="s">
        <v>49</v>
      </c>
      <c r="H343" s="85">
        <v>42134</v>
      </c>
      <c r="I343" s="1" t="s">
        <v>153</v>
      </c>
    </row>
    <row r="344" spans="1:9" x14ac:dyDescent="0.2">
      <c r="A344" s="12" t="s">
        <v>21</v>
      </c>
      <c r="B344" s="88">
        <f>SUMIFS(credito!$B$2:$B$204,credito!$F$2:$F$204,F344,credito!$G$2:$G$204,0)</f>
        <v>1483.0466666666669</v>
      </c>
      <c r="C344" s="12">
        <v>1</v>
      </c>
      <c r="D344" s="12">
        <v>0</v>
      </c>
      <c r="E344" s="12">
        <v>0</v>
      </c>
      <c r="F344" s="89">
        <v>42134</v>
      </c>
      <c r="G344" s="12" t="s">
        <v>49</v>
      </c>
      <c r="H344" s="89">
        <v>42141</v>
      </c>
      <c r="I344" s="12" t="s">
        <v>336</v>
      </c>
    </row>
    <row r="345" spans="1:9" x14ac:dyDescent="0.2">
      <c r="A345" t="s">
        <v>39</v>
      </c>
      <c r="B345" s="31">
        <v>45</v>
      </c>
      <c r="C345">
        <v>1</v>
      </c>
      <c r="D345">
        <v>0</v>
      </c>
      <c r="E345">
        <v>0</v>
      </c>
      <c r="F345" s="85">
        <v>42134</v>
      </c>
      <c r="G345" t="s">
        <v>55</v>
      </c>
      <c r="H345" s="71">
        <v>42159</v>
      </c>
      <c r="I345" t="s">
        <v>345</v>
      </c>
    </row>
    <row r="346" spans="1:9" x14ac:dyDescent="0.2">
      <c r="A346" t="s">
        <v>52</v>
      </c>
      <c r="B346" s="31">
        <v>86.48</v>
      </c>
      <c r="C346">
        <v>0</v>
      </c>
      <c r="D346">
        <v>1</v>
      </c>
      <c r="E346">
        <v>0</v>
      </c>
      <c r="F346" s="85">
        <v>42134</v>
      </c>
      <c r="G346" t="s">
        <v>49</v>
      </c>
      <c r="H346" s="71">
        <v>42132</v>
      </c>
      <c r="I346" t="s">
        <v>52</v>
      </c>
    </row>
    <row r="347" spans="1:9" x14ac:dyDescent="0.2">
      <c r="A347" t="s">
        <v>770</v>
      </c>
      <c r="B347" s="31">
        <v>71.39</v>
      </c>
      <c r="C347">
        <v>0</v>
      </c>
      <c r="D347">
        <v>1</v>
      </c>
      <c r="E347">
        <v>0</v>
      </c>
      <c r="F347" s="85">
        <v>42134</v>
      </c>
      <c r="G347" t="s">
        <v>49</v>
      </c>
      <c r="H347" s="71">
        <v>42134</v>
      </c>
      <c r="I347" t="s">
        <v>203</v>
      </c>
    </row>
    <row r="348" spans="1:9" x14ac:dyDescent="0.2">
      <c r="A348" t="s">
        <v>378</v>
      </c>
      <c r="B348" s="31">
        <v>18</v>
      </c>
      <c r="C348">
        <v>0</v>
      </c>
      <c r="D348">
        <v>1</v>
      </c>
      <c r="E348">
        <v>0</v>
      </c>
      <c r="F348" s="85">
        <v>42134</v>
      </c>
      <c r="G348" t="s">
        <v>49</v>
      </c>
      <c r="H348" s="71">
        <v>42134</v>
      </c>
      <c r="I348" t="s">
        <v>203</v>
      </c>
    </row>
    <row r="349" spans="1:9" x14ac:dyDescent="0.2">
      <c r="A349" t="s">
        <v>772</v>
      </c>
      <c r="B349" s="31">
        <v>7</v>
      </c>
      <c r="C349">
        <v>0</v>
      </c>
      <c r="D349">
        <v>1</v>
      </c>
      <c r="E349">
        <v>0</v>
      </c>
      <c r="F349" s="85">
        <v>42134</v>
      </c>
      <c r="G349" t="s">
        <v>49</v>
      </c>
      <c r="H349" s="71">
        <v>42134</v>
      </c>
      <c r="I349" t="s">
        <v>50</v>
      </c>
    </row>
    <row r="350" spans="1:9" x14ac:dyDescent="0.2">
      <c r="A350" t="s">
        <v>773</v>
      </c>
      <c r="B350" s="31">
        <v>10</v>
      </c>
      <c r="C350">
        <v>0</v>
      </c>
      <c r="D350">
        <v>1</v>
      </c>
      <c r="E350">
        <v>0</v>
      </c>
      <c r="F350" s="85">
        <v>42134</v>
      </c>
      <c r="G350" t="s">
        <v>49</v>
      </c>
      <c r="H350" s="71">
        <v>42134</v>
      </c>
      <c r="I350" t="s">
        <v>50</v>
      </c>
    </row>
    <row r="351" spans="1:9" x14ac:dyDescent="0.2">
      <c r="A351" t="s">
        <v>116</v>
      </c>
      <c r="B351" s="31">
        <v>20</v>
      </c>
      <c r="C351">
        <v>0</v>
      </c>
      <c r="D351">
        <v>1</v>
      </c>
      <c r="E351">
        <v>0</v>
      </c>
      <c r="F351" s="85">
        <v>42134</v>
      </c>
      <c r="G351" t="s">
        <v>49</v>
      </c>
      <c r="H351" s="71">
        <v>42133</v>
      </c>
      <c r="I351" t="s">
        <v>344</v>
      </c>
    </row>
    <row r="352" spans="1:9" x14ac:dyDescent="0.2">
      <c r="A352" s="10" t="s">
        <v>744</v>
      </c>
      <c r="B352" s="101">
        <v>150</v>
      </c>
      <c r="C352" s="10">
        <v>0</v>
      </c>
      <c r="D352" s="10">
        <v>1</v>
      </c>
      <c r="E352">
        <v>0</v>
      </c>
      <c r="F352" s="85">
        <v>42134</v>
      </c>
      <c r="G352" s="10" t="s">
        <v>47</v>
      </c>
      <c r="H352" s="85">
        <v>42132</v>
      </c>
      <c r="I352" s="100" t="s">
        <v>503</v>
      </c>
    </row>
    <row r="353" spans="1:9" x14ac:dyDescent="0.2">
      <c r="A353" s="10" t="s">
        <v>96</v>
      </c>
      <c r="B353" s="101">
        <v>19</v>
      </c>
      <c r="C353" s="10">
        <v>0</v>
      </c>
      <c r="D353" s="10">
        <v>1</v>
      </c>
      <c r="E353">
        <v>0</v>
      </c>
      <c r="F353" s="85">
        <v>42134</v>
      </c>
      <c r="G353" s="10" t="s">
        <v>47</v>
      </c>
      <c r="H353" s="85">
        <v>42135</v>
      </c>
      <c r="I353" t="s">
        <v>96</v>
      </c>
    </row>
    <row r="354" spans="1:9" x14ac:dyDescent="0.2">
      <c r="A354" s="10" t="s">
        <v>52</v>
      </c>
      <c r="B354" s="101">
        <v>88.94</v>
      </c>
      <c r="C354" s="10">
        <v>0</v>
      </c>
      <c r="D354" s="10">
        <v>1</v>
      </c>
      <c r="E354">
        <v>0</v>
      </c>
      <c r="F354" s="85">
        <v>42134</v>
      </c>
      <c r="G354" s="10" t="s">
        <v>47</v>
      </c>
      <c r="H354" s="85">
        <v>42136</v>
      </c>
      <c r="I354" s="100" t="s">
        <v>52</v>
      </c>
    </row>
    <row r="355" spans="1:9" x14ac:dyDescent="0.2">
      <c r="A355" s="10" t="s">
        <v>52</v>
      </c>
      <c r="B355" s="101">
        <v>18.14</v>
      </c>
      <c r="C355" s="10">
        <v>0</v>
      </c>
      <c r="D355" s="10">
        <v>1</v>
      </c>
      <c r="E355">
        <v>0</v>
      </c>
      <c r="F355" s="85">
        <v>42134</v>
      </c>
      <c r="G355" s="10" t="s">
        <v>47</v>
      </c>
      <c r="H355" s="85">
        <v>42136</v>
      </c>
      <c r="I355" s="100" t="s">
        <v>52</v>
      </c>
    </row>
    <row r="356" spans="1:9" x14ac:dyDescent="0.2">
      <c r="A356" s="10" t="s">
        <v>774</v>
      </c>
      <c r="B356" s="101">
        <v>13</v>
      </c>
      <c r="C356" s="10">
        <v>0</v>
      </c>
      <c r="D356" s="10">
        <v>1</v>
      </c>
      <c r="E356">
        <v>0</v>
      </c>
      <c r="F356" s="85">
        <v>42134</v>
      </c>
      <c r="G356" s="10" t="s">
        <v>47</v>
      </c>
      <c r="H356" s="85">
        <v>42138</v>
      </c>
      <c r="I356" s="100" t="s">
        <v>50</v>
      </c>
    </row>
    <row r="357" spans="1:9" x14ac:dyDescent="0.2">
      <c r="A357" s="10" t="s">
        <v>374</v>
      </c>
      <c r="B357" s="101">
        <v>5</v>
      </c>
      <c r="C357" s="10">
        <v>0</v>
      </c>
      <c r="D357" s="10">
        <v>1</v>
      </c>
      <c r="E357">
        <v>0</v>
      </c>
      <c r="F357" s="85">
        <v>42134</v>
      </c>
      <c r="G357" s="10" t="s">
        <v>47</v>
      </c>
      <c r="H357" s="85">
        <v>42138</v>
      </c>
      <c r="I357" s="100" t="s">
        <v>50</v>
      </c>
    </row>
    <row r="358" spans="1:9" x14ac:dyDescent="0.2">
      <c r="A358" s="10" t="s">
        <v>616</v>
      </c>
      <c r="B358" s="101">
        <v>0</v>
      </c>
      <c r="C358" s="10">
        <v>0</v>
      </c>
      <c r="D358" s="10">
        <v>1</v>
      </c>
      <c r="E358">
        <v>0</v>
      </c>
      <c r="F358" s="85">
        <v>42134</v>
      </c>
      <c r="G358" s="10" t="s">
        <v>49</v>
      </c>
      <c r="H358" s="85">
        <v>42141</v>
      </c>
      <c r="I358" s="159" t="s">
        <v>1182</v>
      </c>
    </row>
    <row r="359" spans="1:9" x14ac:dyDescent="0.2">
      <c r="A359" s="10" t="s">
        <v>761</v>
      </c>
      <c r="B359" s="101">
        <v>6.75</v>
      </c>
      <c r="C359" s="10">
        <v>0</v>
      </c>
      <c r="D359" s="10">
        <v>1</v>
      </c>
      <c r="E359">
        <v>0</v>
      </c>
      <c r="F359" s="85">
        <v>42134</v>
      </c>
      <c r="G359" s="10" t="s">
        <v>47</v>
      </c>
      <c r="H359" s="85">
        <v>42138</v>
      </c>
      <c r="I359" s="100" t="s">
        <v>50</v>
      </c>
    </row>
    <row r="360" spans="1:9" x14ac:dyDescent="0.2">
      <c r="A360" s="10" t="s">
        <v>775</v>
      </c>
      <c r="B360" s="101">
        <v>6.97</v>
      </c>
      <c r="C360" s="10">
        <v>0</v>
      </c>
      <c r="D360" s="10">
        <v>1</v>
      </c>
      <c r="E360">
        <v>0</v>
      </c>
      <c r="F360" s="85">
        <v>42134</v>
      </c>
      <c r="G360" s="10" t="s">
        <v>47</v>
      </c>
      <c r="H360" s="85">
        <v>42139</v>
      </c>
      <c r="I360" s="100" t="s">
        <v>50</v>
      </c>
    </row>
    <row r="361" spans="1:9" x14ac:dyDescent="0.2">
      <c r="A361" s="10" t="s">
        <v>48</v>
      </c>
      <c r="B361" s="101">
        <v>10</v>
      </c>
      <c r="C361" s="10">
        <v>0</v>
      </c>
      <c r="D361" s="10">
        <v>1</v>
      </c>
      <c r="E361">
        <v>0</v>
      </c>
      <c r="F361" s="85">
        <v>42134</v>
      </c>
      <c r="G361" s="10" t="s">
        <v>49</v>
      </c>
      <c r="H361" s="85">
        <v>42140</v>
      </c>
      <c r="I361" s="100" t="s">
        <v>48</v>
      </c>
    </row>
    <row r="362" spans="1:9" x14ac:dyDescent="0.2">
      <c r="A362" s="10" t="s">
        <v>398</v>
      </c>
      <c r="B362" s="101">
        <v>40</v>
      </c>
      <c r="C362" s="10">
        <v>0</v>
      </c>
      <c r="D362" s="10">
        <v>1</v>
      </c>
      <c r="E362">
        <v>0</v>
      </c>
      <c r="F362" s="85">
        <v>42134</v>
      </c>
      <c r="G362" s="10" t="s">
        <v>49</v>
      </c>
      <c r="H362" s="85">
        <v>42140</v>
      </c>
      <c r="I362" s="100" t="s">
        <v>398</v>
      </c>
    </row>
    <row r="363" spans="1:9" x14ac:dyDescent="0.2">
      <c r="A363" s="10" t="s">
        <v>776</v>
      </c>
      <c r="B363" s="101">
        <v>17.5</v>
      </c>
      <c r="C363" s="10">
        <v>0</v>
      </c>
      <c r="D363" s="10">
        <v>1</v>
      </c>
      <c r="E363">
        <v>0</v>
      </c>
      <c r="F363" s="85">
        <v>42134</v>
      </c>
      <c r="G363" s="10" t="s">
        <v>49</v>
      </c>
      <c r="H363" s="85">
        <v>42141</v>
      </c>
      <c r="I363" s="100" t="s">
        <v>344</v>
      </c>
    </row>
    <row r="364" spans="1:9" x14ac:dyDescent="0.2">
      <c r="A364" s="10" t="s">
        <v>777</v>
      </c>
      <c r="B364" s="101">
        <v>12.5</v>
      </c>
      <c r="C364" s="10">
        <v>0</v>
      </c>
      <c r="D364" s="10">
        <v>1</v>
      </c>
      <c r="E364">
        <v>0</v>
      </c>
      <c r="F364" s="85">
        <v>42134</v>
      </c>
      <c r="G364" s="10" t="s">
        <v>49</v>
      </c>
      <c r="H364" s="85">
        <v>42141</v>
      </c>
      <c r="I364" s="100" t="s">
        <v>344</v>
      </c>
    </row>
    <row r="365" spans="1:9" x14ac:dyDescent="0.2">
      <c r="A365" s="10" t="s">
        <v>778</v>
      </c>
      <c r="B365" s="101">
        <v>60</v>
      </c>
      <c r="C365" s="10">
        <v>0</v>
      </c>
      <c r="D365" s="10">
        <v>1</v>
      </c>
      <c r="E365">
        <v>0</v>
      </c>
      <c r="F365" s="85">
        <v>42134</v>
      </c>
      <c r="G365" s="10" t="s">
        <v>47</v>
      </c>
      <c r="H365" s="85">
        <v>42138</v>
      </c>
      <c r="I365" s="100" t="s">
        <v>344</v>
      </c>
    </row>
    <row r="366" spans="1:9" x14ac:dyDescent="0.2">
      <c r="A366" s="10" t="s">
        <v>48</v>
      </c>
      <c r="B366" s="101">
        <v>30</v>
      </c>
      <c r="C366" s="10">
        <v>0</v>
      </c>
      <c r="D366" s="10">
        <v>1</v>
      </c>
      <c r="E366">
        <v>0</v>
      </c>
      <c r="F366" s="85">
        <v>42134</v>
      </c>
      <c r="G366" s="10" t="s">
        <v>49</v>
      </c>
      <c r="H366" s="85">
        <v>42147</v>
      </c>
      <c r="I366" s="100" t="s">
        <v>48</v>
      </c>
    </row>
    <row r="367" spans="1:9" x14ac:dyDescent="0.2">
      <c r="A367" s="10" t="s">
        <v>800</v>
      </c>
      <c r="B367" s="101">
        <v>30</v>
      </c>
      <c r="C367" s="10">
        <v>0</v>
      </c>
      <c r="D367" s="10">
        <v>1</v>
      </c>
      <c r="E367">
        <v>0</v>
      </c>
      <c r="F367" s="85">
        <v>42134</v>
      </c>
      <c r="G367" s="10" t="s">
        <v>51</v>
      </c>
      <c r="H367" s="85">
        <v>42146</v>
      </c>
      <c r="I367" s="100" t="s">
        <v>203</v>
      </c>
    </row>
    <row r="368" spans="1:9" x14ac:dyDescent="0.2">
      <c r="A368" s="10" t="s">
        <v>801</v>
      </c>
      <c r="B368" s="101">
        <v>10</v>
      </c>
      <c r="C368" s="10">
        <v>0</v>
      </c>
      <c r="D368" s="10">
        <v>1</v>
      </c>
      <c r="E368">
        <v>0</v>
      </c>
      <c r="F368" s="85">
        <v>42134</v>
      </c>
      <c r="G368" s="10" t="s">
        <v>51</v>
      </c>
      <c r="H368" s="85">
        <v>42146</v>
      </c>
      <c r="I368" s="1" t="s">
        <v>153</v>
      </c>
    </row>
    <row r="369" spans="1:9" x14ac:dyDescent="0.2">
      <c r="A369" s="10" t="s">
        <v>802</v>
      </c>
      <c r="B369" s="101">
        <v>10</v>
      </c>
      <c r="C369" s="10">
        <v>0</v>
      </c>
      <c r="D369" s="10">
        <v>1</v>
      </c>
      <c r="E369">
        <v>0</v>
      </c>
      <c r="F369" s="85">
        <v>42134</v>
      </c>
      <c r="G369" s="10" t="s">
        <v>51</v>
      </c>
      <c r="H369" s="85">
        <v>42146</v>
      </c>
      <c r="I369" s="100" t="s">
        <v>50</v>
      </c>
    </row>
    <row r="370" spans="1:9" x14ac:dyDescent="0.2">
      <c r="A370" s="10" t="s">
        <v>116</v>
      </c>
      <c r="B370" s="101">
        <v>20</v>
      </c>
      <c r="C370" s="10">
        <v>0</v>
      </c>
      <c r="D370" s="10">
        <v>1</v>
      </c>
      <c r="E370">
        <v>0</v>
      </c>
      <c r="F370" s="85">
        <v>42134</v>
      </c>
      <c r="G370" s="10" t="s">
        <v>49</v>
      </c>
      <c r="H370" s="85">
        <v>42147</v>
      </c>
      <c r="I370" s="100" t="s">
        <v>344</v>
      </c>
    </row>
    <row r="371" spans="1:9" x14ac:dyDescent="0.2">
      <c r="A371" s="10" t="s">
        <v>44</v>
      </c>
      <c r="B371" s="101">
        <v>100</v>
      </c>
      <c r="C371" s="10">
        <v>1</v>
      </c>
      <c r="D371" s="10">
        <v>0</v>
      </c>
      <c r="E371">
        <v>0</v>
      </c>
      <c r="F371" s="85">
        <v>42134</v>
      </c>
      <c r="G371" s="10" t="s">
        <v>51</v>
      </c>
      <c r="H371" s="85">
        <v>42145</v>
      </c>
      <c r="I371" s="100" t="s">
        <v>344</v>
      </c>
    </row>
    <row r="372" spans="1:9" x14ac:dyDescent="0.2">
      <c r="A372" s="10" t="s">
        <v>803</v>
      </c>
      <c r="B372" s="101">
        <v>39.979999999999997</v>
      </c>
      <c r="C372" s="10">
        <v>0</v>
      </c>
      <c r="D372" s="10">
        <v>1</v>
      </c>
      <c r="E372">
        <v>0</v>
      </c>
      <c r="F372" s="85">
        <v>42134</v>
      </c>
      <c r="G372" s="10" t="s">
        <v>51</v>
      </c>
      <c r="H372" s="85">
        <v>42145</v>
      </c>
      <c r="I372" t="s">
        <v>96</v>
      </c>
    </row>
    <row r="373" spans="1:9" x14ac:dyDescent="0.2">
      <c r="A373" s="10" t="s">
        <v>109</v>
      </c>
      <c r="B373" s="101">
        <v>35</v>
      </c>
      <c r="C373" s="10">
        <v>0</v>
      </c>
      <c r="D373" s="10">
        <v>1</v>
      </c>
      <c r="E373">
        <v>0</v>
      </c>
      <c r="F373" s="85">
        <v>42134</v>
      </c>
      <c r="G373" s="10" t="s">
        <v>51</v>
      </c>
      <c r="H373" s="85">
        <v>42145</v>
      </c>
      <c r="I373" s="100" t="s">
        <v>46</v>
      </c>
    </row>
    <row r="374" spans="1:9" x14ac:dyDescent="0.2">
      <c r="A374" s="10" t="s">
        <v>52</v>
      </c>
      <c r="B374" s="101">
        <v>31.97</v>
      </c>
      <c r="C374" s="10">
        <v>0</v>
      </c>
      <c r="D374" s="10">
        <v>1</v>
      </c>
      <c r="E374">
        <v>0</v>
      </c>
      <c r="F374" s="85">
        <v>42134</v>
      </c>
      <c r="G374" s="10" t="s">
        <v>49</v>
      </c>
      <c r="H374" s="85">
        <v>42141</v>
      </c>
      <c r="I374" s="100" t="s">
        <v>52</v>
      </c>
    </row>
    <row r="375" spans="1:9" x14ac:dyDescent="0.2">
      <c r="A375" s="10" t="s">
        <v>804</v>
      </c>
      <c r="B375" s="101">
        <v>8.9</v>
      </c>
      <c r="C375" s="10">
        <v>0</v>
      </c>
      <c r="D375" s="10">
        <v>1</v>
      </c>
      <c r="E375">
        <v>0</v>
      </c>
      <c r="F375" s="85">
        <v>42134</v>
      </c>
      <c r="G375" s="10" t="s">
        <v>51</v>
      </c>
      <c r="H375" s="85">
        <v>42145</v>
      </c>
      <c r="I375" s="100" t="s">
        <v>50</v>
      </c>
    </row>
    <row r="376" spans="1:9" x14ac:dyDescent="0.2">
      <c r="A376" s="10" t="s">
        <v>190</v>
      </c>
      <c r="B376" s="101">
        <v>13.99</v>
      </c>
      <c r="C376" s="10">
        <v>0</v>
      </c>
      <c r="D376" s="10">
        <v>1</v>
      </c>
      <c r="E376">
        <v>0</v>
      </c>
      <c r="F376" s="85">
        <v>42134</v>
      </c>
      <c r="G376" s="10" t="s">
        <v>51</v>
      </c>
      <c r="H376" s="85">
        <v>42146</v>
      </c>
      <c r="I376" s="100" t="s">
        <v>190</v>
      </c>
    </row>
    <row r="377" spans="1:9" x14ac:dyDescent="0.2">
      <c r="A377" s="10" t="s">
        <v>488</v>
      </c>
      <c r="B377" s="101">
        <v>11.4</v>
      </c>
      <c r="C377" s="10">
        <v>0</v>
      </c>
      <c r="D377" s="10">
        <v>1</v>
      </c>
      <c r="E377">
        <v>0</v>
      </c>
      <c r="F377" s="85">
        <v>42134</v>
      </c>
      <c r="G377" s="10" t="s">
        <v>54</v>
      </c>
      <c r="H377" s="85">
        <v>42149</v>
      </c>
      <c r="I377" s="100" t="s">
        <v>50</v>
      </c>
    </row>
    <row r="378" spans="1:9" x14ac:dyDescent="0.2">
      <c r="A378" s="10" t="s">
        <v>52</v>
      </c>
      <c r="B378" s="101">
        <v>60.19</v>
      </c>
      <c r="C378" s="10">
        <v>0</v>
      </c>
      <c r="D378" s="10">
        <v>1</v>
      </c>
      <c r="E378">
        <v>0</v>
      </c>
      <c r="F378" s="85">
        <v>42134</v>
      </c>
      <c r="G378" s="10" t="s">
        <v>54</v>
      </c>
      <c r="H378" s="85">
        <v>42149</v>
      </c>
      <c r="I378" s="100" t="s">
        <v>52</v>
      </c>
    </row>
    <row r="379" spans="1:9" x14ac:dyDescent="0.2">
      <c r="A379" s="10" t="s">
        <v>500</v>
      </c>
      <c r="B379" s="101">
        <v>5</v>
      </c>
      <c r="C379" s="10">
        <v>0</v>
      </c>
      <c r="D379" s="10">
        <v>1</v>
      </c>
      <c r="E379">
        <v>0</v>
      </c>
      <c r="F379" s="85">
        <v>42134</v>
      </c>
      <c r="G379" s="10" t="s">
        <v>54</v>
      </c>
      <c r="H379" s="85">
        <v>42150</v>
      </c>
      <c r="I379" s="100" t="s">
        <v>50</v>
      </c>
    </row>
    <row r="380" spans="1:9" x14ac:dyDescent="0.2">
      <c r="A380" s="10" t="s">
        <v>761</v>
      </c>
      <c r="B380" s="101">
        <v>6.75</v>
      </c>
      <c r="C380" s="10">
        <v>0</v>
      </c>
      <c r="D380" s="10">
        <v>1</v>
      </c>
      <c r="E380">
        <v>0</v>
      </c>
      <c r="F380" s="85">
        <v>42134</v>
      </c>
      <c r="G380" s="10" t="s">
        <v>54</v>
      </c>
      <c r="H380" s="85">
        <v>42150</v>
      </c>
      <c r="I380" s="100" t="s">
        <v>50</v>
      </c>
    </row>
    <row r="381" spans="1:9" x14ac:dyDescent="0.2">
      <c r="A381" s="10" t="s">
        <v>52</v>
      </c>
      <c r="B381" s="101">
        <v>22.49</v>
      </c>
      <c r="C381" s="10">
        <v>0</v>
      </c>
      <c r="D381" s="10">
        <v>1</v>
      </c>
      <c r="E381">
        <v>0</v>
      </c>
      <c r="F381" s="85">
        <v>42134</v>
      </c>
      <c r="G381" s="10" t="s">
        <v>54</v>
      </c>
      <c r="H381" s="85">
        <v>42152</v>
      </c>
      <c r="I381" s="100" t="s">
        <v>52</v>
      </c>
    </row>
    <row r="382" spans="1:9" x14ac:dyDescent="0.2">
      <c r="A382" s="10" t="s">
        <v>44</v>
      </c>
      <c r="B382" s="101">
        <v>100</v>
      </c>
      <c r="C382" s="10">
        <v>1</v>
      </c>
      <c r="D382" s="10">
        <v>0</v>
      </c>
      <c r="E382">
        <v>0</v>
      </c>
      <c r="F382" s="85">
        <v>42134</v>
      </c>
      <c r="G382" s="10" t="s">
        <v>54</v>
      </c>
      <c r="H382" s="85">
        <v>42153</v>
      </c>
      <c r="I382" s="100" t="s">
        <v>60</v>
      </c>
    </row>
    <row r="383" spans="1:9" x14ac:dyDescent="0.2">
      <c r="A383" s="10" t="s">
        <v>190</v>
      </c>
      <c r="B383" s="101">
        <v>19.739999999999998</v>
      </c>
      <c r="C383" s="10">
        <v>0</v>
      </c>
      <c r="D383" s="10">
        <v>1</v>
      </c>
      <c r="E383">
        <v>0</v>
      </c>
      <c r="F383" s="85">
        <v>42134</v>
      </c>
      <c r="G383" s="10" t="s">
        <v>49</v>
      </c>
      <c r="H383" s="85">
        <v>42154</v>
      </c>
      <c r="I383" s="100" t="s">
        <v>190</v>
      </c>
    </row>
    <row r="384" spans="1:9" x14ac:dyDescent="0.2">
      <c r="A384" s="10" t="s">
        <v>812</v>
      </c>
      <c r="B384" s="101">
        <v>9.4700000000000006</v>
      </c>
      <c r="C384" s="10">
        <v>0</v>
      </c>
      <c r="D384" s="10">
        <v>1</v>
      </c>
      <c r="E384">
        <v>0</v>
      </c>
      <c r="F384" s="85">
        <v>42134</v>
      </c>
      <c r="G384" s="10" t="s">
        <v>49</v>
      </c>
      <c r="H384" s="85">
        <v>42154</v>
      </c>
      <c r="I384" s="100" t="s">
        <v>190</v>
      </c>
    </row>
    <row r="385" spans="1:9" x14ac:dyDescent="0.2">
      <c r="A385" s="10" t="s">
        <v>52</v>
      </c>
      <c r="B385" s="101">
        <v>7.01</v>
      </c>
      <c r="C385" s="10">
        <v>0</v>
      </c>
      <c r="D385" s="10">
        <v>1</v>
      </c>
      <c r="E385">
        <v>0</v>
      </c>
      <c r="F385" s="85">
        <v>42134</v>
      </c>
      <c r="G385" s="10" t="s">
        <v>49</v>
      </c>
      <c r="H385" s="85">
        <v>42156</v>
      </c>
      <c r="I385" s="100" t="s">
        <v>52</v>
      </c>
    </row>
    <row r="386" spans="1:9" x14ac:dyDescent="0.2">
      <c r="A386" s="10" t="s">
        <v>52</v>
      </c>
      <c r="B386" s="101">
        <v>163.31</v>
      </c>
      <c r="C386" s="10">
        <v>0</v>
      </c>
      <c r="D386" s="10">
        <v>1</v>
      </c>
      <c r="E386">
        <v>0</v>
      </c>
      <c r="F386" s="85">
        <v>42134</v>
      </c>
      <c r="G386" s="10" t="s">
        <v>49</v>
      </c>
      <c r="H386" s="85">
        <v>42155</v>
      </c>
      <c r="I386" s="100" t="s">
        <v>52</v>
      </c>
    </row>
    <row r="387" spans="1:9" x14ac:dyDescent="0.2">
      <c r="A387" s="10" t="s">
        <v>837</v>
      </c>
      <c r="B387" s="101">
        <v>34.4</v>
      </c>
      <c r="C387" s="10">
        <v>0</v>
      </c>
      <c r="D387" s="10">
        <v>1</v>
      </c>
      <c r="E387">
        <v>0</v>
      </c>
      <c r="F387" s="85">
        <v>42134</v>
      </c>
      <c r="G387" s="10" t="s">
        <v>55</v>
      </c>
      <c r="H387" s="85">
        <v>42158</v>
      </c>
      <c r="I387" s="100" t="s">
        <v>50</v>
      </c>
    </row>
    <row r="388" spans="1:9" x14ac:dyDescent="0.2">
      <c r="A388" s="10" t="s">
        <v>52</v>
      </c>
      <c r="B388" s="101">
        <v>56.47</v>
      </c>
      <c r="C388" s="10">
        <v>0</v>
      </c>
      <c r="D388" s="10">
        <v>1</v>
      </c>
      <c r="E388">
        <v>0</v>
      </c>
      <c r="F388" s="85">
        <v>42134</v>
      </c>
      <c r="G388" s="10" t="s">
        <v>55</v>
      </c>
      <c r="H388" s="85">
        <v>42159</v>
      </c>
      <c r="I388" s="100" t="s">
        <v>52</v>
      </c>
    </row>
    <row r="389" spans="1:9" x14ac:dyDescent="0.2">
      <c r="A389" s="10" t="s">
        <v>183</v>
      </c>
      <c r="B389" s="101">
        <v>24</v>
      </c>
      <c r="C389" s="10">
        <v>0</v>
      </c>
      <c r="D389" s="10">
        <v>1</v>
      </c>
      <c r="E389">
        <v>0</v>
      </c>
      <c r="F389" s="85">
        <v>42134</v>
      </c>
      <c r="G389" s="10" t="s">
        <v>55</v>
      </c>
      <c r="H389" s="85">
        <v>42160</v>
      </c>
      <c r="I389" s="100" t="s">
        <v>50</v>
      </c>
    </row>
    <row r="390" spans="1:9" x14ac:dyDescent="0.2">
      <c r="A390" s="10" t="s">
        <v>764</v>
      </c>
      <c r="B390" s="101">
        <v>8</v>
      </c>
      <c r="C390" s="10">
        <v>0</v>
      </c>
      <c r="D390" s="10">
        <v>1</v>
      </c>
      <c r="E390">
        <v>0</v>
      </c>
      <c r="F390" s="85">
        <v>42134</v>
      </c>
      <c r="G390" s="10" t="s">
        <v>55</v>
      </c>
      <c r="H390" s="85">
        <v>42160</v>
      </c>
      <c r="I390" s="1" t="s">
        <v>153</v>
      </c>
    </row>
    <row r="391" spans="1:9" x14ac:dyDescent="0.2">
      <c r="A391" s="10" t="s">
        <v>116</v>
      </c>
      <c r="B391" s="101">
        <v>20</v>
      </c>
      <c r="C391" s="10">
        <v>0</v>
      </c>
      <c r="D391" s="10">
        <v>1</v>
      </c>
      <c r="E391">
        <v>0</v>
      </c>
      <c r="F391" s="85">
        <v>42134</v>
      </c>
      <c r="G391" s="10" t="s">
        <v>49</v>
      </c>
      <c r="H391" s="85">
        <v>42161</v>
      </c>
      <c r="I391" s="100" t="s">
        <v>344</v>
      </c>
    </row>
    <row r="392" spans="1:9" x14ac:dyDescent="0.2">
      <c r="A392" s="10" t="s">
        <v>398</v>
      </c>
      <c r="B392" s="101">
        <v>20</v>
      </c>
      <c r="C392" s="10">
        <v>0</v>
      </c>
      <c r="D392" s="10">
        <v>1</v>
      </c>
      <c r="E392">
        <v>0</v>
      </c>
      <c r="F392" s="85">
        <v>42134</v>
      </c>
      <c r="G392" s="10" t="s">
        <v>49</v>
      </c>
      <c r="H392" s="85">
        <v>42161</v>
      </c>
      <c r="I392" s="100" t="s">
        <v>48</v>
      </c>
    </row>
    <row r="393" spans="1:9" x14ac:dyDescent="0.2">
      <c r="A393" s="10" t="s">
        <v>838</v>
      </c>
      <c r="B393" s="101">
        <v>37.950000000000003</v>
      </c>
      <c r="C393" s="10">
        <v>0</v>
      </c>
      <c r="D393" s="10">
        <v>1</v>
      </c>
      <c r="E393">
        <v>0</v>
      </c>
      <c r="F393" s="85">
        <v>42134</v>
      </c>
      <c r="G393" s="10" t="s">
        <v>55</v>
      </c>
      <c r="H393" s="85">
        <v>42159</v>
      </c>
      <c r="I393" s="100" t="s">
        <v>203</v>
      </c>
    </row>
    <row r="394" spans="1:9" x14ac:dyDescent="0.2">
      <c r="A394" s="10" t="s">
        <v>840</v>
      </c>
      <c r="B394" s="101">
        <v>3.8</v>
      </c>
      <c r="C394" s="10">
        <v>0</v>
      </c>
      <c r="D394" s="10">
        <v>1</v>
      </c>
      <c r="E394">
        <v>0</v>
      </c>
      <c r="F394" s="85">
        <v>42134</v>
      </c>
      <c r="G394" s="10" t="s">
        <v>54</v>
      </c>
      <c r="H394" s="85">
        <v>42159</v>
      </c>
      <c r="I394" s="100" t="s">
        <v>50</v>
      </c>
    </row>
    <row r="395" spans="1:9" x14ac:dyDescent="0.2">
      <c r="A395" s="10" t="s">
        <v>839</v>
      </c>
      <c r="B395" s="101">
        <v>9</v>
      </c>
      <c r="C395" s="10">
        <v>0</v>
      </c>
      <c r="D395" s="10">
        <v>1</v>
      </c>
      <c r="E395">
        <v>0</v>
      </c>
      <c r="F395" s="85">
        <v>42134</v>
      </c>
      <c r="G395" s="10" t="s">
        <v>55</v>
      </c>
      <c r="H395" s="85">
        <v>42160</v>
      </c>
      <c r="I395" s="100" t="s">
        <v>50</v>
      </c>
    </row>
    <row r="396" spans="1:9" x14ac:dyDescent="0.2">
      <c r="A396" s="10" t="s">
        <v>52</v>
      </c>
      <c r="B396" s="101">
        <v>64.84</v>
      </c>
      <c r="C396" s="10">
        <v>0</v>
      </c>
      <c r="D396" s="10">
        <v>1</v>
      </c>
      <c r="E396">
        <v>0</v>
      </c>
      <c r="F396" s="85">
        <v>42134</v>
      </c>
      <c r="G396" s="10" t="s">
        <v>55</v>
      </c>
      <c r="H396" s="85">
        <v>42161</v>
      </c>
      <c r="I396" s="100" t="s">
        <v>52</v>
      </c>
    </row>
    <row r="397" spans="1:9" x14ac:dyDescent="0.2">
      <c r="A397" s="10" t="s">
        <v>850</v>
      </c>
      <c r="B397" s="101">
        <v>21.9</v>
      </c>
      <c r="C397" s="10">
        <v>0</v>
      </c>
      <c r="D397" s="10">
        <v>1</v>
      </c>
      <c r="E397">
        <v>0</v>
      </c>
      <c r="F397" s="85">
        <v>42134</v>
      </c>
      <c r="G397" s="10" t="s">
        <v>55</v>
      </c>
      <c r="H397" s="85">
        <v>42162</v>
      </c>
      <c r="I397" s="100" t="s">
        <v>50</v>
      </c>
    </row>
    <row r="398" spans="1:9" x14ac:dyDescent="0.2">
      <c r="A398" s="10" t="s">
        <v>841</v>
      </c>
      <c r="B398" s="101">
        <v>5.5</v>
      </c>
      <c r="C398" s="10">
        <v>0</v>
      </c>
      <c r="D398" s="10">
        <v>1</v>
      </c>
      <c r="E398">
        <v>0</v>
      </c>
      <c r="F398" s="85">
        <v>42134</v>
      </c>
      <c r="G398" s="10" t="s">
        <v>55</v>
      </c>
      <c r="H398" s="85">
        <v>42163</v>
      </c>
      <c r="I398" s="100" t="s">
        <v>50</v>
      </c>
    </row>
    <row r="399" spans="1:9" x14ac:dyDescent="0.2">
      <c r="A399" s="100" t="s">
        <v>1037</v>
      </c>
      <c r="B399" s="101">
        <v>48.1</v>
      </c>
      <c r="C399" s="100">
        <v>1</v>
      </c>
      <c r="D399" s="100">
        <v>0</v>
      </c>
      <c r="E399" s="100">
        <v>0</v>
      </c>
      <c r="F399" s="85">
        <v>42134</v>
      </c>
      <c r="G399" s="100" t="s">
        <v>47</v>
      </c>
      <c r="H399" s="85">
        <v>42134</v>
      </c>
      <c r="I399" s="100" t="s">
        <v>1045</v>
      </c>
    </row>
    <row r="400" spans="1:9" x14ac:dyDescent="0.2">
      <c r="A400" s="100" t="s">
        <v>1038</v>
      </c>
      <c r="B400" s="101">
        <v>222.01</v>
      </c>
      <c r="C400" s="100">
        <v>1</v>
      </c>
      <c r="D400" s="100">
        <v>0</v>
      </c>
      <c r="E400" s="100">
        <v>0</v>
      </c>
      <c r="F400" s="85">
        <v>42134</v>
      </c>
      <c r="G400" s="100" t="s">
        <v>47</v>
      </c>
      <c r="H400" s="85">
        <v>42134</v>
      </c>
      <c r="I400" s="100" t="s">
        <v>1045</v>
      </c>
    </row>
    <row r="401" spans="1:9" x14ac:dyDescent="0.2">
      <c r="A401" s="100" t="s">
        <v>1039</v>
      </c>
      <c r="B401" s="101">
        <v>111.01</v>
      </c>
      <c r="C401" s="100">
        <v>1</v>
      </c>
      <c r="D401" s="100">
        <v>0</v>
      </c>
      <c r="E401" s="100">
        <v>0</v>
      </c>
      <c r="F401" s="85">
        <v>42134</v>
      </c>
      <c r="G401" s="100" t="s">
        <v>47</v>
      </c>
      <c r="H401" s="85">
        <v>42134</v>
      </c>
      <c r="I401" s="100" t="s">
        <v>1045</v>
      </c>
    </row>
    <row r="402" spans="1:9" x14ac:dyDescent="0.2">
      <c r="A402" s="100" t="s">
        <v>1040</v>
      </c>
      <c r="B402" s="101">
        <v>74</v>
      </c>
      <c r="C402" s="100">
        <v>1</v>
      </c>
      <c r="D402" s="100">
        <v>0</v>
      </c>
      <c r="E402" s="100">
        <v>0</v>
      </c>
      <c r="F402" s="85">
        <v>42134</v>
      </c>
      <c r="G402" s="100" t="s">
        <v>47</v>
      </c>
      <c r="H402" s="85">
        <v>42134</v>
      </c>
      <c r="I402" s="100" t="s">
        <v>1045</v>
      </c>
    </row>
    <row r="403" spans="1:9" x14ac:dyDescent="0.2">
      <c r="A403" s="105" t="s">
        <v>40</v>
      </c>
      <c r="B403" s="106">
        <v>5.32</v>
      </c>
      <c r="C403" s="105">
        <v>1</v>
      </c>
      <c r="D403" s="105">
        <v>0</v>
      </c>
      <c r="E403" s="105">
        <v>0</v>
      </c>
      <c r="F403" s="107">
        <v>42165</v>
      </c>
      <c r="G403" s="105" t="s">
        <v>47</v>
      </c>
      <c r="H403" s="107">
        <v>42165</v>
      </c>
      <c r="I403" s="105" t="s">
        <v>345</v>
      </c>
    </row>
    <row r="404" spans="1:9" x14ac:dyDescent="0.2">
      <c r="A404" s="105" t="s">
        <v>2</v>
      </c>
      <c r="B404" s="106">
        <v>50</v>
      </c>
      <c r="C404" s="105">
        <v>1</v>
      </c>
      <c r="D404" s="105">
        <v>0</v>
      </c>
      <c r="E404" s="105">
        <v>0</v>
      </c>
      <c r="F404" s="107">
        <v>42165</v>
      </c>
      <c r="G404" s="105" t="s">
        <v>47</v>
      </c>
      <c r="H404" s="107">
        <v>42170</v>
      </c>
      <c r="I404" s="105" t="s">
        <v>1183</v>
      </c>
    </row>
    <row r="405" spans="1:9" x14ac:dyDescent="0.2">
      <c r="A405" s="105" t="s">
        <v>38</v>
      </c>
      <c r="B405" s="106">
        <v>57</v>
      </c>
      <c r="C405" s="105">
        <v>1</v>
      </c>
      <c r="D405" s="105">
        <v>0</v>
      </c>
      <c r="E405" s="105">
        <v>0</v>
      </c>
      <c r="F405" s="107">
        <v>42165</v>
      </c>
      <c r="G405" s="105" t="s">
        <v>47</v>
      </c>
      <c r="H405" s="107">
        <v>42165</v>
      </c>
      <c r="I405" s="105" t="s">
        <v>345</v>
      </c>
    </row>
    <row r="406" spans="1:9" x14ac:dyDescent="0.2">
      <c r="A406" s="105" t="s">
        <v>982</v>
      </c>
      <c r="B406" s="106">
        <v>40.83</v>
      </c>
      <c r="C406" s="105">
        <v>1</v>
      </c>
      <c r="D406" s="105">
        <v>0</v>
      </c>
      <c r="E406" s="105">
        <v>0</v>
      </c>
      <c r="F406" s="107">
        <v>42165</v>
      </c>
      <c r="G406" s="105" t="s">
        <v>47</v>
      </c>
      <c r="H406" s="107">
        <v>42165</v>
      </c>
      <c r="I406" s="105" t="s">
        <v>345</v>
      </c>
    </row>
    <row r="407" spans="1:9" x14ac:dyDescent="0.2">
      <c r="A407" s="105" t="s">
        <v>3</v>
      </c>
      <c r="B407" s="106">
        <v>60.49</v>
      </c>
      <c r="C407" s="105">
        <v>1</v>
      </c>
      <c r="D407" s="105">
        <v>0</v>
      </c>
      <c r="E407" s="105">
        <v>0</v>
      </c>
      <c r="F407" s="107">
        <v>42165</v>
      </c>
      <c r="G407" s="105" t="s">
        <v>47</v>
      </c>
      <c r="H407" s="107">
        <v>42165</v>
      </c>
      <c r="I407" s="105" t="s">
        <v>346</v>
      </c>
    </row>
    <row r="408" spans="1:9" x14ac:dyDescent="0.2">
      <c r="A408" s="105" t="s">
        <v>1</v>
      </c>
      <c r="B408" s="105">
        <v>238.8</v>
      </c>
      <c r="C408" s="105">
        <v>1</v>
      </c>
      <c r="D408" s="105">
        <v>0</v>
      </c>
      <c r="E408" s="105">
        <v>0</v>
      </c>
      <c r="F408" s="107">
        <v>42165</v>
      </c>
      <c r="G408" s="105" t="s">
        <v>47</v>
      </c>
      <c r="H408" s="107">
        <v>42165</v>
      </c>
      <c r="I408" s="105" t="s">
        <v>346</v>
      </c>
    </row>
    <row r="409" spans="1:9" x14ac:dyDescent="0.2">
      <c r="A409" s="105" t="s">
        <v>26</v>
      </c>
      <c r="B409" s="106">
        <v>501.76</v>
      </c>
      <c r="C409" s="105">
        <v>1</v>
      </c>
      <c r="D409" s="105">
        <v>0</v>
      </c>
      <c r="E409" s="105">
        <v>0</v>
      </c>
      <c r="F409" s="107">
        <v>42165</v>
      </c>
      <c r="G409" s="105" t="s">
        <v>47</v>
      </c>
      <c r="H409" s="107">
        <v>42165</v>
      </c>
      <c r="I409" s="105" t="s">
        <v>345</v>
      </c>
    </row>
    <row r="410" spans="1:9" x14ac:dyDescent="0.2">
      <c r="A410" s="105" t="s">
        <v>28</v>
      </c>
      <c r="B410" s="106">
        <v>38.5</v>
      </c>
      <c r="C410" s="105">
        <v>1</v>
      </c>
      <c r="D410" s="105">
        <v>0</v>
      </c>
      <c r="E410" s="105">
        <v>0</v>
      </c>
      <c r="F410" s="107">
        <v>42165</v>
      </c>
      <c r="G410" s="105" t="s">
        <v>47</v>
      </c>
      <c r="H410" s="107">
        <v>42165</v>
      </c>
      <c r="I410" s="105" t="s">
        <v>345</v>
      </c>
    </row>
    <row r="411" spans="1:9" x14ac:dyDescent="0.2">
      <c r="A411" s="105" t="s">
        <v>27</v>
      </c>
      <c r="B411" s="106">
        <v>282.25</v>
      </c>
      <c r="C411" s="105">
        <v>1</v>
      </c>
      <c r="D411" s="105">
        <v>0</v>
      </c>
      <c r="E411" s="105">
        <v>0</v>
      </c>
      <c r="F411" s="107">
        <v>42165</v>
      </c>
      <c r="G411" s="105" t="s">
        <v>47</v>
      </c>
      <c r="H411" s="107">
        <v>42165</v>
      </c>
      <c r="I411" s="105" t="s">
        <v>345</v>
      </c>
    </row>
    <row r="412" spans="1:9" x14ac:dyDescent="0.2">
      <c r="A412" s="105" t="s">
        <v>12</v>
      </c>
      <c r="B412" s="106">
        <v>536.46</v>
      </c>
      <c r="C412" s="105">
        <v>1</v>
      </c>
      <c r="D412" s="105">
        <v>0</v>
      </c>
      <c r="E412" s="105">
        <v>0</v>
      </c>
      <c r="F412" s="107">
        <v>42165</v>
      </c>
      <c r="G412" s="105" t="s">
        <v>47</v>
      </c>
      <c r="H412" s="107">
        <v>42165</v>
      </c>
      <c r="I412" s="105" t="s">
        <v>348</v>
      </c>
    </row>
    <row r="413" spans="1:9" x14ac:dyDescent="0.2">
      <c r="A413" s="105" t="s">
        <v>25</v>
      </c>
      <c r="B413" s="106">
        <v>130</v>
      </c>
      <c r="C413" s="105">
        <v>1</v>
      </c>
      <c r="D413" s="105">
        <v>0</v>
      </c>
      <c r="E413" s="105">
        <v>0</v>
      </c>
      <c r="F413" s="107">
        <v>42165</v>
      </c>
      <c r="G413" s="105" t="s">
        <v>47</v>
      </c>
      <c r="H413" s="107">
        <v>42165</v>
      </c>
      <c r="I413" s="105" t="s">
        <v>25</v>
      </c>
    </row>
    <row r="414" spans="1:9" x14ac:dyDescent="0.2">
      <c r="A414" s="105" t="s">
        <v>1041</v>
      </c>
      <c r="B414" s="106">
        <v>148.01</v>
      </c>
      <c r="C414" s="105">
        <v>1</v>
      </c>
      <c r="D414" s="105">
        <v>0</v>
      </c>
      <c r="E414" s="105">
        <v>0</v>
      </c>
      <c r="F414" s="107">
        <v>42165</v>
      </c>
      <c r="G414" s="105" t="s">
        <v>47</v>
      </c>
      <c r="H414" s="107">
        <v>42165</v>
      </c>
      <c r="I414" s="105" t="s">
        <v>117</v>
      </c>
    </row>
    <row r="415" spans="1:9" x14ac:dyDescent="0.2">
      <c r="A415" s="105" t="s">
        <v>1042</v>
      </c>
      <c r="B415" s="106">
        <v>139.13</v>
      </c>
      <c r="C415" s="105">
        <v>1</v>
      </c>
      <c r="D415" s="105">
        <v>0</v>
      </c>
      <c r="E415" s="105">
        <v>0</v>
      </c>
      <c r="F415" s="107">
        <v>42165</v>
      </c>
      <c r="G415" s="105" t="s">
        <v>47</v>
      </c>
      <c r="H415" s="107">
        <v>42165</v>
      </c>
      <c r="I415" s="105" t="s">
        <v>117</v>
      </c>
    </row>
    <row r="416" spans="1:9" x14ac:dyDescent="0.2">
      <c r="A416" s="105" t="s">
        <v>1043</v>
      </c>
      <c r="B416" s="106">
        <v>66.61</v>
      </c>
      <c r="C416" s="105">
        <v>1</v>
      </c>
      <c r="D416" s="105">
        <v>0</v>
      </c>
      <c r="E416" s="105">
        <v>0</v>
      </c>
      <c r="F416" s="107">
        <v>42165</v>
      </c>
      <c r="G416" s="105" t="s">
        <v>47</v>
      </c>
      <c r="H416" s="107">
        <v>42165</v>
      </c>
      <c r="I416" s="105" t="s">
        <v>117</v>
      </c>
    </row>
    <row r="417" spans="1:9" x14ac:dyDescent="0.2">
      <c r="A417" s="105" t="s">
        <v>29</v>
      </c>
      <c r="B417" s="106">
        <v>518</v>
      </c>
      <c r="C417" s="105">
        <v>1</v>
      </c>
      <c r="D417" s="105">
        <v>0</v>
      </c>
      <c r="E417" s="105">
        <v>0</v>
      </c>
      <c r="F417" s="107">
        <v>42165</v>
      </c>
      <c r="G417" s="105" t="s">
        <v>47</v>
      </c>
      <c r="H417" s="107">
        <v>42165</v>
      </c>
      <c r="I417" s="108" t="s">
        <v>346</v>
      </c>
    </row>
    <row r="418" spans="1:9" x14ac:dyDescent="0.2">
      <c r="A418" s="105" t="s">
        <v>582</v>
      </c>
      <c r="B418" s="106">
        <v>1272</v>
      </c>
      <c r="C418" s="105">
        <v>1</v>
      </c>
      <c r="D418" s="105">
        <v>0</v>
      </c>
      <c r="E418" s="105">
        <v>0</v>
      </c>
      <c r="F418" s="107">
        <v>42165</v>
      </c>
      <c r="G418" s="105" t="s">
        <v>47</v>
      </c>
      <c r="H418" s="107">
        <v>42165</v>
      </c>
      <c r="I418" s="108" t="s">
        <v>346</v>
      </c>
    </row>
    <row r="419" spans="1:9" x14ac:dyDescent="0.2">
      <c r="A419" s="12" t="s">
        <v>21</v>
      </c>
      <c r="B419" s="88">
        <f>SUMIFS(credito!$B$2:$B$204,credito!$F$2:$F$204,F419,credito!$G$2:$G$204,0)</f>
        <v>1567.9199999999998</v>
      </c>
      <c r="C419" s="12">
        <v>1</v>
      </c>
      <c r="D419" s="12">
        <v>0</v>
      </c>
      <c r="E419" s="12">
        <v>0</v>
      </c>
      <c r="F419" s="89">
        <v>42165</v>
      </c>
      <c r="G419" s="12" t="s">
        <v>51</v>
      </c>
      <c r="H419" s="89">
        <v>42172</v>
      </c>
      <c r="I419" s="12" t="s">
        <v>336</v>
      </c>
    </row>
    <row r="420" spans="1:9" x14ac:dyDescent="0.2">
      <c r="A420" s="27" t="s">
        <v>39</v>
      </c>
      <c r="B420" s="83">
        <v>45</v>
      </c>
      <c r="C420" s="27">
        <v>1</v>
      </c>
      <c r="D420" s="27">
        <v>0</v>
      </c>
      <c r="E420" s="27">
        <v>0</v>
      </c>
      <c r="F420" s="82">
        <v>42165</v>
      </c>
      <c r="G420" s="27" t="s">
        <v>49</v>
      </c>
      <c r="H420" s="82">
        <v>42189</v>
      </c>
      <c r="I420" s="27" t="s">
        <v>345</v>
      </c>
    </row>
    <row r="421" spans="1:9" x14ac:dyDescent="0.2">
      <c r="A421" s="105" t="s">
        <v>52</v>
      </c>
      <c r="B421" s="106">
        <v>55.92</v>
      </c>
      <c r="C421" s="105">
        <v>0</v>
      </c>
      <c r="D421" s="105">
        <v>1</v>
      </c>
      <c r="E421" s="105">
        <v>0</v>
      </c>
      <c r="F421" s="107">
        <v>42165</v>
      </c>
      <c r="G421" s="105" t="s">
        <v>47</v>
      </c>
      <c r="H421" s="107">
        <v>42165</v>
      </c>
      <c r="I421" s="105" t="s">
        <v>52</v>
      </c>
    </row>
    <row r="422" spans="1:9" x14ac:dyDescent="0.2">
      <c r="A422" s="105" t="s">
        <v>845</v>
      </c>
      <c r="B422" s="106">
        <v>50</v>
      </c>
      <c r="C422" s="105">
        <v>0</v>
      </c>
      <c r="D422" s="105">
        <v>1</v>
      </c>
      <c r="E422" s="105">
        <v>0</v>
      </c>
      <c r="F422" s="107">
        <v>42165</v>
      </c>
      <c r="G422" s="105" t="s">
        <v>47</v>
      </c>
      <c r="H422" s="107">
        <v>42165</v>
      </c>
      <c r="I422" s="105" t="s">
        <v>1183</v>
      </c>
    </row>
    <row r="423" spans="1:9" x14ac:dyDescent="0.2">
      <c r="A423" s="105" t="s">
        <v>846</v>
      </c>
      <c r="B423" s="106">
        <v>18.75</v>
      </c>
      <c r="C423" s="105">
        <v>0</v>
      </c>
      <c r="D423" s="105">
        <v>1</v>
      </c>
      <c r="E423" s="105">
        <v>0</v>
      </c>
      <c r="F423" s="107">
        <v>42165</v>
      </c>
      <c r="G423" s="105" t="s">
        <v>47</v>
      </c>
      <c r="H423" s="107">
        <v>42166</v>
      </c>
      <c r="I423" s="105" t="s">
        <v>203</v>
      </c>
    </row>
    <row r="424" spans="1:9" x14ac:dyDescent="0.2">
      <c r="A424" s="105" t="s">
        <v>847</v>
      </c>
      <c r="B424" s="106">
        <v>92.7</v>
      </c>
      <c r="C424" s="105">
        <v>0</v>
      </c>
      <c r="D424" s="105">
        <v>1</v>
      </c>
      <c r="E424" s="105">
        <v>0</v>
      </c>
      <c r="F424" s="107">
        <v>42165</v>
      </c>
      <c r="G424" s="105" t="s">
        <v>47</v>
      </c>
      <c r="H424" s="107">
        <v>42166</v>
      </c>
      <c r="I424" s="105" t="s">
        <v>344</v>
      </c>
    </row>
    <row r="425" spans="1:9" x14ac:dyDescent="0.2">
      <c r="A425" s="105" t="s">
        <v>421</v>
      </c>
      <c r="B425" s="106">
        <v>2.67</v>
      </c>
      <c r="C425" s="105">
        <v>0</v>
      </c>
      <c r="D425" s="105">
        <v>1</v>
      </c>
      <c r="E425" s="105">
        <v>0</v>
      </c>
      <c r="F425" s="107">
        <v>42165</v>
      </c>
      <c r="G425" s="105" t="s">
        <v>47</v>
      </c>
      <c r="H425" s="107">
        <v>42166</v>
      </c>
      <c r="I425" s="105" t="s">
        <v>344</v>
      </c>
    </row>
    <row r="426" spans="1:9" x14ac:dyDescent="0.2">
      <c r="A426" s="105" t="s">
        <v>848</v>
      </c>
      <c r="B426" s="106">
        <v>114.99</v>
      </c>
      <c r="C426" s="105">
        <v>0</v>
      </c>
      <c r="D426" s="105">
        <v>1</v>
      </c>
      <c r="E426" s="105">
        <v>0</v>
      </c>
      <c r="F426" s="107">
        <v>42165</v>
      </c>
      <c r="G426" s="105" t="s">
        <v>47</v>
      </c>
      <c r="H426" s="107">
        <v>42166</v>
      </c>
      <c r="I426" s="105" t="s">
        <v>344</v>
      </c>
    </row>
    <row r="427" spans="1:9" x14ac:dyDescent="0.2">
      <c r="A427" s="105" t="s">
        <v>624</v>
      </c>
      <c r="B427" s="106">
        <v>13.86</v>
      </c>
      <c r="C427" s="105">
        <v>0</v>
      </c>
      <c r="D427" s="105">
        <v>1</v>
      </c>
      <c r="E427" s="105">
        <v>0</v>
      </c>
      <c r="F427" s="107">
        <v>42165</v>
      </c>
      <c r="G427" s="105" t="s">
        <v>47</v>
      </c>
      <c r="H427" s="107">
        <v>42167</v>
      </c>
      <c r="I427" s="105" t="s">
        <v>50</v>
      </c>
    </row>
    <row r="428" spans="1:9" x14ac:dyDescent="0.2">
      <c r="A428" s="105" t="s">
        <v>849</v>
      </c>
      <c r="B428" s="106">
        <v>92.62</v>
      </c>
      <c r="C428" s="105">
        <v>0</v>
      </c>
      <c r="D428" s="105">
        <v>1</v>
      </c>
      <c r="E428" s="105">
        <v>0</v>
      </c>
      <c r="F428" s="107">
        <v>42165</v>
      </c>
      <c r="G428" s="105" t="s">
        <v>49</v>
      </c>
      <c r="H428" s="107">
        <v>42168</v>
      </c>
      <c r="I428" s="105" t="s">
        <v>203</v>
      </c>
    </row>
    <row r="429" spans="1:9" x14ac:dyDescent="0.2">
      <c r="A429" s="105" t="s">
        <v>52</v>
      </c>
      <c r="B429" s="106">
        <v>27.12</v>
      </c>
      <c r="C429" s="105">
        <v>0</v>
      </c>
      <c r="D429" s="105">
        <v>1</v>
      </c>
      <c r="E429" s="105">
        <v>0</v>
      </c>
      <c r="F429" s="107">
        <v>42165</v>
      </c>
      <c r="G429" s="105" t="s">
        <v>49</v>
      </c>
      <c r="H429" s="107">
        <v>42168</v>
      </c>
      <c r="I429" s="105" t="s">
        <v>52</v>
      </c>
    </row>
    <row r="430" spans="1:9" x14ac:dyDescent="0.2">
      <c r="A430" s="105" t="s">
        <v>105</v>
      </c>
      <c r="B430" s="106">
        <v>71.7</v>
      </c>
      <c r="C430" s="105">
        <v>0</v>
      </c>
      <c r="D430" s="105">
        <v>1</v>
      </c>
      <c r="E430" s="105">
        <v>0</v>
      </c>
      <c r="F430" s="107">
        <v>42165</v>
      </c>
      <c r="G430" s="105" t="s">
        <v>49</v>
      </c>
      <c r="H430" s="107">
        <v>42169</v>
      </c>
      <c r="I430" t="s">
        <v>96</v>
      </c>
    </row>
    <row r="431" spans="1:9" x14ac:dyDescent="0.2">
      <c r="A431" s="105" t="s">
        <v>44</v>
      </c>
      <c r="B431" s="106">
        <v>100</v>
      </c>
      <c r="C431" s="105">
        <v>1</v>
      </c>
      <c r="D431" s="105">
        <v>0</v>
      </c>
      <c r="E431" s="105">
        <v>0</v>
      </c>
      <c r="F431" s="107">
        <v>42165</v>
      </c>
      <c r="G431" s="105" t="s">
        <v>51</v>
      </c>
      <c r="H431" s="107">
        <v>42170</v>
      </c>
      <c r="I431" s="105" t="s">
        <v>60</v>
      </c>
    </row>
    <row r="432" spans="1:9" x14ac:dyDescent="0.2">
      <c r="A432" s="105" t="s">
        <v>534</v>
      </c>
      <c r="B432" s="106">
        <v>30</v>
      </c>
      <c r="C432" s="105">
        <v>0</v>
      </c>
      <c r="D432" s="105">
        <v>1</v>
      </c>
      <c r="E432" s="105">
        <v>0</v>
      </c>
      <c r="F432" s="107">
        <v>42165</v>
      </c>
      <c r="G432" s="105" t="s">
        <v>51</v>
      </c>
      <c r="H432" s="107">
        <v>42172</v>
      </c>
      <c r="I432" s="105" t="s">
        <v>344</v>
      </c>
    </row>
    <row r="433" spans="1:9" x14ac:dyDescent="0.2">
      <c r="A433" s="105" t="s">
        <v>52</v>
      </c>
      <c r="B433" s="106">
        <v>62.74</v>
      </c>
      <c r="C433" s="105">
        <v>0</v>
      </c>
      <c r="D433" s="105">
        <v>1</v>
      </c>
      <c r="E433" s="105">
        <v>0</v>
      </c>
      <c r="F433" s="107">
        <v>42165</v>
      </c>
      <c r="G433" s="105" t="s">
        <v>51</v>
      </c>
      <c r="H433" s="107">
        <v>42170</v>
      </c>
      <c r="I433" s="105" t="s">
        <v>52</v>
      </c>
    </row>
    <row r="434" spans="1:9" x14ac:dyDescent="0.2">
      <c r="A434" s="105" t="s">
        <v>190</v>
      </c>
      <c r="B434" s="106">
        <v>6.75</v>
      </c>
      <c r="C434" s="105">
        <v>0</v>
      </c>
      <c r="D434" s="105">
        <v>1</v>
      </c>
      <c r="E434" s="105">
        <v>0</v>
      </c>
      <c r="F434" s="107">
        <v>42165</v>
      </c>
      <c r="G434" s="105" t="s">
        <v>49</v>
      </c>
      <c r="H434" s="107">
        <v>42169</v>
      </c>
      <c r="I434" s="105" t="s">
        <v>190</v>
      </c>
    </row>
    <row r="435" spans="1:9" x14ac:dyDescent="0.2">
      <c r="A435" s="105" t="s">
        <v>866</v>
      </c>
      <c r="B435" s="106">
        <v>30</v>
      </c>
      <c r="C435" s="105">
        <v>0</v>
      </c>
      <c r="D435" s="105">
        <v>1</v>
      </c>
      <c r="E435" s="106">
        <v>0</v>
      </c>
      <c r="F435" s="107">
        <v>42165</v>
      </c>
      <c r="G435" s="105" t="s">
        <v>51</v>
      </c>
      <c r="H435" s="107">
        <v>42174</v>
      </c>
      <c r="I435" s="105" t="s">
        <v>333</v>
      </c>
    </row>
    <row r="436" spans="1:9" x14ac:dyDescent="0.2">
      <c r="A436" s="105" t="s">
        <v>586</v>
      </c>
      <c r="B436" s="106">
        <v>9</v>
      </c>
      <c r="C436" s="105">
        <v>0</v>
      </c>
      <c r="D436" s="105">
        <v>1</v>
      </c>
      <c r="E436" s="106">
        <v>0</v>
      </c>
      <c r="F436" s="107">
        <v>42165</v>
      </c>
      <c r="G436" s="105" t="s">
        <v>51</v>
      </c>
      <c r="H436" s="107">
        <v>42174</v>
      </c>
      <c r="I436" s="105" t="s">
        <v>50</v>
      </c>
    </row>
    <row r="437" spans="1:9" x14ac:dyDescent="0.2">
      <c r="A437" s="105" t="s">
        <v>190</v>
      </c>
      <c r="B437" s="106">
        <v>24.61</v>
      </c>
      <c r="C437" s="105">
        <v>0</v>
      </c>
      <c r="D437" s="105">
        <v>1</v>
      </c>
      <c r="E437" s="106">
        <v>0</v>
      </c>
      <c r="F437" s="107">
        <v>42165</v>
      </c>
      <c r="G437" s="105" t="s">
        <v>49</v>
      </c>
      <c r="H437" s="107">
        <v>42175</v>
      </c>
      <c r="I437" s="105" t="s">
        <v>190</v>
      </c>
    </row>
    <row r="438" spans="1:9" x14ac:dyDescent="0.2">
      <c r="A438" s="105" t="s">
        <v>107</v>
      </c>
      <c r="B438" s="106">
        <v>3.54</v>
      </c>
      <c r="C438" s="105">
        <v>0</v>
      </c>
      <c r="D438" s="105">
        <v>1</v>
      </c>
      <c r="E438" s="106">
        <v>0</v>
      </c>
      <c r="F438" s="107">
        <v>42165</v>
      </c>
      <c r="G438" s="105" t="s">
        <v>49</v>
      </c>
      <c r="H438" s="107">
        <v>42175</v>
      </c>
      <c r="I438" s="159" t="s">
        <v>107</v>
      </c>
    </row>
    <row r="439" spans="1:9" x14ac:dyDescent="0.2">
      <c r="A439" s="105" t="s">
        <v>116</v>
      </c>
      <c r="B439" s="106">
        <v>20</v>
      </c>
      <c r="C439" s="105">
        <v>0</v>
      </c>
      <c r="D439" s="105">
        <v>1</v>
      </c>
      <c r="E439" s="106">
        <v>0</v>
      </c>
      <c r="F439" s="107">
        <v>42165</v>
      </c>
      <c r="G439" s="105" t="s">
        <v>49</v>
      </c>
      <c r="H439" s="107">
        <v>42175</v>
      </c>
      <c r="I439" s="105" t="s">
        <v>344</v>
      </c>
    </row>
    <row r="440" spans="1:9" x14ac:dyDescent="0.2">
      <c r="A440" s="105" t="s">
        <v>48</v>
      </c>
      <c r="B440" s="106">
        <v>20</v>
      </c>
      <c r="C440" s="105">
        <v>0</v>
      </c>
      <c r="D440" s="105">
        <v>1</v>
      </c>
      <c r="E440" s="106">
        <v>0</v>
      </c>
      <c r="F440" s="107">
        <v>42165</v>
      </c>
      <c r="G440" s="105" t="s">
        <v>49</v>
      </c>
      <c r="H440" s="107">
        <v>42175</v>
      </c>
      <c r="I440" s="105" t="s">
        <v>48</v>
      </c>
    </row>
    <row r="441" spans="1:9" x14ac:dyDescent="0.2">
      <c r="A441" s="105" t="s">
        <v>52</v>
      </c>
      <c r="B441" s="106">
        <v>141.69999999999999</v>
      </c>
      <c r="C441" s="105">
        <v>0</v>
      </c>
      <c r="D441" s="105">
        <v>1</v>
      </c>
      <c r="E441" s="106">
        <v>0</v>
      </c>
      <c r="F441" s="107">
        <v>42165</v>
      </c>
      <c r="G441" s="105" t="s">
        <v>49</v>
      </c>
      <c r="H441" s="107">
        <v>42175</v>
      </c>
      <c r="I441" s="105" t="s">
        <v>52</v>
      </c>
    </row>
    <row r="442" spans="1:9" x14ac:dyDescent="0.2">
      <c r="A442" s="105" t="s">
        <v>52</v>
      </c>
      <c r="B442" s="106">
        <v>29.1</v>
      </c>
      <c r="C442" s="105">
        <v>0</v>
      </c>
      <c r="D442" s="105">
        <v>1</v>
      </c>
      <c r="E442" s="106">
        <v>0</v>
      </c>
      <c r="F442" s="107">
        <v>42165</v>
      </c>
      <c r="G442" s="105" t="s">
        <v>49</v>
      </c>
      <c r="H442" s="107">
        <v>42175</v>
      </c>
      <c r="I442" s="105" t="s">
        <v>52</v>
      </c>
    </row>
    <row r="443" spans="1:9" x14ac:dyDescent="0.2">
      <c r="A443" s="105" t="s">
        <v>52</v>
      </c>
      <c r="B443" s="106">
        <v>82.89</v>
      </c>
      <c r="C443" s="105">
        <v>0</v>
      </c>
      <c r="D443" s="105">
        <v>1</v>
      </c>
      <c r="E443" s="106">
        <v>0</v>
      </c>
      <c r="F443" s="107">
        <v>42165</v>
      </c>
      <c r="G443" s="105" t="s">
        <v>54</v>
      </c>
      <c r="H443" s="107">
        <v>42177</v>
      </c>
      <c r="I443" s="105" t="s">
        <v>52</v>
      </c>
    </row>
    <row r="444" spans="1:9" x14ac:dyDescent="0.2">
      <c r="A444" s="105" t="s">
        <v>873</v>
      </c>
      <c r="B444" s="106">
        <v>25.5</v>
      </c>
      <c r="C444" s="105">
        <v>0</v>
      </c>
      <c r="D444" s="105">
        <v>1</v>
      </c>
      <c r="E444" s="106">
        <v>0</v>
      </c>
      <c r="F444" s="107">
        <v>42165</v>
      </c>
      <c r="G444" s="105" t="s">
        <v>49</v>
      </c>
      <c r="H444" s="107">
        <v>42176</v>
      </c>
      <c r="I444" t="s">
        <v>96</v>
      </c>
    </row>
    <row r="445" spans="1:9" x14ac:dyDescent="0.2">
      <c r="A445" s="105" t="s">
        <v>189</v>
      </c>
      <c r="B445" s="106">
        <v>11.8</v>
      </c>
      <c r="C445" s="105">
        <v>0</v>
      </c>
      <c r="D445" s="105">
        <v>1</v>
      </c>
      <c r="E445" s="106">
        <v>0</v>
      </c>
      <c r="F445" s="107">
        <v>42165</v>
      </c>
      <c r="G445" s="105" t="s">
        <v>49</v>
      </c>
      <c r="H445" s="107">
        <v>42176</v>
      </c>
      <c r="I445" s="105" t="s">
        <v>50</v>
      </c>
    </row>
    <row r="446" spans="1:9" x14ac:dyDescent="0.2">
      <c r="A446" s="105" t="s">
        <v>867</v>
      </c>
      <c r="B446" s="106">
        <v>36.99</v>
      </c>
      <c r="C446" s="105">
        <v>0</v>
      </c>
      <c r="D446" s="105">
        <v>1</v>
      </c>
      <c r="E446" s="106">
        <v>0</v>
      </c>
      <c r="F446" s="107">
        <v>42165</v>
      </c>
      <c r="G446" s="105" t="s">
        <v>49</v>
      </c>
      <c r="H446" s="107">
        <v>42175</v>
      </c>
      <c r="I446" s="159" t="s">
        <v>107</v>
      </c>
    </row>
    <row r="447" spans="1:9" x14ac:dyDescent="0.2">
      <c r="A447" s="105" t="s">
        <v>96</v>
      </c>
      <c r="B447" s="105">
        <v>17</v>
      </c>
      <c r="C447" s="105">
        <v>0</v>
      </c>
      <c r="D447" s="105">
        <v>1</v>
      </c>
      <c r="E447" s="106">
        <v>0</v>
      </c>
      <c r="F447" s="107">
        <v>42165</v>
      </c>
      <c r="G447" s="105" t="s">
        <v>54</v>
      </c>
      <c r="H447" s="107">
        <v>42180</v>
      </c>
      <c r="I447" t="s">
        <v>96</v>
      </c>
    </row>
    <row r="448" spans="1:9" x14ac:dyDescent="0.2">
      <c r="A448" s="105" t="s">
        <v>190</v>
      </c>
      <c r="B448" s="105">
        <v>36.450000000000003</v>
      </c>
      <c r="C448" s="105">
        <v>0</v>
      </c>
      <c r="D448" s="105">
        <v>1</v>
      </c>
      <c r="E448" s="106">
        <v>0</v>
      </c>
      <c r="F448" s="107">
        <v>42165</v>
      </c>
      <c r="G448" s="105" t="s">
        <v>54</v>
      </c>
      <c r="H448" s="107">
        <v>42181</v>
      </c>
      <c r="I448" s="105" t="s">
        <v>190</v>
      </c>
    </row>
    <row r="449" spans="1:9" x14ac:dyDescent="0.2">
      <c r="A449" s="105" t="s">
        <v>875</v>
      </c>
      <c r="B449" s="105">
        <v>17.989999999999998</v>
      </c>
      <c r="C449" s="105">
        <v>0</v>
      </c>
      <c r="D449" s="105">
        <v>1</v>
      </c>
      <c r="E449" s="106">
        <v>0</v>
      </c>
      <c r="F449" s="107">
        <v>42165</v>
      </c>
      <c r="G449" s="105" t="s">
        <v>54</v>
      </c>
      <c r="H449" s="107">
        <v>42181</v>
      </c>
      <c r="I449" s="105" t="s">
        <v>50</v>
      </c>
    </row>
    <row r="450" spans="1:9" x14ac:dyDescent="0.2">
      <c r="A450" s="105" t="s">
        <v>398</v>
      </c>
      <c r="B450" s="105">
        <v>30</v>
      </c>
      <c r="C450" s="105">
        <v>0</v>
      </c>
      <c r="D450" s="105">
        <v>1</v>
      </c>
      <c r="E450" s="106">
        <v>0</v>
      </c>
      <c r="F450" s="107">
        <v>42165</v>
      </c>
      <c r="G450" s="105" t="s">
        <v>49</v>
      </c>
      <c r="H450" s="107">
        <v>42183</v>
      </c>
      <c r="I450" s="105" t="s">
        <v>398</v>
      </c>
    </row>
    <row r="451" spans="1:9" x14ac:dyDescent="0.2">
      <c r="A451" s="105" t="s">
        <v>48</v>
      </c>
      <c r="B451" s="105">
        <v>10</v>
      </c>
      <c r="C451" s="105">
        <v>0</v>
      </c>
      <c r="D451" s="105">
        <v>1</v>
      </c>
      <c r="E451" s="106">
        <v>0</v>
      </c>
      <c r="F451" s="107">
        <v>42165</v>
      </c>
      <c r="G451" s="105" t="s">
        <v>49</v>
      </c>
      <c r="H451" s="107">
        <v>42183</v>
      </c>
      <c r="I451" s="105" t="s">
        <v>48</v>
      </c>
    </row>
    <row r="452" spans="1:9" x14ac:dyDescent="0.2">
      <c r="A452" s="105" t="s">
        <v>889</v>
      </c>
      <c r="B452" s="105">
        <v>10</v>
      </c>
      <c r="C452" s="105">
        <v>0</v>
      </c>
      <c r="D452" s="105">
        <v>1</v>
      </c>
      <c r="E452" s="106">
        <v>0</v>
      </c>
      <c r="F452" s="107">
        <v>42165</v>
      </c>
      <c r="G452" s="105" t="s">
        <v>55</v>
      </c>
      <c r="H452" s="107">
        <v>42184</v>
      </c>
      <c r="I452" s="105" t="s">
        <v>50</v>
      </c>
    </row>
    <row r="453" spans="1:9" x14ac:dyDescent="0.2">
      <c r="A453" s="105" t="s">
        <v>775</v>
      </c>
      <c r="B453" s="105">
        <v>2.38</v>
      </c>
      <c r="C453" s="105">
        <v>0</v>
      </c>
      <c r="D453" s="105">
        <v>1</v>
      </c>
      <c r="E453" s="106">
        <v>0</v>
      </c>
      <c r="F453" s="107">
        <v>42165</v>
      </c>
      <c r="G453" s="105" t="s">
        <v>55</v>
      </c>
      <c r="H453" s="107">
        <v>42184</v>
      </c>
      <c r="I453" s="105" t="s">
        <v>50</v>
      </c>
    </row>
    <row r="454" spans="1:9" x14ac:dyDescent="0.2">
      <c r="A454" s="105" t="s">
        <v>775</v>
      </c>
      <c r="B454" s="105">
        <v>5.78</v>
      </c>
      <c r="C454" s="105">
        <v>0</v>
      </c>
      <c r="D454" s="105">
        <v>1</v>
      </c>
      <c r="E454" s="106">
        <v>0</v>
      </c>
      <c r="F454" s="107">
        <v>42165</v>
      </c>
      <c r="G454" s="105" t="s">
        <v>55</v>
      </c>
      <c r="H454" s="107">
        <v>42186</v>
      </c>
      <c r="I454" s="105" t="s">
        <v>50</v>
      </c>
    </row>
    <row r="455" spans="1:9" x14ac:dyDescent="0.2">
      <c r="A455" s="105" t="s">
        <v>854</v>
      </c>
      <c r="B455" s="105">
        <v>33.99</v>
      </c>
      <c r="C455" s="105">
        <v>0</v>
      </c>
      <c r="D455" s="105">
        <v>1</v>
      </c>
      <c r="E455" s="106">
        <v>0</v>
      </c>
      <c r="F455" s="107">
        <v>42165</v>
      </c>
      <c r="G455" s="105" t="s">
        <v>55</v>
      </c>
      <c r="H455" s="107">
        <v>42186</v>
      </c>
      <c r="I455" s="105" t="s">
        <v>860</v>
      </c>
    </row>
    <row r="456" spans="1:9" x14ac:dyDescent="0.2">
      <c r="A456" s="105" t="s">
        <v>183</v>
      </c>
      <c r="B456" s="105">
        <v>7</v>
      </c>
      <c r="C456" s="105">
        <v>0</v>
      </c>
      <c r="D456" s="105">
        <v>1</v>
      </c>
      <c r="E456" s="106">
        <v>0</v>
      </c>
      <c r="F456" s="107">
        <v>42165</v>
      </c>
      <c r="G456" s="105" t="s">
        <v>55</v>
      </c>
      <c r="H456" s="107">
        <v>42186</v>
      </c>
      <c r="I456" s="105" t="s">
        <v>50</v>
      </c>
    </row>
    <row r="457" spans="1:9" x14ac:dyDescent="0.2">
      <c r="A457" s="105" t="s">
        <v>888</v>
      </c>
      <c r="B457" s="105">
        <v>3.9</v>
      </c>
      <c r="C457" s="105">
        <v>0</v>
      </c>
      <c r="D457" s="105">
        <v>1</v>
      </c>
      <c r="E457" s="106">
        <v>0</v>
      </c>
      <c r="F457" s="107">
        <v>42165</v>
      </c>
      <c r="G457" s="105" t="s">
        <v>55</v>
      </c>
      <c r="H457" s="107">
        <v>42184</v>
      </c>
      <c r="I457" s="105" t="s">
        <v>50</v>
      </c>
    </row>
    <row r="458" spans="1:9" x14ac:dyDescent="0.2">
      <c r="A458" s="105" t="s">
        <v>44</v>
      </c>
      <c r="B458" s="106">
        <v>100</v>
      </c>
      <c r="C458" s="105">
        <v>1</v>
      </c>
      <c r="D458" s="105">
        <v>0</v>
      </c>
      <c r="E458" s="105">
        <v>0</v>
      </c>
      <c r="F458" s="107">
        <v>42165</v>
      </c>
      <c r="G458" s="105" t="s">
        <v>55</v>
      </c>
      <c r="H458" s="107">
        <v>42184</v>
      </c>
      <c r="I458" s="105" t="s">
        <v>60</v>
      </c>
    </row>
    <row r="459" spans="1:9" x14ac:dyDescent="0.2">
      <c r="A459" s="105" t="s">
        <v>893</v>
      </c>
      <c r="B459" s="106">
        <v>4.5</v>
      </c>
      <c r="C459" s="105">
        <v>0</v>
      </c>
      <c r="D459" s="105">
        <v>1</v>
      </c>
      <c r="E459" s="105">
        <v>0</v>
      </c>
      <c r="F459" s="107">
        <v>42165</v>
      </c>
      <c r="G459" s="105" t="s">
        <v>180</v>
      </c>
      <c r="H459" s="107">
        <v>42192</v>
      </c>
      <c r="I459" s="105" t="s">
        <v>50</v>
      </c>
    </row>
    <row r="460" spans="1:9" x14ac:dyDescent="0.2">
      <c r="A460" s="105" t="s">
        <v>894</v>
      </c>
      <c r="B460" s="106">
        <v>14</v>
      </c>
      <c r="C460" s="105">
        <v>0</v>
      </c>
      <c r="D460" s="105">
        <v>1</v>
      </c>
      <c r="E460" s="105">
        <v>0</v>
      </c>
      <c r="F460" s="107">
        <v>42165</v>
      </c>
      <c r="G460" s="105" t="s">
        <v>180</v>
      </c>
      <c r="H460" s="107">
        <v>42192</v>
      </c>
      <c r="I460" s="105" t="s">
        <v>50</v>
      </c>
    </row>
    <row r="461" spans="1:9" x14ac:dyDescent="0.2">
      <c r="A461" s="105" t="s">
        <v>183</v>
      </c>
      <c r="B461" s="106">
        <v>9</v>
      </c>
      <c r="C461" s="105">
        <v>0</v>
      </c>
      <c r="D461" s="105">
        <v>1</v>
      </c>
      <c r="E461" s="105">
        <v>0</v>
      </c>
      <c r="F461" s="107">
        <v>42165</v>
      </c>
      <c r="G461" s="105" t="s">
        <v>180</v>
      </c>
      <c r="H461" s="107">
        <v>42193</v>
      </c>
      <c r="I461" s="105" t="s">
        <v>50</v>
      </c>
    </row>
    <row r="462" spans="1:9" x14ac:dyDescent="0.2">
      <c r="A462" s="105" t="s">
        <v>895</v>
      </c>
      <c r="B462" s="106">
        <v>6.5</v>
      </c>
      <c r="C462" s="105">
        <v>0</v>
      </c>
      <c r="D462" s="105">
        <v>1</v>
      </c>
      <c r="E462" s="105">
        <v>0</v>
      </c>
      <c r="F462" s="107">
        <v>42165</v>
      </c>
      <c r="G462" s="105" t="s">
        <v>180</v>
      </c>
      <c r="H462" s="107">
        <v>42193</v>
      </c>
      <c r="I462" s="105" t="s">
        <v>50</v>
      </c>
    </row>
    <row r="463" spans="1:9" x14ac:dyDescent="0.2">
      <c r="A463" s="105" t="s">
        <v>896</v>
      </c>
      <c r="B463" s="106">
        <v>13.5</v>
      </c>
      <c r="C463" s="105">
        <v>0</v>
      </c>
      <c r="D463" s="105">
        <v>1</v>
      </c>
      <c r="E463" s="105">
        <v>0</v>
      </c>
      <c r="F463" s="107">
        <v>42165</v>
      </c>
      <c r="G463" s="105" t="s">
        <v>180</v>
      </c>
      <c r="H463" s="107">
        <v>42193</v>
      </c>
      <c r="I463" s="105" t="s">
        <v>50</v>
      </c>
    </row>
    <row r="464" spans="1:9" x14ac:dyDescent="0.2">
      <c r="A464" s="105" t="s">
        <v>116</v>
      </c>
      <c r="B464" s="106">
        <v>20</v>
      </c>
      <c r="C464" s="105">
        <v>0</v>
      </c>
      <c r="D464" s="105">
        <v>1</v>
      </c>
      <c r="E464" s="105">
        <v>0</v>
      </c>
      <c r="F464" s="107">
        <v>42165</v>
      </c>
      <c r="G464" s="105" t="s">
        <v>55</v>
      </c>
      <c r="H464" s="107">
        <v>42188</v>
      </c>
      <c r="I464" s="105" t="s">
        <v>344</v>
      </c>
    </row>
    <row r="465" spans="1:9" x14ac:dyDescent="0.2">
      <c r="A465" s="105" t="s">
        <v>48</v>
      </c>
      <c r="B465" s="106">
        <v>50</v>
      </c>
      <c r="C465" s="105">
        <v>0</v>
      </c>
      <c r="D465" s="105">
        <v>1</v>
      </c>
      <c r="E465" s="105">
        <v>0</v>
      </c>
      <c r="F465" s="107">
        <v>42165</v>
      </c>
      <c r="G465" s="105" t="s">
        <v>49</v>
      </c>
      <c r="H465" s="107">
        <v>42189</v>
      </c>
      <c r="I465" s="105" t="s">
        <v>48</v>
      </c>
    </row>
    <row r="466" spans="1:9" x14ac:dyDescent="0.2">
      <c r="A466" s="105" t="s">
        <v>891</v>
      </c>
      <c r="B466" s="106">
        <v>95</v>
      </c>
      <c r="C466" s="105">
        <v>0</v>
      </c>
      <c r="D466" s="105">
        <v>1</v>
      </c>
      <c r="E466" s="105">
        <v>0</v>
      </c>
      <c r="F466" s="107">
        <v>42165</v>
      </c>
      <c r="G466" s="105" t="s">
        <v>49</v>
      </c>
      <c r="H466" s="107">
        <v>42189</v>
      </c>
      <c r="I466" s="105" t="s">
        <v>344</v>
      </c>
    </row>
    <row r="467" spans="1:9" x14ac:dyDescent="0.2">
      <c r="A467" s="105" t="s">
        <v>190</v>
      </c>
      <c r="B467" s="106">
        <v>6.4</v>
      </c>
      <c r="C467" s="105">
        <v>0</v>
      </c>
      <c r="D467" s="105">
        <v>1</v>
      </c>
      <c r="E467" s="105">
        <v>0</v>
      </c>
      <c r="F467" s="107">
        <v>42165</v>
      </c>
      <c r="G467" s="105" t="s">
        <v>180</v>
      </c>
      <c r="H467" s="107">
        <v>42194</v>
      </c>
      <c r="I467" s="105" t="s">
        <v>190</v>
      </c>
    </row>
    <row r="468" spans="1:9" x14ac:dyDescent="0.2">
      <c r="A468" s="105" t="s">
        <v>898</v>
      </c>
      <c r="B468" s="106">
        <v>9</v>
      </c>
      <c r="C468" s="105">
        <v>0</v>
      </c>
      <c r="D468" s="105">
        <v>1</v>
      </c>
      <c r="E468" s="105">
        <v>0</v>
      </c>
      <c r="F468" s="107">
        <v>42165</v>
      </c>
      <c r="G468" s="105" t="s">
        <v>180</v>
      </c>
      <c r="H468" s="107">
        <v>42194</v>
      </c>
      <c r="I468" s="105" t="s">
        <v>398</v>
      </c>
    </row>
    <row r="469" spans="1:9" x14ac:dyDescent="0.2">
      <c r="A469" s="105" t="s">
        <v>48</v>
      </c>
      <c r="B469" s="106">
        <v>20</v>
      </c>
      <c r="C469" s="105">
        <v>0</v>
      </c>
      <c r="D469" s="105">
        <v>1</v>
      </c>
      <c r="E469" s="105">
        <v>0</v>
      </c>
      <c r="F469" s="107">
        <v>42165</v>
      </c>
      <c r="G469" s="105" t="s">
        <v>55</v>
      </c>
      <c r="H469" s="107">
        <v>42188</v>
      </c>
      <c r="I469" s="105" t="s">
        <v>48</v>
      </c>
    </row>
    <row r="470" spans="1:9" x14ac:dyDescent="0.2">
      <c r="A470" s="105" t="s">
        <v>902</v>
      </c>
      <c r="B470" s="106">
        <v>0</v>
      </c>
      <c r="C470" s="105">
        <v>0</v>
      </c>
      <c r="D470" s="105">
        <v>1</v>
      </c>
      <c r="E470" s="105">
        <v>0</v>
      </c>
      <c r="F470" s="107">
        <v>42165</v>
      </c>
      <c r="G470" s="105" t="s">
        <v>180</v>
      </c>
      <c r="H470" s="107">
        <v>42195</v>
      </c>
      <c r="I470" s="159" t="s">
        <v>1182</v>
      </c>
    </row>
    <row r="471" spans="1:9" x14ac:dyDescent="0.2">
      <c r="A471" s="105" t="s">
        <v>1044</v>
      </c>
      <c r="B471" s="106">
        <v>0</v>
      </c>
      <c r="C471" s="105">
        <v>0</v>
      </c>
      <c r="D471" s="105">
        <v>1</v>
      </c>
      <c r="E471" s="105">
        <v>0</v>
      </c>
      <c r="F471" s="107">
        <v>42165</v>
      </c>
      <c r="G471" s="105" t="s">
        <v>180</v>
      </c>
      <c r="H471" s="107">
        <v>42195</v>
      </c>
      <c r="I471" s="159" t="s">
        <v>1182</v>
      </c>
    </row>
    <row r="472" spans="1:9" x14ac:dyDescent="0.2">
      <c r="A472" s="105" t="s">
        <v>1037</v>
      </c>
      <c r="B472" s="106">
        <v>48.1</v>
      </c>
      <c r="C472" s="105">
        <v>1</v>
      </c>
      <c r="D472" s="105">
        <v>0</v>
      </c>
      <c r="E472" s="105">
        <v>0</v>
      </c>
      <c r="F472" s="107">
        <v>42165</v>
      </c>
      <c r="G472" s="105" t="s">
        <v>47</v>
      </c>
      <c r="H472" s="107">
        <v>42165</v>
      </c>
      <c r="I472" s="105" t="s">
        <v>1045</v>
      </c>
    </row>
    <row r="473" spans="1:9" x14ac:dyDescent="0.2">
      <c r="A473" s="105" t="s">
        <v>1038</v>
      </c>
      <c r="B473" s="106">
        <v>222.01</v>
      </c>
      <c r="C473" s="105">
        <v>1</v>
      </c>
      <c r="D473" s="105">
        <v>0</v>
      </c>
      <c r="E473" s="105">
        <v>0</v>
      </c>
      <c r="F473" s="107">
        <v>42165</v>
      </c>
      <c r="G473" s="105" t="s">
        <v>47</v>
      </c>
      <c r="H473" s="107">
        <v>42165</v>
      </c>
      <c r="I473" s="105" t="s">
        <v>1045</v>
      </c>
    </row>
    <row r="474" spans="1:9" x14ac:dyDescent="0.2">
      <c r="A474" s="105" t="s">
        <v>1039</v>
      </c>
      <c r="B474" s="106">
        <v>111.01</v>
      </c>
      <c r="C474" s="105">
        <v>1</v>
      </c>
      <c r="D474" s="105">
        <v>0</v>
      </c>
      <c r="E474" s="105">
        <v>0</v>
      </c>
      <c r="F474" s="107">
        <v>42165</v>
      </c>
      <c r="G474" s="105" t="s">
        <v>47</v>
      </c>
      <c r="H474" s="107">
        <v>42165</v>
      </c>
      <c r="I474" s="105" t="s">
        <v>1045</v>
      </c>
    </row>
    <row r="475" spans="1:9" x14ac:dyDescent="0.2">
      <c r="A475" s="105" t="s">
        <v>1040</v>
      </c>
      <c r="B475" s="106">
        <v>74</v>
      </c>
      <c r="C475" s="105">
        <v>1</v>
      </c>
      <c r="D475" s="105">
        <v>0</v>
      </c>
      <c r="E475" s="105">
        <v>0</v>
      </c>
      <c r="F475" s="107">
        <v>42165</v>
      </c>
      <c r="G475" s="105" t="s">
        <v>47</v>
      </c>
      <c r="H475" s="107">
        <v>42165</v>
      </c>
      <c r="I475" s="105" t="s">
        <v>1045</v>
      </c>
    </row>
    <row r="476" spans="1:9" x14ac:dyDescent="0.2">
      <c r="A476" s="100" t="s">
        <v>689</v>
      </c>
      <c r="B476" s="101">
        <v>0</v>
      </c>
      <c r="C476" s="100">
        <v>0</v>
      </c>
      <c r="D476" s="100">
        <v>1</v>
      </c>
      <c r="E476" s="100">
        <v>1</v>
      </c>
      <c r="F476" s="85">
        <v>42195</v>
      </c>
      <c r="G476" s="100" t="s">
        <v>49</v>
      </c>
      <c r="H476" s="85">
        <v>42205</v>
      </c>
      <c r="I476" s="1" t="s">
        <v>153</v>
      </c>
    </row>
    <row r="477" spans="1:9" x14ac:dyDescent="0.2">
      <c r="A477" s="100" t="s">
        <v>40</v>
      </c>
      <c r="B477" s="101">
        <v>5.32</v>
      </c>
      <c r="C477" s="100">
        <v>1</v>
      </c>
      <c r="D477" s="100">
        <v>0</v>
      </c>
      <c r="E477" s="100">
        <v>0</v>
      </c>
      <c r="F477" s="85">
        <v>42195</v>
      </c>
      <c r="G477" s="100" t="s">
        <v>47</v>
      </c>
      <c r="H477" s="85">
        <v>42195</v>
      </c>
      <c r="I477" s="100" t="s">
        <v>345</v>
      </c>
    </row>
    <row r="478" spans="1:9" x14ac:dyDescent="0.2">
      <c r="A478" s="100" t="s">
        <v>2</v>
      </c>
      <c r="B478" s="101">
        <v>50</v>
      </c>
      <c r="C478" s="100">
        <v>1</v>
      </c>
      <c r="D478" s="100">
        <v>0</v>
      </c>
      <c r="E478" s="100">
        <v>0</v>
      </c>
      <c r="F478" s="85">
        <v>42195</v>
      </c>
      <c r="G478" s="100" t="s">
        <v>47</v>
      </c>
      <c r="H478" s="85">
        <v>42195</v>
      </c>
      <c r="I478" s="105" t="s">
        <v>1183</v>
      </c>
    </row>
    <row r="479" spans="1:9" x14ac:dyDescent="0.2">
      <c r="A479" s="100" t="s">
        <v>38</v>
      </c>
      <c r="B479" s="101">
        <v>57</v>
      </c>
      <c r="C479" s="100">
        <v>1</v>
      </c>
      <c r="D479" s="100">
        <v>0</v>
      </c>
      <c r="E479" s="100">
        <v>0</v>
      </c>
      <c r="F479" s="85">
        <v>42195</v>
      </c>
      <c r="G479" s="100" t="s">
        <v>47</v>
      </c>
      <c r="H479" s="85">
        <v>42195</v>
      </c>
      <c r="I479" s="100" t="s">
        <v>345</v>
      </c>
    </row>
    <row r="480" spans="1:9" x14ac:dyDescent="0.2">
      <c r="A480" s="100" t="s">
        <v>982</v>
      </c>
      <c r="B480" s="101">
        <v>45.74</v>
      </c>
      <c r="C480" s="100">
        <v>1</v>
      </c>
      <c r="D480" s="100">
        <v>0</v>
      </c>
      <c r="E480" s="100">
        <v>0</v>
      </c>
      <c r="F480" s="85">
        <v>42195</v>
      </c>
      <c r="G480" s="100" t="s">
        <v>47</v>
      </c>
      <c r="H480" s="85">
        <v>42195</v>
      </c>
      <c r="I480" s="100" t="s">
        <v>345</v>
      </c>
    </row>
    <row r="481" spans="1:9" x14ac:dyDescent="0.2">
      <c r="A481" s="100" t="s">
        <v>0</v>
      </c>
      <c r="B481" s="101">
        <v>0</v>
      </c>
      <c r="C481" s="100">
        <v>1</v>
      </c>
      <c r="D481" s="100">
        <v>0</v>
      </c>
      <c r="E481" s="100">
        <v>1</v>
      </c>
      <c r="F481" s="85">
        <v>42195</v>
      </c>
      <c r="G481" s="100" t="s">
        <v>47</v>
      </c>
      <c r="H481" s="85">
        <v>42195</v>
      </c>
      <c r="I481" s="100" t="s">
        <v>346</v>
      </c>
    </row>
    <row r="482" spans="1:9" x14ac:dyDescent="0.2">
      <c r="A482" s="100" t="s">
        <v>3</v>
      </c>
      <c r="B482" s="101">
        <v>53.37</v>
      </c>
      <c r="C482" s="100">
        <v>1</v>
      </c>
      <c r="D482" s="100">
        <v>0</v>
      </c>
      <c r="E482" s="100">
        <v>0</v>
      </c>
      <c r="F482" s="85">
        <v>42195</v>
      </c>
      <c r="G482" s="100" t="s">
        <v>47</v>
      </c>
      <c r="H482" s="85">
        <v>42195</v>
      </c>
      <c r="I482" s="100" t="s">
        <v>346</v>
      </c>
    </row>
    <row r="483" spans="1:9" x14ac:dyDescent="0.2">
      <c r="A483" s="100" t="s">
        <v>1</v>
      </c>
      <c r="B483" s="100">
        <v>226.38</v>
      </c>
      <c r="C483" s="100">
        <v>1</v>
      </c>
      <c r="D483" s="100">
        <v>0</v>
      </c>
      <c r="E483" s="100">
        <v>0</v>
      </c>
      <c r="F483" s="85">
        <v>42195</v>
      </c>
      <c r="G483" s="100" t="s">
        <v>47</v>
      </c>
      <c r="H483" s="85">
        <v>42195</v>
      </c>
      <c r="I483" s="100" t="s">
        <v>346</v>
      </c>
    </row>
    <row r="484" spans="1:9" x14ac:dyDescent="0.2">
      <c r="A484" s="100" t="s">
        <v>156</v>
      </c>
      <c r="B484" s="101">
        <v>0</v>
      </c>
      <c r="C484" s="100">
        <v>1</v>
      </c>
      <c r="D484" s="100">
        <v>0</v>
      </c>
      <c r="E484" s="100">
        <v>1</v>
      </c>
      <c r="F484" s="85">
        <v>42195</v>
      </c>
      <c r="G484" s="100" t="s">
        <v>47</v>
      </c>
      <c r="H484" s="85">
        <v>42195</v>
      </c>
      <c r="I484" s="100" t="s">
        <v>346</v>
      </c>
    </row>
    <row r="485" spans="1:9" x14ac:dyDescent="0.2">
      <c r="A485" s="100" t="s">
        <v>26</v>
      </c>
      <c r="B485" s="101">
        <v>501.76</v>
      </c>
      <c r="C485" s="100">
        <v>1</v>
      </c>
      <c r="D485" s="100">
        <v>0</v>
      </c>
      <c r="E485" s="100">
        <v>0</v>
      </c>
      <c r="F485" s="85">
        <v>42195</v>
      </c>
      <c r="G485" s="100" t="s">
        <v>47</v>
      </c>
      <c r="H485" s="85">
        <v>42195</v>
      </c>
      <c r="I485" s="100" t="s">
        <v>345</v>
      </c>
    </row>
    <row r="486" spans="1:9" x14ac:dyDescent="0.2">
      <c r="A486" s="100" t="s">
        <v>28</v>
      </c>
      <c r="B486" s="101">
        <v>38.5</v>
      </c>
      <c r="C486" s="100">
        <v>1</v>
      </c>
      <c r="D486" s="100">
        <v>0</v>
      </c>
      <c r="E486" s="100">
        <v>0</v>
      </c>
      <c r="F486" s="85">
        <v>42195</v>
      </c>
      <c r="G486" s="100" t="s">
        <v>47</v>
      </c>
      <c r="H486" s="85">
        <v>42195</v>
      </c>
      <c r="I486" s="100" t="s">
        <v>345</v>
      </c>
    </row>
    <row r="487" spans="1:9" x14ac:dyDescent="0.2">
      <c r="A487" s="100" t="s">
        <v>27</v>
      </c>
      <c r="B487" s="101">
        <v>282.25</v>
      </c>
      <c r="C487" s="100">
        <v>1</v>
      </c>
      <c r="D487" s="100">
        <v>0</v>
      </c>
      <c r="E487" s="100">
        <v>0</v>
      </c>
      <c r="F487" s="85">
        <v>42195</v>
      </c>
      <c r="G487" s="100" t="s">
        <v>47</v>
      </c>
      <c r="H487" s="85">
        <v>42195</v>
      </c>
      <c r="I487" s="100" t="s">
        <v>345</v>
      </c>
    </row>
    <row r="488" spans="1:9" x14ac:dyDescent="0.2">
      <c r="A488" s="100" t="s">
        <v>12</v>
      </c>
      <c r="B488" s="101">
        <v>536.46</v>
      </c>
      <c r="C488" s="100">
        <v>1</v>
      </c>
      <c r="D488" s="100">
        <v>0</v>
      </c>
      <c r="E488" s="100">
        <v>0</v>
      </c>
      <c r="F488" s="85">
        <v>42195</v>
      </c>
      <c r="G488" s="100" t="s">
        <v>47</v>
      </c>
      <c r="H488" s="85">
        <v>42195</v>
      </c>
      <c r="I488" s="100" t="s">
        <v>348</v>
      </c>
    </row>
    <row r="489" spans="1:9" x14ac:dyDescent="0.2">
      <c r="A489" s="100" t="s">
        <v>25</v>
      </c>
      <c r="B489" s="101">
        <v>130</v>
      </c>
      <c r="C489" s="100">
        <v>1</v>
      </c>
      <c r="D489" s="100">
        <v>0</v>
      </c>
      <c r="E489" s="100">
        <v>0</v>
      </c>
      <c r="F489" s="85">
        <v>42195</v>
      </c>
      <c r="G489" s="100" t="s">
        <v>47</v>
      </c>
      <c r="H489" s="85">
        <v>42195</v>
      </c>
      <c r="I489" s="100" t="s">
        <v>25</v>
      </c>
    </row>
    <row r="490" spans="1:9" x14ac:dyDescent="0.2">
      <c r="A490" s="100" t="s">
        <v>1041</v>
      </c>
      <c r="B490" s="101">
        <v>148.01</v>
      </c>
      <c r="C490" s="100">
        <v>1</v>
      </c>
      <c r="D490" s="100">
        <v>0</v>
      </c>
      <c r="E490" s="100">
        <v>0</v>
      </c>
      <c r="F490" s="85">
        <v>42195</v>
      </c>
      <c r="G490" s="100" t="s">
        <v>47</v>
      </c>
      <c r="H490" s="85">
        <v>42195</v>
      </c>
      <c r="I490" s="100" t="s">
        <v>117</v>
      </c>
    </row>
    <row r="491" spans="1:9" x14ac:dyDescent="0.2">
      <c r="A491" s="100" t="s">
        <v>1042</v>
      </c>
      <c r="B491" s="101">
        <v>139.13</v>
      </c>
      <c r="C491" s="100">
        <v>1</v>
      </c>
      <c r="D491" s="100">
        <v>0</v>
      </c>
      <c r="E491" s="100">
        <v>0</v>
      </c>
      <c r="F491" s="85">
        <v>42195</v>
      </c>
      <c r="G491" s="100" t="s">
        <v>47</v>
      </c>
      <c r="H491" s="85">
        <v>42195</v>
      </c>
      <c r="I491" s="100" t="s">
        <v>117</v>
      </c>
    </row>
    <row r="492" spans="1:9" x14ac:dyDescent="0.2">
      <c r="A492" s="100" t="s">
        <v>1043</v>
      </c>
      <c r="B492" s="101">
        <v>66.61</v>
      </c>
      <c r="C492" s="100">
        <v>1</v>
      </c>
      <c r="D492" s="100">
        <v>0</v>
      </c>
      <c r="E492" s="100">
        <v>0</v>
      </c>
      <c r="F492" s="85">
        <v>42195</v>
      </c>
      <c r="G492" s="100" t="s">
        <v>47</v>
      </c>
      <c r="H492" s="85">
        <v>42195</v>
      </c>
      <c r="I492" s="100" t="s">
        <v>117</v>
      </c>
    </row>
    <row r="493" spans="1:9" x14ac:dyDescent="0.2">
      <c r="A493" s="100" t="s">
        <v>44</v>
      </c>
      <c r="B493" s="101">
        <v>100</v>
      </c>
      <c r="C493" s="100">
        <v>1</v>
      </c>
      <c r="D493" s="100">
        <v>0</v>
      </c>
      <c r="E493" s="100">
        <v>0</v>
      </c>
      <c r="F493" s="85">
        <v>42195</v>
      </c>
      <c r="G493" s="100" t="s">
        <v>180</v>
      </c>
      <c r="H493" s="85">
        <v>42219</v>
      </c>
      <c r="I493" s="10" t="s">
        <v>60</v>
      </c>
    </row>
    <row r="494" spans="1:9" x14ac:dyDescent="0.2">
      <c r="A494" s="100" t="s">
        <v>582</v>
      </c>
      <c r="B494" s="101">
        <v>1304</v>
      </c>
      <c r="C494" s="100">
        <v>1</v>
      </c>
      <c r="D494" s="100">
        <v>0</v>
      </c>
      <c r="E494" s="100">
        <v>0</v>
      </c>
      <c r="F494" s="85">
        <v>42195</v>
      </c>
      <c r="G494" s="100" t="s">
        <v>47</v>
      </c>
      <c r="H494" s="85">
        <v>42195</v>
      </c>
      <c r="I494" s="10" t="s">
        <v>346</v>
      </c>
    </row>
    <row r="495" spans="1:9" x14ac:dyDescent="0.2">
      <c r="A495" s="12" t="s">
        <v>21</v>
      </c>
      <c r="B495" s="88">
        <f>SUMIFS(credito!$B$2:$B$204,credito!$F$2:$F$204,F495,credito!$G$2:$G$204,0)</f>
        <v>1987.4999999999998</v>
      </c>
      <c r="C495" s="12">
        <v>1</v>
      </c>
      <c r="D495" s="12">
        <v>0</v>
      </c>
      <c r="E495" s="12">
        <v>0</v>
      </c>
      <c r="F495" s="89">
        <v>42195</v>
      </c>
      <c r="G495" s="12" t="s">
        <v>47</v>
      </c>
      <c r="H495" s="89">
        <v>42195</v>
      </c>
      <c r="I495" s="12" t="s">
        <v>336</v>
      </c>
    </row>
    <row r="496" spans="1:9" x14ac:dyDescent="0.2">
      <c r="A496" s="100" t="s">
        <v>861</v>
      </c>
      <c r="B496" s="100">
        <v>352.31</v>
      </c>
      <c r="C496" s="100">
        <v>0</v>
      </c>
      <c r="D496" s="100">
        <v>1</v>
      </c>
      <c r="E496" s="100">
        <v>0</v>
      </c>
      <c r="F496" s="85">
        <v>42195</v>
      </c>
      <c r="G496" s="100" t="s">
        <v>47</v>
      </c>
      <c r="H496" s="85">
        <v>42195</v>
      </c>
      <c r="I496" s="100" t="s">
        <v>344</v>
      </c>
    </row>
    <row r="497" spans="1:9" x14ac:dyDescent="0.2">
      <c r="A497" s="100" t="s">
        <v>862</v>
      </c>
      <c r="B497" s="100">
        <f>255.11-27.78</f>
        <v>227.33</v>
      </c>
      <c r="C497" s="100">
        <v>0</v>
      </c>
      <c r="D497" s="100">
        <v>1</v>
      </c>
      <c r="E497" s="100">
        <v>0</v>
      </c>
      <c r="F497" s="85">
        <v>42195</v>
      </c>
      <c r="G497" s="100" t="s">
        <v>47</v>
      </c>
      <c r="H497" s="85">
        <v>42195</v>
      </c>
      <c r="I497" s="100" t="s">
        <v>344</v>
      </c>
    </row>
    <row r="498" spans="1:9" x14ac:dyDescent="0.2">
      <c r="A498" s="100" t="s">
        <v>863</v>
      </c>
      <c r="B498" s="100">
        <v>21.53</v>
      </c>
      <c r="C498" s="100">
        <v>0</v>
      </c>
      <c r="D498" s="100">
        <v>1</v>
      </c>
      <c r="E498" s="100">
        <v>0</v>
      </c>
      <c r="F498" s="85">
        <v>42195</v>
      </c>
      <c r="G498" s="100" t="s">
        <v>47</v>
      </c>
      <c r="H498" s="85">
        <v>42195</v>
      </c>
      <c r="I498" s="100" t="s">
        <v>344</v>
      </c>
    </row>
    <row r="499" spans="1:9" x14ac:dyDescent="0.2">
      <c r="A499" s="100" t="s">
        <v>864</v>
      </c>
      <c r="B499" s="100">
        <v>21.53</v>
      </c>
      <c r="C499" s="100">
        <v>0</v>
      </c>
      <c r="D499" s="100">
        <v>1</v>
      </c>
      <c r="E499" s="100">
        <v>0</v>
      </c>
      <c r="F499" s="85">
        <v>42195</v>
      </c>
      <c r="G499" s="100" t="s">
        <v>47</v>
      </c>
      <c r="H499" s="85">
        <v>42195</v>
      </c>
      <c r="I499" s="100" t="s">
        <v>344</v>
      </c>
    </row>
    <row r="500" spans="1:9" x14ac:dyDescent="0.2">
      <c r="A500" s="100" t="s">
        <v>39</v>
      </c>
      <c r="B500" s="101">
        <v>45</v>
      </c>
      <c r="C500" s="100">
        <v>1</v>
      </c>
      <c r="D500" s="100">
        <v>0</v>
      </c>
      <c r="E500" s="100">
        <v>0</v>
      </c>
      <c r="F500" s="85">
        <v>42195</v>
      </c>
      <c r="G500" s="100" t="s">
        <v>180</v>
      </c>
      <c r="H500" s="85">
        <v>42220</v>
      </c>
      <c r="I500" s="100" t="s">
        <v>345</v>
      </c>
    </row>
    <row r="501" spans="1:9" x14ac:dyDescent="0.2">
      <c r="A501" s="100" t="s">
        <v>897</v>
      </c>
      <c r="B501" s="101">
        <v>59.8</v>
      </c>
      <c r="C501" s="100">
        <v>0</v>
      </c>
      <c r="D501" s="100">
        <v>1</v>
      </c>
      <c r="E501" s="100">
        <v>0</v>
      </c>
      <c r="F501" s="85">
        <v>42195</v>
      </c>
      <c r="G501" s="100" t="s">
        <v>47</v>
      </c>
      <c r="H501" s="85">
        <v>42195</v>
      </c>
      <c r="I501" s="100" t="s">
        <v>344</v>
      </c>
    </row>
    <row r="502" spans="1:9" x14ac:dyDescent="0.2">
      <c r="A502" s="100" t="s">
        <v>899</v>
      </c>
      <c r="B502" s="101">
        <v>65</v>
      </c>
      <c r="C502" s="100">
        <v>0</v>
      </c>
      <c r="D502" s="100">
        <v>1</v>
      </c>
      <c r="E502" s="100">
        <v>0</v>
      </c>
      <c r="F502" s="85">
        <v>42195</v>
      </c>
      <c r="G502" s="100" t="s">
        <v>49</v>
      </c>
      <c r="H502" s="85">
        <v>42196</v>
      </c>
      <c r="I502" s="100" t="s">
        <v>860</v>
      </c>
    </row>
    <row r="503" spans="1:9" x14ac:dyDescent="0.2">
      <c r="A503" s="10" t="s">
        <v>48</v>
      </c>
      <c r="B503" s="101">
        <v>14</v>
      </c>
      <c r="C503" s="100">
        <v>0</v>
      </c>
      <c r="D503" s="100">
        <v>1</v>
      </c>
      <c r="E503" s="100">
        <v>0</v>
      </c>
      <c r="F503" s="85">
        <v>42195</v>
      </c>
      <c r="G503" s="10" t="s">
        <v>51</v>
      </c>
      <c r="H503" s="85">
        <v>42199</v>
      </c>
      <c r="I503" s="10" t="s">
        <v>48</v>
      </c>
    </row>
    <row r="504" spans="1:9" x14ac:dyDescent="0.2">
      <c r="A504" s="10" t="s">
        <v>586</v>
      </c>
      <c r="B504" s="101">
        <v>4</v>
      </c>
      <c r="C504" s="100">
        <v>0</v>
      </c>
      <c r="D504" s="100">
        <v>1</v>
      </c>
      <c r="E504" s="100">
        <v>0</v>
      </c>
      <c r="F504" s="85">
        <v>42195</v>
      </c>
      <c r="G504" s="10" t="s">
        <v>51</v>
      </c>
      <c r="H504" s="85">
        <v>42199</v>
      </c>
      <c r="I504" s="10" t="s">
        <v>50</v>
      </c>
    </row>
    <row r="505" spans="1:9" x14ac:dyDescent="0.2">
      <c r="A505" s="10" t="s">
        <v>911</v>
      </c>
      <c r="B505" s="101">
        <v>2</v>
      </c>
      <c r="C505" s="100">
        <v>0</v>
      </c>
      <c r="D505" s="100">
        <v>1</v>
      </c>
      <c r="E505" s="100">
        <v>0</v>
      </c>
      <c r="F505" s="85">
        <v>42195</v>
      </c>
      <c r="G505" s="10" t="s">
        <v>51</v>
      </c>
      <c r="H505" s="85">
        <v>42200</v>
      </c>
      <c r="I505" s="10" t="s">
        <v>50</v>
      </c>
    </row>
    <row r="506" spans="1:9" x14ac:dyDescent="0.2">
      <c r="A506" s="10" t="s">
        <v>374</v>
      </c>
      <c r="B506" s="101">
        <v>2</v>
      </c>
      <c r="C506" s="100">
        <v>0</v>
      </c>
      <c r="D506" s="100">
        <v>1</v>
      </c>
      <c r="E506" s="100">
        <v>0</v>
      </c>
      <c r="F506" s="85">
        <v>42195</v>
      </c>
      <c r="G506" s="10" t="s">
        <v>51</v>
      </c>
      <c r="H506" s="85">
        <v>42198</v>
      </c>
      <c r="I506" s="10" t="s">
        <v>50</v>
      </c>
    </row>
    <row r="507" spans="1:9" x14ac:dyDescent="0.2">
      <c r="A507" s="10" t="s">
        <v>837</v>
      </c>
      <c r="B507" s="101">
        <v>17.899999999999999</v>
      </c>
      <c r="C507" s="100">
        <v>0</v>
      </c>
      <c r="D507" s="100">
        <v>1</v>
      </c>
      <c r="E507" s="100">
        <v>0</v>
      </c>
      <c r="F507" s="85">
        <v>42195</v>
      </c>
      <c r="G507" s="10" t="s">
        <v>51</v>
      </c>
      <c r="H507" s="85">
        <v>42201</v>
      </c>
      <c r="I507" s="10" t="s">
        <v>50</v>
      </c>
    </row>
    <row r="508" spans="1:9" x14ac:dyDescent="0.2">
      <c r="A508" s="10" t="s">
        <v>922</v>
      </c>
      <c r="B508" s="101">
        <v>9</v>
      </c>
      <c r="C508" s="100">
        <v>0</v>
      </c>
      <c r="D508" s="100">
        <v>1</v>
      </c>
      <c r="E508" s="100">
        <v>0</v>
      </c>
      <c r="F508" s="85">
        <v>42195</v>
      </c>
      <c r="G508" s="10" t="s">
        <v>51</v>
      </c>
      <c r="H508" s="85">
        <v>42201</v>
      </c>
      <c r="I508" s="10" t="s">
        <v>50</v>
      </c>
    </row>
    <row r="509" spans="1:9" x14ac:dyDescent="0.2">
      <c r="A509" s="100" t="s">
        <v>44</v>
      </c>
      <c r="B509" s="101">
        <v>100</v>
      </c>
      <c r="C509" s="100">
        <v>1</v>
      </c>
      <c r="D509" s="100">
        <v>0</v>
      </c>
      <c r="E509" s="100">
        <v>0</v>
      </c>
      <c r="F509" s="85">
        <v>42195</v>
      </c>
      <c r="G509" s="10" t="s">
        <v>51</v>
      </c>
      <c r="H509" s="85">
        <v>42201</v>
      </c>
      <c r="I509" s="10" t="s">
        <v>60</v>
      </c>
    </row>
    <row r="510" spans="1:9" x14ac:dyDescent="0.2">
      <c r="A510" s="125" t="s">
        <v>921</v>
      </c>
      <c r="B510" s="101">
        <v>8</v>
      </c>
      <c r="C510" s="100">
        <v>0</v>
      </c>
      <c r="D510" s="100">
        <v>1</v>
      </c>
      <c r="E510" s="100">
        <v>0</v>
      </c>
      <c r="F510" s="85">
        <v>42195</v>
      </c>
      <c r="G510" s="10" t="s">
        <v>51</v>
      </c>
      <c r="H510" s="85">
        <v>42201</v>
      </c>
      <c r="I510" s="10" t="s">
        <v>50</v>
      </c>
    </row>
    <row r="511" spans="1:9" x14ac:dyDescent="0.2">
      <c r="A511" s="125" t="s">
        <v>923</v>
      </c>
      <c r="B511" s="101">
        <v>9.25</v>
      </c>
      <c r="C511" s="100">
        <v>0</v>
      </c>
      <c r="D511" s="100">
        <v>1</v>
      </c>
      <c r="E511" s="100">
        <v>0</v>
      </c>
      <c r="F511" s="85">
        <v>42195</v>
      </c>
      <c r="G511" s="100" t="s">
        <v>49</v>
      </c>
      <c r="H511" s="85">
        <v>42203</v>
      </c>
      <c r="I511" s="100" t="s">
        <v>344</v>
      </c>
    </row>
    <row r="512" spans="1:9" x14ac:dyDescent="0.2">
      <c r="A512" s="125" t="s">
        <v>928</v>
      </c>
      <c r="B512" s="101">
        <v>20</v>
      </c>
      <c r="C512" s="100">
        <v>0</v>
      </c>
      <c r="D512" s="100">
        <v>1</v>
      </c>
      <c r="E512" s="100">
        <v>0</v>
      </c>
      <c r="F512" s="85">
        <v>42195</v>
      </c>
      <c r="G512" s="100" t="s">
        <v>54</v>
      </c>
      <c r="H512" s="85">
        <v>42205</v>
      </c>
      <c r="I512" s="105" t="s">
        <v>333</v>
      </c>
    </row>
    <row r="513" spans="1:9" x14ac:dyDescent="0.2">
      <c r="A513" s="125" t="s">
        <v>929</v>
      </c>
      <c r="B513" s="101">
        <v>5.5</v>
      </c>
      <c r="C513" s="100">
        <v>0</v>
      </c>
      <c r="D513" s="100">
        <v>1</v>
      </c>
      <c r="E513" s="100">
        <v>0</v>
      </c>
      <c r="F513" s="85">
        <v>42195</v>
      </c>
      <c r="G513" s="100" t="s">
        <v>54</v>
      </c>
      <c r="H513" s="85">
        <v>42205</v>
      </c>
      <c r="I513" s="100" t="s">
        <v>50</v>
      </c>
    </row>
    <row r="514" spans="1:9" x14ac:dyDescent="0.2">
      <c r="A514" s="125" t="s">
        <v>930</v>
      </c>
      <c r="B514" s="101">
        <v>6.5</v>
      </c>
      <c r="C514" s="100">
        <v>0</v>
      </c>
      <c r="D514" s="100">
        <v>1</v>
      </c>
      <c r="E514" s="100">
        <v>0</v>
      </c>
      <c r="F514" s="85">
        <v>42195</v>
      </c>
      <c r="G514" s="100" t="s">
        <v>54</v>
      </c>
      <c r="H514" s="85">
        <v>42205</v>
      </c>
      <c r="I514" s="100" t="s">
        <v>50</v>
      </c>
    </row>
    <row r="515" spans="1:9" x14ac:dyDescent="0.2">
      <c r="A515" s="125" t="s">
        <v>931</v>
      </c>
      <c r="B515" s="101">
        <v>7.9</v>
      </c>
      <c r="C515" s="100">
        <v>0</v>
      </c>
      <c r="D515" s="100">
        <v>1</v>
      </c>
      <c r="E515" s="100">
        <v>0</v>
      </c>
      <c r="F515" s="85">
        <v>42195</v>
      </c>
      <c r="G515" s="100" t="s">
        <v>54</v>
      </c>
      <c r="H515" s="85">
        <v>42205</v>
      </c>
      <c r="I515" s="100" t="s">
        <v>50</v>
      </c>
    </row>
    <row r="516" spans="1:9" x14ac:dyDescent="0.2">
      <c r="A516" s="125" t="s">
        <v>804</v>
      </c>
      <c r="B516" s="101">
        <v>3.8</v>
      </c>
      <c r="C516" s="100">
        <v>0</v>
      </c>
      <c r="D516" s="100">
        <v>1</v>
      </c>
      <c r="E516" s="100">
        <v>0</v>
      </c>
      <c r="F516" s="85">
        <v>42195</v>
      </c>
      <c r="G516" s="100" t="s">
        <v>54</v>
      </c>
      <c r="H516" s="85">
        <v>42205</v>
      </c>
      <c r="I516" s="100" t="s">
        <v>50</v>
      </c>
    </row>
    <row r="517" spans="1:9" x14ac:dyDescent="0.2">
      <c r="A517" s="125" t="s">
        <v>586</v>
      </c>
      <c r="B517" s="101">
        <v>7.5</v>
      </c>
      <c r="C517" s="100">
        <v>0</v>
      </c>
      <c r="D517" s="100">
        <v>1</v>
      </c>
      <c r="E517" s="100">
        <v>0</v>
      </c>
      <c r="F517" s="85">
        <v>42195</v>
      </c>
      <c r="G517" s="100" t="s">
        <v>54</v>
      </c>
      <c r="H517" s="85">
        <v>42208</v>
      </c>
      <c r="I517" s="100" t="s">
        <v>50</v>
      </c>
    </row>
    <row r="518" spans="1:9" x14ac:dyDescent="0.2">
      <c r="A518" s="125" t="s">
        <v>48</v>
      </c>
      <c r="B518" s="101">
        <v>40</v>
      </c>
      <c r="C518" s="100">
        <v>0</v>
      </c>
      <c r="D518" s="100">
        <v>1</v>
      </c>
      <c r="E518" s="100">
        <v>0</v>
      </c>
      <c r="F518" s="85">
        <v>42195</v>
      </c>
      <c r="G518" s="100" t="s">
        <v>54</v>
      </c>
      <c r="H518" s="85">
        <v>42210</v>
      </c>
      <c r="I518" s="100" t="s">
        <v>48</v>
      </c>
    </row>
    <row r="519" spans="1:9" x14ac:dyDescent="0.2">
      <c r="A519" s="125" t="s">
        <v>44</v>
      </c>
      <c r="B519" s="101">
        <v>110</v>
      </c>
      <c r="C519" s="100">
        <v>0</v>
      </c>
      <c r="D519" s="100">
        <v>1</v>
      </c>
      <c r="E519" s="100">
        <v>0</v>
      </c>
      <c r="F519" s="85">
        <v>42195</v>
      </c>
      <c r="G519" s="100" t="s">
        <v>54</v>
      </c>
      <c r="H519" s="85">
        <v>42210</v>
      </c>
      <c r="I519" s="100" t="s">
        <v>60</v>
      </c>
    </row>
    <row r="520" spans="1:9" x14ac:dyDescent="0.2">
      <c r="A520" s="125" t="s">
        <v>932</v>
      </c>
      <c r="B520" s="101">
        <v>16.079999999999998</v>
      </c>
      <c r="C520" s="100">
        <v>0</v>
      </c>
      <c r="D520" s="100">
        <v>1</v>
      </c>
      <c r="E520" s="100">
        <v>0</v>
      </c>
      <c r="F520" s="85">
        <v>42195</v>
      </c>
      <c r="G520" s="100" t="s">
        <v>49</v>
      </c>
      <c r="H520" s="85">
        <v>42211</v>
      </c>
      <c r="I520" s="100" t="s">
        <v>344</v>
      </c>
    </row>
    <row r="521" spans="1:9" x14ac:dyDescent="0.2">
      <c r="A521" s="125" t="s">
        <v>954</v>
      </c>
      <c r="B521" s="101">
        <v>11.1</v>
      </c>
      <c r="C521" s="100">
        <v>0</v>
      </c>
      <c r="D521" s="100">
        <v>1</v>
      </c>
      <c r="E521" s="100">
        <v>0</v>
      </c>
      <c r="F521" s="85">
        <v>42195</v>
      </c>
      <c r="G521" s="100" t="s">
        <v>55</v>
      </c>
      <c r="H521" s="85">
        <v>42216</v>
      </c>
      <c r="I521" s="100" t="s">
        <v>50</v>
      </c>
    </row>
    <row r="522" spans="1:9" x14ac:dyDescent="0.2">
      <c r="A522" s="125" t="s">
        <v>757</v>
      </c>
      <c r="B522" s="101">
        <v>7</v>
      </c>
      <c r="C522" s="100">
        <v>0</v>
      </c>
      <c r="D522" s="100">
        <v>1</v>
      </c>
      <c r="E522" s="100">
        <v>0</v>
      </c>
      <c r="F522" s="85">
        <v>42195</v>
      </c>
      <c r="G522" s="10" t="s">
        <v>180</v>
      </c>
      <c r="H522" s="85">
        <v>42219</v>
      </c>
      <c r="I522" s="100" t="s">
        <v>50</v>
      </c>
    </row>
    <row r="523" spans="1:9" x14ac:dyDescent="0.2">
      <c r="A523" s="125" t="s">
        <v>963</v>
      </c>
      <c r="B523" s="101">
        <v>8710.82</v>
      </c>
      <c r="C523" s="100">
        <v>1</v>
      </c>
      <c r="D523" s="100">
        <v>0</v>
      </c>
      <c r="E523" s="100">
        <v>0</v>
      </c>
      <c r="F523" s="85">
        <v>42195</v>
      </c>
      <c r="G523" s="10" t="s">
        <v>180</v>
      </c>
      <c r="H523" s="85">
        <v>42219</v>
      </c>
      <c r="I523" s="100" t="s">
        <v>345</v>
      </c>
    </row>
    <row r="524" spans="1:9" x14ac:dyDescent="0.2">
      <c r="A524" s="125" t="s">
        <v>391</v>
      </c>
      <c r="B524" s="101">
        <v>1690</v>
      </c>
      <c r="C524" s="100">
        <v>1</v>
      </c>
      <c r="D524" s="100">
        <v>0</v>
      </c>
      <c r="E524" s="100">
        <v>0</v>
      </c>
      <c r="F524" s="85">
        <v>42195</v>
      </c>
      <c r="G524" s="10" t="s">
        <v>180</v>
      </c>
      <c r="H524" s="85">
        <v>42219</v>
      </c>
      <c r="I524" s="100" t="s">
        <v>391</v>
      </c>
    </row>
    <row r="525" spans="1:9" x14ac:dyDescent="0.2">
      <c r="A525" s="125" t="s">
        <v>757</v>
      </c>
      <c r="B525" s="101">
        <v>14.5</v>
      </c>
      <c r="C525" s="100">
        <v>0</v>
      </c>
      <c r="D525" s="100">
        <v>1</v>
      </c>
      <c r="E525" s="100">
        <v>0</v>
      </c>
      <c r="F525" s="85">
        <v>42195</v>
      </c>
      <c r="G525" s="10" t="s">
        <v>180</v>
      </c>
      <c r="H525" s="85">
        <v>42223</v>
      </c>
      <c r="I525" s="100" t="s">
        <v>50</v>
      </c>
    </row>
    <row r="526" spans="1:9" x14ac:dyDescent="0.2">
      <c r="A526" s="125" t="s">
        <v>374</v>
      </c>
      <c r="B526" s="101">
        <v>2.4</v>
      </c>
      <c r="C526" s="100">
        <v>0</v>
      </c>
      <c r="D526" s="100">
        <v>1</v>
      </c>
      <c r="E526" s="100">
        <v>0</v>
      </c>
      <c r="F526" s="85">
        <v>42195</v>
      </c>
      <c r="G526" s="10" t="s">
        <v>180</v>
      </c>
      <c r="H526" s="85">
        <v>42219</v>
      </c>
      <c r="I526" s="100" t="s">
        <v>50</v>
      </c>
    </row>
    <row r="527" spans="1:9" x14ac:dyDescent="0.2">
      <c r="A527" s="100" t="s">
        <v>1037</v>
      </c>
      <c r="B527" s="101">
        <v>48.1</v>
      </c>
      <c r="C527" s="100">
        <v>1</v>
      </c>
      <c r="D527" s="100">
        <v>0</v>
      </c>
      <c r="E527" s="100">
        <v>0</v>
      </c>
      <c r="F527" s="85">
        <v>42195</v>
      </c>
      <c r="G527" s="100" t="s">
        <v>47</v>
      </c>
      <c r="H527" s="85">
        <v>42195</v>
      </c>
      <c r="I527" s="100" t="s">
        <v>1045</v>
      </c>
    </row>
    <row r="528" spans="1:9" x14ac:dyDescent="0.2">
      <c r="A528" s="100" t="s">
        <v>1038</v>
      </c>
      <c r="B528" s="101">
        <v>222.01</v>
      </c>
      <c r="C528" s="100">
        <v>1</v>
      </c>
      <c r="D528" s="100">
        <v>0</v>
      </c>
      <c r="E528" s="100">
        <v>0</v>
      </c>
      <c r="F528" s="85">
        <v>42195</v>
      </c>
      <c r="G528" s="100" t="s">
        <v>47</v>
      </c>
      <c r="H528" s="85">
        <v>42195</v>
      </c>
      <c r="I528" s="100" t="s">
        <v>1045</v>
      </c>
    </row>
    <row r="529" spans="1:9" x14ac:dyDescent="0.2">
      <c r="A529" s="100" t="s">
        <v>1039</v>
      </c>
      <c r="B529" s="101">
        <v>111.01</v>
      </c>
      <c r="C529" s="100">
        <v>1</v>
      </c>
      <c r="D529" s="100">
        <v>0</v>
      </c>
      <c r="E529" s="100">
        <v>0</v>
      </c>
      <c r="F529" s="85">
        <v>42195</v>
      </c>
      <c r="G529" s="100" t="s">
        <v>47</v>
      </c>
      <c r="H529" s="85">
        <v>42195</v>
      </c>
      <c r="I529" s="100" t="s">
        <v>1045</v>
      </c>
    </row>
    <row r="530" spans="1:9" x14ac:dyDescent="0.2">
      <c r="A530" s="100" t="s">
        <v>1040</v>
      </c>
      <c r="B530" s="101">
        <v>74</v>
      </c>
      <c r="C530" s="100">
        <v>1</v>
      </c>
      <c r="D530" s="100">
        <v>0</v>
      </c>
      <c r="E530" s="100">
        <v>0</v>
      </c>
      <c r="F530" s="85">
        <v>42195</v>
      </c>
      <c r="G530" s="100" t="s">
        <v>47</v>
      </c>
      <c r="H530" s="85">
        <v>42195</v>
      </c>
      <c r="I530" s="100" t="s">
        <v>1045</v>
      </c>
    </row>
    <row r="531" spans="1:9" x14ac:dyDescent="0.2">
      <c r="A531" s="26" t="s">
        <v>689</v>
      </c>
      <c r="B531" s="142">
        <v>0</v>
      </c>
      <c r="C531" s="26">
        <v>0</v>
      </c>
      <c r="D531" s="26">
        <v>1</v>
      </c>
      <c r="E531" s="26">
        <v>1</v>
      </c>
      <c r="F531" s="143">
        <v>42226</v>
      </c>
      <c r="G531" s="26" t="s">
        <v>49</v>
      </c>
      <c r="H531" s="143">
        <v>42238</v>
      </c>
      <c r="I531" s="1" t="s">
        <v>153</v>
      </c>
    </row>
    <row r="532" spans="1:9" x14ac:dyDescent="0.2">
      <c r="A532" s="26" t="s">
        <v>40</v>
      </c>
      <c r="B532" s="142">
        <v>5.32</v>
      </c>
      <c r="C532" s="26">
        <v>1</v>
      </c>
      <c r="D532" s="26">
        <v>0</v>
      </c>
      <c r="E532" s="26">
        <v>0</v>
      </c>
      <c r="F532" s="143">
        <v>42226</v>
      </c>
      <c r="G532" s="26" t="s">
        <v>47</v>
      </c>
      <c r="H532" s="143">
        <v>42227</v>
      </c>
      <c r="I532" s="26" t="s">
        <v>345</v>
      </c>
    </row>
    <row r="533" spans="1:9" x14ac:dyDescent="0.2">
      <c r="A533" s="26" t="s">
        <v>2</v>
      </c>
      <c r="B533" s="142">
        <v>50</v>
      </c>
      <c r="C533" s="26">
        <v>1</v>
      </c>
      <c r="D533" s="26">
        <v>0</v>
      </c>
      <c r="E533" s="26">
        <v>0</v>
      </c>
      <c r="F533" s="143">
        <v>42226</v>
      </c>
      <c r="G533" s="26" t="s">
        <v>47</v>
      </c>
      <c r="H533" s="143">
        <v>42227</v>
      </c>
      <c r="I533" s="105" t="s">
        <v>1183</v>
      </c>
    </row>
    <row r="534" spans="1:9" x14ac:dyDescent="0.2">
      <c r="A534" s="26" t="s">
        <v>38</v>
      </c>
      <c r="B534" s="142">
        <v>57</v>
      </c>
      <c r="C534" s="26">
        <v>1</v>
      </c>
      <c r="D534" s="26">
        <v>0</v>
      </c>
      <c r="E534" s="26">
        <v>0</v>
      </c>
      <c r="F534" s="143">
        <v>42226</v>
      </c>
      <c r="G534" s="26" t="s">
        <v>47</v>
      </c>
      <c r="H534" s="143">
        <v>42227</v>
      </c>
      <c r="I534" s="26" t="s">
        <v>345</v>
      </c>
    </row>
    <row r="535" spans="1:9" x14ac:dyDescent="0.2">
      <c r="A535" s="26" t="s">
        <v>982</v>
      </c>
      <c r="B535" s="142">
        <v>45.74</v>
      </c>
      <c r="C535" s="26">
        <v>1</v>
      </c>
      <c r="D535" s="26">
        <v>0</v>
      </c>
      <c r="E535" s="26">
        <v>0</v>
      </c>
      <c r="F535" s="143">
        <v>42226</v>
      </c>
      <c r="G535" s="26" t="s">
        <v>47</v>
      </c>
      <c r="H535" s="143">
        <v>42227</v>
      </c>
      <c r="I535" s="26" t="s">
        <v>345</v>
      </c>
    </row>
    <row r="536" spans="1:9" x14ac:dyDescent="0.2">
      <c r="A536" s="26" t="s">
        <v>3</v>
      </c>
      <c r="B536" s="142">
        <v>73.010000000000005</v>
      </c>
      <c r="C536" s="26">
        <v>1</v>
      </c>
      <c r="D536" s="26">
        <v>0</v>
      </c>
      <c r="E536" s="26">
        <v>0</v>
      </c>
      <c r="F536" s="143">
        <v>42226</v>
      </c>
      <c r="G536" s="26" t="s">
        <v>47</v>
      </c>
      <c r="H536" s="143">
        <v>42227</v>
      </c>
      <c r="I536" s="26" t="s">
        <v>346</v>
      </c>
    </row>
    <row r="537" spans="1:9" x14ac:dyDescent="0.2">
      <c r="A537" s="26" t="s">
        <v>1</v>
      </c>
      <c r="B537" s="26">
        <v>228.65</v>
      </c>
      <c r="C537" s="26">
        <v>1</v>
      </c>
      <c r="D537" s="26">
        <v>0</v>
      </c>
      <c r="E537" s="26">
        <v>0</v>
      </c>
      <c r="F537" s="143">
        <v>42226</v>
      </c>
      <c r="G537" s="26" t="s">
        <v>47</v>
      </c>
      <c r="H537" s="143">
        <v>42227</v>
      </c>
      <c r="I537" s="26" t="s">
        <v>346</v>
      </c>
    </row>
    <row r="538" spans="1:9" x14ac:dyDescent="0.2">
      <c r="A538" s="26" t="s">
        <v>12</v>
      </c>
      <c r="B538" s="142">
        <v>536.46</v>
      </c>
      <c r="C538" s="26">
        <v>1</v>
      </c>
      <c r="D538" s="26">
        <v>0</v>
      </c>
      <c r="E538" s="26">
        <v>0</v>
      </c>
      <c r="F538" s="143">
        <v>42226</v>
      </c>
      <c r="G538" s="26" t="s">
        <v>47</v>
      </c>
      <c r="H538" s="143">
        <v>42227</v>
      </c>
      <c r="I538" s="26" t="s">
        <v>348</v>
      </c>
    </row>
    <row r="539" spans="1:9" x14ac:dyDescent="0.2">
      <c r="A539" s="26" t="s">
        <v>25</v>
      </c>
      <c r="B539" s="142">
        <v>130</v>
      </c>
      <c r="C539" s="26">
        <v>1</v>
      </c>
      <c r="D539" s="26">
        <v>0</v>
      </c>
      <c r="E539" s="26">
        <v>0</v>
      </c>
      <c r="F539" s="143">
        <v>42226</v>
      </c>
      <c r="G539" s="26" t="s">
        <v>47</v>
      </c>
      <c r="H539" s="143">
        <v>42227</v>
      </c>
      <c r="I539" s="26" t="s">
        <v>25</v>
      </c>
    </row>
    <row r="540" spans="1:9" x14ac:dyDescent="0.2">
      <c r="A540" s="26" t="s">
        <v>1041</v>
      </c>
      <c r="B540" s="142">
        <v>148.01</v>
      </c>
      <c r="C540" s="26">
        <v>1</v>
      </c>
      <c r="D540" s="26">
        <v>0</v>
      </c>
      <c r="E540" s="26">
        <v>0</v>
      </c>
      <c r="F540" s="143">
        <v>42226</v>
      </c>
      <c r="G540" s="26" t="s">
        <v>47</v>
      </c>
      <c r="H540" s="143">
        <v>42227</v>
      </c>
      <c r="I540" s="26" t="s">
        <v>117</v>
      </c>
    </row>
    <row r="541" spans="1:9" x14ac:dyDescent="0.2">
      <c r="A541" s="26" t="s">
        <v>1042</v>
      </c>
      <c r="B541" s="142">
        <v>139.13</v>
      </c>
      <c r="C541" s="26">
        <v>1</v>
      </c>
      <c r="D541" s="26">
        <v>0</v>
      </c>
      <c r="E541" s="26">
        <v>0</v>
      </c>
      <c r="F541" s="143">
        <v>42226</v>
      </c>
      <c r="G541" s="26" t="s">
        <v>47</v>
      </c>
      <c r="H541" s="143">
        <v>42227</v>
      </c>
      <c r="I541" s="26" t="s">
        <v>117</v>
      </c>
    </row>
    <row r="542" spans="1:9" x14ac:dyDescent="0.2">
      <c r="A542" s="26" t="s">
        <v>1043</v>
      </c>
      <c r="B542" s="142">
        <v>66.61</v>
      </c>
      <c r="C542" s="26">
        <v>1</v>
      </c>
      <c r="D542" s="26">
        <v>0</v>
      </c>
      <c r="E542" s="26">
        <v>0</v>
      </c>
      <c r="F542" s="143">
        <v>42226</v>
      </c>
      <c r="G542" s="26" t="s">
        <v>47</v>
      </c>
      <c r="H542" s="143">
        <v>42227</v>
      </c>
      <c r="I542" s="26" t="s">
        <v>117</v>
      </c>
    </row>
    <row r="543" spans="1:9" x14ac:dyDescent="0.2">
      <c r="A543" s="26" t="s">
        <v>44</v>
      </c>
      <c r="B543" s="142">
        <v>100</v>
      </c>
      <c r="C543" s="26">
        <v>1</v>
      </c>
      <c r="D543" s="26">
        <v>0</v>
      </c>
      <c r="E543" s="26">
        <v>0</v>
      </c>
      <c r="F543" s="143">
        <v>42226</v>
      </c>
      <c r="G543" s="26" t="s">
        <v>47</v>
      </c>
      <c r="H543" s="143">
        <v>42227</v>
      </c>
      <c r="I543" s="144" t="s">
        <v>60</v>
      </c>
    </row>
    <row r="544" spans="1:9" x14ac:dyDescent="0.2">
      <c r="A544" s="26" t="s">
        <v>582</v>
      </c>
      <c r="B544" s="142">
        <v>1314.14</v>
      </c>
      <c r="C544" s="26">
        <v>1</v>
      </c>
      <c r="D544" s="26">
        <v>0</v>
      </c>
      <c r="E544" s="26">
        <v>0</v>
      </c>
      <c r="F544" s="143">
        <v>42226</v>
      </c>
      <c r="G544" s="26" t="s">
        <v>47</v>
      </c>
      <c r="H544" s="143">
        <v>42227</v>
      </c>
      <c r="I544" s="144" t="s">
        <v>346</v>
      </c>
    </row>
    <row r="545" spans="1:9" x14ac:dyDescent="0.2">
      <c r="A545" s="12" t="s">
        <v>21</v>
      </c>
      <c r="B545" s="88">
        <f>SUMIFS(credito!$B$2:$B$300,credito!$F$2:$F$300,F545,credito!$G$2:$G$300,0)</f>
        <v>3106.0550000000007</v>
      </c>
      <c r="C545" s="12">
        <v>1</v>
      </c>
      <c r="D545" s="12">
        <v>0</v>
      </c>
      <c r="E545" s="12">
        <v>0</v>
      </c>
      <c r="F545" s="89">
        <v>42226</v>
      </c>
      <c r="G545" s="12" t="s">
        <v>51</v>
      </c>
      <c r="H545" s="89">
        <v>42233</v>
      </c>
      <c r="I545" s="12" t="s">
        <v>336</v>
      </c>
    </row>
    <row r="546" spans="1:9" x14ac:dyDescent="0.2">
      <c r="A546" s="26" t="s">
        <v>852</v>
      </c>
      <c r="B546" s="142">
        <v>243.71</v>
      </c>
      <c r="C546" s="26">
        <v>0</v>
      </c>
      <c r="D546" s="26">
        <v>1</v>
      </c>
      <c r="E546" s="26">
        <v>0</v>
      </c>
      <c r="F546" s="143">
        <v>42226</v>
      </c>
      <c r="G546" s="26" t="s">
        <v>47</v>
      </c>
      <c r="H546" s="143">
        <v>42226</v>
      </c>
      <c r="I546" s="26" t="s">
        <v>860</v>
      </c>
    </row>
    <row r="547" spans="1:9" x14ac:dyDescent="0.2">
      <c r="A547" s="26" t="s">
        <v>955</v>
      </c>
      <c r="B547" s="142">
        <v>114.95</v>
      </c>
      <c r="C547" s="26">
        <v>0</v>
      </c>
      <c r="D547" s="26">
        <v>1</v>
      </c>
      <c r="E547" s="26">
        <v>0</v>
      </c>
      <c r="F547" s="143">
        <v>42226</v>
      </c>
      <c r="G547" s="26" t="s">
        <v>47</v>
      </c>
      <c r="H547" s="143">
        <v>42226</v>
      </c>
      <c r="I547" s="26" t="s">
        <v>860</v>
      </c>
    </row>
    <row r="548" spans="1:9" x14ac:dyDescent="0.2">
      <c r="A548" s="26" t="s">
        <v>956</v>
      </c>
      <c r="B548" s="142">
        <v>88.42</v>
      </c>
      <c r="C548" s="26">
        <v>0</v>
      </c>
      <c r="D548" s="26">
        <v>1</v>
      </c>
      <c r="E548" s="26">
        <v>0</v>
      </c>
      <c r="F548" s="143">
        <v>42226</v>
      </c>
      <c r="G548" s="26" t="s">
        <v>47</v>
      </c>
      <c r="H548" s="143">
        <v>42226</v>
      </c>
      <c r="I548" s="26" t="s">
        <v>344</v>
      </c>
    </row>
    <row r="549" spans="1:9" x14ac:dyDescent="0.2">
      <c r="A549" s="26" t="s">
        <v>966</v>
      </c>
      <c r="B549" s="142">
        <v>50</v>
      </c>
      <c r="C549" s="26">
        <v>0</v>
      </c>
      <c r="D549" s="26">
        <v>1</v>
      </c>
      <c r="E549" s="26">
        <v>0</v>
      </c>
      <c r="F549" s="143">
        <v>42226</v>
      </c>
      <c r="G549" s="26" t="s">
        <v>47</v>
      </c>
      <c r="H549" s="143">
        <v>42226</v>
      </c>
      <c r="I549" s="26" t="s">
        <v>344</v>
      </c>
    </row>
    <row r="550" spans="1:9" x14ac:dyDescent="0.2">
      <c r="A550" s="26" t="s">
        <v>586</v>
      </c>
      <c r="B550" s="142">
        <v>6.37</v>
      </c>
      <c r="C550" s="26">
        <v>0</v>
      </c>
      <c r="D550" s="26">
        <v>1</v>
      </c>
      <c r="E550" s="26">
        <v>0</v>
      </c>
      <c r="F550" s="143">
        <v>42226</v>
      </c>
      <c r="G550" s="26" t="s">
        <v>51</v>
      </c>
      <c r="H550" s="143">
        <v>42233</v>
      </c>
      <c r="I550" s="26" t="s">
        <v>50</v>
      </c>
    </row>
    <row r="551" spans="1:9" x14ac:dyDescent="0.2">
      <c r="A551" s="26" t="s">
        <v>967</v>
      </c>
      <c r="B551" s="142">
        <v>8</v>
      </c>
      <c r="C551" s="26">
        <v>0</v>
      </c>
      <c r="D551" s="26">
        <v>1</v>
      </c>
      <c r="E551" s="26">
        <v>0</v>
      </c>
      <c r="F551" s="143">
        <v>42226</v>
      </c>
      <c r="G551" s="26" t="s">
        <v>51</v>
      </c>
      <c r="H551" s="143">
        <v>42233</v>
      </c>
      <c r="I551" s="26" t="s">
        <v>50</v>
      </c>
    </row>
    <row r="552" spans="1:9" x14ac:dyDescent="0.2">
      <c r="A552" s="26" t="s">
        <v>968</v>
      </c>
      <c r="B552" s="142">
        <v>4</v>
      </c>
      <c r="C552" s="26">
        <v>0</v>
      </c>
      <c r="D552" s="26">
        <v>1</v>
      </c>
      <c r="E552" s="26">
        <v>0</v>
      </c>
      <c r="F552" s="143">
        <v>42226</v>
      </c>
      <c r="G552" s="26" t="s">
        <v>51</v>
      </c>
      <c r="H552" s="143">
        <v>42233</v>
      </c>
      <c r="I552" s="26" t="s">
        <v>50</v>
      </c>
    </row>
    <row r="553" spans="1:9" x14ac:dyDescent="0.2">
      <c r="A553" s="26" t="s">
        <v>969</v>
      </c>
      <c r="B553" s="142">
        <v>7.5</v>
      </c>
      <c r="C553" s="26">
        <v>0</v>
      </c>
      <c r="D553" s="26">
        <v>1</v>
      </c>
      <c r="E553" s="26">
        <v>0</v>
      </c>
      <c r="F553" s="143">
        <v>42226</v>
      </c>
      <c r="G553" s="26" t="s">
        <v>51</v>
      </c>
      <c r="H553" s="143">
        <v>42233</v>
      </c>
      <c r="I553" s="26" t="s">
        <v>50</v>
      </c>
    </row>
    <row r="554" spans="1:9" x14ac:dyDescent="0.2">
      <c r="A554" s="26" t="s">
        <v>48</v>
      </c>
      <c r="B554" s="142">
        <v>70</v>
      </c>
      <c r="C554" s="26">
        <v>0</v>
      </c>
      <c r="D554" s="26">
        <v>1</v>
      </c>
      <c r="E554" s="26">
        <v>0</v>
      </c>
      <c r="F554" s="143">
        <v>42226</v>
      </c>
      <c r="G554" s="26" t="s">
        <v>49</v>
      </c>
      <c r="H554" s="143">
        <v>42232</v>
      </c>
      <c r="I554" s="26" t="s">
        <v>48</v>
      </c>
    </row>
    <row r="555" spans="1:9" x14ac:dyDescent="0.2">
      <c r="A555" s="26" t="s">
        <v>12</v>
      </c>
      <c r="B555" s="142">
        <v>0</v>
      </c>
      <c r="C555" s="26">
        <v>1</v>
      </c>
      <c r="D555" s="26">
        <v>0</v>
      </c>
      <c r="E555" s="26">
        <v>0</v>
      </c>
      <c r="F555" s="143">
        <v>42226</v>
      </c>
      <c r="G555" s="26" t="s">
        <v>49</v>
      </c>
      <c r="H555" s="143">
        <v>42238</v>
      </c>
      <c r="I555" s="26" t="s">
        <v>348</v>
      </c>
    </row>
    <row r="556" spans="1:9" x14ac:dyDescent="0.2">
      <c r="A556" s="26" t="s">
        <v>39</v>
      </c>
      <c r="B556" s="142">
        <v>45</v>
      </c>
      <c r="C556" s="26">
        <v>1</v>
      </c>
      <c r="D556" s="26">
        <v>0</v>
      </c>
      <c r="E556" s="26">
        <v>0</v>
      </c>
      <c r="F556" s="143">
        <v>42226</v>
      </c>
      <c r="G556" s="26" t="s">
        <v>55</v>
      </c>
      <c r="H556" s="143">
        <v>42249</v>
      </c>
      <c r="I556" s="26" t="s">
        <v>345</v>
      </c>
    </row>
    <row r="557" spans="1:9" x14ac:dyDescent="0.2">
      <c r="A557" s="26" t="s">
        <v>488</v>
      </c>
      <c r="B557" s="142">
        <v>5.5</v>
      </c>
      <c r="C557" s="26">
        <v>0</v>
      </c>
      <c r="D557" s="26">
        <v>1</v>
      </c>
      <c r="E557" s="26">
        <v>0</v>
      </c>
      <c r="F557" s="143">
        <v>42226</v>
      </c>
      <c r="G557" s="26" t="s">
        <v>51</v>
      </c>
      <c r="H557" s="143">
        <v>42235</v>
      </c>
      <c r="I557" s="26" t="s">
        <v>50</v>
      </c>
    </row>
    <row r="558" spans="1:9" x14ac:dyDescent="0.2">
      <c r="A558" s="26" t="s">
        <v>488</v>
      </c>
      <c r="B558" s="142">
        <v>4.9000000000000004</v>
      </c>
      <c r="C558" s="26">
        <v>0</v>
      </c>
      <c r="D558" s="26">
        <v>1</v>
      </c>
      <c r="E558" s="26">
        <v>0</v>
      </c>
      <c r="F558" s="143">
        <v>42226</v>
      </c>
      <c r="G558" s="26" t="s">
        <v>51</v>
      </c>
      <c r="H558" s="143">
        <v>42235</v>
      </c>
      <c r="I558" s="26" t="s">
        <v>50</v>
      </c>
    </row>
    <row r="559" spans="1:9" x14ac:dyDescent="0.2">
      <c r="A559" s="26" t="s">
        <v>978</v>
      </c>
      <c r="B559" s="142">
        <v>6</v>
      </c>
      <c r="C559" s="26">
        <v>0</v>
      </c>
      <c r="D559" s="26">
        <v>1</v>
      </c>
      <c r="E559" s="26">
        <v>0</v>
      </c>
      <c r="F559" s="143">
        <v>42226</v>
      </c>
      <c r="G559" s="26" t="s">
        <v>51</v>
      </c>
      <c r="H559" s="143">
        <v>42235</v>
      </c>
      <c r="I559" s="26" t="s">
        <v>50</v>
      </c>
    </row>
    <row r="560" spans="1:9" x14ac:dyDescent="0.2">
      <c r="A560" s="26" t="s">
        <v>44</v>
      </c>
      <c r="B560" s="142">
        <v>100</v>
      </c>
      <c r="C560" s="26">
        <v>1</v>
      </c>
      <c r="D560" s="26">
        <v>0</v>
      </c>
      <c r="E560" s="26">
        <v>0</v>
      </c>
      <c r="F560" s="143">
        <v>42226</v>
      </c>
      <c r="G560" s="26" t="s">
        <v>51</v>
      </c>
      <c r="H560" s="143">
        <v>42236</v>
      </c>
      <c r="I560" s="26" t="s">
        <v>60</v>
      </c>
    </row>
    <row r="561" spans="1:9" x14ac:dyDescent="0.2">
      <c r="A561" s="26" t="s">
        <v>44</v>
      </c>
      <c r="B561" s="142">
        <v>230</v>
      </c>
      <c r="C561" s="26">
        <v>1</v>
      </c>
      <c r="D561" s="26">
        <v>0</v>
      </c>
      <c r="E561" s="26">
        <v>0</v>
      </c>
      <c r="F561" s="143">
        <v>42226</v>
      </c>
      <c r="G561" s="26" t="s">
        <v>51</v>
      </c>
      <c r="H561" s="143">
        <v>42236</v>
      </c>
      <c r="I561" s="26" t="s">
        <v>60</v>
      </c>
    </row>
    <row r="562" spans="1:9" x14ac:dyDescent="0.2">
      <c r="A562" s="26" t="s">
        <v>48</v>
      </c>
      <c r="B562" s="142">
        <v>20</v>
      </c>
      <c r="C562" s="26">
        <v>0</v>
      </c>
      <c r="D562" s="26">
        <v>1</v>
      </c>
      <c r="E562" s="26">
        <v>0</v>
      </c>
      <c r="F562" s="143">
        <v>42226</v>
      </c>
      <c r="G562" s="26" t="s">
        <v>51</v>
      </c>
      <c r="H562" s="143">
        <v>42236</v>
      </c>
      <c r="I562" s="26" t="s">
        <v>48</v>
      </c>
    </row>
    <row r="563" spans="1:9" x14ac:dyDescent="0.2">
      <c r="A563" s="26" t="s">
        <v>980</v>
      </c>
      <c r="B563" s="142">
        <v>4.87</v>
      </c>
      <c r="C563" s="26">
        <v>0</v>
      </c>
      <c r="D563" s="26">
        <v>1</v>
      </c>
      <c r="E563" s="26">
        <v>0</v>
      </c>
      <c r="F563" s="143">
        <v>42226</v>
      </c>
      <c r="G563" s="26" t="s">
        <v>51</v>
      </c>
      <c r="H563" s="143">
        <v>42237</v>
      </c>
      <c r="I563" s="26" t="s">
        <v>50</v>
      </c>
    </row>
    <row r="564" spans="1:9" x14ac:dyDescent="0.2">
      <c r="A564" s="26" t="s">
        <v>981</v>
      </c>
      <c r="B564" s="142">
        <v>0</v>
      </c>
      <c r="C564" s="26">
        <v>0</v>
      </c>
      <c r="D564" s="26">
        <v>1</v>
      </c>
      <c r="E564" s="26">
        <v>0</v>
      </c>
      <c r="F564" s="143">
        <v>42226</v>
      </c>
      <c r="G564" s="26" t="s">
        <v>51</v>
      </c>
      <c r="H564" s="143">
        <v>42236</v>
      </c>
      <c r="I564" s="26" t="s">
        <v>50</v>
      </c>
    </row>
    <row r="565" spans="1:9" x14ac:dyDescent="0.2">
      <c r="A565" s="26" t="s">
        <v>52</v>
      </c>
      <c r="B565" s="142">
        <v>70.7</v>
      </c>
      <c r="C565" s="26">
        <v>0</v>
      </c>
      <c r="D565" s="26">
        <v>1</v>
      </c>
      <c r="E565" s="26">
        <v>0</v>
      </c>
      <c r="F565" s="143">
        <v>42226</v>
      </c>
      <c r="G565" s="26" t="s">
        <v>49</v>
      </c>
      <c r="H565" s="143">
        <v>42238</v>
      </c>
      <c r="I565" s="26" t="s">
        <v>52</v>
      </c>
    </row>
    <row r="566" spans="1:9" x14ac:dyDescent="0.2">
      <c r="A566" s="26" t="s">
        <v>183</v>
      </c>
      <c r="B566" s="142">
        <v>12.8</v>
      </c>
      <c r="C566" s="26">
        <v>0</v>
      </c>
      <c r="D566" s="26">
        <v>1</v>
      </c>
      <c r="E566" s="26">
        <v>0</v>
      </c>
      <c r="F566" s="143">
        <v>42226</v>
      </c>
      <c r="G566" s="26" t="s">
        <v>51</v>
      </c>
      <c r="H566" s="143">
        <v>42237</v>
      </c>
      <c r="I566" s="26" t="s">
        <v>50</v>
      </c>
    </row>
    <row r="567" spans="1:9" x14ac:dyDescent="0.2">
      <c r="A567" s="26" t="s">
        <v>989</v>
      </c>
      <c r="B567" s="142">
        <v>28.5</v>
      </c>
      <c r="C567" s="26">
        <v>0</v>
      </c>
      <c r="D567" s="26">
        <v>1</v>
      </c>
      <c r="E567" s="26">
        <v>0</v>
      </c>
      <c r="F567" s="143">
        <v>42226</v>
      </c>
      <c r="G567" s="26" t="s">
        <v>51</v>
      </c>
      <c r="H567" s="143">
        <v>42237</v>
      </c>
      <c r="I567" s="26" t="s">
        <v>50</v>
      </c>
    </row>
    <row r="568" spans="1:9" x14ac:dyDescent="0.2">
      <c r="A568" s="26" t="s">
        <v>95</v>
      </c>
      <c r="B568" s="142">
        <v>9.9</v>
      </c>
      <c r="C568" s="26">
        <v>0</v>
      </c>
      <c r="D568" s="26">
        <v>1</v>
      </c>
      <c r="E568" s="26">
        <v>0</v>
      </c>
      <c r="F568" s="143">
        <v>42226</v>
      </c>
      <c r="G568" s="26" t="s">
        <v>51</v>
      </c>
      <c r="H568" s="143">
        <v>42237</v>
      </c>
      <c r="I568" s="26" t="s">
        <v>50</v>
      </c>
    </row>
    <row r="569" spans="1:9" x14ac:dyDescent="0.2">
      <c r="A569" s="26" t="s">
        <v>984</v>
      </c>
      <c r="B569" s="142">
        <v>100</v>
      </c>
      <c r="C569" s="26">
        <v>0</v>
      </c>
      <c r="D569" s="26">
        <v>1</v>
      </c>
      <c r="E569" s="26">
        <v>0</v>
      </c>
      <c r="F569" s="143">
        <v>42226</v>
      </c>
      <c r="G569" s="26" t="s">
        <v>49</v>
      </c>
      <c r="H569" s="143">
        <v>42239</v>
      </c>
      <c r="I569" s="26" t="s">
        <v>344</v>
      </c>
    </row>
    <row r="570" spans="1:9" x14ac:dyDescent="0.2">
      <c r="A570" s="26" t="s">
        <v>398</v>
      </c>
      <c r="B570" s="142">
        <v>60</v>
      </c>
      <c r="C570" s="26">
        <v>0</v>
      </c>
      <c r="D570" s="26">
        <v>1</v>
      </c>
      <c r="E570" s="26">
        <v>0</v>
      </c>
      <c r="F570" s="143">
        <v>42226</v>
      </c>
      <c r="G570" s="26" t="s">
        <v>49</v>
      </c>
      <c r="H570" s="143">
        <v>42239</v>
      </c>
      <c r="I570" s="26" t="s">
        <v>398</v>
      </c>
    </row>
    <row r="571" spans="1:9" x14ac:dyDescent="0.2">
      <c r="A571" s="26" t="s">
        <v>48</v>
      </c>
      <c r="B571" s="142">
        <v>20</v>
      </c>
      <c r="C571" s="26">
        <v>0</v>
      </c>
      <c r="D571" s="26">
        <v>1</v>
      </c>
      <c r="E571" s="26">
        <v>0</v>
      </c>
      <c r="F571" s="143">
        <v>42226</v>
      </c>
      <c r="G571" s="26" t="s">
        <v>49</v>
      </c>
      <c r="H571" s="143">
        <v>42239</v>
      </c>
      <c r="I571" s="26" t="s">
        <v>48</v>
      </c>
    </row>
    <row r="572" spans="1:9" x14ac:dyDescent="0.2">
      <c r="A572" s="26" t="s">
        <v>990</v>
      </c>
      <c r="B572" s="142">
        <v>4</v>
      </c>
      <c r="C572" s="26">
        <v>0</v>
      </c>
      <c r="D572" s="26">
        <v>1</v>
      </c>
      <c r="E572" s="26">
        <v>0</v>
      </c>
      <c r="F572" s="143">
        <v>42226</v>
      </c>
      <c r="G572" s="26" t="s">
        <v>54</v>
      </c>
      <c r="H572" s="143">
        <v>42242</v>
      </c>
      <c r="I572" s="26" t="s">
        <v>50</v>
      </c>
    </row>
    <row r="573" spans="1:9" x14ac:dyDescent="0.2">
      <c r="A573" s="26" t="s">
        <v>183</v>
      </c>
      <c r="B573" s="142">
        <v>8</v>
      </c>
      <c r="C573" s="26">
        <v>0</v>
      </c>
      <c r="D573" s="26">
        <v>1</v>
      </c>
      <c r="E573" s="26">
        <v>0</v>
      </c>
      <c r="F573" s="143">
        <v>42226</v>
      </c>
      <c r="G573" s="26" t="s">
        <v>54</v>
      </c>
      <c r="H573" s="143">
        <v>42242</v>
      </c>
      <c r="I573" s="26" t="s">
        <v>50</v>
      </c>
    </row>
    <row r="574" spans="1:9" x14ac:dyDescent="0.2">
      <c r="A574" s="26" t="s">
        <v>44</v>
      </c>
      <c r="B574" s="142">
        <v>50</v>
      </c>
      <c r="C574" s="26">
        <v>1</v>
      </c>
      <c r="D574" s="26">
        <v>0</v>
      </c>
      <c r="E574" s="26">
        <v>0</v>
      </c>
      <c r="F574" s="143">
        <v>42226</v>
      </c>
      <c r="G574" s="26" t="s">
        <v>54</v>
      </c>
      <c r="H574" s="143">
        <v>42242</v>
      </c>
      <c r="I574" s="26" t="s">
        <v>60</v>
      </c>
    </row>
    <row r="575" spans="1:9" x14ac:dyDescent="0.2">
      <c r="A575" s="26" t="s">
        <v>48</v>
      </c>
      <c r="B575" s="142">
        <v>120</v>
      </c>
      <c r="C575" s="26">
        <v>0</v>
      </c>
      <c r="D575" s="26">
        <v>1</v>
      </c>
      <c r="E575" s="26">
        <v>0</v>
      </c>
      <c r="F575" s="143">
        <v>42226</v>
      </c>
      <c r="G575" s="26" t="s">
        <v>54</v>
      </c>
      <c r="H575" s="143">
        <v>42242</v>
      </c>
      <c r="I575" s="26" t="s">
        <v>48</v>
      </c>
    </row>
    <row r="576" spans="1:9" x14ac:dyDescent="0.2">
      <c r="A576" s="26" t="s">
        <v>52</v>
      </c>
      <c r="B576" s="142">
        <v>12.47</v>
      </c>
      <c r="C576" s="26">
        <v>0</v>
      </c>
      <c r="D576" s="26">
        <v>1</v>
      </c>
      <c r="E576" s="26">
        <v>0</v>
      </c>
      <c r="F576" s="143">
        <v>42226</v>
      </c>
      <c r="G576" s="26" t="s">
        <v>54</v>
      </c>
      <c r="H576" s="143">
        <v>42243</v>
      </c>
      <c r="I576" s="26" t="s">
        <v>52</v>
      </c>
    </row>
    <row r="577" spans="1:9" x14ac:dyDescent="0.2">
      <c r="A577" s="26" t="s">
        <v>992</v>
      </c>
      <c r="B577" s="142">
        <v>8</v>
      </c>
      <c r="C577" s="26">
        <v>0</v>
      </c>
      <c r="D577" s="26">
        <v>1</v>
      </c>
      <c r="E577" s="26">
        <v>0</v>
      </c>
      <c r="F577" s="143">
        <v>42226</v>
      </c>
      <c r="G577" s="26" t="s">
        <v>54</v>
      </c>
      <c r="H577" s="143">
        <v>42243</v>
      </c>
      <c r="I577" s="26" t="s">
        <v>50</v>
      </c>
    </row>
    <row r="578" spans="1:9" x14ac:dyDescent="0.2">
      <c r="A578" s="26" t="s">
        <v>993</v>
      </c>
      <c r="B578" s="142">
        <v>4.9000000000000004</v>
      </c>
      <c r="C578" s="26">
        <v>0</v>
      </c>
      <c r="D578" s="26">
        <v>1</v>
      </c>
      <c r="E578" s="26">
        <v>0</v>
      </c>
      <c r="F578" s="143">
        <v>42226</v>
      </c>
      <c r="G578" s="26" t="s">
        <v>54</v>
      </c>
      <c r="H578" s="143">
        <v>42243</v>
      </c>
      <c r="I578" s="26" t="s">
        <v>50</v>
      </c>
    </row>
    <row r="579" spans="1:9" x14ac:dyDescent="0.2">
      <c r="A579" s="26" t="s">
        <v>95</v>
      </c>
      <c r="B579" s="142">
        <v>9.9</v>
      </c>
      <c r="C579" s="26">
        <v>0</v>
      </c>
      <c r="D579" s="26">
        <v>1</v>
      </c>
      <c r="E579" s="26">
        <v>0</v>
      </c>
      <c r="F579" s="143">
        <v>42226</v>
      </c>
      <c r="G579" s="26" t="s">
        <v>49</v>
      </c>
      <c r="H579" s="143">
        <v>42246</v>
      </c>
      <c r="I579" s="26" t="s">
        <v>50</v>
      </c>
    </row>
    <row r="580" spans="1:9" x14ac:dyDescent="0.2">
      <c r="A580" s="26" t="s">
        <v>996</v>
      </c>
      <c r="B580" s="142">
        <v>13.4</v>
      </c>
      <c r="C580" s="26">
        <v>0</v>
      </c>
      <c r="D580" s="26">
        <v>1</v>
      </c>
      <c r="E580" s="26">
        <v>0</v>
      </c>
      <c r="F580" s="143">
        <v>42226</v>
      </c>
      <c r="G580" s="26" t="s">
        <v>55</v>
      </c>
      <c r="H580" s="143">
        <v>42248</v>
      </c>
      <c r="I580" s="26" t="s">
        <v>190</v>
      </c>
    </row>
    <row r="581" spans="1:9" x14ac:dyDescent="0.2">
      <c r="A581" s="26" t="s">
        <v>996</v>
      </c>
      <c r="B581" s="142">
        <v>15.9</v>
      </c>
      <c r="C581" s="26">
        <v>0</v>
      </c>
      <c r="D581" s="26">
        <v>1</v>
      </c>
      <c r="E581" s="26">
        <v>0</v>
      </c>
      <c r="F581" s="143">
        <v>42226</v>
      </c>
      <c r="G581" s="26" t="s">
        <v>55</v>
      </c>
      <c r="H581" s="143">
        <v>42249</v>
      </c>
      <c r="I581" s="26" t="s">
        <v>190</v>
      </c>
    </row>
    <row r="582" spans="1:9" x14ac:dyDescent="0.2">
      <c r="A582" s="26" t="s">
        <v>183</v>
      </c>
      <c r="B582" s="142">
        <v>4.5</v>
      </c>
      <c r="C582" s="26">
        <v>0</v>
      </c>
      <c r="D582" s="26">
        <v>1</v>
      </c>
      <c r="E582" s="26">
        <v>0</v>
      </c>
      <c r="F582" s="143">
        <v>42226</v>
      </c>
      <c r="G582" s="26" t="s">
        <v>55</v>
      </c>
      <c r="H582" s="143">
        <v>42249</v>
      </c>
      <c r="I582" s="26" t="s">
        <v>50</v>
      </c>
    </row>
    <row r="583" spans="1:9" x14ac:dyDescent="0.2">
      <c r="A583" s="26" t="s">
        <v>48</v>
      </c>
      <c r="B583" s="142">
        <v>200</v>
      </c>
      <c r="C583" s="26">
        <v>0</v>
      </c>
      <c r="D583" s="26">
        <v>1</v>
      </c>
      <c r="E583" s="26">
        <v>0</v>
      </c>
      <c r="F583" s="143">
        <v>42226</v>
      </c>
      <c r="G583" s="26" t="s">
        <v>55</v>
      </c>
      <c r="H583" s="143">
        <v>42251</v>
      </c>
      <c r="I583" s="26" t="s">
        <v>48</v>
      </c>
    </row>
    <row r="584" spans="1:9" x14ac:dyDescent="0.2">
      <c r="A584" s="26" t="s">
        <v>96</v>
      </c>
      <c r="B584" s="142">
        <v>18.96</v>
      </c>
      <c r="C584" s="26">
        <v>0</v>
      </c>
      <c r="D584" s="26">
        <v>1</v>
      </c>
      <c r="E584" s="26">
        <v>0</v>
      </c>
      <c r="F584" s="143">
        <v>42226</v>
      </c>
      <c r="G584" s="26" t="s">
        <v>55</v>
      </c>
      <c r="H584" s="143">
        <v>42251</v>
      </c>
      <c r="I584" t="s">
        <v>96</v>
      </c>
    </row>
    <row r="585" spans="1:9" x14ac:dyDescent="0.2">
      <c r="A585" s="26" t="s">
        <v>1004</v>
      </c>
      <c r="B585" s="142">
        <v>3.99</v>
      </c>
      <c r="C585" s="26">
        <v>0</v>
      </c>
      <c r="D585" s="26">
        <v>1</v>
      </c>
      <c r="E585" s="26">
        <v>0</v>
      </c>
      <c r="F585" s="143">
        <v>42226</v>
      </c>
      <c r="G585" s="26" t="s">
        <v>55</v>
      </c>
      <c r="H585" s="143">
        <v>42251</v>
      </c>
      <c r="I585" s="26" t="s">
        <v>50</v>
      </c>
    </row>
    <row r="586" spans="1:9" x14ac:dyDescent="0.2">
      <c r="A586" s="26" t="s">
        <v>190</v>
      </c>
      <c r="B586" s="142">
        <v>11.5</v>
      </c>
      <c r="C586" s="26">
        <v>0</v>
      </c>
      <c r="D586" s="26">
        <v>1</v>
      </c>
      <c r="E586" s="26">
        <v>0</v>
      </c>
      <c r="F586" s="143">
        <v>42226</v>
      </c>
      <c r="G586" s="26" t="s">
        <v>55</v>
      </c>
      <c r="H586" s="143">
        <v>42251</v>
      </c>
      <c r="I586" s="26" t="s">
        <v>50</v>
      </c>
    </row>
    <row r="587" spans="1:9" x14ac:dyDescent="0.2">
      <c r="A587" s="26" t="s">
        <v>766</v>
      </c>
      <c r="B587" s="142">
        <v>470</v>
      </c>
      <c r="C587" s="26">
        <v>1</v>
      </c>
      <c r="D587" s="26">
        <v>0</v>
      </c>
      <c r="E587" s="142">
        <v>0</v>
      </c>
      <c r="F587" s="143">
        <v>42226</v>
      </c>
      <c r="G587" s="26" t="s">
        <v>180</v>
      </c>
      <c r="H587" s="143">
        <v>42256</v>
      </c>
      <c r="I587" s="26" t="s">
        <v>503</v>
      </c>
    </row>
    <row r="588" spans="1:9" x14ac:dyDescent="0.2">
      <c r="A588" s="26" t="s">
        <v>1044</v>
      </c>
      <c r="B588" s="142">
        <v>0</v>
      </c>
      <c r="C588" s="26">
        <v>1</v>
      </c>
      <c r="D588" s="26">
        <v>0</v>
      </c>
      <c r="E588" s="142">
        <v>0</v>
      </c>
      <c r="F588" s="143">
        <v>42226</v>
      </c>
      <c r="G588" s="26" t="s">
        <v>180</v>
      </c>
      <c r="H588" s="143">
        <v>42257</v>
      </c>
      <c r="I588" s="159" t="s">
        <v>1182</v>
      </c>
    </row>
    <row r="589" spans="1:9" x14ac:dyDescent="0.2">
      <c r="A589" s="26" t="s">
        <v>1037</v>
      </c>
      <c r="B589" s="142">
        <v>48.1</v>
      </c>
      <c r="C589" s="26">
        <v>1</v>
      </c>
      <c r="D589" s="26">
        <v>0</v>
      </c>
      <c r="E589" s="26">
        <v>0</v>
      </c>
      <c r="F589" s="143">
        <v>42226</v>
      </c>
      <c r="G589" s="26" t="s">
        <v>47</v>
      </c>
      <c r="H589" s="143">
        <v>42226</v>
      </c>
      <c r="I589" s="26" t="s">
        <v>1045</v>
      </c>
    </row>
    <row r="590" spans="1:9" x14ac:dyDescent="0.2">
      <c r="A590" s="26" t="s">
        <v>1038</v>
      </c>
      <c r="B590" s="142">
        <v>222.01</v>
      </c>
      <c r="C590" s="26">
        <v>1</v>
      </c>
      <c r="D590" s="26">
        <v>0</v>
      </c>
      <c r="E590" s="26">
        <v>0</v>
      </c>
      <c r="F590" s="143">
        <v>42226</v>
      </c>
      <c r="G590" s="26" t="s">
        <v>47</v>
      </c>
      <c r="H590" s="143">
        <v>42226</v>
      </c>
      <c r="I590" s="26" t="s">
        <v>1045</v>
      </c>
    </row>
    <row r="591" spans="1:9" x14ac:dyDescent="0.2">
      <c r="A591" s="26" t="s">
        <v>1039</v>
      </c>
      <c r="B591" s="142">
        <v>111.01</v>
      </c>
      <c r="C591" s="26">
        <v>1</v>
      </c>
      <c r="D591" s="26">
        <v>0</v>
      </c>
      <c r="E591" s="26">
        <v>0</v>
      </c>
      <c r="F591" s="143">
        <v>42226</v>
      </c>
      <c r="G591" s="26" t="s">
        <v>47</v>
      </c>
      <c r="H591" s="143">
        <v>42226</v>
      </c>
      <c r="I591" s="26" t="s">
        <v>1045</v>
      </c>
    </row>
    <row r="592" spans="1:9" x14ac:dyDescent="0.2">
      <c r="A592" s="26" t="s">
        <v>1040</v>
      </c>
      <c r="B592" s="142">
        <v>74</v>
      </c>
      <c r="C592" s="26">
        <v>1</v>
      </c>
      <c r="D592" s="26">
        <v>0</v>
      </c>
      <c r="E592" s="26">
        <v>0</v>
      </c>
      <c r="F592" s="143">
        <v>42226</v>
      </c>
      <c r="G592" s="26" t="s">
        <v>47</v>
      </c>
      <c r="H592" s="143">
        <v>42226</v>
      </c>
      <c r="I592" s="26" t="s">
        <v>1045</v>
      </c>
    </row>
    <row r="593" spans="1:9" x14ac:dyDescent="0.2">
      <c r="A593" s="100" t="s">
        <v>689</v>
      </c>
      <c r="B593" s="101">
        <v>70</v>
      </c>
      <c r="C593" s="100">
        <v>0</v>
      </c>
      <c r="D593" s="100">
        <v>1</v>
      </c>
      <c r="E593" s="100">
        <v>1</v>
      </c>
      <c r="F593" s="85">
        <v>42257</v>
      </c>
      <c r="G593" s="100" t="s">
        <v>49</v>
      </c>
      <c r="H593" s="85">
        <v>42257</v>
      </c>
      <c r="I593" s="1" t="s">
        <v>153</v>
      </c>
    </row>
    <row r="594" spans="1:9" x14ac:dyDescent="0.2">
      <c r="A594" s="100" t="s">
        <v>40</v>
      </c>
      <c r="B594" s="101">
        <v>5.32</v>
      </c>
      <c r="C594" s="100">
        <v>1</v>
      </c>
      <c r="D594" s="100">
        <v>0</v>
      </c>
      <c r="E594" s="100">
        <v>0</v>
      </c>
      <c r="F594" s="85">
        <v>42257</v>
      </c>
      <c r="G594" s="100" t="s">
        <v>47</v>
      </c>
      <c r="H594" s="85">
        <v>42257</v>
      </c>
      <c r="I594" s="100" t="s">
        <v>345</v>
      </c>
    </row>
    <row r="595" spans="1:9" x14ac:dyDescent="0.2">
      <c r="A595" s="100" t="s">
        <v>2</v>
      </c>
      <c r="B595" s="101">
        <v>50</v>
      </c>
      <c r="C595" s="100">
        <v>1</v>
      </c>
      <c r="D595" s="100">
        <v>0</v>
      </c>
      <c r="E595" s="100">
        <v>0</v>
      </c>
      <c r="F595" s="85">
        <v>42257</v>
      </c>
      <c r="G595" s="100" t="s">
        <v>47</v>
      </c>
      <c r="H595" s="85">
        <v>42257</v>
      </c>
      <c r="I595" s="105" t="s">
        <v>1183</v>
      </c>
    </row>
    <row r="596" spans="1:9" x14ac:dyDescent="0.2">
      <c r="A596" s="100" t="s">
        <v>38</v>
      </c>
      <c r="B596" s="101">
        <v>57</v>
      </c>
      <c r="C596" s="100">
        <v>1</v>
      </c>
      <c r="D596" s="100">
        <v>0</v>
      </c>
      <c r="E596" s="100">
        <v>0</v>
      </c>
      <c r="F596" s="85">
        <v>42257</v>
      </c>
      <c r="G596" s="100" t="s">
        <v>47</v>
      </c>
      <c r="H596" s="85">
        <v>42257</v>
      </c>
      <c r="I596" s="100" t="s">
        <v>345</v>
      </c>
    </row>
    <row r="597" spans="1:9" x14ac:dyDescent="0.2">
      <c r="A597" s="100" t="s">
        <v>982</v>
      </c>
      <c r="B597" s="101">
        <v>45.74</v>
      </c>
      <c r="C597" s="100">
        <v>1</v>
      </c>
      <c r="D597" s="100">
        <v>0</v>
      </c>
      <c r="E597" s="100">
        <v>0</v>
      </c>
      <c r="F597" s="85">
        <v>42257</v>
      </c>
      <c r="G597" s="100" t="s">
        <v>47</v>
      </c>
      <c r="H597" s="85">
        <v>42257</v>
      </c>
      <c r="I597" s="100" t="s">
        <v>345</v>
      </c>
    </row>
    <row r="598" spans="1:9" x14ac:dyDescent="0.2">
      <c r="A598" s="100" t="s">
        <v>3</v>
      </c>
      <c r="B598" s="101">
        <v>61.61</v>
      </c>
      <c r="C598" s="100">
        <v>1</v>
      </c>
      <c r="D598" s="100">
        <v>0</v>
      </c>
      <c r="E598" s="100">
        <v>0</v>
      </c>
      <c r="F598" s="85">
        <v>42257</v>
      </c>
      <c r="G598" s="100" t="s">
        <v>47</v>
      </c>
      <c r="H598" s="85">
        <v>42257</v>
      </c>
      <c r="I598" s="100" t="s">
        <v>346</v>
      </c>
    </row>
    <row r="599" spans="1:9" x14ac:dyDescent="0.2">
      <c r="A599" s="100" t="s">
        <v>1</v>
      </c>
      <c r="B599" s="100">
        <v>236.24</v>
      </c>
      <c r="C599" s="100">
        <v>1</v>
      </c>
      <c r="D599" s="100">
        <v>0</v>
      </c>
      <c r="E599" s="100">
        <v>0</v>
      </c>
      <c r="F599" s="85">
        <v>42257</v>
      </c>
      <c r="G599" s="100" t="s">
        <v>47</v>
      </c>
      <c r="H599" s="85">
        <v>42257</v>
      </c>
      <c r="I599" s="100" t="s">
        <v>346</v>
      </c>
    </row>
    <row r="600" spans="1:9" x14ac:dyDescent="0.2">
      <c r="A600" s="100" t="s">
        <v>12</v>
      </c>
      <c r="B600" s="101">
        <v>536.46</v>
      </c>
      <c r="C600" s="100">
        <v>1</v>
      </c>
      <c r="D600" s="100">
        <v>0</v>
      </c>
      <c r="E600" s="100">
        <v>0</v>
      </c>
      <c r="F600" s="85">
        <v>42257</v>
      </c>
      <c r="G600" s="100" t="s">
        <v>47</v>
      </c>
      <c r="H600" s="85">
        <v>42257</v>
      </c>
      <c r="I600" s="100" t="s">
        <v>348</v>
      </c>
    </row>
    <row r="601" spans="1:9" x14ac:dyDescent="0.2">
      <c r="A601" s="100" t="s">
        <v>25</v>
      </c>
      <c r="B601" s="101">
        <v>130</v>
      </c>
      <c r="C601" s="100">
        <v>1</v>
      </c>
      <c r="D601" s="100">
        <v>0</v>
      </c>
      <c r="E601" s="100">
        <v>0</v>
      </c>
      <c r="F601" s="85">
        <v>42257</v>
      </c>
      <c r="G601" s="100" t="s">
        <v>47</v>
      </c>
      <c r="H601" s="85">
        <v>42262</v>
      </c>
      <c r="I601" s="100" t="s">
        <v>25</v>
      </c>
    </row>
    <row r="602" spans="1:9" x14ac:dyDescent="0.2">
      <c r="A602" s="100" t="s">
        <v>1041</v>
      </c>
      <c r="B602" s="101">
        <v>148.01</v>
      </c>
      <c r="C602" s="100">
        <v>1</v>
      </c>
      <c r="D602" s="100">
        <v>0</v>
      </c>
      <c r="E602" s="100">
        <v>0</v>
      </c>
      <c r="F602" s="85">
        <v>42257</v>
      </c>
      <c r="G602" s="100" t="s">
        <v>47</v>
      </c>
      <c r="H602" s="85">
        <v>42263</v>
      </c>
      <c r="I602" s="100" t="s">
        <v>117</v>
      </c>
    </row>
    <row r="603" spans="1:9" x14ac:dyDescent="0.2">
      <c r="A603" s="100" t="s">
        <v>1042</v>
      </c>
      <c r="B603" s="101">
        <v>139.13</v>
      </c>
      <c r="C603" s="100">
        <v>1</v>
      </c>
      <c r="D603" s="100">
        <v>0</v>
      </c>
      <c r="E603" s="100">
        <v>0</v>
      </c>
      <c r="F603" s="85">
        <v>42257</v>
      </c>
      <c r="G603" s="100" t="s">
        <v>47</v>
      </c>
      <c r="H603" s="85">
        <v>42263</v>
      </c>
      <c r="I603" s="100" t="s">
        <v>117</v>
      </c>
    </row>
    <row r="604" spans="1:9" x14ac:dyDescent="0.2">
      <c r="A604" s="100" t="s">
        <v>1043</v>
      </c>
      <c r="B604" s="101">
        <v>66.61</v>
      </c>
      <c r="C604" s="100">
        <v>1</v>
      </c>
      <c r="D604" s="100">
        <v>0</v>
      </c>
      <c r="E604" s="100">
        <v>0</v>
      </c>
      <c r="F604" s="85">
        <v>42257</v>
      </c>
      <c r="G604" s="100" t="s">
        <v>47</v>
      </c>
      <c r="H604" s="85">
        <v>42263</v>
      </c>
      <c r="I604" s="100" t="s">
        <v>117</v>
      </c>
    </row>
    <row r="605" spans="1:9" x14ac:dyDescent="0.2">
      <c r="A605" s="100" t="s">
        <v>44</v>
      </c>
      <c r="B605" s="101">
        <v>230</v>
      </c>
      <c r="C605" s="100">
        <v>1</v>
      </c>
      <c r="D605" s="100">
        <v>0</v>
      </c>
      <c r="E605" s="100">
        <v>0</v>
      </c>
      <c r="F605" s="85">
        <v>42257</v>
      </c>
      <c r="G605" s="100" t="s">
        <v>47</v>
      </c>
      <c r="H605" s="85">
        <v>42267</v>
      </c>
      <c r="I605" s="10" t="s">
        <v>60</v>
      </c>
    </row>
    <row r="606" spans="1:9" x14ac:dyDescent="0.2">
      <c r="A606" s="100" t="s">
        <v>582</v>
      </c>
      <c r="B606" s="101">
        <v>1314.42</v>
      </c>
      <c r="C606" s="100">
        <v>1</v>
      </c>
      <c r="D606" s="100">
        <v>0</v>
      </c>
      <c r="E606" s="100">
        <v>0</v>
      </c>
      <c r="F606" s="85">
        <v>42257</v>
      </c>
      <c r="G606" s="100" t="s">
        <v>47</v>
      </c>
      <c r="H606" s="85">
        <v>42257</v>
      </c>
      <c r="I606" s="10" t="s">
        <v>346</v>
      </c>
    </row>
    <row r="607" spans="1:9" x14ac:dyDescent="0.2">
      <c r="A607" s="12" t="s">
        <v>21</v>
      </c>
      <c r="B607" s="88">
        <f>SUMIFS(credito!$B$2:$B$300,credito!$F$2:$F$300,F607,credito!$G$2:$G$300,0)</f>
        <v>3076.4949999999999</v>
      </c>
      <c r="C607" s="12">
        <v>1</v>
      </c>
      <c r="D607" s="12">
        <v>0</v>
      </c>
      <c r="E607" s="12">
        <v>0</v>
      </c>
      <c r="F607" s="89">
        <v>42257</v>
      </c>
      <c r="G607" s="12" t="s">
        <v>51</v>
      </c>
      <c r="H607" s="89">
        <v>42264</v>
      </c>
      <c r="I607" s="12" t="s">
        <v>336</v>
      </c>
    </row>
    <row r="608" spans="1:9" x14ac:dyDescent="0.2">
      <c r="A608" s="100" t="s">
        <v>39</v>
      </c>
      <c r="B608" s="101">
        <v>48</v>
      </c>
      <c r="C608" s="100">
        <v>1</v>
      </c>
      <c r="D608" s="100">
        <v>0</v>
      </c>
      <c r="E608" s="100">
        <v>0</v>
      </c>
      <c r="F608" s="85">
        <v>42257</v>
      </c>
      <c r="G608" s="100" t="s">
        <v>55</v>
      </c>
      <c r="H608" s="85">
        <v>42281</v>
      </c>
      <c r="I608" s="100" t="s">
        <v>345</v>
      </c>
    </row>
    <row r="609" spans="1:9" x14ac:dyDescent="0.2">
      <c r="A609" s="100" t="s">
        <v>398</v>
      </c>
      <c r="B609" s="101">
        <v>80</v>
      </c>
      <c r="C609" s="100">
        <v>0</v>
      </c>
      <c r="D609" s="100">
        <v>1</v>
      </c>
      <c r="E609" s="100">
        <v>0</v>
      </c>
      <c r="F609" s="85">
        <v>42257</v>
      </c>
      <c r="G609" s="100" t="s">
        <v>49</v>
      </c>
      <c r="H609" s="85">
        <v>42260</v>
      </c>
      <c r="I609" s="100" t="s">
        <v>398</v>
      </c>
    </row>
    <row r="610" spans="1:9" x14ac:dyDescent="0.2">
      <c r="A610" s="100" t="s">
        <v>48</v>
      </c>
      <c r="B610" s="101">
        <v>400</v>
      </c>
      <c r="C610" s="100">
        <v>1</v>
      </c>
      <c r="D610" s="100">
        <v>0</v>
      </c>
      <c r="E610" s="100">
        <v>0</v>
      </c>
      <c r="F610" s="85">
        <v>42257</v>
      </c>
      <c r="G610" s="100" t="s">
        <v>49</v>
      </c>
      <c r="H610" s="85">
        <v>42257</v>
      </c>
      <c r="I610" s="100" t="s">
        <v>48</v>
      </c>
    </row>
    <row r="611" spans="1:9" x14ac:dyDescent="0.2">
      <c r="A611" s="100" t="s">
        <v>1026</v>
      </c>
      <c r="B611" s="101">
        <v>102.05</v>
      </c>
      <c r="C611" s="100">
        <v>1</v>
      </c>
      <c r="D611" s="100">
        <v>0</v>
      </c>
      <c r="E611" s="100">
        <v>0</v>
      </c>
      <c r="F611" s="85">
        <v>42257</v>
      </c>
      <c r="G611" s="100" t="s">
        <v>51</v>
      </c>
      <c r="H611" s="85">
        <v>42262</v>
      </c>
      <c r="I611" s="100" t="s">
        <v>117</v>
      </c>
    </row>
    <row r="612" spans="1:9" x14ac:dyDescent="0.2">
      <c r="A612" s="100" t="s">
        <v>1027</v>
      </c>
      <c r="B612" s="101">
        <v>169.78</v>
      </c>
      <c r="C612" s="100">
        <v>1</v>
      </c>
      <c r="D612" s="100">
        <v>0</v>
      </c>
      <c r="E612" s="100">
        <v>0</v>
      </c>
      <c r="F612" s="85">
        <v>42257</v>
      </c>
      <c r="G612" s="100" t="s">
        <v>51</v>
      </c>
      <c r="H612" s="85">
        <v>42262</v>
      </c>
      <c r="I612" s="100" t="s">
        <v>117</v>
      </c>
    </row>
    <row r="613" spans="1:9" x14ac:dyDescent="0.2">
      <c r="A613" s="100" t="s">
        <v>1028</v>
      </c>
      <c r="B613" s="101">
        <v>172.67</v>
      </c>
      <c r="C613" s="100">
        <v>1</v>
      </c>
      <c r="D613" s="100">
        <v>0</v>
      </c>
      <c r="E613" s="100">
        <v>0</v>
      </c>
      <c r="F613" s="85">
        <v>42257</v>
      </c>
      <c r="G613" s="100" t="s">
        <v>51</v>
      </c>
      <c r="H613" s="85">
        <v>42262</v>
      </c>
      <c r="I613" s="100" t="s">
        <v>117</v>
      </c>
    </row>
    <row r="614" spans="1:9" x14ac:dyDescent="0.2">
      <c r="A614" s="100" t="s">
        <v>1029</v>
      </c>
      <c r="B614" s="101">
        <v>180.32</v>
      </c>
      <c r="C614" s="100">
        <v>1</v>
      </c>
      <c r="D614" s="100">
        <v>0</v>
      </c>
      <c r="E614" s="100">
        <v>0</v>
      </c>
      <c r="F614" s="85">
        <v>42257</v>
      </c>
      <c r="G614" s="100" t="s">
        <v>51</v>
      </c>
      <c r="H614" s="85">
        <v>42262</v>
      </c>
      <c r="I614" s="100" t="s">
        <v>117</v>
      </c>
    </row>
    <row r="615" spans="1:9" x14ac:dyDescent="0.2">
      <c r="A615" s="100" t="s">
        <v>1030</v>
      </c>
      <c r="B615" s="101">
        <v>354.63</v>
      </c>
      <c r="C615" s="100">
        <v>1</v>
      </c>
      <c r="D615" s="100">
        <v>0</v>
      </c>
      <c r="E615" s="100">
        <v>0</v>
      </c>
      <c r="F615" s="85">
        <v>42257</v>
      </c>
      <c r="G615" s="100" t="s">
        <v>51</v>
      </c>
      <c r="H615" s="85">
        <v>42262</v>
      </c>
      <c r="I615" s="100" t="s">
        <v>117</v>
      </c>
    </row>
    <row r="616" spans="1:9" x14ac:dyDescent="0.2">
      <c r="A616" s="100" t="s">
        <v>1031</v>
      </c>
      <c r="B616" s="101">
        <v>189.78</v>
      </c>
      <c r="C616" s="100">
        <v>1</v>
      </c>
      <c r="D616" s="100">
        <v>0</v>
      </c>
      <c r="E616" s="100">
        <v>0</v>
      </c>
      <c r="F616" s="85">
        <v>42257</v>
      </c>
      <c r="G616" s="100" t="s">
        <v>51</v>
      </c>
      <c r="H616" s="85">
        <v>42262</v>
      </c>
      <c r="I616" s="100" t="s">
        <v>117</v>
      </c>
    </row>
    <row r="617" spans="1:9" x14ac:dyDescent="0.2">
      <c r="A617" s="100" t="s">
        <v>1032</v>
      </c>
      <c r="B617" s="101">
        <v>191.84</v>
      </c>
      <c r="C617" s="100">
        <v>1</v>
      </c>
      <c r="D617" s="100">
        <v>0</v>
      </c>
      <c r="E617" s="100">
        <v>0</v>
      </c>
      <c r="F617" s="85">
        <v>42257</v>
      </c>
      <c r="G617" s="100" t="s">
        <v>51</v>
      </c>
      <c r="H617" s="85">
        <v>42262</v>
      </c>
      <c r="I617" s="100" t="s">
        <v>117</v>
      </c>
    </row>
    <row r="618" spans="1:9" x14ac:dyDescent="0.2">
      <c r="A618" s="100" t="s">
        <v>1034</v>
      </c>
      <c r="B618" s="101">
        <v>50</v>
      </c>
      <c r="C618" s="100">
        <v>1</v>
      </c>
      <c r="D618" s="100">
        <v>0</v>
      </c>
      <c r="E618" s="100">
        <v>0</v>
      </c>
      <c r="F618" s="85">
        <v>42257</v>
      </c>
      <c r="G618" s="100" t="s">
        <v>51</v>
      </c>
      <c r="H618" s="85">
        <v>42263</v>
      </c>
      <c r="I618" s="100" t="s">
        <v>391</v>
      </c>
    </row>
    <row r="619" spans="1:9" x14ac:dyDescent="0.2">
      <c r="A619" s="100" t="s">
        <v>1035</v>
      </c>
      <c r="B619" s="101">
        <v>850</v>
      </c>
      <c r="C619" s="100">
        <v>1</v>
      </c>
      <c r="D619" s="100">
        <v>0</v>
      </c>
      <c r="E619" s="100">
        <v>0</v>
      </c>
      <c r="F619" s="85">
        <v>42257</v>
      </c>
      <c r="G619" s="100" t="s">
        <v>51</v>
      </c>
      <c r="H619" s="85">
        <v>42285</v>
      </c>
      <c r="I619" s="100" t="s">
        <v>391</v>
      </c>
    </row>
    <row r="620" spans="1:9" x14ac:dyDescent="0.2">
      <c r="A620" s="100" t="s">
        <v>1037</v>
      </c>
      <c r="B620" s="101">
        <v>48.1</v>
      </c>
      <c r="C620" s="100">
        <v>1</v>
      </c>
      <c r="D620" s="100">
        <v>0</v>
      </c>
      <c r="E620" s="100">
        <v>0</v>
      </c>
      <c r="F620" s="85">
        <v>42257</v>
      </c>
      <c r="G620" s="100" t="s">
        <v>47</v>
      </c>
      <c r="H620" s="85">
        <v>42257</v>
      </c>
      <c r="I620" s="100" t="s">
        <v>1045</v>
      </c>
    </row>
    <row r="621" spans="1:9" x14ac:dyDescent="0.2">
      <c r="A621" s="100" t="s">
        <v>1038</v>
      </c>
      <c r="B621" s="101">
        <v>222.01</v>
      </c>
      <c r="C621" s="100">
        <v>1</v>
      </c>
      <c r="D621" s="100">
        <v>0</v>
      </c>
      <c r="E621" s="100">
        <v>0</v>
      </c>
      <c r="F621" s="85">
        <v>42257</v>
      </c>
      <c r="G621" s="100" t="s">
        <v>47</v>
      </c>
      <c r="H621" s="85">
        <v>42257</v>
      </c>
      <c r="I621" s="100" t="s">
        <v>1045</v>
      </c>
    </row>
    <row r="622" spans="1:9" x14ac:dyDescent="0.2">
      <c r="A622" s="100" t="s">
        <v>1039</v>
      </c>
      <c r="B622" s="101">
        <v>111.01</v>
      </c>
      <c r="C622" s="100">
        <v>1</v>
      </c>
      <c r="D622" s="100">
        <v>0</v>
      </c>
      <c r="E622" s="100">
        <v>0</v>
      </c>
      <c r="F622" s="85">
        <v>42257</v>
      </c>
      <c r="G622" s="100" t="s">
        <v>47</v>
      </c>
      <c r="H622" s="85">
        <v>42257</v>
      </c>
      <c r="I622" s="100" t="s">
        <v>1045</v>
      </c>
    </row>
    <row r="623" spans="1:9" x14ac:dyDescent="0.2">
      <c r="A623" s="100" t="s">
        <v>1040</v>
      </c>
      <c r="B623" s="101">
        <v>74</v>
      </c>
      <c r="C623" s="100">
        <v>1</v>
      </c>
      <c r="D623" s="100">
        <v>0</v>
      </c>
      <c r="E623" s="100">
        <v>0</v>
      </c>
      <c r="F623" s="85">
        <v>42257</v>
      </c>
      <c r="G623" s="100" t="s">
        <v>47</v>
      </c>
      <c r="H623" s="85">
        <v>42257</v>
      </c>
      <c r="I623" s="100" t="s">
        <v>1045</v>
      </c>
    </row>
    <row r="624" spans="1:9" x14ac:dyDescent="0.2">
      <c r="A624" s="100" t="s">
        <v>44</v>
      </c>
      <c r="B624" s="101">
        <v>82</v>
      </c>
      <c r="C624" s="100">
        <v>1</v>
      </c>
      <c r="D624" s="100">
        <v>0</v>
      </c>
      <c r="E624" s="100">
        <v>0</v>
      </c>
      <c r="F624" s="85">
        <v>42257</v>
      </c>
      <c r="G624" s="100" t="s">
        <v>49</v>
      </c>
      <c r="H624" s="85">
        <v>42267</v>
      </c>
      <c r="I624" s="10" t="s">
        <v>60</v>
      </c>
    </row>
    <row r="625" spans="1:9" x14ac:dyDescent="0.2">
      <c r="A625" s="100" t="s">
        <v>109</v>
      </c>
      <c r="B625" s="101">
        <v>35</v>
      </c>
      <c r="C625" s="100">
        <v>0</v>
      </c>
      <c r="D625" s="100">
        <v>1</v>
      </c>
      <c r="E625" s="100">
        <v>0</v>
      </c>
      <c r="F625" s="85">
        <v>42257</v>
      </c>
      <c r="G625" s="100" t="s">
        <v>54</v>
      </c>
      <c r="H625" s="85">
        <v>42270</v>
      </c>
      <c r="I625" s="159" t="s">
        <v>46</v>
      </c>
    </row>
    <row r="626" spans="1:9" x14ac:dyDescent="0.2">
      <c r="A626" s="100" t="s">
        <v>48</v>
      </c>
      <c r="B626" s="101">
        <v>150</v>
      </c>
      <c r="C626" s="100">
        <v>0</v>
      </c>
      <c r="D626" s="100">
        <v>1</v>
      </c>
      <c r="E626" s="100">
        <v>0</v>
      </c>
      <c r="F626" s="85">
        <v>42257</v>
      </c>
      <c r="G626" s="100" t="s">
        <v>55</v>
      </c>
      <c r="H626" s="85">
        <v>42276</v>
      </c>
      <c r="I626" s="10" t="s">
        <v>48</v>
      </c>
    </row>
    <row r="627" spans="1:9" x14ac:dyDescent="0.2">
      <c r="A627" s="100" t="s">
        <v>398</v>
      </c>
      <c r="B627" s="101">
        <v>50</v>
      </c>
      <c r="C627" s="100">
        <v>0</v>
      </c>
      <c r="D627" s="100">
        <v>1</v>
      </c>
      <c r="E627" s="100">
        <v>0</v>
      </c>
      <c r="F627" s="85">
        <v>42257</v>
      </c>
      <c r="G627" s="100" t="s">
        <v>55</v>
      </c>
      <c r="H627" s="85">
        <v>42276</v>
      </c>
      <c r="I627" s="10" t="s">
        <v>398</v>
      </c>
    </row>
    <row r="628" spans="1:9" x14ac:dyDescent="0.2">
      <c r="A628" s="100" t="s">
        <v>1059</v>
      </c>
      <c r="B628" s="101">
        <v>90.98</v>
      </c>
      <c r="C628" s="100">
        <v>0</v>
      </c>
      <c r="D628" s="100">
        <v>1</v>
      </c>
      <c r="E628" s="100">
        <v>0</v>
      </c>
      <c r="F628" s="85">
        <v>42257</v>
      </c>
      <c r="G628" s="100" t="s">
        <v>55</v>
      </c>
      <c r="H628" s="85">
        <v>42276</v>
      </c>
      <c r="I628" s="10" t="s">
        <v>344</v>
      </c>
    </row>
    <row r="629" spans="1:9" x14ac:dyDescent="0.2">
      <c r="A629" s="100" t="s">
        <v>48</v>
      </c>
      <c r="B629" s="101">
        <v>100</v>
      </c>
      <c r="C629" s="100">
        <v>0</v>
      </c>
      <c r="D629" s="100">
        <v>1</v>
      </c>
      <c r="E629" s="100">
        <v>0</v>
      </c>
      <c r="F629" s="85">
        <v>42257</v>
      </c>
      <c r="G629" s="100" t="s">
        <v>180</v>
      </c>
      <c r="H629" s="85">
        <v>42279</v>
      </c>
      <c r="I629" s="159" t="s">
        <v>48</v>
      </c>
    </row>
    <row r="630" spans="1:9" x14ac:dyDescent="0.2">
      <c r="A630" s="100" t="s">
        <v>1071</v>
      </c>
      <c r="B630" s="101">
        <v>200</v>
      </c>
      <c r="C630" s="100">
        <v>0</v>
      </c>
      <c r="D630" s="100">
        <v>1</v>
      </c>
      <c r="E630" s="100">
        <v>0</v>
      </c>
      <c r="F630" s="85">
        <v>42257</v>
      </c>
      <c r="G630" s="100" t="s">
        <v>180</v>
      </c>
      <c r="H630" s="85">
        <v>42282</v>
      </c>
      <c r="I630" s="159" t="s">
        <v>344</v>
      </c>
    </row>
    <row r="631" spans="1:9" x14ac:dyDescent="0.2">
      <c r="A631" s="100" t="s">
        <v>52</v>
      </c>
      <c r="B631" s="101">
        <v>60.06</v>
      </c>
      <c r="C631" s="100">
        <v>0</v>
      </c>
      <c r="D631" s="100">
        <v>1</v>
      </c>
      <c r="E631" s="100">
        <v>0</v>
      </c>
      <c r="F631" s="85">
        <v>42257</v>
      </c>
      <c r="G631" s="100" t="s">
        <v>180</v>
      </c>
      <c r="H631" s="85">
        <v>42284</v>
      </c>
      <c r="I631" s="159" t="s">
        <v>52</v>
      </c>
    </row>
    <row r="632" spans="1:9" x14ac:dyDescent="0.2">
      <c r="A632" s="100" t="s">
        <v>586</v>
      </c>
      <c r="B632" s="101">
        <v>13.8</v>
      </c>
      <c r="C632" s="100">
        <v>0</v>
      </c>
      <c r="D632" s="100">
        <v>1</v>
      </c>
      <c r="E632" s="100">
        <v>0</v>
      </c>
      <c r="F632" s="85">
        <v>42257</v>
      </c>
      <c r="G632" s="100" t="s">
        <v>180</v>
      </c>
      <c r="H632" s="85">
        <v>42284</v>
      </c>
      <c r="I632" s="159" t="s">
        <v>50</v>
      </c>
    </row>
    <row r="633" spans="1:9" x14ac:dyDescent="0.2">
      <c r="A633" s="148" t="s">
        <v>616</v>
      </c>
      <c r="B633" s="149">
        <v>558.66999999999996</v>
      </c>
      <c r="C633" s="148">
        <v>1</v>
      </c>
      <c r="D633" s="148">
        <v>0</v>
      </c>
      <c r="E633" s="148">
        <v>0</v>
      </c>
      <c r="F633" s="150">
        <v>42257</v>
      </c>
      <c r="G633" s="148" t="s">
        <v>49</v>
      </c>
      <c r="H633" s="150">
        <v>42257</v>
      </c>
      <c r="I633" s="159" t="s">
        <v>1182</v>
      </c>
    </row>
    <row r="634" spans="1:9" x14ac:dyDescent="0.2">
      <c r="A634" s="105" t="s">
        <v>40</v>
      </c>
      <c r="B634" s="106">
        <v>5.32</v>
      </c>
      <c r="C634" s="105">
        <v>1</v>
      </c>
      <c r="D634" s="105">
        <v>0</v>
      </c>
      <c r="E634" s="105">
        <v>0</v>
      </c>
      <c r="F634" s="107">
        <v>42287</v>
      </c>
      <c r="G634" s="105" t="s">
        <v>47</v>
      </c>
      <c r="H634" s="107">
        <v>42290</v>
      </c>
      <c r="I634" s="105" t="s">
        <v>345</v>
      </c>
    </row>
    <row r="635" spans="1:9" x14ac:dyDescent="0.2">
      <c r="A635" s="105" t="s">
        <v>2</v>
      </c>
      <c r="B635" s="106">
        <v>50</v>
      </c>
      <c r="C635" s="105">
        <v>1</v>
      </c>
      <c r="D635" s="105">
        <v>0</v>
      </c>
      <c r="E635" s="105">
        <v>0</v>
      </c>
      <c r="F635" s="107">
        <v>42287</v>
      </c>
      <c r="G635" s="105" t="s">
        <v>47</v>
      </c>
      <c r="H635" s="107">
        <v>42290</v>
      </c>
      <c r="I635" s="105" t="s">
        <v>1183</v>
      </c>
    </row>
    <row r="636" spans="1:9" x14ac:dyDescent="0.2">
      <c r="A636" s="105" t="s">
        <v>38</v>
      </c>
      <c r="B636" s="106">
        <v>57</v>
      </c>
      <c r="C636" s="105">
        <v>1</v>
      </c>
      <c r="D636" s="105">
        <v>0</v>
      </c>
      <c r="E636" s="105">
        <v>0</v>
      </c>
      <c r="F636" s="107">
        <v>42287</v>
      </c>
      <c r="G636" s="105" t="s">
        <v>47</v>
      </c>
      <c r="H636" s="107">
        <v>42290</v>
      </c>
      <c r="I636" s="105" t="s">
        <v>345</v>
      </c>
    </row>
    <row r="637" spans="1:9" x14ac:dyDescent="0.2">
      <c r="A637" s="105" t="s">
        <v>982</v>
      </c>
      <c r="B637" s="106">
        <v>45.74</v>
      </c>
      <c r="C637" s="105">
        <v>1</v>
      </c>
      <c r="D637" s="105">
        <v>0</v>
      </c>
      <c r="E637" s="105">
        <v>0</v>
      </c>
      <c r="F637" s="107">
        <v>42287</v>
      </c>
      <c r="G637" s="105" t="s">
        <v>47</v>
      </c>
      <c r="H637" s="107">
        <v>42290</v>
      </c>
      <c r="I637" s="105" t="s">
        <v>345</v>
      </c>
    </row>
    <row r="638" spans="1:9" x14ac:dyDescent="0.2">
      <c r="A638" s="105" t="s">
        <v>3</v>
      </c>
      <c r="B638" s="106">
        <v>84.35</v>
      </c>
      <c r="C638" s="105">
        <v>1</v>
      </c>
      <c r="D638" s="105">
        <v>0</v>
      </c>
      <c r="E638" s="105">
        <v>0</v>
      </c>
      <c r="F638" s="107">
        <v>42287</v>
      </c>
      <c r="G638" s="105" t="s">
        <v>47</v>
      </c>
      <c r="H638" s="107">
        <v>42290</v>
      </c>
      <c r="I638" s="105" t="s">
        <v>346</v>
      </c>
    </row>
    <row r="639" spans="1:9" x14ac:dyDescent="0.2">
      <c r="A639" s="105" t="s">
        <v>1</v>
      </c>
      <c r="B639" s="105">
        <v>222.79</v>
      </c>
      <c r="C639" s="105">
        <v>1</v>
      </c>
      <c r="D639" s="105">
        <v>0</v>
      </c>
      <c r="E639" s="105">
        <v>0</v>
      </c>
      <c r="F639" s="107">
        <v>42287</v>
      </c>
      <c r="G639" s="105" t="s">
        <v>47</v>
      </c>
      <c r="H639" s="107">
        <v>42290</v>
      </c>
      <c r="I639" s="105" t="s">
        <v>346</v>
      </c>
    </row>
    <row r="640" spans="1:9" x14ac:dyDescent="0.2">
      <c r="A640" s="105" t="s">
        <v>12</v>
      </c>
      <c r="B640" s="106">
        <v>536.46</v>
      </c>
      <c r="C640" s="105">
        <v>1</v>
      </c>
      <c r="D640" s="105">
        <v>0</v>
      </c>
      <c r="E640" s="105">
        <v>0</v>
      </c>
      <c r="F640" s="107">
        <v>42287</v>
      </c>
      <c r="G640" s="105" t="s">
        <v>47</v>
      </c>
      <c r="H640" s="107">
        <v>42292</v>
      </c>
      <c r="I640" s="105" t="s">
        <v>348</v>
      </c>
    </row>
    <row r="641" spans="1:9" x14ac:dyDescent="0.2">
      <c r="A641" s="105" t="s">
        <v>25</v>
      </c>
      <c r="B641" s="106">
        <v>130</v>
      </c>
      <c r="C641" s="105">
        <v>1</v>
      </c>
      <c r="D641" s="105">
        <v>0</v>
      </c>
      <c r="E641" s="105">
        <v>0</v>
      </c>
      <c r="F641" s="107">
        <v>42287</v>
      </c>
      <c r="G641" s="105" t="s">
        <v>47</v>
      </c>
      <c r="H641" s="107">
        <v>42291</v>
      </c>
      <c r="I641" s="105" t="s">
        <v>25</v>
      </c>
    </row>
    <row r="642" spans="1:9" x14ac:dyDescent="0.2">
      <c r="A642" s="105" t="s">
        <v>1041</v>
      </c>
      <c r="B642" s="106">
        <v>148.01</v>
      </c>
      <c r="C642" s="105">
        <v>1</v>
      </c>
      <c r="D642" s="105">
        <v>0</v>
      </c>
      <c r="E642" s="105">
        <v>0</v>
      </c>
      <c r="F642" s="107">
        <v>42287</v>
      </c>
      <c r="G642" s="105" t="s">
        <v>47</v>
      </c>
      <c r="H642" s="107">
        <v>42287</v>
      </c>
      <c r="I642" s="105" t="s">
        <v>117</v>
      </c>
    </row>
    <row r="643" spans="1:9" x14ac:dyDescent="0.2">
      <c r="A643" s="105" t="s">
        <v>1042</v>
      </c>
      <c r="B643" s="106">
        <v>139.13</v>
      </c>
      <c r="C643" s="105">
        <v>1</v>
      </c>
      <c r="D643" s="105">
        <v>0</v>
      </c>
      <c r="E643" s="105">
        <v>0</v>
      </c>
      <c r="F643" s="107">
        <v>42287</v>
      </c>
      <c r="G643" s="105" t="s">
        <v>47</v>
      </c>
      <c r="H643" s="107">
        <v>42287</v>
      </c>
      <c r="I643" s="105" t="s">
        <v>117</v>
      </c>
    </row>
    <row r="644" spans="1:9" x14ac:dyDescent="0.2">
      <c r="A644" s="105" t="s">
        <v>1043</v>
      </c>
      <c r="B644" s="106">
        <v>66.61</v>
      </c>
      <c r="C644" s="105">
        <v>1</v>
      </c>
      <c r="D644" s="105">
        <v>0</v>
      </c>
      <c r="E644" s="105">
        <v>0</v>
      </c>
      <c r="F644" s="107">
        <v>42287</v>
      </c>
      <c r="G644" s="105" t="s">
        <v>47</v>
      </c>
      <c r="H644" s="107">
        <v>42287</v>
      </c>
      <c r="I644" s="105" t="s">
        <v>117</v>
      </c>
    </row>
    <row r="645" spans="1:9" x14ac:dyDescent="0.2">
      <c r="A645" s="105" t="s">
        <v>44</v>
      </c>
      <c r="B645" s="106">
        <v>230</v>
      </c>
      <c r="C645" s="105">
        <v>1</v>
      </c>
      <c r="D645" s="105">
        <v>0</v>
      </c>
      <c r="E645" s="105">
        <v>0</v>
      </c>
      <c r="F645" s="107">
        <v>42287</v>
      </c>
      <c r="G645" s="105" t="s">
        <v>47</v>
      </c>
      <c r="H645" s="107">
        <v>42287</v>
      </c>
      <c r="I645" s="108" t="s">
        <v>60</v>
      </c>
    </row>
    <row r="646" spans="1:9" x14ac:dyDescent="0.2">
      <c r="A646" s="105" t="s">
        <v>582</v>
      </c>
      <c r="B646" s="106">
        <v>1317.18</v>
      </c>
      <c r="C646" s="105">
        <v>1</v>
      </c>
      <c r="D646" s="105">
        <v>0</v>
      </c>
      <c r="E646" s="105">
        <v>0</v>
      </c>
      <c r="F646" s="107">
        <v>42287</v>
      </c>
      <c r="G646" s="105" t="s">
        <v>47</v>
      </c>
      <c r="H646" s="107">
        <v>42290</v>
      </c>
      <c r="I646" s="108" t="s">
        <v>346</v>
      </c>
    </row>
    <row r="647" spans="1:9" x14ac:dyDescent="0.2">
      <c r="A647" s="12" t="s">
        <v>21</v>
      </c>
      <c r="B647" s="88">
        <f>SUMIFS(credito!$B$2:$B$300,credito!$F$2:$F$300,F647,credito!$G$2:$G$300,0)</f>
        <v>3124.8299999999995</v>
      </c>
      <c r="C647" s="12">
        <v>1</v>
      </c>
      <c r="D647" s="12">
        <v>0</v>
      </c>
      <c r="E647" s="12">
        <v>0</v>
      </c>
      <c r="F647" s="89">
        <v>42287</v>
      </c>
      <c r="G647" s="12" t="s">
        <v>47</v>
      </c>
      <c r="H647" s="89">
        <v>42290</v>
      </c>
      <c r="I647" s="12" t="s">
        <v>336</v>
      </c>
    </row>
    <row r="648" spans="1:9" x14ac:dyDescent="0.2">
      <c r="A648" s="105" t="s">
        <v>1034</v>
      </c>
      <c r="B648" s="106">
        <v>50</v>
      </c>
      <c r="C648" s="105">
        <v>1</v>
      </c>
      <c r="D648" s="105">
        <v>0</v>
      </c>
      <c r="E648" s="105">
        <v>0</v>
      </c>
      <c r="F648" s="107">
        <v>42287</v>
      </c>
      <c r="G648" s="105" t="s">
        <v>51</v>
      </c>
      <c r="H648" s="107">
        <v>42296</v>
      </c>
      <c r="I648" s="105" t="s">
        <v>391</v>
      </c>
    </row>
    <row r="649" spans="1:9" x14ac:dyDescent="0.2">
      <c r="A649" s="105" t="s">
        <v>1035</v>
      </c>
      <c r="B649" s="106">
        <v>740</v>
      </c>
      <c r="C649" s="105">
        <v>1</v>
      </c>
      <c r="D649" s="105">
        <v>0</v>
      </c>
      <c r="E649" s="105">
        <v>0</v>
      </c>
      <c r="F649" s="107">
        <v>42287</v>
      </c>
      <c r="G649" s="105" t="s">
        <v>51</v>
      </c>
      <c r="H649" s="107">
        <v>42299</v>
      </c>
      <c r="I649" s="105" t="s">
        <v>391</v>
      </c>
    </row>
    <row r="650" spans="1:9" x14ac:dyDescent="0.2">
      <c r="A650" s="105" t="s">
        <v>39</v>
      </c>
      <c r="B650" s="106">
        <v>48</v>
      </c>
      <c r="C650" s="105">
        <v>1</v>
      </c>
      <c r="D650" s="105">
        <v>0</v>
      </c>
      <c r="E650" s="105">
        <v>0</v>
      </c>
      <c r="F650" s="107">
        <v>42287</v>
      </c>
      <c r="G650" s="105" t="s">
        <v>55</v>
      </c>
      <c r="H650" s="107">
        <v>42312</v>
      </c>
      <c r="I650" s="105" t="s">
        <v>345</v>
      </c>
    </row>
    <row r="651" spans="1:9" x14ac:dyDescent="0.2">
      <c r="A651" s="105" t="s">
        <v>1037</v>
      </c>
      <c r="B651" s="106">
        <v>48.1</v>
      </c>
      <c r="C651" s="105">
        <v>1</v>
      </c>
      <c r="D651" s="105">
        <v>0</v>
      </c>
      <c r="E651" s="105">
        <v>0</v>
      </c>
      <c r="F651" s="107">
        <v>42287</v>
      </c>
      <c r="G651" s="105" t="s">
        <v>49</v>
      </c>
      <c r="H651" s="107">
        <v>42287</v>
      </c>
      <c r="I651" s="105" t="s">
        <v>1045</v>
      </c>
    </row>
    <row r="652" spans="1:9" x14ac:dyDescent="0.2">
      <c r="A652" s="105" t="s">
        <v>1038</v>
      </c>
      <c r="B652" s="106">
        <v>222.01</v>
      </c>
      <c r="C652" s="105">
        <v>1</v>
      </c>
      <c r="D652" s="105">
        <v>0</v>
      </c>
      <c r="E652" s="105">
        <v>0</v>
      </c>
      <c r="F652" s="107">
        <v>42287</v>
      </c>
      <c r="G652" s="105" t="s">
        <v>49</v>
      </c>
      <c r="H652" s="107">
        <v>42287</v>
      </c>
      <c r="I652" s="105" t="s">
        <v>1045</v>
      </c>
    </row>
    <row r="653" spans="1:9" x14ac:dyDescent="0.2">
      <c r="A653" s="105" t="s">
        <v>1039</v>
      </c>
      <c r="B653" s="106">
        <v>111.01</v>
      </c>
      <c r="C653" s="105">
        <v>1</v>
      </c>
      <c r="D653" s="105">
        <v>0</v>
      </c>
      <c r="E653" s="105">
        <v>0</v>
      </c>
      <c r="F653" s="107">
        <v>42287</v>
      </c>
      <c r="G653" s="105" t="s">
        <v>49</v>
      </c>
      <c r="H653" s="107">
        <v>42287</v>
      </c>
      <c r="I653" s="105" t="s">
        <v>1045</v>
      </c>
    </row>
    <row r="654" spans="1:9" x14ac:dyDescent="0.2">
      <c r="A654" s="105" t="s">
        <v>1040</v>
      </c>
      <c r="B654" s="106">
        <v>74</v>
      </c>
      <c r="C654" s="105">
        <v>1</v>
      </c>
      <c r="D654" s="105">
        <v>0</v>
      </c>
      <c r="E654" s="105">
        <v>0</v>
      </c>
      <c r="F654" s="107">
        <v>42287</v>
      </c>
      <c r="G654" s="105" t="s">
        <v>49</v>
      </c>
      <c r="H654" s="107">
        <v>42287</v>
      </c>
      <c r="I654" s="105" t="s">
        <v>1045</v>
      </c>
    </row>
    <row r="655" spans="1:9" x14ac:dyDescent="0.2">
      <c r="A655" s="105" t="s">
        <v>1074</v>
      </c>
      <c r="B655" s="106">
        <v>25.8</v>
      </c>
      <c r="C655" s="105">
        <v>0</v>
      </c>
      <c r="D655" s="105">
        <v>1</v>
      </c>
      <c r="E655" s="105">
        <v>0</v>
      </c>
      <c r="F655" s="107">
        <v>42287</v>
      </c>
      <c r="G655" s="105" t="s">
        <v>49</v>
      </c>
      <c r="H655" s="107">
        <v>42288</v>
      </c>
      <c r="I655" s="105" t="s">
        <v>96</v>
      </c>
    </row>
    <row r="656" spans="1:9" x14ac:dyDescent="0.2">
      <c r="A656" s="105" t="s">
        <v>48</v>
      </c>
      <c r="B656" s="106">
        <v>122</v>
      </c>
      <c r="C656" s="105">
        <v>0</v>
      </c>
      <c r="D656" s="105">
        <v>1</v>
      </c>
      <c r="E656" s="105">
        <v>0</v>
      </c>
      <c r="F656" s="107">
        <v>42287</v>
      </c>
      <c r="G656" s="105" t="s">
        <v>49</v>
      </c>
      <c r="H656" s="107">
        <v>42288</v>
      </c>
      <c r="I656" s="105" t="s">
        <v>48</v>
      </c>
    </row>
    <row r="657" spans="1:9" x14ac:dyDescent="0.2">
      <c r="A657" s="105" t="s">
        <v>52</v>
      </c>
      <c r="B657" s="106">
        <v>25.8</v>
      </c>
      <c r="C657" s="105">
        <v>0</v>
      </c>
      <c r="D657" s="105">
        <v>1</v>
      </c>
      <c r="E657" s="105">
        <v>0</v>
      </c>
      <c r="F657" s="107">
        <v>42287</v>
      </c>
      <c r="G657" s="105" t="s">
        <v>49</v>
      </c>
      <c r="H657" s="107">
        <v>42288</v>
      </c>
      <c r="I657" s="105" t="s">
        <v>52</v>
      </c>
    </row>
    <row r="658" spans="1:9" x14ac:dyDescent="0.2">
      <c r="A658" s="105" t="s">
        <v>398</v>
      </c>
      <c r="B658" s="106">
        <v>53.02</v>
      </c>
      <c r="C658" s="105">
        <v>0</v>
      </c>
      <c r="D658" s="105">
        <v>1</v>
      </c>
      <c r="E658" s="105">
        <v>0</v>
      </c>
      <c r="F658" s="107">
        <v>42287</v>
      </c>
      <c r="G658" s="105" t="s">
        <v>49</v>
      </c>
      <c r="H658" s="107">
        <v>42288</v>
      </c>
      <c r="I658" s="105" t="s">
        <v>398</v>
      </c>
    </row>
    <row r="659" spans="1:9" x14ac:dyDescent="0.2">
      <c r="A659" s="105" t="s">
        <v>52</v>
      </c>
      <c r="B659" s="106">
        <v>75.63</v>
      </c>
      <c r="C659" s="105">
        <v>0</v>
      </c>
      <c r="D659" s="105">
        <v>1</v>
      </c>
      <c r="E659" s="105">
        <v>0</v>
      </c>
      <c r="F659" s="107">
        <v>42287</v>
      </c>
      <c r="G659" s="105" t="s">
        <v>47</v>
      </c>
      <c r="H659" s="107">
        <v>42289</v>
      </c>
      <c r="I659" s="105" t="s">
        <v>52</v>
      </c>
    </row>
    <row r="660" spans="1:9" x14ac:dyDescent="0.2">
      <c r="A660" s="105" t="s">
        <v>52</v>
      </c>
      <c r="B660" s="106">
        <v>106</v>
      </c>
      <c r="C660" s="105">
        <v>0</v>
      </c>
      <c r="D660" s="105">
        <v>1</v>
      </c>
      <c r="E660" s="105">
        <v>0</v>
      </c>
      <c r="F660" s="107">
        <v>42287</v>
      </c>
      <c r="G660" s="105" t="s">
        <v>47</v>
      </c>
      <c r="H660" s="107">
        <v>42291</v>
      </c>
      <c r="I660" s="105" t="s">
        <v>52</v>
      </c>
    </row>
    <row r="661" spans="1:9" x14ac:dyDescent="0.2">
      <c r="A661" s="105" t="s">
        <v>1097</v>
      </c>
      <c r="B661" s="106">
        <v>108.84</v>
      </c>
      <c r="C661" s="105">
        <v>0</v>
      </c>
      <c r="D661" s="105">
        <v>1</v>
      </c>
      <c r="E661" s="105">
        <v>0</v>
      </c>
      <c r="F661" s="107">
        <v>42287</v>
      </c>
      <c r="G661" s="105" t="s">
        <v>47</v>
      </c>
      <c r="H661" s="107">
        <v>42291</v>
      </c>
      <c r="I661" s="1" t="s">
        <v>153</v>
      </c>
    </row>
    <row r="662" spans="1:9" x14ac:dyDescent="0.2">
      <c r="A662" s="105" t="s">
        <v>1098</v>
      </c>
      <c r="B662" s="106">
        <v>160</v>
      </c>
      <c r="C662" s="105">
        <v>0</v>
      </c>
      <c r="D662" s="105">
        <v>1</v>
      </c>
      <c r="E662" s="105">
        <v>0</v>
      </c>
      <c r="F662" s="107">
        <v>42287</v>
      </c>
      <c r="G662" s="105" t="s">
        <v>47</v>
      </c>
      <c r="H662" s="107">
        <v>42292</v>
      </c>
      <c r="I662" s="105" t="s">
        <v>860</v>
      </c>
    </row>
    <row r="663" spans="1:9" x14ac:dyDescent="0.2">
      <c r="A663" s="105" t="s">
        <v>96</v>
      </c>
      <c r="B663" s="106">
        <v>35.549999999999997</v>
      </c>
      <c r="C663" s="105">
        <v>0</v>
      </c>
      <c r="D663" s="105">
        <v>1</v>
      </c>
      <c r="E663" s="105">
        <v>0</v>
      </c>
      <c r="F663" s="107">
        <v>42287</v>
      </c>
      <c r="G663" s="105" t="s">
        <v>47</v>
      </c>
      <c r="H663" s="107">
        <v>42291</v>
      </c>
      <c r="I663" t="s">
        <v>96</v>
      </c>
    </row>
    <row r="664" spans="1:9" x14ac:dyDescent="0.2">
      <c r="A664" s="105" t="s">
        <v>190</v>
      </c>
      <c r="B664" s="106">
        <v>13.34</v>
      </c>
      <c r="C664" s="105">
        <v>0</v>
      </c>
      <c r="D664" s="105">
        <v>1</v>
      </c>
      <c r="E664" s="105">
        <v>0</v>
      </c>
      <c r="F664" s="107">
        <v>42287</v>
      </c>
      <c r="G664" s="105" t="s">
        <v>47</v>
      </c>
      <c r="H664" s="107">
        <v>42293</v>
      </c>
      <c r="I664" s="105" t="s">
        <v>190</v>
      </c>
    </row>
    <row r="665" spans="1:9" x14ac:dyDescent="0.2">
      <c r="A665" s="105" t="s">
        <v>580</v>
      </c>
      <c r="B665" s="106">
        <v>29.3</v>
      </c>
      <c r="C665" s="105">
        <v>0</v>
      </c>
      <c r="D665" s="105">
        <v>1</v>
      </c>
      <c r="E665" s="105">
        <v>0</v>
      </c>
      <c r="F665" s="107">
        <v>42287</v>
      </c>
      <c r="G665" s="105" t="s">
        <v>49</v>
      </c>
      <c r="H665" s="107">
        <v>42294</v>
      </c>
      <c r="I665" t="s">
        <v>96</v>
      </c>
    </row>
    <row r="666" spans="1:9" x14ac:dyDescent="0.2">
      <c r="A666" s="105" t="s">
        <v>95</v>
      </c>
      <c r="B666" s="106">
        <v>18.399999999999999</v>
      </c>
      <c r="C666" s="105">
        <v>0</v>
      </c>
      <c r="D666" s="105">
        <v>1</v>
      </c>
      <c r="E666" s="105">
        <v>0</v>
      </c>
      <c r="F666" s="107">
        <v>42287</v>
      </c>
      <c r="G666" s="105" t="s">
        <v>49</v>
      </c>
      <c r="H666" s="107">
        <v>42294</v>
      </c>
      <c r="I666" s="105" t="s">
        <v>50</v>
      </c>
    </row>
    <row r="667" spans="1:9" x14ac:dyDescent="0.2">
      <c r="A667" s="105" t="s">
        <v>1099</v>
      </c>
      <c r="B667" s="106">
        <v>83</v>
      </c>
      <c r="C667" s="105">
        <v>0</v>
      </c>
      <c r="D667" s="105">
        <v>1</v>
      </c>
      <c r="E667" s="105">
        <v>0</v>
      </c>
      <c r="F667" s="107">
        <v>42287</v>
      </c>
      <c r="G667" s="105" t="s">
        <v>49</v>
      </c>
      <c r="H667" s="107">
        <v>42294</v>
      </c>
      <c r="I667" s="105" t="s">
        <v>860</v>
      </c>
    </row>
    <row r="668" spans="1:9" x14ac:dyDescent="0.2">
      <c r="A668" s="105" t="s">
        <v>48</v>
      </c>
      <c r="B668" s="106">
        <v>50</v>
      </c>
      <c r="C668" s="105">
        <v>0</v>
      </c>
      <c r="D668" s="105">
        <v>1</v>
      </c>
      <c r="E668" s="105">
        <v>0</v>
      </c>
      <c r="F668" s="107">
        <v>42287</v>
      </c>
      <c r="G668" s="105" t="s">
        <v>49</v>
      </c>
      <c r="H668" s="107">
        <v>42294</v>
      </c>
      <c r="I668" s="105" t="s">
        <v>48</v>
      </c>
    </row>
    <row r="669" spans="1:9" x14ac:dyDescent="0.2">
      <c r="A669" s="105" t="s">
        <v>1100</v>
      </c>
      <c r="B669" s="106">
        <v>150</v>
      </c>
      <c r="C669" s="105">
        <v>0</v>
      </c>
      <c r="D669" s="105">
        <v>1</v>
      </c>
      <c r="E669" s="105">
        <v>0</v>
      </c>
      <c r="F669" s="107">
        <v>42287</v>
      </c>
      <c r="G669" s="105" t="s">
        <v>49</v>
      </c>
      <c r="H669" s="107">
        <v>42294</v>
      </c>
      <c r="I669" s="105" t="s">
        <v>344</v>
      </c>
    </row>
    <row r="670" spans="1:9" x14ac:dyDescent="0.2">
      <c r="A670" s="105" t="s">
        <v>1101</v>
      </c>
      <c r="B670" s="106">
        <v>79.98</v>
      </c>
      <c r="C670" s="105">
        <v>0</v>
      </c>
      <c r="D670" s="105">
        <v>1</v>
      </c>
      <c r="E670" s="105">
        <v>0</v>
      </c>
      <c r="F670" s="107">
        <v>42287</v>
      </c>
      <c r="G670" s="105" t="s">
        <v>49</v>
      </c>
      <c r="H670" s="107">
        <v>42294</v>
      </c>
      <c r="I670" s="105" t="s">
        <v>344</v>
      </c>
    </row>
    <row r="671" spans="1:9" x14ac:dyDescent="0.2">
      <c r="A671" s="105" t="s">
        <v>48</v>
      </c>
      <c r="B671" s="106">
        <v>10</v>
      </c>
      <c r="C671" s="105">
        <v>0</v>
      </c>
      <c r="D671" s="105">
        <v>1</v>
      </c>
      <c r="E671" s="105">
        <v>0</v>
      </c>
      <c r="F671" s="107">
        <v>42287</v>
      </c>
      <c r="G671" s="105" t="s">
        <v>51</v>
      </c>
      <c r="H671" s="107">
        <v>42299</v>
      </c>
      <c r="I671" s="105" t="s">
        <v>48</v>
      </c>
    </row>
    <row r="672" spans="1:9" x14ac:dyDescent="0.2">
      <c r="A672" s="105" t="s">
        <v>52</v>
      </c>
      <c r="B672" s="106">
        <v>65.25</v>
      </c>
      <c r="C672" s="105">
        <v>0</v>
      </c>
      <c r="D672" s="105">
        <v>1</v>
      </c>
      <c r="E672" s="105">
        <v>0</v>
      </c>
      <c r="F672" s="107">
        <v>42287</v>
      </c>
      <c r="G672" s="105" t="s">
        <v>51</v>
      </c>
      <c r="H672" s="107">
        <v>42296</v>
      </c>
      <c r="I672" s="105" t="s">
        <v>52</v>
      </c>
    </row>
    <row r="673" spans="1:9" x14ac:dyDescent="0.2">
      <c r="A673" s="105" t="s">
        <v>1102</v>
      </c>
      <c r="B673" s="106">
        <v>28.38</v>
      </c>
      <c r="C673" s="105">
        <v>0</v>
      </c>
      <c r="D673" s="105">
        <v>1</v>
      </c>
      <c r="E673" s="105">
        <v>0</v>
      </c>
      <c r="F673" s="107">
        <v>42287</v>
      </c>
      <c r="G673" s="105" t="s">
        <v>51</v>
      </c>
      <c r="H673" s="107">
        <v>42300</v>
      </c>
      <c r="I673" s="105" t="s">
        <v>50</v>
      </c>
    </row>
    <row r="674" spans="1:9" x14ac:dyDescent="0.2">
      <c r="A674" s="105" t="s">
        <v>775</v>
      </c>
      <c r="B674" s="106">
        <v>7.49</v>
      </c>
      <c r="C674" s="105">
        <v>0</v>
      </c>
      <c r="D674" s="105">
        <v>1</v>
      </c>
      <c r="E674" s="105">
        <v>0</v>
      </c>
      <c r="F674" s="107">
        <v>42287</v>
      </c>
      <c r="G674" s="105" t="s">
        <v>51</v>
      </c>
      <c r="H674" s="107">
        <v>42300</v>
      </c>
      <c r="I674" s="105" t="s">
        <v>50</v>
      </c>
    </row>
    <row r="675" spans="1:9" x14ac:dyDescent="0.2">
      <c r="A675" s="105" t="s">
        <v>1103</v>
      </c>
      <c r="B675" s="106">
        <v>19.989999999999998</v>
      </c>
      <c r="C675" s="105">
        <v>0</v>
      </c>
      <c r="D675" s="105">
        <v>1</v>
      </c>
      <c r="E675" s="105">
        <v>0</v>
      </c>
      <c r="F675" s="107">
        <v>42287</v>
      </c>
      <c r="G675" s="105" t="s">
        <v>51</v>
      </c>
      <c r="H675" s="107">
        <v>42300</v>
      </c>
      <c r="I675" s="105" t="s">
        <v>344</v>
      </c>
    </row>
    <row r="676" spans="1:9" x14ac:dyDescent="0.2">
      <c r="A676" s="105" t="s">
        <v>183</v>
      </c>
      <c r="B676" s="106">
        <v>9</v>
      </c>
      <c r="C676" s="105">
        <v>0</v>
      </c>
      <c r="D676" s="105">
        <v>1</v>
      </c>
      <c r="E676" s="105">
        <v>0</v>
      </c>
      <c r="F676" s="107">
        <v>42287</v>
      </c>
      <c r="G676" s="105" t="s">
        <v>51</v>
      </c>
      <c r="H676" s="107">
        <v>42300</v>
      </c>
      <c r="I676" s="105" t="s">
        <v>50</v>
      </c>
    </row>
    <row r="677" spans="1:9" x14ac:dyDescent="0.2">
      <c r="A677" s="105" t="s">
        <v>190</v>
      </c>
      <c r="B677" s="106">
        <v>42.68</v>
      </c>
      <c r="C677" s="105">
        <v>0</v>
      </c>
      <c r="D677" s="105">
        <v>1</v>
      </c>
      <c r="E677" s="105">
        <v>0</v>
      </c>
      <c r="F677" s="107">
        <v>42287</v>
      </c>
      <c r="G677" s="105" t="s">
        <v>49</v>
      </c>
      <c r="H677" s="107">
        <v>42301</v>
      </c>
      <c r="I677" s="105" t="s">
        <v>190</v>
      </c>
    </row>
    <row r="678" spans="1:9" x14ac:dyDescent="0.2">
      <c r="A678" s="105" t="s">
        <v>1108</v>
      </c>
      <c r="B678" s="106">
        <v>14</v>
      </c>
      <c r="C678" s="105">
        <v>0</v>
      </c>
      <c r="D678" s="105">
        <v>1</v>
      </c>
      <c r="E678" s="105">
        <v>0</v>
      </c>
      <c r="F678" s="107">
        <v>42287</v>
      </c>
      <c r="G678" s="105" t="s">
        <v>49</v>
      </c>
      <c r="H678" s="107">
        <v>42303</v>
      </c>
      <c r="I678" s="105" t="s">
        <v>107</v>
      </c>
    </row>
    <row r="679" spans="1:9" x14ac:dyDescent="0.2">
      <c r="A679" s="105" t="s">
        <v>48</v>
      </c>
      <c r="B679" s="106">
        <v>77</v>
      </c>
      <c r="C679" s="105">
        <v>0</v>
      </c>
      <c r="D679" s="105">
        <v>1</v>
      </c>
      <c r="E679" s="105">
        <v>0</v>
      </c>
      <c r="F679" s="107">
        <v>42287</v>
      </c>
      <c r="G679" s="105" t="s">
        <v>49</v>
      </c>
      <c r="H679" s="107">
        <v>42301</v>
      </c>
      <c r="I679" s="105" t="s">
        <v>48</v>
      </c>
    </row>
    <row r="680" spans="1:9" x14ac:dyDescent="0.2">
      <c r="A680" s="105" t="s">
        <v>116</v>
      </c>
      <c r="B680" s="106">
        <v>20</v>
      </c>
      <c r="C680" s="105">
        <v>0</v>
      </c>
      <c r="D680" s="105">
        <v>1</v>
      </c>
      <c r="E680" s="105">
        <v>0</v>
      </c>
      <c r="F680" s="107">
        <v>42287</v>
      </c>
      <c r="G680" s="105" t="s">
        <v>49</v>
      </c>
      <c r="H680" s="107">
        <v>42301</v>
      </c>
      <c r="I680" s="105" t="s">
        <v>344</v>
      </c>
    </row>
    <row r="681" spans="1:9" x14ac:dyDescent="0.2">
      <c r="A681" s="105" t="s">
        <v>1104</v>
      </c>
      <c r="B681" s="106">
        <v>79.08</v>
      </c>
      <c r="C681" s="105">
        <v>0</v>
      </c>
      <c r="D681" s="105">
        <v>1</v>
      </c>
      <c r="E681" s="105">
        <v>0</v>
      </c>
      <c r="F681" s="107">
        <v>42287</v>
      </c>
      <c r="G681" s="105" t="s">
        <v>49</v>
      </c>
      <c r="H681" s="107">
        <v>42301</v>
      </c>
      <c r="I681" s="105" t="s">
        <v>107</v>
      </c>
    </row>
    <row r="682" spans="1:9" x14ac:dyDescent="0.2">
      <c r="A682" s="105" t="s">
        <v>52</v>
      </c>
      <c r="B682" s="106">
        <v>70.180000000000007</v>
      </c>
      <c r="C682" s="105">
        <v>0</v>
      </c>
      <c r="D682" s="105">
        <v>1</v>
      </c>
      <c r="E682" s="105">
        <v>0</v>
      </c>
      <c r="F682" s="107">
        <v>42287</v>
      </c>
      <c r="G682" s="105" t="s">
        <v>49</v>
      </c>
      <c r="H682" s="107">
        <v>42301</v>
      </c>
      <c r="I682" s="105" t="s">
        <v>52</v>
      </c>
    </row>
    <row r="683" spans="1:9" x14ac:dyDescent="0.2">
      <c r="A683" s="105" t="s">
        <v>1105</v>
      </c>
      <c r="B683" s="106">
        <v>39.99</v>
      </c>
      <c r="C683" s="105">
        <v>0</v>
      </c>
      <c r="D683" s="105">
        <v>1</v>
      </c>
      <c r="E683" s="105">
        <v>0</v>
      </c>
      <c r="F683" s="107">
        <v>42287</v>
      </c>
      <c r="G683" s="105" t="s">
        <v>54</v>
      </c>
      <c r="H683" s="107">
        <v>42304</v>
      </c>
      <c r="I683" s="105" t="s">
        <v>333</v>
      </c>
    </row>
    <row r="684" spans="1:9" x14ac:dyDescent="0.2">
      <c r="A684" s="105" t="s">
        <v>749</v>
      </c>
      <c r="B684" s="106">
        <v>76.47</v>
      </c>
      <c r="C684" s="105">
        <v>0</v>
      </c>
      <c r="D684" s="105">
        <v>1</v>
      </c>
      <c r="E684" s="105">
        <v>0</v>
      </c>
      <c r="F684" s="107">
        <v>42287</v>
      </c>
      <c r="G684" s="105" t="s">
        <v>54</v>
      </c>
      <c r="H684" s="107">
        <v>42305</v>
      </c>
      <c r="I684" s="105" t="s">
        <v>52</v>
      </c>
    </row>
    <row r="685" spans="1:9" x14ac:dyDescent="0.2">
      <c r="A685" s="105" t="s">
        <v>53</v>
      </c>
      <c r="B685" s="106">
        <v>21</v>
      </c>
      <c r="C685" s="105">
        <v>0</v>
      </c>
      <c r="D685" s="105">
        <v>1</v>
      </c>
      <c r="E685" s="105">
        <v>0</v>
      </c>
      <c r="F685" s="107">
        <v>42287</v>
      </c>
      <c r="G685" s="105" t="s">
        <v>54</v>
      </c>
      <c r="H685" s="107">
        <v>42305</v>
      </c>
      <c r="I685" s="105" t="s">
        <v>50</v>
      </c>
    </row>
    <row r="686" spans="1:9" x14ac:dyDescent="0.2">
      <c r="A686" s="105" t="s">
        <v>48</v>
      </c>
      <c r="B686" s="106">
        <v>40</v>
      </c>
      <c r="C686" s="105">
        <v>0</v>
      </c>
      <c r="D686" s="105">
        <v>1</v>
      </c>
      <c r="E686" s="105">
        <v>0</v>
      </c>
      <c r="F686" s="107">
        <v>42287</v>
      </c>
      <c r="G686" s="105" t="s">
        <v>54</v>
      </c>
      <c r="H686" s="107">
        <v>42306</v>
      </c>
      <c r="I686" s="105" t="s">
        <v>48</v>
      </c>
    </row>
    <row r="687" spans="1:9" x14ac:dyDescent="0.2">
      <c r="A687" s="105" t="s">
        <v>757</v>
      </c>
      <c r="B687" s="106">
        <v>9</v>
      </c>
      <c r="C687" s="105">
        <v>0</v>
      </c>
      <c r="D687" s="105">
        <v>1</v>
      </c>
      <c r="E687" s="105">
        <v>0</v>
      </c>
      <c r="F687" s="107">
        <v>42287</v>
      </c>
      <c r="G687" s="105" t="s">
        <v>54</v>
      </c>
      <c r="H687" s="107">
        <v>42306</v>
      </c>
      <c r="I687" s="105" t="s">
        <v>50</v>
      </c>
    </row>
    <row r="688" spans="1:9" x14ac:dyDescent="0.2">
      <c r="A688" s="105" t="s">
        <v>190</v>
      </c>
      <c r="B688" s="106">
        <v>40.119999999999997</v>
      </c>
      <c r="C688" s="105">
        <v>0</v>
      </c>
      <c r="D688" s="105">
        <v>1</v>
      </c>
      <c r="E688" s="105">
        <v>0</v>
      </c>
      <c r="F688" s="107">
        <v>42287</v>
      </c>
      <c r="G688" s="105" t="s">
        <v>54</v>
      </c>
      <c r="H688" s="107">
        <v>42307</v>
      </c>
      <c r="I688" s="105" t="s">
        <v>190</v>
      </c>
    </row>
    <row r="689" spans="1:9" x14ac:dyDescent="0.2">
      <c r="A689" s="105" t="s">
        <v>1106</v>
      </c>
      <c r="B689" s="106">
        <v>50</v>
      </c>
      <c r="C689" s="105">
        <v>1</v>
      </c>
      <c r="D689" s="105">
        <v>0</v>
      </c>
      <c r="E689" s="105">
        <v>0</v>
      </c>
      <c r="F689" s="107">
        <v>42287</v>
      </c>
      <c r="G689" s="105" t="s">
        <v>55</v>
      </c>
      <c r="H689" s="107">
        <v>42310</v>
      </c>
      <c r="I689" s="1" t="s">
        <v>153</v>
      </c>
    </row>
    <row r="690" spans="1:9" x14ac:dyDescent="0.2">
      <c r="A690" s="105" t="s">
        <v>1107</v>
      </c>
      <c r="B690" s="106">
        <v>65.290000000000006</v>
      </c>
      <c r="C690" s="105">
        <v>0</v>
      </c>
      <c r="D690" s="105">
        <v>1</v>
      </c>
      <c r="E690" s="105">
        <v>0</v>
      </c>
      <c r="F690" s="107">
        <v>42287</v>
      </c>
      <c r="G690" s="105" t="s">
        <v>55</v>
      </c>
      <c r="H690" s="107">
        <v>42310</v>
      </c>
      <c r="I690" s="105" t="s">
        <v>50</v>
      </c>
    </row>
    <row r="691" spans="1:9" x14ac:dyDescent="0.2">
      <c r="A691" s="105" t="s">
        <v>96</v>
      </c>
      <c r="B691" s="106">
        <v>19.510000000000002</v>
      </c>
      <c r="C691" s="105">
        <v>0</v>
      </c>
      <c r="D691" s="105">
        <v>1</v>
      </c>
      <c r="E691" s="105">
        <v>0</v>
      </c>
      <c r="F691" s="107">
        <v>42287</v>
      </c>
      <c r="G691" s="105" t="s">
        <v>55</v>
      </c>
      <c r="H691" s="107">
        <v>42311</v>
      </c>
      <c r="I691" t="s">
        <v>96</v>
      </c>
    </row>
    <row r="692" spans="1:9" x14ac:dyDescent="0.2">
      <c r="A692" s="105" t="s">
        <v>52</v>
      </c>
      <c r="B692" s="106">
        <v>103.96</v>
      </c>
      <c r="C692" s="105">
        <v>0</v>
      </c>
      <c r="D692" s="105">
        <v>1</v>
      </c>
      <c r="E692" s="105">
        <v>0</v>
      </c>
      <c r="F692" s="107">
        <v>42287</v>
      </c>
      <c r="G692" s="105" t="s">
        <v>55</v>
      </c>
      <c r="H692" s="107">
        <v>42311</v>
      </c>
      <c r="I692" s="105" t="s">
        <v>52</v>
      </c>
    </row>
    <row r="693" spans="1:9" x14ac:dyDescent="0.2">
      <c r="A693" s="105" t="s">
        <v>757</v>
      </c>
      <c r="B693" s="106">
        <v>6.5</v>
      </c>
      <c r="C693" s="105">
        <v>0</v>
      </c>
      <c r="D693" s="105">
        <v>1</v>
      </c>
      <c r="E693" s="105">
        <v>0</v>
      </c>
      <c r="F693" s="107">
        <v>42287</v>
      </c>
      <c r="G693" s="105" t="s">
        <v>55</v>
      </c>
      <c r="H693" s="107">
        <v>42313</v>
      </c>
      <c r="I693" s="105" t="s">
        <v>50</v>
      </c>
    </row>
    <row r="694" spans="1:9" x14ac:dyDescent="0.2">
      <c r="A694" s="105" t="s">
        <v>190</v>
      </c>
      <c r="B694" s="106">
        <v>24.31</v>
      </c>
      <c r="C694" s="105">
        <v>0</v>
      </c>
      <c r="D694" s="105">
        <v>1</v>
      </c>
      <c r="E694" s="105">
        <v>0</v>
      </c>
      <c r="F694" s="107">
        <v>42287</v>
      </c>
      <c r="G694" s="105" t="s">
        <v>55</v>
      </c>
      <c r="H694" s="107">
        <v>42314</v>
      </c>
      <c r="I694" s="105" t="s">
        <v>190</v>
      </c>
    </row>
    <row r="695" spans="1:9" x14ac:dyDescent="0.2">
      <c r="A695" s="105" t="s">
        <v>48</v>
      </c>
      <c r="B695" s="106">
        <v>100</v>
      </c>
      <c r="C695" s="105">
        <v>0</v>
      </c>
      <c r="D695" s="105">
        <v>1</v>
      </c>
      <c r="E695" s="105">
        <v>0</v>
      </c>
      <c r="F695" s="107">
        <v>42287</v>
      </c>
      <c r="G695" s="105" t="s">
        <v>55</v>
      </c>
      <c r="H695" s="107">
        <v>42315</v>
      </c>
      <c r="I695" s="105" t="s">
        <v>48</v>
      </c>
    </row>
    <row r="696" spans="1:9" x14ac:dyDescent="0.2">
      <c r="A696" s="105" t="s">
        <v>96</v>
      </c>
      <c r="B696" s="106">
        <v>30</v>
      </c>
      <c r="C696" s="105">
        <v>0</v>
      </c>
      <c r="D696" s="105">
        <v>1</v>
      </c>
      <c r="E696" s="105">
        <v>0</v>
      </c>
      <c r="F696" s="107">
        <v>42287</v>
      </c>
      <c r="G696" s="105" t="s">
        <v>49</v>
      </c>
      <c r="H696" s="107">
        <v>42317</v>
      </c>
      <c r="I696" t="s">
        <v>96</v>
      </c>
    </row>
    <row r="697" spans="1:9" x14ac:dyDescent="0.2">
      <c r="A697" s="105" t="s">
        <v>52</v>
      </c>
      <c r="B697" s="106">
        <v>27.05</v>
      </c>
      <c r="C697" s="105">
        <v>0</v>
      </c>
      <c r="D697" s="105">
        <v>1</v>
      </c>
      <c r="E697" s="105">
        <v>0</v>
      </c>
      <c r="F697" s="107">
        <v>42287</v>
      </c>
      <c r="G697" s="105" t="s">
        <v>49</v>
      </c>
      <c r="H697" s="107">
        <v>42317</v>
      </c>
      <c r="I697" s="105" t="s">
        <v>52</v>
      </c>
    </row>
    <row r="698" spans="1:9" x14ac:dyDescent="0.2">
      <c r="A698" s="100" t="s">
        <v>40</v>
      </c>
      <c r="B698" s="101">
        <v>5.32</v>
      </c>
      <c r="C698" s="100">
        <v>1</v>
      </c>
      <c r="D698" s="100">
        <v>0</v>
      </c>
      <c r="E698" s="100">
        <v>0</v>
      </c>
      <c r="F698" s="85">
        <v>42318</v>
      </c>
      <c r="G698" s="100" t="s">
        <v>47</v>
      </c>
      <c r="H698" s="85">
        <v>42318</v>
      </c>
      <c r="I698" s="100" t="s">
        <v>345</v>
      </c>
    </row>
    <row r="699" spans="1:9" x14ac:dyDescent="0.2">
      <c r="A699" s="100" t="s">
        <v>2</v>
      </c>
      <c r="B699" s="101">
        <v>50</v>
      </c>
      <c r="C699" s="100">
        <v>1</v>
      </c>
      <c r="D699" s="100">
        <v>0</v>
      </c>
      <c r="E699" s="100">
        <v>0</v>
      </c>
      <c r="F699" s="85">
        <v>42318</v>
      </c>
      <c r="G699" s="100" t="s">
        <v>47</v>
      </c>
      <c r="H699" s="85">
        <v>42318</v>
      </c>
      <c r="I699" s="105" t="s">
        <v>1183</v>
      </c>
    </row>
    <row r="700" spans="1:9" x14ac:dyDescent="0.2">
      <c r="A700" s="100" t="s">
        <v>38</v>
      </c>
      <c r="B700" s="101">
        <v>57</v>
      </c>
      <c r="C700" s="100">
        <v>1</v>
      </c>
      <c r="D700" s="100">
        <v>0</v>
      </c>
      <c r="E700" s="100">
        <v>0</v>
      </c>
      <c r="F700" s="85">
        <v>42318</v>
      </c>
      <c r="G700" s="100" t="s">
        <v>47</v>
      </c>
      <c r="H700" s="85">
        <v>42318</v>
      </c>
      <c r="I700" s="100" t="s">
        <v>345</v>
      </c>
    </row>
    <row r="701" spans="1:9" x14ac:dyDescent="0.2">
      <c r="A701" s="100" t="s">
        <v>982</v>
      </c>
      <c r="B701" s="101">
        <v>45.74</v>
      </c>
      <c r="C701" s="100">
        <v>1</v>
      </c>
      <c r="D701" s="100">
        <v>0</v>
      </c>
      <c r="E701" s="100">
        <v>0</v>
      </c>
      <c r="F701" s="85">
        <v>42318</v>
      </c>
      <c r="G701" s="100" t="s">
        <v>47</v>
      </c>
      <c r="H701" s="85">
        <v>42318</v>
      </c>
      <c r="I701" s="100" t="s">
        <v>345</v>
      </c>
    </row>
    <row r="702" spans="1:9" x14ac:dyDescent="0.2">
      <c r="A702" s="100" t="s">
        <v>1</v>
      </c>
      <c r="B702" s="100">
        <v>270.54000000000002</v>
      </c>
      <c r="C702" s="100">
        <v>1</v>
      </c>
      <c r="D702" s="100">
        <v>0</v>
      </c>
      <c r="E702" s="100">
        <v>0</v>
      </c>
      <c r="F702" s="85">
        <v>42318</v>
      </c>
      <c r="G702" s="100" t="s">
        <v>47</v>
      </c>
      <c r="H702" s="85">
        <v>42318</v>
      </c>
      <c r="I702" s="100" t="s">
        <v>346</v>
      </c>
    </row>
    <row r="703" spans="1:9" x14ac:dyDescent="0.2">
      <c r="A703" s="100" t="s">
        <v>3</v>
      </c>
      <c r="B703" s="100">
        <v>104.68</v>
      </c>
      <c r="C703" s="100">
        <v>1</v>
      </c>
      <c r="D703" s="100">
        <v>0</v>
      </c>
      <c r="E703" s="100">
        <v>0</v>
      </c>
      <c r="F703" s="85">
        <v>42318</v>
      </c>
      <c r="G703" s="100" t="s">
        <v>47</v>
      </c>
      <c r="H703" s="85">
        <v>42318</v>
      </c>
      <c r="I703" s="100" t="s">
        <v>346</v>
      </c>
    </row>
    <row r="704" spans="1:9" x14ac:dyDescent="0.2">
      <c r="A704" s="100" t="s">
        <v>12</v>
      </c>
      <c r="B704" s="101">
        <v>536.46</v>
      </c>
      <c r="C704" s="100">
        <v>1</v>
      </c>
      <c r="D704" s="100">
        <v>0</v>
      </c>
      <c r="E704" s="100">
        <v>0</v>
      </c>
      <c r="F704" s="85">
        <v>42318</v>
      </c>
      <c r="G704" s="100" t="s">
        <v>47</v>
      </c>
      <c r="H704" s="85">
        <v>42324</v>
      </c>
      <c r="I704" s="100" t="s">
        <v>348</v>
      </c>
    </row>
    <row r="705" spans="1:9" x14ac:dyDescent="0.2">
      <c r="A705" s="100" t="s">
        <v>25</v>
      </c>
      <c r="B705" s="101">
        <v>130</v>
      </c>
      <c r="C705" s="100">
        <v>1</v>
      </c>
      <c r="D705" s="100">
        <v>0</v>
      </c>
      <c r="E705" s="100">
        <v>0</v>
      </c>
      <c r="F705" s="85">
        <v>42318</v>
      </c>
      <c r="G705" s="100" t="s">
        <v>47</v>
      </c>
      <c r="H705" s="85">
        <v>42319</v>
      </c>
      <c r="I705" s="100" t="s">
        <v>25</v>
      </c>
    </row>
    <row r="706" spans="1:9" x14ac:dyDescent="0.2">
      <c r="A706" s="100" t="s">
        <v>1041</v>
      </c>
      <c r="B706" s="101">
        <v>148.01</v>
      </c>
      <c r="C706" s="100">
        <v>1</v>
      </c>
      <c r="D706" s="100">
        <v>0</v>
      </c>
      <c r="E706" s="100">
        <v>0</v>
      </c>
      <c r="F706" s="85">
        <v>42318</v>
      </c>
      <c r="G706" s="100" t="s">
        <v>47</v>
      </c>
      <c r="H706" s="85">
        <v>42319</v>
      </c>
      <c r="I706" s="100" t="s">
        <v>117</v>
      </c>
    </row>
    <row r="707" spans="1:9" x14ac:dyDescent="0.2">
      <c r="A707" s="100" t="s">
        <v>1042</v>
      </c>
      <c r="B707" s="101">
        <v>139.13</v>
      </c>
      <c r="C707" s="100">
        <v>1</v>
      </c>
      <c r="D707" s="100">
        <v>0</v>
      </c>
      <c r="E707" s="100">
        <v>0</v>
      </c>
      <c r="F707" s="85">
        <v>42318</v>
      </c>
      <c r="G707" s="100" t="s">
        <v>47</v>
      </c>
      <c r="H707" s="85">
        <v>42319</v>
      </c>
      <c r="I707" s="100" t="s">
        <v>117</v>
      </c>
    </row>
    <row r="708" spans="1:9" x14ac:dyDescent="0.2">
      <c r="A708" s="100" t="s">
        <v>1043</v>
      </c>
      <c r="B708" s="101">
        <v>66.61</v>
      </c>
      <c r="C708" s="100">
        <v>1</v>
      </c>
      <c r="D708" s="100">
        <v>0</v>
      </c>
      <c r="E708" s="100">
        <v>0</v>
      </c>
      <c r="F708" s="85">
        <v>42318</v>
      </c>
      <c r="G708" s="100" t="s">
        <v>47</v>
      </c>
      <c r="H708" s="85">
        <v>42319</v>
      </c>
      <c r="I708" s="100" t="s">
        <v>117</v>
      </c>
    </row>
    <row r="709" spans="1:9" x14ac:dyDescent="0.2">
      <c r="A709" s="100" t="s">
        <v>44</v>
      </c>
      <c r="B709" s="101">
        <v>230</v>
      </c>
      <c r="C709" s="100">
        <v>1</v>
      </c>
      <c r="D709" s="100">
        <v>0</v>
      </c>
      <c r="E709" s="100">
        <v>0</v>
      </c>
      <c r="F709" s="85">
        <v>42318</v>
      </c>
      <c r="G709" s="100" t="s">
        <v>47</v>
      </c>
      <c r="H709" s="85">
        <v>42333</v>
      </c>
      <c r="I709" s="10" t="s">
        <v>60</v>
      </c>
    </row>
    <row r="710" spans="1:9" x14ac:dyDescent="0.2">
      <c r="A710" s="100" t="s">
        <v>582</v>
      </c>
      <c r="B710" s="101">
        <v>1327.41</v>
      </c>
      <c r="C710" s="100">
        <v>1</v>
      </c>
      <c r="D710" s="100">
        <v>0</v>
      </c>
      <c r="E710" s="100">
        <v>0</v>
      </c>
      <c r="F710" s="85">
        <v>42318</v>
      </c>
      <c r="G710" s="100" t="s">
        <v>47</v>
      </c>
      <c r="H710" s="85">
        <v>42324</v>
      </c>
      <c r="I710" s="10" t="s">
        <v>346</v>
      </c>
    </row>
    <row r="711" spans="1:9" x14ac:dyDescent="0.2">
      <c r="A711" s="100" t="s">
        <v>39</v>
      </c>
      <c r="B711" s="101">
        <v>48</v>
      </c>
      <c r="C711" s="100">
        <v>1</v>
      </c>
      <c r="D711" s="100">
        <v>0</v>
      </c>
      <c r="E711" s="100">
        <v>0</v>
      </c>
      <c r="F711" s="85">
        <v>42318</v>
      </c>
      <c r="G711" s="100" t="s">
        <v>55</v>
      </c>
      <c r="H711" s="85">
        <v>42340</v>
      </c>
      <c r="I711" s="100" t="s">
        <v>345</v>
      </c>
    </row>
    <row r="712" spans="1:9" x14ac:dyDescent="0.2">
      <c r="A712" s="12" t="s">
        <v>21</v>
      </c>
      <c r="B712" s="88">
        <f>SUMIFS(credito!$B$2:$B$402,credito!$F$2:$F$402,F712,credito!$G$2:$G$402,0)</f>
        <v>214.37</v>
      </c>
      <c r="C712" s="12">
        <v>1</v>
      </c>
      <c r="D712" s="12">
        <v>0</v>
      </c>
      <c r="E712" s="12">
        <v>0</v>
      </c>
      <c r="F712" s="89">
        <v>42318</v>
      </c>
      <c r="G712" s="12" t="s">
        <v>51</v>
      </c>
      <c r="H712" s="89">
        <v>42325</v>
      </c>
      <c r="I712" s="12" t="s">
        <v>336</v>
      </c>
    </row>
    <row r="713" spans="1:9" x14ac:dyDescent="0.2">
      <c r="A713" s="100" t="s">
        <v>1034</v>
      </c>
      <c r="B713" s="101">
        <v>50</v>
      </c>
      <c r="C713" s="100">
        <v>1</v>
      </c>
      <c r="D713" s="100">
        <v>0</v>
      </c>
      <c r="E713" s="100">
        <v>0</v>
      </c>
      <c r="F713" s="85">
        <v>42318</v>
      </c>
      <c r="G713" s="100" t="s">
        <v>51</v>
      </c>
      <c r="H713" s="85">
        <v>42318</v>
      </c>
      <c r="I713" s="100" t="s">
        <v>391</v>
      </c>
    </row>
    <row r="714" spans="1:9" x14ac:dyDescent="0.2">
      <c r="A714" s="100" t="s">
        <v>1035</v>
      </c>
      <c r="B714" s="101">
        <v>740</v>
      </c>
      <c r="C714" s="100">
        <v>1</v>
      </c>
      <c r="D714" s="100">
        <v>0</v>
      </c>
      <c r="E714" s="100">
        <v>1</v>
      </c>
      <c r="F714" s="85">
        <v>42318</v>
      </c>
      <c r="G714" s="100" t="s">
        <v>51</v>
      </c>
      <c r="H714" s="85">
        <v>42318</v>
      </c>
      <c r="I714" s="100" t="s">
        <v>391</v>
      </c>
    </row>
    <row r="715" spans="1:9" x14ac:dyDescent="0.2">
      <c r="A715" s="100" t="s">
        <v>1037</v>
      </c>
      <c r="B715" s="101">
        <v>48.1</v>
      </c>
      <c r="C715" s="100">
        <v>1</v>
      </c>
      <c r="D715" s="100">
        <v>0</v>
      </c>
      <c r="E715" s="100">
        <v>0</v>
      </c>
      <c r="F715" s="85">
        <v>42318</v>
      </c>
      <c r="G715" s="100" t="s">
        <v>47</v>
      </c>
      <c r="H715" s="85">
        <v>42318</v>
      </c>
      <c r="I715" s="100" t="s">
        <v>1045</v>
      </c>
    </row>
    <row r="716" spans="1:9" x14ac:dyDescent="0.2">
      <c r="A716" s="100" t="s">
        <v>1038</v>
      </c>
      <c r="B716" s="101">
        <v>222.01</v>
      </c>
      <c r="C716" s="100">
        <v>1</v>
      </c>
      <c r="D716" s="100">
        <v>0</v>
      </c>
      <c r="E716" s="100">
        <v>0</v>
      </c>
      <c r="F716" s="85">
        <v>42318</v>
      </c>
      <c r="G716" s="100" t="s">
        <v>47</v>
      </c>
      <c r="H716" s="85">
        <v>42318</v>
      </c>
      <c r="I716" s="100" t="s">
        <v>1045</v>
      </c>
    </row>
    <row r="717" spans="1:9" x14ac:dyDescent="0.2">
      <c r="A717" s="100" t="s">
        <v>1039</v>
      </c>
      <c r="B717" s="101">
        <v>111.01</v>
      </c>
      <c r="C717" s="100">
        <v>1</v>
      </c>
      <c r="D717" s="100">
        <v>0</v>
      </c>
      <c r="E717" s="100">
        <v>0</v>
      </c>
      <c r="F717" s="85">
        <v>42318</v>
      </c>
      <c r="G717" s="100" t="s">
        <v>47</v>
      </c>
      <c r="H717" s="85">
        <v>42318</v>
      </c>
      <c r="I717" s="100" t="s">
        <v>1045</v>
      </c>
    </row>
    <row r="718" spans="1:9" x14ac:dyDescent="0.2">
      <c r="A718" s="100" t="s">
        <v>1040</v>
      </c>
      <c r="B718" s="101">
        <v>74</v>
      </c>
      <c r="C718" s="100">
        <v>1</v>
      </c>
      <c r="D718" s="100">
        <v>0</v>
      </c>
      <c r="E718" s="100">
        <v>0</v>
      </c>
      <c r="F718" s="85">
        <v>42318</v>
      </c>
      <c r="G718" s="100" t="s">
        <v>47</v>
      </c>
      <c r="H718" s="85">
        <v>42318</v>
      </c>
      <c r="I718" s="100" t="s">
        <v>1045</v>
      </c>
    </row>
    <row r="719" spans="1:9" x14ac:dyDescent="0.2">
      <c r="A719" s="125" t="s">
        <v>52</v>
      </c>
      <c r="B719" s="101">
        <v>359.11</v>
      </c>
      <c r="C719" s="100">
        <v>0</v>
      </c>
      <c r="D719" s="100">
        <v>1</v>
      </c>
      <c r="E719" s="100">
        <v>0</v>
      </c>
      <c r="F719" s="85">
        <v>42318</v>
      </c>
      <c r="G719" s="100" t="s">
        <v>47</v>
      </c>
      <c r="H719" s="85">
        <v>42318</v>
      </c>
      <c r="I719" s="125" t="s">
        <v>52</v>
      </c>
    </row>
    <row r="720" spans="1:9" x14ac:dyDescent="0.2">
      <c r="A720" s="125" t="s">
        <v>586</v>
      </c>
      <c r="B720" s="101">
        <v>37</v>
      </c>
      <c r="C720" s="100">
        <v>0</v>
      </c>
      <c r="D720" s="100">
        <v>1</v>
      </c>
      <c r="E720" s="100">
        <v>0</v>
      </c>
      <c r="F720" s="85">
        <v>42318</v>
      </c>
      <c r="G720" s="100" t="s">
        <v>47</v>
      </c>
      <c r="H720" s="85">
        <v>42318</v>
      </c>
      <c r="I720" s="125" t="s">
        <v>50</v>
      </c>
    </row>
    <row r="721" spans="1:9" x14ac:dyDescent="0.2">
      <c r="A721" s="125" t="s">
        <v>757</v>
      </c>
      <c r="B721" s="101">
        <v>8</v>
      </c>
      <c r="C721" s="100">
        <v>0</v>
      </c>
      <c r="D721" s="100">
        <v>1</v>
      </c>
      <c r="E721" s="100">
        <v>0</v>
      </c>
      <c r="F721" s="85">
        <v>42318</v>
      </c>
      <c r="G721" s="100" t="s">
        <v>47</v>
      </c>
      <c r="H721" s="85">
        <v>42321</v>
      </c>
      <c r="I721" s="125" t="s">
        <v>50</v>
      </c>
    </row>
    <row r="722" spans="1:9" x14ac:dyDescent="0.2">
      <c r="A722" s="125" t="s">
        <v>190</v>
      </c>
      <c r="B722" s="101">
        <v>11.11</v>
      </c>
      <c r="C722" s="100">
        <v>0</v>
      </c>
      <c r="D722" s="100">
        <v>1</v>
      </c>
      <c r="E722" s="100">
        <v>0</v>
      </c>
      <c r="F722" s="85">
        <v>42318</v>
      </c>
      <c r="G722" s="100" t="s">
        <v>51</v>
      </c>
      <c r="H722" s="85">
        <v>42324</v>
      </c>
      <c r="I722" s="125" t="s">
        <v>190</v>
      </c>
    </row>
    <row r="723" spans="1:9" x14ac:dyDescent="0.2">
      <c r="A723" s="125" t="s">
        <v>1117</v>
      </c>
      <c r="B723" s="101">
        <v>2.6</v>
      </c>
      <c r="C723" s="100">
        <v>0</v>
      </c>
      <c r="D723" s="100">
        <v>1</v>
      </c>
      <c r="E723" s="100">
        <v>0</v>
      </c>
      <c r="F723" s="85">
        <v>42318</v>
      </c>
      <c r="G723" s="100" t="s">
        <v>51</v>
      </c>
      <c r="H723" s="85">
        <v>42324</v>
      </c>
      <c r="I723" s="159" t="s">
        <v>107</v>
      </c>
    </row>
    <row r="724" spans="1:9" x14ac:dyDescent="0.2">
      <c r="A724" s="125" t="s">
        <v>1116</v>
      </c>
      <c r="B724" s="101">
        <v>26.09</v>
      </c>
      <c r="C724" s="100">
        <v>0</v>
      </c>
      <c r="D724" s="100">
        <v>1</v>
      </c>
      <c r="E724" s="100">
        <v>0</v>
      </c>
      <c r="F724" s="85">
        <v>42318</v>
      </c>
      <c r="G724" s="100" t="s">
        <v>51</v>
      </c>
      <c r="H724" s="85">
        <v>42324</v>
      </c>
      <c r="I724" s="159" t="s">
        <v>107</v>
      </c>
    </row>
    <row r="725" spans="1:9" x14ac:dyDescent="0.2">
      <c r="A725" s="125" t="s">
        <v>190</v>
      </c>
      <c r="B725" s="101">
        <v>23.42</v>
      </c>
      <c r="C725" s="100">
        <v>0</v>
      </c>
      <c r="D725" s="100">
        <v>1</v>
      </c>
      <c r="E725" s="100">
        <v>0</v>
      </c>
      <c r="F725" s="85">
        <v>42318</v>
      </c>
      <c r="G725" s="100" t="s">
        <v>51</v>
      </c>
      <c r="H725" s="85">
        <v>42325</v>
      </c>
      <c r="I725" s="125" t="s">
        <v>190</v>
      </c>
    </row>
    <row r="726" spans="1:9" x14ac:dyDescent="0.2">
      <c r="A726" s="125" t="s">
        <v>44</v>
      </c>
      <c r="B726" s="101">
        <v>50</v>
      </c>
      <c r="C726" s="100">
        <v>0</v>
      </c>
      <c r="D726" s="100">
        <v>1</v>
      </c>
      <c r="E726" s="100">
        <v>0</v>
      </c>
      <c r="F726" s="85">
        <v>42318</v>
      </c>
      <c r="G726" s="100" t="s">
        <v>51</v>
      </c>
      <c r="H726" s="85">
        <v>42325</v>
      </c>
      <c r="I726" s="125" t="s">
        <v>60</v>
      </c>
    </row>
    <row r="727" spans="1:9" x14ac:dyDescent="0.2">
      <c r="A727" s="125" t="s">
        <v>96</v>
      </c>
      <c r="B727" s="101">
        <v>10</v>
      </c>
      <c r="C727" s="100">
        <v>0</v>
      </c>
      <c r="D727" s="100">
        <v>1</v>
      </c>
      <c r="E727" s="100">
        <v>0</v>
      </c>
      <c r="F727" s="85">
        <v>42318</v>
      </c>
      <c r="G727" s="100" t="s">
        <v>51</v>
      </c>
      <c r="H727" s="85">
        <v>42325</v>
      </c>
      <c r="I727" t="s">
        <v>96</v>
      </c>
    </row>
    <row r="728" spans="1:9" x14ac:dyDescent="0.2">
      <c r="A728" s="125" t="s">
        <v>640</v>
      </c>
      <c r="B728" s="101">
        <v>10.3</v>
      </c>
      <c r="C728" s="100">
        <v>0</v>
      </c>
      <c r="D728" s="100">
        <v>1</v>
      </c>
      <c r="E728" s="100">
        <v>0</v>
      </c>
      <c r="F728" s="85">
        <v>42318</v>
      </c>
      <c r="G728" s="100" t="s">
        <v>51</v>
      </c>
      <c r="H728" s="85">
        <v>42326</v>
      </c>
      <c r="I728" s="125" t="s">
        <v>50</v>
      </c>
    </row>
    <row r="729" spans="1:9" x14ac:dyDescent="0.2">
      <c r="A729" s="125" t="s">
        <v>52</v>
      </c>
      <c r="B729" s="101">
        <v>47.3</v>
      </c>
      <c r="C729" s="100">
        <v>0</v>
      </c>
      <c r="D729" s="100">
        <v>1</v>
      </c>
      <c r="E729" s="100">
        <v>0</v>
      </c>
      <c r="F729" s="85">
        <v>42318</v>
      </c>
      <c r="G729" s="100" t="s">
        <v>51</v>
      </c>
      <c r="H729" s="85">
        <v>42327</v>
      </c>
      <c r="I729" s="125" t="s">
        <v>52</v>
      </c>
    </row>
    <row r="730" spans="1:9" x14ac:dyDescent="0.2">
      <c r="A730" s="125" t="s">
        <v>933</v>
      </c>
      <c r="B730" s="101">
        <v>52.46</v>
      </c>
      <c r="C730" s="100">
        <v>0</v>
      </c>
      <c r="D730" s="100">
        <v>1</v>
      </c>
      <c r="E730" s="100">
        <v>0</v>
      </c>
      <c r="F730" s="85">
        <v>42318</v>
      </c>
      <c r="G730" s="100" t="s">
        <v>51</v>
      </c>
      <c r="H730" s="85">
        <v>42328</v>
      </c>
      <c r="I730" s="125" t="s">
        <v>52</v>
      </c>
    </row>
    <row r="731" spans="1:9" x14ac:dyDescent="0.2">
      <c r="A731" s="125" t="s">
        <v>1118</v>
      </c>
      <c r="B731" s="101">
        <v>51.66</v>
      </c>
      <c r="C731" s="100">
        <v>0</v>
      </c>
      <c r="D731" s="100">
        <v>1</v>
      </c>
      <c r="E731" s="100">
        <v>0</v>
      </c>
      <c r="F731" s="85">
        <v>42318</v>
      </c>
      <c r="G731" s="100" t="s">
        <v>51</v>
      </c>
      <c r="H731" s="85">
        <v>42328</v>
      </c>
      <c r="I731" s="125" t="s">
        <v>52</v>
      </c>
    </row>
    <row r="732" spans="1:9" x14ac:dyDescent="0.2">
      <c r="A732" s="125" t="s">
        <v>116</v>
      </c>
      <c r="B732" s="101">
        <v>20</v>
      </c>
      <c r="C732" s="100">
        <v>0</v>
      </c>
      <c r="D732" s="100">
        <v>1</v>
      </c>
      <c r="E732" s="100">
        <v>0</v>
      </c>
      <c r="F732" s="85">
        <v>42318</v>
      </c>
      <c r="G732" s="100" t="s">
        <v>49</v>
      </c>
      <c r="H732" s="85">
        <v>42329</v>
      </c>
      <c r="I732" s="125" t="s">
        <v>344</v>
      </c>
    </row>
    <row r="733" spans="1:9" x14ac:dyDescent="0.2">
      <c r="A733" s="125" t="s">
        <v>1119</v>
      </c>
      <c r="B733" s="101">
        <v>30</v>
      </c>
      <c r="C733" s="100">
        <v>0</v>
      </c>
      <c r="D733" s="100">
        <v>1</v>
      </c>
      <c r="E733" s="100">
        <v>0</v>
      </c>
      <c r="F733" s="85">
        <v>42318</v>
      </c>
      <c r="G733" s="100" t="s">
        <v>49</v>
      </c>
      <c r="H733" s="85">
        <v>42329</v>
      </c>
      <c r="I733" s="159" t="s">
        <v>107</v>
      </c>
    </row>
    <row r="734" spans="1:9" x14ac:dyDescent="0.2">
      <c r="A734" s="125" t="s">
        <v>52</v>
      </c>
      <c r="B734" s="101">
        <v>21.34</v>
      </c>
      <c r="C734" s="100">
        <v>0</v>
      </c>
      <c r="D734" s="100">
        <v>1</v>
      </c>
      <c r="E734" s="100">
        <v>0</v>
      </c>
      <c r="F734" s="85">
        <v>42318</v>
      </c>
      <c r="G734" s="100" t="s">
        <v>49</v>
      </c>
      <c r="H734" s="85">
        <v>42329</v>
      </c>
      <c r="I734" s="125" t="s">
        <v>52</v>
      </c>
    </row>
    <row r="735" spans="1:9" x14ac:dyDescent="0.2">
      <c r="A735" s="125" t="s">
        <v>391</v>
      </c>
      <c r="B735" s="101">
        <v>50</v>
      </c>
      <c r="C735" s="100">
        <v>0</v>
      </c>
      <c r="D735" s="100">
        <v>1</v>
      </c>
      <c r="E735" s="100">
        <v>0</v>
      </c>
      <c r="F735" s="85">
        <v>42318</v>
      </c>
      <c r="G735" s="100" t="s">
        <v>49</v>
      </c>
      <c r="H735" s="85">
        <v>42329</v>
      </c>
      <c r="I735" s="125" t="s">
        <v>391</v>
      </c>
    </row>
    <row r="736" spans="1:9" x14ac:dyDescent="0.2">
      <c r="A736" s="125" t="s">
        <v>391</v>
      </c>
      <c r="B736" s="101">
        <v>50</v>
      </c>
      <c r="C736" s="100">
        <v>0</v>
      </c>
      <c r="D736" s="100">
        <v>1</v>
      </c>
      <c r="E736" s="100">
        <v>0</v>
      </c>
      <c r="F736" s="85">
        <v>42318</v>
      </c>
      <c r="G736" s="100" t="s">
        <v>49</v>
      </c>
      <c r="H736" s="85">
        <v>42330</v>
      </c>
      <c r="I736" s="125" t="s">
        <v>391</v>
      </c>
    </row>
    <row r="737" spans="1:10" x14ac:dyDescent="0.2">
      <c r="A737" s="125" t="s">
        <v>1123</v>
      </c>
      <c r="B737" s="101">
        <v>50</v>
      </c>
      <c r="C737" s="100">
        <v>0</v>
      </c>
      <c r="D737" s="100">
        <v>1</v>
      </c>
      <c r="E737" s="100">
        <v>0</v>
      </c>
      <c r="F737" s="85">
        <v>42318</v>
      </c>
      <c r="G737" s="100" t="s">
        <v>49</v>
      </c>
      <c r="H737" s="85">
        <v>42330</v>
      </c>
      <c r="I737" s="125" t="s">
        <v>203</v>
      </c>
    </row>
    <row r="738" spans="1:10" x14ac:dyDescent="0.2">
      <c r="A738" s="125" t="s">
        <v>1124</v>
      </c>
      <c r="B738" s="101">
        <v>100</v>
      </c>
      <c r="C738" s="100">
        <v>0</v>
      </c>
      <c r="D738" s="100">
        <v>1</v>
      </c>
      <c r="E738" s="100">
        <v>0</v>
      </c>
      <c r="F738" s="85">
        <v>42318</v>
      </c>
      <c r="G738" s="100" t="s">
        <v>49</v>
      </c>
      <c r="H738" s="85">
        <v>42330</v>
      </c>
      <c r="I738" s="125" t="s">
        <v>344</v>
      </c>
    </row>
    <row r="739" spans="1:10" x14ac:dyDescent="0.2">
      <c r="A739" s="125" t="s">
        <v>52</v>
      </c>
      <c r="B739" s="101">
        <v>289.81</v>
      </c>
      <c r="C739" s="100">
        <v>0</v>
      </c>
      <c r="D739" s="100">
        <v>1</v>
      </c>
      <c r="E739" s="100">
        <v>0</v>
      </c>
      <c r="F739" s="85">
        <v>42318</v>
      </c>
      <c r="G739" s="100" t="s">
        <v>54</v>
      </c>
      <c r="H739" s="85">
        <v>42332</v>
      </c>
      <c r="I739" s="125" t="s">
        <v>52</v>
      </c>
    </row>
    <row r="740" spans="1:10" x14ac:dyDescent="0.2">
      <c r="A740" s="125" t="s">
        <v>1056</v>
      </c>
      <c r="B740" s="101">
        <v>11</v>
      </c>
      <c r="C740" s="100">
        <v>0</v>
      </c>
      <c r="D740" s="100">
        <v>1</v>
      </c>
      <c r="E740" s="100">
        <v>0</v>
      </c>
      <c r="F740" s="85">
        <v>42318</v>
      </c>
      <c r="G740" s="100" t="s">
        <v>54</v>
      </c>
      <c r="H740" s="85">
        <v>42332</v>
      </c>
      <c r="I740" s="125" t="s">
        <v>60</v>
      </c>
    </row>
    <row r="741" spans="1:10" x14ac:dyDescent="0.2">
      <c r="A741" s="125" t="s">
        <v>1125</v>
      </c>
      <c r="B741" s="101">
        <v>350</v>
      </c>
      <c r="C741" s="100">
        <v>0</v>
      </c>
      <c r="D741" s="100">
        <v>1</v>
      </c>
      <c r="E741" s="100">
        <v>0</v>
      </c>
      <c r="F741" s="85">
        <v>42318</v>
      </c>
      <c r="G741" s="100" t="s">
        <v>54</v>
      </c>
      <c r="H741" s="85">
        <v>42332</v>
      </c>
      <c r="I741" s="125" t="s">
        <v>1186</v>
      </c>
    </row>
    <row r="742" spans="1:10" x14ac:dyDescent="0.2">
      <c r="A742" s="125" t="s">
        <v>374</v>
      </c>
      <c r="B742" s="101">
        <v>4.18</v>
      </c>
      <c r="C742" s="100">
        <v>0</v>
      </c>
      <c r="D742" s="100">
        <v>1</v>
      </c>
      <c r="E742" s="100">
        <v>0</v>
      </c>
      <c r="F742" s="85">
        <v>42318</v>
      </c>
      <c r="G742" s="100" t="s">
        <v>54</v>
      </c>
      <c r="H742" s="85">
        <v>42327</v>
      </c>
      <c r="I742" s="125" t="s">
        <v>50</v>
      </c>
    </row>
    <row r="743" spans="1:10" x14ac:dyDescent="0.2">
      <c r="A743" s="125" t="s">
        <v>374</v>
      </c>
      <c r="B743" s="101">
        <v>6.28</v>
      </c>
      <c r="C743" s="100">
        <v>0</v>
      </c>
      <c r="D743" s="100">
        <v>1</v>
      </c>
      <c r="E743" s="100">
        <v>0</v>
      </c>
      <c r="F743" s="85">
        <v>42318</v>
      </c>
      <c r="G743" s="100" t="s">
        <v>54</v>
      </c>
      <c r="H743" s="85">
        <v>42332</v>
      </c>
      <c r="I743" s="125" t="s">
        <v>50</v>
      </c>
    </row>
    <row r="744" spans="1:10" x14ac:dyDescent="0.2">
      <c r="A744" s="125" t="s">
        <v>1131</v>
      </c>
      <c r="B744" s="101">
        <v>30</v>
      </c>
      <c r="C744" s="100">
        <v>0</v>
      </c>
      <c r="D744" s="100">
        <v>1</v>
      </c>
      <c r="E744" s="100">
        <v>0</v>
      </c>
      <c r="F744" s="85">
        <v>42318</v>
      </c>
      <c r="G744" s="159" t="s">
        <v>49</v>
      </c>
      <c r="H744" s="85">
        <v>42330</v>
      </c>
      <c r="I744" s="125" t="s">
        <v>50</v>
      </c>
    </row>
    <row r="745" spans="1:10" x14ac:dyDescent="0.2">
      <c r="A745" s="125" t="s">
        <v>1132</v>
      </c>
      <c r="B745" s="101">
        <v>11</v>
      </c>
      <c r="C745" s="100">
        <v>0</v>
      </c>
      <c r="D745" s="100">
        <v>1</v>
      </c>
      <c r="E745" s="100">
        <v>0</v>
      </c>
      <c r="F745" s="85">
        <v>42318</v>
      </c>
      <c r="G745" s="100" t="s">
        <v>54</v>
      </c>
      <c r="H745" s="85">
        <v>42328</v>
      </c>
      <c r="I745" s="125" t="s">
        <v>344</v>
      </c>
    </row>
    <row r="746" spans="1:10" x14ac:dyDescent="0.2">
      <c r="A746" s="125" t="s">
        <v>1126</v>
      </c>
      <c r="B746" s="101">
        <v>74</v>
      </c>
      <c r="C746" s="100">
        <v>0</v>
      </c>
      <c r="D746" s="100">
        <v>1</v>
      </c>
      <c r="E746" s="100">
        <v>0</v>
      </c>
      <c r="F746" s="85">
        <v>42318</v>
      </c>
      <c r="G746" s="100" t="s">
        <v>54</v>
      </c>
      <c r="H746" s="85">
        <v>42331</v>
      </c>
      <c r="I746" s="125" t="s">
        <v>860</v>
      </c>
    </row>
    <row r="747" spans="1:10" x14ac:dyDescent="0.2">
      <c r="A747" s="125" t="s">
        <v>1127</v>
      </c>
      <c r="B747" s="101">
        <v>272.31</v>
      </c>
      <c r="C747" s="100">
        <v>0</v>
      </c>
      <c r="D747" s="100">
        <v>1</v>
      </c>
      <c r="E747" s="100">
        <v>0</v>
      </c>
      <c r="F747" s="85">
        <v>42318</v>
      </c>
      <c r="G747" s="100" t="s">
        <v>54</v>
      </c>
      <c r="H747" s="85">
        <v>42334</v>
      </c>
      <c r="I747" s="125" t="s">
        <v>346</v>
      </c>
      <c r="J747" s="101">
        <f>283.42-14.17+3.06</f>
        <v>272.31</v>
      </c>
    </row>
    <row r="748" spans="1:10" x14ac:dyDescent="0.2">
      <c r="A748" s="125" t="s">
        <v>1128</v>
      </c>
      <c r="B748" s="101">
        <v>66.53</v>
      </c>
      <c r="C748" s="100">
        <v>0</v>
      </c>
      <c r="D748" s="100">
        <v>1</v>
      </c>
      <c r="E748" s="100">
        <v>0</v>
      </c>
      <c r="F748" s="85">
        <v>42318</v>
      </c>
      <c r="G748" s="100" t="s">
        <v>54</v>
      </c>
      <c r="H748" s="85">
        <v>42334</v>
      </c>
      <c r="I748" s="125" t="s">
        <v>346</v>
      </c>
      <c r="J748" s="101">
        <f>68.77-3.44+1.2</f>
        <v>66.53</v>
      </c>
    </row>
    <row r="749" spans="1:10" x14ac:dyDescent="0.2">
      <c r="A749" s="125" t="s">
        <v>1129</v>
      </c>
      <c r="B749" s="101">
        <v>83.67</v>
      </c>
      <c r="C749" s="100">
        <v>0</v>
      </c>
      <c r="D749" s="100">
        <v>1</v>
      </c>
      <c r="E749" s="100">
        <v>0</v>
      </c>
      <c r="F749" s="85">
        <v>42318</v>
      </c>
      <c r="G749" s="100" t="s">
        <v>54</v>
      </c>
      <c r="H749" s="85">
        <v>42334</v>
      </c>
      <c r="I749" s="125" t="s">
        <v>344</v>
      </c>
      <c r="J749" s="101">
        <f>87.3-4.36+0.73</f>
        <v>83.67</v>
      </c>
    </row>
    <row r="750" spans="1:10" x14ac:dyDescent="0.2">
      <c r="A750" s="125" t="s">
        <v>1130</v>
      </c>
      <c r="B750" s="101">
        <v>104.95</v>
      </c>
      <c r="C750" s="100">
        <v>0</v>
      </c>
      <c r="D750" s="100">
        <v>1</v>
      </c>
      <c r="E750" s="100">
        <v>0</v>
      </c>
      <c r="F750" s="85">
        <v>42318</v>
      </c>
      <c r="G750" s="100" t="s">
        <v>54</v>
      </c>
      <c r="H750" s="85">
        <v>42334</v>
      </c>
      <c r="I750" s="125" t="s">
        <v>346</v>
      </c>
      <c r="J750" s="101">
        <f>105.22-5.26+4.99</f>
        <v>104.94999999999999</v>
      </c>
    </row>
    <row r="751" spans="1:10" x14ac:dyDescent="0.2">
      <c r="A751" s="125" t="s">
        <v>48</v>
      </c>
      <c r="B751" s="101">
        <v>39</v>
      </c>
      <c r="C751" s="100">
        <v>0</v>
      </c>
      <c r="D751" s="100">
        <v>1</v>
      </c>
      <c r="E751" s="100">
        <v>0</v>
      </c>
      <c r="F751" s="85">
        <v>42318</v>
      </c>
      <c r="G751" s="100" t="s">
        <v>54</v>
      </c>
      <c r="H751" s="85">
        <v>42332</v>
      </c>
      <c r="I751" s="125" t="s">
        <v>48</v>
      </c>
    </row>
    <row r="752" spans="1:10" x14ac:dyDescent="0.2">
      <c r="A752" s="125" t="s">
        <v>1135</v>
      </c>
      <c r="B752" s="101">
        <v>20</v>
      </c>
      <c r="C752" s="100">
        <v>0</v>
      </c>
      <c r="D752" s="100">
        <v>1</v>
      </c>
      <c r="E752" s="100">
        <v>0</v>
      </c>
      <c r="F752" s="85">
        <v>42318</v>
      </c>
      <c r="G752" s="100" t="s">
        <v>49</v>
      </c>
      <c r="H752" s="85">
        <v>42336</v>
      </c>
      <c r="I752" s="125" t="s">
        <v>60</v>
      </c>
    </row>
    <row r="753" spans="1:9" x14ac:dyDescent="0.2">
      <c r="A753" s="125" t="s">
        <v>48</v>
      </c>
      <c r="B753" s="101">
        <v>50</v>
      </c>
      <c r="C753" s="100">
        <v>0</v>
      </c>
      <c r="D753" s="100">
        <v>1</v>
      </c>
      <c r="E753" s="100">
        <v>0</v>
      </c>
      <c r="F753" s="85">
        <v>42318</v>
      </c>
      <c r="G753" s="100" t="s">
        <v>55</v>
      </c>
      <c r="H753" s="85">
        <v>42338</v>
      </c>
      <c r="I753" s="125" t="s">
        <v>48</v>
      </c>
    </row>
    <row r="754" spans="1:9" x14ac:dyDescent="0.2">
      <c r="A754" s="125" t="s">
        <v>52</v>
      </c>
      <c r="B754" s="101">
        <v>142.24</v>
      </c>
      <c r="C754" s="100">
        <v>0</v>
      </c>
      <c r="D754" s="100">
        <v>1</v>
      </c>
      <c r="E754" s="100">
        <v>0</v>
      </c>
      <c r="F754" s="85">
        <v>42318</v>
      </c>
      <c r="G754" s="100" t="s">
        <v>55</v>
      </c>
      <c r="H754" s="85">
        <v>42338</v>
      </c>
      <c r="I754" s="125" t="s">
        <v>52</v>
      </c>
    </row>
    <row r="755" spans="1:9" x14ac:dyDescent="0.2">
      <c r="A755" s="125" t="s">
        <v>374</v>
      </c>
      <c r="B755" s="101">
        <v>6.9</v>
      </c>
      <c r="C755" s="100">
        <v>0</v>
      </c>
      <c r="D755" s="100">
        <v>1</v>
      </c>
      <c r="E755" s="100">
        <v>0</v>
      </c>
      <c r="F755" s="85">
        <v>42318</v>
      </c>
      <c r="G755" s="100" t="s">
        <v>55</v>
      </c>
      <c r="H755" s="85">
        <v>42338</v>
      </c>
      <c r="I755" s="125" t="s">
        <v>50</v>
      </c>
    </row>
    <row r="756" spans="1:9" x14ac:dyDescent="0.2">
      <c r="A756" s="125" t="s">
        <v>374</v>
      </c>
      <c r="B756" s="101">
        <v>6</v>
      </c>
      <c r="C756" s="100">
        <v>0</v>
      </c>
      <c r="D756" s="100">
        <v>1</v>
      </c>
      <c r="E756" s="100">
        <v>0</v>
      </c>
      <c r="F756" s="85">
        <v>42318</v>
      </c>
      <c r="G756" s="100" t="s">
        <v>55</v>
      </c>
      <c r="H756" s="85">
        <v>42339</v>
      </c>
      <c r="I756" s="125" t="s">
        <v>50</v>
      </c>
    </row>
    <row r="757" spans="1:9" x14ac:dyDescent="0.2">
      <c r="A757" s="125" t="s">
        <v>586</v>
      </c>
      <c r="B757" s="101">
        <v>10.98</v>
      </c>
      <c r="C757" s="100">
        <v>0</v>
      </c>
      <c r="D757" s="100">
        <v>1</v>
      </c>
      <c r="E757" s="100">
        <v>0</v>
      </c>
      <c r="F757" s="85">
        <v>42318</v>
      </c>
      <c r="G757" s="100" t="s">
        <v>55</v>
      </c>
      <c r="H757" s="85">
        <v>42339</v>
      </c>
      <c r="I757" s="125" t="s">
        <v>50</v>
      </c>
    </row>
    <row r="758" spans="1:9" x14ac:dyDescent="0.2">
      <c r="A758" s="125" t="s">
        <v>374</v>
      </c>
      <c r="B758" s="101">
        <v>8.26</v>
      </c>
      <c r="C758" s="100">
        <v>0</v>
      </c>
      <c r="D758" s="100">
        <v>1</v>
      </c>
      <c r="E758" s="100">
        <v>0</v>
      </c>
      <c r="F758" s="85">
        <v>42318</v>
      </c>
      <c r="G758" s="100" t="s">
        <v>55</v>
      </c>
      <c r="H758" s="85">
        <v>42340</v>
      </c>
      <c r="I758" s="125" t="s">
        <v>50</v>
      </c>
    </row>
    <row r="759" spans="1:9" x14ac:dyDescent="0.2">
      <c r="A759" s="125" t="s">
        <v>1145</v>
      </c>
      <c r="B759" s="101">
        <v>32.18</v>
      </c>
      <c r="C759" s="100">
        <v>0</v>
      </c>
      <c r="D759" s="100">
        <v>1</v>
      </c>
      <c r="E759" s="100">
        <v>0</v>
      </c>
      <c r="F759" s="85">
        <v>42318</v>
      </c>
      <c r="G759" s="100" t="s">
        <v>55</v>
      </c>
      <c r="H759" s="85">
        <v>42340</v>
      </c>
      <c r="I759" s="125" t="s">
        <v>50</v>
      </c>
    </row>
    <row r="760" spans="1:9" x14ac:dyDescent="0.2">
      <c r="A760" s="125" t="s">
        <v>96</v>
      </c>
      <c r="B760" s="101">
        <v>15</v>
      </c>
      <c r="C760" s="100">
        <v>0</v>
      </c>
      <c r="D760" s="100">
        <v>1</v>
      </c>
      <c r="E760" s="100">
        <v>0</v>
      </c>
      <c r="F760" s="85">
        <v>42318</v>
      </c>
      <c r="G760" s="100" t="s">
        <v>55</v>
      </c>
      <c r="H760" s="85">
        <v>42340</v>
      </c>
      <c r="I760" t="s">
        <v>96</v>
      </c>
    </row>
    <row r="761" spans="1:9" x14ac:dyDescent="0.2">
      <c r="A761" s="125" t="s">
        <v>374</v>
      </c>
      <c r="B761" s="101">
        <v>2.99</v>
      </c>
      <c r="C761" s="100">
        <v>0</v>
      </c>
      <c r="D761" s="100">
        <v>1</v>
      </c>
      <c r="E761" s="100">
        <v>0</v>
      </c>
      <c r="F761" s="85">
        <v>42318</v>
      </c>
      <c r="G761" s="100" t="s">
        <v>55</v>
      </c>
      <c r="H761" s="85">
        <v>42341</v>
      </c>
      <c r="I761" s="125" t="s">
        <v>50</v>
      </c>
    </row>
    <row r="762" spans="1:9" x14ac:dyDescent="0.2">
      <c r="A762" s="125" t="s">
        <v>1142</v>
      </c>
      <c r="B762" s="101">
        <v>47.63</v>
      </c>
      <c r="C762" s="100">
        <v>0</v>
      </c>
      <c r="D762" s="100">
        <v>1</v>
      </c>
      <c r="E762" s="100">
        <v>0</v>
      </c>
      <c r="F762" s="85">
        <v>42318</v>
      </c>
      <c r="G762" s="100" t="s">
        <v>55</v>
      </c>
      <c r="H762" s="85">
        <v>42341</v>
      </c>
      <c r="I762" s="125" t="s">
        <v>96</v>
      </c>
    </row>
    <row r="763" spans="1:9" x14ac:dyDescent="0.2">
      <c r="A763" s="125" t="s">
        <v>1143</v>
      </c>
      <c r="B763" s="101">
        <v>9</v>
      </c>
      <c r="C763" s="100">
        <v>0</v>
      </c>
      <c r="D763" s="100">
        <v>1</v>
      </c>
      <c r="E763" s="100">
        <v>0</v>
      </c>
      <c r="F763" s="85">
        <v>42318</v>
      </c>
      <c r="G763" s="100" t="s">
        <v>55</v>
      </c>
      <c r="H763" s="85">
        <v>42341</v>
      </c>
      <c r="I763" s="125" t="s">
        <v>50</v>
      </c>
    </row>
    <row r="764" spans="1:9" x14ac:dyDescent="0.2">
      <c r="A764" s="125" t="s">
        <v>190</v>
      </c>
      <c r="B764" s="101">
        <v>24.12</v>
      </c>
      <c r="C764" s="100">
        <v>0</v>
      </c>
      <c r="D764" s="100">
        <v>1</v>
      </c>
      <c r="E764" s="100">
        <v>0</v>
      </c>
      <c r="F764" s="85">
        <v>42318</v>
      </c>
      <c r="G764" s="100" t="s">
        <v>55</v>
      </c>
      <c r="H764" s="85">
        <v>42342</v>
      </c>
      <c r="I764" s="125" t="s">
        <v>190</v>
      </c>
    </row>
    <row r="765" spans="1:9" x14ac:dyDescent="0.2">
      <c r="A765" s="125" t="s">
        <v>374</v>
      </c>
      <c r="B765" s="101">
        <v>8.77</v>
      </c>
      <c r="C765" s="100">
        <v>0</v>
      </c>
      <c r="D765" s="100">
        <v>1</v>
      </c>
      <c r="E765" s="100">
        <v>0</v>
      </c>
      <c r="F765" s="85">
        <v>42318</v>
      </c>
      <c r="G765" s="100" t="s">
        <v>55</v>
      </c>
      <c r="H765" s="85">
        <v>42342</v>
      </c>
      <c r="I765" s="125" t="s">
        <v>50</v>
      </c>
    </row>
    <row r="766" spans="1:9" x14ac:dyDescent="0.2">
      <c r="A766" s="125" t="s">
        <v>44</v>
      </c>
      <c r="B766" s="101">
        <v>30</v>
      </c>
      <c r="C766" s="100">
        <v>0</v>
      </c>
      <c r="D766" s="100">
        <v>1</v>
      </c>
      <c r="E766" s="100">
        <v>0</v>
      </c>
      <c r="F766" s="85">
        <v>42318</v>
      </c>
      <c r="G766" s="100" t="s">
        <v>49</v>
      </c>
      <c r="H766" s="85">
        <v>42343</v>
      </c>
      <c r="I766" s="125" t="s">
        <v>60</v>
      </c>
    </row>
    <row r="767" spans="1:9" x14ac:dyDescent="0.2">
      <c r="A767" s="125" t="s">
        <v>374</v>
      </c>
      <c r="B767" s="101">
        <v>4</v>
      </c>
      <c r="C767" s="100">
        <v>0</v>
      </c>
      <c r="D767" s="100">
        <v>1</v>
      </c>
      <c r="E767" s="100">
        <v>0</v>
      </c>
      <c r="F767" s="85">
        <v>42318</v>
      </c>
      <c r="G767" s="100" t="s">
        <v>49</v>
      </c>
      <c r="H767" s="85">
        <v>42343</v>
      </c>
      <c r="I767" s="125" t="s">
        <v>50</v>
      </c>
    </row>
    <row r="768" spans="1:9" x14ac:dyDescent="0.2">
      <c r="A768" s="125" t="s">
        <v>96</v>
      </c>
      <c r="B768" s="101">
        <v>33.799999999999997</v>
      </c>
      <c r="C768" s="100">
        <v>0</v>
      </c>
      <c r="D768" s="100">
        <v>1</v>
      </c>
      <c r="E768" s="100">
        <v>0</v>
      </c>
      <c r="F768" s="85">
        <v>42318</v>
      </c>
      <c r="G768" s="100" t="s">
        <v>49</v>
      </c>
      <c r="H768" s="85">
        <v>42343</v>
      </c>
      <c r="I768" t="s">
        <v>96</v>
      </c>
    </row>
    <row r="769" spans="1:9" x14ac:dyDescent="0.2">
      <c r="A769" s="125" t="s">
        <v>1144</v>
      </c>
      <c r="B769" s="101">
        <v>10</v>
      </c>
      <c r="C769" s="100">
        <v>0</v>
      </c>
      <c r="D769" s="100">
        <v>1</v>
      </c>
      <c r="E769" s="100">
        <v>0</v>
      </c>
      <c r="F769" s="85">
        <v>42318</v>
      </c>
      <c r="G769" s="100" t="s">
        <v>49</v>
      </c>
      <c r="H769" s="85">
        <v>42343</v>
      </c>
      <c r="I769" s="125" t="s">
        <v>50</v>
      </c>
    </row>
    <row r="770" spans="1:9" x14ac:dyDescent="0.2">
      <c r="A770" s="125" t="s">
        <v>398</v>
      </c>
      <c r="B770" s="101">
        <v>70</v>
      </c>
      <c r="C770" s="100">
        <v>0</v>
      </c>
      <c r="D770" s="100">
        <v>1</v>
      </c>
      <c r="E770" s="100">
        <v>0</v>
      </c>
      <c r="F770" s="85">
        <v>42318</v>
      </c>
      <c r="G770" s="100" t="s">
        <v>49</v>
      </c>
      <c r="H770" s="85">
        <v>42344</v>
      </c>
      <c r="I770" s="125" t="s">
        <v>398</v>
      </c>
    </row>
    <row r="771" spans="1:9" x14ac:dyDescent="0.2">
      <c r="A771" s="125" t="s">
        <v>391</v>
      </c>
      <c r="B771" s="101">
        <v>20</v>
      </c>
      <c r="C771" s="100">
        <v>0</v>
      </c>
      <c r="D771" s="100">
        <v>1</v>
      </c>
      <c r="E771" s="100">
        <v>0</v>
      </c>
      <c r="F771" s="85">
        <v>42318</v>
      </c>
      <c r="G771" s="100" t="s">
        <v>49</v>
      </c>
      <c r="H771" s="85">
        <v>42344</v>
      </c>
      <c r="I771" s="125" t="s">
        <v>391</v>
      </c>
    </row>
    <row r="772" spans="1:9" x14ac:dyDescent="0.2">
      <c r="A772" s="125" t="s">
        <v>391</v>
      </c>
      <c r="B772" s="101">
        <v>50</v>
      </c>
      <c r="C772" s="100">
        <v>0</v>
      </c>
      <c r="D772" s="100">
        <v>1</v>
      </c>
      <c r="E772" s="100">
        <v>0</v>
      </c>
      <c r="F772" s="85">
        <v>42318</v>
      </c>
      <c r="G772" s="100" t="s">
        <v>49</v>
      </c>
      <c r="H772" s="85">
        <v>42344</v>
      </c>
      <c r="I772" s="125" t="s">
        <v>391</v>
      </c>
    </row>
    <row r="773" spans="1:9" x14ac:dyDescent="0.2">
      <c r="A773" s="125" t="s">
        <v>1167</v>
      </c>
      <c r="B773" s="101">
        <v>20</v>
      </c>
      <c r="C773" s="100">
        <v>0</v>
      </c>
      <c r="D773" s="100">
        <v>1</v>
      </c>
      <c r="E773" s="100">
        <v>0</v>
      </c>
      <c r="F773" s="85">
        <v>42318</v>
      </c>
      <c r="G773" s="100" t="s">
        <v>49</v>
      </c>
      <c r="H773" s="85">
        <v>42344</v>
      </c>
      <c r="I773" s="125" t="s">
        <v>50</v>
      </c>
    </row>
    <row r="774" spans="1:9" x14ac:dyDescent="0.2">
      <c r="A774" s="125" t="s">
        <v>52</v>
      </c>
      <c r="B774" s="101">
        <v>47.93</v>
      </c>
      <c r="C774" s="100">
        <v>0</v>
      </c>
      <c r="D774" s="100">
        <v>1</v>
      </c>
      <c r="E774" s="100">
        <v>0</v>
      </c>
      <c r="F774" s="85">
        <v>42318</v>
      </c>
      <c r="G774" s="100" t="s">
        <v>49</v>
      </c>
      <c r="H774" s="85">
        <v>42344</v>
      </c>
      <c r="I774" s="125" t="s">
        <v>52</v>
      </c>
    </row>
    <row r="775" spans="1:9" x14ac:dyDescent="0.2">
      <c r="A775" s="125" t="s">
        <v>190</v>
      </c>
      <c r="B775" s="101">
        <v>15.01</v>
      </c>
      <c r="C775" s="100">
        <v>0</v>
      </c>
      <c r="D775" s="100">
        <v>1</v>
      </c>
      <c r="E775" s="100">
        <v>0</v>
      </c>
      <c r="F775" s="85">
        <v>42318</v>
      </c>
      <c r="G775" s="100" t="s">
        <v>180</v>
      </c>
      <c r="H775" s="85">
        <v>42346</v>
      </c>
      <c r="I775" s="125" t="s">
        <v>190</v>
      </c>
    </row>
    <row r="776" spans="1:9" x14ac:dyDescent="0.2">
      <c r="A776" s="125" t="s">
        <v>1169</v>
      </c>
      <c r="B776" s="101">
        <v>61.23</v>
      </c>
      <c r="C776" s="100">
        <v>0</v>
      </c>
      <c r="D776" s="100">
        <v>1</v>
      </c>
      <c r="E776" s="100">
        <v>0</v>
      </c>
      <c r="F776" s="85">
        <v>42318</v>
      </c>
      <c r="G776" s="100" t="s">
        <v>180</v>
      </c>
      <c r="H776" s="85">
        <v>42345</v>
      </c>
      <c r="I776" s="125" t="s">
        <v>52</v>
      </c>
    </row>
    <row r="777" spans="1:9" x14ac:dyDescent="0.2">
      <c r="A777" s="125" t="s">
        <v>48</v>
      </c>
      <c r="B777" s="101">
        <v>40</v>
      </c>
      <c r="C777" s="100">
        <v>0</v>
      </c>
      <c r="D777" s="100">
        <v>1</v>
      </c>
      <c r="E777" s="100">
        <v>0</v>
      </c>
      <c r="F777" s="85">
        <v>42318</v>
      </c>
      <c r="G777" s="100" t="s">
        <v>180</v>
      </c>
      <c r="H777" s="85">
        <v>42344</v>
      </c>
      <c r="I777" s="125" t="s">
        <v>48</v>
      </c>
    </row>
    <row r="778" spans="1:9" x14ac:dyDescent="0.2">
      <c r="A778" s="105" t="s">
        <v>40</v>
      </c>
      <c r="B778" s="106">
        <v>5.32</v>
      </c>
      <c r="C778" s="105">
        <v>1</v>
      </c>
      <c r="D778" s="105">
        <v>0</v>
      </c>
      <c r="E778" s="105">
        <v>0</v>
      </c>
      <c r="F778" s="107">
        <v>42348</v>
      </c>
      <c r="G778" s="105" t="s">
        <v>47</v>
      </c>
      <c r="H778" s="107">
        <v>42348</v>
      </c>
      <c r="I778" s="105" t="s">
        <v>345</v>
      </c>
    </row>
    <row r="779" spans="1:9" x14ac:dyDescent="0.2">
      <c r="A779" s="105" t="s">
        <v>2</v>
      </c>
      <c r="B779" s="106">
        <v>50</v>
      </c>
      <c r="C779" s="105">
        <v>1</v>
      </c>
      <c r="D779" s="105">
        <v>0</v>
      </c>
      <c r="E779" s="105">
        <v>0</v>
      </c>
      <c r="F779" s="107">
        <v>42348</v>
      </c>
      <c r="G779" s="105" t="s">
        <v>47</v>
      </c>
      <c r="H779" s="107">
        <v>42348</v>
      </c>
      <c r="I779" s="105" t="s">
        <v>1183</v>
      </c>
    </row>
    <row r="780" spans="1:9" x14ac:dyDescent="0.2">
      <c r="A780" s="105" t="s">
        <v>38</v>
      </c>
      <c r="B780" s="106">
        <v>57</v>
      </c>
      <c r="C780" s="105">
        <v>1</v>
      </c>
      <c r="D780" s="105">
        <v>0</v>
      </c>
      <c r="E780" s="105">
        <v>0</v>
      </c>
      <c r="F780" s="107">
        <v>42348</v>
      </c>
      <c r="G780" s="105" t="s">
        <v>47</v>
      </c>
      <c r="H780" s="107">
        <v>42348</v>
      </c>
      <c r="I780" s="105" t="s">
        <v>345</v>
      </c>
    </row>
    <row r="781" spans="1:9" x14ac:dyDescent="0.2">
      <c r="A781" s="105" t="s">
        <v>982</v>
      </c>
      <c r="B781" s="106">
        <v>45.74</v>
      </c>
      <c r="C781" s="105">
        <v>1</v>
      </c>
      <c r="D781" s="105">
        <v>0</v>
      </c>
      <c r="E781" s="105">
        <v>0</v>
      </c>
      <c r="F781" s="107">
        <v>42348</v>
      </c>
      <c r="G781" s="105" t="s">
        <v>47</v>
      </c>
      <c r="H781" s="107">
        <v>42348</v>
      </c>
      <c r="I781" s="105" t="s">
        <v>345</v>
      </c>
    </row>
    <row r="782" spans="1:9" x14ac:dyDescent="0.2">
      <c r="A782" s="105" t="s">
        <v>1</v>
      </c>
      <c r="B782" s="105">
        <v>288.39999999999998</v>
      </c>
      <c r="C782" s="105">
        <v>1</v>
      </c>
      <c r="D782" s="105">
        <v>0</v>
      </c>
      <c r="E782" s="105">
        <v>0</v>
      </c>
      <c r="F782" s="107">
        <v>42348</v>
      </c>
      <c r="G782" s="105" t="s">
        <v>47</v>
      </c>
      <c r="H782" s="107">
        <v>42348</v>
      </c>
      <c r="I782" s="105" t="s">
        <v>346</v>
      </c>
    </row>
    <row r="783" spans="1:9" x14ac:dyDescent="0.2">
      <c r="A783" s="105" t="s">
        <v>12</v>
      </c>
      <c r="B783" s="106">
        <v>536.46</v>
      </c>
      <c r="C783" s="105">
        <v>1</v>
      </c>
      <c r="D783" s="105">
        <v>0</v>
      </c>
      <c r="E783" s="105">
        <v>0</v>
      </c>
      <c r="F783" s="107">
        <v>42348</v>
      </c>
      <c r="G783" s="105" t="s">
        <v>47</v>
      </c>
      <c r="H783" s="107">
        <v>42348</v>
      </c>
      <c r="I783" s="105" t="s">
        <v>348</v>
      </c>
    </row>
    <row r="784" spans="1:9" x14ac:dyDescent="0.2">
      <c r="A784" s="105" t="s">
        <v>25</v>
      </c>
      <c r="B784" s="106">
        <v>130</v>
      </c>
      <c r="C784" s="105">
        <v>1</v>
      </c>
      <c r="D784" s="105">
        <v>0</v>
      </c>
      <c r="E784" s="105">
        <v>0</v>
      </c>
      <c r="F784" s="107">
        <v>42348</v>
      </c>
      <c r="G784" s="105" t="s">
        <v>47</v>
      </c>
      <c r="H784" s="107">
        <v>42348</v>
      </c>
      <c r="I784" s="105" t="s">
        <v>25</v>
      </c>
    </row>
    <row r="785" spans="1:9" x14ac:dyDescent="0.2">
      <c r="A785" s="105" t="s">
        <v>1042</v>
      </c>
      <c r="B785" s="106">
        <v>139.13</v>
      </c>
      <c r="C785" s="105">
        <v>1</v>
      </c>
      <c r="D785" s="105">
        <v>0</v>
      </c>
      <c r="E785" s="105">
        <v>0</v>
      </c>
      <c r="F785" s="107">
        <v>42348</v>
      </c>
      <c r="G785" s="105" t="s">
        <v>47</v>
      </c>
      <c r="H785" s="107">
        <v>42348</v>
      </c>
      <c r="I785" s="105" t="s">
        <v>117</v>
      </c>
    </row>
    <row r="786" spans="1:9" x14ac:dyDescent="0.2">
      <c r="A786" s="105" t="s">
        <v>1043</v>
      </c>
      <c r="B786" s="106">
        <v>66.61</v>
      </c>
      <c r="C786" s="105">
        <v>1</v>
      </c>
      <c r="D786" s="105">
        <v>0</v>
      </c>
      <c r="E786" s="105">
        <v>0</v>
      </c>
      <c r="F786" s="107">
        <v>42348</v>
      </c>
      <c r="G786" s="105" t="s">
        <v>47</v>
      </c>
      <c r="H786" s="107">
        <v>42348</v>
      </c>
      <c r="I786" s="105" t="s">
        <v>117</v>
      </c>
    </row>
    <row r="787" spans="1:9" x14ac:dyDescent="0.2">
      <c r="A787" s="105" t="s">
        <v>44</v>
      </c>
      <c r="B787" s="106">
        <v>230</v>
      </c>
      <c r="C787" s="105">
        <v>1</v>
      </c>
      <c r="D787" s="105">
        <v>0</v>
      </c>
      <c r="E787" s="105">
        <v>0</v>
      </c>
      <c r="F787" s="107">
        <v>42348</v>
      </c>
      <c r="G787" s="105" t="s">
        <v>47</v>
      </c>
      <c r="H787" s="107">
        <v>42367</v>
      </c>
      <c r="I787" s="108" t="s">
        <v>60</v>
      </c>
    </row>
    <row r="788" spans="1:9" x14ac:dyDescent="0.2">
      <c r="A788" s="105" t="s">
        <v>582</v>
      </c>
      <c r="B788" s="106">
        <v>1327.41</v>
      </c>
      <c r="C788" s="105">
        <v>1</v>
      </c>
      <c r="D788" s="105">
        <v>0</v>
      </c>
      <c r="E788" s="105">
        <v>0</v>
      </c>
      <c r="F788" s="107">
        <v>42348</v>
      </c>
      <c r="G788" s="105" t="s">
        <v>47</v>
      </c>
      <c r="H788" s="107">
        <v>42348</v>
      </c>
      <c r="I788" s="108" t="s">
        <v>346</v>
      </c>
    </row>
    <row r="789" spans="1:9" x14ac:dyDescent="0.2">
      <c r="A789" s="105" t="s">
        <v>3</v>
      </c>
      <c r="B789" s="106">
        <v>83.52</v>
      </c>
      <c r="C789" s="105">
        <v>1</v>
      </c>
      <c r="D789" s="105">
        <v>0</v>
      </c>
      <c r="E789" s="105">
        <v>0</v>
      </c>
      <c r="F789" s="107">
        <v>42348</v>
      </c>
      <c r="G789" s="105" t="s">
        <v>47</v>
      </c>
      <c r="H789" s="107">
        <v>42348</v>
      </c>
      <c r="I789" s="168" t="s">
        <v>346</v>
      </c>
    </row>
    <row r="790" spans="1:9" x14ac:dyDescent="0.2">
      <c r="A790" s="12" t="s">
        <v>21</v>
      </c>
      <c r="B790" s="88">
        <f>SUMIFS(credito!$B$2:$B$402,credito!$F$2:$F$402,F790,credito!$G$2:$G$402,0)</f>
        <v>1106.26</v>
      </c>
      <c r="C790" s="12">
        <v>1</v>
      </c>
      <c r="D790" s="12">
        <v>0</v>
      </c>
      <c r="E790" s="12">
        <v>0</v>
      </c>
      <c r="F790" s="89">
        <v>42348</v>
      </c>
      <c r="G790" s="12" t="s">
        <v>51</v>
      </c>
      <c r="H790" s="89">
        <v>42355</v>
      </c>
      <c r="I790" s="12" t="s">
        <v>336</v>
      </c>
    </row>
    <row r="791" spans="1:9" x14ac:dyDescent="0.2">
      <c r="A791" s="105" t="s">
        <v>39</v>
      </c>
      <c r="B791" s="106">
        <v>45</v>
      </c>
      <c r="C791" s="105">
        <v>1</v>
      </c>
      <c r="D791" s="105">
        <v>0</v>
      </c>
      <c r="E791" s="105">
        <v>0</v>
      </c>
      <c r="F791" s="107">
        <v>42348</v>
      </c>
      <c r="G791" s="105" t="s">
        <v>55</v>
      </c>
      <c r="H791" s="107">
        <v>42373</v>
      </c>
      <c r="I791" s="105" t="s">
        <v>345</v>
      </c>
    </row>
    <row r="792" spans="1:9" x14ac:dyDescent="0.2">
      <c r="A792" s="105" t="s">
        <v>1037</v>
      </c>
      <c r="B792" s="106">
        <v>48.1</v>
      </c>
      <c r="C792" s="105">
        <v>1</v>
      </c>
      <c r="D792" s="105">
        <v>0</v>
      </c>
      <c r="E792" s="105">
        <v>0</v>
      </c>
      <c r="F792" s="107">
        <v>42348</v>
      </c>
      <c r="G792" s="105" t="s">
        <v>47</v>
      </c>
      <c r="H792" s="107">
        <v>42348</v>
      </c>
      <c r="I792" s="105" t="s">
        <v>1045</v>
      </c>
    </row>
    <row r="793" spans="1:9" x14ac:dyDescent="0.2">
      <c r="A793" s="105" t="s">
        <v>1038</v>
      </c>
      <c r="B793" s="106">
        <v>222.01</v>
      </c>
      <c r="C793" s="105">
        <v>1</v>
      </c>
      <c r="D793" s="105">
        <v>0</v>
      </c>
      <c r="E793" s="105">
        <v>0</v>
      </c>
      <c r="F793" s="107">
        <v>42348</v>
      </c>
      <c r="G793" s="105" t="s">
        <v>47</v>
      </c>
      <c r="H793" s="107">
        <v>42348</v>
      </c>
      <c r="I793" s="105" t="s">
        <v>1045</v>
      </c>
    </row>
    <row r="794" spans="1:9" x14ac:dyDescent="0.2">
      <c r="A794" s="105" t="s">
        <v>1039</v>
      </c>
      <c r="B794" s="106">
        <v>111.01</v>
      </c>
      <c r="C794" s="105">
        <v>1</v>
      </c>
      <c r="D794" s="105">
        <v>0</v>
      </c>
      <c r="E794" s="105">
        <v>0</v>
      </c>
      <c r="F794" s="107">
        <v>42348</v>
      </c>
      <c r="G794" s="105" t="s">
        <v>47</v>
      </c>
      <c r="H794" s="107">
        <v>42348</v>
      </c>
      <c r="I794" s="105" t="s">
        <v>1045</v>
      </c>
    </row>
    <row r="795" spans="1:9" x14ac:dyDescent="0.2">
      <c r="A795" s="105" t="s">
        <v>1040</v>
      </c>
      <c r="B795" s="106">
        <v>74</v>
      </c>
      <c r="C795" s="105">
        <v>1</v>
      </c>
      <c r="D795" s="105">
        <v>0</v>
      </c>
      <c r="E795" s="105">
        <v>0</v>
      </c>
      <c r="F795" s="107">
        <v>42348</v>
      </c>
      <c r="G795" s="105" t="s">
        <v>47</v>
      </c>
      <c r="H795" s="107">
        <v>42348</v>
      </c>
      <c r="I795" s="105" t="s">
        <v>1045</v>
      </c>
    </row>
    <row r="796" spans="1:9" x14ac:dyDescent="0.2">
      <c r="A796" s="105" t="s">
        <v>1034</v>
      </c>
      <c r="B796" s="106">
        <v>100</v>
      </c>
      <c r="C796" s="105">
        <v>1</v>
      </c>
      <c r="D796" s="105">
        <v>0</v>
      </c>
      <c r="E796" s="105">
        <v>0</v>
      </c>
      <c r="F796" s="107">
        <v>42348</v>
      </c>
      <c r="G796" s="105" t="s">
        <v>51</v>
      </c>
      <c r="H796" s="107">
        <v>42348</v>
      </c>
      <c r="I796" s="105" t="s">
        <v>391</v>
      </c>
    </row>
    <row r="797" spans="1:9" x14ac:dyDescent="0.2">
      <c r="A797" s="105" t="s">
        <v>1035</v>
      </c>
      <c r="B797" s="106">
        <v>740</v>
      </c>
      <c r="C797" s="105">
        <v>1</v>
      </c>
      <c r="D797" s="105">
        <v>0</v>
      </c>
      <c r="E797" s="105">
        <v>1</v>
      </c>
      <c r="F797" s="107">
        <v>42348</v>
      </c>
      <c r="G797" s="105" t="s">
        <v>51</v>
      </c>
      <c r="H797" s="107">
        <v>42348</v>
      </c>
      <c r="I797" s="105" t="s">
        <v>391</v>
      </c>
    </row>
    <row r="798" spans="1:9" x14ac:dyDescent="0.2">
      <c r="A798" s="105" t="s">
        <v>48</v>
      </c>
      <c r="B798" s="106">
        <v>50</v>
      </c>
      <c r="C798" s="105">
        <v>0</v>
      </c>
      <c r="D798" s="105">
        <v>1</v>
      </c>
      <c r="E798" s="105">
        <v>0</v>
      </c>
      <c r="F798" s="107">
        <v>42348</v>
      </c>
      <c r="G798" s="105" t="s">
        <v>47</v>
      </c>
      <c r="H798" s="107">
        <v>42348</v>
      </c>
      <c r="I798" s="105" t="s">
        <v>48</v>
      </c>
    </row>
    <row r="799" spans="1:9" x14ac:dyDescent="0.2">
      <c r="A799" s="105" t="s">
        <v>48</v>
      </c>
      <c r="B799" s="106">
        <v>350</v>
      </c>
      <c r="C799" s="105">
        <v>0</v>
      </c>
      <c r="D799" s="105">
        <v>1</v>
      </c>
      <c r="E799" s="105">
        <v>0</v>
      </c>
      <c r="F799" s="107">
        <v>42348</v>
      </c>
      <c r="G799" s="105" t="s">
        <v>47</v>
      </c>
      <c r="H799" s="107">
        <v>42348</v>
      </c>
      <c r="I799" s="105" t="s">
        <v>48</v>
      </c>
    </row>
    <row r="800" spans="1:9" x14ac:dyDescent="0.2">
      <c r="A800" s="105" t="s">
        <v>52</v>
      </c>
      <c r="B800" s="106">
        <v>116.18</v>
      </c>
      <c r="C800" s="105">
        <v>0</v>
      </c>
      <c r="D800" s="105">
        <v>1</v>
      </c>
      <c r="E800" s="105">
        <v>0</v>
      </c>
      <c r="F800" s="107">
        <v>42348</v>
      </c>
      <c r="G800" s="105" t="s">
        <v>47</v>
      </c>
      <c r="H800" s="107">
        <v>42348</v>
      </c>
      <c r="I800" s="105" t="s">
        <v>52</v>
      </c>
    </row>
    <row r="801" spans="1:9" x14ac:dyDescent="0.2">
      <c r="A801" s="105" t="s">
        <v>190</v>
      </c>
      <c r="B801" s="106">
        <v>29.19</v>
      </c>
      <c r="C801" s="105">
        <v>0</v>
      </c>
      <c r="D801" s="105">
        <v>1</v>
      </c>
      <c r="E801" s="105">
        <v>0</v>
      </c>
      <c r="F801" s="107">
        <v>42348</v>
      </c>
      <c r="G801" s="105" t="s">
        <v>47</v>
      </c>
      <c r="H801" s="107">
        <v>42349</v>
      </c>
      <c r="I801" s="105" t="s">
        <v>190</v>
      </c>
    </row>
    <row r="802" spans="1:9" x14ac:dyDescent="0.2">
      <c r="A802" s="105" t="s">
        <v>107</v>
      </c>
      <c r="B802" s="106">
        <v>39</v>
      </c>
      <c r="C802" s="105">
        <v>0</v>
      </c>
      <c r="D802" s="105">
        <v>1</v>
      </c>
      <c r="E802" s="105">
        <v>0</v>
      </c>
      <c r="F802" s="107">
        <v>42348</v>
      </c>
      <c r="G802" s="105" t="s">
        <v>47</v>
      </c>
      <c r="H802" s="107">
        <v>42349</v>
      </c>
      <c r="I802" s="159" t="s">
        <v>107</v>
      </c>
    </row>
    <row r="803" spans="1:9" x14ac:dyDescent="0.2">
      <c r="A803" s="105" t="s">
        <v>116</v>
      </c>
      <c r="B803" s="106">
        <v>15</v>
      </c>
      <c r="C803" s="105">
        <v>0</v>
      </c>
      <c r="D803" s="105">
        <v>1</v>
      </c>
      <c r="E803" s="105">
        <v>0</v>
      </c>
      <c r="F803" s="107">
        <v>42348</v>
      </c>
      <c r="G803" s="105" t="s">
        <v>49</v>
      </c>
      <c r="H803" s="107">
        <v>42350</v>
      </c>
      <c r="I803" s="105" t="s">
        <v>344</v>
      </c>
    </row>
    <row r="804" spans="1:9" x14ac:dyDescent="0.2">
      <c r="A804" s="105" t="s">
        <v>107</v>
      </c>
      <c r="B804" s="106">
        <v>10</v>
      </c>
      <c r="C804" s="105">
        <v>0</v>
      </c>
      <c r="D804" s="105">
        <v>1</v>
      </c>
      <c r="E804" s="105">
        <v>0</v>
      </c>
      <c r="F804" s="107">
        <v>42348</v>
      </c>
      <c r="G804" s="105" t="s">
        <v>49</v>
      </c>
      <c r="H804" s="107">
        <v>42350</v>
      </c>
      <c r="I804" s="159" t="s">
        <v>107</v>
      </c>
    </row>
    <row r="805" spans="1:9" x14ac:dyDescent="0.2">
      <c r="A805" s="105" t="s">
        <v>52</v>
      </c>
      <c r="B805" s="106">
        <v>5</v>
      </c>
      <c r="C805" s="105">
        <v>0</v>
      </c>
      <c r="D805" s="105">
        <v>1</v>
      </c>
      <c r="E805" s="105">
        <v>0</v>
      </c>
      <c r="F805" s="107">
        <v>42348</v>
      </c>
      <c r="G805" s="105" t="s">
        <v>49</v>
      </c>
      <c r="H805" s="107">
        <v>42350</v>
      </c>
      <c r="I805" s="105" t="s">
        <v>52</v>
      </c>
    </row>
    <row r="806" spans="1:9" x14ac:dyDescent="0.2">
      <c r="A806" s="105" t="s">
        <v>1056</v>
      </c>
      <c r="B806" s="106">
        <v>15</v>
      </c>
      <c r="C806" s="105">
        <v>0</v>
      </c>
      <c r="D806" s="105">
        <v>1</v>
      </c>
      <c r="E806" s="105">
        <v>0</v>
      </c>
      <c r="F806" s="107">
        <v>42348</v>
      </c>
      <c r="G806" s="105" t="s">
        <v>49</v>
      </c>
      <c r="H806" s="107">
        <v>42351</v>
      </c>
      <c r="I806" s="105" t="s">
        <v>60</v>
      </c>
    </row>
    <row r="807" spans="1:9" x14ac:dyDescent="0.2">
      <c r="A807" s="105" t="s">
        <v>398</v>
      </c>
      <c r="B807" s="106">
        <v>55</v>
      </c>
      <c r="C807" s="105">
        <v>0</v>
      </c>
      <c r="D807" s="105">
        <v>1</v>
      </c>
      <c r="E807" s="105">
        <v>0</v>
      </c>
      <c r="F807" s="107">
        <v>42348</v>
      </c>
      <c r="G807" s="105" t="s">
        <v>49</v>
      </c>
      <c r="H807" s="107">
        <v>42351</v>
      </c>
      <c r="I807" s="105" t="s">
        <v>398</v>
      </c>
    </row>
    <row r="808" spans="1:9" x14ac:dyDescent="0.2">
      <c r="A808" s="105" t="s">
        <v>1175</v>
      </c>
      <c r="B808" s="106">
        <v>20</v>
      </c>
      <c r="C808" s="105">
        <v>0</v>
      </c>
      <c r="D808" s="105">
        <v>1</v>
      </c>
      <c r="E808" s="105">
        <v>0</v>
      </c>
      <c r="F808" s="107">
        <v>42348</v>
      </c>
      <c r="G808" s="105" t="s">
        <v>49</v>
      </c>
      <c r="H808" s="107">
        <v>42351</v>
      </c>
      <c r="I808" s="105" t="s">
        <v>391</v>
      </c>
    </row>
    <row r="809" spans="1:9" x14ac:dyDescent="0.2">
      <c r="A809" s="105" t="s">
        <v>190</v>
      </c>
      <c r="B809" s="106">
        <v>65.63</v>
      </c>
      <c r="C809" s="105">
        <v>0</v>
      </c>
      <c r="D809" s="105">
        <v>1</v>
      </c>
      <c r="E809" s="105">
        <v>0</v>
      </c>
      <c r="F809" s="107">
        <v>42348</v>
      </c>
      <c r="G809" s="105" t="s">
        <v>51</v>
      </c>
      <c r="H809" s="107">
        <v>42352</v>
      </c>
      <c r="I809" s="105" t="s">
        <v>190</v>
      </c>
    </row>
    <row r="810" spans="1:9" x14ac:dyDescent="0.2">
      <c r="A810" s="105" t="s">
        <v>374</v>
      </c>
      <c r="B810" s="106">
        <v>3</v>
      </c>
      <c r="C810" s="105">
        <v>0</v>
      </c>
      <c r="D810" s="105">
        <v>1</v>
      </c>
      <c r="E810" s="105">
        <v>0</v>
      </c>
      <c r="F810" s="107">
        <v>42348</v>
      </c>
      <c r="G810" s="105" t="s">
        <v>51</v>
      </c>
      <c r="H810" s="107">
        <v>42352</v>
      </c>
      <c r="I810" s="105" t="s">
        <v>50</v>
      </c>
    </row>
    <row r="811" spans="1:9" x14ac:dyDescent="0.2">
      <c r="A811" s="105" t="s">
        <v>52</v>
      </c>
      <c r="B811" s="106">
        <v>57.8</v>
      </c>
      <c r="C811" s="105">
        <v>0</v>
      </c>
      <c r="D811" s="105">
        <v>1</v>
      </c>
      <c r="E811" s="105">
        <v>0</v>
      </c>
      <c r="F811" s="107">
        <v>42348</v>
      </c>
      <c r="G811" s="105" t="s">
        <v>51</v>
      </c>
      <c r="H811" s="107">
        <v>42352</v>
      </c>
      <c r="I811" s="105" t="s">
        <v>52</v>
      </c>
    </row>
    <row r="812" spans="1:9" x14ac:dyDescent="0.2">
      <c r="A812" s="105" t="s">
        <v>1172</v>
      </c>
      <c r="B812" s="106">
        <v>24.99</v>
      </c>
      <c r="C812" s="105">
        <v>0</v>
      </c>
      <c r="D812" s="105">
        <v>1</v>
      </c>
      <c r="E812" s="105">
        <v>0</v>
      </c>
      <c r="F812" s="107">
        <v>42348</v>
      </c>
      <c r="G812" s="105" t="s">
        <v>51</v>
      </c>
      <c r="H812" s="107">
        <v>42352</v>
      </c>
      <c r="I812" s="105" t="s">
        <v>344</v>
      </c>
    </row>
    <row r="813" spans="1:9" x14ac:dyDescent="0.2">
      <c r="A813" s="105" t="s">
        <v>1173</v>
      </c>
      <c r="B813" s="106">
        <v>86.5</v>
      </c>
      <c r="C813" s="105">
        <v>0</v>
      </c>
      <c r="D813" s="105">
        <v>1</v>
      </c>
      <c r="E813" s="105">
        <v>0</v>
      </c>
      <c r="F813" s="107">
        <v>42348</v>
      </c>
      <c r="G813" s="105" t="s">
        <v>51</v>
      </c>
      <c r="H813" s="107">
        <v>42352</v>
      </c>
      <c r="I813" s="105" t="s">
        <v>50</v>
      </c>
    </row>
    <row r="814" spans="1:9" x14ac:dyDescent="0.2">
      <c r="A814" s="105" t="s">
        <v>1174</v>
      </c>
      <c r="B814" s="106">
        <v>32.24</v>
      </c>
      <c r="C814" s="105">
        <v>0</v>
      </c>
      <c r="D814" s="105">
        <v>1</v>
      </c>
      <c r="E814" s="105">
        <v>0</v>
      </c>
      <c r="F814" s="107">
        <v>42348</v>
      </c>
      <c r="G814" s="105" t="s">
        <v>51</v>
      </c>
      <c r="H814" s="107">
        <v>42352</v>
      </c>
      <c r="I814" s="105" t="s">
        <v>50</v>
      </c>
    </row>
    <row r="815" spans="1:9" x14ac:dyDescent="0.2">
      <c r="A815" s="105" t="s">
        <v>374</v>
      </c>
      <c r="B815" s="106">
        <v>2.99</v>
      </c>
      <c r="C815" s="105">
        <v>0</v>
      </c>
      <c r="D815" s="105">
        <v>1</v>
      </c>
      <c r="E815" s="105">
        <v>0</v>
      </c>
      <c r="F815" s="107">
        <v>42348</v>
      </c>
      <c r="G815" s="105" t="s">
        <v>51</v>
      </c>
      <c r="H815" s="107">
        <v>42354</v>
      </c>
      <c r="I815" s="105" t="s">
        <v>50</v>
      </c>
    </row>
    <row r="816" spans="1:9" x14ac:dyDescent="0.2">
      <c r="A816" s="105" t="s">
        <v>52</v>
      </c>
      <c r="B816" s="106">
        <v>79.37</v>
      </c>
      <c r="C816" s="105">
        <v>0</v>
      </c>
      <c r="D816" s="105">
        <v>1</v>
      </c>
      <c r="E816" s="105">
        <v>0</v>
      </c>
      <c r="F816" s="107">
        <v>42348</v>
      </c>
      <c r="G816" s="105" t="s">
        <v>51</v>
      </c>
      <c r="H816" s="107">
        <v>42354</v>
      </c>
      <c r="I816" s="105" t="s">
        <v>52</v>
      </c>
    </row>
    <row r="817" spans="1:9" x14ac:dyDescent="0.2">
      <c r="A817" s="105" t="s">
        <v>374</v>
      </c>
      <c r="B817" s="106">
        <v>1.6</v>
      </c>
      <c r="C817" s="105">
        <v>0</v>
      </c>
      <c r="D817" s="105">
        <v>1</v>
      </c>
      <c r="E817" s="105">
        <v>0</v>
      </c>
      <c r="F817" s="107">
        <v>42348</v>
      </c>
      <c r="G817" s="105" t="s">
        <v>51</v>
      </c>
      <c r="H817" s="107">
        <v>42354</v>
      </c>
      <c r="I817" s="105" t="s">
        <v>50</v>
      </c>
    </row>
    <row r="818" spans="1:9" x14ac:dyDescent="0.2">
      <c r="A818" s="105" t="s">
        <v>52</v>
      </c>
      <c r="B818" s="106">
        <v>38.28</v>
      </c>
      <c r="C818" s="105">
        <v>0</v>
      </c>
      <c r="D818" s="105">
        <v>1</v>
      </c>
      <c r="E818" s="105">
        <v>0</v>
      </c>
      <c r="F818" s="107">
        <v>42348</v>
      </c>
      <c r="G818" s="105" t="s">
        <v>51</v>
      </c>
      <c r="H818" s="107">
        <v>42355</v>
      </c>
      <c r="I818" s="105" t="s">
        <v>52</v>
      </c>
    </row>
    <row r="819" spans="1:9" x14ac:dyDescent="0.2">
      <c r="A819" s="105" t="s">
        <v>44</v>
      </c>
      <c r="B819" s="106">
        <v>50</v>
      </c>
      <c r="C819" s="105">
        <v>0</v>
      </c>
      <c r="D819" s="105">
        <v>1</v>
      </c>
      <c r="E819" s="105">
        <v>0</v>
      </c>
      <c r="F819" s="107">
        <v>42348</v>
      </c>
      <c r="G819" s="105" t="s">
        <v>49</v>
      </c>
      <c r="H819" s="107">
        <v>42357</v>
      </c>
      <c r="I819" s="105" t="s">
        <v>60</v>
      </c>
    </row>
    <row r="820" spans="1:9" x14ac:dyDescent="0.2">
      <c r="A820" s="105" t="s">
        <v>52</v>
      </c>
      <c r="B820" s="106">
        <v>80</v>
      </c>
      <c r="C820" s="105">
        <v>0</v>
      </c>
      <c r="D820" s="105">
        <v>1</v>
      </c>
      <c r="E820" s="105">
        <v>0</v>
      </c>
      <c r="F820" s="107">
        <v>42348</v>
      </c>
      <c r="G820" s="105" t="s">
        <v>49</v>
      </c>
      <c r="H820" s="107">
        <v>42357</v>
      </c>
      <c r="I820" s="105" t="s">
        <v>52</v>
      </c>
    </row>
    <row r="821" spans="1:9" x14ac:dyDescent="0.2">
      <c r="A821" s="105" t="s">
        <v>52</v>
      </c>
      <c r="B821" s="106">
        <v>9.7899999999999991</v>
      </c>
      <c r="C821" s="105">
        <v>0</v>
      </c>
      <c r="D821" s="105">
        <v>1</v>
      </c>
      <c r="E821" s="105">
        <v>0</v>
      </c>
      <c r="F821" s="107">
        <v>42348</v>
      </c>
      <c r="G821" s="105" t="s">
        <v>49</v>
      </c>
      <c r="H821" s="107">
        <v>42357</v>
      </c>
      <c r="I821" s="105" t="s">
        <v>52</v>
      </c>
    </row>
    <row r="822" spans="1:9" x14ac:dyDescent="0.2">
      <c r="A822" s="105" t="s">
        <v>48</v>
      </c>
      <c r="B822" s="106">
        <v>50</v>
      </c>
      <c r="C822" s="105">
        <v>0</v>
      </c>
      <c r="D822" s="105">
        <v>1</v>
      </c>
      <c r="E822" s="105">
        <v>0</v>
      </c>
      <c r="F822" s="107">
        <v>42348</v>
      </c>
      <c r="G822" s="105" t="s">
        <v>49</v>
      </c>
      <c r="H822" s="107">
        <v>42358</v>
      </c>
      <c r="I822" s="105" t="s">
        <v>48</v>
      </c>
    </row>
    <row r="823" spans="1:9" x14ac:dyDescent="0.2">
      <c r="A823" s="105" t="s">
        <v>398</v>
      </c>
      <c r="B823" s="106">
        <v>50</v>
      </c>
      <c r="C823" s="105">
        <v>0</v>
      </c>
      <c r="D823" s="105">
        <v>1</v>
      </c>
      <c r="E823" s="105">
        <v>0</v>
      </c>
      <c r="F823" s="107">
        <v>42348</v>
      </c>
      <c r="G823" s="105" t="s">
        <v>49</v>
      </c>
      <c r="H823" s="107">
        <v>42358</v>
      </c>
      <c r="I823" s="105" t="s">
        <v>398</v>
      </c>
    </row>
    <row r="824" spans="1:9" x14ac:dyDescent="0.2">
      <c r="A824" s="105" t="s">
        <v>48</v>
      </c>
      <c r="B824" s="106">
        <v>50</v>
      </c>
      <c r="C824" s="105">
        <v>0</v>
      </c>
      <c r="D824" s="105">
        <v>1</v>
      </c>
      <c r="E824" s="105">
        <v>0</v>
      </c>
      <c r="F824" s="107">
        <v>42348</v>
      </c>
      <c r="G824" s="105" t="s">
        <v>49</v>
      </c>
      <c r="H824" s="107">
        <v>42358</v>
      </c>
      <c r="I824" s="105" t="s">
        <v>48</v>
      </c>
    </row>
    <row r="825" spans="1:9" x14ac:dyDescent="0.2">
      <c r="A825" s="105" t="s">
        <v>52</v>
      </c>
      <c r="B825" s="106">
        <v>36.43</v>
      </c>
      <c r="C825" s="105">
        <v>0</v>
      </c>
      <c r="D825" s="105">
        <v>1</v>
      </c>
      <c r="E825" s="105">
        <v>0</v>
      </c>
      <c r="F825" s="107">
        <v>42348</v>
      </c>
      <c r="G825" s="105" t="s">
        <v>49</v>
      </c>
      <c r="H825" s="107">
        <v>42358</v>
      </c>
      <c r="I825" s="105" t="s">
        <v>52</v>
      </c>
    </row>
    <row r="826" spans="1:9" x14ac:dyDescent="0.2">
      <c r="A826" s="105" t="s">
        <v>323</v>
      </c>
      <c r="B826" s="106">
        <v>5.9</v>
      </c>
      <c r="C826" s="105">
        <v>0</v>
      </c>
      <c r="D826" s="105">
        <v>1</v>
      </c>
      <c r="E826" s="105">
        <v>0</v>
      </c>
      <c r="F826" s="107">
        <v>42348</v>
      </c>
      <c r="G826" s="105" t="s">
        <v>51</v>
      </c>
      <c r="H826" s="107">
        <v>42356</v>
      </c>
      <c r="I826" s="105" t="s">
        <v>50</v>
      </c>
    </row>
    <row r="827" spans="1:9" x14ac:dyDescent="0.2">
      <c r="A827" s="105" t="s">
        <v>323</v>
      </c>
      <c r="B827" s="106">
        <v>11.5</v>
      </c>
      <c r="C827" s="105">
        <v>0</v>
      </c>
      <c r="D827" s="105">
        <v>1</v>
      </c>
      <c r="E827" s="105">
        <v>0</v>
      </c>
      <c r="F827" s="107">
        <v>42348</v>
      </c>
      <c r="G827" s="105" t="s">
        <v>51</v>
      </c>
      <c r="H827" s="107">
        <v>42356</v>
      </c>
      <c r="I827" s="105" t="s">
        <v>50</v>
      </c>
    </row>
    <row r="828" spans="1:9" x14ac:dyDescent="0.2">
      <c r="A828" s="105" t="s">
        <v>374</v>
      </c>
      <c r="B828" s="106">
        <v>4</v>
      </c>
      <c r="C828" s="105">
        <v>0</v>
      </c>
      <c r="D828" s="105">
        <v>1</v>
      </c>
      <c r="E828" s="105">
        <v>0</v>
      </c>
      <c r="F828" s="107">
        <v>42348</v>
      </c>
      <c r="G828" s="105" t="s">
        <v>51</v>
      </c>
      <c r="H828" s="107">
        <v>42356</v>
      </c>
      <c r="I828" s="105" t="s">
        <v>50</v>
      </c>
    </row>
    <row r="829" spans="1:9" x14ac:dyDescent="0.2">
      <c r="A829" s="105" t="s">
        <v>96</v>
      </c>
      <c r="B829" s="106">
        <v>50.6</v>
      </c>
      <c r="C829" s="105">
        <v>0</v>
      </c>
      <c r="D829" s="105">
        <v>1</v>
      </c>
      <c r="E829" s="105">
        <v>0</v>
      </c>
      <c r="F829" s="107">
        <v>42348</v>
      </c>
      <c r="G829" s="105" t="s">
        <v>54</v>
      </c>
      <c r="H829" s="107">
        <v>42361</v>
      </c>
      <c r="I829" t="s">
        <v>96</v>
      </c>
    </row>
    <row r="830" spans="1:9" x14ac:dyDescent="0.2">
      <c r="A830" s="105" t="s">
        <v>1176</v>
      </c>
      <c r="B830" s="106">
        <v>26.8</v>
      </c>
      <c r="C830" s="105">
        <v>0</v>
      </c>
      <c r="D830" s="105">
        <v>1</v>
      </c>
      <c r="E830" s="105">
        <v>0</v>
      </c>
      <c r="F830" s="107">
        <v>42348</v>
      </c>
      <c r="G830" s="105" t="s">
        <v>49</v>
      </c>
      <c r="H830" s="107">
        <v>42364</v>
      </c>
      <c r="I830" s="105" t="s">
        <v>344</v>
      </c>
    </row>
    <row r="831" spans="1:9" x14ac:dyDescent="0.2">
      <c r="A831" s="105" t="s">
        <v>183</v>
      </c>
      <c r="B831" s="106">
        <v>6.9</v>
      </c>
      <c r="C831" s="105">
        <v>0</v>
      </c>
      <c r="D831" s="105">
        <v>1</v>
      </c>
      <c r="E831" s="105">
        <v>0</v>
      </c>
      <c r="F831" s="107">
        <v>42348</v>
      </c>
      <c r="G831" s="105" t="s">
        <v>49</v>
      </c>
      <c r="H831" s="107">
        <v>42364</v>
      </c>
      <c r="I831" s="105" t="s">
        <v>50</v>
      </c>
    </row>
    <row r="832" spans="1:9" x14ac:dyDescent="0.2">
      <c r="A832" s="105" t="s">
        <v>52</v>
      </c>
      <c r="B832" s="106">
        <v>38.869999999999997</v>
      </c>
      <c r="C832" s="105">
        <v>0</v>
      </c>
      <c r="D832" s="105">
        <v>1</v>
      </c>
      <c r="E832" s="105">
        <v>0</v>
      </c>
      <c r="F832" s="107">
        <v>42348</v>
      </c>
      <c r="G832" s="105" t="s">
        <v>49</v>
      </c>
      <c r="H832" s="107">
        <v>42364</v>
      </c>
      <c r="I832" s="105" t="s">
        <v>52</v>
      </c>
    </row>
    <row r="833" spans="1:9" x14ac:dyDescent="0.2">
      <c r="A833" s="105" t="s">
        <v>1178</v>
      </c>
      <c r="B833" s="106">
        <v>20</v>
      </c>
      <c r="C833" s="105">
        <v>0</v>
      </c>
      <c r="D833" s="105">
        <v>1</v>
      </c>
      <c r="E833" s="105">
        <v>0</v>
      </c>
      <c r="F833" s="107">
        <v>42348</v>
      </c>
      <c r="G833" s="105" t="s">
        <v>55</v>
      </c>
      <c r="H833" s="107">
        <v>42371</v>
      </c>
      <c r="I833" s="105" t="s">
        <v>50</v>
      </c>
    </row>
    <row r="834" spans="1:9" x14ac:dyDescent="0.2">
      <c r="A834" s="105" t="s">
        <v>1179</v>
      </c>
      <c r="B834" s="106">
        <v>10</v>
      </c>
      <c r="C834" s="105">
        <v>0</v>
      </c>
      <c r="D834" s="105">
        <v>1</v>
      </c>
      <c r="E834" s="105">
        <v>0</v>
      </c>
      <c r="F834" s="107">
        <v>42348</v>
      </c>
      <c r="G834" s="105" t="s">
        <v>55</v>
      </c>
      <c r="H834" s="107">
        <v>42371</v>
      </c>
      <c r="I834" s="105" t="s">
        <v>60</v>
      </c>
    </row>
    <row r="835" spans="1:9" x14ac:dyDescent="0.2">
      <c r="A835" s="105" t="s">
        <v>1180</v>
      </c>
      <c r="B835" s="106">
        <v>20</v>
      </c>
      <c r="C835" s="105">
        <v>0</v>
      </c>
      <c r="D835" s="105">
        <v>1</v>
      </c>
      <c r="E835" s="105">
        <v>0</v>
      </c>
      <c r="F835" s="107">
        <v>42348</v>
      </c>
      <c r="G835" s="105" t="s">
        <v>55</v>
      </c>
      <c r="H835" s="107">
        <v>42371</v>
      </c>
      <c r="I835" s="105" t="s">
        <v>50</v>
      </c>
    </row>
    <row r="836" spans="1:9" x14ac:dyDescent="0.2">
      <c r="A836" s="105" t="s">
        <v>503</v>
      </c>
      <c r="B836" s="106">
        <v>50</v>
      </c>
      <c r="C836" s="105">
        <v>0</v>
      </c>
      <c r="D836" s="105">
        <v>1</v>
      </c>
      <c r="E836" s="105">
        <v>0</v>
      </c>
      <c r="F836" s="107">
        <v>42348</v>
      </c>
      <c r="G836" s="105" t="s">
        <v>55</v>
      </c>
      <c r="H836" s="107">
        <v>42373</v>
      </c>
      <c r="I836" s="105" t="s">
        <v>344</v>
      </c>
    </row>
    <row r="837" spans="1:9" x14ac:dyDescent="0.2">
      <c r="A837" s="105" t="s">
        <v>109</v>
      </c>
      <c r="B837" s="106">
        <v>50</v>
      </c>
      <c r="C837" s="105">
        <v>0</v>
      </c>
      <c r="D837" s="105">
        <v>1</v>
      </c>
      <c r="E837" s="105">
        <v>0</v>
      </c>
      <c r="F837" s="107">
        <v>42348</v>
      </c>
      <c r="G837" s="105" t="s">
        <v>55</v>
      </c>
      <c r="H837" s="107">
        <v>42374</v>
      </c>
      <c r="I837" s="105" t="s">
        <v>46</v>
      </c>
    </row>
    <row r="838" spans="1:9" x14ac:dyDescent="0.2">
      <c r="A838" s="169" t="s">
        <v>1181</v>
      </c>
      <c r="B838" s="106">
        <v>404.32</v>
      </c>
      <c r="C838" s="105">
        <v>0</v>
      </c>
      <c r="D838" s="105">
        <v>1</v>
      </c>
      <c r="E838" s="105">
        <v>0</v>
      </c>
      <c r="F838" s="107">
        <v>42348</v>
      </c>
      <c r="G838" s="105" t="s">
        <v>55</v>
      </c>
      <c r="H838" s="107">
        <v>42377</v>
      </c>
      <c r="I838" s="168" t="s">
        <v>48</v>
      </c>
    </row>
  </sheetData>
  <autoFilter ref="A1:J838"/>
  <sortState ref="A2:J682">
    <sortCondition ref="F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L316"/>
  <sheetViews>
    <sheetView tabSelected="1" topLeftCell="A275" workbookViewId="0">
      <selection activeCell="G1" sqref="G1"/>
    </sheetView>
  </sheetViews>
  <sheetFormatPr defaultRowHeight="12.75" x14ac:dyDescent="0.2"/>
  <cols>
    <col min="1" max="1" width="29.140625" bestFit="1" customWidth="1"/>
    <col min="2" max="2" width="13.5703125" bestFit="1" customWidth="1"/>
    <col min="3" max="3" width="10.140625" bestFit="1" customWidth="1"/>
    <col min="6" max="6" width="10.140625" style="71" bestFit="1" customWidth="1"/>
    <col min="7" max="7" width="13.85546875" style="31" bestFit="1" customWidth="1"/>
    <col min="8" max="8" width="13.28515625" bestFit="1" customWidth="1"/>
    <col min="9" max="9" width="14.42578125" style="71" bestFit="1" customWidth="1"/>
    <col min="10" max="10" width="11" bestFit="1" customWidth="1"/>
    <col min="11" max="11" width="10.140625" bestFit="1" customWidth="1"/>
    <col min="13" max="13" width="10.140625" bestFit="1" customWidth="1"/>
  </cols>
  <sheetData>
    <row r="1" spans="1:11" x14ac:dyDescent="0.2">
      <c r="A1" t="s">
        <v>362</v>
      </c>
      <c r="B1" t="s">
        <v>363</v>
      </c>
      <c r="C1" t="s">
        <v>364</v>
      </c>
      <c r="D1" s="1" t="s">
        <v>365</v>
      </c>
      <c r="E1" t="s">
        <v>366</v>
      </c>
      <c r="F1" s="71" t="s">
        <v>367</v>
      </c>
      <c r="G1" s="31" t="s">
        <v>358</v>
      </c>
      <c r="H1" t="s">
        <v>368</v>
      </c>
      <c r="I1" s="71" t="s">
        <v>369</v>
      </c>
      <c r="J1" t="s">
        <v>370</v>
      </c>
      <c r="K1" s="80"/>
    </row>
    <row r="2" spans="1:11" x14ac:dyDescent="0.2">
      <c r="A2" s="12" t="s">
        <v>396</v>
      </c>
      <c r="B2" s="88">
        <v>654.73</v>
      </c>
      <c r="C2" s="12">
        <v>1</v>
      </c>
      <c r="D2" s="12">
        <v>0</v>
      </c>
      <c r="E2">
        <v>0</v>
      </c>
      <c r="F2" s="89">
        <v>42014</v>
      </c>
      <c r="G2" s="88">
        <v>0</v>
      </c>
      <c r="H2" s="12" t="s">
        <v>54</v>
      </c>
      <c r="I2" s="89">
        <v>42021</v>
      </c>
      <c r="J2" s="12" t="s">
        <v>334</v>
      </c>
      <c r="K2" s="79"/>
    </row>
    <row r="3" spans="1:11" x14ac:dyDescent="0.2">
      <c r="A3" s="12" t="s">
        <v>397</v>
      </c>
      <c r="B3" s="88">
        <v>706.14</v>
      </c>
      <c r="C3" s="12">
        <v>1</v>
      </c>
      <c r="D3" s="12">
        <v>0</v>
      </c>
      <c r="E3">
        <v>0</v>
      </c>
      <c r="F3" s="89">
        <v>42073</v>
      </c>
      <c r="G3" s="88">
        <v>1</v>
      </c>
      <c r="H3" s="12" t="s">
        <v>54</v>
      </c>
      <c r="I3" s="89">
        <v>42052</v>
      </c>
      <c r="J3" s="12" t="s">
        <v>334</v>
      </c>
      <c r="K3" s="79"/>
    </row>
    <row r="4" spans="1:11" x14ac:dyDescent="0.2">
      <c r="A4" s="12" t="s">
        <v>397</v>
      </c>
      <c r="B4" s="88">
        <v>654.73</v>
      </c>
      <c r="C4" s="12">
        <v>1</v>
      </c>
      <c r="D4" s="12">
        <v>0</v>
      </c>
      <c r="E4">
        <v>0</v>
      </c>
      <c r="F4" s="89">
        <v>42045</v>
      </c>
      <c r="G4" s="88">
        <v>1</v>
      </c>
      <c r="H4" s="12" t="s">
        <v>54</v>
      </c>
      <c r="I4" s="89">
        <v>42052</v>
      </c>
      <c r="J4" s="12" t="s">
        <v>334</v>
      </c>
      <c r="K4" s="78"/>
    </row>
    <row r="5" spans="1:11" x14ac:dyDescent="0.2">
      <c r="A5" s="1" t="s">
        <v>205</v>
      </c>
      <c r="B5" s="31">
        <v>50</v>
      </c>
      <c r="C5">
        <v>0</v>
      </c>
      <c r="D5">
        <v>1</v>
      </c>
      <c r="E5">
        <v>0</v>
      </c>
      <c r="F5" s="71">
        <v>41983</v>
      </c>
      <c r="G5" s="84">
        <v>0</v>
      </c>
      <c r="H5" s="1" t="s">
        <v>54</v>
      </c>
      <c r="I5" s="71">
        <v>41990</v>
      </c>
      <c r="J5" s="1" t="s">
        <v>344</v>
      </c>
    </row>
    <row r="6" spans="1:11" x14ac:dyDescent="0.2">
      <c r="A6" s="1" t="s">
        <v>206</v>
      </c>
      <c r="B6" s="31">
        <v>50</v>
      </c>
      <c r="C6">
        <v>0</v>
      </c>
      <c r="D6">
        <v>1</v>
      </c>
      <c r="E6">
        <v>0</v>
      </c>
      <c r="F6" s="71">
        <v>42014</v>
      </c>
      <c r="G6" s="84">
        <v>0</v>
      </c>
      <c r="H6" s="1" t="s">
        <v>54</v>
      </c>
      <c r="I6" s="71">
        <v>42021</v>
      </c>
      <c r="J6" s="1" t="s">
        <v>344</v>
      </c>
    </row>
    <row r="7" spans="1:11" x14ac:dyDescent="0.2">
      <c r="A7" s="1" t="s">
        <v>207</v>
      </c>
      <c r="B7" s="31">
        <v>69.900000000000006</v>
      </c>
      <c r="C7">
        <v>0</v>
      </c>
      <c r="D7">
        <v>1</v>
      </c>
      <c r="E7">
        <v>0</v>
      </c>
      <c r="F7" s="71">
        <v>41983</v>
      </c>
      <c r="G7" s="84">
        <v>0</v>
      </c>
      <c r="H7" s="1" t="s">
        <v>54</v>
      </c>
      <c r="I7" s="71">
        <v>41949</v>
      </c>
      <c r="J7" t="s">
        <v>46</v>
      </c>
    </row>
    <row r="8" spans="1:11" x14ac:dyDescent="0.2">
      <c r="A8" s="1" t="s">
        <v>331</v>
      </c>
      <c r="B8">
        <v>89.95</v>
      </c>
      <c r="C8">
        <v>0</v>
      </c>
      <c r="D8">
        <v>1</v>
      </c>
      <c r="E8">
        <v>0</v>
      </c>
      <c r="F8" s="71">
        <v>41983</v>
      </c>
      <c r="G8" s="84">
        <v>0</v>
      </c>
      <c r="H8" s="1" t="s">
        <v>54</v>
      </c>
      <c r="I8" s="71">
        <v>41990</v>
      </c>
      <c r="J8" s="171" t="s">
        <v>333</v>
      </c>
    </row>
    <row r="9" spans="1:11" x14ac:dyDescent="0.2">
      <c r="A9" s="1" t="s">
        <v>332</v>
      </c>
      <c r="B9">
        <v>89.95</v>
      </c>
      <c r="C9">
        <v>0</v>
      </c>
      <c r="D9">
        <v>1</v>
      </c>
      <c r="E9">
        <v>0</v>
      </c>
      <c r="F9" s="71">
        <v>42014</v>
      </c>
      <c r="G9" s="84">
        <v>0</v>
      </c>
      <c r="H9" s="1" t="s">
        <v>54</v>
      </c>
      <c r="I9" s="71">
        <v>42021</v>
      </c>
      <c r="J9" s="171" t="s">
        <v>333</v>
      </c>
    </row>
    <row r="10" spans="1:11" x14ac:dyDescent="0.2">
      <c r="A10" t="s">
        <v>96</v>
      </c>
      <c r="B10">
        <v>21</v>
      </c>
      <c r="C10">
        <v>0</v>
      </c>
      <c r="D10">
        <v>1</v>
      </c>
      <c r="E10">
        <v>0</v>
      </c>
      <c r="F10" s="71">
        <v>41983</v>
      </c>
      <c r="G10" s="84">
        <v>0</v>
      </c>
      <c r="H10" s="1" t="s">
        <v>55</v>
      </c>
      <c r="I10" s="71">
        <v>41990</v>
      </c>
      <c r="J10" t="s">
        <v>96</v>
      </c>
    </row>
    <row r="11" spans="1:11" x14ac:dyDescent="0.2">
      <c r="A11" t="s">
        <v>96</v>
      </c>
      <c r="B11">
        <v>24.7</v>
      </c>
      <c r="C11">
        <v>0</v>
      </c>
      <c r="D11">
        <v>1</v>
      </c>
      <c r="E11">
        <v>0</v>
      </c>
      <c r="F11" s="71">
        <v>42014</v>
      </c>
      <c r="G11" s="84">
        <v>0</v>
      </c>
      <c r="H11" s="1" t="s">
        <v>47</v>
      </c>
      <c r="I11" s="71">
        <v>41978</v>
      </c>
      <c r="J11" t="s">
        <v>96</v>
      </c>
    </row>
    <row r="12" spans="1:11" x14ac:dyDescent="0.2">
      <c r="A12" s="1" t="s">
        <v>325</v>
      </c>
      <c r="B12">
        <v>12.8</v>
      </c>
      <c r="C12">
        <v>0</v>
      </c>
      <c r="D12">
        <v>1</v>
      </c>
      <c r="E12">
        <v>0</v>
      </c>
      <c r="F12" s="71">
        <v>42014</v>
      </c>
      <c r="G12" s="84">
        <v>0</v>
      </c>
      <c r="H12" s="1" t="s">
        <v>47</v>
      </c>
      <c r="I12" s="71">
        <v>41979</v>
      </c>
      <c r="J12" s="171" t="s">
        <v>203</v>
      </c>
    </row>
    <row r="13" spans="1:11" x14ac:dyDescent="0.2">
      <c r="A13" s="1" t="s">
        <v>221</v>
      </c>
      <c r="B13">
        <v>13.5</v>
      </c>
      <c r="C13">
        <v>0</v>
      </c>
      <c r="D13">
        <v>1</v>
      </c>
      <c r="E13">
        <v>0</v>
      </c>
      <c r="F13" s="71">
        <v>42014</v>
      </c>
      <c r="G13" s="84">
        <v>0</v>
      </c>
      <c r="H13" s="1" t="s">
        <v>47</v>
      </c>
      <c r="I13" s="71">
        <v>41979</v>
      </c>
      <c r="J13" s="1" t="s">
        <v>50</v>
      </c>
    </row>
    <row r="14" spans="1:11" x14ac:dyDescent="0.2">
      <c r="A14" s="1" t="s">
        <v>207</v>
      </c>
      <c r="B14" s="31">
        <v>69.900000000000006</v>
      </c>
      <c r="C14">
        <v>0</v>
      </c>
      <c r="D14">
        <v>1</v>
      </c>
      <c r="E14">
        <v>0</v>
      </c>
      <c r="F14" s="71">
        <v>42014</v>
      </c>
      <c r="G14" s="84">
        <v>0</v>
      </c>
      <c r="H14" s="1" t="s">
        <v>47</v>
      </c>
      <c r="I14" s="71">
        <v>41974</v>
      </c>
      <c r="J14" t="s">
        <v>46</v>
      </c>
    </row>
    <row r="15" spans="1:11" x14ac:dyDescent="0.2">
      <c r="A15" t="s">
        <v>96</v>
      </c>
      <c r="B15" s="31">
        <v>26</v>
      </c>
      <c r="C15">
        <v>0</v>
      </c>
      <c r="D15">
        <v>1</v>
      </c>
      <c r="E15">
        <v>0</v>
      </c>
      <c r="F15" s="71">
        <v>42014</v>
      </c>
      <c r="G15" s="84">
        <v>0</v>
      </c>
      <c r="H15" s="1" t="s">
        <v>47</v>
      </c>
      <c r="I15" s="71">
        <v>41981</v>
      </c>
      <c r="J15" t="s">
        <v>96</v>
      </c>
    </row>
    <row r="16" spans="1:11" x14ac:dyDescent="0.2">
      <c r="A16" s="1" t="s">
        <v>374</v>
      </c>
      <c r="B16" s="31">
        <v>6</v>
      </c>
      <c r="C16">
        <v>0</v>
      </c>
      <c r="D16">
        <v>1</v>
      </c>
      <c r="E16">
        <v>0</v>
      </c>
      <c r="F16" s="71">
        <v>42014</v>
      </c>
      <c r="G16" s="84">
        <v>0</v>
      </c>
      <c r="H16" s="1" t="s">
        <v>47</v>
      </c>
      <c r="I16" s="71">
        <v>41981</v>
      </c>
      <c r="J16" s="1" t="s">
        <v>190</v>
      </c>
    </row>
    <row r="17" spans="1:10" x14ac:dyDescent="0.2">
      <c r="A17" s="1" t="s">
        <v>375</v>
      </c>
      <c r="B17" s="31">
        <v>8.3000000000000007</v>
      </c>
      <c r="C17">
        <v>0</v>
      </c>
      <c r="D17">
        <v>1</v>
      </c>
      <c r="E17">
        <v>0</v>
      </c>
      <c r="F17" s="71">
        <v>42014</v>
      </c>
      <c r="G17" s="84">
        <v>0</v>
      </c>
      <c r="H17" s="1" t="s">
        <v>47</v>
      </c>
      <c r="I17" s="71">
        <v>41981</v>
      </c>
      <c r="J17" s="1" t="s">
        <v>344</v>
      </c>
    </row>
    <row r="18" spans="1:10" x14ac:dyDescent="0.2">
      <c r="A18" t="s">
        <v>96</v>
      </c>
      <c r="B18" s="31">
        <v>23.9</v>
      </c>
      <c r="C18">
        <v>0</v>
      </c>
      <c r="D18">
        <v>1</v>
      </c>
      <c r="E18">
        <v>0</v>
      </c>
      <c r="F18" s="71">
        <v>42014</v>
      </c>
      <c r="G18" s="84">
        <v>0</v>
      </c>
      <c r="H18" s="1" t="s">
        <v>47</v>
      </c>
      <c r="I18" s="71">
        <v>42347</v>
      </c>
      <c r="J18" t="s">
        <v>96</v>
      </c>
    </row>
    <row r="19" spans="1:10" x14ac:dyDescent="0.2">
      <c r="A19" s="1" t="s">
        <v>386</v>
      </c>
      <c r="B19" s="31">
        <v>86.04</v>
      </c>
      <c r="C19">
        <v>0</v>
      </c>
      <c r="D19">
        <v>1</v>
      </c>
      <c r="E19">
        <v>0</v>
      </c>
      <c r="F19" s="71">
        <v>42014</v>
      </c>
      <c r="G19" s="84">
        <v>0</v>
      </c>
      <c r="H19" s="1" t="s">
        <v>51</v>
      </c>
      <c r="I19" s="71">
        <v>41989</v>
      </c>
      <c r="J19" s="1" t="s">
        <v>190</v>
      </c>
    </row>
    <row r="20" spans="1:10" x14ac:dyDescent="0.2">
      <c r="A20" s="1" t="s">
        <v>392</v>
      </c>
      <c r="B20">
        <v>125</v>
      </c>
      <c r="C20">
        <v>0</v>
      </c>
      <c r="D20">
        <v>1</v>
      </c>
      <c r="E20">
        <v>0</v>
      </c>
      <c r="F20" s="71">
        <v>42014</v>
      </c>
      <c r="G20" s="84">
        <v>0</v>
      </c>
      <c r="H20" s="1" t="s">
        <v>54</v>
      </c>
      <c r="I20" s="71">
        <v>41993</v>
      </c>
      <c r="J20" t="s">
        <v>153</v>
      </c>
    </row>
    <row r="21" spans="1:10" x14ac:dyDescent="0.2">
      <c r="A21" s="1" t="s">
        <v>393</v>
      </c>
      <c r="B21">
        <v>125</v>
      </c>
      <c r="C21">
        <v>0</v>
      </c>
      <c r="D21">
        <v>1</v>
      </c>
      <c r="E21">
        <v>0</v>
      </c>
      <c r="F21" s="71">
        <v>42045</v>
      </c>
      <c r="G21" s="88">
        <v>1</v>
      </c>
      <c r="H21" s="1" t="s">
        <v>54</v>
      </c>
      <c r="I21" s="71">
        <v>41993</v>
      </c>
      <c r="J21" t="s">
        <v>153</v>
      </c>
    </row>
    <row r="22" spans="1:10" x14ac:dyDescent="0.2">
      <c r="A22" s="1" t="s">
        <v>450</v>
      </c>
      <c r="B22">
        <v>186.89</v>
      </c>
      <c r="C22">
        <v>0</v>
      </c>
      <c r="D22">
        <v>1</v>
      </c>
      <c r="E22">
        <v>0</v>
      </c>
      <c r="F22" s="71">
        <v>42014</v>
      </c>
      <c r="G22" s="84">
        <v>0</v>
      </c>
      <c r="H22" s="1" t="s">
        <v>180</v>
      </c>
      <c r="I22" s="71">
        <v>42004</v>
      </c>
      <c r="J22" s="171" t="s">
        <v>60</v>
      </c>
    </row>
    <row r="23" spans="1:10" x14ac:dyDescent="0.2">
      <c r="A23" s="1" t="s">
        <v>451</v>
      </c>
      <c r="B23">
        <v>186.89</v>
      </c>
      <c r="C23">
        <v>0</v>
      </c>
      <c r="D23">
        <v>1</v>
      </c>
      <c r="E23">
        <v>0</v>
      </c>
      <c r="F23" s="71">
        <v>42045</v>
      </c>
      <c r="G23" s="88">
        <v>1</v>
      </c>
      <c r="H23" s="1" t="s">
        <v>180</v>
      </c>
      <c r="I23" s="71">
        <v>42004</v>
      </c>
      <c r="J23" s="171" t="s">
        <v>60</v>
      </c>
    </row>
    <row r="24" spans="1:10" x14ac:dyDescent="0.2">
      <c r="A24" s="1" t="s">
        <v>412</v>
      </c>
      <c r="B24">
        <v>190</v>
      </c>
      <c r="C24">
        <v>0</v>
      </c>
      <c r="D24">
        <v>1</v>
      </c>
      <c r="E24">
        <v>0</v>
      </c>
      <c r="F24" s="71">
        <v>42014</v>
      </c>
      <c r="G24" s="84">
        <v>0</v>
      </c>
      <c r="H24" s="1" t="s">
        <v>180</v>
      </c>
      <c r="I24" s="71">
        <v>42002</v>
      </c>
      <c r="J24" t="s">
        <v>153</v>
      </c>
    </row>
    <row r="25" spans="1:10" x14ac:dyDescent="0.2">
      <c r="A25" s="1" t="s">
        <v>413</v>
      </c>
      <c r="B25">
        <v>190</v>
      </c>
      <c r="C25">
        <v>0</v>
      </c>
      <c r="D25">
        <v>1</v>
      </c>
      <c r="E25">
        <v>0</v>
      </c>
      <c r="F25" s="71">
        <v>42045</v>
      </c>
      <c r="G25" s="88">
        <v>1</v>
      </c>
      <c r="H25" s="1" t="s">
        <v>180</v>
      </c>
      <c r="I25" s="71">
        <v>42002</v>
      </c>
      <c r="J25" t="s">
        <v>153</v>
      </c>
    </row>
    <row r="26" spans="1:10" x14ac:dyDescent="0.2">
      <c r="A26" s="1" t="s">
        <v>183</v>
      </c>
      <c r="B26">
        <v>28.14</v>
      </c>
      <c r="C26">
        <v>0</v>
      </c>
      <c r="D26">
        <v>1</v>
      </c>
      <c r="E26">
        <v>0</v>
      </c>
      <c r="F26" s="71">
        <v>42014</v>
      </c>
      <c r="G26" s="84">
        <v>0</v>
      </c>
      <c r="H26" s="1" t="s">
        <v>180</v>
      </c>
      <c r="I26" s="71">
        <v>42004</v>
      </c>
      <c r="J26" s="1" t="s">
        <v>50</v>
      </c>
    </row>
    <row r="27" spans="1:10" x14ac:dyDescent="0.2">
      <c r="A27" s="1" t="s">
        <v>374</v>
      </c>
      <c r="B27">
        <v>8</v>
      </c>
      <c r="C27">
        <v>0</v>
      </c>
      <c r="D27">
        <v>1</v>
      </c>
      <c r="E27">
        <v>0</v>
      </c>
      <c r="F27" s="71">
        <v>42014</v>
      </c>
      <c r="G27" s="84">
        <v>0</v>
      </c>
      <c r="H27" s="1" t="s">
        <v>180</v>
      </c>
      <c r="I27" s="71">
        <v>42004</v>
      </c>
      <c r="J27" s="1" t="s">
        <v>50</v>
      </c>
    </row>
    <row r="28" spans="1:10" x14ac:dyDescent="0.2">
      <c r="A28" s="1" t="s">
        <v>452</v>
      </c>
      <c r="B28">
        <v>3.9</v>
      </c>
      <c r="C28">
        <v>0</v>
      </c>
      <c r="D28">
        <v>1</v>
      </c>
      <c r="E28">
        <v>0</v>
      </c>
      <c r="F28" s="71">
        <v>42014</v>
      </c>
      <c r="G28" s="84">
        <v>0</v>
      </c>
      <c r="H28" s="1" t="s">
        <v>47</v>
      </c>
      <c r="I28" s="71">
        <v>42006</v>
      </c>
      <c r="J28" s="1" t="s">
        <v>50</v>
      </c>
    </row>
    <row r="29" spans="1:10" x14ac:dyDescent="0.2">
      <c r="A29" s="1" t="s">
        <v>107</v>
      </c>
      <c r="B29">
        <v>25.7</v>
      </c>
      <c r="C29">
        <v>0</v>
      </c>
      <c r="D29">
        <v>1</v>
      </c>
      <c r="E29">
        <v>0</v>
      </c>
      <c r="F29" s="71">
        <v>42014</v>
      </c>
      <c r="G29" s="84">
        <v>0</v>
      </c>
      <c r="H29" s="1" t="s">
        <v>180</v>
      </c>
      <c r="I29" s="71">
        <v>42004</v>
      </c>
      <c r="J29" s="171" t="s">
        <v>107</v>
      </c>
    </row>
    <row r="30" spans="1:10" x14ac:dyDescent="0.2">
      <c r="A30" s="1" t="s">
        <v>43</v>
      </c>
      <c r="B30">
        <v>30</v>
      </c>
      <c r="C30">
        <v>1</v>
      </c>
      <c r="D30">
        <v>0</v>
      </c>
      <c r="E30">
        <v>0</v>
      </c>
      <c r="F30" s="71">
        <v>42014</v>
      </c>
      <c r="G30" s="84">
        <v>0</v>
      </c>
      <c r="H30" s="1" t="s">
        <v>180</v>
      </c>
      <c r="I30" s="71">
        <v>42004</v>
      </c>
      <c r="J30" t="s">
        <v>153</v>
      </c>
    </row>
    <row r="31" spans="1:10" x14ac:dyDescent="0.2">
      <c r="A31" s="1" t="s">
        <v>453</v>
      </c>
      <c r="B31">
        <v>55.44</v>
      </c>
      <c r="C31">
        <v>1</v>
      </c>
      <c r="D31">
        <v>0</v>
      </c>
      <c r="E31">
        <v>0</v>
      </c>
      <c r="F31" s="71">
        <v>42014</v>
      </c>
      <c r="G31" s="84">
        <v>0</v>
      </c>
      <c r="H31" s="1" t="s">
        <v>47</v>
      </c>
      <c r="I31" s="71">
        <v>42006</v>
      </c>
      <c r="J31" t="s">
        <v>153</v>
      </c>
    </row>
    <row r="32" spans="1:10" x14ac:dyDescent="0.2">
      <c r="A32" t="s">
        <v>96</v>
      </c>
      <c r="B32">
        <v>25.88</v>
      </c>
      <c r="C32">
        <v>0</v>
      </c>
      <c r="D32">
        <v>1</v>
      </c>
      <c r="E32">
        <v>0</v>
      </c>
      <c r="F32" s="71">
        <v>42014</v>
      </c>
      <c r="G32" s="84">
        <v>0</v>
      </c>
      <c r="H32" s="1" t="s">
        <v>47</v>
      </c>
      <c r="I32" s="71">
        <v>42006</v>
      </c>
      <c r="J32" t="s">
        <v>96</v>
      </c>
    </row>
    <row r="33" spans="1:10" x14ac:dyDescent="0.2">
      <c r="A33" s="1" t="s">
        <v>43</v>
      </c>
      <c r="B33">
        <v>30</v>
      </c>
      <c r="C33">
        <v>1</v>
      </c>
      <c r="D33">
        <v>0</v>
      </c>
      <c r="E33">
        <v>0</v>
      </c>
      <c r="F33" s="71">
        <v>42014</v>
      </c>
      <c r="G33" s="84">
        <v>0</v>
      </c>
      <c r="H33" s="1" t="s">
        <v>47</v>
      </c>
      <c r="I33" s="71">
        <v>42007</v>
      </c>
      <c r="J33" t="s">
        <v>153</v>
      </c>
    </row>
    <row r="34" spans="1:10" x14ac:dyDescent="0.2">
      <c r="A34" s="1" t="s">
        <v>459</v>
      </c>
      <c r="B34">
        <v>6.6</v>
      </c>
      <c r="C34">
        <v>0</v>
      </c>
      <c r="D34">
        <v>1</v>
      </c>
      <c r="E34">
        <v>0</v>
      </c>
      <c r="F34" s="71">
        <v>42014</v>
      </c>
      <c r="G34" s="84">
        <v>0</v>
      </c>
      <c r="H34" s="1" t="s">
        <v>47</v>
      </c>
      <c r="I34" s="71">
        <v>42007</v>
      </c>
      <c r="J34" s="1" t="s">
        <v>50</v>
      </c>
    </row>
    <row r="35" spans="1:10" x14ac:dyDescent="0.2">
      <c r="A35" s="1" t="s">
        <v>207</v>
      </c>
      <c r="B35" s="31">
        <v>69.900000000000006</v>
      </c>
      <c r="C35">
        <v>0</v>
      </c>
      <c r="D35">
        <v>1</v>
      </c>
      <c r="E35">
        <v>0</v>
      </c>
      <c r="F35" s="71">
        <v>42045</v>
      </c>
      <c r="G35" s="88">
        <v>1</v>
      </c>
      <c r="H35" s="1" t="s">
        <v>47</v>
      </c>
      <c r="I35" s="71">
        <v>42011</v>
      </c>
      <c r="J35" t="s">
        <v>46</v>
      </c>
    </row>
    <row r="36" spans="1:10" x14ac:dyDescent="0.2">
      <c r="A36" s="1" t="s">
        <v>486</v>
      </c>
      <c r="B36" s="31">
        <v>8.48</v>
      </c>
      <c r="C36">
        <v>0</v>
      </c>
      <c r="D36">
        <v>1</v>
      </c>
      <c r="E36">
        <v>0</v>
      </c>
      <c r="F36" s="71">
        <v>42045</v>
      </c>
      <c r="G36" s="88">
        <v>1</v>
      </c>
      <c r="H36" s="1" t="s">
        <v>47</v>
      </c>
      <c r="I36" s="71">
        <v>42012</v>
      </c>
      <c r="J36" t="s">
        <v>190</v>
      </c>
    </row>
    <row r="37" spans="1:10" x14ac:dyDescent="0.2">
      <c r="A37" s="1" t="s">
        <v>487</v>
      </c>
      <c r="B37" s="31">
        <v>10.5</v>
      </c>
      <c r="C37">
        <v>0</v>
      </c>
      <c r="D37">
        <v>1</v>
      </c>
      <c r="E37">
        <v>0</v>
      </c>
      <c r="F37" s="71">
        <v>42045</v>
      </c>
      <c r="G37" s="88">
        <v>1</v>
      </c>
      <c r="H37" s="1" t="s">
        <v>47</v>
      </c>
      <c r="I37" s="71">
        <v>42013</v>
      </c>
      <c r="J37" t="s">
        <v>50</v>
      </c>
    </row>
    <row r="38" spans="1:10" x14ac:dyDescent="0.2">
      <c r="A38" t="s">
        <v>96</v>
      </c>
      <c r="B38" s="31">
        <v>27.53</v>
      </c>
      <c r="C38">
        <v>0</v>
      </c>
      <c r="D38">
        <v>1</v>
      </c>
      <c r="E38">
        <v>0</v>
      </c>
      <c r="F38" s="71">
        <v>42045</v>
      </c>
      <c r="G38" s="88">
        <v>1</v>
      </c>
      <c r="H38" s="1" t="s">
        <v>47</v>
      </c>
      <c r="I38" s="71">
        <v>42011</v>
      </c>
      <c r="J38" t="s">
        <v>96</v>
      </c>
    </row>
    <row r="39" spans="1:10" x14ac:dyDescent="0.2">
      <c r="A39" t="s">
        <v>96</v>
      </c>
      <c r="B39" s="31">
        <v>24.7</v>
      </c>
      <c r="C39">
        <v>0</v>
      </c>
      <c r="D39">
        <v>1</v>
      </c>
      <c r="E39">
        <v>0</v>
      </c>
      <c r="F39" s="71">
        <v>42045</v>
      </c>
      <c r="G39" s="88">
        <v>1</v>
      </c>
      <c r="H39" s="1" t="s">
        <v>47</v>
      </c>
      <c r="I39" s="71">
        <v>42012</v>
      </c>
      <c r="J39" t="s">
        <v>96</v>
      </c>
    </row>
    <row r="40" spans="1:10" x14ac:dyDescent="0.2">
      <c r="A40" t="s">
        <v>96</v>
      </c>
      <c r="B40" s="31">
        <v>28.05</v>
      </c>
      <c r="C40">
        <v>0</v>
      </c>
      <c r="D40">
        <v>1</v>
      </c>
      <c r="E40">
        <v>0</v>
      </c>
      <c r="F40" s="71">
        <v>42045</v>
      </c>
      <c r="G40" s="88">
        <v>1</v>
      </c>
      <c r="H40" s="1" t="s">
        <v>47</v>
      </c>
      <c r="I40" s="71">
        <v>42013</v>
      </c>
      <c r="J40" t="s">
        <v>96</v>
      </c>
    </row>
    <row r="41" spans="1:10" x14ac:dyDescent="0.2">
      <c r="A41" s="1" t="s">
        <v>488</v>
      </c>
      <c r="B41" s="31">
        <v>49.17</v>
      </c>
      <c r="C41">
        <v>0</v>
      </c>
      <c r="D41">
        <v>1</v>
      </c>
      <c r="E41">
        <v>0</v>
      </c>
      <c r="F41" s="71">
        <v>42045</v>
      </c>
      <c r="G41" s="88">
        <v>1</v>
      </c>
      <c r="H41" s="1" t="s">
        <v>47</v>
      </c>
      <c r="I41" s="71">
        <v>42013</v>
      </c>
      <c r="J41" s="1" t="s">
        <v>50</v>
      </c>
    </row>
    <row r="42" spans="1:10" x14ac:dyDescent="0.2">
      <c r="A42" s="1" t="s">
        <v>43</v>
      </c>
      <c r="B42" s="31">
        <v>30</v>
      </c>
      <c r="C42">
        <v>1</v>
      </c>
      <c r="D42">
        <v>0</v>
      </c>
      <c r="E42">
        <v>0</v>
      </c>
      <c r="F42" s="71">
        <v>42045</v>
      </c>
      <c r="G42" s="88">
        <v>1</v>
      </c>
      <c r="H42" s="1" t="s">
        <v>47</v>
      </c>
      <c r="I42" s="71">
        <v>42013</v>
      </c>
      <c r="J42" t="s">
        <v>153</v>
      </c>
    </row>
    <row r="43" spans="1:10" x14ac:dyDescent="0.2">
      <c r="A43" s="1" t="s">
        <v>43</v>
      </c>
      <c r="B43" s="31">
        <v>30</v>
      </c>
      <c r="C43">
        <v>1</v>
      </c>
      <c r="D43">
        <v>0</v>
      </c>
      <c r="E43">
        <v>0</v>
      </c>
      <c r="F43" s="71">
        <v>42045</v>
      </c>
      <c r="G43" s="88">
        <v>1</v>
      </c>
      <c r="H43" s="1" t="s">
        <v>49</v>
      </c>
      <c r="I43" s="71">
        <v>42015</v>
      </c>
      <c r="J43" t="s">
        <v>153</v>
      </c>
    </row>
    <row r="44" spans="1:10" x14ac:dyDescent="0.2">
      <c r="A44" s="1" t="s">
        <v>386</v>
      </c>
      <c r="B44" s="31">
        <v>81.5</v>
      </c>
      <c r="C44">
        <v>0</v>
      </c>
      <c r="D44">
        <v>1</v>
      </c>
      <c r="E44">
        <v>0</v>
      </c>
      <c r="F44" s="71">
        <v>42045</v>
      </c>
      <c r="G44" s="88">
        <v>1</v>
      </c>
      <c r="H44" s="1" t="s">
        <v>51</v>
      </c>
      <c r="I44" s="71">
        <v>42018</v>
      </c>
      <c r="J44" s="1" t="s">
        <v>50</v>
      </c>
    </row>
    <row r="45" spans="1:10" x14ac:dyDescent="0.2">
      <c r="A45" s="1" t="s">
        <v>492</v>
      </c>
      <c r="B45" s="31">
        <v>6.6</v>
      </c>
      <c r="C45">
        <v>0</v>
      </c>
      <c r="D45">
        <v>1</v>
      </c>
      <c r="E45">
        <v>0</v>
      </c>
      <c r="F45" s="71">
        <v>42045</v>
      </c>
      <c r="G45" s="88">
        <v>1</v>
      </c>
      <c r="H45" s="1" t="s">
        <v>49</v>
      </c>
      <c r="I45" s="71">
        <v>42020</v>
      </c>
      <c r="J45" s="1" t="s">
        <v>50</v>
      </c>
    </row>
    <row r="46" spans="1:10" x14ac:dyDescent="0.2">
      <c r="A46" s="1" t="s">
        <v>504</v>
      </c>
      <c r="B46" s="31">
        <v>20</v>
      </c>
      <c r="C46">
        <v>0</v>
      </c>
      <c r="D46">
        <v>1</v>
      </c>
      <c r="E46">
        <v>0</v>
      </c>
      <c r="F46" s="71">
        <v>42045</v>
      </c>
      <c r="G46" s="88">
        <v>1</v>
      </c>
      <c r="H46" s="1" t="s">
        <v>49</v>
      </c>
      <c r="I46" s="71">
        <v>42020</v>
      </c>
      <c r="J46" t="s">
        <v>96</v>
      </c>
    </row>
    <row r="47" spans="1:10" x14ac:dyDescent="0.2">
      <c r="A47" s="1" t="s">
        <v>43</v>
      </c>
      <c r="B47" s="31">
        <v>30</v>
      </c>
      <c r="C47">
        <v>1</v>
      </c>
      <c r="D47">
        <v>0</v>
      </c>
      <c r="E47">
        <v>0</v>
      </c>
      <c r="F47" s="71">
        <v>42045</v>
      </c>
      <c r="G47" s="88">
        <v>1</v>
      </c>
      <c r="H47" s="1" t="s">
        <v>49</v>
      </c>
      <c r="I47" s="71">
        <v>42020</v>
      </c>
      <c r="J47" t="s">
        <v>153</v>
      </c>
    </row>
    <row r="48" spans="1:10" x14ac:dyDescent="0.2">
      <c r="A48" s="1" t="s">
        <v>43</v>
      </c>
      <c r="B48" s="31">
        <v>30</v>
      </c>
      <c r="C48">
        <v>1</v>
      </c>
      <c r="D48">
        <v>0</v>
      </c>
      <c r="E48">
        <v>0</v>
      </c>
      <c r="F48" s="71">
        <v>42045</v>
      </c>
      <c r="G48" s="88">
        <v>1</v>
      </c>
      <c r="H48" s="1" t="s">
        <v>49</v>
      </c>
      <c r="I48" s="71">
        <v>42021</v>
      </c>
      <c r="J48" t="s">
        <v>153</v>
      </c>
    </row>
    <row r="49" spans="1:10" x14ac:dyDescent="0.2">
      <c r="A49" s="1" t="s">
        <v>493</v>
      </c>
      <c r="B49" s="31">
        <v>46.7</v>
      </c>
      <c r="C49">
        <v>0</v>
      </c>
      <c r="D49">
        <v>1</v>
      </c>
      <c r="E49">
        <v>0</v>
      </c>
      <c r="F49" s="71">
        <v>42045</v>
      </c>
      <c r="G49" s="88">
        <v>1</v>
      </c>
      <c r="H49" s="1" t="s">
        <v>49</v>
      </c>
      <c r="I49" s="71">
        <v>42020</v>
      </c>
      <c r="J49" t="s">
        <v>153</v>
      </c>
    </row>
    <row r="50" spans="1:10" x14ac:dyDescent="0.2">
      <c r="A50" s="1" t="s">
        <v>494</v>
      </c>
      <c r="B50" s="31">
        <v>7.65</v>
      </c>
      <c r="C50">
        <v>0</v>
      </c>
      <c r="D50">
        <v>1</v>
      </c>
      <c r="E50">
        <v>0</v>
      </c>
      <c r="F50" s="71">
        <v>42045</v>
      </c>
      <c r="G50" s="88">
        <v>1</v>
      </c>
      <c r="H50" s="1" t="s">
        <v>49</v>
      </c>
      <c r="I50" s="71">
        <v>42021</v>
      </c>
      <c r="J50" s="1" t="s">
        <v>50</v>
      </c>
    </row>
    <row r="51" spans="1:10" x14ac:dyDescent="0.2">
      <c r="A51" s="1" t="s">
        <v>107</v>
      </c>
      <c r="B51" s="31">
        <v>30.1</v>
      </c>
      <c r="C51">
        <v>0</v>
      </c>
      <c r="D51">
        <v>1</v>
      </c>
      <c r="E51">
        <v>0</v>
      </c>
      <c r="F51" s="71">
        <v>42045</v>
      </c>
      <c r="G51" s="88">
        <v>1</v>
      </c>
      <c r="H51" s="1" t="s">
        <v>54</v>
      </c>
      <c r="I51" s="71">
        <v>42024</v>
      </c>
      <c r="J51" s="171" t="s">
        <v>107</v>
      </c>
    </row>
    <row r="52" spans="1:10" x14ac:dyDescent="0.2">
      <c r="A52" t="s">
        <v>96</v>
      </c>
      <c r="B52" s="31">
        <v>24.7</v>
      </c>
      <c r="C52">
        <v>0</v>
      </c>
      <c r="D52">
        <v>1</v>
      </c>
      <c r="E52">
        <v>0</v>
      </c>
      <c r="F52" s="71">
        <v>42045</v>
      </c>
      <c r="G52" s="88">
        <v>1</v>
      </c>
      <c r="H52" s="1" t="s">
        <v>54</v>
      </c>
      <c r="I52" s="71">
        <v>42023</v>
      </c>
      <c r="J52" t="s">
        <v>96</v>
      </c>
    </row>
    <row r="53" spans="1:10" x14ac:dyDescent="0.2">
      <c r="A53" s="1" t="s">
        <v>53</v>
      </c>
      <c r="B53" s="31">
        <v>20.5</v>
      </c>
      <c r="C53">
        <v>0</v>
      </c>
      <c r="D53">
        <v>1</v>
      </c>
      <c r="E53">
        <v>0</v>
      </c>
      <c r="F53" s="71">
        <v>42045</v>
      </c>
      <c r="G53" s="88">
        <v>1</v>
      </c>
      <c r="H53" s="1" t="s">
        <v>54</v>
      </c>
      <c r="I53" s="71">
        <v>42025</v>
      </c>
      <c r="J53" s="1" t="s">
        <v>50</v>
      </c>
    </row>
    <row r="54" spans="1:10" x14ac:dyDescent="0.2">
      <c r="A54" s="1" t="s">
        <v>495</v>
      </c>
      <c r="B54" s="31">
        <v>58</v>
      </c>
      <c r="C54">
        <v>0</v>
      </c>
      <c r="D54">
        <v>1</v>
      </c>
      <c r="E54">
        <v>0</v>
      </c>
      <c r="F54" s="71">
        <v>42045</v>
      </c>
      <c r="G54" s="88">
        <v>1</v>
      </c>
      <c r="H54" s="1" t="s">
        <v>54</v>
      </c>
      <c r="I54" s="71">
        <v>42024</v>
      </c>
      <c r="J54" s="171" t="s">
        <v>391</v>
      </c>
    </row>
    <row r="55" spans="1:10" x14ac:dyDescent="0.2">
      <c r="A55" s="1" t="s">
        <v>496</v>
      </c>
      <c r="B55" s="31">
        <v>14.5</v>
      </c>
      <c r="C55">
        <v>0</v>
      </c>
      <c r="D55">
        <v>1</v>
      </c>
      <c r="E55">
        <v>0</v>
      </c>
      <c r="F55" s="71">
        <v>42045</v>
      </c>
      <c r="G55" s="88">
        <v>1</v>
      </c>
      <c r="H55" s="1" t="s">
        <v>54</v>
      </c>
      <c r="I55" s="71">
        <v>42024</v>
      </c>
      <c r="J55" s="1" t="s">
        <v>50</v>
      </c>
    </row>
    <row r="56" spans="1:10" x14ac:dyDescent="0.2">
      <c r="A56" t="s">
        <v>96</v>
      </c>
      <c r="B56" s="31">
        <v>15.6</v>
      </c>
      <c r="C56">
        <v>0</v>
      </c>
      <c r="D56">
        <v>1</v>
      </c>
      <c r="E56">
        <v>0</v>
      </c>
      <c r="F56" s="71">
        <v>42045</v>
      </c>
      <c r="G56" s="88">
        <v>1</v>
      </c>
      <c r="H56" s="1" t="s">
        <v>54</v>
      </c>
      <c r="I56" s="71">
        <v>42025</v>
      </c>
      <c r="J56" t="s">
        <v>96</v>
      </c>
    </row>
    <row r="57" spans="1:10" x14ac:dyDescent="0.2">
      <c r="A57" t="s">
        <v>96</v>
      </c>
      <c r="B57" s="31">
        <v>16.489999999999998</v>
      </c>
      <c r="C57">
        <v>0</v>
      </c>
      <c r="D57">
        <v>1</v>
      </c>
      <c r="E57">
        <v>0</v>
      </c>
      <c r="F57" s="71">
        <v>42045</v>
      </c>
      <c r="G57" s="88">
        <v>1</v>
      </c>
      <c r="H57" s="1" t="s">
        <v>54</v>
      </c>
      <c r="I57" s="71">
        <v>42026</v>
      </c>
      <c r="J57" t="s">
        <v>96</v>
      </c>
    </row>
    <row r="58" spans="1:10" x14ac:dyDescent="0.2">
      <c r="A58" t="s">
        <v>96</v>
      </c>
      <c r="B58" s="31">
        <v>24.36</v>
      </c>
      <c r="C58">
        <v>0</v>
      </c>
      <c r="D58">
        <v>1</v>
      </c>
      <c r="E58">
        <v>0</v>
      </c>
      <c r="F58" s="71">
        <v>42045</v>
      </c>
      <c r="G58" s="88">
        <v>1</v>
      </c>
      <c r="H58" s="1" t="s">
        <v>54</v>
      </c>
      <c r="I58" s="71">
        <v>42027</v>
      </c>
      <c r="J58" t="s">
        <v>96</v>
      </c>
    </row>
    <row r="59" spans="1:10" x14ac:dyDescent="0.2">
      <c r="A59" s="1" t="s">
        <v>486</v>
      </c>
      <c r="B59" s="31">
        <v>46.3</v>
      </c>
      <c r="C59">
        <v>0</v>
      </c>
      <c r="D59">
        <v>1</v>
      </c>
      <c r="E59">
        <v>0</v>
      </c>
      <c r="F59" s="71">
        <v>42045</v>
      </c>
      <c r="G59" s="88">
        <v>1</v>
      </c>
      <c r="H59" s="1" t="s">
        <v>54</v>
      </c>
      <c r="I59" s="71">
        <v>42021</v>
      </c>
      <c r="J59" s="1" t="s">
        <v>190</v>
      </c>
    </row>
    <row r="60" spans="1:10" x14ac:dyDescent="0.2">
      <c r="A60" s="1" t="s">
        <v>506</v>
      </c>
      <c r="B60" s="31">
        <v>75</v>
      </c>
      <c r="C60">
        <v>0</v>
      </c>
      <c r="D60">
        <v>1</v>
      </c>
      <c r="E60">
        <v>0</v>
      </c>
      <c r="F60" s="71">
        <v>42045</v>
      </c>
      <c r="G60" s="88">
        <v>1</v>
      </c>
      <c r="H60" s="1" t="s">
        <v>55</v>
      </c>
      <c r="I60" s="71">
        <v>42031</v>
      </c>
      <c r="J60" s="171" t="s">
        <v>333</v>
      </c>
    </row>
    <row r="61" spans="1:10" x14ac:dyDescent="0.2">
      <c r="A61" s="1" t="s">
        <v>507</v>
      </c>
      <c r="B61" s="31">
        <v>75</v>
      </c>
      <c r="C61">
        <v>0</v>
      </c>
      <c r="D61">
        <v>1</v>
      </c>
      <c r="E61">
        <v>0</v>
      </c>
      <c r="F61" s="71">
        <v>42073</v>
      </c>
      <c r="G61" s="84">
        <v>0</v>
      </c>
      <c r="H61" s="1" t="s">
        <v>55</v>
      </c>
      <c r="I61" s="71">
        <v>42031</v>
      </c>
      <c r="J61" s="171" t="s">
        <v>333</v>
      </c>
    </row>
    <row r="62" spans="1:10" x14ac:dyDescent="0.2">
      <c r="A62" s="1" t="s">
        <v>43</v>
      </c>
      <c r="B62" s="31">
        <v>60</v>
      </c>
      <c r="C62">
        <v>1</v>
      </c>
      <c r="D62">
        <v>0</v>
      </c>
      <c r="E62">
        <v>0</v>
      </c>
      <c r="F62" s="71">
        <v>42045</v>
      </c>
      <c r="G62" s="88">
        <v>1</v>
      </c>
      <c r="H62" s="1" t="s">
        <v>49</v>
      </c>
      <c r="I62" s="71">
        <v>42029</v>
      </c>
      <c r="J62" t="s">
        <v>153</v>
      </c>
    </row>
    <row r="63" spans="1:10" x14ac:dyDescent="0.2">
      <c r="A63" s="1" t="s">
        <v>508</v>
      </c>
      <c r="B63" s="31">
        <v>25</v>
      </c>
      <c r="C63">
        <v>0</v>
      </c>
      <c r="D63">
        <v>1</v>
      </c>
      <c r="E63">
        <v>0</v>
      </c>
      <c r="F63" s="71">
        <v>42045</v>
      </c>
      <c r="G63" s="88">
        <v>1</v>
      </c>
      <c r="H63" s="1" t="s">
        <v>55</v>
      </c>
      <c r="I63" s="71">
        <v>42029</v>
      </c>
      <c r="J63" t="s">
        <v>96</v>
      </c>
    </row>
    <row r="64" spans="1:10" x14ac:dyDescent="0.2">
      <c r="A64" s="1" t="s">
        <v>96</v>
      </c>
      <c r="B64" s="31">
        <v>13.23</v>
      </c>
      <c r="C64">
        <v>0</v>
      </c>
      <c r="D64">
        <v>1</v>
      </c>
      <c r="E64">
        <v>0</v>
      </c>
      <c r="F64" s="71">
        <v>42045</v>
      </c>
      <c r="G64" s="88">
        <v>1</v>
      </c>
      <c r="H64" s="1" t="s">
        <v>55</v>
      </c>
      <c r="I64" s="71">
        <v>42031</v>
      </c>
      <c r="J64" t="s">
        <v>96</v>
      </c>
    </row>
    <row r="65" spans="1:10" x14ac:dyDescent="0.2">
      <c r="A65" s="1" t="s">
        <v>95</v>
      </c>
      <c r="B65" s="31">
        <v>9.9</v>
      </c>
      <c r="C65">
        <v>0</v>
      </c>
      <c r="D65">
        <v>1</v>
      </c>
      <c r="E65">
        <v>0</v>
      </c>
      <c r="F65" s="71">
        <v>42045</v>
      </c>
      <c r="G65" s="88">
        <v>1</v>
      </c>
      <c r="H65" s="1" t="s">
        <v>55</v>
      </c>
      <c r="I65" s="71">
        <v>42031</v>
      </c>
      <c r="J65" s="1" t="s">
        <v>50</v>
      </c>
    </row>
    <row r="66" spans="1:10" x14ac:dyDescent="0.2">
      <c r="A66" s="1" t="s">
        <v>43</v>
      </c>
      <c r="B66" s="31">
        <v>30</v>
      </c>
      <c r="C66">
        <v>1</v>
      </c>
      <c r="D66">
        <v>0</v>
      </c>
      <c r="E66">
        <v>0</v>
      </c>
      <c r="F66" s="71">
        <v>42045</v>
      </c>
      <c r="G66" s="88">
        <v>1</v>
      </c>
      <c r="H66" s="1" t="s">
        <v>55</v>
      </c>
      <c r="I66" s="71">
        <v>42033</v>
      </c>
      <c r="J66" t="s">
        <v>153</v>
      </c>
    </row>
    <row r="67" spans="1:10" x14ac:dyDescent="0.2">
      <c r="A67" s="1" t="s">
        <v>96</v>
      </c>
      <c r="B67" s="31">
        <v>15.94</v>
      </c>
      <c r="C67">
        <v>0</v>
      </c>
      <c r="D67">
        <v>1</v>
      </c>
      <c r="E67">
        <v>0</v>
      </c>
      <c r="F67" s="71">
        <v>42045</v>
      </c>
      <c r="G67" s="88">
        <v>1</v>
      </c>
      <c r="H67" s="1" t="s">
        <v>55</v>
      </c>
      <c r="I67" s="71">
        <v>42033</v>
      </c>
      <c r="J67" t="s">
        <v>96</v>
      </c>
    </row>
    <row r="68" spans="1:10" x14ac:dyDescent="0.2">
      <c r="A68" s="1" t="s">
        <v>107</v>
      </c>
      <c r="B68" s="31">
        <v>29.88</v>
      </c>
      <c r="C68">
        <v>0</v>
      </c>
      <c r="D68">
        <v>1</v>
      </c>
      <c r="E68">
        <v>0</v>
      </c>
      <c r="F68" s="71">
        <v>42045</v>
      </c>
      <c r="G68" s="88">
        <v>1</v>
      </c>
      <c r="H68" s="1" t="s">
        <v>55</v>
      </c>
      <c r="I68" s="71">
        <v>42032</v>
      </c>
      <c r="J68" s="171" t="s">
        <v>107</v>
      </c>
    </row>
    <row r="69" spans="1:10" x14ac:dyDescent="0.2">
      <c r="A69" s="1" t="s">
        <v>107</v>
      </c>
      <c r="B69" s="31">
        <v>13.69</v>
      </c>
      <c r="C69">
        <v>0</v>
      </c>
      <c r="D69">
        <v>1</v>
      </c>
      <c r="E69">
        <v>0</v>
      </c>
      <c r="F69" s="71">
        <v>42045</v>
      </c>
      <c r="G69" s="88">
        <v>1</v>
      </c>
      <c r="H69" s="1" t="s">
        <v>55</v>
      </c>
      <c r="I69" s="71">
        <v>42033</v>
      </c>
      <c r="J69" s="171" t="s">
        <v>107</v>
      </c>
    </row>
    <row r="70" spans="1:10" x14ac:dyDescent="0.2">
      <c r="A70" s="1" t="s">
        <v>53</v>
      </c>
      <c r="B70" s="31">
        <v>9</v>
      </c>
      <c r="C70">
        <v>0</v>
      </c>
      <c r="D70">
        <v>1</v>
      </c>
      <c r="E70">
        <v>0</v>
      </c>
      <c r="F70" s="71">
        <v>42045</v>
      </c>
      <c r="G70" s="88">
        <v>1</v>
      </c>
      <c r="H70" s="1" t="s">
        <v>55</v>
      </c>
      <c r="I70" s="71">
        <v>42033</v>
      </c>
      <c r="J70" s="1" t="s">
        <v>50</v>
      </c>
    </row>
    <row r="71" spans="1:10" x14ac:dyDescent="0.2">
      <c r="A71" s="1" t="s">
        <v>514</v>
      </c>
      <c r="B71" s="31">
        <v>44</v>
      </c>
      <c r="C71">
        <v>0</v>
      </c>
      <c r="D71">
        <v>1</v>
      </c>
      <c r="E71">
        <v>0</v>
      </c>
      <c r="F71" s="71">
        <v>42045</v>
      </c>
      <c r="G71" s="88">
        <v>1</v>
      </c>
      <c r="H71" s="1" t="s">
        <v>55</v>
      </c>
      <c r="I71" s="71">
        <v>42032</v>
      </c>
      <c r="J71" s="1" t="s">
        <v>50</v>
      </c>
    </row>
    <row r="72" spans="1:10" x14ac:dyDescent="0.2">
      <c r="A72" s="1" t="s">
        <v>43</v>
      </c>
      <c r="B72" s="31">
        <v>30</v>
      </c>
      <c r="C72">
        <v>0</v>
      </c>
      <c r="D72">
        <v>1</v>
      </c>
      <c r="E72">
        <v>0</v>
      </c>
      <c r="F72" s="71">
        <v>42045</v>
      </c>
      <c r="G72" s="88">
        <v>1</v>
      </c>
      <c r="H72" s="1" t="s">
        <v>49</v>
      </c>
      <c r="I72" s="71">
        <v>42035</v>
      </c>
      <c r="J72" t="s">
        <v>153</v>
      </c>
    </row>
    <row r="73" spans="1:10" x14ac:dyDescent="0.2">
      <c r="A73" s="1" t="s">
        <v>43</v>
      </c>
      <c r="B73" s="31">
        <v>30</v>
      </c>
      <c r="C73">
        <v>0</v>
      </c>
      <c r="D73">
        <v>1</v>
      </c>
      <c r="E73">
        <v>0</v>
      </c>
      <c r="F73" s="71">
        <v>42045</v>
      </c>
      <c r="G73" s="88">
        <v>1</v>
      </c>
      <c r="H73" s="1" t="s">
        <v>49</v>
      </c>
      <c r="I73" s="71">
        <v>42035</v>
      </c>
      <c r="J73" t="s">
        <v>153</v>
      </c>
    </row>
    <row r="74" spans="1:10" x14ac:dyDescent="0.2">
      <c r="A74" s="1" t="s">
        <v>193</v>
      </c>
      <c r="B74" s="31">
        <v>54.8</v>
      </c>
      <c r="C74">
        <v>0</v>
      </c>
      <c r="D74">
        <v>1</v>
      </c>
      <c r="E74">
        <v>0</v>
      </c>
      <c r="F74" s="71">
        <v>42045</v>
      </c>
      <c r="G74" s="88">
        <v>1</v>
      </c>
      <c r="H74" s="1" t="s">
        <v>49</v>
      </c>
      <c r="I74" s="71">
        <v>42036</v>
      </c>
      <c r="J74" s="1" t="s">
        <v>50</v>
      </c>
    </row>
    <row r="75" spans="1:10" x14ac:dyDescent="0.2">
      <c r="A75" s="1" t="s">
        <v>515</v>
      </c>
      <c r="B75" s="31">
        <v>10.54</v>
      </c>
      <c r="C75">
        <v>0</v>
      </c>
      <c r="D75">
        <v>1</v>
      </c>
      <c r="E75">
        <v>0</v>
      </c>
      <c r="F75" s="71">
        <v>42045</v>
      </c>
      <c r="G75" s="88">
        <v>1</v>
      </c>
      <c r="H75" s="1" t="s">
        <v>49</v>
      </c>
      <c r="I75" s="71">
        <v>42035</v>
      </c>
      <c r="J75" s="1" t="s">
        <v>50</v>
      </c>
    </row>
    <row r="76" spans="1:10" x14ac:dyDescent="0.2">
      <c r="A76" s="1" t="s">
        <v>96</v>
      </c>
      <c r="B76" s="31">
        <v>35</v>
      </c>
      <c r="C76">
        <v>0</v>
      </c>
      <c r="D76">
        <v>1</v>
      </c>
      <c r="E76">
        <v>0</v>
      </c>
      <c r="F76" s="71">
        <v>42045</v>
      </c>
      <c r="G76" s="88">
        <v>1</v>
      </c>
      <c r="H76" s="1" t="s">
        <v>49</v>
      </c>
      <c r="I76" s="71">
        <v>42035</v>
      </c>
      <c r="J76" t="s">
        <v>96</v>
      </c>
    </row>
    <row r="77" spans="1:10" x14ac:dyDescent="0.2">
      <c r="A77" s="1" t="s">
        <v>509</v>
      </c>
      <c r="B77">
        <f>656.39/3</f>
        <v>218.79666666666665</v>
      </c>
      <c r="C77">
        <v>0</v>
      </c>
      <c r="D77">
        <v>1</v>
      </c>
      <c r="E77">
        <v>0</v>
      </c>
      <c r="F77" s="71">
        <v>42073</v>
      </c>
      <c r="G77" s="84">
        <v>0</v>
      </c>
      <c r="H77" s="1" t="s">
        <v>47</v>
      </c>
      <c r="I77" s="71">
        <v>42041</v>
      </c>
      <c r="J77" s="171" t="s">
        <v>60</v>
      </c>
    </row>
    <row r="78" spans="1:10" x14ac:dyDescent="0.2">
      <c r="A78" s="1" t="s">
        <v>510</v>
      </c>
      <c r="B78">
        <f>656.39/3</f>
        <v>218.79666666666665</v>
      </c>
      <c r="C78">
        <v>0</v>
      </c>
      <c r="D78">
        <v>1</v>
      </c>
      <c r="E78">
        <v>0</v>
      </c>
      <c r="F78" s="71">
        <v>42104</v>
      </c>
      <c r="G78" s="84">
        <v>0</v>
      </c>
      <c r="H78" s="1" t="s">
        <v>47</v>
      </c>
      <c r="I78" s="71">
        <v>42041</v>
      </c>
      <c r="J78" s="171" t="s">
        <v>60</v>
      </c>
    </row>
    <row r="79" spans="1:10" x14ac:dyDescent="0.2">
      <c r="A79" s="1" t="s">
        <v>511</v>
      </c>
      <c r="B79">
        <f>656.39/3</f>
        <v>218.79666666666665</v>
      </c>
      <c r="C79">
        <v>0</v>
      </c>
      <c r="D79">
        <v>1</v>
      </c>
      <c r="E79">
        <v>0</v>
      </c>
      <c r="F79" s="71">
        <v>42134</v>
      </c>
      <c r="G79" s="84">
        <v>0</v>
      </c>
      <c r="H79" s="1" t="s">
        <v>47</v>
      </c>
      <c r="I79" s="71">
        <v>42041</v>
      </c>
      <c r="J79" s="171" t="s">
        <v>60</v>
      </c>
    </row>
    <row r="80" spans="1:10" x14ac:dyDescent="0.2">
      <c r="A80" s="1" t="s">
        <v>523</v>
      </c>
      <c r="B80">
        <v>64.98</v>
      </c>
      <c r="C80">
        <v>0</v>
      </c>
      <c r="D80">
        <v>1</v>
      </c>
      <c r="E80">
        <v>0</v>
      </c>
      <c r="F80" s="71">
        <v>42073</v>
      </c>
      <c r="G80" s="84">
        <v>0</v>
      </c>
      <c r="H80" s="1" t="s">
        <v>47</v>
      </c>
      <c r="I80" s="71">
        <v>42041</v>
      </c>
      <c r="J80" s="171" t="s">
        <v>333</v>
      </c>
    </row>
    <row r="81" spans="1:10" x14ac:dyDescent="0.2">
      <c r="A81" s="100" t="s">
        <v>453</v>
      </c>
      <c r="B81" s="100">
        <v>50.75</v>
      </c>
      <c r="C81" s="100">
        <v>0</v>
      </c>
      <c r="D81" s="100">
        <v>1</v>
      </c>
      <c r="E81">
        <v>0</v>
      </c>
      <c r="F81" s="71">
        <v>42073</v>
      </c>
      <c r="G81" s="84">
        <v>0</v>
      </c>
      <c r="H81" s="100" t="s">
        <v>47</v>
      </c>
      <c r="I81" s="85">
        <v>42041</v>
      </c>
      <c r="J81" s="159" t="s">
        <v>153</v>
      </c>
    </row>
    <row r="82" spans="1:10" x14ac:dyDescent="0.2">
      <c r="A82" s="100" t="s">
        <v>521</v>
      </c>
      <c r="B82" s="100">
        <v>145.4</v>
      </c>
      <c r="C82" s="100">
        <v>0</v>
      </c>
      <c r="D82" s="100">
        <v>1</v>
      </c>
      <c r="E82">
        <v>0</v>
      </c>
      <c r="F82" s="71">
        <v>42073</v>
      </c>
      <c r="G82" s="84">
        <v>0</v>
      </c>
      <c r="H82" s="100" t="s">
        <v>47</v>
      </c>
      <c r="I82" s="85">
        <v>42041</v>
      </c>
      <c r="J82" s="10" t="s">
        <v>50</v>
      </c>
    </row>
    <row r="83" spans="1:10" x14ac:dyDescent="0.2">
      <c r="A83" s="1" t="s">
        <v>207</v>
      </c>
      <c r="B83" s="31">
        <v>69.900000000000006</v>
      </c>
      <c r="C83">
        <v>0</v>
      </c>
      <c r="D83">
        <v>1</v>
      </c>
      <c r="E83">
        <v>0</v>
      </c>
      <c r="F83" s="71">
        <v>42073</v>
      </c>
      <c r="G83" s="84">
        <v>0</v>
      </c>
      <c r="H83" s="1" t="s">
        <v>47</v>
      </c>
      <c r="I83" s="71">
        <v>42011</v>
      </c>
      <c r="J83" t="s">
        <v>46</v>
      </c>
    </row>
    <row r="84" spans="1:10" x14ac:dyDescent="0.2">
      <c r="A84" s="12" t="s">
        <v>529</v>
      </c>
      <c r="B84" s="88">
        <v>670</v>
      </c>
      <c r="C84" s="12">
        <v>1</v>
      </c>
      <c r="D84" s="12">
        <v>0</v>
      </c>
      <c r="E84">
        <v>0</v>
      </c>
      <c r="F84" s="89">
        <v>42045</v>
      </c>
      <c r="G84" s="88">
        <v>0</v>
      </c>
      <c r="H84" s="12" t="s">
        <v>54</v>
      </c>
      <c r="I84" s="89">
        <v>42052</v>
      </c>
      <c r="J84" s="12" t="s">
        <v>334</v>
      </c>
    </row>
    <row r="85" spans="1:10" x14ac:dyDescent="0.2">
      <c r="A85" s="12" t="s">
        <v>530</v>
      </c>
      <c r="B85" s="88">
        <v>670</v>
      </c>
      <c r="C85" s="12">
        <v>1</v>
      </c>
      <c r="D85" s="12">
        <v>0</v>
      </c>
      <c r="E85">
        <v>0</v>
      </c>
      <c r="F85" s="89">
        <v>42073</v>
      </c>
      <c r="G85" s="88">
        <v>0</v>
      </c>
      <c r="H85" s="12" t="s">
        <v>54</v>
      </c>
      <c r="I85" s="89">
        <v>42080</v>
      </c>
      <c r="J85" s="12" t="s">
        <v>334</v>
      </c>
    </row>
    <row r="86" spans="1:10" x14ac:dyDescent="0.2">
      <c r="A86" s="12" t="s">
        <v>531</v>
      </c>
      <c r="B86" s="88">
        <v>670</v>
      </c>
      <c r="C86" s="12">
        <v>1</v>
      </c>
      <c r="D86" s="12">
        <v>0</v>
      </c>
      <c r="E86">
        <v>0</v>
      </c>
      <c r="F86" s="89">
        <v>42104</v>
      </c>
      <c r="G86" s="88">
        <v>0</v>
      </c>
      <c r="H86" s="12" t="s">
        <v>54</v>
      </c>
      <c r="I86" s="89">
        <v>42111</v>
      </c>
      <c r="J86" s="12" t="s">
        <v>334</v>
      </c>
    </row>
    <row r="87" spans="1:10" x14ac:dyDescent="0.2">
      <c r="A87" s="12" t="s">
        <v>532</v>
      </c>
      <c r="B87" s="88">
        <v>670</v>
      </c>
      <c r="C87" s="12">
        <v>1</v>
      </c>
      <c r="D87" s="12">
        <v>0</v>
      </c>
      <c r="E87">
        <v>0</v>
      </c>
      <c r="F87" s="71">
        <v>42134</v>
      </c>
      <c r="G87" s="88">
        <v>0</v>
      </c>
      <c r="H87" s="12" t="s">
        <v>54</v>
      </c>
      <c r="I87" s="89">
        <v>42141</v>
      </c>
      <c r="J87" s="12" t="s">
        <v>334</v>
      </c>
    </row>
    <row r="88" spans="1:10" x14ac:dyDescent="0.2">
      <c r="A88" s="12" t="s">
        <v>87</v>
      </c>
      <c r="B88" s="88">
        <v>17.63</v>
      </c>
      <c r="C88" s="12">
        <v>1</v>
      </c>
      <c r="D88" s="12">
        <v>0</v>
      </c>
      <c r="E88">
        <v>0</v>
      </c>
      <c r="F88" s="71">
        <v>42073</v>
      </c>
      <c r="G88" s="88">
        <v>0</v>
      </c>
      <c r="H88" s="12" t="s">
        <v>54</v>
      </c>
      <c r="I88" s="89">
        <v>42080</v>
      </c>
      <c r="J88" s="12" t="s">
        <v>87</v>
      </c>
    </row>
    <row r="89" spans="1:10" x14ac:dyDescent="0.2">
      <c r="A89" s="1" t="s">
        <v>207</v>
      </c>
      <c r="B89" s="31">
        <v>69.900000000000006</v>
      </c>
      <c r="C89">
        <v>0</v>
      </c>
      <c r="D89">
        <v>1</v>
      </c>
      <c r="E89">
        <v>0</v>
      </c>
      <c r="F89" s="71">
        <v>42104</v>
      </c>
      <c r="G89" s="84">
        <v>0</v>
      </c>
      <c r="H89" s="1" t="s">
        <v>47</v>
      </c>
      <c r="I89" s="71">
        <v>42011</v>
      </c>
      <c r="J89" t="s">
        <v>46</v>
      </c>
    </row>
    <row r="90" spans="1:10" x14ac:dyDescent="0.2">
      <c r="A90" s="1" t="s">
        <v>207</v>
      </c>
      <c r="B90" s="31">
        <v>69.900000000000006</v>
      </c>
      <c r="C90">
        <v>0</v>
      </c>
      <c r="D90">
        <v>1</v>
      </c>
      <c r="E90">
        <v>0</v>
      </c>
      <c r="F90" s="71">
        <v>42134</v>
      </c>
      <c r="G90" s="84">
        <v>0</v>
      </c>
      <c r="H90" s="1" t="s">
        <v>47</v>
      </c>
      <c r="I90" s="71">
        <v>42011</v>
      </c>
      <c r="J90" t="s">
        <v>46</v>
      </c>
    </row>
    <row r="91" spans="1:10" x14ac:dyDescent="0.2">
      <c r="A91" s="12" t="s">
        <v>633</v>
      </c>
      <c r="B91" s="88">
        <v>80</v>
      </c>
      <c r="C91">
        <v>0</v>
      </c>
      <c r="D91">
        <v>1</v>
      </c>
      <c r="E91">
        <v>0</v>
      </c>
      <c r="F91" s="71">
        <v>42104</v>
      </c>
      <c r="G91" s="84">
        <v>0</v>
      </c>
      <c r="H91" s="1" t="s">
        <v>47</v>
      </c>
      <c r="I91" s="71">
        <v>42077</v>
      </c>
      <c r="J91" s="171" t="s">
        <v>346</v>
      </c>
    </row>
    <row r="92" spans="1:10" x14ac:dyDescent="0.2">
      <c r="A92" s="12" t="s">
        <v>632</v>
      </c>
      <c r="B92" s="88">
        <v>199</v>
      </c>
      <c r="C92">
        <v>0</v>
      </c>
      <c r="D92">
        <v>1</v>
      </c>
      <c r="E92">
        <v>0</v>
      </c>
      <c r="F92" s="71">
        <v>42104</v>
      </c>
      <c r="G92" s="84">
        <v>0</v>
      </c>
      <c r="H92" s="1" t="s">
        <v>47</v>
      </c>
      <c r="I92" s="71">
        <v>42077</v>
      </c>
      <c r="J92" s="171" t="s">
        <v>346</v>
      </c>
    </row>
    <row r="93" spans="1:10" x14ac:dyDescent="0.2">
      <c r="A93" s="12" t="s">
        <v>634</v>
      </c>
      <c r="B93" s="88">
        <v>80</v>
      </c>
      <c r="C93">
        <v>0</v>
      </c>
      <c r="D93">
        <v>1</v>
      </c>
      <c r="E93">
        <v>0</v>
      </c>
      <c r="F93" s="71">
        <v>42134</v>
      </c>
      <c r="G93" s="84">
        <v>0</v>
      </c>
      <c r="H93" s="1" t="s">
        <v>47</v>
      </c>
      <c r="I93" s="71">
        <v>42077</v>
      </c>
      <c r="J93" s="171" t="s">
        <v>346</v>
      </c>
    </row>
    <row r="94" spans="1:10" x14ac:dyDescent="0.2">
      <c r="A94" s="12" t="s">
        <v>635</v>
      </c>
      <c r="B94" s="88">
        <v>199</v>
      </c>
      <c r="C94">
        <v>0</v>
      </c>
      <c r="D94">
        <v>1</v>
      </c>
      <c r="E94">
        <v>0</v>
      </c>
      <c r="F94" s="71">
        <v>42134</v>
      </c>
      <c r="G94" s="84">
        <v>0</v>
      </c>
      <c r="H94" s="1" t="s">
        <v>47</v>
      </c>
      <c r="I94" s="71">
        <v>42077</v>
      </c>
      <c r="J94" s="171" t="s">
        <v>346</v>
      </c>
    </row>
    <row r="95" spans="1:10" x14ac:dyDescent="0.2">
      <c r="A95" s="12" t="s">
        <v>636</v>
      </c>
      <c r="B95" s="88">
        <v>80</v>
      </c>
      <c r="C95">
        <v>0</v>
      </c>
      <c r="D95">
        <v>1</v>
      </c>
      <c r="E95">
        <v>0</v>
      </c>
      <c r="F95" s="71">
        <v>42165</v>
      </c>
      <c r="G95" s="84">
        <v>0</v>
      </c>
      <c r="H95" s="1" t="s">
        <v>47</v>
      </c>
      <c r="I95" s="71">
        <v>42077</v>
      </c>
      <c r="J95" s="171" t="s">
        <v>346</v>
      </c>
    </row>
    <row r="96" spans="1:10" x14ac:dyDescent="0.2">
      <c r="A96" s="12" t="s">
        <v>637</v>
      </c>
      <c r="B96" s="88">
        <v>199</v>
      </c>
      <c r="C96">
        <v>0</v>
      </c>
      <c r="D96">
        <v>1</v>
      </c>
      <c r="E96">
        <v>0</v>
      </c>
      <c r="F96" s="71">
        <v>42165</v>
      </c>
      <c r="G96" s="84">
        <v>0</v>
      </c>
      <c r="H96" s="1" t="s">
        <v>47</v>
      </c>
      <c r="I96" s="71">
        <v>42077</v>
      </c>
      <c r="J96" s="171" t="s">
        <v>346</v>
      </c>
    </row>
    <row r="97" spans="1:10" x14ac:dyDescent="0.2">
      <c r="A97" s="12" t="s">
        <v>638</v>
      </c>
      <c r="B97" s="88">
        <v>80</v>
      </c>
      <c r="C97">
        <v>0</v>
      </c>
      <c r="D97">
        <v>1</v>
      </c>
      <c r="E97">
        <v>0</v>
      </c>
      <c r="F97" s="71">
        <v>42195</v>
      </c>
      <c r="G97" s="84">
        <v>0</v>
      </c>
      <c r="H97" s="1" t="s">
        <v>47</v>
      </c>
      <c r="I97" s="71">
        <v>42077</v>
      </c>
      <c r="J97" s="171" t="s">
        <v>346</v>
      </c>
    </row>
    <row r="98" spans="1:10" x14ac:dyDescent="0.2">
      <c r="A98" s="12" t="s">
        <v>639</v>
      </c>
      <c r="B98" s="88">
        <v>199</v>
      </c>
      <c r="C98">
        <v>0</v>
      </c>
      <c r="D98">
        <v>1</v>
      </c>
      <c r="E98">
        <v>0</v>
      </c>
      <c r="F98" s="71">
        <v>42195</v>
      </c>
      <c r="G98" s="84">
        <v>0</v>
      </c>
      <c r="H98" s="1" t="s">
        <v>47</v>
      </c>
      <c r="I98" s="71">
        <v>42077</v>
      </c>
      <c r="J98" s="171" t="s">
        <v>346</v>
      </c>
    </row>
    <row r="99" spans="1:10" x14ac:dyDescent="0.2">
      <c r="A99" s="12" t="s">
        <v>644</v>
      </c>
      <c r="B99" s="88">
        <v>30.48</v>
      </c>
      <c r="C99">
        <v>0</v>
      </c>
      <c r="D99">
        <v>1</v>
      </c>
      <c r="E99">
        <v>0</v>
      </c>
      <c r="F99" s="71">
        <v>42104</v>
      </c>
      <c r="G99" s="84">
        <v>0</v>
      </c>
      <c r="H99" s="1" t="s">
        <v>47</v>
      </c>
      <c r="I99" s="71">
        <v>42087</v>
      </c>
      <c r="J99" s="171" t="s">
        <v>346</v>
      </c>
    </row>
    <row r="100" spans="1:10" x14ac:dyDescent="0.2">
      <c r="A100" s="12" t="s">
        <v>647</v>
      </c>
      <c r="B100" s="88">
        <v>30.48</v>
      </c>
      <c r="C100">
        <v>0</v>
      </c>
      <c r="D100">
        <v>1</v>
      </c>
      <c r="E100">
        <v>0</v>
      </c>
      <c r="F100" s="71">
        <v>42134</v>
      </c>
      <c r="G100" s="84">
        <v>0</v>
      </c>
      <c r="H100" s="1" t="s">
        <v>47</v>
      </c>
      <c r="I100" s="71">
        <v>42087</v>
      </c>
      <c r="J100" s="171" t="s">
        <v>346</v>
      </c>
    </row>
    <row r="101" spans="1:10" x14ac:dyDescent="0.2">
      <c r="A101" s="12" t="s">
        <v>648</v>
      </c>
      <c r="B101" s="88">
        <v>49.94</v>
      </c>
      <c r="C101">
        <v>0</v>
      </c>
      <c r="D101">
        <v>1</v>
      </c>
      <c r="E101">
        <v>0</v>
      </c>
      <c r="F101" s="71">
        <v>42104</v>
      </c>
      <c r="G101" s="84">
        <v>0</v>
      </c>
      <c r="H101" s="1" t="s">
        <v>47</v>
      </c>
      <c r="I101" s="71">
        <v>42085</v>
      </c>
      <c r="J101" s="171" t="s">
        <v>346</v>
      </c>
    </row>
    <row r="102" spans="1:10" x14ac:dyDescent="0.2">
      <c r="A102" s="12" t="s">
        <v>650</v>
      </c>
      <c r="B102" s="88">
        <v>49.94</v>
      </c>
      <c r="C102">
        <v>0</v>
      </c>
      <c r="D102">
        <v>1</v>
      </c>
      <c r="E102">
        <v>0</v>
      </c>
      <c r="F102" s="71">
        <v>42134</v>
      </c>
      <c r="G102" s="84">
        <v>0</v>
      </c>
      <c r="H102" s="1" t="s">
        <v>47</v>
      </c>
      <c r="I102" s="71">
        <v>42085</v>
      </c>
      <c r="J102" s="171" t="s">
        <v>346</v>
      </c>
    </row>
    <row r="103" spans="1:10" x14ac:dyDescent="0.2">
      <c r="A103" s="12" t="s">
        <v>649</v>
      </c>
      <c r="B103" s="88">
        <v>49.94</v>
      </c>
      <c r="C103">
        <v>0</v>
      </c>
      <c r="D103">
        <v>1</v>
      </c>
      <c r="E103">
        <v>0</v>
      </c>
      <c r="F103" s="71">
        <v>42165</v>
      </c>
      <c r="G103" s="84">
        <v>0</v>
      </c>
      <c r="H103" s="1" t="s">
        <v>47</v>
      </c>
      <c r="I103" s="71">
        <v>42085</v>
      </c>
      <c r="J103" s="171" t="s">
        <v>346</v>
      </c>
    </row>
    <row r="104" spans="1:10" x14ac:dyDescent="0.2">
      <c r="A104" s="104" t="s">
        <v>691</v>
      </c>
      <c r="B104" s="88">
        <v>176.94</v>
      </c>
      <c r="C104">
        <v>0</v>
      </c>
      <c r="D104">
        <v>1</v>
      </c>
      <c r="E104">
        <v>0</v>
      </c>
      <c r="F104" s="71">
        <v>42104</v>
      </c>
      <c r="G104" s="84">
        <v>0</v>
      </c>
      <c r="H104" s="1" t="s">
        <v>47</v>
      </c>
      <c r="I104" s="71">
        <v>42098</v>
      </c>
      <c r="J104" s="1" t="s">
        <v>52</v>
      </c>
    </row>
    <row r="105" spans="1:10" x14ac:dyDescent="0.2">
      <c r="A105" s="104" t="s">
        <v>738</v>
      </c>
      <c r="B105" s="88">
        <v>14</v>
      </c>
      <c r="C105">
        <v>0</v>
      </c>
      <c r="D105">
        <v>1</v>
      </c>
      <c r="E105">
        <v>0</v>
      </c>
      <c r="F105" s="71">
        <v>42134</v>
      </c>
      <c r="G105" s="84">
        <v>0</v>
      </c>
      <c r="H105" s="1" t="s">
        <v>47</v>
      </c>
      <c r="I105" s="71">
        <v>42085</v>
      </c>
      <c r="J105" s="171" t="s">
        <v>46</v>
      </c>
    </row>
    <row r="106" spans="1:10" x14ac:dyDescent="0.2">
      <c r="A106" s="12" t="s">
        <v>745</v>
      </c>
      <c r="B106" s="88">
        <v>14.91</v>
      </c>
      <c r="C106">
        <v>0</v>
      </c>
      <c r="D106">
        <v>1</v>
      </c>
      <c r="E106">
        <v>0</v>
      </c>
      <c r="F106" s="71">
        <v>42134</v>
      </c>
      <c r="G106" s="84">
        <v>0</v>
      </c>
      <c r="H106" s="1" t="s">
        <v>47</v>
      </c>
      <c r="I106" s="71">
        <v>42085</v>
      </c>
      <c r="J106" t="s">
        <v>52</v>
      </c>
    </row>
    <row r="107" spans="1:10" x14ac:dyDescent="0.2">
      <c r="A107" s="12" t="s">
        <v>746</v>
      </c>
      <c r="B107" s="88">
        <v>10.52</v>
      </c>
      <c r="C107">
        <v>0</v>
      </c>
      <c r="D107">
        <v>1</v>
      </c>
      <c r="E107">
        <v>0</v>
      </c>
      <c r="F107" s="71">
        <v>42134</v>
      </c>
      <c r="G107" s="84">
        <v>0</v>
      </c>
      <c r="H107" s="1" t="s">
        <v>47</v>
      </c>
      <c r="I107" s="71">
        <v>42085</v>
      </c>
      <c r="J107" s="171" t="s">
        <v>107</v>
      </c>
    </row>
    <row r="108" spans="1:10" x14ac:dyDescent="0.2">
      <c r="A108" s="12" t="s">
        <v>747</v>
      </c>
      <c r="B108" s="88">
        <v>9.5</v>
      </c>
      <c r="C108">
        <v>0</v>
      </c>
      <c r="D108">
        <v>1</v>
      </c>
      <c r="E108">
        <v>0</v>
      </c>
      <c r="F108" s="71">
        <v>42134</v>
      </c>
      <c r="G108" s="84">
        <v>0</v>
      </c>
      <c r="H108" s="1" t="s">
        <v>47</v>
      </c>
      <c r="I108" s="71">
        <v>42085</v>
      </c>
      <c r="J108" t="s">
        <v>50</v>
      </c>
    </row>
    <row r="109" spans="1:10" x14ac:dyDescent="0.2">
      <c r="A109" s="12" t="s">
        <v>767</v>
      </c>
      <c r="B109" s="88">
        <v>56</v>
      </c>
      <c r="C109">
        <v>0</v>
      </c>
      <c r="D109">
        <v>1</v>
      </c>
      <c r="E109">
        <v>0</v>
      </c>
      <c r="F109" s="71">
        <v>42134</v>
      </c>
      <c r="G109" s="84">
        <v>0</v>
      </c>
      <c r="H109" s="1" t="s">
        <v>47</v>
      </c>
      <c r="I109" s="71">
        <v>42085</v>
      </c>
      <c r="J109" s="1" t="s">
        <v>344</v>
      </c>
    </row>
    <row r="110" spans="1:10" x14ac:dyDescent="0.2">
      <c r="A110" s="12" t="s">
        <v>43</v>
      </c>
      <c r="B110" s="88">
        <v>60</v>
      </c>
      <c r="C110">
        <v>0</v>
      </c>
      <c r="D110">
        <v>1</v>
      </c>
      <c r="E110">
        <v>0</v>
      </c>
      <c r="F110" s="71">
        <v>42134</v>
      </c>
      <c r="G110" s="84">
        <v>0</v>
      </c>
      <c r="H110" s="1" t="s">
        <v>180</v>
      </c>
      <c r="I110" s="71">
        <v>42126</v>
      </c>
      <c r="J110" t="s">
        <v>153</v>
      </c>
    </row>
    <row r="111" spans="1:10" x14ac:dyDescent="0.2">
      <c r="A111" s="1" t="s">
        <v>207</v>
      </c>
      <c r="B111" s="31">
        <v>74.900000000000006</v>
      </c>
      <c r="C111">
        <v>0</v>
      </c>
      <c r="D111">
        <v>1</v>
      </c>
      <c r="E111">
        <v>0</v>
      </c>
      <c r="F111" s="71">
        <v>42165</v>
      </c>
      <c r="G111" s="84">
        <v>0</v>
      </c>
      <c r="H111" s="1" t="s">
        <v>180</v>
      </c>
      <c r="I111" s="71">
        <v>42162</v>
      </c>
      <c r="J111" t="s">
        <v>46</v>
      </c>
    </row>
    <row r="112" spans="1:10" x14ac:dyDescent="0.2">
      <c r="A112" s="1" t="s">
        <v>207</v>
      </c>
      <c r="B112" s="31">
        <v>74.900000000000006</v>
      </c>
      <c r="C112">
        <v>0</v>
      </c>
      <c r="D112">
        <v>1</v>
      </c>
      <c r="E112">
        <v>0</v>
      </c>
      <c r="F112" s="71">
        <v>42195</v>
      </c>
      <c r="G112" s="84">
        <v>0</v>
      </c>
      <c r="H112" s="1" t="s">
        <v>180</v>
      </c>
      <c r="I112" s="71">
        <v>42192</v>
      </c>
      <c r="J112" t="s">
        <v>46</v>
      </c>
    </row>
    <row r="113" spans="1:10" x14ac:dyDescent="0.2">
      <c r="A113" s="12" t="s">
        <v>768</v>
      </c>
      <c r="B113" s="88">
        <v>89.99</v>
      </c>
      <c r="C113">
        <v>0</v>
      </c>
      <c r="D113">
        <v>1</v>
      </c>
      <c r="E113">
        <v>0</v>
      </c>
      <c r="F113" s="71">
        <v>42165</v>
      </c>
      <c r="G113" s="84">
        <v>0</v>
      </c>
      <c r="H113" s="1" t="s">
        <v>47</v>
      </c>
      <c r="I113" s="71">
        <v>42195</v>
      </c>
      <c r="J113" s="1" t="s">
        <v>344</v>
      </c>
    </row>
    <row r="114" spans="1:10" x14ac:dyDescent="0.2">
      <c r="A114" s="12" t="s">
        <v>769</v>
      </c>
      <c r="B114">
        <v>74.5</v>
      </c>
      <c r="C114">
        <v>0</v>
      </c>
      <c r="D114">
        <v>1</v>
      </c>
      <c r="E114">
        <v>0</v>
      </c>
      <c r="F114" s="71">
        <v>42165</v>
      </c>
      <c r="G114" s="84">
        <v>0</v>
      </c>
      <c r="H114" s="1" t="s">
        <v>47</v>
      </c>
      <c r="I114" s="71">
        <v>42134</v>
      </c>
      <c r="J114" s="1" t="s">
        <v>344</v>
      </c>
    </row>
    <row r="115" spans="1:10" x14ac:dyDescent="0.2">
      <c r="A115" s="12" t="s">
        <v>43</v>
      </c>
      <c r="B115">
        <v>30</v>
      </c>
      <c r="C115">
        <v>1</v>
      </c>
      <c r="D115">
        <v>0</v>
      </c>
      <c r="E115">
        <v>0</v>
      </c>
      <c r="F115" s="71">
        <v>42165</v>
      </c>
      <c r="G115" s="84">
        <v>0</v>
      </c>
      <c r="H115" s="1" t="s">
        <v>180</v>
      </c>
      <c r="I115" s="71">
        <v>42131</v>
      </c>
      <c r="J115" t="s">
        <v>153</v>
      </c>
    </row>
    <row r="116" spans="1:10" x14ac:dyDescent="0.2">
      <c r="A116" s="12" t="s">
        <v>43</v>
      </c>
      <c r="B116">
        <v>60</v>
      </c>
      <c r="C116">
        <v>1</v>
      </c>
      <c r="D116">
        <v>0</v>
      </c>
      <c r="E116">
        <v>0</v>
      </c>
      <c r="F116" s="71">
        <v>42165</v>
      </c>
      <c r="G116" s="84">
        <v>0</v>
      </c>
      <c r="H116" s="1" t="s">
        <v>47</v>
      </c>
      <c r="I116" s="71">
        <v>42139</v>
      </c>
      <c r="J116" t="s">
        <v>153</v>
      </c>
    </row>
    <row r="117" spans="1:10" x14ac:dyDescent="0.2">
      <c r="A117" s="12" t="s">
        <v>779</v>
      </c>
      <c r="B117">
        <v>75</v>
      </c>
      <c r="C117">
        <v>0</v>
      </c>
      <c r="D117">
        <v>1</v>
      </c>
      <c r="E117">
        <v>0</v>
      </c>
      <c r="F117" s="71">
        <v>42165</v>
      </c>
      <c r="G117" s="84">
        <v>0</v>
      </c>
      <c r="H117" s="1" t="s">
        <v>47</v>
      </c>
      <c r="I117" s="71">
        <v>42139</v>
      </c>
      <c r="J117" s="171" t="s">
        <v>1186</v>
      </c>
    </row>
    <row r="118" spans="1:10" x14ac:dyDescent="0.2">
      <c r="A118" s="12" t="s">
        <v>52</v>
      </c>
      <c r="B118">
        <v>88.25</v>
      </c>
      <c r="C118">
        <v>0</v>
      </c>
      <c r="D118">
        <v>1</v>
      </c>
      <c r="E118">
        <v>0</v>
      </c>
      <c r="F118" s="71">
        <v>42165</v>
      </c>
      <c r="G118" s="84">
        <v>0</v>
      </c>
      <c r="H118" s="1" t="s">
        <v>47</v>
      </c>
      <c r="I118" s="71">
        <v>42139</v>
      </c>
      <c r="J118" t="s">
        <v>52</v>
      </c>
    </row>
    <row r="119" spans="1:10" x14ac:dyDescent="0.2">
      <c r="A119" s="12" t="s">
        <v>805</v>
      </c>
      <c r="B119">
        <v>68.44</v>
      </c>
      <c r="C119">
        <v>0</v>
      </c>
      <c r="D119">
        <v>1</v>
      </c>
      <c r="E119">
        <v>0</v>
      </c>
      <c r="F119" s="71">
        <v>42165</v>
      </c>
      <c r="G119" s="84">
        <v>0</v>
      </c>
      <c r="H119" s="1" t="s">
        <v>49</v>
      </c>
      <c r="I119" s="71">
        <v>42140</v>
      </c>
      <c r="J119" s="1" t="s">
        <v>344</v>
      </c>
    </row>
    <row r="120" spans="1:10" x14ac:dyDescent="0.2">
      <c r="A120" s="12" t="s">
        <v>806</v>
      </c>
      <c r="B120">
        <v>226</v>
      </c>
      <c r="C120">
        <v>0</v>
      </c>
      <c r="D120">
        <v>1</v>
      </c>
      <c r="E120">
        <v>0</v>
      </c>
      <c r="F120" s="71">
        <v>42165</v>
      </c>
      <c r="G120" s="84">
        <v>0</v>
      </c>
      <c r="H120" s="1" t="s">
        <v>49</v>
      </c>
      <c r="I120" s="71">
        <v>42140</v>
      </c>
      <c r="J120" t="s">
        <v>50</v>
      </c>
    </row>
    <row r="121" spans="1:10" x14ac:dyDescent="0.2">
      <c r="A121" s="12" t="s">
        <v>43</v>
      </c>
      <c r="B121">
        <v>60</v>
      </c>
      <c r="C121">
        <v>0</v>
      </c>
      <c r="D121">
        <v>1</v>
      </c>
      <c r="E121">
        <v>0</v>
      </c>
      <c r="F121" s="71">
        <v>42165</v>
      </c>
      <c r="G121" s="84">
        <v>0</v>
      </c>
      <c r="H121" s="1" t="s">
        <v>51</v>
      </c>
      <c r="I121" s="71">
        <v>42144</v>
      </c>
      <c r="J121" t="s">
        <v>153</v>
      </c>
    </row>
    <row r="122" spans="1:10" x14ac:dyDescent="0.2">
      <c r="A122" s="12" t="s">
        <v>807</v>
      </c>
      <c r="B122">
        <v>93.6</v>
      </c>
      <c r="C122">
        <v>0</v>
      </c>
      <c r="D122">
        <v>1</v>
      </c>
      <c r="E122">
        <v>0</v>
      </c>
      <c r="F122" s="71">
        <v>42165</v>
      </c>
      <c r="G122" s="84">
        <v>0</v>
      </c>
      <c r="H122" s="1" t="s">
        <v>49</v>
      </c>
      <c r="I122" s="71">
        <v>42148</v>
      </c>
      <c r="J122" t="s">
        <v>203</v>
      </c>
    </row>
    <row r="123" spans="1:10" x14ac:dyDescent="0.2">
      <c r="A123" s="12" t="s">
        <v>808</v>
      </c>
      <c r="B123">
        <v>70</v>
      </c>
      <c r="C123">
        <v>0</v>
      </c>
      <c r="D123">
        <v>1</v>
      </c>
      <c r="E123">
        <v>0</v>
      </c>
      <c r="F123" s="71">
        <v>42165</v>
      </c>
      <c r="G123" s="84">
        <v>0</v>
      </c>
      <c r="H123" s="1" t="s">
        <v>49</v>
      </c>
      <c r="I123" s="71">
        <v>42148</v>
      </c>
      <c r="J123" s="171" t="s">
        <v>1186</v>
      </c>
    </row>
    <row r="124" spans="1:10" x14ac:dyDescent="0.2">
      <c r="A124" s="12" t="s">
        <v>809</v>
      </c>
      <c r="B124">
        <v>168.3</v>
      </c>
      <c r="C124">
        <v>0</v>
      </c>
      <c r="D124">
        <v>1</v>
      </c>
      <c r="E124">
        <v>0</v>
      </c>
      <c r="F124" s="71">
        <v>42165</v>
      </c>
      <c r="G124" s="84">
        <v>0</v>
      </c>
      <c r="H124" s="1" t="s">
        <v>54</v>
      </c>
      <c r="I124" s="71">
        <v>42152</v>
      </c>
      <c r="J124" s="1" t="s">
        <v>344</v>
      </c>
    </row>
    <row r="125" spans="1:10" x14ac:dyDescent="0.2">
      <c r="A125" s="12" t="s">
        <v>810</v>
      </c>
      <c r="B125">
        <v>168.3</v>
      </c>
      <c r="C125">
        <v>0</v>
      </c>
      <c r="D125">
        <v>1</v>
      </c>
      <c r="E125">
        <v>0</v>
      </c>
      <c r="F125" s="71">
        <v>42195</v>
      </c>
      <c r="G125" s="84">
        <v>0</v>
      </c>
      <c r="H125" s="1" t="s">
        <v>54</v>
      </c>
      <c r="I125" s="71">
        <v>42152</v>
      </c>
      <c r="J125" s="1" t="s">
        <v>344</v>
      </c>
    </row>
    <row r="126" spans="1:10" x14ac:dyDescent="0.2">
      <c r="A126" s="12" t="s">
        <v>811</v>
      </c>
      <c r="B126">
        <v>168.3</v>
      </c>
      <c r="C126">
        <v>0</v>
      </c>
      <c r="D126">
        <v>1</v>
      </c>
      <c r="E126">
        <v>0</v>
      </c>
      <c r="F126" s="71">
        <v>42226</v>
      </c>
      <c r="G126" s="84">
        <v>0</v>
      </c>
      <c r="H126" s="1" t="s">
        <v>54</v>
      </c>
      <c r="I126" s="71">
        <v>42152</v>
      </c>
      <c r="J126" s="1" t="s">
        <v>344</v>
      </c>
    </row>
    <row r="127" spans="1:10" x14ac:dyDescent="0.2">
      <c r="A127" s="12" t="s">
        <v>43</v>
      </c>
      <c r="B127">
        <v>60</v>
      </c>
      <c r="C127">
        <v>1</v>
      </c>
      <c r="D127">
        <v>0</v>
      </c>
      <c r="E127">
        <v>0</v>
      </c>
      <c r="F127" s="71">
        <v>42165</v>
      </c>
      <c r="G127" s="84">
        <v>0</v>
      </c>
      <c r="H127" s="1" t="s">
        <v>47</v>
      </c>
      <c r="I127" s="71">
        <v>42154</v>
      </c>
      <c r="J127" t="s">
        <v>153</v>
      </c>
    </row>
    <row r="128" spans="1:10" x14ac:dyDescent="0.2">
      <c r="A128" s="12" t="s">
        <v>842</v>
      </c>
      <c r="B128">
        <v>229.68</v>
      </c>
      <c r="C128">
        <v>0</v>
      </c>
      <c r="D128">
        <v>1</v>
      </c>
      <c r="E128">
        <v>0</v>
      </c>
      <c r="F128" s="71">
        <v>42195</v>
      </c>
      <c r="G128" s="84">
        <v>0</v>
      </c>
      <c r="H128" s="1" t="s">
        <v>49</v>
      </c>
      <c r="I128" s="71">
        <v>42161</v>
      </c>
      <c r="J128" t="s">
        <v>153</v>
      </c>
    </row>
    <row r="129" spans="1:10" x14ac:dyDescent="0.2">
      <c r="A129" s="12" t="s">
        <v>844</v>
      </c>
      <c r="B129">
        <v>229.68</v>
      </c>
      <c r="C129">
        <v>0</v>
      </c>
      <c r="D129">
        <v>1</v>
      </c>
      <c r="E129">
        <v>0</v>
      </c>
      <c r="F129" s="71">
        <v>42226</v>
      </c>
      <c r="G129" s="84">
        <v>0</v>
      </c>
      <c r="H129" s="1" t="s">
        <v>49</v>
      </c>
      <c r="I129" s="71">
        <v>42161</v>
      </c>
      <c r="J129" t="s">
        <v>153</v>
      </c>
    </row>
    <row r="130" spans="1:10" x14ac:dyDescent="0.2">
      <c r="A130" s="12" t="s">
        <v>843</v>
      </c>
      <c r="B130">
        <v>229.68</v>
      </c>
      <c r="C130">
        <v>0</v>
      </c>
      <c r="D130">
        <v>1</v>
      </c>
      <c r="E130">
        <v>0</v>
      </c>
      <c r="F130" s="71">
        <v>42257</v>
      </c>
      <c r="G130" s="84">
        <v>0</v>
      </c>
      <c r="H130" s="1" t="s">
        <v>49</v>
      </c>
      <c r="I130" s="71">
        <v>42161</v>
      </c>
      <c r="J130" t="s">
        <v>153</v>
      </c>
    </row>
    <row r="131" spans="1:10" x14ac:dyDescent="0.2">
      <c r="A131" s="10" t="s">
        <v>43</v>
      </c>
      <c r="B131" s="10">
        <v>60</v>
      </c>
      <c r="C131" s="10">
        <v>1</v>
      </c>
      <c r="D131" s="10">
        <v>0</v>
      </c>
      <c r="E131">
        <v>0</v>
      </c>
      <c r="F131" s="103">
        <v>42195</v>
      </c>
      <c r="G131" s="102">
        <v>0</v>
      </c>
      <c r="H131" s="10" t="s">
        <v>49</v>
      </c>
      <c r="I131" s="103">
        <v>42161</v>
      </c>
      <c r="J131" s="159" t="s">
        <v>153</v>
      </c>
    </row>
    <row r="132" spans="1:10" x14ac:dyDescent="0.2">
      <c r="A132" s="10" t="s">
        <v>43</v>
      </c>
      <c r="B132" s="10">
        <v>60</v>
      </c>
      <c r="C132" s="10">
        <v>1</v>
      </c>
      <c r="D132" s="10">
        <v>0</v>
      </c>
      <c r="E132">
        <v>0</v>
      </c>
      <c r="F132" s="103">
        <v>42195</v>
      </c>
      <c r="G132" s="102">
        <v>0</v>
      </c>
      <c r="H132" s="10" t="s">
        <v>49</v>
      </c>
      <c r="I132" s="103">
        <v>42169</v>
      </c>
      <c r="J132" s="159" t="s">
        <v>153</v>
      </c>
    </row>
    <row r="133" spans="1:10" x14ac:dyDescent="0.2">
      <c r="A133" s="10" t="s">
        <v>856</v>
      </c>
      <c r="B133" s="102">
        <v>366.64</v>
      </c>
      <c r="C133" s="10">
        <v>0</v>
      </c>
      <c r="D133" s="10">
        <v>1</v>
      </c>
      <c r="E133">
        <v>0</v>
      </c>
      <c r="F133" s="112">
        <v>42195</v>
      </c>
      <c r="G133" s="102">
        <v>0</v>
      </c>
      <c r="H133" s="10" t="s">
        <v>51</v>
      </c>
      <c r="I133" s="103">
        <v>42172</v>
      </c>
      <c r="J133" s="159" t="s">
        <v>346</v>
      </c>
    </row>
    <row r="134" spans="1:10" x14ac:dyDescent="0.2">
      <c r="A134" s="10" t="s">
        <v>857</v>
      </c>
      <c r="B134" s="102">
        <v>366.64</v>
      </c>
      <c r="C134" s="10">
        <v>0</v>
      </c>
      <c r="D134" s="10">
        <v>1</v>
      </c>
      <c r="E134">
        <v>0</v>
      </c>
      <c r="F134" s="103">
        <v>42226</v>
      </c>
      <c r="G134" s="102">
        <v>0</v>
      </c>
      <c r="H134" s="10" t="s">
        <v>51</v>
      </c>
      <c r="I134" s="103">
        <v>42172</v>
      </c>
      <c r="J134" s="159" t="s">
        <v>346</v>
      </c>
    </row>
    <row r="135" spans="1:10" x14ac:dyDescent="0.2">
      <c r="A135" s="10" t="s">
        <v>858</v>
      </c>
      <c r="B135" s="102">
        <v>366.64</v>
      </c>
      <c r="C135" s="10">
        <v>0</v>
      </c>
      <c r="D135" s="10">
        <v>1</v>
      </c>
      <c r="E135">
        <v>0</v>
      </c>
      <c r="F135" s="103">
        <v>42257</v>
      </c>
      <c r="G135" s="102">
        <v>0</v>
      </c>
      <c r="H135" s="10" t="s">
        <v>51</v>
      </c>
      <c r="I135" s="103">
        <v>42172</v>
      </c>
      <c r="J135" s="159" t="s">
        <v>346</v>
      </c>
    </row>
    <row r="136" spans="1:10" x14ac:dyDescent="0.2">
      <c r="A136" s="10" t="s">
        <v>868</v>
      </c>
      <c r="B136" s="102">
        <v>31</v>
      </c>
      <c r="C136" s="10">
        <v>0</v>
      </c>
      <c r="D136" s="10">
        <v>1</v>
      </c>
      <c r="E136">
        <v>0</v>
      </c>
      <c r="F136" s="103">
        <v>42226</v>
      </c>
      <c r="G136" s="102">
        <v>0</v>
      </c>
      <c r="H136" s="10" t="s">
        <v>51</v>
      </c>
      <c r="I136" s="103">
        <v>42204</v>
      </c>
      <c r="J136" s="159" t="s">
        <v>1183</v>
      </c>
    </row>
    <row r="137" spans="1:10" x14ac:dyDescent="0.2">
      <c r="A137" s="10" t="s">
        <v>868</v>
      </c>
      <c r="B137" s="102">
        <v>31</v>
      </c>
      <c r="C137" s="10">
        <v>0</v>
      </c>
      <c r="D137" s="10">
        <v>1</v>
      </c>
      <c r="E137">
        <v>0</v>
      </c>
      <c r="F137" s="103">
        <v>42195</v>
      </c>
      <c r="G137" s="102">
        <v>0</v>
      </c>
      <c r="H137" s="10" t="s">
        <v>51</v>
      </c>
      <c r="I137" s="103">
        <v>42174</v>
      </c>
      <c r="J137" s="159" t="s">
        <v>1183</v>
      </c>
    </row>
    <row r="138" spans="1:10" x14ac:dyDescent="0.2">
      <c r="A138" s="10" t="s">
        <v>869</v>
      </c>
      <c r="B138" s="102">
        <v>63</v>
      </c>
      <c r="C138" s="10">
        <v>0</v>
      </c>
      <c r="D138" s="10">
        <v>1</v>
      </c>
      <c r="E138">
        <v>0</v>
      </c>
      <c r="F138" s="113">
        <v>42195</v>
      </c>
      <c r="G138" s="102">
        <v>0</v>
      </c>
      <c r="H138" s="10" t="s">
        <v>51</v>
      </c>
      <c r="I138" s="103">
        <v>42172</v>
      </c>
      <c r="J138" s="171" t="s">
        <v>346</v>
      </c>
    </row>
    <row r="139" spans="1:10" x14ac:dyDescent="0.2">
      <c r="A139" s="10" t="s">
        <v>870</v>
      </c>
      <c r="B139" s="102">
        <v>63</v>
      </c>
      <c r="C139" s="10">
        <v>0</v>
      </c>
      <c r="D139" s="10">
        <v>1</v>
      </c>
      <c r="E139">
        <v>0</v>
      </c>
      <c r="F139" s="103">
        <v>42226</v>
      </c>
      <c r="G139" s="102">
        <v>0</v>
      </c>
      <c r="H139" s="10" t="s">
        <v>51</v>
      </c>
      <c r="I139" s="103">
        <v>42172</v>
      </c>
      <c r="J139" s="171" t="s">
        <v>346</v>
      </c>
    </row>
    <row r="140" spans="1:10" x14ac:dyDescent="0.2">
      <c r="A140" s="10" t="s">
        <v>871</v>
      </c>
      <c r="B140" s="102">
        <v>63</v>
      </c>
      <c r="C140" s="10">
        <v>0</v>
      </c>
      <c r="D140" s="10">
        <v>1</v>
      </c>
      <c r="E140">
        <v>0</v>
      </c>
      <c r="F140" s="103">
        <v>42257</v>
      </c>
      <c r="G140" s="102">
        <v>0</v>
      </c>
      <c r="H140" s="10" t="s">
        <v>51</v>
      </c>
      <c r="I140" s="103">
        <v>42172</v>
      </c>
      <c r="J140" s="171" t="s">
        <v>346</v>
      </c>
    </row>
    <row r="141" spans="1:10" x14ac:dyDescent="0.2">
      <c r="A141" s="10" t="s">
        <v>872</v>
      </c>
      <c r="B141" s="10">
        <v>95.6</v>
      </c>
      <c r="C141" s="10">
        <v>1</v>
      </c>
      <c r="D141" s="10">
        <v>0</v>
      </c>
      <c r="E141">
        <v>0</v>
      </c>
      <c r="F141" s="71">
        <v>42195</v>
      </c>
      <c r="G141" s="102">
        <v>0</v>
      </c>
      <c r="H141" s="10" t="s">
        <v>49</v>
      </c>
      <c r="I141" s="71">
        <v>42160</v>
      </c>
      <c r="J141" t="s">
        <v>203</v>
      </c>
    </row>
    <row r="142" spans="1:10" x14ac:dyDescent="0.2">
      <c r="A142" s="10" t="s">
        <v>43</v>
      </c>
      <c r="B142" s="10">
        <v>30</v>
      </c>
      <c r="C142" s="10">
        <v>1</v>
      </c>
      <c r="D142" s="10">
        <v>0</v>
      </c>
      <c r="E142">
        <v>0</v>
      </c>
      <c r="F142" s="103">
        <v>42195</v>
      </c>
      <c r="G142" s="102">
        <v>0</v>
      </c>
      <c r="H142" s="10" t="s">
        <v>49</v>
      </c>
      <c r="I142" s="103">
        <v>42175</v>
      </c>
      <c r="J142" s="159" t="s">
        <v>153</v>
      </c>
    </row>
    <row r="143" spans="1:10" x14ac:dyDescent="0.2">
      <c r="A143" s="10" t="s">
        <v>493</v>
      </c>
      <c r="B143" s="10">
        <v>20</v>
      </c>
      <c r="C143" s="10">
        <v>1</v>
      </c>
      <c r="D143" s="10">
        <v>0</v>
      </c>
      <c r="E143">
        <v>0</v>
      </c>
      <c r="F143" s="71">
        <v>42195</v>
      </c>
      <c r="G143" s="102">
        <v>0</v>
      </c>
      <c r="H143" s="10" t="s">
        <v>49</v>
      </c>
      <c r="I143" s="71">
        <v>42175</v>
      </c>
      <c r="J143" s="10" t="s">
        <v>153</v>
      </c>
    </row>
    <row r="144" spans="1:10" x14ac:dyDescent="0.2">
      <c r="A144" s="10" t="s">
        <v>874</v>
      </c>
      <c r="B144" s="10">
        <v>65</v>
      </c>
      <c r="C144" s="10">
        <v>1</v>
      </c>
      <c r="D144" s="10">
        <v>0</v>
      </c>
      <c r="E144">
        <v>0</v>
      </c>
      <c r="F144" s="71">
        <v>42195</v>
      </c>
      <c r="G144" s="102">
        <v>0</v>
      </c>
      <c r="H144" s="10" t="s">
        <v>49</v>
      </c>
      <c r="I144" s="71">
        <v>42177</v>
      </c>
      <c r="J144" s="1" t="s">
        <v>344</v>
      </c>
    </row>
    <row r="145" spans="1:12" x14ac:dyDescent="0.2">
      <c r="A145" s="159" t="s">
        <v>1184</v>
      </c>
      <c r="B145" s="10">
        <v>65</v>
      </c>
      <c r="C145" s="10">
        <v>1</v>
      </c>
      <c r="D145" s="10">
        <v>0</v>
      </c>
      <c r="E145">
        <v>0</v>
      </c>
      <c r="F145" s="71">
        <v>42226</v>
      </c>
      <c r="G145" s="102">
        <v>0</v>
      </c>
      <c r="H145" s="10" t="s">
        <v>49</v>
      </c>
      <c r="I145" s="71">
        <v>42177</v>
      </c>
      <c r="J145" s="1" t="s">
        <v>344</v>
      </c>
    </row>
    <row r="146" spans="1:12" x14ac:dyDescent="0.2">
      <c r="A146" s="117" t="s">
        <v>52</v>
      </c>
      <c r="B146" s="10">
        <v>0</v>
      </c>
      <c r="C146" s="118">
        <v>0</v>
      </c>
      <c r="D146" s="118">
        <v>1</v>
      </c>
      <c r="E146">
        <v>0</v>
      </c>
      <c r="F146" s="119">
        <v>42226</v>
      </c>
      <c r="G146" s="117">
        <v>0</v>
      </c>
      <c r="H146" s="118" t="s">
        <v>49</v>
      </c>
      <c r="I146" s="119">
        <v>42197</v>
      </c>
      <c r="J146" s="118" t="s">
        <v>52</v>
      </c>
      <c r="K146" s="117" t="s">
        <v>52</v>
      </c>
      <c r="L146" s="118">
        <v>500</v>
      </c>
    </row>
    <row r="147" spans="1:12" x14ac:dyDescent="0.2">
      <c r="A147" s="117" t="s">
        <v>43</v>
      </c>
      <c r="B147" s="10">
        <v>0</v>
      </c>
      <c r="C147" s="118">
        <v>1</v>
      </c>
      <c r="D147" s="118">
        <v>0</v>
      </c>
      <c r="E147">
        <v>0</v>
      </c>
      <c r="F147" s="119">
        <v>42226</v>
      </c>
      <c r="G147" s="117">
        <v>0</v>
      </c>
      <c r="H147" s="118" t="s">
        <v>49</v>
      </c>
      <c r="I147" s="119">
        <v>42197</v>
      </c>
      <c r="J147" s="118" t="s">
        <v>153</v>
      </c>
      <c r="K147" s="117" t="s">
        <v>43</v>
      </c>
      <c r="L147" s="118">
        <v>200</v>
      </c>
    </row>
    <row r="148" spans="1:12" x14ac:dyDescent="0.2">
      <c r="A148" s="117" t="s">
        <v>190</v>
      </c>
      <c r="B148" s="10">
        <v>0</v>
      </c>
      <c r="C148" s="118">
        <v>0</v>
      </c>
      <c r="D148" s="118">
        <v>1</v>
      </c>
      <c r="E148">
        <v>0</v>
      </c>
      <c r="F148" s="119">
        <v>42226</v>
      </c>
      <c r="G148" s="117">
        <v>0</v>
      </c>
      <c r="H148" s="118" t="s">
        <v>49</v>
      </c>
      <c r="I148" s="119">
        <v>42197</v>
      </c>
      <c r="J148" s="118" t="s">
        <v>190</v>
      </c>
      <c r="K148" s="117" t="s">
        <v>190</v>
      </c>
      <c r="L148" s="118">
        <v>100</v>
      </c>
    </row>
    <row r="149" spans="1:12" x14ac:dyDescent="0.2">
      <c r="A149" s="117" t="s">
        <v>50</v>
      </c>
      <c r="B149" s="10">
        <v>0</v>
      </c>
      <c r="C149" s="118">
        <v>0</v>
      </c>
      <c r="D149" s="118">
        <v>1</v>
      </c>
      <c r="E149">
        <v>0</v>
      </c>
      <c r="F149" s="119">
        <v>42226</v>
      </c>
      <c r="G149" s="117">
        <v>0</v>
      </c>
      <c r="H149" s="118" t="s">
        <v>49</v>
      </c>
      <c r="I149" s="119">
        <v>42197</v>
      </c>
      <c r="J149" s="118" t="s">
        <v>50</v>
      </c>
      <c r="K149" s="117" t="s">
        <v>50</v>
      </c>
      <c r="L149" s="118">
        <v>100</v>
      </c>
    </row>
    <row r="150" spans="1:12" x14ac:dyDescent="0.2">
      <c r="A150" s="117" t="s">
        <v>859</v>
      </c>
      <c r="B150" s="10">
        <v>0</v>
      </c>
      <c r="C150" s="118">
        <v>0</v>
      </c>
      <c r="D150" s="118">
        <v>1</v>
      </c>
      <c r="E150">
        <v>0</v>
      </c>
      <c r="F150" s="119">
        <v>42226</v>
      </c>
      <c r="G150" s="117">
        <v>0</v>
      </c>
      <c r="H150" s="118" t="s">
        <v>49</v>
      </c>
      <c r="I150" s="119">
        <v>42211</v>
      </c>
      <c r="J150" s="118" t="s">
        <v>860</v>
      </c>
      <c r="K150" s="117" t="s">
        <v>859</v>
      </c>
      <c r="L150" s="118">
        <v>600</v>
      </c>
    </row>
    <row r="151" spans="1:12" x14ac:dyDescent="0.2">
      <c r="A151" s="114" t="s">
        <v>52</v>
      </c>
      <c r="B151" s="115">
        <v>0</v>
      </c>
      <c r="C151" s="115">
        <v>0</v>
      </c>
      <c r="D151" s="115">
        <v>1</v>
      </c>
      <c r="E151">
        <v>0</v>
      </c>
      <c r="F151" s="116">
        <v>42195</v>
      </c>
      <c r="G151" s="114">
        <v>0</v>
      </c>
      <c r="H151" s="115" t="s">
        <v>49</v>
      </c>
      <c r="I151" s="116">
        <v>42182</v>
      </c>
      <c r="J151" s="115" t="s">
        <v>52</v>
      </c>
    </row>
    <row r="152" spans="1:12" x14ac:dyDescent="0.2">
      <c r="A152" s="120" t="s">
        <v>851</v>
      </c>
      <c r="B152" s="121">
        <v>0</v>
      </c>
      <c r="C152" s="120">
        <v>0</v>
      </c>
      <c r="D152" s="120">
        <v>1</v>
      </c>
      <c r="E152">
        <v>0</v>
      </c>
      <c r="F152" s="122">
        <v>42257</v>
      </c>
      <c r="G152" s="121">
        <v>0</v>
      </c>
      <c r="H152" s="120" t="s">
        <v>49</v>
      </c>
      <c r="I152" s="122">
        <v>42228</v>
      </c>
      <c r="J152" s="120" t="s">
        <v>860</v>
      </c>
      <c r="K152" s="120" t="s">
        <v>851</v>
      </c>
      <c r="L152" s="121">
        <v>300</v>
      </c>
    </row>
    <row r="153" spans="1:12" x14ac:dyDescent="0.2">
      <c r="A153" s="120" t="s">
        <v>852</v>
      </c>
      <c r="B153" s="121">
        <v>0</v>
      </c>
      <c r="C153" s="120">
        <v>0</v>
      </c>
      <c r="D153" s="120">
        <v>1</v>
      </c>
      <c r="E153">
        <v>0</v>
      </c>
      <c r="F153" s="122">
        <v>42257</v>
      </c>
      <c r="G153" s="121">
        <v>0</v>
      </c>
      <c r="H153" s="120" t="s">
        <v>49</v>
      </c>
      <c r="I153" s="122">
        <v>42228</v>
      </c>
      <c r="J153" s="120" t="s">
        <v>860</v>
      </c>
      <c r="K153" s="120" t="s">
        <v>852</v>
      </c>
      <c r="L153" s="121">
        <v>250</v>
      </c>
    </row>
    <row r="154" spans="1:12" x14ac:dyDescent="0.2">
      <c r="A154" s="120" t="s">
        <v>853</v>
      </c>
      <c r="B154" s="121">
        <v>0</v>
      </c>
      <c r="C154" s="120">
        <v>0</v>
      </c>
      <c r="D154" s="120">
        <v>1</v>
      </c>
      <c r="E154">
        <v>0</v>
      </c>
      <c r="F154" s="122">
        <v>42257</v>
      </c>
      <c r="G154" s="121">
        <v>0</v>
      </c>
      <c r="H154" s="120" t="s">
        <v>49</v>
      </c>
      <c r="I154" s="122">
        <v>42228</v>
      </c>
      <c r="J154" s="120" t="s">
        <v>860</v>
      </c>
      <c r="K154" s="120" t="s">
        <v>853</v>
      </c>
      <c r="L154" s="121">
        <v>300</v>
      </c>
    </row>
    <row r="155" spans="1:12" x14ac:dyDescent="0.2">
      <c r="A155" s="120" t="s">
        <v>854</v>
      </c>
      <c r="B155" s="121">
        <v>0</v>
      </c>
      <c r="C155" s="120">
        <v>0</v>
      </c>
      <c r="D155" s="120">
        <v>1</v>
      </c>
      <c r="E155">
        <v>0</v>
      </c>
      <c r="F155" s="122">
        <v>42257</v>
      </c>
      <c r="G155" s="121">
        <v>0</v>
      </c>
      <c r="H155" s="120" t="s">
        <v>49</v>
      </c>
      <c r="I155" s="122">
        <v>42228</v>
      </c>
      <c r="J155" s="120" t="s">
        <v>860</v>
      </c>
      <c r="K155" s="120" t="s">
        <v>854</v>
      </c>
      <c r="L155" s="121">
        <v>300</v>
      </c>
    </row>
    <row r="156" spans="1:12" x14ac:dyDescent="0.2">
      <c r="A156" s="120" t="s">
        <v>335</v>
      </c>
      <c r="B156" s="121">
        <v>0</v>
      </c>
      <c r="C156" s="120">
        <v>0</v>
      </c>
      <c r="D156" s="120">
        <v>1</v>
      </c>
      <c r="E156">
        <v>0</v>
      </c>
      <c r="F156" s="122">
        <v>42257</v>
      </c>
      <c r="G156" s="121">
        <v>0</v>
      </c>
      <c r="H156" s="120" t="s">
        <v>49</v>
      </c>
      <c r="I156" s="122">
        <v>42228</v>
      </c>
      <c r="J156" s="120" t="s">
        <v>860</v>
      </c>
      <c r="K156" s="120" t="s">
        <v>335</v>
      </c>
      <c r="L156" s="121">
        <v>100</v>
      </c>
    </row>
    <row r="157" spans="1:12" x14ac:dyDescent="0.2">
      <c r="A157" s="120" t="s">
        <v>855</v>
      </c>
      <c r="B157" s="121">
        <v>0</v>
      </c>
      <c r="C157" s="120">
        <v>0</v>
      </c>
      <c r="D157" s="120">
        <v>1</v>
      </c>
      <c r="E157">
        <v>0</v>
      </c>
      <c r="F157" s="122">
        <v>42257</v>
      </c>
      <c r="G157" s="121">
        <v>0</v>
      </c>
      <c r="H157" s="120" t="s">
        <v>49</v>
      </c>
      <c r="I157" s="122">
        <v>42228</v>
      </c>
      <c r="J157" s="120" t="s">
        <v>860</v>
      </c>
      <c r="K157" s="120" t="s">
        <v>855</v>
      </c>
      <c r="L157" s="121">
        <v>100</v>
      </c>
    </row>
    <row r="158" spans="1:12" x14ac:dyDescent="0.2">
      <c r="A158" s="120" t="s">
        <v>865</v>
      </c>
      <c r="B158" s="121">
        <v>0</v>
      </c>
      <c r="C158" s="120">
        <v>0</v>
      </c>
      <c r="D158" s="120">
        <v>1</v>
      </c>
      <c r="E158">
        <v>0</v>
      </c>
      <c r="F158" s="122">
        <v>42257</v>
      </c>
      <c r="G158" s="121">
        <v>0</v>
      </c>
      <c r="H158" s="120" t="s">
        <v>49</v>
      </c>
      <c r="I158" s="122">
        <v>42228</v>
      </c>
      <c r="J158" s="120" t="s">
        <v>860</v>
      </c>
      <c r="K158" s="120" t="s">
        <v>865</v>
      </c>
      <c r="L158" s="121">
        <v>100</v>
      </c>
    </row>
    <row r="159" spans="1:12" x14ac:dyDescent="0.2">
      <c r="A159" s="10" t="s">
        <v>43</v>
      </c>
      <c r="B159" s="10">
        <v>30</v>
      </c>
      <c r="C159" s="10">
        <v>1</v>
      </c>
      <c r="D159" s="10">
        <v>0</v>
      </c>
      <c r="E159">
        <v>0</v>
      </c>
      <c r="F159" s="103">
        <v>42195</v>
      </c>
      <c r="G159" s="102">
        <v>0</v>
      </c>
      <c r="H159" s="10" t="s">
        <v>49</v>
      </c>
      <c r="I159" s="103">
        <v>42181</v>
      </c>
      <c r="J159" s="159" t="s">
        <v>153</v>
      </c>
    </row>
    <row r="160" spans="1:12" x14ac:dyDescent="0.2">
      <c r="A160" s="121" t="s">
        <v>52</v>
      </c>
      <c r="B160" s="121">
        <v>96.6</v>
      </c>
      <c r="C160" s="10">
        <v>0</v>
      </c>
      <c r="D160" s="10">
        <v>1</v>
      </c>
      <c r="E160">
        <v>0</v>
      </c>
      <c r="F160" s="71">
        <v>42195</v>
      </c>
      <c r="G160" s="102">
        <v>0</v>
      </c>
      <c r="H160" s="10" t="s">
        <v>49</v>
      </c>
      <c r="I160" s="71">
        <v>42183</v>
      </c>
      <c r="J160" s="10" t="s">
        <v>52</v>
      </c>
    </row>
    <row r="161" spans="1:10" x14ac:dyDescent="0.2">
      <c r="A161" s="121" t="s">
        <v>43</v>
      </c>
      <c r="B161" s="121">
        <v>60</v>
      </c>
      <c r="C161" s="10">
        <v>1</v>
      </c>
      <c r="D161" s="10">
        <v>0</v>
      </c>
      <c r="E161">
        <v>0</v>
      </c>
      <c r="F161" s="71">
        <v>42195</v>
      </c>
      <c r="G161" s="102">
        <v>0</v>
      </c>
      <c r="H161" s="10" t="s">
        <v>49</v>
      </c>
      <c r="I161" s="71">
        <v>42183</v>
      </c>
      <c r="J161" s="159" t="s">
        <v>153</v>
      </c>
    </row>
    <row r="162" spans="1:10" x14ac:dyDescent="0.2">
      <c r="A162" s="121" t="s">
        <v>890</v>
      </c>
      <c r="B162" s="121">
        <v>69</v>
      </c>
      <c r="C162" s="10">
        <v>0</v>
      </c>
      <c r="D162" s="10">
        <v>1</v>
      </c>
      <c r="E162">
        <v>0</v>
      </c>
      <c r="F162" s="71">
        <v>42195</v>
      </c>
      <c r="G162" s="102">
        <v>0</v>
      </c>
      <c r="H162" s="10" t="s">
        <v>49</v>
      </c>
      <c r="I162" s="71">
        <v>42185</v>
      </c>
      <c r="J162" s="10" t="s">
        <v>860</v>
      </c>
    </row>
    <row r="163" spans="1:10" x14ac:dyDescent="0.2">
      <c r="A163" s="121" t="s">
        <v>52</v>
      </c>
      <c r="B163" s="121">
        <v>17.260000000000002</v>
      </c>
      <c r="C163" s="10">
        <v>0</v>
      </c>
      <c r="D163" s="10">
        <v>1</v>
      </c>
      <c r="E163">
        <v>0</v>
      </c>
      <c r="F163" s="71">
        <v>42195</v>
      </c>
      <c r="G163" s="102">
        <v>0</v>
      </c>
      <c r="H163" s="10" t="s">
        <v>49</v>
      </c>
      <c r="I163" s="71">
        <v>42187</v>
      </c>
      <c r="J163" s="10" t="s">
        <v>52</v>
      </c>
    </row>
    <row r="164" spans="1:10" x14ac:dyDescent="0.2">
      <c r="A164" s="121" t="s">
        <v>892</v>
      </c>
      <c r="B164" s="121">
        <v>115.61</v>
      </c>
      <c r="C164" s="10">
        <v>0</v>
      </c>
      <c r="D164" s="10">
        <v>1</v>
      </c>
      <c r="E164">
        <v>0</v>
      </c>
      <c r="F164" s="71">
        <v>42195</v>
      </c>
      <c r="G164" s="102">
        <v>0</v>
      </c>
      <c r="H164" s="10" t="s">
        <v>180</v>
      </c>
      <c r="I164" s="71">
        <v>42189</v>
      </c>
      <c r="J164" t="s">
        <v>203</v>
      </c>
    </row>
    <row r="165" spans="1:10" x14ac:dyDescent="0.2">
      <c r="A165" s="121" t="s">
        <v>892</v>
      </c>
      <c r="B165" s="121">
        <v>55.91</v>
      </c>
      <c r="C165" s="10">
        <v>0</v>
      </c>
      <c r="D165" s="10">
        <v>1</v>
      </c>
      <c r="E165">
        <v>0</v>
      </c>
      <c r="F165" s="71">
        <v>42195</v>
      </c>
      <c r="G165" s="102">
        <v>0</v>
      </c>
      <c r="H165" s="10" t="s">
        <v>180</v>
      </c>
      <c r="I165" s="71">
        <v>42189</v>
      </c>
      <c r="J165" t="s">
        <v>203</v>
      </c>
    </row>
    <row r="166" spans="1:10" x14ac:dyDescent="0.2">
      <c r="A166" s="121" t="s">
        <v>900</v>
      </c>
      <c r="B166" s="121">
        <v>27</v>
      </c>
      <c r="C166" s="10">
        <v>0</v>
      </c>
      <c r="D166" s="10">
        <v>1</v>
      </c>
      <c r="E166">
        <v>0</v>
      </c>
      <c r="F166" s="71">
        <v>42226</v>
      </c>
      <c r="G166" s="102">
        <v>0</v>
      </c>
      <c r="H166" s="10" t="s">
        <v>180</v>
      </c>
      <c r="I166" s="71">
        <v>42190</v>
      </c>
      <c r="J166" s="159" t="s">
        <v>96</v>
      </c>
    </row>
    <row r="167" spans="1:10" x14ac:dyDescent="0.2">
      <c r="A167" s="121" t="s">
        <v>52</v>
      </c>
      <c r="B167" s="121">
        <v>34.11</v>
      </c>
      <c r="C167" s="10">
        <v>0</v>
      </c>
      <c r="D167" s="10">
        <v>1</v>
      </c>
      <c r="E167">
        <v>0</v>
      </c>
      <c r="F167" s="71">
        <v>42226</v>
      </c>
      <c r="G167" s="102">
        <v>0</v>
      </c>
      <c r="H167" s="10" t="s">
        <v>180</v>
      </c>
      <c r="I167" s="71">
        <v>42192</v>
      </c>
      <c r="J167" s="10" t="s">
        <v>52</v>
      </c>
    </row>
    <row r="168" spans="1:10" x14ac:dyDescent="0.2">
      <c r="A168" s="121" t="s">
        <v>190</v>
      </c>
      <c r="B168" s="121">
        <v>10.35</v>
      </c>
      <c r="C168" s="10">
        <v>0</v>
      </c>
      <c r="D168" s="10">
        <v>1</v>
      </c>
      <c r="E168">
        <v>0</v>
      </c>
      <c r="F168" s="71">
        <v>42226</v>
      </c>
      <c r="G168" s="102">
        <v>0</v>
      </c>
      <c r="H168" s="10" t="s">
        <v>180</v>
      </c>
      <c r="I168" s="71">
        <v>42193</v>
      </c>
      <c r="J168" s="10" t="s">
        <v>190</v>
      </c>
    </row>
    <row r="169" spans="1:10" x14ac:dyDescent="0.2">
      <c r="A169" s="121" t="s">
        <v>52</v>
      </c>
      <c r="B169" s="121">
        <v>77.8</v>
      </c>
      <c r="C169" s="10">
        <v>0</v>
      </c>
      <c r="D169" s="10">
        <v>1</v>
      </c>
      <c r="E169">
        <v>0</v>
      </c>
      <c r="F169" s="71">
        <v>42226</v>
      </c>
      <c r="G169" s="102">
        <v>0</v>
      </c>
      <c r="H169" s="10" t="s">
        <v>47</v>
      </c>
      <c r="I169" s="71">
        <v>42195</v>
      </c>
      <c r="J169" s="10" t="s">
        <v>52</v>
      </c>
    </row>
    <row r="170" spans="1:10" x14ac:dyDescent="0.2">
      <c r="A170" s="121" t="s">
        <v>901</v>
      </c>
      <c r="B170" s="121">
        <f>216.05/2</f>
        <v>108.02500000000001</v>
      </c>
      <c r="C170" s="10">
        <v>0</v>
      </c>
      <c r="D170" s="10">
        <v>1</v>
      </c>
      <c r="E170">
        <v>0</v>
      </c>
      <c r="F170" s="71">
        <v>42226</v>
      </c>
      <c r="G170" s="102">
        <v>0</v>
      </c>
      <c r="H170" s="10" t="s">
        <v>49</v>
      </c>
      <c r="I170" s="71">
        <v>42196</v>
      </c>
      <c r="J170" s="159" t="s">
        <v>860</v>
      </c>
    </row>
    <row r="171" spans="1:10" x14ac:dyDescent="0.2">
      <c r="A171" s="121" t="s">
        <v>1177</v>
      </c>
      <c r="B171" s="121">
        <f>216.05/2</f>
        <v>108.02500000000001</v>
      </c>
      <c r="C171" s="10">
        <v>0</v>
      </c>
      <c r="D171" s="10">
        <v>1</v>
      </c>
      <c r="E171">
        <v>0</v>
      </c>
      <c r="F171" s="71">
        <v>42257</v>
      </c>
      <c r="G171" s="102">
        <v>0</v>
      </c>
      <c r="H171" s="10" t="s">
        <v>49</v>
      </c>
      <c r="I171" s="71">
        <v>42196</v>
      </c>
      <c r="J171" s="159" t="s">
        <v>860</v>
      </c>
    </row>
    <row r="172" spans="1:10" x14ac:dyDescent="0.2">
      <c r="A172" s="121" t="s">
        <v>52</v>
      </c>
      <c r="B172" s="121">
        <v>49.9</v>
      </c>
      <c r="C172" s="10">
        <v>0</v>
      </c>
      <c r="D172" s="10">
        <v>1</v>
      </c>
      <c r="E172">
        <v>0</v>
      </c>
      <c r="F172" s="71">
        <v>42226</v>
      </c>
      <c r="G172" s="102">
        <v>0</v>
      </c>
      <c r="H172" s="10" t="s">
        <v>51</v>
      </c>
      <c r="I172" s="71">
        <v>42198</v>
      </c>
      <c r="J172" s="10" t="s">
        <v>52</v>
      </c>
    </row>
    <row r="173" spans="1:10" x14ac:dyDescent="0.2">
      <c r="A173" s="121" t="s">
        <v>52</v>
      </c>
      <c r="B173" s="121">
        <v>13.16</v>
      </c>
      <c r="C173" s="10">
        <v>0</v>
      </c>
      <c r="D173" s="10">
        <v>1</v>
      </c>
      <c r="E173">
        <v>0</v>
      </c>
      <c r="F173" s="71">
        <v>42226</v>
      </c>
      <c r="G173" s="102">
        <v>0</v>
      </c>
      <c r="H173" s="10" t="s">
        <v>51</v>
      </c>
      <c r="I173" s="71">
        <v>42199</v>
      </c>
      <c r="J173" s="10" t="s">
        <v>52</v>
      </c>
    </row>
    <row r="174" spans="1:10" x14ac:dyDescent="0.2">
      <c r="A174" s="121" t="s">
        <v>52</v>
      </c>
      <c r="B174" s="121">
        <v>10.06</v>
      </c>
      <c r="C174" s="10">
        <v>0</v>
      </c>
      <c r="D174" s="10">
        <v>1</v>
      </c>
      <c r="E174">
        <v>0</v>
      </c>
      <c r="F174" s="71">
        <v>42226</v>
      </c>
      <c r="G174" s="102">
        <v>0</v>
      </c>
      <c r="H174" s="10" t="s">
        <v>51</v>
      </c>
      <c r="I174" s="71">
        <v>42200</v>
      </c>
      <c r="J174" s="10" t="s">
        <v>52</v>
      </c>
    </row>
    <row r="175" spans="1:10" x14ac:dyDescent="0.2">
      <c r="A175" s="121" t="s">
        <v>52</v>
      </c>
      <c r="B175" s="121">
        <v>64.58</v>
      </c>
      <c r="C175" s="10">
        <v>0</v>
      </c>
      <c r="D175" s="10">
        <v>1</v>
      </c>
      <c r="E175">
        <v>0</v>
      </c>
      <c r="F175" s="71">
        <v>42226</v>
      </c>
      <c r="G175" s="102">
        <v>0</v>
      </c>
      <c r="H175" s="10" t="s">
        <v>51</v>
      </c>
      <c r="I175" s="71">
        <v>42202</v>
      </c>
      <c r="J175" s="10" t="s">
        <v>52</v>
      </c>
    </row>
    <row r="176" spans="1:10" x14ac:dyDescent="0.2">
      <c r="A176" s="121" t="s">
        <v>924</v>
      </c>
      <c r="B176" s="121">
        <v>70.900000000000006</v>
      </c>
      <c r="C176" s="10">
        <v>0</v>
      </c>
      <c r="D176" s="10">
        <v>1</v>
      </c>
      <c r="E176">
        <v>0</v>
      </c>
      <c r="F176" s="71">
        <v>42226</v>
      </c>
      <c r="G176" s="102">
        <v>0</v>
      </c>
      <c r="H176" s="10" t="s">
        <v>49</v>
      </c>
      <c r="I176" s="71">
        <v>42203</v>
      </c>
      <c r="J176" s="159" t="s">
        <v>860</v>
      </c>
    </row>
    <row r="177" spans="1:12" x14ac:dyDescent="0.2">
      <c r="A177" s="121" t="s">
        <v>925</v>
      </c>
      <c r="B177" s="121">
        <v>69.69</v>
      </c>
      <c r="C177" s="10">
        <v>0</v>
      </c>
      <c r="D177" s="10">
        <v>1</v>
      </c>
      <c r="E177">
        <v>0</v>
      </c>
      <c r="F177" s="71">
        <v>42226</v>
      </c>
      <c r="G177" s="102">
        <v>0</v>
      </c>
      <c r="H177" s="10" t="s">
        <v>49</v>
      </c>
      <c r="I177" s="71">
        <v>42203</v>
      </c>
      <c r="J177" s="159" t="s">
        <v>860</v>
      </c>
    </row>
    <row r="178" spans="1:12" x14ac:dyDescent="0.2">
      <c r="A178" s="121" t="s">
        <v>926</v>
      </c>
      <c r="B178" s="121">
        <v>21</v>
      </c>
      <c r="C178" s="10">
        <v>0</v>
      </c>
      <c r="D178" s="10">
        <v>1</v>
      </c>
      <c r="E178">
        <v>0</v>
      </c>
      <c r="F178" s="71">
        <v>42226</v>
      </c>
      <c r="G178" s="102">
        <v>0</v>
      </c>
      <c r="H178" s="10" t="s">
        <v>49</v>
      </c>
      <c r="I178" s="71">
        <v>42203</v>
      </c>
      <c r="J178" s="159" t="s">
        <v>860</v>
      </c>
    </row>
    <row r="179" spans="1:12" x14ac:dyDescent="0.2">
      <c r="A179" s="121" t="s">
        <v>927</v>
      </c>
      <c r="B179" s="121">
        <v>10.3</v>
      </c>
      <c r="C179" s="10">
        <v>0</v>
      </c>
      <c r="D179" s="10">
        <v>1</v>
      </c>
      <c r="E179">
        <v>0</v>
      </c>
      <c r="F179" s="71">
        <v>42226</v>
      </c>
      <c r="G179" s="102">
        <v>0</v>
      </c>
      <c r="H179" s="10" t="s">
        <v>49</v>
      </c>
      <c r="I179" s="71">
        <v>42203</v>
      </c>
      <c r="J179" s="159" t="s">
        <v>344</v>
      </c>
    </row>
    <row r="180" spans="1:12" x14ac:dyDescent="0.2">
      <c r="A180" s="121" t="s">
        <v>43</v>
      </c>
      <c r="B180" s="121">
        <v>20</v>
      </c>
      <c r="C180" s="10">
        <v>1</v>
      </c>
      <c r="D180" s="10">
        <v>0</v>
      </c>
      <c r="E180">
        <v>0</v>
      </c>
      <c r="F180" s="71">
        <v>42226</v>
      </c>
      <c r="G180" s="102">
        <v>0</v>
      </c>
      <c r="H180" s="10" t="s">
        <v>49</v>
      </c>
      <c r="I180" s="71">
        <v>42204</v>
      </c>
      <c r="J180" s="159" t="s">
        <v>153</v>
      </c>
    </row>
    <row r="181" spans="1:12" x14ac:dyDescent="0.2">
      <c r="A181" s="121" t="s">
        <v>52</v>
      </c>
      <c r="B181" s="121">
        <v>137.85</v>
      </c>
      <c r="C181" s="10">
        <v>0</v>
      </c>
      <c r="D181" s="10">
        <v>1</v>
      </c>
      <c r="E181">
        <v>0</v>
      </c>
      <c r="F181" s="71">
        <v>42226</v>
      </c>
      <c r="G181" s="102">
        <v>0</v>
      </c>
      <c r="H181" s="10" t="s">
        <v>49</v>
      </c>
      <c r="I181" s="71">
        <v>42204</v>
      </c>
      <c r="J181" s="10" t="s">
        <v>52</v>
      </c>
    </row>
    <row r="182" spans="1:12" x14ac:dyDescent="0.2">
      <c r="A182" s="121" t="s">
        <v>933</v>
      </c>
      <c r="B182" s="121">
        <v>54</v>
      </c>
      <c r="C182" s="54">
        <v>0</v>
      </c>
      <c r="D182" s="54">
        <v>1</v>
      </c>
      <c r="E182">
        <v>0</v>
      </c>
      <c r="F182" s="126">
        <v>42226</v>
      </c>
      <c r="G182" s="127">
        <v>0</v>
      </c>
      <c r="H182" s="54" t="s">
        <v>49</v>
      </c>
      <c r="I182" s="126">
        <v>42210</v>
      </c>
      <c r="J182" s="159" t="s">
        <v>860</v>
      </c>
      <c r="K182" s="121"/>
      <c r="L182" s="121"/>
    </row>
    <row r="183" spans="1:12" x14ac:dyDescent="0.2">
      <c r="A183" s="121" t="s">
        <v>934</v>
      </c>
      <c r="B183" s="121">
        <v>80.28</v>
      </c>
      <c r="C183" s="54">
        <v>0</v>
      </c>
      <c r="D183" s="54">
        <v>1</v>
      </c>
      <c r="E183">
        <v>0</v>
      </c>
      <c r="F183" s="126">
        <v>42226</v>
      </c>
      <c r="G183" s="127">
        <v>0</v>
      </c>
      <c r="H183" s="54" t="s">
        <v>49</v>
      </c>
      <c r="I183" s="126">
        <v>42210</v>
      </c>
      <c r="J183" s="159" t="s">
        <v>860</v>
      </c>
      <c r="K183" s="121"/>
      <c r="L183" s="121"/>
    </row>
    <row r="184" spans="1:12" x14ac:dyDescent="0.2">
      <c r="A184" s="121" t="s">
        <v>935</v>
      </c>
      <c r="B184" s="121">
        <v>76.75</v>
      </c>
      <c r="C184" s="54">
        <v>0</v>
      </c>
      <c r="D184" s="54">
        <v>1</v>
      </c>
      <c r="E184">
        <v>0</v>
      </c>
      <c r="F184" s="126">
        <v>42226</v>
      </c>
      <c r="G184" s="127">
        <v>0</v>
      </c>
      <c r="H184" s="54" t="s">
        <v>49</v>
      </c>
      <c r="I184" s="126">
        <v>42210</v>
      </c>
      <c r="J184" s="159" t="s">
        <v>860</v>
      </c>
      <c r="K184" s="120"/>
      <c r="L184" s="121"/>
    </row>
    <row r="185" spans="1:12" x14ac:dyDescent="0.2">
      <c r="A185" s="121" t="s">
        <v>936</v>
      </c>
      <c r="B185" s="121">
        <v>173.56</v>
      </c>
      <c r="C185" s="54">
        <v>0</v>
      </c>
      <c r="D185" s="54">
        <v>1</v>
      </c>
      <c r="E185">
        <v>0</v>
      </c>
      <c r="F185" s="126">
        <v>42226</v>
      </c>
      <c r="G185" s="127">
        <v>0</v>
      </c>
      <c r="H185" s="54" t="s">
        <v>49</v>
      </c>
      <c r="I185" s="126">
        <v>42210</v>
      </c>
      <c r="J185" s="159" t="s">
        <v>860</v>
      </c>
      <c r="K185" s="120"/>
      <c r="L185" s="120"/>
    </row>
    <row r="186" spans="1:12" x14ac:dyDescent="0.2">
      <c r="A186" s="121" t="s">
        <v>937</v>
      </c>
      <c r="B186" s="121">
        <v>19.350000000000001</v>
      </c>
      <c r="C186" s="54">
        <v>0</v>
      </c>
      <c r="D186" s="54">
        <v>1</v>
      </c>
      <c r="E186">
        <v>0</v>
      </c>
      <c r="F186" s="126">
        <v>42226</v>
      </c>
      <c r="G186" s="127">
        <v>0</v>
      </c>
      <c r="H186" s="54" t="s">
        <v>49</v>
      </c>
      <c r="I186" s="126">
        <v>42210</v>
      </c>
      <c r="J186" s="159" t="s">
        <v>860</v>
      </c>
      <c r="K186" s="120"/>
      <c r="L186" s="120"/>
    </row>
    <row r="187" spans="1:12" x14ac:dyDescent="0.2">
      <c r="A187" s="121" t="s">
        <v>43</v>
      </c>
      <c r="B187" s="121">
        <v>30</v>
      </c>
      <c r="C187" s="54">
        <v>0</v>
      </c>
      <c r="D187" s="54">
        <v>1</v>
      </c>
      <c r="E187">
        <v>0</v>
      </c>
      <c r="F187" s="126">
        <v>42226</v>
      </c>
      <c r="G187" s="127">
        <v>0</v>
      </c>
      <c r="H187" s="54" t="s">
        <v>49</v>
      </c>
      <c r="I187" s="126">
        <v>42210</v>
      </c>
      <c r="J187" s="159" t="s">
        <v>860</v>
      </c>
      <c r="K187" s="120"/>
      <c r="L187" s="120"/>
    </row>
    <row r="188" spans="1:12" x14ac:dyDescent="0.2">
      <c r="A188" s="121" t="s">
        <v>738</v>
      </c>
      <c r="B188" s="121">
        <v>30</v>
      </c>
      <c r="C188" s="54">
        <v>0</v>
      </c>
      <c r="D188" s="54">
        <v>1</v>
      </c>
      <c r="E188">
        <v>0</v>
      </c>
      <c r="F188" s="126">
        <v>42226</v>
      </c>
      <c r="G188" s="127">
        <v>0</v>
      </c>
      <c r="H188" s="54" t="s">
        <v>49</v>
      </c>
      <c r="I188" s="126">
        <v>42210</v>
      </c>
      <c r="J188" s="54" t="s">
        <v>46</v>
      </c>
      <c r="K188" s="120"/>
      <c r="L188" s="120"/>
    </row>
    <row r="189" spans="1:12" x14ac:dyDescent="0.2">
      <c r="A189" s="121" t="s">
        <v>52</v>
      </c>
      <c r="B189" s="121">
        <v>60.32</v>
      </c>
      <c r="C189" s="54">
        <v>0</v>
      </c>
      <c r="D189" s="54">
        <v>1</v>
      </c>
      <c r="E189">
        <v>0</v>
      </c>
      <c r="F189" s="126">
        <v>42226</v>
      </c>
      <c r="G189" s="127">
        <v>0</v>
      </c>
      <c r="H189" s="54" t="s">
        <v>54</v>
      </c>
      <c r="I189" s="126">
        <v>42212</v>
      </c>
      <c r="J189" s="54" t="s">
        <v>52</v>
      </c>
      <c r="K189" s="120"/>
      <c r="L189" s="120"/>
    </row>
    <row r="190" spans="1:12" x14ac:dyDescent="0.2">
      <c r="A190" s="121" t="s">
        <v>949</v>
      </c>
      <c r="B190" s="121">
        <v>170</v>
      </c>
      <c r="C190" s="54">
        <v>0</v>
      </c>
      <c r="D190" s="54">
        <v>1</v>
      </c>
      <c r="E190">
        <v>0</v>
      </c>
      <c r="F190" s="126">
        <v>42226</v>
      </c>
      <c r="G190" s="127">
        <v>0</v>
      </c>
      <c r="H190" s="54" t="s">
        <v>54</v>
      </c>
      <c r="I190" s="126">
        <v>42215</v>
      </c>
      <c r="J190" s="170" t="s">
        <v>860</v>
      </c>
      <c r="K190" s="120"/>
      <c r="L190" s="120"/>
    </row>
    <row r="191" spans="1:12" x14ac:dyDescent="0.2">
      <c r="A191" s="121" t="s">
        <v>950</v>
      </c>
      <c r="B191" s="121">
        <v>17.399999999999999</v>
      </c>
      <c r="C191" s="54">
        <v>0</v>
      </c>
      <c r="D191" s="54">
        <v>1</v>
      </c>
      <c r="E191">
        <v>0</v>
      </c>
      <c r="F191" s="126">
        <v>42226</v>
      </c>
      <c r="G191" s="127">
        <v>0</v>
      </c>
      <c r="H191" s="54" t="s">
        <v>54</v>
      </c>
      <c r="I191" s="126">
        <v>42215</v>
      </c>
      <c r="J191" s="54" t="s">
        <v>50</v>
      </c>
      <c r="K191" s="120"/>
      <c r="L191" s="120"/>
    </row>
    <row r="192" spans="1:12" x14ac:dyDescent="0.2">
      <c r="A192" s="121" t="s">
        <v>951</v>
      </c>
      <c r="B192" s="121">
        <v>22.9</v>
      </c>
      <c r="C192" s="54">
        <v>0</v>
      </c>
      <c r="D192" s="54">
        <v>1</v>
      </c>
      <c r="E192">
        <v>0</v>
      </c>
      <c r="F192" s="126">
        <v>42226</v>
      </c>
      <c r="G192" s="127">
        <v>0</v>
      </c>
      <c r="H192" s="54" t="s">
        <v>54</v>
      </c>
      <c r="I192" s="126">
        <v>42215</v>
      </c>
      <c r="J192" s="54" t="s">
        <v>50</v>
      </c>
      <c r="K192" s="120"/>
      <c r="L192" s="120"/>
    </row>
    <row r="193" spans="1:12" x14ac:dyDescent="0.2">
      <c r="A193" s="121" t="s">
        <v>952</v>
      </c>
      <c r="B193" s="121">
        <v>207.45</v>
      </c>
      <c r="C193" s="54">
        <v>0</v>
      </c>
      <c r="D193" s="54">
        <v>1</v>
      </c>
      <c r="E193">
        <v>0</v>
      </c>
      <c r="F193" s="126">
        <v>42226</v>
      </c>
      <c r="G193" s="127">
        <v>0</v>
      </c>
      <c r="H193" s="54" t="s">
        <v>54</v>
      </c>
      <c r="I193" s="126">
        <v>42216</v>
      </c>
      <c r="J193" s="54" t="s">
        <v>860</v>
      </c>
      <c r="K193" s="120"/>
      <c r="L193" s="120"/>
    </row>
    <row r="194" spans="1:12" x14ac:dyDescent="0.2">
      <c r="A194" s="131" t="s">
        <v>953</v>
      </c>
      <c r="B194" s="131">
        <v>207.45</v>
      </c>
      <c r="C194" s="132">
        <v>0</v>
      </c>
      <c r="D194" s="132">
        <v>1</v>
      </c>
      <c r="E194">
        <v>0</v>
      </c>
      <c r="F194" s="133">
        <v>42257</v>
      </c>
      <c r="G194" s="134">
        <v>0</v>
      </c>
      <c r="H194" s="132" t="s">
        <v>54</v>
      </c>
      <c r="I194" s="133">
        <v>42216</v>
      </c>
      <c r="J194" s="132" t="s">
        <v>860</v>
      </c>
    </row>
    <row r="195" spans="1:12" x14ac:dyDescent="0.2">
      <c r="A195" s="121" t="s">
        <v>190</v>
      </c>
      <c r="B195" s="121">
        <v>9.75</v>
      </c>
      <c r="C195" s="54">
        <v>0</v>
      </c>
      <c r="D195" s="54">
        <v>1</v>
      </c>
      <c r="E195">
        <v>0</v>
      </c>
      <c r="F195" s="126">
        <v>42226</v>
      </c>
      <c r="G195" s="127">
        <v>0</v>
      </c>
      <c r="H195" s="54" t="s">
        <v>54</v>
      </c>
      <c r="I195" s="126">
        <v>42216</v>
      </c>
      <c r="J195" s="54" t="s">
        <v>190</v>
      </c>
    </row>
    <row r="196" spans="1:12" x14ac:dyDescent="0.2">
      <c r="A196" s="121" t="s">
        <v>96</v>
      </c>
      <c r="B196" s="121">
        <v>17.920000000000002</v>
      </c>
      <c r="C196" s="54">
        <v>0</v>
      </c>
      <c r="D196" s="54">
        <v>1</v>
      </c>
      <c r="E196">
        <v>0</v>
      </c>
      <c r="F196" s="126">
        <v>42226</v>
      </c>
      <c r="G196" s="127">
        <v>0</v>
      </c>
      <c r="H196" s="54" t="s">
        <v>54</v>
      </c>
      <c r="I196" s="126">
        <v>42216</v>
      </c>
      <c r="J196" s="170" t="s">
        <v>96</v>
      </c>
    </row>
    <row r="197" spans="1:12" x14ac:dyDescent="0.2">
      <c r="A197" s="1" t="s">
        <v>207</v>
      </c>
      <c r="B197" s="31">
        <v>74.900000000000006</v>
      </c>
      <c r="C197">
        <v>0</v>
      </c>
      <c r="D197">
        <v>1</v>
      </c>
      <c r="E197">
        <v>0</v>
      </c>
      <c r="F197" s="126">
        <v>42226</v>
      </c>
      <c r="G197" s="84">
        <v>0</v>
      </c>
      <c r="H197" s="1" t="s">
        <v>55</v>
      </c>
      <c r="I197" s="71">
        <v>42223</v>
      </c>
      <c r="J197" t="s">
        <v>46</v>
      </c>
    </row>
    <row r="198" spans="1:12" x14ac:dyDescent="0.2">
      <c r="A198" s="128" t="s">
        <v>957</v>
      </c>
      <c r="B198" s="137">
        <v>14</v>
      </c>
      <c r="C198" s="129">
        <v>0</v>
      </c>
      <c r="D198" s="129">
        <v>1</v>
      </c>
      <c r="E198" s="129">
        <v>0</v>
      </c>
      <c r="F198" s="130">
        <v>42226</v>
      </c>
      <c r="G198" s="84">
        <v>0</v>
      </c>
      <c r="H198" s="1" t="s">
        <v>49</v>
      </c>
      <c r="I198" s="71">
        <v>42217</v>
      </c>
      <c r="J198" s="1" t="s">
        <v>50</v>
      </c>
    </row>
    <row r="199" spans="1:12" x14ac:dyDescent="0.2">
      <c r="A199" s="128" t="s">
        <v>958</v>
      </c>
      <c r="B199" s="137">
        <v>112.27</v>
      </c>
      <c r="C199" s="129">
        <v>0</v>
      </c>
      <c r="D199" s="129">
        <v>1</v>
      </c>
      <c r="E199" s="129">
        <v>0</v>
      </c>
      <c r="F199" s="130">
        <v>42226</v>
      </c>
      <c r="G199" s="84">
        <v>0</v>
      </c>
      <c r="H199" s="1" t="s">
        <v>49</v>
      </c>
      <c r="I199" s="71">
        <v>42217</v>
      </c>
      <c r="J199" s="171" t="s">
        <v>107</v>
      </c>
    </row>
    <row r="200" spans="1:12" x14ac:dyDescent="0.2">
      <c r="A200" s="128" t="s">
        <v>959</v>
      </c>
      <c r="B200" s="137">
        <v>15.84</v>
      </c>
      <c r="C200" s="129">
        <v>0</v>
      </c>
      <c r="D200" s="129">
        <v>1</v>
      </c>
      <c r="E200" s="129">
        <v>0</v>
      </c>
      <c r="F200" s="130">
        <v>42226</v>
      </c>
      <c r="G200" s="84">
        <v>0</v>
      </c>
      <c r="H200" s="1" t="s">
        <v>49</v>
      </c>
      <c r="I200" s="71">
        <v>42217</v>
      </c>
      <c r="J200" s="171" t="s">
        <v>107</v>
      </c>
    </row>
    <row r="201" spans="1:12" x14ac:dyDescent="0.2">
      <c r="A201" s="128" t="s">
        <v>52</v>
      </c>
      <c r="B201" s="137">
        <v>48.07</v>
      </c>
      <c r="C201" s="129">
        <v>0</v>
      </c>
      <c r="D201" s="129">
        <v>1</v>
      </c>
      <c r="E201" s="129">
        <v>0</v>
      </c>
      <c r="F201" s="130">
        <v>42226</v>
      </c>
      <c r="G201" s="84">
        <v>0</v>
      </c>
      <c r="H201" s="1" t="s">
        <v>49</v>
      </c>
      <c r="I201" s="71">
        <v>42217</v>
      </c>
      <c r="J201" s="1" t="s">
        <v>52</v>
      </c>
    </row>
    <row r="202" spans="1:12" x14ac:dyDescent="0.2">
      <c r="A202" s="128" t="s">
        <v>960</v>
      </c>
      <c r="B202" s="137">
        <v>39.950000000000003</v>
      </c>
      <c r="C202" s="129">
        <v>0</v>
      </c>
      <c r="D202" s="129">
        <v>1</v>
      </c>
      <c r="E202" s="129">
        <v>0</v>
      </c>
      <c r="F202" s="130">
        <v>42226</v>
      </c>
      <c r="G202" s="84">
        <v>0</v>
      </c>
      <c r="H202" s="1" t="s">
        <v>49</v>
      </c>
      <c r="I202" s="71">
        <v>42217</v>
      </c>
      <c r="J202" s="1" t="s">
        <v>860</v>
      </c>
    </row>
    <row r="203" spans="1:12" x14ac:dyDescent="0.2">
      <c r="A203" s="128" t="s">
        <v>961</v>
      </c>
      <c r="B203" s="137">
        <v>142</v>
      </c>
      <c r="C203" s="129">
        <v>0</v>
      </c>
      <c r="D203" s="129">
        <v>1</v>
      </c>
      <c r="E203" s="129">
        <v>0</v>
      </c>
      <c r="F203" s="130">
        <v>42226</v>
      </c>
      <c r="G203" s="84">
        <v>0</v>
      </c>
      <c r="H203" s="1" t="s">
        <v>49</v>
      </c>
      <c r="I203" s="71">
        <v>42217</v>
      </c>
      <c r="J203" s="1" t="s">
        <v>344</v>
      </c>
    </row>
    <row r="204" spans="1:12" x14ac:dyDescent="0.2">
      <c r="A204" s="135" t="s">
        <v>962</v>
      </c>
      <c r="B204" s="138">
        <v>142</v>
      </c>
      <c r="C204" s="136">
        <v>0</v>
      </c>
      <c r="D204" s="136">
        <v>1</v>
      </c>
      <c r="E204" s="136">
        <v>0</v>
      </c>
      <c r="F204" s="133">
        <v>42257</v>
      </c>
      <c r="G204" s="84">
        <v>0</v>
      </c>
      <c r="H204" s="78" t="s">
        <v>49</v>
      </c>
      <c r="I204" s="79">
        <v>42217</v>
      </c>
      <c r="J204" s="78" t="s">
        <v>344</v>
      </c>
    </row>
    <row r="205" spans="1:12" x14ac:dyDescent="0.2">
      <c r="A205" s="128" t="s">
        <v>333</v>
      </c>
      <c r="B205" s="137">
        <v>39.590000000000003</v>
      </c>
      <c r="C205" s="136">
        <v>0</v>
      </c>
      <c r="D205" s="136">
        <v>1</v>
      </c>
      <c r="E205" s="136">
        <v>0</v>
      </c>
      <c r="F205" s="133">
        <v>42257</v>
      </c>
      <c r="G205" s="84">
        <v>0</v>
      </c>
      <c r="H205" s="78" t="s">
        <v>49</v>
      </c>
      <c r="I205" s="79">
        <v>42221</v>
      </c>
      <c r="J205" s="78" t="s">
        <v>333</v>
      </c>
    </row>
    <row r="206" spans="1:12" x14ac:dyDescent="0.2">
      <c r="A206" s="128" t="s">
        <v>333</v>
      </c>
      <c r="B206" s="137">
        <v>47.9</v>
      </c>
      <c r="C206" s="136">
        <v>0</v>
      </c>
      <c r="D206" s="136">
        <v>1</v>
      </c>
      <c r="E206" s="136">
        <v>0</v>
      </c>
      <c r="F206" s="133">
        <v>42257</v>
      </c>
      <c r="G206" s="84">
        <v>0</v>
      </c>
      <c r="H206" s="78" t="s">
        <v>49</v>
      </c>
      <c r="I206" s="79">
        <v>42221</v>
      </c>
      <c r="J206" s="78" t="s">
        <v>333</v>
      </c>
    </row>
    <row r="207" spans="1:12" x14ac:dyDescent="0.2">
      <c r="A207" s="128" t="s">
        <v>691</v>
      </c>
      <c r="B207" s="137">
        <v>63.42</v>
      </c>
      <c r="C207" s="136">
        <v>0</v>
      </c>
      <c r="D207" s="136">
        <v>1</v>
      </c>
      <c r="E207" s="136">
        <v>0</v>
      </c>
      <c r="F207" s="133">
        <v>42257</v>
      </c>
      <c r="G207" s="84">
        <v>0</v>
      </c>
      <c r="H207" s="78" t="s">
        <v>49</v>
      </c>
      <c r="I207" s="79">
        <v>42222</v>
      </c>
      <c r="J207" s="78" t="s">
        <v>52</v>
      </c>
    </row>
    <row r="208" spans="1:12" x14ac:dyDescent="0.2">
      <c r="A208" s="128" t="s">
        <v>964</v>
      </c>
      <c r="B208" s="137">
        <v>9</v>
      </c>
      <c r="C208" s="136">
        <v>0</v>
      </c>
      <c r="D208" s="136">
        <v>1</v>
      </c>
      <c r="E208" s="136">
        <v>0</v>
      </c>
      <c r="F208" s="130">
        <v>42226</v>
      </c>
      <c r="G208" s="84">
        <v>0</v>
      </c>
      <c r="H208" s="78" t="s">
        <v>49</v>
      </c>
      <c r="I208" s="79">
        <v>42217</v>
      </c>
      <c r="J208" s="78" t="s">
        <v>50</v>
      </c>
    </row>
    <row r="209" spans="1:10" x14ac:dyDescent="0.2">
      <c r="A209" s="128" t="s">
        <v>965</v>
      </c>
      <c r="B209" s="137">
        <v>32</v>
      </c>
      <c r="C209" s="136">
        <v>0</v>
      </c>
      <c r="D209" s="136">
        <v>1</v>
      </c>
      <c r="E209" s="136">
        <v>0</v>
      </c>
      <c r="F209" s="130">
        <v>42226</v>
      </c>
      <c r="G209" s="84">
        <v>0</v>
      </c>
      <c r="H209" s="78" t="s">
        <v>49</v>
      </c>
      <c r="I209" s="79">
        <v>42218</v>
      </c>
      <c r="J209" s="78" t="s">
        <v>50</v>
      </c>
    </row>
    <row r="210" spans="1:10" x14ac:dyDescent="0.2">
      <c r="A210" s="128" t="s">
        <v>970</v>
      </c>
      <c r="B210" s="137">
        <v>12.94</v>
      </c>
      <c r="C210" s="136">
        <v>0</v>
      </c>
      <c r="D210" s="136">
        <v>1</v>
      </c>
      <c r="E210" s="136">
        <v>0</v>
      </c>
      <c r="F210" s="133">
        <v>42257</v>
      </c>
      <c r="G210" s="84">
        <v>0</v>
      </c>
      <c r="H210" s="78" t="s">
        <v>49</v>
      </c>
      <c r="I210" s="71">
        <v>42226</v>
      </c>
      <c r="J210" s="78" t="s">
        <v>50</v>
      </c>
    </row>
    <row r="211" spans="1:10" x14ac:dyDescent="0.2">
      <c r="A211" s="128" t="s">
        <v>52</v>
      </c>
      <c r="B211" s="137">
        <v>60.94</v>
      </c>
      <c r="C211" s="136">
        <v>0</v>
      </c>
      <c r="D211" s="136">
        <v>1</v>
      </c>
      <c r="E211" s="136">
        <v>0</v>
      </c>
      <c r="F211" s="133">
        <v>42257</v>
      </c>
      <c r="G211" s="84">
        <v>0</v>
      </c>
      <c r="H211" s="78" t="s">
        <v>49</v>
      </c>
      <c r="I211" s="71">
        <v>42225</v>
      </c>
      <c r="J211" s="78" t="s">
        <v>52</v>
      </c>
    </row>
    <row r="212" spans="1:10" x14ac:dyDescent="0.2">
      <c r="A212" s="128" t="s">
        <v>43</v>
      </c>
      <c r="B212" s="137">
        <v>40</v>
      </c>
      <c r="C212" s="136">
        <v>1</v>
      </c>
      <c r="D212" s="136">
        <v>0</v>
      </c>
      <c r="E212" s="136">
        <v>0</v>
      </c>
      <c r="F212" s="133">
        <v>42257</v>
      </c>
      <c r="G212" s="84">
        <v>0</v>
      </c>
      <c r="H212" s="78" t="s">
        <v>47</v>
      </c>
      <c r="I212" s="71">
        <v>42226</v>
      </c>
      <c r="J212" s="78" t="s">
        <v>153</v>
      </c>
    </row>
    <row r="213" spans="1:10" x14ac:dyDescent="0.2">
      <c r="A213" s="128" t="s">
        <v>971</v>
      </c>
      <c r="B213" s="137">
        <v>207.55</v>
      </c>
      <c r="C213" s="136">
        <v>0</v>
      </c>
      <c r="D213" s="136">
        <v>1</v>
      </c>
      <c r="E213" s="136">
        <v>0</v>
      </c>
      <c r="F213" s="133">
        <v>42257</v>
      </c>
      <c r="G213" s="84">
        <v>0</v>
      </c>
      <c r="H213" s="78" t="s">
        <v>47</v>
      </c>
      <c r="I213" s="71">
        <v>42230</v>
      </c>
      <c r="J213" s="78" t="s">
        <v>860</v>
      </c>
    </row>
    <row r="214" spans="1:10" x14ac:dyDescent="0.2">
      <c r="A214" s="128" t="s">
        <v>972</v>
      </c>
      <c r="B214" s="137">
        <v>207.55</v>
      </c>
      <c r="C214" s="136">
        <v>0</v>
      </c>
      <c r="D214" s="136">
        <v>1</v>
      </c>
      <c r="E214" s="136">
        <v>1</v>
      </c>
      <c r="F214" s="133">
        <v>42287</v>
      </c>
      <c r="G214" s="84">
        <v>0</v>
      </c>
      <c r="H214" s="78" t="s">
        <v>47</v>
      </c>
      <c r="I214" s="71">
        <v>42230</v>
      </c>
      <c r="J214" s="78" t="s">
        <v>860</v>
      </c>
    </row>
    <row r="215" spans="1:10" x14ac:dyDescent="0.2">
      <c r="A215" s="128" t="s">
        <v>973</v>
      </c>
      <c r="B215" s="137">
        <v>32.9</v>
      </c>
      <c r="C215" s="136">
        <v>0</v>
      </c>
      <c r="D215" s="136">
        <v>1</v>
      </c>
      <c r="E215" s="136">
        <v>0</v>
      </c>
      <c r="F215" s="133">
        <v>42257</v>
      </c>
      <c r="G215" s="84">
        <v>0</v>
      </c>
      <c r="H215" s="78" t="s">
        <v>47</v>
      </c>
      <c r="I215" s="71">
        <v>42230</v>
      </c>
      <c r="J215" s="78" t="s">
        <v>860</v>
      </c>
    </row>
    <row r="216" spans="1:10" x14ac:dyDescent="0.2">
      <c r="A216" s="128" t="s">
        <v>974</v>
      </c>
      <c r="B216" s="137">
        <v>31.2</v>
      </c>
      <c r="C216" s="136">
        <v>0</v>
      </c>
      <c r="D216" s="136">
        <v>1</v>
      </c>
      <c r="E216" s="136">
        <v>0</v>
      </c>
      <c r="F216" s="133">
        <v>42257</v>
      </c>
      <c r="G216" s="84">
        <v>0</v>
      </c>
      <c r="H216" s="78" t="s">
        <v>49</v>
      </c>
      <c r="I216" s="71">
        <v>42231</v>
      </c>
      <c r="J216" s="78" t="s">
        <v>344</v>
      </c>
    </row>
    <row r="217" spans="1:10" x14ac:dyDescent="0.2">
      <c r="A217" s="128" t="s">
        <v>975</v>
      </c>
      <c r="B217" s="137">
        <v>80.900000000000006</v>
      </c>
      <c r="C217" s="136">
        <v>0</v>
      </c>
      <c r="D217" s="136">
        <v>1</v>
      </c>
      <c r="E217" s="136">
        <v>0</v>
      </c>
      <c r="F217" s="133">
        <v>42257</v>
      </c>
      <c r="G217" s="84">
        <v>0</v>
      </c>
      <c r="H217" s="78" t="s">
        <v>49</v>
      </c>
      <c r="I217" s="71">
        <v>42231</v>
      </c>
      <c r="J217" s="78" t="s">
        <v>860</v>
      </c>
    </row>
    <row r="218" spans="1:10" x14ac:dyDescent="0.2">
      <c r="A218" s="128" t="s">
        <v>976</v>
      </c>
      <c r="B218" s="137">
        <v>35.69</v>
      </c>
      <c r="C218" s="136">
        <v>0</v>
      </c>
      <c r="D218" s="136">
        <v>1</v>
      </c>
      <c r="E218" s="136">
        <v>0</v>
      </c>
      <c r="F218" s="133">
        <v>42257</v>
      </c>
      <c r="G218" s="84">
        <v>0</v>
      </c>
      <c r="H218" s="78" t="s">
        <v>49</v>
      </c>
      <c r="I218" s="71">
        <v>42231</v>
      </c>
      <c r="J218" s="78" t="s">
        <v>860</v>
      </c>
    </row>
    <row r="219" spans="1:10" x14ac:dyDescent="0.2">
      <c r="A219" s="128" t="s">
        <v>977</v>
      </c>
      <c r="B219" s="137">
        <v>219.9</v>
      </c>
      <c r="C219" s="136">
        <v>0</v>
      </c>
      <c r="D219" s="136">
        <v>1</v>
      </c>
      <c r="E219" s="136">
        <v>0</v>
      </c>
      <c r="F219" s="133">
        <v>42257</v>
      </c>
      <c r="G219" s="84">
        <v>0</v>
      </c>
      <c r="H219" s="78" t="s">
        <v>49</v>
      </c>
      <c r="I219" s="71">
        <v>42231</v>
      </c>
      <c r="J219" s="78" t="s">
        <v>860</v>
      </c>
    </row>
    <row r="220" spans="1:10" x14ac:dyDescent="0.2">
      <c r="A220" s="128" t="s">
        <v>96</v>
      </c>
      <c r="B220" s="137">
        <v>66</v>
      </c>
      <c r="C220" s="136">
        <v>0</v>
      </c>
      <c r="D220" s="136">
        <v>1</v>
      </c>
      <c r="E220" s="136">
        <v>0</v>
      </c>
      <c r="F220" s="133">
        <v>42257</v>
      </c>
      <c r="G220" s="84">
        <v>0</v>
      </c>
      <c r="H220" s="78" t="s">
        <v>49</v>
      </c>
      <c r="I220" s="71">
        <v>42231</v>
      </c>
      <c r="J220" s="170" t="s">
        <v>96</v>
      </c>
    </row>
    <row r="221" spans="1:10" x14ac:dyDescent="0.2">
      <c r="A221" s="128" t="s">
        <v>52</v>
      </c>
      <c r="B221" s="137">
        <v>29.72</v>
      </c>
      <c r="C221" s="136">
        <v>0</v>
      </c>
      <c r="D221" s="136">
        <v>1</v>
      </c>
      <c r="E221" s="136">
        <v>0</v>
      </c>
      <c r="F221" s="133">
        <v>42257</v>
      </c>
      <c r="G221" s="84">
        <v>0</v>
      </c>
      <c r="H221" s="78" t="s">
        <v>49</v>
      </c>
      <c r="I221" s="71">
        <v>42231</v>
      </c>
      <c r="J221" s="78" t="s">
        <v>52</v>
      </c>
    </row>
    <row r="222" spans="1:10" x14ac:dyDescent="0.2">
      <c r="A222" s="1" t="s">
        <v>207</v>
      </c>
      <c r="B222" s="31">
        <v>74.900000000000006</v>
      </c>
      <c r="C222">
        <v>0</v>
      </c>
      <c r="D222">
        <v>1</v>
      </c>
      <c r="E222">
        <v>0</v>
      </c>
      <c r="F222" s="126">
        <v>42257</v>
      </c>
      <c r="G222" s="84">
        <v>0</v>
      </c>
      <c r="H222" s="1" t="s">
        <v>55</v>
      </c>
      <c r="I222" s="71">
        <v>42223</v>
      </c>
      <c r="J222" t="s">
        <v>46</v>
      </c>
    </row>
    <row r="223" spans="1:10" x14ac:dyDescent="0.2">
      <c r="A223" s="128" t="s">
        <v>52</v>
      </c>
      <c r="B223" s="137">
        <v>40.119999999999997</v>
      </c>
      <c r="C223">
        <v>0</v>
      </c>
      <c r="D223">
        <v>1</v>
      </c>
      <c r="E223">
        <v>0</v>
      </c>
      <c r="F223" s="126">
        <v>42257</v>
      </c>
      <c r="G223" s="84">
        <v>0</v>
      </c>
      <c r="H223" s="78" t="s">
        <v>51</v>
      </c>
      <c r="I223" s="71">
        <v>42233</v>
      </c>
      <c r="J223" s="78" t="s">
        <v>52</v>
      </c>
    </row>
    <row r="224" spans="1:10" x14ac:dyDescent="0.2">
      <c r="A224" s="128" t="s">
        <v>979</v>
      </c>
      <c r="B224" s="137">
        <v>41.78</v>
      </c>
      <c r="C224">
        <v>0</v>
      </c>
      <c r="D224">
        <v>1</v>
      </c>
      <c r="E224">
        <v>0</v>
      </c>
      <c r="F224" s="126">
        <v>42257</v>
      </c>
      <c r="G224" s="84">
        <v>0</v>
      </c>
      <c r="H224" s="78" t="s">
        <v>51</v>
      </c>
      <c r="I224" s="71">
        <v>42234</v>
      </c>
      <c r="J224" s="78" t="s">
        <v>52</v>
      </c>
    </row>
    <row r="225" spans="1:10" x14ac:dyDescent="0.2">
      <c r="A225" s="128" t="s">
        <v>183</v>
      </c>
      <c r="B225" s="137">
        <v>1.5</v>
      </c>
      <c r="C225">
        <v>0</v>
      </c>
      <c r="D225">
        <v>1</v>
      </c>
      <c r="E225">
        <v>0</v>
      </c>
      <c r="F225" s="126">
        <v>42257</v>
      </c>
      <c r="G225" s="84">
        <v>0</v>
      </c>
      <c r="H225" s="78" t="s">
        <v>51</v>
      </c>
      <c r="I225" s="71">
        <v>42234</v>
      </c>
      <c r="J225" s="78" t="s">
        <v>50</v>
      </c>
    </row>
    <row r="226" spans="1:10" x14ac:dyDescent="0.2">
      <c r="A226" s="128" t="s">
        <v>965</v>
      </c>
      <c r="B226" s="137">
        <v>26.85</v>
      </c>
      <c r="C226">
        <v>0</v>
      </c>
      <c r="D226">
        <v>1</v>
      </c>
      <c r="E226">
        <v>0</v>
      </c>
      <c r="F226" s="71">
        <v>42257</v>
      </c>
      <c r="G226" s="84">
        <v>0</v>
      </c>
      <c r="H226" s="78" t="s">
        <v>49</v>
      </c>
      <c r="I226" s="71">
        <v>42238</v>
      </c>
      <c r="J226" s="78" t="s">
        <v>50</v>
      </c>
    </row>
    <row r="227" spans="1:10" x14ac:dyDescent="0.2">
      <c r="A227" s="128" t="s">
        <v>985</v>
      </c>
      <c r="B227" s="137">
        <v>9.9</v>
      </c>
      <c r="C227">
        <v>0</v>
      </c>
      <c r="D227">
        <v>1</v>
      </c>
      <c r="E227">
        <v>0</v>
      </c>
      <c r="F227" s="71">
        <v>42257</v>
      </c>
      <c r="G227" s="84">
        <v>0</v>
      </c>
      <c r="H227" s="78" t="s">
        <v>49</v>
      </c>
      <c r="I227" s="71">
        <v>42238</v>
      </c>
      <c r="J227" s="170" t="s">
        <v>96</v>
      </c>
    </row>
    <row r="228" spans="1:10" x14ac:dyDescent="0.2">
      <c r="A228" s="128" t="s">
        <v>986</v>
      </c>
      <c r="B228" s="137">
        <v>49.99</v>
      </c>
      <c r="C228">
        <v>0</v>
      </c>
      <c r="D228">
        <v>1</v>
      </c>
      <c r="E228">
        <v>0</v>
      </c>
      <c r="F228" s="71">
        <v>42257</v>
      </c>
      <c r="G228" s="84">
        <v>0</v>
      </c>
      <c r="H228" s="78" t="s">
        <v>49</v>
      </c>
      <c r="I228" s="71">
        <v>42238</v>
      </c>
      <c r="J228" s="78" t="s">
        <v>344</v>
      </c>
    </row>
    <row r="229" spans="1:10" x14ac:dyDescent="0.2">
      <c r="A229" s="128" t="s">
        <v>987</v>
      </c>
      <c r="B229" s="137">
        <v>10</v>
      </c>
      <c r="C229">
        <v>0</v>
      </c>
      <c r="D229">
        <v>1</v>
      </c>
      <c r="E229">
        <v>0</v>
      </c>
      <c r="F229" s="71">
        <v>42257</v>
      </c>
      <c r="G229" s="84">
        <v>0</v>
      </c>
      <c r="H229" s="78" t="s">
        <v>49</v>
      </c>
      <c r="I229" s="71">
        <v>42238</v>
      </c>
      <c r="J229" s="78" t="s">
        <v>50</v>
      </c>
    </row>
    <row r="230" spans="1:10" x14ac:dyDescent="0.2">
      <c r="A230" s="10" t="s">
        <v>868</v>
      </c>
      <c r="B230" s="102">
        <v>31</v>
      </c>
      <c r="C230" s="10">
        <v>0</v>
      </c>
      <c r="D230" s="10">
        <v>1</v>
      </c>
      <c r="E230">
        <v>0</v>
      </c>
      <c r="F230" s="71">
        <v>42257</v>
      </c>
      <c r="G230" s="102">
        <v>0</v>
      </c>
      <c r="H230" s="10" t="s">
        <v>51</v>
      </c>
      <c r="I230" s="103">
        <v>42267</v>
      </c>
      <c r="J230" s="159" t="s">
        <v>1183</v>
      </c>
    </row>
    <row r="231" spans="1:10" x14ac:dyDescent="0.2">
      <c r="A231" s="128" t="s">
        <v>991</v>
      </c>
      <c r="B231" s="137">
        <v>33.590000000000003</v>
      </c>
      <c r="C231" s="10">
        <v>0</v>
      </c>
      <c r="D231" s="10">
        <v>1</v>
      </c>
      <c r="E231">
        <v>0</v>
      </c>
      <c r="F231" s="71">
        <v>42257</v>
      </c>
      <c r="G231" s="102">
        <v>0</v>
      </c>
      <c r="H231" s="10" t="s">
        <v>54</v>
      </c>
      <c r="I231" s="103">
        <v>42240</v>
      </c>
      <c r="J231" s="78" t="s">
        <v>107</v>
      </c>
    </row>
    <row r="232" spans="1:10" x14ac:dyDescent="0.2">
      <c r="A232" s="128" t="s">
        <v>52</v>
      </c>
      <c r="B232" s="137">
        <v>18.91</v>
      </c>
      <c r="C232" s="10">
        <v>0</v>
      </c>
      <c r="D232" s="10">
        <v>1</v>
      </c>
      <c r="E232">
        <v>0</v>
      </c>
      <c r="F232" s="71">
        <v>42257</v>
      </c>
      <c r="G232" s="102">
        <v>0</v>
      </c>
      <c r="H232" s="10" t="s">
        <v>54</v>
      </c>
      <c r="I232" s="103">
        <v>42241</v>
      </c>
      <c r="J232" s="78" t="s">
        <v>52</v>
      </c>
    </row>
    <row r="233" spans="1:10" x14ac:dyDescent="0.2">
      <c r="A233" s="128" t="s">
        <v>52</v>
      </c>
      <c r="B233" s="137">
        <v>9.75</v>
      </c>
      <c r="C233" s="10">
        <v>0</v>
      </c>
      <c r="D233" s="10">
        <v>1</v>
      </c>
      <c r="E233">
        <v>0</v>
      </c>
      <c r="F233" s="71">
        <v>42257</v>
      </c>
      <c r="G233" s="102">
        <v>0</v>
      </c>
      <c r="H233" s="10" t="s">
        <v>54</v>
      </c>
      <c r="I233" s="103">
        <v>42241</v>
      </c>
      <c r="J233" s="78" t="s">
        <v>52</v>
      </c>
    </row>
    <row r="234" spans="1:10" x14ac:dyDescent="0.2">
      <c r="A234" s="128" t="s">
        <v>190</v>
      </c>
      <c r="B234" s="137">
        <v>15.5</v>
      </c>
      <c r="C234" s="10">
        <v>0</v>
      </c>
      <c r="D234" s="10">
        <v>1</v>
      </c>
      <c r="E234">
        <v>0</v>
      </c>
      <c r="F234" s="71">
        <v>42257</v>
      </c>
      <c r="G234" s="102">
        <v>0</v>
      </c>
      <c r="H234" s="10" t="s">
        <v>54</v>
      </c>
      <c r="I234" s="103">
        <v>42243</v>
      </c>
      <c r="J234" s="78" t="s">
        <v>190</v>
      </c>
    </row>
    <row r="235" spans="1:10" x14ac:dyDescent="0.2">
      <c r="A235" s="128" t="s">
        <v>994</v>
      </c>
      <c r="B235" s="137">
        <v>19.5</v>
      </c>
      <c r="C235" s="10">
        <v>0</v>
      </c>
      <c r="D235" s="10">
        <v>1</v>
      </c>
      <c r="E235">
        <v>0</v>
      </c>
      <c r="F235" s="71">
        <v>42257</v>
      </c>
      <c r="G235" s="102">
        <v>0</v>
      </c>
      <c r="H235" s="10" t="s">
        <v>54</v>
      </c>
      <c r="I235" s="103">
        <v>42244</v>
      </c>
      <c r="J235" s="78" t="s">
        <v>50</v>
      </c>
    </row>
    <row r="236" spans="1:10" x14ac:dyDescent="0.2">
      <c r="A236" s="128" t="s">
        <v>995</v>
      </c>
      <c r="B236" s="137">
        <v>30.18</v>
      </c>
      <c r="C236" s="10">
        <v>0</v>
      </c>
      <c r="D236" s="10">
        <v>1</v>
      </c>
      <c r="E236">
        <v>0</v>
      </c>
      <c r="F236" s="71">
        <v>42257</v>
      </c>
      <c r="G236" s="102">
        <v>0</v>
      </c>
      <c r="H236" s="10" t="s">
        <v>54</v>
      </c>
      <c r="I236" s="103">
        <v>42244</v>
      </c>
      <c r="J236" s="78" t="s">
        <v>50</v>
      </c>
    </row>
    <row r="237" spans="1:10" x14ac:dyDescent="0.2">
      <c r="A237" s="128" t="s">
        <v>52</v>
      </c>
      <c r="B237">
        <v>182.4</v>
      </c>
      <c r="C237" s="10">
        <v>0</v>
      </c>
      <c r="D237" s="10">
        <v>1</v>
      </c>
      <c r="E237">
        <v>0</v>
      </c>
      <c r="F237" s="71">
        <v>42257</v>
      </c>
      <c r="G237" s="102">
        <v>0</v>
      </c>
      <c r="H237" s="10" t="s">
        <v>49</v>
      </c>
      <c r="I237" s="71">
        <v>42245</v>
      </c>
      <c r="J237" s="78" t="s">
        <v>52</v>
      </c>
    </row>
    <row r="238" spans="1:10" x14ac:dyDescent="0.2">
      <c r="A238" s="128" t="s">
        <v>190</v>
      </c>
      <c r="B238" s="137">
        <v>19.010000000000002</v>
      </c>
      <c r="C238" s="10">
        <v>0</v>
      </c>
      <c r="D238" s="10">
        <v>1</v>
      </c>
      <c r="E238">
        <v>0</v>
      </c>
      <c r="F238" s="71">
        <v>42257</v>
      </c>
      <c r="G238" s="102">
        <v>0</v>
      </c>
      <c r="H238" s="10" t="s">
        <v>55</v>
      </c>
      <c r="I238" s="71">
        <v>42247</v>
      </c>
      <c r="J238" s="78" t="s">
        <v>190</v>
      </c>
    </row>
    <row r="239" spans="1:10" x14ac:dyDescent="0.2">
      <c r="A239" s="128" t="s">
        <v>998</v>
      </c>
      <c r="B239" s="137">
        <v>85.75</v>
      </c>
      <c r="C239" s="10">
        <v>0</v>
      </c>
      <c r="D239" s="10">
        <v>1</v>
      </c>
      <c r="E239">
        <v>0</v>
      </c>
      <c r="F239" s="71">
        <v>42257</v>
      </c>
      <c r="G239" s="102">
        <v>0</v>
      </c>
      <c r="H239" s="10" t="s">
        <v>55</v>
      </c>
      <c r="I239" s="71">
        <v>42248</v>
      </c>
      <c r="J239" s="78" t="s">
        <v>333</v>
      </c>
    </row>
    <row r="240" spans="1:10" x14ac:dyDescent="0.2">
      <c r="A240" s="128" t="s">
        <v>999</v>
      </c>
      <c r="B240" s="137">
        <v>55.1</v>
      </c>
      <c r="C240" s="10">
        <v>0</v>
      </c>
      <c r="D240" s="10">
        <v>1</v>
      </c>
      <c r="E240">
        <v>0</v>
      </c>
      <c r="F240" s="71">
        <v>42257</v>
      </c>
      <c r="G240" s="102">
        <v>0</v>
      </c>
      <c r="H240" s="10" t="s">
        <v>55</v>
      </c>
      <c r="I240" s="71">
        <v>42248</v>
      </c>
      <c r="J240" s="78" t="s">
        <v>860</v>
      </c>
    </row>
    <row r="241" spans="1:10" x14ac:dyDescent="0.2">
      <c r="A241" s="128" t="s">
        <v>1000</v>
      </c>
      <c r="B241" s="137">
        <v>70.5</v>
      </c>
      <c r="C241" s="10">
        <v>0</v>
      </c>
      <c r="D241" s="10">
        <v>1</v>
      </c>
      <c r="E241">
        <v>0</v>
      </c>
      <c r="F241" s="71">
        <v>42257</v>
      </c>
      <c r="G241" s="102">
        <v>0</v>
      </c>
      <c r="H241" s="10" t="s">
        <v>55</v>
      </c>
      <c r="I241" s="71">
        <v>42248</v>
      </c>
      <c r="J241" s="78" t="s">
        <v>860</v>
      </c>
    </row>
    <row r="242" spans="1:10" x14ac:dyDescent="0.2">
      <c r="A242" s="128" t="s">
        <v>1001</v>
      </c>
      <c r="B242" s="137">
        <v>85.75</v>
      </c>
      <c r="C242" s="10">
        <v>0</v>
      </c>
      <c r="D242" s="10">
        <v>1</v>
      </c>
      <c r="E242">
        <v>1</v>
      </c>
      <c r="F242" s="71">
        <v>42287</v>
      </c>
      <c r="G242" s="102">
        <v>0</v>
      </c>
      <c r="H242" s="10" t="s">
        <v>55</v>
      </c>
      <c r="I242" s="71">
        <v>42248</v>
      </c>
      <c r="J242" s="78" t="s">
        <v>344</v>
      </c>
    </row>
    <row r="243" spans="1:10" x14ac:dyDescent="0.2">
      <c r="A243" s="128" t="s">
        <v>1002</v>
      </c>
      <c r="B243" s="137">
        <v>55.1</v>
      </c>
      <c r="C243" s="10">
        <v>0</v>
      </c>
      <c r="D243" s="10">
        <v>1</v>
      </c>
      <c r="E243">
        <v>1</v>
      </c>
      <c r="F243" s="71">
        <v>42287</v>
      </c>
      <c r="G243" s="102">
        <v>0</v>
      </c>
      <c r="H243" s="10" t="s">
        <v>55</v>
      </c>
      <c r="I243" s="71">
        <v>42248</v>
      </c>
      <c r="J243" s="78" t="s">
        <v>860</v>
      </c>
    </row>
    <row r="244" spans="1:10" x14ac:dyDescent="0.2">
      <c r="A244" s="128" t="s">
        <v>1003</v>
      </c>
      <c r="B244" s="137">
        <v>70.5</v>
      </c>
      <c r="C244" s="10">
        <v>0</v>
      </c>
      <c r="D244" s="10">
        <v>1</v>
      </c>
      <c r="E244">
        <v>1</v>
      </c>
      <c r="F244" s="71">
        <v>42287</v>
      </c>
      <c r="G244" s="102">
        <v>0</v>
      </c>
      <c r="H244" s="10" t="s">
        <v>55</v>
      </c>
      <c r="I244" s="71">
        <v>42248</v>
      </c>
      <c r="J244" s="78" t="s">
        <v>860</v>
      </c>
    </row>
    <row r="245" spans="1:10" x14ac:dyDescent="0.2">
      <c r="A245" s="128" t="s">
        <v>738</v>
      </c>
      <c r="B245" s="137">
        <v>20</v>
      </c>
      <c r="C245" s="10">
        <v>0</v>
      </c>
      <c r="D245" s="10">
        <v>1</v>
      </c>
      <c r="E245">
        <v>0</v>
      </c>
      <c r="F245" s="71">
        <v>42257</v>
      </c>
      <c r="G245" s="102">
        <v>0</v>
      </c>
      <c r="H245" s="10" t="s">
        <v>55</v>
      </c>
      <c r="I245" s="71">
        <v>42248</v>
      </c>
      <c r="J245" s="78" t="s">
        <v>46</v>
      </c>
    </row>
    <row r="246" spans="1:10" x14ac:dyDescent="0.2">
      <c r="A246" s="128" t="s">
        <v>997</v>
      </c>
      <c r="B246" s="137">
        <v>21.99</v>
      </c>
      <c r="C246" s="10">
        <v>0</v>
      </c>
      <c r="D246" s="10">
        <v>1</v>
      </c>
      <c r="E246">
        <v>0</v>
      </c>
      <c r="F246" s="71">
        <v>42257</v>
      </c>
      <c r="G246" s="102">
        <v>0</v>
      </c>
      <c r="H246" s="10" t="s">
        <v>55</v>
      </c>
      <c r="I246" s="71">
        <v>42248</v>
      </c>
      <c r="J246" s="78" t="s">
        <v>333</v>
      </c>
    </row>
    <row r="247" spans="1:10" x14ac:dyDescent="0.2">
      <c r="A247" s="128" t="s">
        <v>1005</v>
      </c>
      <c r="B247" s="137">
        <v>41.42</v>
      </c>
      <c r="C247" s="10">
        <v>0</v>
      </c>
      <c r="D247" s="10">
        <v>1</v>
      </c>
      <c r="E247">
        <v>0</v>
      </c>
      <c r="F247" s="71">
        <v>42257</v>
      </c>
      <c r="G247" s="102">
        <v>0</v>
      </c>
      <c r="H247" s="10" t="s">
        <v>55</v>
      </c>
      <c r="I247" s="71">
        <v>42249</v>
      </c>
      <c r="J247" s="78" t="s">
        <v>344</v>
      </c>
    </row>
    <row r="248" spans="1:10" x14ac:dyDescent="0.2">
      <c r="A248" s="128" t="s">
        <v>1006</v>
      </c>
      <c r="B248" s="137">
        <v>18.68</v>
      </c>
      <c r="C248" s="10">
        <v>0</v>
      </c>
      <c r="D248" s="10">
        <v>1</v>
      </c>
      <c r="E248">
        <v>0</v>
      </c>
      <c r="F248" s="71">
        <v>42257</v>
      </c>
      <c r="G248" s="102">
        <v>0</v>
      </c>
      <c r="H248" s="10" t="s">
        <v>55</v>
      </c>
      <c r="I248" s="71">
        <v>42249</v>
      </c>
      <c r="J248" s="78" t="s">
        <v>344</v>
      </c>
    </row>
    <row r="249" spans="1:10" x14ac:dyDescent="0.2">
      <c r="A249" s="128" t="s">
        <v>1008</v>
      </c>
      <c r="B249" s="137">
        <v>51.48</v>
      </c>
      <c r="C249" s="10">
        <v>0</v>
      </c>
      <c r="D249" s="10">
        <v>1</v>
      </c>
      <c r="E249">
        <v>0</v>
      </c>
      <c r="F249" s="71">
        <v>42257</v>
      </c>
      <c r="G249" s="102">
        <v>0</v>
      </c>
      <c r="H249" s="10" t="s">
        <v>55</v>
      </c>
      <c r="I249" s="71">
        <v>42249</v>
      </c>
      <c r="J249" s="78" t="s">
        <v>107</v>
      </c>
    </row>
    <row r="250" spans="1:10" x14ac:dyDescent="0.2">
      <c r="A250" s="128" t="s">
        <v>1007</v>
      </c>
      <c r="B250" s="137">
        <v>11.25</v>
      </c>
      <c r="C250" s="10">
        <v>0</v>
      </c>
      <c r="D250" s="10">
        <v>1</v>
      </c>
      <c r="E250">
        <v>0</v>
      </c>
      <c r="F250" s="71">
        <v>42257</v>
      </c>
      <c r="G250" s="102">
        <v>0</v>
      </c>
      <c r="H250" s="10" t="s">
        <v>55</v>
      </c>
      <c r="I250" s="71">
        <v>42249</v>
      </c>
      <c r="J250" s="78" t="s">
        <v>107</v>
      </c>
    </row>
    <row r="251" spans="1:10" x14ac:dyDescent="0.2">
      <c r="A251" s="128" t="s">
        <v>1005</v>
      </c>
      <c r="B251" s="137">
        <v>41.42</v>
      </c>
      <c r="C251" s="10">
        <v>0</v>
      </c>
      <c r="D251" s="10">
        <v>1</v>
      </c>
      <c r="E251">
        <v>1</v>
      </c>
      <c r="F251" s="71">
        <v>42287</v>
      </c>
      <c r="G251" s="102">
        <v>0</v>
      </c>
      <c r="H251" s="10" t="s">
        <v>55</v>
      </c>
      <c r="I251" s="71">
        <v>42249</v>
      </c>
      <c r="J251" s="78" t="s">
        <v>344</v>
      </c>
    </row>
    <row r="252" spans="1:10" x14ac:dyDescent="0.2">
      <c r="A252" s="128" t="s">
        <v>52</v>
      </c>
      <c r="B252" s="137">
        <v>42.31</v>
      </c>
      <c r="C252" s="10">
        <v>0</v>
      </c>
      <c r="D252" s="10">
        <v>1</v>
      </c>
      <c r="E252">
        <v>1</v>
      </c>
      <c r="F252" s="71">
        <v>42287</v>
      </c>
      <c r="G252" s="102">
        <v>0</v>
      </c>
      <c r="H252" s="10" t="s">
        <v>55</v>
      </c>
      <c r="I252" s="71">
        <v>42251</v>
      </c>
      <c r="J252" s="78" t="s">
        <v>52</v>
      </c>
    </row>
    <row r="253" spans="1:10" x14ac:dyDescent="0.2">
      <c r="A253" s="128" t="s">
        <v>1009</v>
      </c>
      <c r="B253" s="137">
        <v>112</v>
      </c>
      <c r="C253" s="10">
        <v>0</v>
      </c>
      <c r="D253" s="10">
        <v>1</v>
      </c>
      <c r="E253">
        <v>1</v>
      </c>
      <c r="F253" s="71">
        <v>42287</v>
      </c>
      <c r="G253" s="102">
        <v>0</v>
      </c>
      <c r="H253" s="10" t="s">
        <v>49</v>
      </c>
      <c r="I253" s="71">
        <v>42252</v>
      </c>
      <c r="J253" s="78" t="s">
        <v>344</v>
      </c>
    </row>
    <row r="254" spans="1:10" x14ac:dyDescent="0.2">
      <c r="A254" s="128" t="s">
        <v>96</v>
      </c>
      <c r="B254" s="137">
        <v>71.8</v>
      </c>
      <c r="C254" s="10">
        <v>0</v>
      </c>
      <c r="D254" s="10">
        <v>1</v>
      </c>
      <c r="E254">
        <v>1</v>
      </c>
      <c r="F254" s="71">
        <v>42287</v>
      </c>
      <c r="G254" s="102">
        <v>0</v>
      </c>
      <c r="H254" s="10" t="s">
        <v>49</v>
      </c>
      <c r="I254" s="71">
        <v>42252</v>
      </c>
      <c r="J254" s="170" t="s">
        <v>96</v>
      </c>
    </row>
    <row r="255" spans="1:10" x14ac:dyDescent="0.2">
      <c r="A255" s="140" t="s">
        <v>1017</v>
      </c>
      <c r="B255" s="141">
        <v>74.900000000000006</v>
      </c>
      <c r="C255" s="10">
        <v>0</v>
      </c>
      <c r="D255" s="10">
        <v>1</v>
      </c>
      <c r="E255">
        <v>1</v>
      </c>
      <c r="F255" s="71">
        <v>42287</v>
      </c>
      <c r="G255" s="102">
        <v>0</v>
      </c>
      <c r="H255" s="10" t="s">
        <v>47</v>
      </c>
      <c r="I255" s="71">
        <v>42248</v>
      </c>
      <c r="J255" s="78" t="s">
        <v>46</v>
      </c>
    </row>
    <row r="256" spans="1:10" x14ac:dyDescent="0.2">
      <c r="A256" s="141" t="s">
        <v>1020</v>
      </c>
      <c r="B256" s="141">
        <v>78.97</v>
      </c>
      <c r="C256" s="10">
        <v>0</v>
      </c>
      <c r="D256" s="10">
        <v>1</v>
      </c>
      <c r="E256">
        <v>1</v>
      </c>
      <c r="F256" s="71">
        <v>42287</v>
      </c>
      <c r="G256" s="102">
        <v>0</v>
      </c>
      <c r="H256" s="10" t="s">
        <v>47</v>
      </c>
      <c r="I256" s="71">
        <v>42253</v>
      </c>
      <c r="J256" s="78" t="s">
        <v>52</v>
      </c>
    </row>
    <row r="257" spans="1:10" x14ac:dyDescent="0.2">
      <c r="A257" s="141" t="s">
        <v>1021</v>
      </c>
      <c r="B257" s="141">
        <v>11.89</v>
      </c>
      <c r="C257" s="10">
        <v>0</v>
      </c>
      <c r="D257" s="10">
        <v>1</v>
      </c>
      <c r="E257">
        <v>1</v>
      </c>
      <c r="F257" s="71">
        <v>42287</v>
      </c>
      <c r="G257" s="102">
        <v>0</v>
      </c>
      <c r="H257" s="10" t="s">
        <v>47</v>
      </c>
      <c r="I257" s="71">
        <v>42254</v>
      </c>
      <c r="J257" s="78" t="s">
        <v>190</v>
      </c>
    </row>
    <row r="258" spans="1:10" x14ac:dyDescent="0.2">
      <c r="A258" s="141" t="s">
        <v>988</v>
      </c>
      <c r="B258" s="141">
        <v>59.71</v>
      </c>
      <c r="C258" s="10">
        <v>0</v>
      </c>
      <c r="D258" s="10">
        <v>1</v>
      </c>
      <c r="E258">
        <v>1</v>
      </c>
      <c r="F258" s="71">
        <v>42287</v>
      </c>
      <c r="G258" s="102">
        <v>0</v>
      </c>
      <c r="H258" s="10" t="s">
        <v>47</v>
      </c>
      <c r="I258" s="71">
        <v>42254</v>
      </c>
      <c r="J258" s="78" t="s">
        <v>52</v>
      </c>
    </row>
    <row r="259" spans="1:10" x14ac:dyDescent="0.2">
      <c r="A259" s="141" t="s">
        <v>1023</v>
      </c>
      <c r="B259" s="141">
        <v>23.55</v>
      </c>
      <c r="C259" s="10">
        <v>0</v>
      </c>
      <c r="D259" s="10">
        <v>1</v>
      </c>
      <c r="E259">
        <v>1</v>
      </c>
      <c r="F259" s="71">
        <v>42287</v>
      </c>
      <c r="G259" s="102">
        <v>0</v>
      </c>
      <c r="H259" s="10" t="s">
        <v>47</v>
      </c>
      <c r="I259" s="71">
        <v>42256</v>
      </c>
      <c r="J259" s="78" t="s">
        <v>344</v>
      </c>
    </row>
    <row r="260" spans="1:10" x14ac:dyDescent="0.2">
      <c r="A260" s="141" t="s">
        <v>1024</v>
      </c>
      <c r="B260" s="141">
        <v>46.67</v>
      </c>
      <c r="C260" s="10">
        <v>0</v>
      </c>
      <c r="D260" s="10">
        <v>1</v>
      </c>
      <c r="E260">
        <v>1</v>
      </c>
      <c r="F260" s="71">
        <v>42287</v>
      </c>
      <c r="G260" s="102">
        <v>0</v>
      </c>
      <c r="H260" s="10" t="s">
        <v>47</v>
      </c>
      <c r="I260" s="71">
        <v>42256</v>
      </c>
      <c r="J260" s="78" t="s">
        <v>344</v>
      </c>
    </row>
    <row r="261" spans="1:10" x14ac:dyDescent="0.2">
      <c r="A261" s="141" t="s">
        <v>1025</v>
      </c>
      <c r="B261" s="141">
        <v>22.55</v>
      </c>
      <c r="C261" s="10">
        <v>0</v>
      </c>
      <c r="D261" s="10">
        <v>1</v>
      </c>
      <c r="E261">
        <v>1</v>
      </c>
      <c r="F261" s="71">
        <v>42287</v>
      </c>
      <c r="G261" s="102">
        <v>0</v>
      </c>
      <c r="H261" s="10" t="s">
        <v>47</v>
      </c>
      <c r="I261" s="71">
        <v>42258</v>
      </c>
      <c r="J261" s="78" t="s">
        <v>50</v>
      </c>
    </row>
    <row r="262" spans="1:10" x14ac:dyDescent="0.2">
      <c r="A262" s="141" t="s">
        <v>988</v>
      </c>
      <c r="B262" s="141">
        <v>84.68</v>
      </c>
      <c r="C262" s="10">
        <v>0</v>
      </c>
      <c r="D262" s="10">
        <v>1</v>
      </c>
      <c r="E262">
        <v>1</v>
      </c>
      <c r="F262" s="71">
        <v>42287</v>
      </c>
      <c r="G262" s="102">
        <v>0</v>
      </c>
      <c r="H262" s="10" t="s">
        <v>47</v>
      </c>
      <c r="I262" s="71">
        <v>42258</v>
      </c>
      <c r="J262" s="78" t="s">
        <v>52</v>
      </c>
    </row>
    <row r="263" spans="1:10" x14ac:dyDescent="0.2">
      <c r="A263" s="141" t="s">
        <v>1092</v>
      </c>
      <c r="B263" s="141">
        <v>46.67</v>
      </c>
      <c r="C263" s="10">
        <v>0</v>
      </c>
      <c r="D263" s="10">
        <v>1</v>
      </c>
      <c r="E263">
        <v>1</v>
      </c>
      <c r="F263" s="71">
        <v>42318</v>
      </c>
      <c r="G263" s="102">
        <v>0</v>
      </c>
      <c r="H263" s="10" t="s">
        <v>47</v>
      </c>
      <c r="I263" s="71">
        <v>42256</v>
      </c>
      <c r="J263" s="78" t="s">
        <v>344</v>
      </c>
    </row>
    <row r="264" spans="1:10" x14ac:dyDescent="0.2">
      <c r="A264" s="141" t="s">
        <v>1093</v>
      </c>
      <c r="B264" s="141">
        <v>46.67</v>
      </c>
      <c r="C264" s="10">
        <v>0</v>
      </c>
      <c r="D264" s="10">
        <v>1</v>
      </c>
      <c r="E264">
        <v>1</v>
      </c>
      <c r="F264" s="71">
        <v>42348</v>
      </c>
      <c r="G264" s="102">
        <v>0</v>
      </c>
      <c r="H264" s="10" t="s">
        <v>47</v>
      </c>
      <c r="I264" s="71">
        <v>42256</v>
      </c>
      <c r="J264" s="78" t="s">
        <v>344</v>
      </c>
    </row>
    <row r="265" spans="1:10" x14ac:dyDescent="0.2">
      <c r="A265" s="141" t="s">
        <v>1033</v>
      </c>
      <c r="B265" s="141">
        <v>70</v>
      </c>
      <c r="C265" s="10">
        <v>0</v>
      </c>
      <c r="D265" s="10">
        <v>1</v>
      </c>
      <c r="E265">
        <v>1</v>
      </c>
      <c r="F265" s="71">
        <v>42287</v>
      </c>
      <c r="G265" s="102">
        <v>0</v>
      </c>
      <c r="H265" s="10" t="s">
        <v>47</v>
      </c>
      <c r="I265" s="71">
        <v>42256</v>
      </c>
      <c r="J265" s="78" t="s">
        <v>52</v>
      </c>
    </row>
    <row r="266" spans="1:10" x14ac:dyDescent="0.2">
      <c r="A266" s="141" t="s">
        <v>965</v>
      </c>
      <c r="B266" s="141">
        <v>35.6</v>
      </c>
      <c r="C266" s="10">
        <v>0</v>
      </c>
      <c r="D266" s="10">
        <v>1</v>
      </c>
      <c r="E266">
        <v>1</v>
      </c>
      <c r="F266" s="71">
        <v>42287</v>
      </c>
      <c r="G266" s="102">
        <v>0</v>
      </c>
      <c r="H266" s="10" t="s">
        <v>49</v>
      </c>
      <c r="I266" s="71">
        <v>42260</v>
      </c>
      <c r="J266" s="78" t="s">
        <v>52</v>
      </c>
    </row>
    <row r="267" spans="1:10" x14ac:dyDescent="0.2">
      <c r="A267" s="141" t="s">
        <v>1046</v>
      </c>
      <c r="B267" s="141">
        <v>101</v>
      </c>
      <c r="C267" s="10">
        <v>0</v>
      </c>
      <c r="D267" s="10">
        <v>1</v>
      </c>
      <c r="E267">
        <v>1</v>
      </c>
      <c r="F267" s="71">
        <v>42287</v>
      </c>
      <c r="G267" s="102">
        <v>0</v>
      </c>
      <c r="H267" s="10" t="s">
        <v>51</v>
      </c>
      <c r="I267" s="71">
        <v>42262</v>
      </c>
      <c r="J267" s="78" t="s">
        <v>1185</v>
      </c>
    </row>
    <row r="268" spans="1:10" x14ac:dyDescent="0.2">
      <c r="A268" s="141" t="s">
        <v>1047</v>
      </c>
      <c r="B268" s="141">
        <v>19.5</v>
      </c>
      <c r="C268" s="10">
        <v>0</v>
      </c>
      <c r="D268" s="10">
        <v>1</v>
      </c>
      <c r="E268">
        <v>1</v>
      </c>
      <c r="F268" s="71">
        <v>42287</v>
      </c>
      <c r="G268" s="102">
        <v>0</v>
      </c>
      <c r="H268" s="10" t="s">
        <v>51</v>
      </c>
      <c r="I268" s="71">
        <v>42262</v>
      </c>
      <c r="J268" s="78" t="s">
        <v>50</v>
      </c>
    </row>
    <row r="269" spans="1:10" x14ac:dyDescent="0.2">
      <c r="A269" s="141" t="s">
        <v>52</v>
      </c>
      <c r="B269" s="141">
        <v>51.74</v>
      </c>
      <c r="C269" s="10">
        <v>0</v>
      </c>
      <c r="D269" s="10">
        <v>1</v>
      </c>
      <c r="E269">
        <v>1</v>
      </c>
      <c r="F269" s="71">
        <v>42287</v>
      </c>
      <c r="G269" s="102">
        <v>0</v>
      </c>
      <c r="H269" s="10" t="s">
        <v>51</v>
      </c>
      <c r="I269" s="71">
        <v>42262</v>
      </c>
      <c r="J269" s="78" t="s">
        <v>52</v>
      </c>
    </row>
    <row r="270" spans="1:10" x14ac:dyDescent="0.2">
      <c r="A270" s="10" t="s">
        <v>868</v>
      </c>
      <c r="B270" s="102">
        <v>31</v>
      </c>
      <c r="C270" s="10">
        <v>0</v>
      </c>
      <c r="D270" s="10">
        <v>1</v>
      </c>
      <c r="E270">
        <v>0</v>
      </c>
      <c r="F270" s="71">
        <v>42287</v>
      </c>
      <c r="G270" s="102">
        <v>0</v>
      </c>
      <c r="H270" s="10" t="s">
        <v>51</v>
      </c>
      <c r="I270" s="103">
        <v>42265</v>
      </c>
      <c r="J270" s="159" t="s">
        <v>1183</v>
      </c>
    </row>
    <row r="271" spans="1:10" x14ac:dyDescent="0.2">
      <c r="A271" s="141" t="s">
        <v>190</v>
      </c>
      <c r="B271" s="141">
        <v>6.69</v>
      </c>
      <c r="C271" s="10">
        <v>0</v>
      </c>
      <c r="D271" s="10">
        <v>1</v>
      </c>
      <c r="E271">
        <v>0</v>
      </c>
      <c r="F271" s="71">
        <v>42287</v>
      </c>
      <c r="G271" s="102">
        <v>0</v>
      </c>
      <c r="H271" s="10" t="s">
        <v>51</v>
      </c>
      <c r="I271" s="71">
        <v>42264</v>
      </c>
      <c r="J271" s="78" t="s">
        <v>190</v>
      </c>
    </row>
    <row r="272" spans="1:10" x14ac:dyDescent="0.2">
      <c r="A272" s="141" t="s">
        <v>1052</v>
      </c>
      <c r="B272" s="141">
        <v>20</v>
      </c>
      <c r="C272" s="10">
        <v>0</v>
      </c>
      <c r="D272" s="10">
        <v>1</v>
      </c>
      <c r="E272">
        <v>0</v>
      </c>
      <c r="F272" s="71">
        <v>42287</v>
      </c>
      <c r="G272" s="102">
        <v>0</v>
      </c>
      <c r="H272" s="10" t="s">
        <v>51</v>
      </c>
      <c r="I272" s="71">
        <v>42265</v>
      </c>
      <c r="J272" s="78" t="s">
        <v>344</v>
      </c>
    </row>
    <row r="273" spans="1:10" x14ac:dyDescent="0.2">
      <c r="A273" s="141" t="s">
        <v>52</v>
      </c>
      <c r="B273" s="141">
        <v>36.119999999999997</v>
      </c>
      <c r="C273" s="10">
        <v>0</v>
      </c>
      <c r="D273" s="10">
        <v>1</v>
      </c>
      <c r="E273">
        <v>0</v>
      </c>
      <c r="F273" s="71">
        <v>42287</v>
      </c>
      <c r="G273" s="102">
        <v>0</v>
      </c>
      <c r="H273" s="10" t="s">
        <v>51</v>
      </c>
      <c r="I273" s="71">
        <v>42265</v>
      </c>
      <c r="J273" s="78" t="s">
        <v>52</v>
      </c>
    </row>
    <row r="274" spans="1:10" x14ac:dyDescent="0.2">
      <c r="A274" s="141" t="s">
        <v>1094</v>
      </c>
      <c r="B274" s="141">
        <v>44.8</v>
      </c>
      <c r="C274" s="10">
        <v>0</v>
      </c>
      <c r="D274" s="10">
        <v>1</v>
      </c>
      <c r="E274">
        <v>0</v>
      </c>
      <c r="F274" s="71">
        <v>42287</v>
      </c>
      <c r="G274" s="102">
        <v>0</v>
      </c>
      <c r="H274" s="10" t="s">
        <v>51</v>
      </c>
      <c r="I274" s="71">
        <v>42265</v>
      </c>
      <c r="J274" s="78" t="s">
        <v>344</v>
      </c>
    </row>
    <row r="275" spans="1:10" x14ac:dyDescent="0.2">
      <c r="A275" s="141" t="s">
        <v>965</v>
      </c>
      <c r="B275" s="141">
        <v>21.5</v>
      </c>
      <c r="C275" s="10">
        <v>0</v>
      </c>
      <c r="D275" s="10">
        <v>1</v>
      </c>
      <c r="E275">
        <v>0</v>
      </c>
      <c r="F275" s="71">
        <v>42287</v>
      </c>
      <c r="G275" s="102">
        <v>0</v>
      </c>
      <c r="H275" s="10" t="s">
        <v>51</v>
      </c>
      <c r="I275" s="71">
        <v>42266</v>
      </c>
      <c r="J275" s="78" t="s">
        <v>50</v>
      </c>
    </row>
    <row r="276" spans="1:10" x14ac:dyDescent="0.2">
      <c r="A276" s="141" t="s">
        <v>805</v>
      </c>
      <c r="B276" s="141">
        <v>19.899999999999999</v>
      </c>
      <c r="C276" s="10">
        <v>0</v>
      </c>
      <c r="D276" s="10">
        <v>1</v>
      </c>
      <c r="E276">
        <v>0</v>
      </c>
      <c r="F276" s="71">
        <v>42287</v>
      </c>
      <c r="G276" s="102">
        <v>0</v>
      </c>
      <c r="H276" s="10" t="s">
        <v>51</v>
      </c>
      <c r="I276" s="71">
        <v>42266</v>
      </c>
      <c r="J276" s="78" t="s">
        <v>346</v>
      </c>
    </row>
    <row r="277" spans="1:10" x14ac:dyDescent="0.2">
      <c r="A277" s="141" t="s">
        <v>52</v>
      </c>
      <c r="B277" s="141">
        <v>55.25</v>
      </c>
      <c r="C277" s="10">
        <v>0</v>
      </c>
      <c r="D277" s="10">
        <v>1</v>
      </c>
      <c r="E277">
        <v>0</v>
      </c>
      <c r="F277" s="71">
        <v>42287</v>
      </c>
      <c r="G277" s="102">
        <v>0</v>
      </c>
      <c r="H277" s="10" t="s">
        <v>51</v>
      </c>
      <c r="I277" s="71">
        <v>42266</v>
      </c>
      <c r="J277" s="78" t="s">
        <v>52</v>
      </c>
    </row>
    <row r="278" spans="1:10" x14ac:dyDescent="0.2">
      <c r="A278" s="141" t="s">
        <v>1053</v>
      </c>
      <c r="B278" s="141">
        <v>32.590000000000003</v>
      </c>
      <c r="C278" s="10">
        <v>0</v>
      </c>
      <c r="D278" s="10">
        <v>1</v>
      </c>
      <c r="E278">
        <v>0</v>
      </c>
      <c r="F278" s="71">
        <v>42287</v>
      </c>
      <c r="G278" s="102">
        <v>0</v>
      </c>
      <c r="H278" s="10" t="s">
        <v>51</v>
      </c>
      <c r="I278" s="71">
        <v>42266</v>
      </c>
      <c r="J278" s="78" t="s">
        <v>346</v>
      </c>
    </row>
    <row r="279" spans="1:10" x14ac:dyDescent="0.2">
      <c r="A279" s="141" t="s">
        <v>190</v>
      </c>
      <c r="B279" s="141">
        <v>19.399999999999999</v>
      </c>
      <c r="C279" s="10">
        <v>0</v>
      </c>
      <c r="D279" s="10">
        <v>1</v>
      </c>
      <c r="E279">
        <v>0</v>
      </c>
      <c r="F279" s="71">
        <v>42287</v>
      </c>
      <c r="G279" s="102">
        <v>0</v>
      </c>
      <c r="H279" s="10" t="s">
        <v>51</v>
      </c>
      <c r="I279" s="71">
        <v>42267</v>
      </c>
      <c r="J279" s="78" t="s">
        <v>190</v>
      </c>
    </row>
    <row r="280" spans="1:10" x14ac:dyDescent="0.2">
      <c r="A280" s="141" t="s">
        <v>190</v>
      </c>
      <c r="B280" s="141">
        <v>12.58</v>
      </c>
      <c r="C280" s="10">
        <v>0</v>
      </c>
      <c r="D280" s="10">
        <v>1</v>
      </c>
      <c r="E280">
        <v>0</v>
      </c>
      <c r="F280" s="71">
        <v>42287</v>
      </c>
      <c r="G280" s="102">
        <v>0</v>
      </c>
      <c r="H280" s="10" t="s">
        <v>51</v>
      </c>
      <c r="I280" s="71">
        <v>42267</v>
      </c>
      <c r="J280" s="78" t="s">
        <v>190</v>
      </c>
    </row>
    <row r="281" spans="1:10" x14ac:dyDescent="0.2">
      <c r="A281" s="141" t="s">
        <v>52</v>
      </c>
      <c r="B281" s="141">
        <v>71.400000000000006</v>
      </c>
      <c r="C281" s="10">
        <v>0</v>
      </c>
      <c r="D281" s="10">
        <v>1</v>
      </c>
      <c r="E281">
        <v>0</v>
      </c>
      <c r="F281" s="71">
        <v>42287</v>
      </c>
      <c r="G281" s="102">
        <v>0</v>
      </c>
      <c r="H281" s="10" t="s">
        <v>51</v>
      </c>
      <c r="I281" s="71">
        <v>42269</v>
      </c>
      <c r="J281" s="78" t="s">
        <v>52</v>
      </c>
    </row>
    <row r="282" spans="1:10" x14ac:dyDescent="0.2">
      <c r="A282" s="141" t="s">
        <v>107</v>
      </c>
      <c r="B282" s="141">
        <v>66.28</v>
      </c>
      <c r="C282" s="10">
        <v>0</v>
      </c>
      <c r="D282" s="10">
        <v>1</v>
      </c>
      <c r="E282">
        <v>0</v>
      </c>
      <c r="F282" s="71">
        <v>42287</v>
      </c>
      <c r="G282" s="102">
        <v>0</v>
      </c>
      <c r="H282" s="10" t="s">
        <v>51</v>
      </c>
      <c r="I282" s="71">
        <v>42270</v>
      </c>
      <c r="J282" s="78" t="s">
        <v>107</v>
      </c>
    </row>
    <row r="283" spans="1:10" x14ac:dyDescent="0.2">
      <c r="A283" s="141" t="s">
        <v>1055</v>
      </c>
      <c r="B283" s="141">
        <v>9.83</v>
      </c>
      <c r="C283" s="10">
        <v>0</v>
      </c>
      <c r="D283" s="10">
        <v>1</v>
      </c>
      <c r="E283">
        <v>0</v>
      </c>
      <c r="F283" s="71">
        <v>42287</v>
      </c>
      <c r="G283" s="102">
        <v>0</v>
      </c>
      <c r="H283" s="10" t="s">
        <v>51</v>
      </c>
      <c r="I283" s="71">
        <v>42270</v>
      </c>
      <c r="J283" s="78" t="s">
        <v>344</v>
      </c>
    </row>
    <row r="284" spans="1:10" x14ac:dyDescent="0.2">
      <c r="A284" s="141" t="s">
        <v>1055</v>
      </c>
      <c r="B284" s="141">
        <v>9.1999999999999993</v>
      </c>
      <c r="C284" s="10">
        <v>0</v>
      </c>
      <c r="D284" s="10">
        <v>1</v>
      </c>
      <c r="E284">
        <v>0</v>
      </c>
      <c r="F284" s="71">
        <v>42287</v>
      </c>
      <c r="G284" s="102">
        <v>0</v>
      </c>
      <c r="H284" s="10" t="s">
        <v>51</v>
      </c>
      <c r="I284" s="71">
        <v>42270</v>
      </c>
      <c r="J284" s="78" t="s">
        <v>344</v>
      </c>
    </row>
    <row r="285" spans="1:10" x14ac:dyDescent="0.2">
      <c r="A285" s="141" t="s">
        <v>96</v>
      </c>
      <c r="B285" s="141">
        <v>33.9</v>
      </c>
      <c r="C285" s="10">
        <v>0</v>
      </c>
      <c r="D285" s="10">
        <v>1</v>
      </c>
      <c r="E285">
        <v>0</v>
      </c>
      <c r="F285" s="71">
        <v>42287</v>
      </c>
      <c r="G285" s="102">
        <v>0</v>
      </c>
      <c r="H285" s="10" t="s">
        <v>51</v>
      </c>
      <c r="I285" s="71">
        <v>42270</v>
      </c>
      <c r="J285" s="170" t="s">
        <v>96</v>
      </c>
    </row>
    <row r="286" spans="1:10" x14ac:dyDescent="0.2">
      <c r="A286" s="141" t="s">
        <v>1056</v>
      </c>
      <c r="B286" s="141">
        <v>19.3</v>
      </c>
      <c r="C286" s="10">
        <v>0</v>
      </c>
      <c r="D286" s="10">
        <v>1</v>
      </c>
      <c r="E286">
        <v>0</v>
      </c>
      <c r="F286" s="71">
        <v>42287</v>
      </c>
      <c r="G286" s="102">
        <v>0</v>
      </c>
      <c r="H286" s="10" t="s">
        <v>51</v>
      </c>
      <c r="I286" s="71">
        <v>42271</v>
      </c>
      <c r="J286" s="78" t="s">
        <v>60</v>
      </c>
    </row>
    <row r="287" spans="1:10" x14ac:dyDescent="0.2">
      <c r="A287" s="141" t="s">
        <v>52</v>
      </c>
      <c r="B287">
        <v>101.88</v>
      </c>
      <c r="C287" s="10">
        <v>0</v>
      </c>
      <c r="D287" s="10">
        <v>1</v>
      </c>
      <c r="E287">
        <v>0</v>
      </c>
      <c r="F287" s="71">
        <v>42287</v>
      </c>
      <c r="G287" s="102">
        <v>0</v>
      </c>
      <c r="H287" s="10" t="s">
        <v>51</v>
      </c>
      <c r="I287" s="71">
        <v>42271</v>
      </c>
      <c r="J287" s="78" t="s">
        <v>52</v>
      </c>
    </row>
    <row r="288" spans="1:10" x14ac:dyDescent="0.2">
      <c r="A288" s="141" t="s">
        <v>1057</v>
      </c>
      <c r="B288" s="141">
        <v>310.66000000000003</v>
      </c>
      <c r="C288" s="10">
        <v>0</v>
      </c>
      <c r="D288" s="10">
        <v>1</v>
      </c>
      <c r="E288">
        <v>0</v>
      </c>
      <c r="F288" s="71">
        <v>42287</v>
      </c>
      <c r="G288" s="102">
        <v>0</v>
      </c>
      <c r="H288" s="10" t="s">
        <v>54</v>
      </c>
      <c r="I288" s="71">
        <v>42272</v>
      </c>
      <c r="J288" s="78" t="s">
        <v>860</v>
      </c>
    </row>
    <row r="289" spans="1:10" x14ac:dyDescent="0.2">
      <c r="A289" s="141" t="s">
        <v>1058</v>
      </c>
      <c r="B289" s="141">
        <v>266.7</v>
      </c>
      <c r="C289" s="10">
        <v>0</v>
      </c>
      <c r="D289" s="10">
        <v>1</v>
      </c>
      <c r="E289">
        <v>0</v>
      </c>
      <c r="F289" s="71">
        <v>42287</v>
      </c>
      <c r="G289" s="102">
        <v>0</v>
      </c>
      <c r="H289" s="10" t="s">
        <v>54</v>
      </c>
      <c r="I289" s="71">
        <v>42272</v>
      </c>
      <c r="J289" s="78" t="s">
        <v>46</v>
      </c>
    </row>
    <row r="290" spans="1:10" x14ac:dyDescent="0.2">
      <c r="A290" s="141" t="s">
        <v>52</v>
      </c>
      <c r="B290" s="141">
        <v>61.19</v>
      </c>
      <c r="C290" s="10">
        <v>0</v>
      </c>
      <c r="D290" s="10">
        <v>1</v>
      </c>
      <c r="E290">
        <v>0</v>
      </c>
      <c r="F290" s="71">
        <v>42287</v>
      </c>
      <c r="G290" s="102">
        <v>0</v>
      </c>
      <c r="H290" s="10" t="s">
        <v>54</v>
      </c>
      <c r="I290" s="71">
        <v>42273</v>
      </c>
      <c r="J290" s="78" t="s">
        <v>52</v>
      </c>
    </row>
    <row r="291" spans="1:10" x14ac:dyDescent="0.2">
      <c r="A291" s="141" t="s">
        <v>398</v>
      </c>
      <c r="B291" s="141">
        <v>17</v>
      </c>
      <c r="C291" s="10">
        <v>0</v>
      </c>
      <c r="D291" s="10">
        <v>1</v>
      </c>
      <c r="E291">
        <v>0</v>
      </c>
      <c r="F291" s="71">
        <v>42287</v>
      </c>
      <c r="G291" s="102">
        <v>0</v>
      </c>
      <c r="H291" s="10" t="s">
        <v>54</v>
      </c>
      <c r="I291" s="71">
        <v>42275</v>
      </c>
      <c r="J291" s="78" t="s">
        <v>398</v>
      </c>
    </row>
    <row r="292" spans="1:10" x14ac:dyDescent="0.2">
      <c r="A292" s="141" t="s">
        <v>52</v>
      </c>
      <c r="B292" s="141">
        <v>160.91</v>
      </c>
      <c r="C292" s="10">
        <v>0</v>
      </c>
      <c r="D292" s="10">
        <v>1</v>
      </c>
      <c r="E292">
        <v>0</v>
      </c>
      <c r="F292" s="71">
        <v>42287</v>
      </c>
      <c r="G292" s="102">
        <v>0</v>
      </c>
      <c r="H292" s="10" t="s">
        <v>54</v>
      </c>
      <c r="I292" s="71">
        <v>42275</v>
      </c>
      <c r="J292" s="78" t="s">
        <v>52</v>
      </c>
    </row>
    <row r="293" spans="1:10" x14ac:dyDescent="0.2">
      <c r="A293" s="141" t="s">
        <v>52</v>
      </c>
      <c r="B293" s="141">
        <v>28.9</v>
      </c>
      <c r="C293" s="10">
        <v>0</v>
      </c>
      <c r="D293" s="10">
        <v>1</v>
      </c>
      <c r="E293">
        <v>0</v>
      </c>
      <c r="F293" s="71">
        <v>42287</v>
      </c>
      <c r="G293" s="102">
        <v>0</v>
      </c>
      <c r="H293" s="10" t="s">
        <v>54</v>
      </c>
      <c r="I293" s="71">
        <v>42276</v>
      </c>
      <c r="J293" s="78" t="s">
        <v>52</v>
      </c>
    </row>
    <row r="294" spans="1:10" x14ac:dyDescent="0.2">
      <c r="A294" s="141" t="s">
        <v>1072</v>
      </c>
      <c r="B294" s="141">
        <v>119.8</v>
      </c>
      <c r="C294" s="10">
        <v>0</v>
      </c>
      <c r="D294" s="10">
        <v>1</v>
      </c>
      <c r="E294">
        <v>0</v>
      </c>
      <c r="F294" s="71">
        <v>42287</v>
      </c>
      <c r="G294" s="102">
        <v>0</v>
      </c>
      <c r="H294" s="10" t="s">
        <v>54</v>
      </c>
      <c r="I294" s="71">
        <v>42279</v>
      </c>
      <c r="J294" s="78" t="s">
        <v>344</v>
      </c>
    </row>
    <row r="295" spans="1:10" x14ac:dyDescent="0.2">
      <c r="A295" s="141" t="s">
        <v>107</v>
      </c>
      <c r="B295" s="141">
        <v>32.200000000000003</v>
      </c>
      <c r="C295" s="10">
        <v>0</v>
      </c>
      <c r="D295" s="10">
        <v>1</v>
      </c>
      <c r="E295">
        <v>0</v>
      </c>
      <c r="F295" s="71">
        <v>42287</v>
      </c>
      <c r="G295" s="102">
        <v>0</v>
      </c>
      <c r="H295" s="10" t="s">
        <v>54</v>
      </c>
      <c r="I295" s="71">
        <v>42279</v>
      </c>
      <c r="J295" s="78" t="s">
        <v>107</v>
      </c>
    </row>
    <row r="296" spans="1:10" x14ac:dyDescent="0.2">
      <c r="A296" s="141" t="s">
        <v>52</v>
      </c>
      <c r="B296" s="141">
        <v>94.29</v>
      </c>
      <c r="C296" s="10">
        <v>0</v>
      </c>
      <c r="D296" s="10">
        <v>1</v>
      </c>
      <c r="E296">
        <v>0</v>
      </c>
      <c r="F296" s="71">
        <v>42287</v>
      </c>
      <c r="G296" s="102">
        <v>0</v>
      </c>
      <c r="H296" s="10" t="s">
        <v>54</v>
      </c>
      <c r="I296" s="71">
        <v>42279</v>
      </c>
      <c r="J296" s="78" t="s">
        <v>52</v>
      </c>
    </row>
    <row r="297" spans="1:10" x14ac:dyDescent="0.2">
      <c r="A297" s="141" t="s">
        <v>1073</v>
      </c>
      <c r="B297" s="141">
        <v>8.5</v>
      </c>
      <c r="C297" s="10">
        <v>0</v>
      </c>
      <c r="D297" s="10">
        <v>1</v>
      </c>
      <c r="E297">
        <v>0</v>
      </c>
      <c r="F297" s="71">
        <v>42287</v>
      </c>
      <c r="G297" s="102">
        <v>0</v>
      </c>
      <c r="H297" s="159" t="s">
        <v>49</v>
      </c>
      <c r="I297" s="71">
        <v>42280</v>
      </c>
      <c r="J297" s="78" t="s">
        <v>344</v>
      </c>
    </row>
    <row r="298" spans="1:10" x14ac:dyDescent="0.2">
      <c r="A298" s="141" t="s">
        <v>52</v>
      </c>
      <c r="B298" s="141">
        <v>21.33</v>
      </c>
      <c r="C298" s="10">
        <v>0</v>
      </c>
      <c r="D298" s="10">
        <v>1</v>
      </c>
      <c r="E298">
        <v>0</v>
      </c>
      <c r="F298" s="71">
        <v>42287</v>
      </c>
      <c r="G298" s="102">
        <v>0</v>
      </c>
      <c r="H298" s="159" t="s">
        <v>49</v>
      </c>
      <c r="I298" s="71">
        <v>42280</v>
      </c>
      <c r="J298" s="78" t="s">
        <v>52</v>
      </c>
    </row>
    <row r="299" spans="1:10" x14ac:dyDescent="0.2">
      <c r="A299" s="141" t="s">
        <v>52</v>
      </c>
      <c r="B299" s="141">
        <v>24.54</v>
      </c>
      <c r="C299" s="10">
        <v>0</v>
      </c>
      <c r="D299" s="10">
        <v>1</v>
      </c>
      <c r="E299">
        <v>0</v>
      </c>
      <c r="F299" s="71">
        <v>42287</v>
      </c>
      <c r="G299" s="102">
        <v>0</v>
      </c>
      <c r="H299" s="159" t="s">
        <v>49</v>
      </c>
      <c r="I299" s="71">
        <v>42281</v>
      </c>
      <c r="J299" s="78" t="s">
        <v>52</v>
      </c>
    </row>
    <row r="300" spans="1:10" x14ac:dyDescent="0.2">
      <c r="A300" s="141" t="s">
        <v>1095</v>
      </c>
      <c r="B300" s="141">
        <v>44.8</v>
      </c>
      <c r="C300" s="10">
        <v>0</v>
      </c>
      <c r="D300" s="10">
        <v>1</v>
      </c>
      <c r="E300">
        <v>0</v>
      </c>
      <c r="F300" s="71">
        <v>42318</v>
      </c>
      <c r="G300" s="102">
        <v>0</v>
      </c>
      <c r="H300" s="10" t="s">
        <v>51</v>
      </c>
      <c r="I300" s="71">
        <v>42265</v>
      </c>
      <c r="J300" s="78" t="s">
        <v>344</v>
      </c>
    </row>
    <row r="301" spans="1:10" x14ac:dyDescent="0.2">
      <c r="A301" s="141" t="s">
        <v>1096</v>
      </c>
      <c r="B301" s="141">
        <v>44.8</v>
      </c>
      <c r="C301" s="10">
        <v>0</v>
      </c>
      <c r="D301" s="10">
        <v>1</v>
      </c>
      <c r="E301">
        <v>0</v>
      </c>
      <c r="F301" s="71">
        <v>42348</v>
      </c>
      <c r="G301" s="102">
        <v>0</v>
      </c>
      <c r="H301" s="10" t="s">
        <v>51</v>
      </c>
      <c r="I301" s="71">
        <v>42265</v>
      </c>
      <c r="J301" s="78" t="s">
        <v>344</v>
      </c>
    </row>
    <row r="302" spans="1:10" x14ac:dyDescent="0.2">
      <c r="A302" s="140" t="s">
        <v>1017</v>
      </c>
      <c r="B302" s="141">
        <v>74.900000000000006</v>
      </c>
      <c r="C302" s="10">
        <v>0</v>
      </c>
      <c r="D302" s="10">
        <v>1</v>
      </c>
      <c r="E302">
        <v>1</v>
      </c>
      <c r="F302" s="71">
        <v>42318</v>
      </c>
      <c r="G302" s="102">
        <v>0</v>
      </c>
      <c r="H302" s="10" t="s">
        <v>47</v>
      </c>
      <c r="I302" s="71">
        <v>42278</v>
      </c>
      <c r="J302" s="78" t="s">
        <v>46</v>
      </c>
    </row>
    <row r="303" spans="1:10" x14ac:dyDescent="0.2">
      <c r="A303" s="141" t="s">
        <v>1109</v>
      </c>
      <c r="B303" s="141">
        <v>48</v>
      </c>
      <c r="C303" s="10">
        <v>0</v>
      </c>
      <c r="D303" s="10">
        <v>1</v>
      </c>
      <c r="E303">
        <v>1</v>
      </c>
      <c r="F303" s="71">
        <v>42318</v>
      </c>
      <c r="G303" s="102">
        <v>0</v>
      </c>
      <c r="H303" s="10" t="s">
        <v>47</v>
      </c>
      <c r="I303" s="71">
        <v>42307</v>
      </c>
      <c r="J303" s="78" t="s">
        <v>346</v>
      </c>
    </row>
    <row r="304" spans="1:10" x14ac:dyDescent="0.2">
      <c r="A304" s="140" t="s">
        <v>1017</v>
      </c>
      <c r="B304" s="141">
        <v>74.900000000000006</v>
      </c>
      <c r="C304" s="10">
        <v>0</v>
      </c>
      <c r="D304" s="10">
        <v>1</v>
      </c>
      <c r="E304">
        <v>1</v>
      </c>
      <c r="F304" s="71">
        <v>42348</v>
      </c>
      <c r="G304" s="102">
        <v>0</v>
      </c>
      <c r="H304" s="10" t="s">
        <v>47</v>
      </c>
      <c r="I304" s="71">
        <v>42309</v>
      </c>
      <c r="J304" s="78" t="s">
        <v>46</v>
      </c>
    </row>
    <row r="305" spans="1:10" x14ac:dyDescent="0.2">
      <c r="A305" s="141" t="s">
        <v>1120</v>
      </c>
      <c r="B305" s="141">
        <v>100</v>
      </c>
      <c r="C305" s="10">
        <v>0</v>
      </c>
      <c r="D305" s="10">
        <v>1</v>
      </c>
      <c r="E305">
        <v>1</v>
      </c>
      <c r="F305" s="71">
        <v>42348</v>
      </c>
      <c r="G305" s="102">
        <v>0</v>
      </c>
      <c r="H305" s="10" t="s">
        <v>47</v>
      </c>
      <c r="I305" s="71">
        <v>42322</v>
      </c>
      <c r="J305" s="170" t="s">
        <v>96</v>
      </c>
    </row>
    <row r="306" spans="1:10" x14ac:dyDescent="0.2">
      <c r="A306" s="140" t="s">
        <v>1122</v>
      </c>
      <c r="B306" s="141">
        <v>90</v>
      </c>
      <c r="C306" s="10">
        <v>0</v>
      </c>
      <c r="D306" s="10">
        <v>1</v>
      </c>
      <c r="E306">
        <v>1</v>
      </c>
      <c r="F306" s="71">
        <v>42348</v>
      </c>
      <c r="G306" s="102">
        <v>0</v>
      </c>
      <c r="H306" s="10" t="s">
        <v>47</v>
      </c>
      <c r="I306" s="71">
        <v>42322</v>
      </c>
      <c r="J306" s="78" t="s">
        <v>1186</v>
      </c>
    </row>
    <row r="307" spans="1:10" x14ac:dyDescent="0.2">
      <c r="A307" s="141" t="s">
        <v>1121</v>
      </c>
      <c r="B307" s="141">
        <v>16</v>
      </c>
      <c r="C307" s="10">
        <v>0</v>
      </c>
      <c r="D307" s="10">
        <v>1</v>
      </c>
      <c r="E307">
        <v>1</v>
      </c>
      <c r="F307" s="71">
        <v>42348</v>
      </c>
      <c r="G307" s="102">
        <v>0</v>
      </c>
      <c r="H307" s="10" t="s">
        <v>47</v>
      </c>
      <c r="I307" s="71">
        <v>42322</v>
      </c>
      <c r="J307" s="78" t="s">
        <v>344</v>
      </c>
    </row>
    <row r="308" spans="1:10" x14ac:dyDescent="0.2">
      <c r="A308" s="167" t="s">
        <v>1134</v>
      </c>
      <c r="B308" s="141">
        <v>119.39</v>
      </c>
      <c r="C308" s="10">
        <v>0</v>
      </c>
      <c r="D308" s="10">
        <v>1</v>
      </c>
      <c r="E308">
        <v>1</v>
      </c>
      <c r="F308" s="71">
        <v>42348</v>
      </c>
      <c r="G308" s="102">
        <v>0</v>
      </c>
      <c r="H308" s="159" t="s">
        <v>54</v>
      </c>
      <c r="I308" s="71">
        <v>42331</v>
      </c>
      <c r="J308" s="78" t="s">
        <v>344</v>
      </c>
    </row>
    <row r="309" spans="1:10" x14ac:dyDescent="0.2">
      <c r="A309" s="166" t="s">
        <v>1133</v>
      </c>
      <c r="B309" s="141">
        <v>107.1</v>
      </c>
      <c r="C309" s="10">
        <v>0</v>
      </c>
      <c r="D309" s="10">
        <v>1</v>
      </c>
      <c r="E309">
        <v>1</v>
      </c>
      <c r="F309" s="71">
        <v>42348</v>
      </c>
      <c r="G309" s="102">
        <v>0</v>
      </c>
      <c r="H309" s="159" t="s">
        <v>54</v>
      </c>
      <c r="I309" s="71">
        <v>42331</v>
      </c>
      <c r="J309" s="78" t="s">
        <v>333</v>
      </c>
    </row>
    <row r="310" spans="1:10" x14ac:dyDescent="0.2">
      <c r="A310" s="167" t="s">
        <v>1136</v>
      </c>
      <c r="B310" s="141">
        <v>35</v>
      </c>
      <c r="C310" s="10">
        <v>0</v>
      </c>
      <c r="D310" s="10">
        <v>1</v>
      </c>
      <c r="E310">
        <v>1</v>
      </c>
      <c r="F310" s="71">
        <v>42348</v>
      </c>
      <c r="G310" s="102">
        <v>0</v>
      </c>
      <c r="H310" s="159" t="s">
        <v>54</v>
      </c>
      <c r="I310" s="71">
        <v>42335</v>
      </c>
      <c r="J310" s="78" t="s">
        <v>344</v>
      </c>
    </row>
    <row r="311" spans="1:10" x14ac:dyDescent="0.2">
      <c r="A311" s="166" t="s">
        <v>1137</v>
      </c>
      <c r="B311" s="141">
        <v>62.49</v>
      </c>
      <c r="C311" s="10">
        <v>0</v>
      </c>
      <c r="D311" s="10">
        <v>1</v>
      </c>
      <c r="E311">
        <v>1</v>
      </c>
      <c r="F311" s="71">
        <v>42348</v>
      </c>
      <c r="G311" s="102">
        <v>0</v>
      </c>
      <c r="H311" s="159" t="s">
        <v>54</v>
      </c>
      <c r="I311" s="71">
        <v>42335</v>
      </c>
      <c r="J311" s="78" t="s">
        <v>344</v>
      </c>
    </row>
    <row r="312" spans="1:10" x14ac:dyDescent="0.2">
      <c r="A312" s="167" t="s">
        <v>1138</v>
      </c>
      <c r="B312" s="141">
        <v>52</v>
      </c>
      <c r="C312" s="10">
        <v>0</v>
      </c>
      <c r="D312" s="10">
        <v>1</v>
      </c>
      <c r="E312">
        <v>1</v>
      </c>
      <c r="F312" s="71">
        <v>42348</v>
      </c>
      <c r="G312" s="102">
        <v>0</v>
      </c>
      <c r="H312" s="159" t="s">
        <v>54</v>
      </c>
      <c r="I312" s="71">
        <v>42335</v>
      </c>
      <c r="J312" s="78" t="s">
        <v>346</v>
      </c>
    </row>
    <row r="313" spans="1:10" x14ac:dyDescent="0.2">
      <c r="A313" s="166" t="s">
        <v>1141</v>
      </c>
      <c r="B313" s="141">
        <v>63</v>
      </c>
      <c r="C313" s="10">
        <v>0</v>
      </c>
      <c r="D313" s="10">
        <v>1</v>
      </c>
      <c r="E313">
        <v>1</v>
      </c>
      <c r="F313" s="71">
        <v>42348</v>
      </c>
      <c r="G313" s="102">
        <v>0</v>
      </c>
      <c r="H313" s="159" t="s">
        <v>54</v>
      </c>
      <c r="I313" s="71">
        <v>42335</v>
      </c>
      <c r="J313" s="78" t="s">
        <v>344</v>
      </c>
    </row>
    <row r="314" spans="1:10" x14ac:dyDescent="0.2">
      <c r="A314" s="167" t="s">
        <v>1140</v>
      </c>
      <c r="B314" s="141">
        <v>219.9</v>
      </c>
      <c r="C314" s="10">
        <v>0</v>
      </c>
      <c r="D314" s="10">
        <v>1</v>
      </c>
      <c r="E314">
        <v>1</v>
      </c>
      <c r="F314" s="71">
        <v>42348</v>
      </c>
      <c r="G314" s="102">
        <v>0</v>
      </c>
      <c r="H314" s="159" t="s">
        <v>54</v>
      </c>
      <c r="I314" s="71">
        <v>42336</v>
      </c>
      <c r="J314" s="78" t="s">
        <v>344</v>
      </c>
    </row>
    <row r="315" spans="1:10" x14ac:dyDescent="0.2">
      <c r="A315" s="166" t="s">
        <v>1139</v>
      </c>
      <c r="B315" s="141">
        <v>59.99</v>
      </c>
      <c r="C315" s="10">
        <v>0</v>
      </c>
      <c r="D315" s="10">
        <v>1</v>
      </c>
      <c r="E315">
        <v>1</v>
      </c>
      <c r="F315" s="71">
        <v>42348</v>
      </c>
      <c r="G315" s="102">
        <v>0</v>
      </c>
      <c r="H315" s="159" t="s">
        <v>54</v>
      </c>
      <c r="I315" s="71">
        <v>42336</v>
      </c>
      <c r="J315" s="78" t="s">
        <v>344</v>
      </c>
    </row>
    <row r="316" spans="1:10" x14ac:dyDescent="0.2">
      <c r="A316" s="167" t="s">
        <v>43</v>
      </c>
      <c r="B316" s="141">
        <v>15.02</v>
      </c>
      <c r="C316" s="10">
        <v>0</v>
      </c>
      <c r="D316" s="10">
        <v>1</v>
      </c>
      <c r="E316">
        <v>1</v>
      </c>
      <c r="F316" s="71">
        <v>42348</v>
      </c>
      <c r="G316" s="102">
        <v>0</v>
      </c>
      <c r="H316" s="159" t="s">
        <v>54</v>
      </c>
      <c r="I316" s="71">
        <v>42337</v>
      </c>
      <c r="J316" t="s">
        <v>153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1"/>
  <sheetViews>
    <sheetView workbookViewId="0">
      <selection sqref="A1:XFD91"/>
    </sheetView>
  </sheetViews>
  <sheetFormatPr defaultRowHeight="12.75" x14ac:dyDescent="0.2"/>
  <sheetData>
    <row r="1" spans="1:11" x14ac:dyDescent="0.2">
      <c r="A1" t="s">
        <v>90</v>
      </c>
      <c r="B1">
        <v>9.1999999999999993</v>
      </c>
      <c r="C1">
        <v>0</v>
      </c>
      <c r="D1">
        <v>1</v>
      </c>
      <c r="E1">
        <v>0</v>
      </c>
      <c r="F1" s="79">
        <v>41892</v>
      </c>
      <c r="G1" s="84">
        <v>0</v>
      </c>
      <c r="H1" t="s">
        <v>47</v>
      </c>
      <c r="I1" s="71">
        <v>41883</v>
      </c>
      <c r="J1" s="1" t="s">
        <v>52</v>
      </c>
    </row>
    <row r="2" spans="1:11" x14ac:dyDescent="0.2">
      <c r="A2" t="s">
        <v>53</v>
      </c>
      <c r="B2">
        <v>4.8</v>
      </c>
      <c r="C2">
        <v>0</v>
      </c>
      <c r="D2">
        <v>1</v>
      </c>
      <c r="E2">
        <v>0</v>
      </c>
      <c r="F2" s="79">
        <v>41922</v>
      </c>
      <c r="G2" s="31">
        <v>1</v>
      </c>
      <c r="H2" t="s">
        <v>47</v>
      </c>
      <c r="I2" s="71">
        <v>41886</v>
      </c>
      <c r="J2" t="s">
        <v>50</v>
      </c>
      <c r="K2" s="79"/>
    </row>
    <row r="3" spans="1:11" x14ac:dyDescent="0.2">
      <c r="A3" t="s">
        <v>96</v>
      </c>
      <c r="B3">
        <v>20</v>
      </c>
      <c r="C3">
        <v>0</v>
      </c>
      <c r="D3">
        <v>1</v>
      </c>
      <c r="E3">
        <v>0</v>
      </c>
      <c r="F3" s="79">
        <v>41922</v>
      </c>
      <c r="G3" s="31">
        <v>1</v>
      </c>
      <c r="H3" t="s">
        <v>47</v>
      </c>
      <c r="I3" s="71">
        <v>41886</v>
      </c>
      <c r="J3" t="s">
        <v>50</v>
      </c>
      <c r="K3" s="79"/>
    </row>
    <row r="4" spans="1:11" x14ac:dyDescent="0.2">
      <c r="A4" t="s">
        <v>91</v>
      </c>
      <c r="B4">
        <v>19.95</v>
      </c>
      <c r="C4">
        <v>0</v>
      </c>
      <c r="D4">
        <v>1</v>
      </c>
      <c r="E4">
        <v>0</v>
      </c>
      <c r="F4" s="79">
        <v>41922</v>
      </c>
      <c r="G4" s="31">
        <v>1</v>
      </c>
      <c r="H4" t="s">
        <v>47</v>
      </c>
      <c r="I4" s="71">
        <v>41887</v>
      </c>
      <c r="J4" t="s">
        <v>50</v>
      </c>
      <c r="K4" s="79"/>
    </row>
    <row r="5" spans="1:11" x14ac:dyDescent="0.2">
      <c r="A5" t="s">
        <v>92</v>
      </c>
      <c r="B5">
        <v>8</v>
      </c>
      <c r="C5">
        <v>0</v>
      </c>
      <c r="D5">
        <v>1</v>
      </c>
      <c r="E5">
        <v>0</v>
      </c>
      <c r="F5" s="79">
        <v>41922</v>
      </c>
      <c r="G5" s="31">
        <v>1</v>
      </c>
      <c r="H5" t="s">
        <v>47</v>
      </c>
      <c r="I5" s="71">
        <v>41887</v>
      </c>
      <c r="J5" t="s">
        <v>50</v>
      </c>
      <c r="K5" s="79"/>
    </row>
    <row r="6" spans="1:11" x14ac:dyDescent="0.2">
      <c r="A6" t="s">
        <v>96</v>
      </c>
      <c r="B6">
        <v>27.92</v>
      </c>
      <c r="C6">
        <v>0</v>
      </c>
      <c r="D6">
        <v>1</v>
      </c>
      <c r="E6">
        <v>0</v>
      </c>
      <c r="F6" s="79">
        <v>41922</v>
      </c>
      <c r="G6" s="31">
        <v>1</v>
      </c>
      <c r="H6" t="s">
        <v>47</v>
      </c>
      <c r="I6" s="71">
        <v>41887</v>
      </c>
      <c r="J6" t="s">
        <v>50</v>
      </c>
      <c r="K6" s="79"/>
    </row>
    <row r="7" spans="1:11" x14ac:dyDescent="0.2">
      <c r="A7" t="s">
        <v>52</v>
      </c>
      <c r="B7">
        <v>26.41</v>
      </c>
      <c r="C7">
        <v>0</v>
      </c>
      <c r="D7">
        <v>1</v>
      </c>
      <c r="E7">
        <v>0</v>
      </c>
      <c r="F7" s="79">
        <v>41922</v>
      </c>
      <c r="G7" s="31">
        <v>1</v>
      </c>
      <c r="H7" t="s">
        <v>49</v>
      </c>
      <c r="I7" s="71">
        <v>41888</v>
      </c>
      <c r="J7" s="1" t="s">
        <v>52</v>
      </c>
      <c r="K7" s="79"/>
    </row>
    <row r="8" spans="1:11" x14ac:dyDescent="0.2">
      <c r="A8" t="s">
        <v>43</v>
      </c>
      <c r="B8">
        <v>60</v>
      </c>
      <c r="C8">
        <v>1</v>
      </c>
      <c r="D8">
        <v>0</v>
      </c>
      <c r="E8">
        <v>0</v>
      </c>
      <c r="F8" s="79">
        <v>41922</v>
      </c>
      <c r="G8" s="31">
        <v>1</v>
      </c>
      <c r="H8" t="s">
        <v>49</v>
      </c>
      <c r="I8" s="71">
        <v>41888</v>
      </c>
      <c r="J8" t="s">
        <v>339</v>
      </c>
      <c r="K8" s="79"/>
    </row>
    <row r="9" spans="1:11" x14ac:dyDescent="0.2">
      <c r="A9" t="s">
        <v>95</v>
      </c>
      <c r="B9">
        <v>6.9</v>
      </c>
      <c r="C9">
        <v>0</v>
      </c>
      <c r="D9">
        <v>1</v>
      </c>
      <c r="E9">
        <v>0</v>
      </c>
      <c r="F9" s="79">
        <v>41922</v>
      </c>
      <c r="G9" s="31">
        <v>1</v>
      </c>
      <c r="H9" t="s">
        <v>49</v>
      </c>
      <c r="I9" s="71">
        <v>41888</v>
      </c>
      <c r="J9" t="s">
        <v>50</v>
      </c>
      <c r="K9" s="79"/>
    </row>
    <row r="10" spans="1:11" x14ac:dyDescent="0.2">
      <c r="A10" t="s">
        <v>95</v>
      </c>
      <c r="B10">
        <v>8.9</v>
      </c>
      <c r="C10">
        <v>0</v>
      </c>
      <c r="D10">
        <v>1</v>
      </c>
      <c r="E10">
        <v>0</v>
      </c>
      <c r="F10" s="79">
        <v>41922</v>
      </c>
      <c r="G10" s="31">
        <v>1</v>
      </c>
      <c r="H10" t="s">
        <v>49</v>
      </c>
      <c r="I10" s="71">
        <v>41888</v>
      </c>
      <c r="J10" t="s">
        <v>50</v>
      </c>
      <c r="K10" s="79"/>
    </row>
    <row r="11" spans="1:11" x14ac:dyDescent="0.2">
      <c r="A11" t="s">
        <v>86</v>
      </c>
      <c r="B11">
        <v>26.53</v>
      </c>
      <c r="C11">
        <v>0</v>
      </c>
      <c r="D11">
        <v>1</v>
      </c>
      <c r="E11">
        <v>0</v>
      </c>
      <c r="F11" s="79">
        <v>41922</v>
      </c>
      <c r="G11" s="31">
        <v>1</v>
      </c>
      <c r="H11" t="s">
        <v>49</v>
      </c>
      <c r="I11" s="71">
        <v>41889</v>
      </c>
      <c r="J11" s="1" t="s">
        <v>190</v>
      </c>
      <c r="K11" s="79"/>
    </row>
    <row r="12" spans="1:11" x14ac:dyDescent="0.2">
      <c r="A12" t="s">
        <v>96</v>
      </c>
      <c r="B12">
        <v>24.7</v>
      </c>
      <c r="C12">
        <v>0</v>
      </c>
      <c r="D12">
        <v>1</v>
      </c>
      <c r="E12">
        <v>0</v>
      </c>
      <c r="F12" s="79">
        <v>41922</v>
      </c>
      <c r="G12" s="31">
        <v>1</v>
      </c>
      <c r="H12" t="s">
        <v>51</v>
      </c>
      <c r="I12" s="71">
        <v>41890</v>
      </c>
      <c r="J12" t="s">
        <v>50</v>
      </c>
      <c r="K12" s="79"/>
    </row>
    <row r="13" spans="1:11" x14ac:dyDescent="0.2">
      <c r="A13" t="s">
        <v>97</v>
      </c>
      <c r="B13">
        <v>7.2</v>
      </c>
      <c r="C13">
        <v>0</v>
      </c>
      <c r="D13">
        <v>1</v>
      </c>
      <c r="E13">
        <v>0</v>
      </c>
      <c r="F13" s="79">
        <v>41922</v>
      </c>
      <c r="G13" s="31">
        <v>1</v>
      </c>
      <c r="H13" t="s">
        <v>51</v>
      </c>
      <c r="I13" s="71">
        <v>41891</v>
      </c>
      <c r="J13" t="s">
        <v>50</v>
      </c>
      <c r="K13" s="79"/>
    </row>
    <row r="14" spans="1:11" x14ac:dyDescent="0.2">
      <c r="A14" t="s">
        <v>98</v>
      </c>
      <c r="B14">
        <v>35.200000000000003</v>
      </c>
      <c r="C14">
        <v>0</v>
      </c>
      <c r="D14">
        <v>1</v>
      </c>
      <c r="E14">
        <v>0</v>
      </c>
      <c r="F14" s="79">
        <v>41922</v>
      </c>
      <c r="G14" s="31">
        <v>1</v>
      </c>
      <c r="H14" t="s">
        <v>51</v>
      </c>
      <c r="I14" s="71">
        <v>41891</v>
      </c>
      <c r="J14" t="s">
        <v>50</v>
      </c>
      <c r="K14" s="79"/>
    </row>
    <row r="15" spans="1:11" x14ac:dyDescent="0.2">
      <c r="A15" t="s">
        <v>96</v>
      </c>
      <c r="B15">
        <v>26.9</v>
      </c>
      <c r="C15">
        <v>0</v>
      </c>
      <c r="D15">
        <v>1</v>
      </c>
      <c r="E15">
        <v>0</v>
      </c>
      <c r="F15" s="79">
        <v>41922</v>
      </c>
      <c r="G15" s="31">
        <v>1</v>
      </c>
      <c r="H15" t="s">
        <v>51</v>
      </c>
      <c r="I15" s="71">
        <v>41892</v>
      </c>
      <c r="J15" t="s">
        <v>50</v>
      </c>
      <c r="K15" s="79"/>
    </row>
    <row r="16" spans="1:11" x14ac:dyDescent="0.2">
      <c r="A16" t="s">
        <v>99</v>
      </c>
      <c r="B16">
        <v>12.52</v>
      </c>
      <c r="C16">
        <v>0</v>
      </c>
      <c r="D16">
        <v>1</v>
      </c>
      <c r="E16">
        <v>0</v>
      </c>
      <c r="F16" s="79">
        <v>41922</v>
      </c>
      <c r="G16" s="31">
        <v>1</v>
      </c>
      <c r="H16" t="s">
        <v>51</v>
      </c>
      <c r="I16" s="71">
        <v>41892</v>
      </c>
      <c r="J16" t="s">
        <v>107</v>
      </c>
      <c r="K16" s="79"/>
    </row>
    <row r="17" spans="1:11" x14ac:dyDescent="0.2">
      <c r="A17" t="s">
        <v>100</v>
      </c>
      <c r="B17">
        <v>12.66</v>
      </c>
      <c r="C17">
        <v>0</v>
      </c>
      <c r="D17">
        <v>1</v>
      </c>
      <c r="E17">
        <v>0</v>
      </c>
      <c r="F17" s="79">
        <v>41922</v>
      </c>
      <c r="G17" s="31">
        <v>1</v>
      </c>
      <c r="H17" t="s">
        <v>51</v>
      </c>
      <c r="I17" s="71">
        <v>41893</v>
      </c>
      <c r="J17" t="s">
        <v>50</v>
      </c>
      <c r="K17" s="79"/>
    </row>
    <row r="18" spans="1:11" x14ac:dyDescent="0.2">
      <c r="A18" t="s">
        <v>74</v>
      </c>
      <c r="B18">
        <v>21.5</v>
      </c>
      <c r="C18">
        <v>0</v>
      </c>
      <c r="D18">
        <v>1</v>
      </c>
      <c r="E18">
        <v>0</v>
      </c>
      <c r="F18" s="79">
        <v>41922</v>
      </c>
      <c r="G18" s="31">
        <v>1</v>
      </c>
      <c r="H18" t="s">
        <v>51</v>
      </c>
      <c r="I18" s="71">
        <v>41893</v>
      </c>
      <c r="J18" s="1" t="s">
        <v>190</v>
      </c>
      <c r="K18" s="79"/>
    </row>
    <row r="19" spans="1:11" x14ac:dyDescent="0.2">
      <c r="A19" t="s">
        <v>102</v>
      </c>
      <c r="B19">
        <v>9.74</v>
      </c>
      <c r="C19">
        <v>0</v>
      </c>
      <c r="D19">
        <v>1</v>
      </c>
      <c r="E19">
        <v>0</v>
      </c>
      <c r="F19" s="79">
        <v>41922</v>
      </c>
      <c r="G19" s="31">
        <v>1</v>
      </c>
      <c r="H19" t="s">
        <v>51</v>
      </c>
      <c r="I19" s="71">
        <v>41893</v>
      </c>
      <c r="J19" t="s">
        <v>107</v>
      </c>
      <c r="K19" s="79"/>
    </row>
    <row r="20" spans="1:11" x14ac:dyDescent="0.2">
      <c r="A20" t="s">
        <v>103</v>
      </c>
      <c r="B20">
        <v>8.98</v>
      </c>
      <c r="C20">
        <v>0</v>
      </c>
      <c r="D20">
        <v>1</v>
      </c>
      <c r="E20">
        <v>0</v>
      </c>
      <c r="F20" s="79">
        <v>41922</v>
      </c>
      <c r="G20" s="31">
        <v>1</v>
      </c>
      <c r="H20" t="s">
        <v>51</v>
      </c>
      <c r="I20" s="71">
        <v>41893</v>
      </c>
      <c r="J20" t="s">
        <v>107</v>
      </c>
      <c r="K20" s="79"/>
    </row>
    <row r="21" spans="1:11" x14ac:dyDescent="0.2">
      <c r="A21" t="s">
        <v>101</v>
      </c>
      <c r="B21">
        <v>6.69</v>
      </c>
      <c r="C21">
        <v>0</v>
      </c>
      <c r="D21">
        <v>1</v>
      </c>
      <c r="E21">
        <v>0</v>
      </c>
      <c r="F21" s="79">
        <v>41922</v>
      </c>
      <c r="G21" s="31">
        <v>1</v>
      </c>
      <c r="H21" t="s">
        <v>51</v>
      </c>
      <c r="I21" s="71">
        <v>41894</v>
      </c>
      <c r="J21" s="1" t="s">
        <v>190</v>
      </c>
      <c r="K21" s="79"/>
    </row>
    <row r="22" spans="1:11" x14ac:dyDescent="0.2">
      <c r="A22" t="s">
        <v>96</v>
      </c>
      <c r="B22">
        <v>24.7</v>
      </c>
      <c r="C22">
        <v>0</v>
      </c>
      <c r="D22">
        <v>1</v>
      </c>
      <c r="E22">
        <v>0</v>
      </c>
      <c r="F22" s="79">
        <v>41922</v>
      </c>
      <c r="G22" s="31">
        <v>1</v>
      </c>
      <c r="H22" t="s">
        <v>51</v>
      </c>
      <c r="I22" s="71">
        <v>41894</v>
      </c>
      <c r="J22" t="s">
        <v>50</v>
      </c>
      <c r="K22" s="79"/>
    </row>
    <row r="23" spans="1:11" x14ac:dyDescent="0.2">
      <c r="A23" t="s">
        <v>43</v>
      </c>
      <c r="B23">
        <v>60</v>
      </c>
      <c r="C23">
        <v>1</v>
      </c>
      <c r="D23">
        <v>0</v>
      </c>
      <c r="E23">
        <v>0</v>
      </c>
      <c r="F23" s="79">
        <v>41922</v>
      </c>
      <c r="G23" s="31">
        <v>1</v>
      </c>
      <c r="H23" t="s">
        <v>49</v>
      </c>
      <c r="I23" s="71">
        <v>41895</v>
      </c>
      <c r="J23" t="s">
        <v>339</v>
      </c>
      <c r="K23" s="79"/>
    </row>
    <row r="24" spans="1:11" x14ac:dyDescent="0.2">
      <c r="A24" s="1" t="s">
        <v>504</v>
      </c>
      <c r="B24">
        <v>117.92</v>
      </c>
      <c r="C24">
        <v>0</v>
      </c>
      <c r="D24">
        <v>1</v>
      </c>
      <c r="E24">
        <v>0</v>
      </c>
      <c r="F24" s="79">
        <v>41922</v>
      </c>
      <c r="G24" s="31">
        <v>1</v>
      </c>
      <c r="H24" t="s">
        <v>49</v>
      </c>
      <c r="I24" s="71">
        <v>41895</v>
      </c>
      <c r="J24" t="s">
        <v>50</v>
      </c>
      <c r="K24" s="79"/>
    </row>
    <row r="25" spans="1:11" x14ac:dyDescent="0.2">
      <c r="A25" t="s">
        <v>106</v>
      </c>
      <c r="B25">
        <v>41.5</v>
      </c>
      <c r="C25">
        <v>0</v>
      </c>
      <c r="D25">
        <v>1</v>
      </c>
      <c r="E25">
        <v>0</v>
      </c>
      <c r="F25" s="79">
        <v>41922</v>
      </c>
      <c r="G25" s="31">
        <v>1</v>
      </c>
      <c r="H25" t="s">
        <v>49</v>
      </c>
      <c r="I25" s="71">
        <v>41895</v>
      </c>
      <c r="J25" t="s">
        <v>50</v>
      </c>
      <c r="K25" s="79"/>
    </row>
    <row r="26" spans="1:11" x14ac:dyDescent="0.2">
      <c r="A26" t="s">
        <v>52</v>
      </c>
      <c r="B26">
        <v>300</v>
      </c>
      <c r="C26">
        <v>0</v>
      </c>
      <c r="D26">
        <v>1</v>
      </c>
      <c r="E26">
        <v>0</v>
      </c>
      <c r="F26" s="79">
        <v>41922</v>
      </c>
      <c r="G26" s="31">
        <v>1</v>
      </c>
      <c r="H26" t="s">
        <v>49</v>
      </c>
      <c r="I26" s="71">
        <v>41895</v>
      </c>
      <c r="J26" s="1" t="s">
        <v>52</v>
      </c>
      <c r="K26" s="79"/>
    </row>
    <row r="27" spans="1:11" x14ac:dyDescent="0.2">
      <c r="A27" t="s">
        <v>107</v>
      </c>
      <c r="B27">
        <v>13.45</v>
      </c>
      <c r="C27">
        <v>0</v>
      </c>
      <c r="D27">
        <v>1</v>
      </c>
      <c r="E27">
        <v>0</v>
      </c>
      <c r="F27" s="79">
        <v>41922</v>
      </c>
      <c r="G27" s="31">
        <v>1</v>
      </c>
      <c r="H27" t="s">
        <v>49</v>
      </c>
      <c r="I27" s="71">
        <v>41895</v>
      </c>
      <c r="J27" t="s">
        <v>107</v>
      </c>
      <c r="K27" s="79"/>
    </row>
    <row r="28" spans="1:11" x14ac:dyDescent="0.2">
      <c r="A28" t="s">
        <v>112</v>
      </c>
      <c r="B28">
        <v>6</v>
      </c>
      <c r="C28">
        <v>0</v>
      </c>
      <c r="D28">
        <v>1</v>
      </c>
      <c r="E28">
        <v>0</v>
      </c>
      <c r="F28" s="79">
        <v>41922</v>
      </c>
      <c r="G28" s="31">
        <v>1</v>
      </c>
      <c r="H28" t="s">
        <v>54</v>
      </c>
      <c r="I28" s="71">
        <v>41901</v>
      </c>
      <c r="J28" t="s">
        <v>50</v>
      </c>
      <c r="K28" s="79"/>
    </row>
    <row r="29" spans="1:11" x14ac:dyDescent="0.2">
      <c r="A29" t="s">
        <v>43</v>
      </c>
      <c r="B29">
        <v>60</v>
      </c>
      <c r="C29">
        <v>1</v>
      </c>
      <c r="D29">
        <v>0</v>
      </c>
      <c r="E29">
        <v>0</v>
      </c>
      <c r="F29" s="79">
        <v>41922</v>
      </c>
      <c r="G29" s="31">
        <v>1</v>
      </c>
      <c r="H29" t="s">
        <v>49</v>
      </c>
      <c r="I29" s="71">
        <v>41902</v>
      </c>
      <c r="J29" t="s">
        <v>339</v>
      </c>
      <c r="K29" s="79"/>
    </row>
    <row r="30" spans="1:11" x14ac:dyDescent="0.2">
      <c r="A30" t="s">
        <v>56</v>
      </c>
      <c r="B30">
        <v>4.1100000000000003</v>
      </c>
      <c r="C30">
        <v>0</v>
      </c>
      <c r="D30">
        <v>1</v>
      </c>
      <c r="E30">
        <v>0</v>
      </c>
      <c r="F30" s="79">
        <v>41922</v>
      </c>
      <c r="G30" s="31">
        <v>1</v>
      </c>
      <c r="H30" t="s">
        <v>49</v>
      </c>
      <c r="I30" s="71">
        <v>41902</v>
      </c>
      <c r="J30" s="1" t="s">
        <v>190</v>
      </c>
      <c r="K30" s="79"/>
    </row>
    <row r="31" spans="1:11" x14ac:dyDescent="0.2">
      <c r="A31" t="s">
        <v>114</v>
      </c>
      <c r="B31">
        <v>10.26</v>
      </c>
      <c r="C31">
        <v>0</v>
      </c>
      <c r="D31">
        <v>1</v>
      </c>
      <c r="E31">
        <v>0</v>
      </c>
      <c r="F31" s="79">
        <v>41922</v>
      </c>
      <c r="G31" s="31">
        <v>1</v>
      </c>
      <c r="H31" t="s">
        <v>49</v>
      </c>
      <c r="I31" s="71">
        <v>41902</v>
      </c>
      <c r="J31" s="1" t="s">
        <v>52</v>
      </c>
      <c r="K31" s="79"/>
    </row>
    <row r="32" spans="1:11" x14ac:dyDescent="0.2">
      <c r="A32" t="s">
        <v>115</v>
      </c>
      <c r="B32">
        <v>2.2000000000000002</v>
      </c>
      <c r="C32">
        <v>0</v>
      </c>
      <c r="D32">
        <v>1</v>
      </c>
      <c r="E32">
        <v>0</v>
      </c>
      <c r="F32" s="79">
        <v>41922</v>
      </c>
      <c r="G32" s="31">
        <v>1</v>
      </c>
      <c r="H32" t="s">
        <v>49</v>
      </c>
      <c r="I32" s="71">
        <v>41902</v>
      </c>
      <c r="J32" t="s">
        <v>50</v>
      </c>
      <c r="K32" s="79"/>
    </row>
    <row r="33" spans="1:11" x14ac:dyDescent="0.2">
      <c r="A33" s="1" t="s">
        <v>52</v>
      </c>
      <c r="B33">
        <v>165</v>
      </c>
      <c r="C33">
        <v>0</v>
      </c>
      <c r="D33">
        <v>1</v>
      </c>
      <c r="E33">
        <v>0</v>
      </c>
      <c r="F33" s="79">
        <v>41922</v>
      </c>
      <c r="G33" s="31">
        <v>1</v>
      </c>
      <c r="H33" t="s">
        <v>49</v>
      </c>
      <c r="I33" s="71">
        <v>41903</v>
      </c>
      <c r="J33" s="1" t="s">
        <v>52</v>
      </c>
      <c r="K33" s="79"/>
    </row>
    <row r="34" spans="1:11" x14ac:dyDescent="0.2">
      <c r="A34" s="1" t="s">
        <v>45</v>
      </c>
      <c r="B34">
        <v>12.5</v>
      </c>
      <c r="C34">
        <v>0</v>
      </c>
      <c r="D34">
        <v>1</v>
      </c>
      <c r="E34">
        <v>0</v>
      </c>
      <c r="F34" s="79">
        <v>41922</v>
      </c>
      <c r="G34" s="31">
        <v>1</v>
      </c>
      <c r="H34" t="s">
        <v>49</v>
      </c>
      <c r="I34" s="71">
        <v>41903</v>
      </c>
      <c r="J34" t="s">
        <v>50</v>
      </c>
      <c r="K34" s="79"/>
    </row>
    <row r="35" spans="1:11" x14ac:dyDescent="0.2">
      <c r="A35" s="1" t="s">
        <v>163</v>
      </c>
      <c r="B35">
        <v>32.64</v>
      </c>
      <c r="C35">
        <v>0</v>
      </c>
      <c r="D35">
        <v>1</v>
      </c>
      <c r="E35">
        <v>0</v>
      </c>
      <c r="F35" s="79">
        <v>41922</v>
      </c>
      <c r="G35" s="31">
        <v>1</v>
      </c>
      <c r="H35" t="s">
        <v>49</v>
      </c>
      <c r="I35" s="71">
        <v>41903</v>
      </c>
      <c r="J35" s="1" t="s">
        <v>52</v>
      </c>
      <c r="K35" s="79"/>
    </row>
    <row r="36" spans="1:11" x14ac:dyDescent="0.2">
      <c r="A36" s="1" t="s">
        <v>167</v>
      </c>
      <c r="B36">
        <v>27</v>
      </c>
      <c r="C36">
        <v>0</v>
      </c>
      <c r="D36">
        <v>1</v>
      </c>
      <c r="E36">
        <v>0</v>
      </c>
      <c r="F36" s="79">
        <v>41922</v>
      </c>
      <c r="G36" s="31">
        <v>1</v>
      </c>
      <c r="H36" t="s">
        <v>55</v>
      </c>
      <c r="I36" s="71">
        <v>41904</v>
      </c>
      <c r="J36" t="s">
        <v>107</v>
      </c>
      <c r="K36" s="79"/>
    </row>
    <row r="37" spans="1:11" x14ac:dyDescent="0.2">
      <c r="A37" s="1" t="s">
        <v>107</v>
      </c>
      <c r="B37">
        <v>27</v>
      </c>
      <c r="C37">
        <v>0</v>
      </c>
      <c r="D37">
        <v>1</v>
      </c>
      <c r="E37">
        <v>0</v>
      </c>
      <c r="F37" s="79">
        <v>41922</v>
      </c>
      <c r="G37" s="31">
        <v>1</v>
      </c>
      <c r="H37" t="s">
        <v>55</v>
      </c>
      <c r="I37" s="71">
        <v>41905</v>
      </c>
      <c r="J37" t="s">
        <v>22</v>
      </c>
      <c r="K37" s="79"/>
    </row>
    <row r="38" spans="1:11" x14ac:dyDescent="0.2">
      <c r="A38" s="1" t="s">
        <v>164</v>
      </c>
      <c r="B38">
        <v>10.5</v>
      </c>
      <c r="C38">
        <v>0</v>
      </c>
      <c r="D38">
        <v>1</v>
      </c>
      <c r="E38">
        <v>0</v>
      </c>
      <c r="F38" s="79">
        <v>41922</v>
      </c>
      <c r="G38" s="31">
        <v>1</v>
      </c>
      <c r="H38" t="s">
        <v>55</v>
      </c>
      <c r="I38" s="71">
        <v>41905</v>
      </c>
      <c r="J38" t="s">
        <v>50</v>
      </c>
      <c r="K38" s="79"/>
    </row>
    <row r="39" spans="1:11" x14ac:dyDescent="0.2">
      <c r="A39" s="1" t="s">
        <v>73</v>
      </c>
      <c r="B39">
        <v>11.5</v>
      </c>
      <c r="C39">
        <v>0</v>
      </c>
      <c r="D39">
        <v>1</v>
      </c>
      <c r="E39">
        <v>0</v>
      </c>
      <c r="F39" s="79">
        <v>41922</v>
      </c>
      <c r="G39" s="31">
        <v>1</v>
      </c>
      <c r="H39" t="s">
        <v>55</v>
      </c>
      <c r="I39" s="71">
        <v>41905</v>
      </c>
      <c r="J39" t="s">
        <v>50</v>
      </c>
      <c r="K39" s="79"/>
    </row>
    <row r="40" spans="1:11" x14ac:dyDescent="0.2">
      <c r="A40" s="1" t="s">
        <v>168</v>
      </c>
      <c r="B40">
        <v>70</v>
      </c>
      <c r="C40">
        <v>0</v>
      </c>
      <c r="D40">
        <v>1</v>
      </c>
      <c r="E40">
        <v>0</v>
      </c>
      <c r="F40" s="79">
        <v>41922</v>
      </c>
      <c r="G40" s="31">
        <v>1</v>
      </c>
      <c r="H40" t="s">
        <v>55</v>
      </c>
      <c r="I40" s="71">
        <v>41905</v>
      </c>
      <c r="J40" t="s">
        <v>22</v>
      </c>
      <c r="K40" s="79"/>
    </row>
    <row r="41" spans="1:11" x14ac:dyDescent="0.2">
      <c r="A41" s="1" t="s">
        <v>169</v>
      </c>
      <c r="B41">
        <v>69.900000000000006</v>
      </c>
      <c r="C41">
        <v>1</v>
      </c>
      <c r="D41">
        <v>0</v>
      </c>
      <c r="E41">
        <v>0</v>
      </c>
      <c r="F41" s="79">
        <v>41922</v>
      </c>
      <c r="G41" s="31">
        <v>1</v>
      </c>
      <c r="H41" t="s">
        <v>55</v>
      </c>
      <c r="I41" s="71">
        <v>41905</v>
      </c>
      <c r="J41" t="s">
        <v>22</v>
      </c>
      <c r="K41" s="79"/>
    </row>
    <row r="42" spans="1:11" x14ac:dyDescent="0.2">
      <c r="A42" s="1" t="s">
        <v>165</v>
      </c>
      <c r="B42">
        <v>11</v>
      </c>
      <c r="C42">
        <v>0</v>
      </c>
      <c r="D42">
        <v>1</v>
      </c>
      <c r="E42">
        <v>0</v>
      </c>
      <c r="F42" s="79">
        <v>41922</v>
      </c>
      <c r="G42" s="31">
        <v>1</v>
      </c>
      <c r="H42" t="s">
        <v>55</v>
      </c>
      <c r="I42" s="71">
        <v>41906</v>
      </c>
      <c r="J42" t="s">
        <v>50</v>
      </c>
      <c r="K42" s="79"/>
    </row>
    <row r="43" spans="1:11" x14ac:dyDescent="0.2">
      <c r="A43" s="1" t="s">
        <v>43</v>
      </c>
      <c r="B43">
        <v>60</v>
      </c>
      <c r="C43">
        <v>1</v>
      </c>
      <c r="D43">
        <v>0</v>
      </c>
      <c r="E43">
        <v>0</v>
      </c>
      <c r="F43" s="79">
        <v>41922</v>
      </c>
      <c r="G43" s="31">
        <v>1</v>
      </c>
      <c r="H43" t="s">
        <v>55</v>
      </c>
      <c r="I43" s="71">
        <v>41908</v>
      </c>
      <c r="J43" t="s">
        <v>339</v>
      </c>
      <c r="K43" s="79"/>
    </row>
    <row r="44" spans="1:11" x14ac:dyDescent="0.2">
      <c r="A44" s="1" t="s">
        <v>170</v>
      </c>
      <c r="B44">
        <f>468/3</f>
        <v>156</v>
      </c>
      <c r="C44">
        <v>0</v>
      </c>
      <c r="D44">
        <v>1</v>
      </c>
      <c r="E44">
        <v>0</v>
      </c>
      <c r="F44" s="79">
        <v>41922</v>
      </c>
      <c r="G44" s="31">
        <v>1</v>
      </c>
      <c r="H44" s="1" t="s">
        <v>155</v>
      </c>
      <c r="I44" s="71">
        <v>41908</v>
      </c>
      <c r="J44" t="s">
        <v>22</v>
      </c>
      <c r="K44" s="79"/>
    </row>
    <row r="45" spans="1:11" x14ac:dyDescent="0.2">
      <c r="A45" s="1" t="s">
        <v>173</v>
      </c>
      <c r="B45">
        <v>9</v>
      </c>
      <c r="C45">
        <v>0</v>
      </c>
      <c r="D45">
        <v>1</v>
      </c>
      <c r="E45">
        <v>0</v>
      </c>
      <c r="F45" s="79">
        <v>41922</v>
      </c>
      <c r="G45" s="31">
        <v>1</v>
      </c>
      <c r="H45" t="s">
        <v>55</v>
      </c>
      <c r="I45" s="71">
        <v>41908</v>
      </c>
      <c r="J45" t="s">
        <v>50</v>
      </c>
      <c r="K45" s="79"/>
    </row>
    <row r="46" spans="1:11" x14ac:dyDescent="0.2">
      <c r="A46" s="1" t="s">
        <v>175</v>
      </c>
      <c r="B46">
        <v>29.9</v>
      </c>
      <c r="C46">
        <v>0</v>
      </c>
      <c r="D46">
        <v>1</v>
      </c>
      <c r="E46">
        <v>0</v>
      </c>
      <c r="F46" s="79">
        <v>41922</v>
      </c>
      <c r="G46" s="31">
        <v>1</v>
      </c>
      <c r="H46" t="s">
        <v>55</v>
      </c>
      <c r="I46" s="71">
        <v>41908</v>
      </c>
      <c r="J46" t="s">
        <v>22</v>
      </c>
      <c r="K46" s="79"/>
    </row>
    <row r="47" spans="1:11" x14ac:dyDescent="0.2">
      <c r="A47" s="1" t="s">
        <v>174</v>
      </c>
      <c r="B47">
        <v>16.2</v>
      </c>
      <c r="C47">
        <v>0</v>
      </c>
      <c r="D47">
        <v>1</v>
      </c>
      <c r="E47">
        <v>0</v>
      </c>
      <c r="F47" s="79">
        <v>41922</v>
      </c>
      <c r="G47" s="31">
        <v>1</v>
      </c>
      <c r="H47" t="s">
        <v>49</v>
      </c>
      <c r="I47" s="71">
        <v>41909</v>
      </c>
      <c r="J47" s="1" t="s">
        <v>52</v>
      </c>
      <c r="K47" s="79"/>
    </row>
    <row r="48" spans="1:11" x14ac:dyDescent="0.2">
      <c r="A48" s="1" t="s">
        <v>176</v>
      </c>
      <c r="B48">
        <v>14.9</v>
      </c>
      <c r="C48">
        <v>0</v>
      </c>
      <c r="D48">
        <v>1</v>
      </c>
      <c r="E48">
        <v>0</v>
      </c>
      <c r="F48" s="79">
        <v>41922</v>
      </c>
      <c r="G48" s="31">
        <v>1</v>
      </c>
      <c r="H48" t="s">
        <v>49</v>
      </c>
      <c r="I48" s="71">
        <v>41909</v>
      </c>
      <c r="J48" t="s">
        <v>50</v>
      </c>
      <c r="K48" s="79"/>
    </row>
    <row r="49" spans="1:11" x14ac:dyDescent="0.2">
      <c r="A49" s="1" t="s">
        <v>177</v>
      </c>
      <c r="B49">
        <v>5.5</v>
      </c>
      <c r="C49">
        <v>0</v>
      </c>
      <c r="D49">
        <v>1</v>
      </c>
      <c r="E49">
        <v>0</v>
      </c>
      <c r="F49" s="79">
        <v>41922</v>
      </c>
      <c r="G49" s="31">
        <v>1</v>
      </c>
      <c r="H49" t="s">
        <v>49</v>
      </c>
      <c r="I49" s="71">
        <v>41909</v>
      </c>
      <c r="J49" t="s">
        <v>50</v>
      </c>
      <c r="K49" s="79"/>
    </row>
    <row r="50" spans="1:11" x14ac:dyDescent="0.2">
      <c r="A50" s="1" t="s">
        <v>178</v>
      </c>
      <c r="B50">
        <v>24.49</v>
      </c>
      <c r="C50">
        <v>0</v>
      </c>
      <c r="D50">
        <v>1</v>
      </c>
      <c r="E50">
        <v>0</v>
      </c>
      <c r="F50" s="79">
        <v>41922</v>
      </c>
      <c r="G50" s="31">
        <v>1</v>
      </c>
      <c r="H50" t="s">
        <v>180</v>
      </c>
      <c r="I50" s="71">
        <v>41909</v>
      </c>
      <c r="J50" s="1" t="s">
        <v>190</v>
      </c>
      <c r="K50" s="79"/>
    </row>
    <row r="51" spans="1:11" x14ac:dyDescent="0.2">
      <c r="A51" s="1" t="s">
        <v>179</v>
      </c>
      <c r="B51">
        <v>23.2</v>
      </c>
      <c r="C51">
        <v>0</v>
      </c>
      <c r="D51">
        <v>1</v>
      </c>
      <c r="E51">
        <v>0</v>
      </c>
      <c r="F51" s="79">
        <v>41922</v>
      </c>
      <c r="G51" s="31">
        <v>1</v>
      </c>
      <c r="H51" t="s">
        <v>180</v>
      </c>
      <c r="I51" s="71">
        <v>41910</v>
      </c>
      <c r="J51" t="s">
        <v>50</v>
      </c>
      <c r="K51" s="79"/>
    </row>
    <row r="52" spans="1:11" x14ac:dyDescent="0.2">
      <c r="A52" t="s">
        <v>96</v>
      </c>
      <c r="B52">
        <v>23.5</v>
      </c>
      <c r="C52">
        <v>0</v>
      </c>
      <c r="D52">
        <v>1</v>
      </c>
      <c r="E52">
        <v>0</v>
      </c>
      <c r="F52" s="79">
        <v>41922</v>
      </c>
      <c r="G52" s="31">
        <v>1</v>
      </c>
      <c r="H52" t="s">
        <v>180</v>
      </c>
      <c r="I52" s="71">
        <v>41912</v>
      </c>
      <c r="J52" t="s">
        <v>50</v>
      </c>
      <c r="K52" s="79"/>
    </row>
    <row r="53" spans="1:11" x14ac:dyDescent="0.2">
      <c r="A53" t="s">
        <v>96</v>
      </c>
      <c r="B53">
        <v>32.44</v>
      </c>
      <c r="C53">
        <v>0</v>
      </c>
      <c r="D53">
        <v>1</v>
      </c>
      <c r="E53">
        <v>0</v>
      </c>
      <c r="F53" s="79">
        <v>41922</v>
      </c>
      <c r="G53" s="31">
        <v>1</v>
      </c>
      <c r="H53" t="s">
        <v>47</v>
      </c>
      <c r="I53" s="71">
        <v>41913</v>
      </c>
      <c r="J53" t="s">
        <v>50</v>
      </c>
      <c r="K53" s="79"/>
    </row>
    <row r="54" spans="1:11" x14ac:dyDescent="0.2">
      <c r="A54" s="1" t="s">
        <v>43</v>
      </c>
      <c r="B54">
        <v>10</v>
      </c>
      <c r="C54">
        <v>1</v>
      </c>
      <c r="D54">
        <v>0</v>
      </c>
      <c r="E54">
        <v>0</v>
      </c>
      <c r="F54" s="79">
        <v>41922</v>
      </c>
      <c r="G54" s="31">
        <v>1</v>
      </c>
      <c r="H54" t="s">
        <v>47</v>
      </c>
      <c r="I54" s="71">
        <v>41913</v>
      </c>
      <c r="J54" t="s">
        <v>339</v>
      </c>
      <c r="K54" s="79"/>
    </row>
    <row r="55" spans="1:11" x14ac:dyDescent="0.2">
      <c r="A55" s="1" t="s">
        <v>181</v>
      </c>
      <c r="B55">
        <v>23.32</v>
      </c>
      <c r="C55">
        <v>0</v>
      </c>
      <c r="D55">
        <v>1</v>
      </c>
      <c r="E55">
        <v>0</v>
      </c>
      <c r="F55" s="79">
        <v>41922</v>
      </c>
      <c r="G55" s="31">
        <v>1</v>
      </c>
      <c r="H55" t="s">
        <v>47</v>
      </c>
      <c r="I55" s="71">
        <v>41913</v>
      </c>
      <c r="J55" s="1" t="s">
        <v>22</v>
      </c>
      <c r="K55" s="79"/>
    </row>
    <row r="56" spans="1:11" x14ac:dyDescent="0.2">
      <c r="A56" t="s">
        <v>96</v>
      </c>
      <c r="B56">
        <v>17.63</v>
      </c>
      <c r="C56">
        <v>0</v>
      </c>
      <c r="D56">
        <v>1</v>
      </c>
      <c r="E56">
        <v>0</v>
      </c>
      <c r="F56" s="79">
        <v>41922</v>
      </c>
      <c r="G56" s="31">
        <v>1</v>
      </c>
      <c r="H56" t="s">
        <v>47</v>
      </c>
      <c r="I56" s="71">
        <v>41914</v>
      </c>
      <c r="J56" t="s">
        <v>50</v>
      </c>
      <c r="K56" s="79"/>
    </row>
    <row r="57" spans="1:11" x14ac:dyDescent="0.2">
      <c r="A57" s="1" t="s">
        <v>43</v>
      </c>
      <c r="B57">
        <v>60</v>
      </c>
      <c r="C57">
        <v>1</v>
      </c>
      <c r="D57">
        <v>0</v>
      </c>
      <c r="E57">
        <v>0</v>
      </c>
      <c r="F57" s="79">
        <v>41922</v>
      </c>
      <c r="G57" s="31">
        <v>1</v>
      </c>
      <c r="H57" t="s">
        <v>49</v>
      </c>
      <c r="I57" s="71">
        <v>41916</v>
      </c>
      <c r="J57" t="s">
        <v>339</v>
      </c>
      <c r="K57" s="79"/>
    </row>
    <row r="58" spans="1:11" x14ac:dyDescent="0.2">
      <c r="A58" s="1" t="s">
        <v>504</v>
      </c>
      <c r="B58">
        <v>32</v>
      </c>
      <c r="C58">
        <v>0</v>
      </c>
      <c r="D58">
        <v>1</v>
      </c>
      <c r="E58">
        <v>0</v>
      </c>
      <c r="F58" s="79">
        <v>41922</v>
      </c>
      <c r="G58" s="31">
        <v>1</v>
      </c>
      <c r="H58" t="s">
        <v>49</v>
      </c>
      <c r="I58" s="71">
        <v>41916</v>
      </c>
      <c r="J58" t="s">
        <v>50</v>
      </c>
      <c r="K58" s="79"/>
    </row>
    <row r="59" spans="1:11" x14ac:dyDescent="0.2">
      <c r="A59" s="1" t="s">
        <v>183</v>
      </c>
      <c r="B59">
        <v>2.5</v>
      </c>
      <c r="C59">
        <v>0</v>
      </c>
      <c r="D59">
        <v>1</v>
      </c>
      <c r="E59">
        <v>0</v>
      </c>
      <c r="F59" s="79">
        <v>41922</v>
      </c>
      <c r="G59" s="31">
        <v>1</v>
      </c>
      <c r="H59" t="s">
        <v>49</v>
      </c>
      <c r="I59" s="71">
        <v>41916</v>
      </c>
      <c r="J59" t="s">
        <v>50</v>
      </c>
      <c r="K59" s="79"/>
    </row>
    <row r="60" spans="1:11" x14ac:dyDescent="0.2">
      <c r="A60" s="1" t="s">
        <v>184</v>
      </c>
      <c r="B60">
        <v>26.4</v>
      </c>
      <c r="C60">
        <v>0</v>
      </c>
      <c r="D60">
        <v>1</v>
      </c>
      <c r="E60">
        <v>0</v>
      </c>
      <c r="F60" s="79">
        <v>41922</v>
      </c>
      <c r="G60" s="31">
        <v>1</v>
      </c>
      <c r="H60" t="s">
        <v>49</v>
      </c>
      <c r="I60" s="71">
        <v>41916</v>
      </c>
      <c r="J60" t="s">
        <v>50</v>
      </c>
      <c r="K60" s="79"/>
    </row>
    <row r="61" spans="1:11" x14ac:dyDescent="0.2">
      <c r="A61" s="1" t="s">
        <v>185</v>
      </c>
      <c r="B61">
        <v>71</v>
      </c>
      <c r="C61">
        <v>0</v>
      </c>
      <c r="D61">
        <v>1</v>
      </c>
      <c r="E61">
        <v>0</v>
      </c>
      <c r="F61" s="79">
        <v>41922</v>
      </c>
      <c r="G61" s="31">
        <v>1</v>
      </c>
      <c r="H61" t="s">
        <v>49</v>
      </c>
      <c r="I61" s="71">
        <v>41916</v>
      </c>
      <c r="J61" t="s">
        <v>22</v>
      </c>
      <c r="K61" s="79"/>
    </row>
    <row r="62" spans="1:11" x14ac:dyDescent="0.2">
      <c r="A62" s="1" t="s">
        <v>186</v>
      </c>
      <c r="B62">
        <v>3.15</v>
      </c>
      <c r="C62">
        <v>0</v>
      </c>
      <c r="D62">
        <v>1</v>
      </c>
      <c r="E62">
        <v>0</v>
      </c>
      <c r="F62" s="79">
        <v>41922</v>
      </c>
      <c r="G62" s="31">
        <v>1</v>
      </c>
      <c r="H62" t="s">
        <v>49</v>
      </c>
      <c r="I62" s="71">
        <v>41917</v>
      </c>
      <c r="J62" s="1" t="s">
        <v>190</v>
      </c>
      <c r="K62" s="79"/>
    </row>
    <row r="63" spans="1:11" x14ac:dyDescent="0.2">
      <c r="A63" s="1" t="s">
        <v>188</v>
      </c>
      <c r="B63">
        <v>9</v>
      </c>
      <c r="C63">
        <v>0</v>
      </c>
      <c r="D63">
        <v>1</v>
      </c>
      <c r="E63">
        <v>0</v>
      </c>
      <c r="F63" s="71">
        <v>41953</v>
      </c>
      <c r="G63" s="31">
        <v>0</v>
      </c>
      <c r="H63" t="s">
        <v>51</v>
      </c>
      <c r="I63" s="71">
        <v>41918</v>
      </c>
      <c r="J63" t="s">
        <v>50</v>
      </c>
    </row>
    <row r="64" spans="1:11" x14ac:dyDescent="0.2">
      <c r="A64" t="s">
        <v>96</v>
      </c>
      <c r="B64">
        <v>27</v>
      </c>
      <c r="C64">
        <v>0</v>
      </c>
      <c r="D64">
        <v>1</v>
      </c>
      <c r="E64">
        <v>0</v>
      </c>
      <c r="F64" s="71">
        <v>41953</v>
      </c>
      <c r="G64" s="31">
        <v>0</v>
      </c>
      <c r="H64" t="s">
        <v>51</v>
      </c>
      <c r="I64" s="71">
        <v>41918</v>
      </c>
      <c r="J64" t="s">
        <v>50</v>
      </c>
    </row>
    <row r="65" spans="1:10" x14ac:dyDescent="0.2">
      <c r="A65" s="1" t="s">
        <v>189</v>
      </c>
      <c r="B65">
        <v>10</v>
      </c>
      <c r="C65">
        <v>0</v>
      </c>
      <c r="D65">
        <v>1</v>
      </c>
      <c r="E65">
        <v>0</v>
      </c>
      <c r="F65" s="71">
        <v>41953</v>
      </c>
      <c r="G65" s="31">
        <v>0</v>
      </c>
      <c r="H65" t="s">
        <v>51</v>
      </c>
      <c r="I65" s="71">
        <v>41918</v>
      </c>
      <c r="J65" t="s">
        <v>50</v>
      </c>
    </row>
    <row r="66" spans="1:10" x14ac:dyDescent="0.2">
      <c r="A66" t="s">
        <v>96</v>
      </c>
      <c r="B66">
        <v>24.7</v>
      </c>
      <c r="C66">
        <v>0</v>
      </c>
      <c r="D66">
        <v>1</v>
      </c>
      <c r="E66">
        <v>0</v>
      </c>
      <c r="F66" s="71">
        <v>41953</v>
      </c>
      <c r="G66" s="31">
        <v>0</v>
      </c>
      <c r="H66" t="s">
        <v>51</v>
      </c>
      <c r="I66" s="71">
        <v>41920</v>
      </c>
      <c r="J66" t="s">
        <v>50</v>
      </c>
    </row>
    <row r="67" spans="1:10" x14ac:dyDescent="0.2">
      <c r="A67" s="1" t="s">
        <v>190</v>
      </c>
      <c r="B67">
        <v>22.26</v>
      </c>
      <c r="C67">
        <v>0</v>
      </c>
      <c r="D67">
        <v>1</v>
      </c>
      <c r="E67">
        <v>0</v>
      </c>
      <c r="F67" s="71">
        <v>41953</v>
      </c>
      <c r="G67" s="31">
        <v>0</v>
      </c>
      <c r="H67" t="s">
        <v>51</v>
      </c>
      <c r="I67" s="71">
        <v>41922</v>
      </c>
      <c r="J67" s="1" t="s">
        <v>190</v>
      </c>
    </row>
    <row r="68" spans="1:10" x14ac:dyDescent="0.2">
      <c r="A68" t="s">
        <v>96</v>
      </c>
      <c r="B68">
        <v>13.69</v>
      </c>
      <c r="C68">
        <v>0</v>
      </c>
      <c r="D68">
        <v>1</v>
      </c>
      <c r="E68">
        <v>0</v>
      </c>
      <c r="F68" s="71">
        <v>41953</v>
      </c>
      <c r="G68" s="31">
        <v>0</v>
      </c>
      <c r="H68" t="s">
        <v>51</v>
      </c>
      <c r="I68" s="71">
        <v>41922</v>
      </c>
      <c r="J68" t="s">
        <v>50</v>
      </c>
    </row>
    <row r="69" spans="1:10" x14ac:dyDescent="0.2">
      <c r="A69" s="1" t="s">
        <v>191</v>
      </c>
      <c r="B69">
        <v>72.599999999999994</v>
      </c>
      <c r="C69">
        <v>0</v>
      </c>
      <c r="D69">
        <v>1</v>
      </c>
      <c r="E69">
        <v>0</v>
      </c>
      <c r="F69" s="71">
        <v>41953</v>
      </c>
      <c r="G69" s="31">
        <v>0</v>
      </c>
      <c r="H69" t="s">
        <v>51</v>
      </c>
      <c r="I69" s="71">
        <v>41922</v>
      </c>
      <c r="J69" t="s">
        <v>50</v>
      </c>
    </row>
    <row r="70" spans="1:10" x14ac:dyDescent="0.2">
      <c r="A70" s="1" t="s">
        <v>43</v>
      </c>
      <c r="B70">
        <v>60</v>
      </c>
      <c r="C70">
        <v>1</v>
      </c>
      <c r="D70">
        <v>0</v>
      </c>
      <c r="E70">
        <v>0</v>
      </c>
      <c r="F70" s="71">
        <v>41953</v>
      </c>
      <c r="G70" s="31">
        <v>0</v>
      </c>
      <c r="H70" t="s">
        <v>51</v>
      </c>
      <c r="I70" s="71">
        <v>41922</v>
      </c>
      <c r="J70" t="s">
        <v>339</v>
      </c>
    </row>
    <row r="71" spans="1:10" x14ac:dyDescent="0.2">
      <c r="A71" s="1" t="s">
        <v>504</v>
      </c>
      <c r="B71">
        <v>33.9</v>
      </c>
      <c r="C71">
        <v>0</v>
      </c>
      <c r="D71">
        <v>1</v>
      </c>
      <c r="E71">
        <v>0</v>
      </c>
      <c r="F71" s="71">
        <v>41953</v>
      </c>
      <c r="G71" s="31">
        <v>0</v>
      </c>
      <c r="H71" t="s">
        <v>49</v>
      </c>
      <c r="I71" s="71">
        <v>41923</v>
      </c>
      <c r="J71" t="s">
        <v>50</v>
      </c>
    </row>
    <row r="72" spans="1:10" x14ac:dyDescent="0.2">
      <c r="A72" s="1" t="s">
        <v>192</v>
      </c>
      <c r="B72">
        <v>15</v>
      </c>
      <c r="C72">
        <v>0</v>
      </c>
      <c r="D72">
        <v>1</v>
      </c>
      <c r="E72">
        <v>0</v>
      </c>
      <c r="F72" s="71">
        <v>41953</v>
      </c>
      <c r="G72" s="31">
        <v>0</v>
      </c>
      <c r="H72" t="s">
        <v>49</v>
      </c>
      <c r="I72" s="71">
        <v>41923</v>
      </c>
      <c r="J72" t="s">
        <v>50</v>
      </c>
    </row>
    <row r="73" spans="1:10" x14ac:dyDescent="0.2">
      <c r="A73" s="1" t="s">
        <v>190</v>
      </c>
      <c r="B73">
        <v>3.24</v>
      </c>
      <c r="C73">
        <v>0</v>
      </c>
      <c r="D73">
        <v>1</v>
      </c>
      <c r="E73">
        <v>0</v>
      </c>
      <c r="F73" s="71">
        <v>41953</v>
      </c>
      <c r="G73" s="31">
        <v>0</v>
      </c>
      <c r="H73" t="s">
        <v>49</v>
      </c>
      <c r="I73" s="71">
        <v>41923</v>
      </c>
      <c r="J73" s="1" t="s">
        <v>190</v>
      </c>
    </row>
    <row r="74" spans="1:10" x14ac:dyDescent="0.2">
      <c r="A74" s="1" t="s">
        <v>45</v>
      </c>
      <c r="B74">
        <v>7</v>
      </c>
      <c r="C74">
        <v>0</v>
      </c>
      <c r="D74">
        <v>1</v>
      </c>
      <c r="E74">
        <v>0</v>
      </c>
      <c r="F74" s="71">
        <v>41953</v>
      </c>
      <c r="G74" s="31">
        <v>0</v>
      </c>
      <c r="H74" t="s">
        <v>49</v>
      </c>
      <c r="I74" s="71">
        <v>41923</v>
      </c>
      <c r="J74" t="s">
        <v>50</v>
      </c>
    </row>
    <row r="75" spans="1:10" x14ac:dyDescent="0.2">
      <c r="A75" s="1" t="s">
        <v>190</v>
      </c>
      <c r="B75">
        <v>24.05</v>
      </c>
      <c r="C75">
        <v>0</v>
      </c>
      <c r="D75">
        <v>1</v>
      </c>
      <c r="E75">
        <v>0</v>
      </c>
      <c r="F75" s="71">
        <v>41953</v>
      </c>
      <c r="G75" s="31">
        <v>0</v>
      </c>
      <c r="H75" t="s">
        <v>49</v>
      </c>
      <c r="I75" s="71">
        <v>41923</v>
      </c>
      <c r="J75" s="1" t="s">
        <v>190</v>
      </c>
    </row>
    <row r="76" spans="1:10" x14ac:dyDescent="0.2">
      <c r="A76" s="1" t="s">
        <v>193</v>
      </c>
      <c r="B76">
        <v>74.8</v>
      </c>
      <c r="C76">
        <v>0</v>
      </c>
      <c r="D76">
        <v>1</v>
      </c>
      <c r="E76">
        <v>0</v>
      </c>
      <c r="F76" s="71">
        <v>41953</v>
      </c>
      <c r="G76" s="31">
        <v>0</v>
      </c>
      <c r="H76" t="s">
        <v>49</v>
      </c>
      <c r="I76" s="71">
        <v>41924</v>
      </c>
      <c r="J76" t="s">
        <v>50</v>
      </c>
    </row>
    <row r="77" spans="1:10" x14ac:dyDescent="0.2">
      <c r="A77" s="1" t="s">
        <v>193</v>
      </c>
      <c r="B77">
        <v>19.899999999999999</v>
      </c>
      <c r="C77">
        <v>0</v>
      </c>
      <c r="D77">
        <v>1</v>
      </c>
      <c r="E77">
        <v>0</v>
      </c>
      <c r="F77" s="71">
        <v>41953</v>
      </c>
      <c r="G77" s="31">
        <v>0</v>
      </c>
      <c r="H77" t="s">
        <v>49</v>
      </c>
      <c r="I77" s="71">
        <v>41924</v>
      </c>
      <c r="J77" t="s">
        <v>50</v>
      </c>
    </row>
    <row r="78" spans="1:10" x14ac:dyDescent="0.2">
      <c r="A78" s="1" t="s">
        <v>43</v>
      </c>
      <c r="B78">
        <v>60</v>
      </c>
      <c r="C78">
        <v>1</v>
      </c>
      <c r="D78">
        <v>0</v>
      </c>
      <c r="E78">
        <v>0</v>
      </c>
      <c r="F78" s="71">
        <v>41953</v>
      </c>
      <c r="G78" s="31">
        <v>0</v>
      </c>
      <c r="H78" t="s">
        <v>49</v>
      </c>
      <c r="I78" s="71">
        <v>41924</v>
      </c>
      <c r="J78" t="s">
        <v>339</v>
      </c>
    </row>
    <row r="79" spans="1:10" x14ac:dyDescent="0.2">
      <c r="A79" t="s">
        <v>96</v>
      </c>
      <c r="B79">
        <v>17.3</v>
      </c>
      <c r="C79">
        <v>0</v>
      </c>
      <c r="D79">
        <v>1</v>
      </c>
      <c r="E79">
        <v>0</v>
      </c>
      <c r="F79" s="71">
        <v>41953</v>
      </c>
      <c r="G79" s="31">
        <v>0</v>
      </c>
      <c r="H79" s="1" t="s">
        <v>54</v>
      </c>
      <c r="I79" s="71">
        <v>41925</v>
      </c>
      <c r="J79" t="s">
        <v>50</v>
      </c>
    </row>
    <row r="80" spans="1:10" x14ac:dyDescent="0.2">
      <c r="A80" s="1" t="s">
        <v>74</v>
      </c>
      <c r="B80">
        <v>41.37</v>
      </c>
      <c r="C80">
        <v>0</v>
      </c>
      <c r="D80">
        <v>1</v>
      </c>
      <c r="E80">
        <v>0</v>
      </c>
      <c r="F80" s="71">
        <v>41953</v>
      </c>
      <c r="G80" s="31">
        <v>0</v>
      </c>
      <c r="H80" s="1" t="s">
        <v>54</v>
      </c>
      <c r="I80" s="71">
        <v>41926</v>
      </c>
      <c r="J80" t="s">
        <v>50</v>
      </c>
    </row>
    <row r="81" spans="1:13" x14ac:dyDescent="0.2">
      <c r="A81" s="1" t="s">
        <v>166</v>
      </c>
      <c r="B81">
        <v>190</v>
      </c>
      <c r="C81">
        <v>0</v>
      </c>
      <c r="D81">
        <v>1</v>
      </c>
      <c r="E81">
        <v>0</v>
      </c>
      <c r="F81" s="79">
        <v>41922</v>
      </c>
      <c r="G81" s="84">
        <v>1</v>
      </c>
      <c r="H81" s="1" t="s">
        <v>54</v>
      </c>
      <c r="I81" s="71">
        <v>41929</v>
      </c>
      <c r="J81" t="s">
        <v>153</v>
      </c>
      <c r="K81" s="79"/>
    </row>
    <row r="82" spans="1:13" x14ac:dyDescent="0.2">
      <c r="A82" t="s">
        <v>128</v>
      </c>
      <c r="B82">
        <v>66.5</v>
      </c>
      <c r="C82">
        <v>0</v>
      </c>
      <c r="D82">
        <v>1</v>
      </c>
      <c r="E82">
        <v>0</v>
      </c>
      <c r="F82" s="79">
        <v>41922</v>
      </c>
      <c r="G82" s="84">
        <v>1</v>
      </c>
      <c r="H82" s="1" t="s">
        <v>54</v>
      </c>
      <c r="I82" s="71">
        <v>41929</v>
      </c>
      <c r="J82" s="1" t="s">
        <v>22</v>
      </c>
      <c r="K82" s="79"/>
    </row>
    <row r="83" spans="1:13" x14ac:dyDescent="0.2">
      <c r="A83" t="s">
        <v>129</v>
      </c>
      <c r="B83">
        <v>134.99</v>
      </c>
      <c r="C83">
        <v>0</v>
      </c>
      <c r="D83">
        <v>1</v>
      </c>
      <c r="E83">
        <v>0</v>
      </c>
      <c r="F83" s="79">
        <v>41922</v>
      </c>
      <c r="G83" s="84">
        <v>1</v>
      </c>
      <c r="H83" s="1" t="s">
        <v>54</v>
      </c>
      <c r="I83" s="71">
        <v>41929</v>
      </c>
      <c r="J83" s="1" t="s">
        <v>22</v>
      </c>
      <c r="K83" s="79"/>
    </row>
    <row r="84" spans="1:13" x14ac:dyDescent="0.2">
      <c r="A84" t="s">
        <v>130</v>
      </c>
      <c r="B84">
        <v>195</v>
      </c>
      <c r="C84">
        <v>0</v>
      </c>
      <c r="D84">
        <v>1</v>
      </c>
      <c r="E84">
        <v>0</v>
      </c>
      <c r="F84" s="79">
        <v>41922</v>
      </c>
      <c r="G84" s="84">
        <v>1</v>
      </c>
      <c r="H84" s="1" t="s">
        <v>54</v>
      </c>
      <c r="I84" s="71">
        <v>41929</v>
      </c>
      <c r="J84" s="1" t="s">
        <v>22</v>
      </c>
      <c r="K84" s="79"/>
    </row>
    <row r="85" spans="1:13" x14ac:dyDescent="0.2">
      <c r="A85" t="s">
        <v>131</v>
      </c>
      <c r="B85">
        <v>143.4</v>
      </c>
      <c r="C85">
        <v>0</v>
      </c>
      <c r="D85">
        <v>1</v>
      </c>
      <c r="E85">
        <v>0</v>
      </c>
      <c r="F85" s="79">
        <v>41922</v>
      </c>
      <c r="G85" s="84">
        <v>1</v>
      </c>
      <c r="H85" s="1" t="s">
        <v>54</v>
      </c>
      <c r="I85" s="71">
        <v>41929</v>
      </c>
      <c r="J85" s="1" t="s">
        <v>52</v>
      </c>
      <c r="K85" s="79"/>
    </row>
    <row r="86" spans="1:13" x14ac:dyDescent="0.2">
      <c r="A86" s="1" t="s">
        <v>194</v>
      </c>
      <c r="B86" s="31">
        <v>654.73</v>
      </c>
      <c r="C86">
        <v>1</v>
      </c>
      <c r="D86">
        <v>0</v>
      </c>
      <c r="E86">
        <v>0</v>
      </c>
      <c r="F86" s="71">
        <v>41922</v>
      </c>
      <c r="G86" s="84">
        <v>0</v>
      </c>
      <c r="H86" s="1" t="s">
        <v>54</v>
      </c>
      <c r="I86" s="71">
        <v>41929</v>
      </c>
      <c r="J86" t="s">
        <v>334</v>
      </c>
      <c r="K86" s="31"/>
      <c r="M86" s="71"/>
    </row>
    <row r="87" spans="1:13" x14ac:dyDescent="0.2">
      <c r="A87" s="1" t="s">
        <v>394</v>
      </c>
      <c r="B87" s="31">
        <v>654.73</v>
      </c>
      <c r="C87">
        <v>1</v>
      </c>
      <c r="D87">
        <v>0</v>
      </c>
      <c r="E87">
        <v>0</v>
      </c>
      <c r="F87" s="71">
        <v>41953</v>
      </c>
      <c r="G87" s="84">
        <v>0</v>
      </c>
      <c r="H87" s="1" t="s">
        <v>54</v>
      </c>
      <c r="I87" s="71">
        <v>41960</v>
      </c>
      <c r="J87" t="s">
        <v>334</v>
      </c>
      <c r="K87" s="31"/>
      <c r="M87" s="71"/>
    </row>
    <row r="88" spans="1:13" x14ac:dyDescent="0.2">
      <c r="A88" s="1" t="s">
        <v>171</v>
      </c>
      <c r="B88">
        <f>468/3</f>
        <v>156</v>
      </c>
      <c r="C88">
        <v>0</v>
      </c>
      <c r="D88">
        <v>1</v>
      </c>
      <c r="E88">
        <v>0</v>
      </c>
      <c r="F88" s="71">
        <v>41953</v>
      </c>
      <c r="G88" s="84">
        <v>0</v>
      </c>
      <c r="H88" s="1" t="s">
        <v>54</v>
      </c>
      <c r="I88" s="71">
        <v>41960</v>
      </c>
      <c r="J88" t="s">
        <v>333</v>
      </c>
      <c r="K88" s="31"/>
      <c r="M88" s="71"/>
    </row>
    <row r="89" spans="1:13" x14ac:dyDescent="0.2">
      <c r="A89" s="1" t="s">
        <v>154</v>
      </c>
      <c r="B89">
        <v>190</v>
      </c>
      <c r="C89">
        <v>0</v>
      </c>
      <c r="D89">
        <v>1</v>
      </c>
      <c r="E89">
        <v>0</v>
      </c>
      <c r="F89" s="71">
        <v>41953</v>
      </c>
      <c r="G89" s="84">
        <v>0</v>
      </c>
      <c r="H89" s="1" t="s">
        <v>54</v>
      </c>
      <c r="I89" s="71">
        <v>41960</v>
      </c>
      <c r="J89" t="s">
        <v>153</v>
      </c>
      <c r="K89" s="31"/>
      <c r="M89" s="71"/>
    </row>
    <row r="90" spans="1:13" x14ac:dyDescent="0.2">
      <c r="A90" s="1" t="s">
        <v>395</v>
      </c>
      <c r="B90" s="31">
        <v>654.73</v>
      </c>
      <c r="C90">
        <v>1</v>
      </c>
      <c r="D90">
        <v>0</v>
      </c>
      <c r="E90">
        <v>0</v>
      </c>
      <c r="F90" s="71">
        <v>41983</v>
      </c>
      <c r="G90" s="84">
        <v>0</v>
      </c>
      <c r="H90" s="1" t="s">
        <v>54</v>
      </c>
      <c r="I90" s="71">
        <v>41990</v>
      </c>
      <c r="J90" t="s">
        <v>334</v>
      </c>
      <c r="K90" s="31"/>
      <c r="M90" s="71"/>
    </row>
    <row r="91" spans="1:13" x14ac:dyDescent="0.2">
      <c r="A91" s="1" t="s">
        <v>172</v>
      </c>
      <c r="B91">
        <f>468/3</f>
        <v>156</v>
      </c>
      <c r="C91">
        <v>0</v>
      </c>
      <c r="D91">
        <v>1</v>
      </c>
      <c r="E91">
        <v>0</v>
      </c>
      <c r="F91" s="71">
        <v>41983</v>
      </c>
      <c r="G91" s="84">
        <v>0</v>
      </c>
      <c r="H91" s="1" t="s">
        <v>54</v>
      </c>
      <c r="I91" s="71">
        <v>41990</v>
      </c>
      <c r="J91" t="s">
        <v>333</v>
      </c>
      <c r="K91" s="79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1257"/>
  <sheetViews>
    <sheetView topLeftCell="A1230" workbookViewId="0">
      <selection activeCell="E1256" sqref="E1254:E1256"/>
    </sheetView>
  </sheetViews>
  <sheetFormatPr defaultRowHeight="12.75" x14ac:dyDescent="0.2"/>
  <cols>
    <col min="1" max="1" width="23.140625" bestFit="1" customWidth="1"/>
    <col min="2" max="2" width="6.5703125" style="31" bestFit="1" customWidth="1"/>
    <col min="3" max="3" width="11.7109375" style="71" bestFit="1" customWidth="1"/>
    <col min="4" max="4" width="12.28515625" bestFit="1" customWidth="1"/>
    <col min="5" max="5" width="9" bestFit="1" customWidth="1"/>
    <col min="6" max="6" width="13.28515625" bestFit="1" customWidth="1"/>
    <col min="8" max="8" width="14.85546875" bestFit="1" customWidth="1"/>
  </cols>
  <sheetData>
    <row r="1" spans="1:10" x14ac:dyDescent="0.2">
      <c r="A1" t="s">
        <v>210</v>
      </c>
      <c r="B1" s="31" t="s">
        <v>79</v>
      </c>
      <c r="C1" s="71" t="s">
        <v>211</v>
      </c>
      <c r="D1" t="s">
        <v>223</v>
      </c>
      <c r="E1" t="s">
        <v>212</v>
      </c>
      <c r="F1" t="s">
        <v>213</v>
      </c>
      <c r="G1" t="s">
        <v>297</v>
      </c>
      <c r="H1" t="s">
        <v>692</v>
      </c>
      <c r="I1" t="s">
        <v>758</v>
      </c>
      <c r="J1" t="s">
        <v>836</v>
      </c>
    </row>
    <row r="2" spans="1:10" x14ac:dyDescent="0.2">
      <c r="A2" t="s">
        <v>214</v>
      </c>
      <c r="B2" s="31">
        <v>1</v>
      </c>
      <c r="C2" s="71">
        <v>41959</v>
      </c>
      <c r="D2">
        <v>16.72</v>
      </c>
      <c r="E2">
        <v>16.72</v>
      </c>
      <c r="F2" t="s">
        <v>221</v>
      </c>
      <c r="G2" t="s">
        <v>298</v>
      </c>
      <c r="H2" s="71">
        <v>41953</v>
      </c>
      <c r="I2" t="s">
        <v>748</v>
      </c>
      <c r="J2" t="s">
        <v>13</v>
      </c>
    </row>
    <row r="3" spans="1:10" x14ac:dyDescent="0.2">
      <c r="A3" t="s">
        <v>283</v>
      </c>
      <c r="B3" s="31">
        <v>0.36799999999999999</v>
      </c>
      <c r="C3" s="71">
        <v>41959</v>
      </c>
      <c r="D3">
        <v>15.87</v>
      </c>
      <c r="E3">
        <v>5.84</v>
      </c>
      <c r="F3" t="s">
        <v>614</v>
      </c>
      <c r="G3" t="s">
        <v>299</v>
      </c>
      <c r="H3" s="71">
        <v>41953</v>
      </c>
      <c r="I3" t="s">
        <v>748</v>
      </c>
      <c r="J3" t="s">
        <v>13</v>
      </c>
    </row>
    <row r="4" spans="1:10" x14ac:dyDescent="0.2">
      <c r="A4" t="s">
        <v>284</v>
      </c>
      <c r="B4" s="31">
        <v>0.28000000000000003</v>
      </c>
      <c r="C4" s="71">
        <v>41959</v>
      </c>
      <c r="D4">
        <v>20.76</v>
      </c>
      <c r="E4">
        <v>5.81</v>
      </c>
      <c r="F4" t="s">
        <v>208</v>
      </c>
      <c r="G4" t="s">
        <v>299</v>
      </c>
      <c r="H4" s="71">
        <v>41953</v>
      </c>
      <c r="I4" t="s">
        <v>748</v>
      </c>
      <c r="J4" t="s">
        <v>13</v>
      </c>
    </row>
    <row r="5" spans="1:10" x14ac:dyDescent="0.2">
      <c r="A5" t="s">
        <v>285</v>
      </c>
      <c r="B5" s="31">
        <v>0.2</v>
      </c>
      <c r="C5" s="71">
        <v>41959</v>
      </c>
      <c r="D5">
        <v>23.9</v>
      </c>
      <c r="E5">
        <v>5.71</v>
      </c>
      <c r="F5" t="s">
        <v>609</v>
      </c>
      <c r="G5" t="s">
        <v>299</v>
      </c>
      <c r="H5" s="71">
        <v>41953</v>
      </c>
      <c r="I5" t="s">
        <v>748</v>
      </c>
      <c r="J5" t="s">
        <v>13</v>
      </c>
    </row>
    <row r="6" spans="1:10" x14ac:dyDescent="0.2">
      <c r="A6" t="s">
        <v>285</v>
      </c>
      <c r="B6" s="31">
        <v>0.4</v>
      </c>
      <c r="C6" s="71">
        <v>41959</v>
      </c>
      <c r="D6">
        <v>23.9</v>
      </c>
      <c r="E6">
        <v>10.029999999999999</v>
      </c>
      <c r="F6" t="s">
        <v>609</v>
      </c>
      <c r="G6" t="s">
        <v>299</v>
      </c>
      <c r="H6" s="71">
        <v>41953</v>
      </c>
      <c r="I6" t="s">
        <v>748</v>
      </c>
      <c r="J6" t="s">
        <v>13</v>
      </c>
    </row>
    <row r="7" spans="1:10" x14ac:dyDescent="0.2">
      <c r="A7" t="s">
        <v>286</v>
      </c>
      <c r="B7" s="31">
        <v>0.35599999999999998</v>
      </c>
      <c r="C7" s="71">
        <v>41959</v>
      </c>
      <c r="D7">
        <v>23.9</v>
      </c>
      <c r="E7">
        <v>8.5399999999999991</v>
      </c>
      <c r="F7" t="s">
        <v>609</v>
      </c>
      <c r="G7" t="s">
        <v>299</v>
      </c>
      <c r="H7" s="71">
        <v>41953</v>
      </c>
      <c r="I7" t="s">
        <v>748</v>
      </c>
      <c r="J7" t="s">
        <v>13</v>
      </c>
    </row>
    <row r="8" spans="1:10" x14ac:dyDescent="0.2">
      <c r="A8" t="s">
        <v>294</v>
      </c>
      <c r="B8" s="31">
        <v>0.49399999999999999</v>
      </c>
      <c r="C8" s="71">
        <v>41959</v>
      </c>
      <c r="D8">
        <v>12.05</v>
      </c>
      <c r="E8">
        <v>12.05</v>
      </c>
      <c r="F8" t="s">
        <v>653</v>
      </c>
      <c r="G8" t="s">
        <v>299</v>
      </c>
      <c r="H8" s="71">
        <v>41953</v>
      </c>
      <c r="I8" t="s">
        <v>748</v>
      </c>
      <c r="J8" t="s">
        <v>13</v>
      </c>
    </row>
    <row r="9" spans="1:10" x14ac:dyDescent="0.2">
      <c r="A9" t="s">
        <v>317</v>
      </c>
      <c r="B9" s="31">
        <v>1</v>
      </c>
      <c r="C9" s="71">
        <v>41959</v>
      </c>
      <c r="D9">
        <v>6.99</v>
      </c>
      <c r="E9">
        <v>6.99</v>
      </c>
      <c r="F9" t="s">
        <v>468</v>
      </c>
      <c r="G9" t="s">
        <v>298</v>
      </c>
      <c r="H9" s="71">
        <v>41953</v>
      </c>
      <c r="I9" t="s">
        <v>748</v>
      </c>
      <c r="J9" t="s">
        <v>13</v>
      </c>
    </row>
    <row r="10" spans="1:10" x14ac:dyDescent="0.2">
      <c r="A10" t="s">
        <v>215</v>
      </c>
      <c r="B10" s="31">
        <v>4</v>
      </c>
      <c r="C10" s="71">
        <v>41959</v>
      </c>
      <c r="D10">
        <v>2.99</v>
      </c>
      <c r="E10">
        <v>11.96</v>
      </c>
      <c r="F10" t="s">
        <v>215</v>
      </c>
      <c r="G10" t="s">
        <v>298</v>
      </c>
      <c r="H10" s="71">
        <v>41953</v>
      </c>
      <c r="I10" t="s">
        <v>748</v>
      </c>
      <c r="J10" t="s">
        <v>13</v>
      </c>
    </row>
    <row r="11" spans="1:10" x14ac:dyDescent="0.2">
      <c r="A11" t="s">
        <v>295</v>
      </c>
      <c r="B11" s="31">
        <v>0.2</v>
      </c>
      <c r="C11" s="71">
        <v>41959</v>
      </c>
      <c r="D11">
        <v>4.1399999999999997</v>
      </c>
      <c r="E11">
        <v>4.1399999999999997</v>
      </c>
      <c r="F11" t="s">
        <v>653</v>
      </c>
      <c r="G11" t="s">
        <v>299</v>
      </c>
      <c r="H11" s="71">
        <v>41953</v>
      </c>
      <c r="I11" t="s">
        <v>748</v>
      </c>
      <c r="J11" t="s">
        <v>13</v>
      </c>
    </row>
    <row r="12" spans="1:10" x14ac:dyDescent="0.2">
      <c r="A12" t="s">
        <v>296</v>
      </c>
      <c r="B12" s="31">
        <v>0.2</v>
      </c>
      <c r="C12" s="71">
        <v>41959</v>
      </c>
      <c r="D12">
        <v>6</v>
      </c>
      <c r="E12">
        <v>6</v>
      </c>
      <c r="F12" t="s">
        <v>653</v>
      </c>
      <c r="G12" t="s">
        <v>299</v>
      </c>
      <c r="H12" s="71">
        <v>41953</v>
      </c>
      <c r="I12" t="s">
        <v>748</v>
      </c>
      <c r="J12" t="s">
        <v>13</v>
      </c>
    </row>
    <row r="13" spans="1:10" x14ac:dyDescent="0.2">
      <c r="A13" t="s">
        <v>317</v>
      </c>
      <c r="B13" s="31">
        <v>1</v>
      </c>
      <c r="C13" s="71">
        <v>41959</v>
      </c>
      <c r="D13">
        <v>7.9</v>
      </c>
      <c r="E13">
        <v>7.9</v>
      </c>
      <c r="F13" t="s">
        <v>468</v>
      </c>
      <c r="G13" t="s">
        <v>298</v>
      </c>
      <c r="H13" s="71">
        <v>41953</v>
      </c>
      <c r="I13" t="s">
        <v>748</v>
      </c>
      <c r="J13" t="s">
        <v>13</v>
      </c>
    </row>
    <row r="14" spans="1:10" x14ac:dyDescent="0.2">
      <c r="A14" t="s">
        <v>216</v>
      </c>
      <c r="B14" s="31">
        <v>1</v>
      </c>
      <c r="C14" s="71">
        <v>41959</v>
      </c>
      <c r="D14">
        <v>2.57</v>
      </c>
      <c r="E14">
        <v>2.57</v>
      </c>
      <c r="F14" t="s">
        <v>208</v>
      </c>
      <c r="G14" t="s">
        <v>298</v>
      </c>
      <c r="H14" s="71">
        <v>41953</v>
      </c>
      <c r="I14" t="s">
        <v>748</v>
      </c>
      <c r="J14" t="s">
        <v>13</v>
      </c>
    </row>
    <row r="15" spans="1:10" x14ac:dyDescent="0.2">
      <c r="A15" t="s">
        <v>217</v>
      </c>
      <c r="B15" s="31">
        <v>1</v>
      </c>
      <c r="C15" s="71">
        <v>41959</v>
      </c>
      <c r="D15">
        <v>1.98</v>
      </c>
      <c r="E15">
        <v>1.98</v>
      </c>
      <c r="F15" t="s">
        <v>208</v>
      </c>
      <c r="G15" t="s">
        <v>298</v>
      </c>
      <c r="H15" s="71">
        <v>41953</v>
      </c>
      <c r="I15" t="s">
        <v>748</v>
      </c>
      <c r="J15" t="s">
        <v>13</v>
      </c>
    </row>
    <row r="16" spans="1:10" x14ac:dyDescent="0.2">
      <c r="A16" t="s">
        <v>218</v>
      </c>
      <c r="B16" s="31">
        <v>1</v>
      </c>
      <c r="C16" s="71">
        <v>41959</v>
      </c>
      <c r="D16">
        <v>4</v>
      </c>
      <c r="E16">
        <v>4</v>
      </c>
      <c r="F16" t="s">
        <v>280</v>
      </c>
      <c r="G16" t="s">
        <v>298</v>
      </c>
      <c r="H16" s="71">
        <v>41953</v>
      </c>
      <c r="I16" t="s">
        <v>748</v>
      </c>
      <c r="J16" t="s">
        <v>13</v>
      </c>
    </row>
    <row r="17" spans="1:10" x14ac:dyDescent="0.2">
      <c r="A17" t="s">
        <v>219</v>
      </c>
      <c r="B17" s="31">
        <v>2</v>
      </c>
      <c r="C17" s="71">
        <v>41959</v>
      </c>
      <c r="D17">
        <v>12.48</v>
      </c>
      <c r="E17">
        <v>24.96</v>
      </c>
      <c r="F17" t="s">
        <v>681</v>
      </c>
      <c r="G17" t="s">
        <v>298</v>
      </c>
      <c r="H17" s="71">
        <v>41953</v>
      </c>
      <c r="I17" t="s">
        <v>748</v>
      </c>
      <c r="J17" t="s">
        <v>13</v>
      </c>
    </row>
    <row r="18" spans="1:10" x14ac:dyDescent="0.2">
      <c r="A18" t="s">
        <v>220</v>
      </c>
      <c r="B18" s="31">
        <v>1</v>
      </c>
      <c r="C18" s="71">
        <v>41959</v>
      </c>
      <c r="D18">
        <v>15.99</v>
      </c>
      <c r="E18">
        <v>15.99</v>
      </c>
      <c r="F18" t="s">
        <v>222</v>
      </c>
      <c r="G18" t="s">
        <v>298</v>
      </c>
      <c r="H18" s="71">
        <v>41953</v>
      </c>
      <c r="I18" t="s">
        <v>748</v>
      </c>
      <c r="J18" t="s">
        <v>13</v>
      </c>
    </row>
    <row r="19" spans="1:10" x14ac:dyDescent="0.2">
      <c r="A19" t="s">
        <v>224</v>
      </c>
      <c r="B19" s="31">
        <v>1</v>
      </c>
      <c r="C19" s="71">
        <v>41951</v>
      </c>
      <c r="D19">
        <v>4.78</v>
      </c>
      <c r="E19">
        <v>4.78</v>
      </c>
      <c r="F19" t="s">
        <v>208</v>
      </c>
      <c r="G19" t="s">
        <v>298</v>
      </c>
      <c r="H19" s="71">
        <v>41922</v>
      </c>
      <c r="I19" t="s">
        <v>748</v>
      </c>
      <c r="J19" t="s">
        <v>13</v>
      </c>
    </row>
    <row r="20" spans="1:10" x14ac:dyDescent="0.2">
      <c r="A20" t="s">
        <v>257</v>
      </c>
      <c r="B20" s="31">
        <v>1</v>
      </c>
      <c r="C20" s="71">
        <v>41951</v>
      </c>
      <c r="D20">
        <v>35.9</v>
      </c>
      <c r="E20">
        <v>35.9</v>
      </c>
      <c r="F20" t="s">
        <v>619</v>
      </c>
      <c r="G20" t="s">
        <v>298</v>
      </c>
      <c r="H20" s="71">
        <v>41922</v>
      </c>
      <c r="I20" t="s">
        <v>748</v>
      </c>
      <c r="J20" t="s">
        <v>13</v>
      </c>
    </row>
    <row r="21" spans="1:10" x14ac:dyDescent="0.2">
      <c r="A21" t="s">
        <v>225</v>
      </c>
      <c r="B21" s="31">
        <v>1</v>
      </c>
      <c r="C21" s="71">
        <v>41951</v>
      </c>
      <c r="D21">
        <v>12.25</v>
      </c>
      <c r="E21">
        <v>12.25</v>
      </c>
      <c r="F21" t="s">
        <v>267</v>
      </c>
      <c r="G21" t="s">
        <v>298</v>
      </c>
      <c r="H21" s="71">
        <v>41922</v>
      </c>
      <c r="I21" t="s">
        <v>748</v>
      </c>
      <c r="J21" t="s">
        <v>13</v>
      </c>
    </row>
    <row r="22" spans="1:10" x14ac:dyDescent="0.2">
      <c r="A22" t="s">
        <v>610</v>
      </c>
      <c r="B22" s="31">
        <v>5</v>
      </c>
      <c r="C22" s="71">
        <v>41951</v>
      </c>
      <c r="D22">
        <v>1.99</v>
      </c>
      <c r="E22">
        <v>9.9499999999999993</v>
      </c>
      <c r="F22" t="s">
        <v>465</v>
      </c>
      <c r="G22" t="s">
        <v>298</v>
      </c>
      <c r="H22" s="71">
        <v>41922</v>
      </c>
      <c r="I22" t="s">
        <v>748</v>
      </c>
      <c r="J22" t="s">
        <v>13</v>
      </c>
    </row>
    <row r="23" spans="1:10" x14ac:dyDescent="0.2">
      <c r="A23" t="s">
        <v>611</v>
      </c>
      <c r="B23" s="31">
        <v>1</v>
      </c>
      <c r="C23" s="71">
        <v>41951</v>
      </c>
      <c r="D23">
        <v>3.38</v>
      </c>
      <c r="E23">
        <v>3.38</v>
      </c>
      <c r="F23" t="s">
        <v>465</v>
      </c>
      <c r="G23" t="s">
        <v>298</v>
      </c>
      <c r="H23" s="71">
        <v>41922</v>
      </c>
      <c r="I23" t="s">
        <v>748</v>
      </c>
      <c r="J23" t="s">
        <v>13</v>
      </c>
    </row>
    <row r="24" spans="1:10" x14ac:dyDescent="0.2">
      <c r="A24" t="s">
        <v>613</v>
      </c>
      <c r="B24" s="31">
        <v>1</v>
      </c>
      <c r="C24" s="71">
        <v>41951</v>
      </c>
      <c r="D24">
        <v>2.79</v>
      </c>
      <c r="E24">
        <v>2.79</v>
      </c>
      <c r="F24" t="s">
        <v>465</v>
      </c>
      <c r="G24" t="s">
        <v>298</v>
      </c>
      <c r="H24" s="71">
        <v>41922</v>
      </c>
      <c r="I24" t="s">
        <v>748</v>
      </c>
      <c r="J24" t="s">
        <v>13</v>
      </c>
    </row>
    <row r="25" spans="1:10" x14ac:dyDescent="0.2">
      <c r="A25" t="s">
        <v>353</v>
      </c>
      <c r="B25" s="31">
        <v>1</v>
      </c>
      <c r="C25" s="71">
        <v>41951</v>
      </c>
      <c r="D25">
        <v>2.99</v>
      </c>
      <c r="E25">
        <v>2.99</v>
      </c>
      <c r="F25" t="s">
        <v>620</v>
      </c>
      <c r="G25" t="s">
        <v>298</v>
      </c>
      <c r="H25" s="71">
        <v>41922</v>
      </c>
      <c r="I25" t="s">
        <v>748</v>
      </c>
      <c r="J25" t="s">
        <v>13</v>
      </c>
    </row>
    <row r="26" spans="1:10" x14ac:dyDescent="0.2">
      <c r="A26" t="s">
        <v>251</v>
      </c>
      <c r="B26" s="31">
        <v>1</v>
      </c>
      <c r="C26" s="71">
        <v>41951</v>
      </c>
      <c r="D26">
        <v>2.29</v>
      </c>
      <c r="E26">
        <v>2.29</v>
      </c>
      <c r="F26" t="s">
        <v>287</v>
      </c>
      <c r="G26" t="s">
        <v>298</v>
      </c>
      <c r="H26" s="71">
        <v>41922</v>
      </c>
      <c r="I26" t="s">
        <v>748</v>
      </c>
      <c r="J26" t="s">
        <v>13</v>
      </c>
    </row>
    <row r="27" spans="1:10" x14ac:dyDescent="0.2">
      <c r="A27" t="s">
        <v>602</v>
      </c>
      <c r="B27" s="31">
        <v>1</v>
      </c>
      <c r="C27" s="71">
        <v>41951</v>
      </c>
      <c r="D27">
        <v>2.4900000000000002</v>
      </c>
      <c r="E27">
        <v>2.4900000000000002</v>
      </c>
      <c r="F27" t="s">
        <v>226</v>
      </c>
      <c r="G27" t="s">
        <v>298</v>
      </c>
      <c r="H27" s="71">
        <v>41922</v>
      </c>
      <c r="I27" t="s">
        <v>748</v>
      </c>
      <c r="J27" t="s">
        <v>13</v>
      </c>
    </row>
    <row r="28" spans="1:10" x14ac:dyDescent="0.2">
      <c r="A28" t="s">
        <v>227</v>
      </c>
      <c r="B28" s="31">
        <v>0.17499999999999999</v>
      </c>
      <c r="C28" s="71">
        <v>41951</v>
      </c>
      <c r="D28">
        <v>7.45</v>
      </c>
      <c r="E28">
        <f>B28*D28</f>
        <v>1.30375</v>
      </c>
      <c r="F28" t="s">
        <v>620</v>
      </c>
      <c r="G28" t="s">
        <v>299</v>
      </c>
      <c r="H28" s="71">
        <v>41922</v>
      </c>
      <c r="I28" t="s">
        <v>748</v>
      </c>
      <c r="J28" t="s">
        <v>13</v>
      </c>
    </row>
    <row r="29" spans="1:10" x14ac:dyDescent="0.2">
      <c r="A29" t="s">
        <v>228</v>
      </c>
      <c r="B29" s="31">
        <v>1</v>
      </c>
      <c r="C29" s="71">
        <v>41951</v>
      </c>
      <c r="D29">
        <v>6.73</v>
      </c>
      <c r="E29">
        <v>6.73</v>
      </c>
      <c r="F29" t="s">
        <v>267</v>
      </c>
      <c r="G29" t="s">
        <v>298</v>
      </c>
      <c r="H29" s="71">
        <v>41922</v>
      </c>
      <c r="I29" t="s">
        <v>748</v>
      </c>
      <c r="J29" t="s">
        <v>13</v>
      </c>
    </row>
    <row r="30" spans="1:10" x14ac:dyDescent="0.2">
      <c r="A30" t="s">
        <v>229</v>
      </c>
      <c r="B30" s="31">
        <v>1</v>
      </c>
      <c r="C30" s="71">
        <v>41951</v>
      </c>
      <c r="D30">
        <v>3.98</v>
      </c>
      <c r="E30">
        <v>3.98</v>
      </c>
      <c r="F30" t="s">
        <v>681</v>
      </c>
      <c r="G30" t="s">
        <v>298</v>
      </c>
      <c r="H30" s="71">
        <v>41922</v>
      </c>
      <c r="I30" t="s">
        <v>748</v>
      </c>
      <c r="J30" t="s">
        <v>13</v>
      </c>
    </row>
    <row r="31" spans="1:10" x14ac:dyDescent="0.2">
      <c r="A31" t="s">
        <v>300</v>
      </c>
      <c r="B31" s="31">
        <v>0.38500000000000001</v>
      </c>
      <c r="C31" s="71">
        <v>41951</v>
      </c>
      <c r="D31">
        <v>6.15</v>
      </c>
      <c r="E31">
        <v>2.36</v>
      </c>
      <c r="F31" t="s">
        <v>280</v>
      </c>
      <c r="G31" t="s">
        <v>299</v>
      </c>
      <c r="H31" s="71">
        <v>41922</v>
      </c>
      <c r="I31" t="s">
        <v>748</v>
      </c>
      <c r="J31" t="s">
        <v>13</v>
      </c>
    </row>
    <row r="32" spans="1:10" x14ac:dyDescent="0.2">
      <c r="A32" t="s">
        <v>301</v>
      </c>
      <c r="B32" s="31">
        <v>0.23</v>
      </c>
      <c r="C32" s="71">
        <v>41951</v>
      </c>
      <c r="D32">
        <v>6.15</v>
      </c>
      <c r="E32">
        <v>3.23</v>
      </c>
      <c r="F32" t="s">
        <v>280</v>
      </c>
      <c r="G32" t="s">
        <v>299</v>
      </c>
      <c r="H32" s="71">
        <v>41922</v>
      </c>
      <c r="I32" t="s">
        <v>748</v>
      </c>
      <c r="J32" t="s">
        <v>13</v>
      </c>
    </row>
    <row r="33" spans="1:10" x14ac:dyDescent="0.2">
      <c r="A33" t="s">
        <v>302</v>
      </c>
      <c r="B33" s="31">
        <v>0.6</v>
      </c>
      <c r="C33" s="71">
        <v>41951</v>
      </c>
      <c r="D33">
        <v>5.39</v>
      </c>
      <c r="E33">
        <v>2.8</v>
      </c>
      <c r="F33" t="s">
        <v>279</v>
      </c>
      <c r="G33" t="s">
        <v>299</v>
      </c>
      <c r="H33" s="71">
        <v>41922</v>
      </c>
      <c r="I33" t="s">
        <v>748</v>
      </c>
      <c r="J33" t="s">
        <v>13</v>
      </c>
    </row>
    <row r="34" spans="1:10" x14ac:dyDescent="0.2">
      <c r="A34" t="s">
        <v>303</v>
      </c>
      <c r="B34" s="31">
        <v>1.88</v>
      </c>
      <c r="C34" s="71">
        <v>41951</v>
      </c>
      <c r="D34">
        <v>1.46</v>
      </c>
      <c r="E34">
        <v>2.8</v>
      </c>
      <c r="F34" t="s">
        <v>279</v>
      </c>
      <c r="G34" t="s">
        <v>299</v>
      </c>
      <c r="H34" s="71">
        <v>41922</v>
      </c>
      <c r="I34" t="s">
        <v>748</v>
      </c>
      <c r="J34" t="s">
        <v>13</v>
      </c>
    </row>
    <row r="35" spans="1:10" x14ac:dyDescent="0.2">
      <c r="A35" t="s">
        <v>230</v>
      </c>
      <c r="B35" s="31">
        <v>1.46</v>
      </c>
      <c r="C35" s="71">
        <v>41951</v>
      </c>
      <c r="D35">
        <v>2.99</v>
      </c>
      <c r="E35">
        <v>4.3600000000000003</v>
      </c>
      <c r="F35" t="s">
        <v>280</v>
      </c>
      <c r="G35" t="s">
        <v>299</v>
      </c>
      <c r="H35" s="71">
        <v>41922</v>
      </c>
      <c r="I35" t="s">
        <v>748</v>
      </c>
      <c r="J35" t="s">
        <v>13</v>
      </c>
    </row>
    <row r="36" spans="1:10" x14ac:dyDescent="0.2">
      <c r="A36" t="s">
        <v>304</v>
      </c>
      <c r="B36" s="31">
        <v>1.165</v>
      </c>
      <c r="C36" s="71">
        <v>41951</v>
      </c>
      <c r="D36">
        <v>2.57</v>
      </c>
      <c r="E36">
        <v>7.95</v>
      </c>
      <c r="F36" t="s">
        <v>280</v>
      </c>
      <c r="G36" t="s">
        <v>299</v>
      </c>
      <c r="H36" s="71">
        <v>41922</v>
      </c>
      <c r="I36" t="s">
        <v>748</v>
      </c>
      <c r="J36" t="s">
        <v>13</v>
      </c>
    </row>
    <row r="37" spans="1:10" x14ac:dyDescent="0.2">
      <c r="A37" t="s">
        <v>305</v>
      </c>
      <c r="B37" s="31">
        <v>1.599</v>
      </c>
      <c r="C37" s="71">
        <v>41951</v>
      </c>
      <c r="D37">
        <v>4.99</v>
      </c>
      <c r="E37">
        <v>1.41</v>
      </c>
      <c r="F37" t="s">
        <v>279</v>
      </c>
      <c r="G37" t="s">
        <v>299</v>
      </c>
      <c r="H37" s="71">
        <v>41922</v>
      </c>
      <c r="I37" t="s">
        <v>748</v>
      </c>
      <c r="J37" t="s">
        <v>13</v>
      </c>
    </row>
    <row r="38" spans="1:10" x14ac:dyDescent="0.2">
      <c r="A38" t="s">
        <v>306</v>
      </c>
      <c r="B38" s="31">
        <v>0.46500000000000002</v>
      </c>
      <c r="C38" s="71">
        <v>41951</v>
      </c>
      <c r="D38">
        <v>7.69</v>
      </c>
      <c r="E38">
        <v>3.57</v>
      </c>
      <c r="F38" t="s">
        <v>279</v>
      </c>
      <c r="G38" t="s">
        <v>299</v>
      </c>
      <c r="H38" s="71">
        <v>41922</v>
      </c>
      <c r="I38" t="s">
        <v>748</v>
      </c>
      <c r="J38" t="s">
        <v>13</v>
      </c>
    </row>
    <row r="39" spans="1:10" x14ac:dyDescent="0.2">
      <c r="A39" t="s">
        <v>307</v>
      </c>
      <c r="B39" s="31">
        <v>0.53500000000000003</v>
      </c>
      <c r="C39" s="71">
        <v>41951</v>
      </c>
      <c r="D39">
        <v>1.06</v>
      </c>
      <c r="E39">
        <v>1.06</v>
      </c>
      <c r="F39" t="s">
        <v>280</v>
      </c>
      <c r="G39" t="s">
        <v>299</v>
      </c>
      <c r="H39" s="71">
        <v>41922</v>
      </c>
      <c r="I39" t="s">
        <v>748</v>
      </c>
      <c r="J39" t="s">
        <v>13</v>
      </c>
    </row>
    <row r="40" spans="1:10" x14ac:dyDescent="0.2">
      <c r="A40" t="s">
        <v>308</v>
      </c>
      <c r="B40" s="31">
        <v>1.0049999999999999</v>
      </c>
      <c r="C40" s="71">
        <v>41951</v>
      </c>
      <c r="D40">
        <v>3.99</v>
      </c>
      <c r="E40">
        <v>4</v>
      </c>
      <c r="F40" t="s">
        <v>279</v>
      </c>
      <c r="G40" t="s">
        <v>299</v>
      </c>
      <c r="H40" s="71">
        <v>41922</v>
      </c>
      <c r="I40" t="s">
        <v>748</v>
      </c>
      <c r="J40" t="s">
        <v>13</v>
      </c>
    </row>
    <row r="41" spans="1:10" x14ac:dyDescent="0.2">
      <c r="A41" t="s">
        <v>231</v>
      </c>
      <c r="B41" s="31">
        <v>1</v>
      </c>
      <c r="C41" s="71">
        <v>41951</v>
      </c>
      <c r="D41">
        <v>6.85</v>
      </c>
      <c r="E41">
        <v>6.85</v>
      </c>
      <c r="F41" t="s">
        <v>279</v>
      </c>
      <c r="G41" t="s">
        <v>298</v>
      </c>
      <c r="H41" s="71">
        <v>41922</v>
      </c>
      <c r="I41" t="s">
        <v>748</v>
      </c>
      <c r="J41" t="s">
        <v>13</v>
      </c>
    </row>
    <row r="42" spans="1:10" x14ac:dyDescent="0.2">
      <c r="A42" t="s">
        <v>232</v>
      </c>
      <c r="B42" s="31">
        <v>1</v>
      </c>
      <c r="C42" s="71">
        <v>41951</v>
      </c>
      <c r="D42">
        <v>1.49</v>
      </c>
      <c r="E42">
        <v>1.49</v>
      </c>
      <c r="F42" t="s">
        <v>279</v>
      </c>
      <c r="G42" t="s">
        <v>298</v>
      </c>
      <c r="H42" s="71">
        <v>41922</v>
      </c>
      <c r="I42" t="s">
        <v>748</v>
      </c>
      <c r="J42" t="s">
        <v>13</v>
      </c>
    </row>
    <row r="43" spans="1:10" x14ac:dyDescent="0.2">
      <c r="A43" t="s">
        <v>233</v>
      </c>
      <c r="B43" s="31">
        <v>1</v>
      </c>
      <c r="C43" s="71">
        <v>41951</v>
      </c>
      <c r="D43">
        <v>3.99</v>
      </c>
      <c r="E43">
        <v>3.99</v>
      </c>
      <c r="F43" t="s">
        <v>279</v>
      </c>
      <c r="G43" t="s">
        <v>298</v>
      </c>
      <c r="H43" s="71">
        <v>41922</v>
      </c>
      <c r="I43" t="s">
        <v>748</v>
      </c>
      <c r="J43" t="s">
        <v>13</v>
      </c>
    </row>
    <row r="44" spans="1:10" x14ac:dyDescent="0.2">
      <c r="A44" t="s">
        <v>215</v>
      </c>
      <c r="B44" s="31">
        <v>6</v>
      </c>
      <c r="C44" s="71">
        <v>41951</v>
      </c>
      <c r="D44">
        <v>2.99</v>
      </c>
      <c r="E44">
        <v>17.940000000000001</v>
      </c>
      <c r="F44" t="s">
        <v>215</v>
      </c>
      <c r="G44" t="s">
        <v>298</v>
      </c>
      <c r="H44" s="71">
        <v>41922</v>
      </c>
      <c r="I44" t="s">
        <v>748</v>
      </c>
      <c r="J44" t="s">
        <v>13</v>
      </c>
    </row>
    <row r="45" spans="1:10" x14ac:dyDescent="0.2">
      <c r="A45" t="s">
        <v>234</v>
      </c>
      <c r="B45" s="31">
        <v>1</v>
      </c>
      <c r="C45" s="71">
        <v>41951</v>
      </c>
      <c r="D45">
        <v>3.89</v>
      </c>
      <c r="E45">
        <v>3.89</v>
      </c>
      <c r="F45" t="s">
        <v>222</v>
      </c>
      <c r="G45" t="s">
        <v>298</v>
      </c>
      <c r="H45" s="71">
        <v>41922</v>
      </c>
      <c r="I45" t="s">
        <v>748</v>
      </c>
      <c r="J45" t="s">
        <v>13</v>
      </c>
    </row>
    <row r="46" spans="1:10" x14ac:dyDescent="0.2">
      <c r="A46" t="s">
        <v>295</v>
      </c>
      <c r="B46" s="31">
        <v>0.22</v>
      </c>
      <c r="C46" s="71">
        <v>41951</v>
      </c>
      <c r="D46">
        <v>4.55</v>
      </c>
      <c r="E46">
        <v>4.55</v>
      </c>
      <c r="F46" t="s">
        <v>653</v>
      </c>
      <c r="G46" t="s">
        <v>299</v>
      </c>
      <c r="H46" s="71">
        <v>41922</v>
      </c>
      <c r="I46" t="s">
        <v>748</v>
      </c>
      <c r="J46" t="s">
        <v>13</v>
      </c>
    </row>
    <row r="47" spans="1:10" x14ac:dyDescent="0.2">
      <c r="A47" t="s">
        <v>296</v>
      </c>
      <c r="B47" s="31">
        <v>0.22</v>
      </c>
      <c r="C47" s="71">
        <v>41951</v>
      </c>
      <c r="D47">
        <v>7.5</v>
      </c>
      <c r="E47">
        <v>7.5</v>
      </c>
      <c r="F47" t="s">
        <v>653</v>
      </c>
      <c r="G47" t="s">
        <v>299</v>
      </c>
      <c r="H47" s="71">
        <v>41922</v>
      </c>
      <c r="I47" t="s">
        <v>748</v>
      </c>
      <c r="J47" t="s">
        <v>13</v>
      </c>
    </row>
    <row r="48" spans="1:10" x14ac:dyDescent="0.2">
      <c r="A48" t="s">
        <v>235</v>
      </c>
      <c r="B48" s="31">
        <v>1</v>
      </c>
      <c r="C48" s="71">
        <v>41951</v>
      </c>
      <c r="D48">
        <v>5.17</v>
      </c>
      <c r="E48">
        <v>5.17</v>
      </c>
      <c r="F48" t="s">
        <v>653</v>
      </c>
      <c r="G48" t="s">
        <v>298</v>
      </c>
      <c r="H48" s="71">
        <v>41922</v>
      </c>
      <c r="I48" t="s">
        <v>748</v>
      </c>
      <c r="J48" t="s">
        <v>13</v>
      </c>
    </row>
    <row r="49" spans="1:10" x14ac:dyDescent="0.2">
      <c r="A49" t="s">
        <v>236</v>
      </c>
      <c r="B49" s="31">
        <v>1</v>
      </c>
      <c r="C49" s="71">
        <v>41951</v>
      </c>
      <c r="D49">
        <v>8.99</v>
      </c>
      <c r="E49">
        <v>8.99</v>
      </c>
      <c r="F49" t="s">
        <v>653</v>
      </c>
      <c r="G49" t="s">
        <v>298</v>
      </c>
      <c r="H49" s="71">
        <v>41922</v>
      </c>
      <c r="I49" t="s">
        <v>748</v>
      </c>
      <c r="J49" t="s">
        <v>13</v>
      </c>
    </row>
    <row r="50" spans="1:10" x14ac:dyDescent="0.2">
      <c r="A50" t="s">
        <v>294</v>
      </c>
      <c r="B50" s="31">
        <v>0.38200000000000001</v>
      </c>
      <c r="C50" s="71">
        <v>41951</v>
      </c>
      <c r="D50">
        <v>9.32</v>
      </c>
      <c r="E50">
        <v>9.32</v>
      </c>
      <c r="F50" t="s">
        <v>653</v>
      </c>
      <c r="G50" t="s">
        <v>299</v>
      </c>
      <c r="H50" s="71">
        <v>41922</v>
      </c>
      <c r="I50" t="s">
        <v>748</v>
      </c>
      <c r="J50" t="s">
        <v>13</v>
      </c>
    </row>
    <row r="51" spans="1:10" x14ac:dyDescent="0.2">
      <c r="A51" t="s">
        <v>357</v>
      </c>
      <c r="B51" s="31">
        <v>8</v>
      </c>
      <c r="C51" s="71">
        <v>41951</v>
      </c>
      <c r="D51">
        <v>1.0900000000000001</v>
      </c>
      <c r="E51">
        <v>8.7200000000000006</v>
      </c>
      <c r="F51" t="s">
        <v>468</v>
      </c>
      <c r="G51" t="s">
        <v>298</v>
      </c>
      <c r="H51" s="71">
        <v>41922</v>
      </c>
      <c r="I51" t="s">
        <v>748</v>
      </c>
      <c r="J51" t="s">
        <v>13</v>
      </c>
    </row>
    <row r="52" spans="1:10" x14ac:dyDescent="0.2">
      <c r="A52" t="s">
        <v>237</v>
      </c>
      <c r="B52" s="31">
        <v>1</v>
      </c>
      <c r="C52" s="71">
        <v>41951</v>
      </c>
      <c r="D52">
        <v>3.75</v>
      </c>
      <c r="E52">
        <v>3.75</v>
      </c>
      <c r="F52" t="s">
        <v>653</v>
      </c>
      <c r="G52" t="s">
        <v>298</v>
      </c>
      <c r="H52" s="71">
        <v>41922</v>
      </c>
      <c r="I52" t="s">
        <v>748</v>
      </c>
      <c r="J52" t="s">
        <v>13</v>
      </c>
    </row>
    <row r="53" spans="1:10" x14ac:dyDescent="0.2">
      <c r="A53" t="s">
        <v>317</v>
      </c>
      <c r="B53" s="31">
        <v>1</v>
      </c>
      <c r="C53" s="71">
        <v>41951</v>
      </c>
      <c r="D53">
        <v>7.15</v>
      </c>
      <c r="E53">
        <v>7.15</v>
      </c>
      <c r="F53" t="s">
        <v>468</v>
      </c>
      <c r="G53" t="s">
        <v>298</v>
      </c>
      <c r="H53" s="71">
        <v>41922</v>
      </c>
      <c r="I53" t="s">
        <v>748</v>
      </c>
      <c r="J53" t="s">
        <v>13</v>
      </c>
    </row>
    <row r="54" spans="1:10" x14ac:dyDescent="0.2">
      <c r="A54" t="s">
        <v>309</v>
      </c>
      <c r="B54" s="31">
        <v>0.504</v>
      </c>
      <c r="C54" s="71">
        <v>41951</v>
      </c>
      <c r="D54">
        <v>15.9</v>
      </c>
      <c r="E54">
        <v>8.06</v>
      </c>
      <c r="F54" t="s">
        <v>609</v>
      </c>
      <c r="G54" t="s">
        <v>299</v>
      </c>
      <c r="H54" s="71">
        <v>41922</v>
      </c>
      <c r="I54" t="s">
        <v>748</v>
      </c>
      <c r="J54" t="s">
        <v>13</v>
      </c>
    </row>
    <row r="55" spans="1:10" x14ac:dyDescent="0.2">
      <c r="A55" t="s">
        <v>291</v>
      </c>
      <c r="B55" s="31">
        <v>0.80600000000000005</v>
      </c>
      <c r="C55" s="71">
        <v>41951</v>
      </c>
      <c r="D55">
        <v>11.59</v>
      </c>
      <c r="E55">
        <v>9.34</v>
      </c>
      <c r="F55" t="s">
        <v>609</v>
      </c>
      <c r="G55" t="s">
        <v>299</v>
      </c>
      <c r="H55" s="71">
        <v>41922</v>
      </c>
      <c r="I55" t="s">
        <v>748</v>
      </c>
      <c r="J55" t="s">
        <v>13</v>
      </c>
    </row>
    <row r="56" spans="1:10" x14ac:dyDescent="0.2">
      <c r="A56" t="s">
        <v>238</v>
      </c>
      <c r="B56" s="31">
        <v>1</v>
      </c>
      <c r="C56" s="71">
        <v>41951</v>
      </c>
      <c r="D56">
        <v>9.89</v>
      </c>
      <c r="E56">
        <v>9.89</v>
      </c>
      <c r="F56" t="s">
        <v>615</v>
      </c>
      <c r="G56" t="s">
        <v>299</v>
      </c>
      <c r="H56" s="71">
        <v>41922</v>
      </c>
      <c r="I56" t="s">
        <v>748</v>
      </c>
      <c r="J56" t="s">
        <v>13</v>
      </c>
    </row>
    <row r="57" spans="1:10" x14ac:dyDescent="0.2">
      <c r="A57" t="s">
        <v>239</v>
      </c>
      <c r="B57" s="31">
        <v>1</v>
      </c>
      <c r="C57" s="71">
        <v>41951</v>
      </c>
      <c r="D57">
        <v>3.59</v>
      </c>
      <c r="E57">
        <v>3.59</v>
      </c>
      <c r="F57" t="s">
        <v>615</v>
      </c>
      <c r="G57" t="s">
        <v>299</v>
      </c>
      <c r="H57" s="71">
        <v>41922</v>
      </c>
      <c r="I57" t="s">
        <v>748</v>
      </c>
      <c r="J57" t="s">
        <v>13</v>
      </c>
    </row>
    <row r="58" spans="1:10" x14ac:dyDescent="0.2">
      <c r="A58" t="s">
        <v>98</v>
      </c>
      <c r="B58" s="31">
        <v>1</v>
      </c>
      <c r="C58" s="71">
        <v>41951</v>
      </c>
      <c r="D58">
        <v>10.54</v>
      </c>
      <c r="E58">
        <v>10.54</v>
      </c>
      <c r="F58" t="s">
        <v>281</v>
      </c>
      <c r="G58" t="s">
        <v>298</v>
      </c>
      <c r="H58" s="71">
        <v>41922</v>
      </c>
      <c r="I58" t="s">
        <v>748</v>
      </c>
      <c r="J58" t="s">
        <v>13</v>
      </c>
    </row>
    <row r="59" spans="1:10" x14ac:dyDescent="0.2">
      <c r="A59" t="s">
        <v>98</v>
      </c>
      <c r="B59" s="31">
        <v>1</v>
      </c>
      <c r="C59" s="71">
        <v>41951</v>
      </c>
      <c r="D59">
        <v>9.3000000000000007</v>
      </c>
      <c r="E59">
        <v>9.3000000000000007</v>
      </c>
      <c r="F59" t="s">
        <v>281</v>
      </c>
      <c r="G59" t="s">
        <v>298</v>
      </c>
      <c r="H59" s="71">
        <v>41922</v>
      </c>
      <c r="I59" t="s">
        <v>748</v>
      </c>
      <c r="J59" t="s">
        <v>13</v>
      </c>
    </row>
    <row r="60" spans="1:10" x14ac:dyDescent="0.2">
      <c r="A60" t="s">
        <v>183</v>
      </c>
      <c r="B60" s="31">
        <v>1</v>
      </c>
      <c r="C60" s="71">
        <v>41951</v>
      </c>
      <c r="D60">
        <v>16.72</v>
      </c>
      <c r="E60">
        <v>16.72</v>
      </c>
      <c r="F60" t="s">
        <v>221</v>
      </c>
      <c r="G60" t="s">
        <v>298</v>
      </c>
      <c r="H60" s="71">
        <v>41922</v>
      </c>
      <c r="I60" t="s">
        <v>748</v>
      </c>
      <c r="J60" t="s">
        <v>13</v>
      </c>
    </row>
    <row r="61" spans="1:10" x14ac:dyDescent="0.2">
      <c r="A61" t="s">
        <v>240</v>
      </c>
      <c r="B61" s="31">
        <v>1</v>
      </c>
      <c r="C61" s="71">
        <v>41951</v>
      </c>
      <c r="D61">
        <v>15.8</v>
      </c>
      <c r="E61">
        <v>15.8</v>
      </c>
      <c r="F61" t="s">
        <v>615</v>
      </c>
      <c r="G61" t="s">
        <v>299</v>
      </c>
      <c r="H61" s="71">
        <v>41922</v>
      </c>
      <c r="I61" t="s">
        <v>748</v>
      </c>
      <c r="J61" t="s">
        <v>13</v>
      </c>
    </row>
    <row r="62" spans="1:10" x14ac:dyDescent="0.2">
      <c r="A62" t="s">
        <v>241</v>
      </c>
      <c r="B62" s="31">
        <v>1</v>
      </c>
      <c r="C62" s="71">
        <v>41951</v>
      </c>
      <c r="D62">
        <v>4.9800000000000004</v>
      </c>
      <c r="E62">
        <v>4.9800000000000004</v>
      </c>
      <c r="F62" t="s">
        <v>282</v>
      </c>
      <c r="G62" t="s">
        <v>298</v>
      </c>
      <c r="H62" s="71">
        <v>41922</v>
      </c>
      <c r="I62" t="s">
        <v>748</v>
      </c>
      <c r="J62" t="s">
        <v>13</v>
      </c>
    </row>
    <row r="63" spans="1:10" x14ac:dyDescent="0.2">
      <c r="A63" t="s">
        <v>242</v>
      </c>
      <c r="B63" s="31">
        <v>1</v>
      </c>
      <c r="C63" s="71">
        <v>41951</v>
      </c>
      <c r="D63">
        <v>5.3</v>
      </c>
      <c r="E63">
        <v>5.3</v>
      </c>
      <c r="F63" t="s">
        <v>282</v>
      </c>
      <c r="G63" t="s">
        <v>298</v>
      </c>
      <c r="H63" s="71">
        <v>41922</v>
      </c>
      <c r="I63" t="s">
        <v>748</v>
      </c>
      <c r="J63" t="s">
        <v>13</v>
      </c>
    </row>
    <row r="64" spans="1:10" x14ac:dyDescent="0.2">
      <c r="A64" t="s">
        <v>243</v>
      </c>
      <c r="B64" s="31">
        <v>1</v>
      </c>
      <c r="C64" s="71">
        <v>41951</v>
      </c>
      <c r="D64">
        <v>14.99</v>
      </c>
      <c r="E64">
        <v>14.99</v>
      </c>
      <c r="F64" t="s">
        <v>282</v>
      </c>
      <c r="G64" t="s">
        <v>298</v>
      </c>
      <c r="H64" s="71">
        <v>41922</v>
      </c>
      <c r="I64" t="s">
        <v>748</v>
      </c>
      <c r="J64" t="s">
        <v>13</v>
      </c>
    </row>
    <row r="65" spans="1:10" x14ac:dyDescent="0.2">
      <c r="A65" t="s">
        <v>406</v>
      </c>
      <c r="B65" s="31">
        <v>1</v>
      </c>
      <c r="C65" s="71">
        <v>41951</v>
      </c>
      <c r="D65">
        <v>3.98</v>
      </c>
      <c r="E65">
        <v>3.98</v>
      </c>
      <c r="F65" t="s">
        <v>282</v>
      </c>
      <c r="G65" t="s">
        <v>298</v>
      </c>
      <c r="H65" s="71">
        <v>41922</v>
      </c>
      <c r="I65" t="s">
        <v>748</v>
      </c>
      <c r="J65" t="s">
        <v>13</v>
      </c>
    </row>
    <row r="66" spans="1:10" x14ac:dyDescent="0.2">
      <c r="A66" t="s">
        <v>244</v>
      </c>
      <c r="B66" s="31">
        <v>4</v>
      </c>
      <c r="C66" s="71">
        <v>41951</v>
      </c>
      <c r="D66">
        <v>1.19</v>
      </c>
      <c r="E66">
        <v>4.76</v>
      </c>
      <c r="F66" t="s">
        <v>282</v>
      </c>
      <c r="G66" t="s">
        <v>298</v>
      </c>
      <c r="H66" s="71">
        <v>41922</v>
      </c>
      <c r="I66" t="s">
        <v>748</v>
      </c>
      <c r="J66" t="s">
        <v>13</v>
      </c>
    </row>
    <row r="67" spans="1:10" x14ac:dyDescent="0.2">
      <c r="A67" t="s">
        <v>276</v>
      </c>
      <c r="B67" s="31">
        <v>1</v>
      </c>
      <c r="C67" s="71">
        <v>41951</v>
      </c>
      <c r="D67">
        <v>8.1999999999999993</v>
      </c>
      <c r="E67">
        <v>8.1999999999999993</v>
      </c>
      <c r="F67" t="s">
        <v>282</v>
      </c>
      <c r="G67" t="s">
        <v>298</v>
      </c>
      <c r="H67" s="71">
        <v>41922</v>
      </c>
      <c r="I67" t="s">
        <v>748</v>
      </c>
      <c r="J67" t="s">
        <v>13</v>
      </c>
    </row>
    <row r="68" spans="1:10" x14ac:dyDescent="0.2">
      <c r="A68" t="s">
        <v>245</v>
      </c>
      <c r="B68" s="31">
        <v>1</v>
      </c>
      <c r="C68" s="71">
        <v>41951</v>
      </c>
      <c r="D68">
        <v>8.98</v>
      </c>
      <c r="E68">
        <v>8.98</v>
      </c>
      <c r="F68" t="s">
        <v>282</v>
      </c>
      <c r="G68" t="s">
        <v>298</v>
      </c>
      <c r="H68" s="71">
        <v>41922</v>
      </c>
      <c r="I68" t="s">
        <v>748</v>
      </c>
      <c r="J68" t="s">
        <v>13</v>
      </c>
    </row>
    <row r="69" spans="1:10" x14ac:dyDescent="0.2">
      <c r="A69" t="s">
        <v>246</v>
      </c>
      <c r="B69" s="31">
        <v>1</v>
      </c>
      <c r="C69" s="71">
        <v>41951</v>
      </c>
      <c r="D69">
        <v>5.49</v>
      </c>
      <c r="E69">
        <v>5.49</v>
      </c>
      <c r="F69" t="s">
        <v>282</v>
      </c>
      <c r="G69" t="s">
        <v>298</v>
      </c>
      <c r="H69" s="71">
        <v>41922</v>
      </c>
      <c r="I69" t="s">
        <v>748</v>
      </c>
      <c r="J69" t="s">
        <v>13</v>
      </c>
    </row>
    <row r="70" spans="1:10" x14ac:dyDescent="0.2">
      <c r="A70" t="s">
        <v>247</v>
      </c>
      <c r="B70" s="31">
        <v>1</v>
      </c>
      <c r="C70" s="71">
        <v>41951</v>
      </c>
      <c r="D70">
        <v>1.59</v>
      </c>
      <c r="E70">
        <v>1.59</v>
      </c>
      <c r="F70" t="s">
        <v>287</v>
      </c>
      <c r="G70" t="s">
        <v>298</v>
      </c>
      <c r="H70" s="71">
        <v>41922</v>
      </c>
      <c r="I70" t="s">
        <v>748</v>
      </c>
      <c r="J70" t="s">
        <v>13</v>
      </c>
    </row>
    <row r="71" spans="1:10" x14ac:dyDescent="0.2">
      <c r="A71" t="s">
        <v>248</v>
      </c>
      <c r="B71" s="31">
        <v>1</v>
      </c>
      <c r="C71" s="71">
        <v>41951</v>
      </c>
      <c r="D71">
        <v>5.29</v>
      </c>
      <c r="E71">
        <v>5.29</v>
      </c>
      <c r="F71" t="s">
        <v>287</v>
      </c>
      <c r="G71" t="s">
        <v>298</v>
      </c>
      <c r="H71" s="71">
        <v>41922</v>
      </c>
      <c r="I71" t="s">
        <v>748</v>
      </c>
      <c r="J71" t="s">
        <v>13</v>
      </c>
    </row>
    <row r="72" spans="1:10" x14ac:dyDescent="0.2">
      <c r="A72" t="s">
        <v>250</v>
      </c>
      <c r="B72" s="31">
        <v>1</v>
      </c>
      <c r="C72" s="71">
        <v>41951</v>
      </c>
      <c r="D72">
        <v>8.49</v>
      </c>
      <c r="E72">
        <v>8.49</v>
      </c>
      <c r="F72" t="s">
        <v>222</v>
      </c>
      <c r="G72" t="s">
        <v>298</v>
      </c>
      <c r="H72" s="71">
        <v>41922</v>
      </c>
      <c r="I72" t="s">
        <v>748</v>
      </c>
      <c r="J72" t="s">
        <v>13</v>
      </c>
    </row>
    <row r="73" spans="1:10" x14ac:dyDescent="0.2">
      <c r="A73" t="s">
        <v>304</v>
      </c>
      <c r="B73" s="31">
        <v>2.74</v>
      </c>
      <c r="C73" s="71">
        <v>41895</v>
      </c>
      <c r="D73">
        <v>0.79</v>
      </c>
      <c r="E73">
        <v>2.16</v>
      </c>
      <c r="F73" t="s">
        <v>280</v>
      </c>
      <c r="G73" t="s">
        <v>299</v>
      </c>
      <c r="H73" s="71">
        <v>41892</v>
      </c>
      <c r="I73" t="s">
        <v>748</v>
      </c>
      <c r="J73" t="s">
        <v>13</v>
      </c>
    </row>
    <row r="74" spans="1:10" x14ac:dyDescent="0.2">
      <c r="A74" t="s">
        <v>310</v>
      </c>
      <c r="B74" s="31">
        <v>0.53500000000000003</v>
      </c>
      <c r="C74" s="71">
        <v>41895</v>
      </c>
      <c r="D74">
        <v>6.67</v>
      </c>
      <c r="E74">
        <v>3.56</v>
      </c>
      <c r="F74" t="s">
        <v>279</v>
      </c>
      <c r="G74" t="s">
        <v>299</v>
      </c>
      <c r="H74" s="71">
        <v>41892</v>
      </c>
      <c r="I74" t="s">
        <v>748</v>
      </c>
      <c r="J74" t="s">
        <v>13</v>
      </c>
    </row>
    <row r="75" spans="1:10" x14ac:dyDescent="0.2">
      <c r="A75" t="s">
        <v>301</v>
      </c>
      <c r="B75" s="31">
        <v>0.19500000000000001</v>
      </c>
      <c r="C75" s="71">
        <v>41895</v>
      </c>
      <c r="D75">
        <v>9.99</v>
      </c>
      <c r="E75">
        <v>1.94</v>
      </c>
      <c r="F75" t="s">
        <v>280</v>
      </c>
      <c r="G75" t="s">
        <v>299</v>
      </c>
      <c r="H75" s="71">
        <v>41892</v>
      </c>
      <c r="I75" t="s">
        <v>748</v>
      </c>
      <c r="J75" t="s">
        <v>13</v>
      </c>
    </row>
    <row r="76" spans="1:10" x14ac:dyDescent="0.2">
      <c r="A76" t="s">
        <v>307</v>
      </c>
      <c r="B76" s="31">
        <v>0.68500000000000005</v>
      </c>
      <c r="C76" s="71">
        <v>41895</v>
      </c>
      <c r="D76">
        <v>2.69</v>
      </c>
      <c r="E76">
        <v>1.84</v>
      </c>
      <c r="F76" t="s">
        <v>280</v>
      </c>
      <c r="G76" t="s">
        <v>299</v>
      </c>
      <c r="H76" s="71">
        <v>41892</v>
      </c>
      <c r="I76" t="s">
        <v>748</v>
      </c>
      <c r="J76" t="s">
        <v>13</v>
      </c>
    </row>
    <row r="77" spans="1:10" x14ac:dyDescent="0.2">
      <c r="A77" t="s">
        <v>302</v>
      </c>
      <c r="B77" s="31">
        <v>0.84499999999999997</v>
      </c>
      <c r="C77" s="71">
        <v>41895</v>
      </c>
      <c r="D77">
        <v>4.99</v>
      </c>
      <c r="E77">
        <v>4.21</v>
      </c>
      <c r="F77" t="s">
        <v>279</v>
      </c>
      <c r="G77" t="s">
        <v>299</v>
      </c>
      <c r="H77" s="71">
        <v>41892</v>
      </c>
      <c r="I77" t="s">
        <v>748</v>
      </c>
      <c r="J77" t="s">
        <v>13</v>
      </c>
    </row>
    <row r="78" spans="1:10" x14ac:dyDescent="0.2">
      <c r="A78" t="s">
        <v>311</v>
      </c>
      <c r="B78" s="31">
        <v>0.48</v>
      </c>
      <c r="C78" s="71">
        <v>41895</v>
      </c>
      <c r="D78">
        <v>2.99</v>
      </c>
      <c r="E78">
        <v>1.43</v>
      </c>
      <c r="F78" t="s">
        <v>279</v>
      </c>
      <c r="G78" t="s">
        <v>299</v>
      </c>
      <c r="H78" s="71">
        <v>41892</v>
      </c>
      <c r="I78" t="s">
        <v>748</v>
      </c>
      <c r="J78" t="s">
        <v>13</v>
      </c>
    </row>
    <row r="79" spans="1:10" x14ac:dyDescent="0.2">
      <c r="A79" t="s">
        <v>232</v>
      </c>
      <c r="B79" s="31">
        <v>2</v>
      </c>
      <c r="C79" s="71">
        <v>41895</v>
      </c>
      <c r="D79">
        <v>1.69</v>
      </c>
      <c r="E79">
        <v>3.38</v>
      </c>
      <c r="F79" t="s">
        <v>279</v>
      </c>
      <c r="G79" t="s">
        <v>298</v>
      </c>
      <c r="H79" s="71">
        <v>41892</v>
      </c>
      <c r="I79" t="s">
        <v>748</v>
      </c>
      <c r="J79" t="s">
        <v>13</v>
      </c>
    </row>
    <row r="80" spans="1:10" x14ac:dyDescent="0.2">
      <c r="A80" t="s">
        <v>300</v>
      </c>
      <c r="B80" s="31">
        <v>0.46</v>
      </c>
      <c r="C80" s="71">
        <v>41895</v>
      </c>
      <c r="D80">
        <v>4.3099999999999996</v>
      </c>
      <c r="E80">
        <v>1.98</v>
      </c>
      <c r="F80" t="s">
        <v>280</v>
      </c>
      <c r="G80" t="s">
        <v>299</v>
      </c>
      <c r="H80" s="71">
        <v>41892</v>
      </c>
      <c r="I80" t="s">
        <v>748</v>
      </c>
      <c r="J80" t="s">
        <v>13</v>
      </c>
    </row>
    <row r="81" spans="1:10" x14ac:dyDescent="0.2">
      <c r="A81" t="s">
        <v>252</v>
      </c>
      <c r="B81" s="31">
        <v>0.375</v>
      </c>
      <c r="C81" s="71">
        <v>41895</v>
      </c>
      <c r="D81">
        <v>9.23</v>
      </c>
      <c r="E81">
        <v>3.46</v>
      </c>
      <c r="F81" t="s">
        <v>280</v>
      </c>
      <c r="G81" t="s">
        <v>299</v>
      </c>
      <c r="H81" s="71">
        <v>41892</v>
      </c>
      <c r="I81" t="s">
        <v>748</v>
      </c>
      <c r="J81" t="s">
        <v>13</v>
      </c>
    </row>
    <row r="82" spans="1:10" x14ac:dyDescent="0.2">
      <c r="A82" t="s">
        <v>253</v>
      </c>
      <c r="B82" s="31">
        <v>0.95</v>
      </c>
      <c r="C82" s="71">
        <v>41895</v>
      </c>
      <c r="D82">
        <v>4.32</v>
      </c>
      <c r="E82">
        <v>4.0999999999999996</v>
      </c>
      <c r="F82" t="s">
        <v>279</v>
      </c>
      <c r="G82" t="s">
        <v>299</v>
      </c>
      <c r="H82" s="71">
        <v>41892</v>
      </c>
      <c r="I82" t="s">
        <v>748</v>
      </c>
      <c r="J82" t="s">
        <v>13</v>
      </c>
    </row>
    <row r="83" spans="1:10" x14ac:dyDescent="0.2">
      <c r="A83" t="s">
        <v>230</v>
      </c>
      <c r="B83" s="31">
        <v>0.85199999999999998</v>
      </c>
      <c r="C83" s="71">
        <v>41895</v>
      </c>
      <c r="D83">
        <v>4.7</v>
      </c>
      <c r="E83">
        <v>4</v>
      </c>
      <c r="F83" t="s">
        <v>280</v>
      </c>
      <c r="G83" t="s">
        <v>299</v>
      </c>
      <c r="H83" s="71">
        <v>41892</v>
      </c>
      <c r="I83" t="s">
        <v>748</v>
      </c>
      <c r="J83" t="s">
        <v>13</v>
      </c>
    </row>
    <row r="84" spans="1:10" x14ac:dyDescent="0.2">
      <c r="A84" t="s">
        <v>231</v>
      </c>
      <c r="B84" s="31">
        <v>1</v>
      </c>
      <c r="C84" s="71">
        <v>41895</v>
      </c>
      <c r="D84">
        <v>3.99</v>
      </c>
      <c r="E84">
        <v>3.99</v>
      </c>
      <c r="F84" t="s">
        <v>279</v>
      </c>
      <c r="G84" t="s">
        <v>298</v>
      </c>
      <c r="H84" s="71">
        <v>41892</v>
      </c>
      <c r="I84" t="s">
        <v>748</v>
      </c>
      <c r="J84" t="s">
        <v>13</v>
      </c>
    </row>
    <row r="85" spans="1:10" x14ac:dyDescent="0.2">
      <c r="A85" t="s">
        <v>215</v>
      </c>
      <c r="B85" s="31">
        <v>6</v>
      </c>
      <c r="C85" s="71">
        <v>41895</v>
      </c>
      <c r="D85">
        <v>2.99</v>
      </c>
      <c r="E85">
        <v>17.940000000000001</v>
      </c>
      <c r="F85" t="s">
        <v>215</v>
      </c>
      <c r="G85" t="s">
        <v>298</v>
      </c>
      <c r="H85" s="71">
        <v>41892</v>
      </c>
      <c r="I85" t="s">
        <v>748</v>
      </c>
      <c r="J85" t="s">
        <v>13</v>
      </c>
    </row>
    <row r="86" spans="1:10" x14ac:dyDescent="0.2">
      <c r="A86" t="s">
        <v>234</v>
      </c>
      <c r="B86" s="31">
        <v>2</v>
      </c>
      <c r="C86" s="71">
        <v>41895</v>
      </c>
      <c r="D86">
        <v>3.79</v>
      </c>
      <c r="E86">
        <v>7.58</v>
      </c>
      <c r="F86" t="s">
        <v>222</v>
      </c>
      <c r="G86" t="s">
        <v>298</v>
      </c>
      <c r="H86" s="71">
        <v>41892</v>
      </c>
      <c r="I86" t="s">
        <v>748</v>
      </c>
      <c r="J86" t="s">
        <v>13</v>
      </c>
    </row>
    <row r="87" spans="1:10" x14ac:dyDescent="0.2">
      <c r="A87" t="s">
        <v>254</v>
      </c>
      <c r="B87" s="31">
        <v>2</v>
      </c>
      <c r="C87" s="71">
        <v>41895</v>
      </c>
      <c r="D87">
        <v>1.59</v>
      </c>
      <c r="E87">
        <v>3.18</v>
      </c>
      <c r="F87" t="s">
        <v>222</v>
      </c>
      <c r="G87" t="s">
        <v>298</v>
      </c>
      <c r="H87" s="71">
        <v>41892</v>
      </c>
      <c r="I87" t="s">
        <v>748</v>
      </c>
      <c r="J87" t="s">
        <v>13</v>
      </c>
    </row>
    <row r="88" spans="1:10" x14ac:dyDescent="0.2">
      <c r="A88" t="s">
        <v>255</v>
      </c>
      <c r="B88" s="31">
        <v>2</v>
      </c>
      <c r="C88" s="71">
        <v>41895</v>
      </c>
      <c r="D88">
        <v>3.99</v>
      </c>
      <c r="E88">
        <v>7.98</v>
      </c>
      <c r="F88" t="s">
        <v>215</v>
      </c>
      <c r="G88" t="s">
        <v>298</v>
      </c>
      <c r="H88" s="71">
        <v>41892</v>
      </c>
      <c r="I88" t="s">
        <v>748</v>
      </c>
      <c r="J88" t="s">
        <v>13</v>
      </c>
    </row>
    <row r="89" spans="1:10" x14ac:dyDescent="0.2">
      <c r="A89" t="s">
        <v>278</v>
      </c>
      <c r="B89" s="31">
        <v>1</v>
      </c>
      <c r="C89" s="71">
        <v>41895</v>
      </c>
      <c r="D89">
        <v>6.09</v>
      </c>
      <c r="E89">
        <v>6.09</v>
      </c>
      <c r="F89" t="s">
        <v>222</v>
      </c>
      <c r="G89" t="s">
        <v>298</v>
      </c>
      <c r="H89" s="71">
        <v>41892</v>
      </c>
      <c r="I89" t="s">
        <v>748</v>
      </c>
      <c r="J89" t="s">
        <v>13</v>
      </c>
    </row>
    <row r="90" spans="1:10" x14ac:dyDescent="0.2">
      <c r="A90" t="s">
        <v>220</v>
      </c>
      <c r="B90" s="31">
        <v>1</v>
      </c>
      <c r="C90" s="71">
        <v>41895</v>
      </c>
      <c r="D90">
        <v>10.99</v>
      </c>
      <c r="E90">
        <v>10.99</v>
      </c>
      <c r="F90" t="s">
        <v>222</v>
      </c>
      <c r="G90" t="s">
        <v>298</v>
      </c>
      <c r="H90" s="71">
        <v>41892</v>
      </c>
      <c r="I90" t="s">
        <v>748</v>
      </c>
      <c r="J90" t="s">
        <v>13</v>
      </c>
    </row>
    <row r="91" spans="1:10" x14ac:dyDescent="0.2">
      <c r="A91" t="s">
        <v>285</v>
      </c>
      <c r="B91" s="31">
        <v>0.54200000000000004</v>
      </c>
      <c r="C91" s="71">
        <v>41895</v>
      </c>
      <c r="D91">
        <v>27.8</v>
      </c>
      <c r="E91">
        <v>15.09</v>
      </c>
      <c r="F91" t="s">
        <v>609</v>
      </c>
      <c r="G91" t="s">
        <v>299</v>
      </c>
      <c r="H91" s="71">
        <v>41892</v>
      </c>
      <c r="I91" t="s">
        <v>748</v>
      </c>
      <c r="J91" t="s">
        <v>13</v>
      </c>
    </row>
    <row r="92" spans="1:10" x14ac:dyDescent="0.2">
      <c r="A92" t="s">
        <v>285</v>
      </c>
      <c r="B92" s="31">
        <v>1</v>
      </c>
      <c r="C92" s="71">
        <v>41895</v>
      </c>
      <c r="D92">
        <v>29.47</v>
      </c>
      <c r="E92">
        <v>29.47</v>
      </c>
      <c r="F92" t="s">
        <v>609</v>
      </c>
      <c r="G92" t="s">
        <v>299</v>
      </c>
      <c r="H92" s="71">
        <v>41892</v>
      </c>
      <c r="I92" t="s">
        <v>748</v>
      </c>
      <c r="J92" t="s">
        <v>13</v>
      </c>
    </row>
    <row r="93" spans="1:10" x14ac:dyDescent="0.2">
      <c r="A93" t="s">
        <v>288</v>
      </c>
      <c r="B93" s="31">
        <v>0.32</v>
      </c>
      <c r="C93" s="71">
        <v>41895</v>
      </c>
      <c r="D93">
        <v>41.9</v>
      </c>
      <c r="E93">
        <v>13.44</v>
      </c>
      <c r="F93" t="s">
        <v>609</v>
      </c>
      <c r="G93" t="s">
        <v>299</v>
      </c>
      <c r="H93" s="71">
        <v>41892</v>
      </c>
      <c r="I93" t="s">
        <v>748</v>
      </c>
      <c r="J93" t="s">
        <v>13</v>
      </c>
    </row>
    <row r="94" spans="1:10" x14ac:dyDescent="0.2">
      <c r="A94" t="s">
        <v>289</v>
      </c>
      <c r="B94" s="31">
        <v>1</v>
      </c>
      <c r="C94" s="71">
        <v>41895</v>
      </c>
      <c r="D94">
        <v>11.69</v>
      </c>
      <c r="E94">
        <v>11.69</v>
      </c>
      <c r="F94" t="s">
        <v>615</v>
      </c>
      <c r="G94" t="s">
        <v>299</v>
      </c>
      <c r="H94" s="71">
        <v>41892</v>
      </c>
      <c r="I94" t="s">
        <v>748</v>
      </c>
      <c r="J94" t="s">
        <v>13</v>
      </c>
    </row>
    <row r="95" spans="1:10" x14ac:dyDescent="0.2">
      <c r="A95" t="s">
        <v>290</v>
      </c>
      <c r="B95" s="31">
        <v>0.68200000000000005</v>
      </c>
      <c r="C95" s="71">
        <v>41895</v>
      </c>
      <c r="D95">
        <v>17.899999999999999</v>
      </c>
      <c r="E95">
        <v>12.27</v>
      </c>
      <c r="F95" t="s">
        <v>609</v>
      </c>
      <c r="G95" t="s">
        <v>299</v>
      </c>
      <c r="H95" s="71">
        <v>41892</v>
      </c>
      <c r="I95" t="s">
        <v>748</v>
      </c>
      <c r="J95" t="s">
        <v>13</v>
      </c>
    </row>
    <row r="96" spans="1:10" x14ac:dyDescent="0.2">
      <c r="A96" t="s">
        <v>291</v>
      </c>
      <c r="B96" s="31">
        <v>0.65800000000000003</v>
      </c>
      <c r="C96" s="71">
        <v>41895</v>
      </c>
      <c r="D96">
        <v>14.59</v>
      </c>
      <c r="E96">
        <v>9.6</v>
      </c>
      <c r="F96" t="s">
        <v>609</v>
      </c>
      <c r="G96" t="s">
        <v>299</v>
      </c>
      <c r="H96" s="71">
        <v>41892</v>
      </c>
      <c r="I96" t="s">
        <v>748</v>
      </c>
      <c r="J96" t="s">
        <v>13</v>
      </c>
    </row>
    <row r="97" spans="1:10" x14ac:dyDescent="0.2">
      <c r="A97" t="s">
        <v>292</v>
      </c>
      <c r="B97" s="31">
        <v>0.38600000000000001</v>
      </c>
      <c r="C97" s="71">
        <v>41895</v>
      </c>
      <c r="D97">
        <v>21.9</v>
      </c>
      <c r="E97">
        <v>8.4499999999999993</v>
      </c>
      <c r="F97" t="s">
        <v>609</v>
      </c>
      <c r="G97" t="s">
        <v>299</v>
      </c>
      <c r="H97" s="71">
        <v>41892</v>
      </c>
      <c r="I97" t="s">
        <v>748</v>
      </c>
      <c r="J97" t="s">
        <v>13</v>
      </c>
    </row>
    <row r="98" spans="1:10" x14ac:dyDescent="0.2">
      <c r="A98" t="s">
        <v>288</v>
      </c>
      <c r="B98" s="31">
        <v>0.246</v>
      </c>
      <c r="C98" s="71">
        <v>41895</v>
      </c>
      <c r="D98">
        <v>41.9</v>
      </c>
      <c r="E98">
        <v>10.33</v>
      </c>
      <c r="F98" t="s">
        <v>609</v>
      </c>
      <c r="G98" t="s">
        <v>299</v>
      </c>
      <c r="H98" s="71">
        <v>41892</v>
      </c>
      <c r="I98" t="s">
        <v>748</v>
      </c>
      <c r="J98" t="s">
        <v>13</v>
      </c>
    </row>
    <row r="99" spans="1:10" x14ac:dyDescent="0.2">
      <c r="A99" t="s">
        <v>288</v>
      </c>
      <c r="B99" s="31">
        <v>0.32</v>
      </c>
      <c r="C99" s="71">
        <v>41895</v>
      </c>
      <c r="D99">
        <v>41.9</v>
      </c>
      <c r="E99">
        <v>13.44</v>
      </c>
      <c r="F99" t="s">
        <v>609</v>
      </c>
      <c r="G99" t="s">
        <v>299</v>
      </c>
      <c r="H99" s="71">
        <v>41892</v>
      </c>
      <c r="I99" t="s">
        <v>748</v>
      </c>
      <c r="J99" t="s">
        <v>13</v>
      </c>
    </row>
    <row r="100" spans="1:10" x14ac:dyDescent="0.2">
      <c r="A100" t="s">
        <v>249</v>
      </c>
      <c r="B100" s="31">
        <v>1</v>
      </c>
      <c r="C100" s="71">
        <v>41895</v>
      </c>
      <c r="D100">
        <v>5.99</v>
      </c>
      <c r="E100">
        <v>5.99</v>
      </c>
      <c r="F100" t="s">
        <v>468</v>
      </c>
      <c r="G100" t="s">
        <v>298</v>
      </c>
      <c r="H100" s="71">
        <v>41892</v>
      </c>
      <c r="I100" t="s">
        <v>748</v>
      </c>
      <c r="J100" t="s">
        <v>13</v>
      </c>
    </row>
    <row r="101" spans="1:10" x14ac:dyDescent="0.2">
      <c r="A101" t="s">
        <v>357</v>
      </c>
      <c r="B101" s="31">
        <v>10</v>
      </c>
      <c r="C101" s="71">
        <v>41895</v>
      </c>
      <c r="D101">
        <v>1.0900000000000001</v>
      </c>
      <c r="E101">
        <v>10.9</v>
      </c>
      <c r="F101" t="s">
        <v>468</v>
      </c>
      <c r="G101" t="s">
        <v>298</v>
      </c>
      <c r="H101" s="71">
        <v>41892</v>
      </c>
      <c r="I101" t="s">
        <v>748</v>
      </c>
      <c r="J101" t="s">
        <v>13</v>
      </c>
    </row>
    <row r="102" spans="1:10" x14ac:dyDescent="0.2">
      <c r="A102" t="s">
        <v>237</v>
      </c>
      <c r="B102" s="31">
        <v>1</v>
      </c>
      <c r="C102" s="71">
        <v>41895</v>
      </c>
      <c r="D102">
        <v>3.85</v>
      </c>
      <c r="E102">
        <v>3.85</v>
      </c>
      <c r="F102" t="s">
        <v>653</v>
      </c>
      <c r="G102" t="s">
        <v>298</v>
      </c>
      <c r="H102" s="71">
        <v>41892</v>
      </c>
      <c r="I102" t="s">
        <v>748</v>
      </c>
      <c r="J102" t="s">
        <v>13</v>
      </c>
    </row>
    <row r="103" spans="1:10" x14ac:dyDescent="0.2">
      <c r="A103" t="s">
        <v>474</v>
      </c>
      <c r="B103" s="31">
        <v>1</v>
      </c>
      <c r="C103" s="71">
        <v>41895</v>
      </c>
      <c r="D103">
        <v>4.75</v>
      </c>
      <c r="E103">
        <v>4.75</v>
      </c>
      <c r="F103" t="s">
        <v>468</v>
      </c>
      <c r="G103" t="s">
        <v>298</v>
      </c>
      <c r="H103" s="71">
        <v>41892</v>
      </c>
      <c r="I103" t="s">
        <v>748</v>
      </c>
      <c r="J103" t="s">
        <v>13</v>
      </c>
    </row>
    <row r="104" spans="1:10" x14ac:dyDescent="0.2">
      <c r="A104" t="s">
        <v>295</v>
      </c>
      <c r="B104" s="31">
        <v>0.28599999999999998</v>
      </c>
      <c r="C104" s="71">
        <v>41895</v>
      </c>
      <c r="D104">
        <v>6.42</v>
      </c>
      <c r="E104">
        <v>6.42</v>
      </c>
      <c r="F104" t="s">
        <v>653</v>
      </c>
      <c r="G104" t="s">
        <v>299</v>
      </c>
      <c r="H104" s="71">
        <v>41892</v>
      </c>
      <c r="I104" t="s">
        <v>748</v>
      </c>
      <c r="J104" t="s">
        <v>13</v>
      </c>
    </row>
    <row r="105" spans="1:10" x14ac:dyDescent="0.2">
      <c r="A105" t="s">
        <v>296</v>
      </c>
      <c r="B105" s="31">
        <v>0.19800000000000001</v>
      </c>
      <c r="C105" s="71">
        <v>41895</v>
      </c>
      <c r="D105">
        <v>6.73</v>
      </c>
      <c r="E105">
        <v>6.73</v>
      </c>
      <c r="F105" t="s">
        <v>653</v>
      </c>
      <c r="G105" t="s">
        <v>299</v>
      </c>
      <c r="H105" s="71">
        <v>41892</v>
      </c>
      <c r="I105" t="s">
        <v>748</v>
      </c>
      <c r="J105" t="s">
        <v>13</v>
      </c>
    </row>
    <row r="106" spans="1:10" x14ac:dyDescent="0.2">
      <c r="A106" t="s">
        <v>357</v>
      </c>
      <c r="B106" s="31">
        <v>1</v>
      </c>
      <c r="C106" s="71">
        <v>41895</v>
      </c>
      <c r="D106">
        <v>1.89</v>
      </c>
      <c r="E106">
        <v>1.89</v>
      </c>
      <c r="F106" t="s">
        <v>468</v>
      </c>
      <c r="G106" t="s">
        <v>298</v>
      </c>
      <c r="H106" s="71">
        <v>41892</v>
      </c>
      <c r="I106" t="s">
        <v>748</v>
      </c>
      <c r="J106" t="s">
        <v>13</v>
      </c>
    </row>
    <row r="107" spans="1:10" x14ac:dyDescent="0.2">
      <c r="A107" t="s">
        <v>294</v>
      </c>
      <c r="B107" s="31">
        <v>0.374</v>
      </c>
      <c r="C107" s="71">
        <v>41895</v>
      </c>
      <c r="D107">
        <v>11.28</v>
      </c>
      <c r="E107">
        <v>11.28</v>
      </c>
      <c r="F107" t="s">
        <v>653</v>
      </c>
      <c r="G107" t="s">
        <v>299</v>
      </c>
      <c r="H107" s="71">
        <v>41892</v>
      </c>
      <c r="I107" t="s">
        <v>748</v>
      </c>
      <c r="J107" t="s">
        <v>13</v>
      </c>
    </row>
    <row r="108" spans="1:10" x14ac:dyDescent="0.2">
      <c r="A108" t="s">
        <v>256</v>
      </c>
      <c r="B108" s="31">
        <v>1</v>
      </c>
      <c r="C108" s="71">
        <v>41895</v>
      </c>
      <c r="D108">
        <v>4.29</v>
      </c>
      <c r="E108">
        <v>4.29</v>
      </c>
      <c r="F108" t="s">
        <v>448</v>
      </c>
      <c r="G108" t="s">
        <v>298</v>
      </c>
      <c r="H108" s="71">
        <v>41892</v>
      </c>
      <c r="I108" t="s">
        <v>748</v>
      </c>
      <c r="J108" t="s">
        <v>13</v>
      </c>
    </row>
    <row r="109" spans="1:10" x14ac:dyDescent="0.2">
      <c r="A109" t="s">
        <v>475</v>
      </c>
      <c r="B109" s="31">
        <v>1</v>
      </c>
      <c r="C109" s="71">
        <v>41895</v>
      </c>
      <c r="D109">
        <v>6.79</v>
      </c>
      <c r="E109">
        <v>6.79</v>
      </c>
      <c r="F109" t="s">
        <v>621</v>
      </c>
      <c r="G109" t="s">
        <v>298</v>
      </c>
      <c r="H109" s="71">
        <v>41892</v>
      </c>
      <c r="I109" t="s">
        <v>748</v>
      </c>
      <c r="J109" t="s">
        <v>13</v>
      </c>
    </row>
    <row r="110" spans="1:10" x14ac:dyDescent="0.2">
      <c r="A110" t="s">
        <v>257</v>
      </c>
      <c r="B110" s="31">
        <v>1</v>
      </c>
      <c r="C110" s="71">
        <v>41895</v>
      </c>
      <c r="D110">
        <v>35.9</v>
      </c>
      <c r="E110">
        <v>35.9</v>
      </c>
      <c r="F110" t="s">
        <v>619</v>
      </c>
      <c r="G110" t="s">
        <v>298</v>
      </c>
      <c r="H110" s="71">
        <v>41892</v>
      </c>
      <c r="I110" t="s">
        <v>748</v>
      </c>
      <c r="J110" t="s">
        <v>13</v>
      </c>
    </row>
    <row r="111" spans="1:10" x14ac:dyDescent="0.2">
      <c r="A111" t="s">
        <v>258</v>
      </c>
      <c r="B111" s="31">
        <v>1</v>
      </c>
      <c r="C111" s="71">
        <v>41895</v>
      </c>
      <c r="D111">
        <v>6.29</v>
      </c>
      <c r="E111">
        <v>6.29</v>
      </c>
      <c r="F111" t="s">
        <v>287</v>
      </c>
      <c r="G111" t="s">
        <v>298</v>
      </c>
      <c r="H111" s="71">
        <v>41892</v>
      </c>
      <c r="I111" t="s">
        <v>748</v>
      </c>
      <c r="J111" t="s">
        <v>13</v>
      </c>
    </row>
    <row r="112" spans="1:10" x14ac:dyDescent="0.2">
      <c r="A112" t="s">
        <v>259</v>
      </c>
      <c r="B112" s="31">
        <v>1</v>
      </c>
      <c r="C112" s="71">
        <v>41895</v>
      </c>
      <c r="D112">
        <v>12.99</v>
      </c>
      <c r="E112">
        <v>12.99</v>
      </c>
      <c r="F112" t="s">
        <v>287</v>
      </c>
      <c r="G112" t="s">
        <v>298</v>
      </c>
      <c r="H112" s="71">
        <v>41892</v>
      </c>
      <c r="I112" t="s">
        <v>748</v>
      </c>
      <c r="J112" t="s">
        <v>13</v>
      </c>
    </row>
    <row r="113" spans="1:10" x14ac:dyDescent="0.2">
      <c r="A113" t="s">
        <v>356</v>
      </c>
      <c r="B113" s="31">
        <v>1</v>
      </c>
      <c r="C113" s="71">
        <v>41895</v>
      </c>
      <c r="D113">
        <v>1.28</v>
      </c>
      <c r="E113">
        <v>1.28</v>
      </c>
      <c r="F113" t="s">
        <v>617</v>
      </c>
      <c r="G113" t="s">
        <v>298</v>
      </c>
      <c r="H113" s="71">
        <v>41892</v>
      </c>
      <c r="I113" t="s">
        <v>748</v>
      </c>
      <c r="J113" t="s">
        <v>13</v>
      </c>
    </row>
    <row r="114" spans="1:10" x14ac:dyDescent="0.2">
      <c r="A114" t="s">
        <v>474</v>
      </c>
      <c r="B114" s="31">
        <v>2</v>
      </c>
      <c r="C114" s="71">
        <v>41895</v>
      </c>
      <c r="D114">
        <v>1.27</v>
      </c>
      <c r="E114">
        <v>2.54</v>
      </c>
      <c r="F114" t="s">
        <v>468</v>
      </c>
      <c r="G114" t="s">
        <v>298</v>
      </c>
      <c r="H114" s="71">
        <v>41892</v>
      </c>
      <c r="I114" t="s">
        <v>748</v>
      </c>
      <c r="J114" t="s">
        <v>13</v>
      </c>
    </row>
    <row r="115" spans="1:10" x14ac:dyDescent="0.2">
      <c r="A115" t="s">
        <v>260</v>
      </c>
      <c r="B115" s="31">
        <v>1</v>
      </c>
      <c r="C115" s="71">
        <v>41895</v>
      </c>
      <c r="D115">
        <v>2.2000000000000002</v>
      </c>
      <c r="E115">
        <v>2.2000000000000002</v>
      </c>
      <c r="F115" t="s">
        <v>287</v>
      </c>
      <c r="G115" t="s">
        <v>298</v>
      </c>
      <c r="H115" s="71">
        <v>41892</v>
      </c>
      <c r="I115" t="s">
        <v>748</v>
      </c>
      <c r="J115" t="s">
        <v>13</v>
      </c>
    </row>
    <row r="116" spans="1:10" x14ac:dyDescent="0.2">
      <c r="A116" t="s">
        <v>435</v>
      </c>
      <c r="B116" s="31">
        <v>1</v>
      </c>
      <c r="C116" s="71">
        <v>41895</v>
      </c>
      <c r="D116">
        <v>2.59</v>
      </c>
      <c r="E116">
        <v>2.59</v>
      </c>
      <c r="F116" t="s">
        <v>208</v>
      </c>
      <c r="G116" t="s">
        <v>298</v>
      </c>
      <c r="H116" s="71">
        <v>41892</v>
      </c>
      <c r="I116" t="s">
        <v>748</v>
      </c>
      <c r="J116" t="s">
        <v>13</v>
      </c>
    </row>
    <row r="117" spans="1:10" x14ac:dyDescent="0.2">
      <c r="A117" t="s">
        <v>229</v>
      </c>
      <c r="B117" s="31">
        <v>1</v>
      </c>
      <c r="C117" s="71">
        <v>41895</v>
      </c>
      <c r="D117">
        <v>11.56</v>
      </c>
      <c r="E117">
        <v>11.56</v>
      </c>
      <c r="F117" t="s">
        <v>681</v>
      </c>
      <c r="G117" t="s">
        <v>298</v>
      </c>
      <c r="H117" s="71">
        <v>41892</v>
      </c>
      <c r="I117" t="s">
        <v>748</v>
      </c>
      <c r="J117" t="s">
        <v>13</v>
      </c>
    </row>
    <row r="118" spans="1:10" x14ac:dyDescent="0.2">
      <c r="A118" t="s">
        <v>261</v>
      </c>
      <c r="B118" s="31">
        <v>1</v>
      </c>
      <c r="C118" s="71">
        <v>41895</v>
      </c>
      <c r="D118">
        <v>5.7</v>
      </c>
      <c r="E118">
        <v>5.7</v>
      </c>
      <c r="F118" t="s">
        <v>280</v>
      </c>
      <c r="G118" t="s">
        <v>298</v>
      </c>
      <c r="H118" s="71">
        <v>41892</v>
      </c>
      <c r="I118" t="s">
        <v>748</v>
      </c>
      <c r="J118" t="s">
        <v>13</v>
      </c>
    </row>
    <row r="119" spans="1:10" x14ac:dyDescent="0.2">
      <c r="A119" t="s">
        <v>229</v>
      </c>
      <c r="B119" s="31">
        <v>1</v>
      </c>
      <c r="C119" s="71">
        <v>41895</v>
      </c>
      <c r="D119">
        <v>2.94</v>
      </c>
      <c r="E119">
        <v>2.94</v>
      </c>
      <c r="F119" t="s">
        <v>681</v>
      </c>
      <c r="G119" t="s">
        <v>298</v>
      </c>
      <c r="H119" s="71">
        <v>41892</v>
      </c>
      <c r="I119" t="s">
        <v>748</v>
      </c>
      <c r="J119" t="s">
        <v>13</v>
      </c>
    </row>
    <row r="120" spans="1:10" x14ac:dyDescent="0.2">
      <c r="A120" t="s">
        <v>262</v>
      </c>
      <c r="B120" s="31">
        <v>1</v>
      </c>
      <c r="C120" s="71">
        <v>41895</v>
      </c>
      <c r="D120">
        <v>28.99</v>
      </c>
      <c r="E120">
        <v>28.99</v>
      </c>
      <c r="F120" t="s">
        <v>287</v>
      </c>
      <c r="G120" t="s">
        <v>298</v>
      </c>
      <c r="H120" s="71">
        <v>41892</v>
      </c>
      <c r="I120" t="s">
        <v>748</v>
      </c>
      <c r="J120" t="s">
        <v>13</v>
      </c>
    </row>
    <row r="121" spans="1:10" x14ac:dyDescent="0.2">
      <c r="A121" t="s">
        <v>263</v>
      </c>
      <c r="B121" s="31">
        <v>1</v>
      </c>
      <c r="C121" s="71">
        <v>41895</v>
      </c>
      <c r="D121">
        <v>2.79</v>
      </c>
      <c r="E121">
        <v>2.79</v>
      </c>
      <c r="F121" t="s">
        <v>208</v>
      </c>
      <c r="G121" t="s">
        <v>298</v>
      </c>
      <c r="H121" s="71">
        <v>41892</v>
      </c>
      <c r="I121" t="s">
        <v>748</v>
      </c>
      <c r="J121" t="s">
        <v>13</v>
      </c>
    </row>
    <row r="122" spans="1:10" x14ac:dyDescent="0.2">
      <c r="A122" t="s">
        <v>264</v>
      </c>
      <c r="B122" s="31">
        <v>1</v>
      </c>
      <c r="C122" s="71">
        <v>41895</v>
      </c>
      <c r="D122">
        <v>7.39</v>
      </c>
      <c r="E122">
        <v>7.39</v>
      </c>
      <c r="F122" t="s">
        <v>618</v>
      </c>
      <c r="G122" t="s">
        <v>298</v>
      </c>
      <c r="H122" s="71">
        <v>41892</v>
      </c>
      <c r="I122" t="s">
        <v>748</v>
      </c>
      <c r="J122" t="s">
        <v>13</v>
      </c>
    </row>
    <row r="123" spans="1:10" x14ac:dyDescent="0.2">
      <c r="A123" t="s">
        <v>224</v>
      </c>
      <c r="B123" s="31">
        <v>1</v>
      </c>
      <c r="C123" s="71">
        <v>41895</v>
      </c>
      <c r="D123">
        <v>4.62</v>
      </c>
      <c r="E123">
        <v>4.62</v>
      </c>
      <c r="F123" t="s">
        <v>208</v>
      </c>
      <c r="G123" t="s">
        <v>298</v>
      </c>
      <c r="H123" s="71">
        <v>41892</v>
      </c>
      <c r="I123" t="s">
        <v>748</v>
      </c>
      <c r="J123" t="s">
        <v>13</v>
      </c>
    </row>
    <row r="124" spans="1:10" x14ac:dyDescent="0.2">
      <c r="A124" t="s">
        <v>219</v>
      </c>
      <c r="B124" s="31">
        <v>1</v>
      </c>
      <c r="C124" s="71">
        <v>41895</v>
      </c>
      <c r="D124">
        <v>8.99</v>
      </c>
      <c r="E124">
        <v>8.99</v>
      </c>
      <c r="F124" t="s">
        <v>681</v>
      </c>
      <c r="G124" t="s">
        <v>298</v>
      </c>
      <c r="H124" s="71">
        <v>41892</v>
      </c>
      <c r="I124" t="s">
        <v>748</v>
      </c>
      <c r="J124" t="s">
        <v>13</v>
      </c>
    </row>
    <row r="125" spans="1:10" x14ac:dyDescent="0.2">
      <c r="A125" t="s">
        <v>283</v>
      </c>
      <c r="B125" s="31">
        <v>0.54</v>
      </c>
      <c r="C125" s="71">
        <v>41895</v>
      </c>
      <c r="D125">
        <v>13.5</v>
      </c>
      <c r="E125">
        <v>6.85</v>
      </c>
      <c r="F125" t="s">
        <v>614</v>
      </c>
      <c r="G125" t="s">
        <v>299</v>
      </c>
      <c r="H125" s="71">
        <v>41892</v>
      </c>
      <c r="I125" t="s">
        <v>748</v>
      </c>
      <c r="J125" t="s">
        <v>13</v>
      </c>
    </row>
    <row r="126" spans="1:10" x14ac:dyDescent="0.2">
      <c r="A126" t="s">
        <v>284</v>
      </c>
      <c r="B126" s="31">
        <v>0.224</v>
      </c>
      <c r="C126" s="71">
        <v>41895</v>
      </c>
      <c r="D126">
        <v>20.76</v>
      </c>
      <c r="E126">
        <v>4.6500000000000004</v>
      </c>
      <c r="F126" t="s">
        <v>208</v>
      </c>
      <c r="G126" t="s">
        <v>299</v>
      </c>
      <c r="H126" s="71">
        <v>41892</v>
      </c>
      <c r="I126" t="s">
        <v>748</v>
      </c>
      <c r="J126" t="s">
        <v>13</v>
      </c>
    </row>
    <row r="127" spans="1:10" x14ac:dyDescent="0.2">
      <c r="A127" t="s">
        <v>265</v>
      </c>
      <c r="B127" s="31">
        <v>1</v>
      </c>
      <c r="C127" s="71">
        <v>41895</v>
      </c>
      <c r="D127">
        <v>2.99</v>
      </c>
      <c r="E127">
        <v>2.99</v>
      </c>
      <c r="F127" t="s">
        <v>620</v>
      </c>
      <c r="G127" t="s">
        <v>298</v>
      </c>
      <c r="H127" s="71">
        <v>41892</v>
      </c>
      <c r="I127" t="s">
        <v>748</v>
      </c>
      <c r="J127" t="s">
        <v>13</v>
      </c>
    </row>
    <row r="128" spans="1:10" x14ac:dyDescent="0.2">
      <c r="A128" t="s">
        <v>264</v>
      </c>
      <c r="B128" s="31">
        <v>1</v>
      </c>
      <c r="C128" s="71">
        <v>41895</v>
      </c>
      <c r="D128">
        <v>3.59</v>
      </c>
      <c r="E128">
        <v>3.59</v>
      </c>
      <c r="F128" t="s">
        <v>618</v>
      </c>
      <c r="G128" t="s">
        <v>298</v>
      </c>
      <c r="H128" s="71">
        <v>41892</v>
      </c>
      <c r="I128" t="s">
        <v>748</v>
      </c>
      <c r="J128" t="s">
        <v>13</v>
      </c>
    </row>
    <row r="129" spans="1:10" x14ac:dyDescent="0.2">
      <c r="A129" t="s">
        <v>98</v>
      </c>
      <c r="B129" s="31">
        <v>2</v>
      </c>
      <c r="C129" s="71">
        <v>41895</v>
      </c>
      <c r="D129">
        <v>10.54</v>
      </c>
      <c r="E129">
        <v>21.08</v>
      </c>
      <c r="F129" t="s">
        <v>281</v>
      </c>
      <c r="G129" t="s">
        <v>298</v>
      </c>
      <c r="H129" s="71">
        <v>41892</v>
      </c>
      <c r="I129" t="s">
        <v>748</v>
      </c>
      <c r="J129" t="s">
        <v>13</v>
      </c>
    </row>
    <row r="130" spans="1:10" x14ac:dyDescent="0.2">
      <c r="A130" t="s">
        <v>266</v>
      </c>
      <c r="B130" s="31">
        <v>1</v>
      </c>
      <c r="C130" s="71">
        <v>41895</v>
      </c>
      <c r="D130">
        <v>16.75</v>
      </c>
      <c r="E130">
        <v>16.75</v>
      </c>
      <c r="F130" t="s">
        <v>287</v>
      </c>
      <c r="G130" t="s">
        <v>298</v>
      </c>
      <c r="H130" s="71">
        <v>41892</v>
      </c>
      <c r="I130" t="s">
        <v>748</v>
      </c>
      <c r="J130" t="s">
        <v>13</v>
      </c>
    </row>
    <row r="131" spans="1:10" x14ac:dyDescent="0.2">
      <c r="A131" t="s">
        <v>293</v>
      </c>
      <c r="B131" s="31">
        <v>0.5</v>
      </c>
      <c r="C131" s="71">
        <v>41895</v>
      </c>
      <c r="D131">
        <v>22.9</v>
      </c>
      <c r="E131">
        <v>11.5</v>
      </c>
      <c r="F131" t="s">
        <v>609</v>
      </c>
      <c r="G131" t="s">
        <v>299</v>
      </c>
      <c r="H131" s="71">
        <v>41892</v>
      </c>
      <c r="I131" t="s">
        <v>748</v>
      </c>
      <c r="J131" t="s">
        <v>13</v>
      </c>
    </row>
    <row r="132" spans="1:10" x14ac:dyDescent="0.2">
      <c r="A132" t="s">
        <v>416</v>
      </c>
      <c r="B132" s="31">
        <v>0.13</v>
      </c>
      <c r="C132" s="71">
        <v>41895</v>
      </c>
      <c r="D132">
        <v>22.2</v>
      </c>
      <c r="E132">
        <v>2.9</v>
      </c>
      <c r="F132" t="s">
        <v>653</v>
      </c>
      <c r="G132" t="s">
        <v>299</v>
      </c>
      <c r="H132" s="71">
        <v>41892</v>
      </c>
      <c r="I132" t="s">
        <v>748</v>
      </c>
      <c r="J132" t="s">
        <v>13</v>
      </c>
    </row>
    <row r="133" spans="1:10" x14ac:dyDescent="0.2">
      <c r="A133" t="s">
        <v>416</v>
      </c>
      <c r="B133" s="31">
        <v>0.152</v>
      </c>
      <c r="C133" s="71">
        <v>41895</v>
      </c>
      <c r="D133">
        <v>22.2</v>
      </c>
      <c r="E133">
        <v>3.39</v>
      </c>
      <c r="F133" t="s">
        <v>653</v>
      </c>
      <c r="G133" t="s">
        <v>299</v>
      </c>
      <c r="H133" s="71">
        <v>41892</v>
      </c>
      <c r="I133" t="s">
        <v>748</v>
      </c>
      <c r="J133" t="s">
        <v>13</v>
      </c>
    </row>
    <row r="134" spans="1:10" x14ac:dyDescent="0.2">
      <c r="A134" t="s">
        <v>183</v>
      </c>
      <c r="B134" s="31">
        <v>1</v>
      </c>
      <c r="C134" s="71">
        <v>41895</v>
      </c>
      <c r="D134">
        <v>16.98</v>
      </c>
      <c r="E134">
        <v>16.98</v>
      </c>
      <c r="F134" t="s">
        <v>221</v>
      </c>
      <c r="G134" t="s">
        <v>298</v>
      </c>
      <c r="H134" s="71">
        <v>41892</v>
      </c>
      <c r="I134" t="s">
        <v>748</v>
      </c>
      <c r="J134" t="s">
        <v>13</v>
      </c>
    </row>
    <row r="135" spans="1:10" x14ac:dyDescent="0.2">
      <c r="A135" t="s">
        <v>353</v>
      </c>
      <c r="B135" s="31">
        <v>1</v>
      </c>
      <c r="C135" s="71">
        <v>41895</v>
      </c>
      <c r="D135">
        <v>4.3899999999999997</v>
      </c>
      <c r="E135">
        <v>4.3899999999999997</v>
      </c>
      <c r="F135" t="s">
        <v>620</v>
      </c>
      <c r="G135" t="s">
        <v>298</v>
      </c>
      <c r="H135" s="71">
        <v>41892</v>
      </c>
      <c r="I135" t="s">
        <v>748</v>
      </c>
      <c r="J135" t="s">
        <v>13</v>
      </c>
    </row>
    <row r="136" spans="1:10" x14ac:dyDescent="0.2">
      <c r="A136" t="s">
        <v>353</v>
      </c>
      <c r="B136" s="31">
        <v>1</v>
      </c>
      <c r="C136" s="71">
        <v>41895</v>
      </c>
      <c r="D136">
        <v>6.79</v>
      </c>
      <c r="E136">
        <v>6.79</v>
      </c>
      <c r="F136" t="s">
        <v>620</v>
      </c>
      <c r="G136" t="s">
        <v>298</v>
      </c>
      <c r="H136" s="71">
        <v>41892</v>
      </c>
      <c r="I136" t="s">
        <v>748</v>
      </c>
      <c r="J136" t="s">
        <v>13</v>
      </c>
    </row>
    <row r="137" spans="1:10" x14ac:dyDescent="0.2">
      <c r="A137" t="s">
        <v>267</v>
      </c>
      <c r="B137" s="31">
        <v>1</v>
      </c>
      <c r="C137" s="71">
        <v>41895</v>
      </c>
      <c r="D137">
        <v>4.79</v>
      </c>
      <c r="E137">
        <v>4.79</v>
      </c>
      <c r="F137" t="s">
        <v>267</v>
      </c>
      <c r="G137" t="s">
        <v>298</v>
      </c>
      <c r="H137" s="71">
        <v>41892</v>
      </c>
      <c r="I137" t="s">
        <v>748</v>
      </c>
      <c r="J137" t="s">
        <v>13</v>
      </c>
    </row>
    <row r="138" spans="1:10" x14ac:dyDescent="0.2">
      <c r="A138" t="s">
        <v>227</v>
      </c>
      <c r="B138" s="31">
        <v>0.5</v>
      </c>
      <c r="C138" s="71">
        <v>41895</v>
      </c>
      <c r="D138">
        <v>7.45</v>
      </c>
      <c r="E138">
        <f>B138*D138</f>
        <v>3.7250000000000001</v>
      </c>
      <c r="F138" t="s">
        <v>620</v>
      </c>
      <c r="G138" t="s">
        <v>299</v>
      </c>
      <c r="H138" s="71">
        <v>41892</v>
      </c>
      <c r="I138" t="s">
        <v>748</v>
      </c>
      <c r="J138" t="s">
        <v>13</v>
      </c>
    </row>
    <row r="139" spans="1:10" x14ac:dyDescent="0.2">
      <c r="A139" t="s">
        <v>268</v>
      </c>
      <c r="B139" s="31">
        <v>1</v>
      </c>
      <c r="C139" s="71">
        <v>41895</v>
      </c>
      <c r="D139">
        <v>5.25</v>
      </c>
      <c r="E139">
        <v>5.25</v>
      </c>
      <c r="F139" t="s">
        <v>287</v>
      </c>
      <c r="G139" t="s">
        <v>298</v>
      </c>
      <c r="H139" s="71">
        <v>41892</v>
      </c>
      <c r="I139" t="s">
        <v>748</v>
      </c>
      <c r="J139" t="s">
        <v>13</v>
      </c>
    </row>
    <row r="140" spans="1:10" x14ac:dyDescent="0.2">
      <c r="A140" t="s">
        <v>269</v>
      </c>
      <c r="B140" s="31">
        <v>1</v>
      </c>
      <c r="C140" s="71">
        <v>41895</v>
      </c>
      <c r="D140">
        <v>4.75</v>
      </c>
      <c r="E140">
        <v>4.75</v>
      </c>
      <c r="F140" t="s">
        <v>615</v>
      </c>
      <c r="G140" t="s">
        <v>298</v>
      </c>
      <c r="H140" s="71">
        <v>41892</v>
      </c>
      <c r="I140" t="s">
        <v>748</v>
      </c>
      <c r="J140" t="s">
        <v>13</v>
      </c>
    </row>
    <row r="141" spans="1:10" x14ac:dyDescent="0.2">
      <c r="A141" t="s">
        <v>270</v>
      </c>
      <c r="B141" s="31">
        <v>1</v>
      </c>
      <c r="C141" s="71">
        <v>41895</v>
      </c>
      <c r="D141">
        <v>9.14</v>
      </c>
      <c r="E141">
        <v>9.14</v>
      </c>
      <c r="F141" t="s">
        <v>287</v>
      </c>
      <c r="G141" t="s">
        <v>298</v>
      </c>
      <c r="H141" s="71">
        <v>41892</v>
      </c>
      <c r="I141" t="s">
        <v>748</v>
      </c>
      <c r="J141" t="s">
        <v>13</v>
      </c>
    </row>
    <row r="142" spans="1:10" x14ac:dyDescent="0.2">
      <c r="A142" t="s">
        <v>244</v>
      </c>
      <c r="B142" s="31">
        <v>4</v>
      </c>
      <c r="C142" s="71">
        <v>41895</v>
      </c>
      <c r="D142">
        <v>1.48</v>
      </c>
      <c r="E142">
        <v>5.92</v>
      </c>
      <c r="F142" t="s">
        <v>282</v>
      </c>
      <c r="G142" t="s">
        <v>298</v>
      </c>
      <c r="H142" s="71">
        <v>41892</v>
      </c>
      <c r="I142" t="s">
        <v>748</v>
      </c>
      <c r="J142" t="s">
        <v>13</v>
      </c>
    </row>
    <row r="143" spans="1:10" x14ac:dyDescent="0.2">
      <c r="A143" t="s">
        <v>271</v>
      </c>
      <c r="B143" s="31">
        <v>1</v>
      </c>
      <c r="C143" s="71">
        <v>41895</v>
      </c>
      <c r="D143">
        <v>2.39</v>
      </c>
      <c r="E143">
        <v>2.39</v>
      </c>
      <c r="F143" t="s">
        <v>282</v>
      </c>
      <c r="G143" t="s">
        <v>298</v>
      </c>
      <c r="H143" s="71">
        <v>41892</v>
      </c>
      <c r="I143" t="s">
        <v>748</v>
      </c>
      <c r="J143" t="s">
        <v>13</v>
      </c>
    </row>
    <row r="144" spans="1:10" x14ac:dyDescent="0.2">
      <c r="A144" t="s">
        <v>272</v>
      </c>
      <c r="B144" s="31">
        <v>1</v>
      </c>
      <c r="C144" s="71">
        <v>41895</v>
      </c>
      <c r="D144">
        <v>15.65</v>
      </c>
      <c r="E144">
        <v>15.65</v>
      </c>
      <c r="F144" t="s">
        <v>282</v>
      </c>
      <c r="G144" t="s">
        <v>298</v>
      </c>
      <c r="H144" s="71">
        <v>41892</v>
      </c>
      <c r="I144" t="s">
        <v>748</v>
      </c>
      <c r="J144" t="s">
        <v>13</v>
      </c>
    </row>
    <row r="145" spans="1:10" x14ac:dyDescent="0.2">
      <c r="A145" t="s">
        <v>273</v>
      </c>
      <c r="B145" s="31">
        <v>1</v>
      </c>
      <c r="C145" s="71">
        <v>41895</v>
      </c>
      <c r="D145">
        <v>5.59</v>
      </c>
      <c r="E145">
        <v>5.59</v>
      </c>
      <c r="F145" t="s">
        <v>282</v>
      </c>
      <c r="G145" t="s">
        <v>298</v>
      </c>
      <c r="H145" s="71">
        <v>41892</v>
      </c>
      <c r="I145" t="s">
        <v>748</v>
      </c>
      <c r="J145" t="s">
        <v>13</v>
      </c>
    </row>
    <row r="146" spans="1:10" x14ac:dyDescent="0.2">
      <c r="A146" t="s">
        <v>248</v>
      </c>
      <c r="B146" s="31">
        <v>1</v>
      </c>
      <c r="C146" s="71">
        <v>41895</v>
      </c>
      <c r="D146">
        <v>2.98</v>
      </c>
      <c r="E146">
        <v>2.98</v>
      </c>
      <c r="F146" t="s">
        <v>282</v>
      </c>
      <c r="G146" t="s">
        <v>298</v>
      </c>
      <c r="H146" s="71">
        <v>41892</v>
      </c>
      <c r="I146" t="s">
        <v>748</v>
      </c>
      <c r="J146" t="s">
        <v>13</v>
      </c>
    </row>
    <row r="147" spans="1:10" x14ac:dyDescent="0.2">
      <c r="A147" t="s">
        <v>243</v>
      </c>
      <c r="B147" s="31">
        <v>1</v>
      </c>
      <c r="C147" s="71">
        <v>41895</v>
      </c>
      <c r="D147">
        <v>12.8</v>
      </c>
      <c r="E147">
        <v>12.8</v>
      </c>
      <c r="F147" t="s">
        <v>282</v>
      </c>
      <c r="G147" t="s">
        <v>298</v>
      </c>
      <c r="H147" s="71">
        <v>41892</v>
      </c>
      <c r="I147" t="s">
        <v>748</v>
      </c>
      <c r="J147" t="s">
        <v>13</v>
      </c>
    </row>
    <row r="148" spans="1:10" x14ac:dyDescent="0.2">
      <c r="A148" t="s">
        <v>241</v>
      </c>
      <c r="B148" s="31">
        <v>1</v>
      </c>
      <c r="C148" s="71">
        <v>41895</v>
      </c>
      <c r="D148">
        <v>3.79</v>
      </c>
      <c r="E148">
        <v>3.79</v>
      </c>
      <c r="F148" t="s">
        <v>282</v>
      </c>
      <c r="G148" t="s">
        <v>298</v>
      </c>
      <c r="H148" s="71">
        <v>41892</v>
      </c>
      <c r="I148" t="s">
        <v>748</v>
      </c>
      <c r="J148" t="s">
        <v>13</v>
      </c>
    </row>
    <row r="149" spans="1:10" x14ac:dyDescent="0.2">
      <c r="A149" t="s">
        <v>274</v>
      </c>
      <c r="B149" s="31">
        <v>1</v>
      </c>
      <c r="C149" s="71">
        <v>41895</v>
      </c>
      <c r="D149">
        <v>12.48</v>
      </c>
      <c r="E149">
        <v>12.48</v>
      </c>
      <c r="F149" t="s">
        <v>282</v>
      </c>
      <c r="G149" t="s">
        <v>298</v>
      </c>
      <c r="H149" s="71">
        <v>41892</v>
      </c>
      <c r="I149" t="s">
        <v>748</v>
      </c>
      <c r="J149" t="s">
        <v>13</v>
      </c>
    </row>
    <row r="150" spans="1:10" x14ac:dyDescent="0.2">
      <c r="A150" t="s">
        <v>406</v>
      </c>
      <c r="B150" s="31">
        <v>2</v>
      </c>
      <c r="C150" s="71">
        <v>41895</v>
      </c>
      <c r="D150">
        <v>2.69</v>
      </c>
      <c r="E150">
        <v>5.38</v>
      </c>
      <c r="F150" t="s">
        <v>282</v>
      </c>
      <c r="G150" t="s">
        <v>298</v>
      </c>
      <c r="H150" s="71">
        <v>41892</v>
      </c>
      <c r="I150" t="s">
        <v>748</v>
      </c>
      <c r="J150" t="s">
        <v>13</v>
      </c>
    </row>
    <row r="151" spans="1:10" x14ac:dyDescent="0.2">
      <c r="A151" t="s">
        <v>276</v>
      </c>
      <c r="B151" s="31">
        <v>1</v>
      </c>
      <c r="C151" s="71">
        <v>41895</v>
      </c>
      <c r="D151">
        <v>8.1999999999999993</v>
      </c>
      <c r="E151">
        <v>8.1999999999999993</v>
      </c>
      <c r="F151" t="s">
        <v>282</v>
      </c>
      <c r="G151" t="s">
        <v>298</v>
      </c>
      <c r="H151" s="71">
        <v>41892</v>
      </c>
      <c r="I151" t="s">
        <v>748</v>
      </c>
      <c r="J151" t="s">
        <v>13</v>
      </c>
    </row>
    <row r="152" spans="1:10" x14ac:dyDescent="0.2">
      <c r="A152" t="s">
        <v>275</v>
      </c>
      <c r="B152" s="31">
        <v>1</v>
      </c>
      <c r="C152" s="71">
        <v>41895</v>
      </c>
      <c r="D152">
        <v>2.5499999999999998</v>
      </c>
      <c r="E152">
        <v>2.5499999999999998</v>
      </c>
      <c r="F152" t="s">
        <v>282</v>
      </c>
      <c r="G152" t="s">
        <v>298</v>
      </c>
      <c r="H152" s="71">
        <v>41892</v>
      </c>
      <c r="I152" t="s">
        <v>748</v>
      </c>
      <c r="J152" t="s">
        <v>13</v>
      </c>
    </row>
    <row r="153" spans="1:10" x14ac:dyDescent="0.2">
      <c r="A153" t="s">
        <v>276</v>
      </c>
      <c r="B153" s="31">
        <v>1</v>
      </c>
      <c r="C153" s="71">
        <v>41895</v>
      </c>
      <c r="D153">
        <v>13.45</v>
      </c>
      <c r="E153">
        <v>13.45</v>
      </c>
      <c r="F153" t="s">
        <v>282</v>
      </c>
      <c r="G153" t="s">
        <v>298</v>
      </c>
      <c r="H153" s="71">
        <v>41892</v>
      </c>
      <c r="I153" t="s">
        <v>748</v>
      </c>
      <c r="J153" t="s">
        <v>13</v>
      </c>
    </row>
    <row r="154" spans="1:10" x14ac:dyDescent="0.2">
      <c r="A154" t="s">
        <v>277</v>
      </c>
      <c r="B154" s="31">
        <v>1</v>
      </c>
      <c r="C154" s="71">
        <v>41895</v>
      </c>
      <c r="D154">
        <v>9.99</v>
      </c>
      <c r="E154">
        <v>9.99</v>
      </c>
      <c r="F154" t="s">
        <v>222</v>
      </c>
      <c r="G154" t="s">
        <v>298</v>
      </c>
      <c r="H154" s="71">
        <v>41892</v>
      </c>
      <c r="I154" t="s">
        <v>748</v>
      </c>
      <c r="J154" t="s">
        <v>13</v>
      </c>
    </row>
    <row r="155" spans="1:10" x14ac:dyDescent="0.2">
      <c r="A155" t="s">
        <v>242</v>
      </c>
      <c r="B155" s="31">
        <v>1</v>
      </c>
      <c r="C155" s="71">
        <v>41895</v>
      </c>
      <c r="D155">
        <v>5.98</v>
      </c>
      <c r="E155">
        <v>5.98</v>
      </c>
      <c r="F155" t="s">
        <v>282</v>
      </c>
      <c r="G155" t="s">
        <v>298</v>
      </c>
      <c r="H155" s="71">
        <v>41892</v>
      </c>
      <c r="I155" t="s">
        <v>748</v>
      </c>
      <c r="J155" t="s">
        <v>13</v>
      </c>
    </row>
    <row r="156" spans="1:10" x14ac:dyDescent="0.2">
      <c r="A156" t="s">
        <v>245</v>
      </c>
      <c r="B156" s="31">
        <v>1</v>
      </c>
      <c r="C156" s="71">
        <v>41895</v>
      </c>
      <c r="D156">
        <v>3.92</v>
      </c>
      <c r="E156">
        <v>3.92</v>
      </c>
      <c r="F156" t="s">
        <v>282</v>
      </c>
      <c r="G156" t="s">
        <v>298</v>
      </c>
      <c r="H156" s="71">
        <v>41892</v>
      </c>
      <c r="I156" t="s">
        <v>748</v>
      </c>
      <c r="J156" t="s">
        <v>13</v>
      </c>
    </row>
    <row r="157" spans="1:10" x14ac:dyDescent="0.2">
      <c r="A157" t="s">
        <v>274</v>
      </c>
      <c r="B157" s="31">
        <v>1</v>
      </c>
      <c r="C157" s="71">
        <v>41895</v>
      </c>
      <c r="D157">
        <v>4.78</v>
      </c>
      <c r="E157">
        <v>4.78</v>
      </c>
      <c r="F157" t="s">
        <v>282</v>
      </c>
      <c r="G157" t="s">
        <v>298</v>
      </c>
      <c r="H157" s="71">
        <v>41892</v>
      </c>
      <c r="I157" t="s">
        <v>748</v>
      </c>
      <c r="J157" t="s">
        <v>13</v>
      </c>
    </row>
    <row r="158" spans="1:10" x14ac:dyDescent="0.2">
      <c r="A158" t="s">
        <v>242</v>
      </c>
      <c r="B158" s="31">
        <v>1</v>
      </c>
      <c r="C158" s="71">
        <v>41895</v>
      </c>
      <c r="D158">
        <v>5.98</v>
      </c>
      <c r="E158">
        <v>5.98</v>
      </c>
      <c r="F158" t="s">
        <v>282</v>
      </c>
      <c r="G158" t="s">
        <v>298</v>
      </c>
      <c r="H158" s="71">
        <v>41892</v>
      </c>
      <c r="I158" t="s">
        <v>748</v>
      </c>
      <c r="J158" t="s">
        <v>13</v>
      </c>
    </row>
    <row r="159" spans="1:10" x14ac:dyDescent="0.2">
      <c r="A159" t="s">
        <v>231</v>
      </c>
      <c r="B159" s="31">
        <v>1</v>
      </c>
      <c r="C159" s="71">
        <v>41966</v>
      </c>
      <c r="D159">
        <v>6.09</v>
      </c>
      <c r="E159">
        <f>B159*D159</f>
        <v>6.09</v>
      </c>
      <c r="F159" t="s">
        <v>279</v>
      </c>
      <c r="G159" t="s">
        <v>298</v>
      </c>
      <c r="H159" s="71">
        <v>41953</v>
      </c>
      <c r="I159" t="s">
        <v>748</v>
      </c>
      <c r="J159" t="s">
        <v>13</v>
      </c>
    </row>
    <row r="160" spans="1:10" x14ac:dyDescent="0.2">
      <c r="A160" t="s">
        <v>253</v>
      </c>
      <c r="B160" s="31">
        <v>0.84499999999999997</v>
      </c>
      <c r="C160" s="71">
        <v>41966</v>
      </c>
      <c r="D160">
        <v>2.92</v>
      </c>
      <c r="E160">
        <f>B160*D160</f>
        <v>2.4674</v>
      </c>
      <c r="F160" t="s">
        <v>279</v>
      </c>
      <c r="G160" t="s">
        <v>299</v>
      </c>
      <c r="H160" s="71">
        <v>41953</v>
      </c>
      <c r="I160" t="s">
        <v>748</v>
      </c>
      <c r="J160" t="s">
        <v>13</v>
      </c>
    </row>
    <row r="161" spans="1:10" x14ac:dyDescent="0.2">
      <c r="A161" t="s">
        <v>312</v>
      </c>
      <c r="B161" s="31">
        <v>1.2350000000000001</v>
      </c>
      <c r="C161" s="71">
        <v>41966</v>
      </c>
      <c r="D161">
        <v>2.46</v>
      </c>
      <c r="E161">
        <f t="shared" ref="E161:E204" si="0">B161*D161</f>
        <v>3.0381</v>
      </c>
      <c r="F161" t="s">
        <v>279</v>
      </c>
      <c r="G161" t="s">
        <v>299</v>
      </c>
      <c r="H161" s="71">
        <v>41953</v>
      </c>
      <c r="I161" t="s">
        <v>748</v>
      </c>
      <c r="J161" t="s">
        <v>13</v>
      </c>
    </row>
    <row r="162" spans="1:10" x14ac:dyDescent="0.2">
      <c r="A162" t="s">
        <v>232</v>
      </c>
      <c r="B162" s="31">
        <v>2</v>
      </c>
      <c r="C162" s="71">
        <v>41966</v>
      </c>
      <c r="D162">
        <v>1.49</v>
      </c>
      <c r="E162">
        <f t="shared" si="0"/>
        <v>2.98</v>
      </c>
      <c r="F162" t="s">
        <v>279</v>
      </c>
      <c r="G162" t="s">
        <v>299</v>
      </c>
      <c r="H162" s="71">
        <v>41953</v>
      </c>
      <c r="I162" t="s">
        <v>748</v>
      </c>
      <c r="J162" t="s">
        <v>13</v>
      </c>
    </row>
    <row r="163" spans="1:10" x14ac:dyDescent="0.2">
      <c r="A163" t="s">
        <v>308</v>
      </c>
      <c r="B163" s="31">
        <v>1.1399999999999999</v>
      </c>
      <c r="C163" s="71">
        <v>41966</v>
      </c>
      <c r="D163">
        <v>1.49</v>
      </c>
      <c r="E163">
        <f t="shared" si="0"/>
        <v>1.6985999999999999</v>
      </c>
      <c r="F163" t="s">
        <v>279</v>
      </c>
      <c r="G163" t="s">
        <v>299</v>
      </c>
      <c r="H163" s="71">
        <v>41953</v>
      </c>
      <c r="I163" t="s">
        <v>748</v>
      </c>
      <c r="J163" t="s">
        <v>13</v>
      </c>
    </row>
    <row r="164" spans="1:10" x14ac:dyDescent="0.2">
      <c r="A164" t="s">
        <v>230</v>
      </c>
      <c r="B164" s="31">
        <v>1.1339999999999999</v>
      </c>
      <c r="C164" s="71">
        <v>41966</v>
      </c>
      <c r="D164">
        <v>3.54</v>
      </c>
      <c r="E164">
        <f t="shared" si="0"/>
        <v>4.0143599999999999</v>
      </c>
      <c r="F164" t="s">
        <v>280</v>
      </c>
      <c r="G164" t="s">
        <v>299</v>
      </c>
      <c r="H164" s="71">
        <v>41953</v>
      </c>
      <c r="I164" t="s">
        <v>748</v>
      </c>
      <c r="J164" t="s">
        <v>13</v>
      </c>
    </row>
    <row r="165" spans="1:10" x14ac:dyDescent="0.2">
      <c r="A165" t="s">
        <v>302</v>
      </c>
      <c r="B165" s="31">
        <v>0.59</v>
      </c>
      <c r="C165" s="71">
        <v>41966</v>
      </c>
      <c r="D165">
        <v>2.99</v>
      </c>
      <c r="E165">
        <f t="shared" si="0"/>
        <v>1.7641</v>
      </c>
      <c r="F165" t="s">
        <v>279</v>
      </c>
      <c r="G165" t="s">
        <v>299</v>
      </c>
      <c r="H165" s="71">
        <v>41953</v>
      </c>
      <c r="I165" t="s">
        <v>748</v>
      </c>
      <c r="J165" t="s">
        <v>13</v>
      </c>
    </row>
    <row r="166" spans="1:10" x14ac:dyDescent="0.2">
      <c r="A166" t="s">
        <v>304</v>
      </c>
      <c r="B166" s="31">
        <v>1.0649999999999999</v>
      </c>
      <c r="C166" s="71">
        <v>41966</v>
      </c>
      <c r="D166">
        <v>4.99</v>
      </c>
      <c r="E166">
        <f t="shared" si="0"/>
        <v>5.3143500000000001</v>
      </c>
      <c r="F166" t="s">
        <v>280</v>
      </c>
      <c r="G166" t="s">
        <v>299</v>
      </c>
      <c r="H166" s="71">
        <v>41953</v>
      </c>
      <c r="I166" t="s">
        <v>748</v>
      </c>
      <c r="J166" t="s">
        <v>13</v>
      </c>
    </row>
    <row r="167" spans="1:10" x14ac:dyDescent="0.2">
      <c r="A167" t="s">
        <v>300</v>
      </c>
      <c r="B167" s="31">
        <v>0.255</v>
      </c>
      <c r="C167" s="71">
        <v>41966</v>
      </c>
      <c r="D167">
        <v>1.49</v>
      </c>
      <c r="E167">
        <f t="shared" si="0"/>
        <v>0.37995000000000001</v>
      </c>
      <c r="F167" t="s">
        <v>280</v>
      </c>
      <c r="G167" t="s">
        <v>299</v>
      </c>
      <c r="H167" s="71">
        <v>41953</v>
      </c>
      <c r="I167" t="s">
        <v>748</v>
      </c>
      <c r="J167" t="s">
        <v>13</v>
      </c>
    </row>
    <row r="168" spans="1:10" x14ac:dyDescent="0.2">
      <c r="A168" t="s">
        <v>307</v>
      </c>
      <c r="B168" s="31">
        <v>0.46500000000000002</v>
      </c>
      <c r="C168" s="71">
        <v>41966</v>
      </c>
      <c r="D168">
        <v>2.69</v>
      </c>
      <c r="E168">
        <f t="shared" si="0"/>
        <v>1.25085</v>
      </c>
      <c r="F168" t="s">
        <v>280</v>
      </c>
      <c r="G168" t="s">
        <v>299</v>
      </c>
      <c r="H168" s="71">
        <v>41953</v>
      </c>
      <c r="I168" t="s">
        <v>748</v>
      </c>
      <c r="J168" t="s">
        <v>13</v>
      </c>
    </row>
    <row r="169" spans="1:10" x14ac:dyDescent="0.2">
      <c r="A169" t="s">
        <v>313</v>
      </c>
      <c r="B169" s="31">
        <v>0.54500000000000004</v>
      </c>
      <c r="C169" s="71">
        <v>41966</v>
      </c>
      <c r="D169">
        <v>1.99</v>
      </c>
      <c r="E169">
        <f t="shared" si="0"/>
        <v>1.0845500000000001</v>
      </c>
      <c r="F169" t="s">
        <v>280</v>
      </c>
      <c r="G169" t="s">
        <v>299</v>
      </c>
      <c r="H169" s="71">
        <v>41953</v>
      </c>
      <c r="I169" t="s">
        <v>748</v>
      </c>
      <c r="J169" t="s">
        <v>13</v>
      </c>
    </row>
    <row r="170" spans="1:10" x14ac:dyDescent="0.2">
      <c r="A170" t="s">
        <v>218</v>
      </c>
      <c r="B170" s="31">
        <v>1</v>
      </c>
      <c r="C170" s="71">
        <v>41966</v>
      </c>
      <c r="D170">
        <v>1.89</v>
      </c>
      <c r="E170">
        <f t="shared" si="0"/>
        <v>1.89</v>
      </c>
      <c r="F170" t="s">
        <v>280</v>
      </c>
      <c r="G170" t="s">
        <v>298</v>
      </c>
      <c r="H170" s="71">
        <v>41953</v>
      </c>
      <c r="I170" t="s">
        <v>748</v>
      </c>
      <c r="J170" t="s">
        <v>13</v>
      </c>
    </row>
    <row r="171" spans="1:10" x14ac:dyDescent="0.2">
      <c r="A171" t="s">
        <v>314</v>
      </c>
      <c r="B171" s="31">
        <v>1</v>
      </c>
      <c r="C171" s="71">
        <v>41966</v>
      </c>
      <c r="D171">
        <v>4</v>
      </c>
      <c r="E171">
        <f t="shared" si="0"/>
        <v>4</v>
      </c>
      <c r="F171" t="s">
        <v>280</v>
      </c>
      <c r="G171" t="s">
        <v>298</v>
      </c>
      <c r="H171" s="71">
        <v>41953</v>
      </c>
      <c r="I171" t="s">
        <v>748</v>
      </c>
      <c r="J171" t="s">
        <v>13</v>
      </c>
    </row>
    <row r="172" spans="1:10" x14ac:dyDescent="0.2">
      <c r="A172" t="s">
        <v>315</v>
      </c>
      <c r="B172" s="31">
        <v>1</v>
      </c>
      <c r="C172" s="71">
        <v>41966</v>
      </c>
      <c r="D172">
        <v>2.29</v>
      </c>
      <c r="E172">
        <f t="shared" si="0"/>
        <v>2.29</v>
      </c>
      <c r="F172" t="s">
        <v>280</v>
      </c>
      <c r="G172" t="s">
        <v>298</v>
      </c>
      <c r="H172" s="71">
        <v>41953</v>
      </c>
      <c r="I172" t="s">
        <v>748</v>
      </c>
      <c r="J172" t="s">
        <v>13</v>
      </c>
    </row>
    <row r="173" spans="1:10" x14ac:dyDescent="0.2">
      <c r="A173" t="s">
        <v>316</v>
      </c>
      <c r="B173" s="31">
        <v>1</v>
      </c>
      <c r="C173" s="71">
        <v>41966</v>
      </c>
      <c r="D173">
        <v>3.99</v>
      </c>
      <c r="E173">
        <f t="shared" si="0"/>
        <v>3.99</v>
      </c>
      <c r="F173" t="s">
        <v>280</v>
      </c>
      <c r="G173" t="s">
        <v>298</v>
      </c>
      <c r="H173" s="71">
        <v>41953</v>
      </c>
      <c r="I173" t="s">
        <v>748</v>
      </c>
      <c r="J173" t="s">
        <v>13</v>
      </c>
    </row>
    <row r="174" spans="1:10" x14ac:dyDescent="0.2">
      <c r="A174" t="s">
        <v>295</v>
      </c>
      <c r="B174" s="31">
        <v>0.29199999999999998</v>
      </c>
      <c r="C174" s="71">
        <v>41966</v>
      </c>
      <c r="D174">
        <v>20.69</v>
      </c>
      <c r="E174">
        <f t="shared" si="0"/>
        <v>6.04148</v>
      </c>
      <c r="F174" t="s">
        <v>653</v>
      </c>
      <c r="G174" t="s">
        <v>299</v>
      </c>
      <c r="H174" s="71">
        <v>41953</v>
      </c>
      <c r="I174" t="s">
        <v>748</v>
      </c>
      <c r="J174" t="s">
        <v>13</v>
      </c>
    </row>
    <row r="175" spans="1:10" x14ac:dyDescent="0.2">
      <c r="A175" t="s">
        <v>296</v>
      </c>
      <c r="B175" s="31">
        <v>0.20799999999999999</v>
      </c>
      <c r="C175" s="71">
        <v>41966</v>
      </c>
      <c r="D175">
        <v>34.4</v>
      </c>
      <c r="E175">
        <f t="shared" si="0"/>
        <v>7.1551999999999998</v>
      </c>
      <c r="F175" t="s">
        <v>653</v>
      </c>
      <c r="G175" t="s">
        <v>299</v>
      </c>
      <c r="H175" s="71">
        <v>41953</v>
      </c>
      <c r="I175" t="s">
        <v>748</v>
      </c>
      <c r="J175" t="s">
        <v>13</v>
      </c>
    </row>
    <row r="176" spans="1:10" x14ac:dyDescent="0.2">
      <c r="A176" t="s">
        <v>317</v>
      </c>
      <c r="B176" s="31">
        <v>1</v>
      </c>
      <c r="C176" s="71">
        <v>41966</v>
      </c>
      <c r="D176">
        <v>6.99</v>
      </c>
      <c r="E176">
        <f t="shared" si="0"/>
        <v>6.99</v>
      </c>
      <c r="F176" t="s">
        <v>468</v>
      </c>
      <c r="G176" t="s">
        <v>298</v>
      </c>
      <c r="H176" s="71">
        <v>41953</v>
      </c>
      <c r="I176" t="s">
        <v>748</v>
      </c>
      <c r="J176" t="s">
        <v>13</v>
      </c>
    </row>
    <row r="177" spans="1:10" x14ac:dyDescent="0.2">
      <c r="A177" t="s">
        <v>294</v>
      </c>
      <c r="B177" s="31">
        <v>1</v>
      </c>
      <c r="C177" s="71">
        <v>41966</v>
      </c>
      <c r="D177">
        <v>4.29</v>
      </c>
      <c r="E177">
        <f t="shared" si="0"/>
        <v>4.29</v>
      </c>
      <c r="F177" t="s">
        <v>653</v>
      </c>
      <c r="G177" t="s">
        <v>298</v>
      </c>
      <c r="H177" s="71">
        <v>41953</v>
      </c>
      <c r="I177" t="s">
        <v>748</v>
      </c>
      <c r="J177" t="s">
        <v>13</v>
      </c>
    </row>
    <row r="178" spans="1:10" x14ac:dyDescent="0.2">
      <c r="A178" t="s">
        <v>357</v>
      </c>
      <c r="B178" s="31">
        <v>12</v>
      </c>
      <c r="C178" s="71">
        <v>41966</v>
      </c>
      <c r="D178">
        <v>1.0900000000000001</v>
      </c>
      <c r="E178">
        <f t="shared" si="0"/>
        <v>13.080000000000002</v>
      </c>
      <c r="F178" t="s">
        <v>468</v>
      </c>
      <c r="G178" t="s">
        <v>298</v>
      </c>
      <c r="H178" s="71">
        <v>41953</v>
      </c>
      <c r="I178" t="s">
        <v>748</v>
      </c>
      <c r="J178" t="s">
        <v>13</v>
      </c>
    </row>
    <row r="179" spans="1:10" x14ac:dyDescent="0.2">
      <c r="A179" t="s">
        <v>285</v>
      </c>
      <c r="B179" s="31">
        <v>1.28</v>
      </c>
      <c r="C179" s="71">
        <v>41966</v>
      </c>
      <c r="D179">
        <v>23.9</v>
      </c>
      <c r="E179">
        <f t="shared" si="0"/>
        <v>30.591999999999999</v>
      </c>
      <c r="F179" t="s">
        <v>609</v>
      </c>
      <c r="G179" t="s">
        <v>299</v>
      </c>
      <c r="H179" s="71">
        <v>41953</v>
      </c>
      <c r="I179" t="s">
        <v>748</v>
      </c>
      <c r="J179" t="s">
        <v>13</v>
      </c>
    </row>
    <row r="180" spans="1:10" x14ac:dyDescent="0.2">
      <c r="A180" t="s">
        <v>318</v>
      </c>
      <c r="B180" s="31">
        <v>0.61799999999999999</v>
      </c>
      <c r="C180" s="71">
        <v>41966</v>
      </c>
      <c r="D180">
        <v>20.99</v>
      </c>
      <c r="E180">
        <f t="shared" si="0"/>
        <v>12.971819999999999</v>
      </c>
      <c r="F180" t="s">
        <v>609</v>
      </c>
      <c r="G180" t="s">
        <v>299</v>
      </c>
      <c r="H180" s="71">
        <v>41953</v>
      </c>
      <c r="I180" t="s">
        <v>748</v>
      </c>
      <c r="J180" t="s">
        <v>13</v>
      </c>
    </row>
    <row r="181" spans="1:10" x14ac:dyDescent="0.2">
      <c r="A181" t="s">
        <v>264</v>
      </c>
      <c r="B181" s="31">
        <v>1</v>
      </c>
      <c r="C181" s="71">
        <v>41966</v>
      </c>
      <c r="D181">
        <v>7.39</v>
      </c>
      <c r="E181">
        <f t="shared" si="0"/>
        <v>7.39</v>
      </c>
      <c r="F181" t="s">
        <v>618</v>
      </c>
      <c r="G181" t="s">
        <v>298</v>
      </c>
      <c r="H181" s="71">
        <v>41953</v>
      </c>
      <c r="I181" t="s">
        <v>748</v>
      </c>
      <c r="J181" t="s">
        <v>13</v>
      </c>
    </row>
    <row r="182" spans="1:10" x14ac:dyDescent="0.2">
      <c r="A182" t="s">
        <v>234</v>
      </c>
      <c r="B182" s="31">
        <v>1</v>
      </c>
      <c r="C182" s="71">
        <v>41966</v>
      </c>
      <c r="D182">
        <v>3.89</v>
      </c>
      <c r="E182">
        <f t="shared" si="0"/>
        <v>3.89</v>
      </c>
      <c r="F182" t="s">
        <v>222</v>
      </c>
      <c r="G182" t="s">
        <v>298</v>
      </c>
      <c r="H182" s="71">
        <v>41953</v>
      </c>
      <c r="I182" t="s">
        <v>748</v>
      </c>
      <c r="J182" t="s">
        <v>13</v>
      </c>
    </row>
    <row r="183" spans="1:10" x14ac:dyDescent="0.2">
      <c r="A183" t="s">
        <v>215</v>
      </c>
      <c r="B183" s="31">
        <v>6</v>
      </c>
      <c r="C183" s="71">
        <v>41966</v>
      </c>
      <c r="D183">
        <v>2.99</v>
      </c>
      <c r="E183">
        <f t="shared" si="0"/>
        <v>17.940000000000001</v>
      </c>
      <c r="F183" t="s">
        <v>215</v>
      </c>
      <c r="G183" t="s">
        <v>298</v>
      </c>
      <c r="H183" s="71">
        <v>41953</v>
      </c>
      <c r="I183" t="s">
        <v>748</v>
      </c>
      <c r="J183" t="s">
        <v>13</v>
      </c>
    </row>
    <row r="184" spans="1:10" x14ac:dyDescent="0.2">
      <c r="A184" t="s">
        <v>220</v>
      </c>
      <c r="B184" s="31">
        <v>1</v>
      </c>
      <c r="C184" s="71">
        <v>41966</v>
      </c>
      <c r="D184">
        <v>15.99</v>
      </c>
      <c r="E184">
        <f t="shared" si="0"/>
        <v>15.99</v>
      </c>
      <c r="F184" t="s">
        <v>222</v>
      </c>
      <c r="G184" t="s">
        <v>298</v>
      </c>
      <c r="H184" s="71">
        <v>41953</v>
      </c>
      <c r="I184" t="s">
        <v>748</v>
      </c>
      <c r="J184" t="s">
        <v>13</v>
      </c>
    </row>
    <row r="185" spans="1:10" x14ac:dyDescent="0.2">
      <c r="A185" t="s">
        <v>610</v>
      </c>
      <c r="B185" s="31">
        <v>1</v>
      </c>
      <c r="C185" s="71">
        <v>41966</v>
      </c>
      <c r="D185">
        <v>1.99</v>
      </c>
      <c r="E185">
        <f t="shared" si="0"/>
        <v>1.99</v>
      </c>
      <c r="F185" t="s">
        <v>465</v>
      </c>
      <c r="G185" t="s">
        <v>298</v>
      </c>
      <c r="H185" s="71">
        <v>41953</v>
      </c>
      <c r="I185" t="s">
        <v>748</v>
      </c>
      <c r="J185" t="s">
        <v>13</v>
      </c>
    </row>
    <row r="186" spans="1:10" x14ac:dyDescent="0.2">
      <c r="A186" t="s">
        <v>319</v>
      </c>
      <c r="B186" s="31">
        <v>1</v>
      </c>
      <c r="C186" s="71">
        <v>41966</v>
      </c>
      <c r="D186">
        <v>2.79</v>
      </c>
      <c r="E186">
        <f t="shared" si="0"/>
        <v>2.79</v>
      </c>
      <c r="F186" t="s">
        <v>267</v>
      </c>
      <c r="G186" t="s">
        <v>298</v>
      </c>
      <c r="H186" s="71">
        <v>41953</v>
      </c>
      <c r="I186" t="s">
        <v>748</v>
      </c>
      <c r="J186" t="s">
        <v>13</v>
      </c>
    </row>
    <row r="187" spans="1:10" x14ac:dyDescent="0.2">
      <c r="A187" t="s">
        <v>612</v>
      </c>
      <c r="B187" s="31">
        <v>1</v>
      </c>
      <c r="C187" s="71">
        <v>41966</v>
      </c>
      <c r="D187">
        <v>3.1</v>
      </c>
      <c r="E187">
        <f t="shared" si="0"/>
        <v>3.1</v>
      </c>
      <c r="F187" t="s">
        <v>465</v>
      </c>
      <c r="G187" t="s">
        <v>298</v>
      </c>
      <c r="H187" s="71">
        <v>41953</v>
      </c>
      <c r="I187" t="s">
        <v>748</v>
      </c>
      <c r="J187" t="s">
        <v>13</v>
      </c>
    </row>
    <row r="188" spans="1:10" x14ac:dyDescent="0.2">
      <c r="A188" t="s">
        <v>320</v>
      </c>
      <c r="B188" s="31">
        <v>1</v>
      </c>
      <c r="C188" s="71">
        <v>41966</v>
      </c>
      <c r="D188">
        <v>13.74</v>
      </c>
      <c r="E188">
        <f t="shared" si="0"/>
        <v>13.74</v>
      </c>
      <c r="F188" t="s">
        <v>322</v>
      </c>
      <c r="G188" t="s">
        <v>298</v>
      </c>
      <c r="H188" s="71">
        <v>41953</v>
      </c>
      <c r="I188" t="s">
        <v>748</v>
      </c>
      <c r="J188" t="s">
        <v>13</v>
      </c>
    </row>
    <row r="189" spans="1:10" x14ac:dyDescent="0.2">
      <c r="A189" t="s">
        <v>353</v>
      </c>
      <c r="B189" s="31">
        <v>1</v>
      </c>
      <c r="C189" s="71">
        <v>41966</v>
      </c>
      <c r="D189">
        <v>6.29</v>
      </c>
      <c r="E189">
        <f t="shared" si="0"/>
        <v>6.29</v>
      </c>
      <c r="F189" t="s">
        <v>620</v>
      </c>
      <c r="G189" t="s">
        <v>298</v>
      </c>
      <c r="H189" s="71">
        <v>41953</v>
      </c>
      <c r="I189" t="s">
        <v>748</v>
      </c>
      <c r="J189" t="s">
        <v>13</v>
      </c>
    </row>
    <row r="190" spans="1:10" x14ac:dyDescent="0.2">
      <c r="A190" t="s">
        <v>353</v>
      </c>
      <c r="B190" s="31">
        <v>1</v>
      </c>
      <c r="C190" s="71">
        <v>41966</v>
      </c>
      <c r="D190">
        <v>2.99</v>
      </c>
      <c r="E190">
        <f t="shared" si="0"/>
        <v>2.99</v>
      </c>
      <c r="F190" t="s">
        <v>620</v>
      </c>
      <c r="G190" t="s">
        <v>298</v>
      </c>
      <c r="H190" s="71">
        <v>41953</v>
      </c>
      <c r="I190" t="s">
        <v>748</v>
      </c>
      <c r="J190" t="s">
        <v>13</v>
      </c>
    </row>
    <row r="191" spans="1:10" x14ac:dyDescent="0.2">
      <c r="A191" t="s">
        <v>244</v>
      </c>
      <c r="B191" s="31">
        <v>2</v>
      </c>
      <c r="C191" s="71">
        <v>41966</v>
      </c>
      <c r="D191">
        <v>2.38</v>
      </c>
      <c r="E191">
        <f t="shared" si="0"/>
        <v>4.76</v>
      </c>
      <c r="F191" t="s">
        <v>282</v>
      </c>
      <c r="G191" t="s">
        <v>298</v>
      </c>
      <c r="H191" s="71">
        <v>41953</v>
      </c>
      <c r="I191" t="s">
        <v>748</v>
      </c>
      <c r="J191" t="s">
        <v>13</v>
      </c>
    </row>
    <row r="192" spans="1:10" x14ac:dyDescent="0.2">
      <c r="A192" t="s">
        <v>321</v>
      </c>
      <c r="B192" s="31">
        <v>1</v>
      </c>
      <c r="C192" s="71">
        <v>41966</v>
      </c>
      <c r="D192">
        <v>0.99</v>
      </c>
      <c r="E192">
        <f t="shared" si="0"/>
        <v>0.99</v>
      </c>
      <c r="F192" t="s">
        <v>282</v>
      </c>
      <c r="G192" t="s">
        <v>298</v>
      </c>
      <c r="H192" s="71">
        <v>41953</v>
      </c>
      <c r="I192" t="s">
        <v>748</v>
      </c>
      <c r="J192" t="s">
        <v>13</v>
      </c>
    </row>
    <row r="193" spans="1:10" x14ac:dyDescent="0.2">
      <c r="A193" t="s">
        <v>271</v>
      </c>
      <c r="B193" s="31">
        <v>1</v>
      </c>
      <c r="C193" s="71">
        <v>41966</v>
      </c>
      <c r="D193">
        <v>3.6</v>
      </c>
      <c r="E193">
        <f t="shared" si="0"/>
        <v>3.6</v>
      </c>
      <c r="F193" t="s">
        <v>282</v>
      </c>
      <c r="G193" t="s">
        <v>298</v>
      </c>
      <c r="H193" s="71">
        <v>41953</v>
      </c>
      <c r="I193" t="s">
        <v>748</v>
      </c>
      <c r="J193" t="s">
        <v>13</v>
      </c>
    </row>
    <row r="194" spans="1:10" x14ac:dyDescent="0.2">
      <c r="A194" t="s">
        <v>248</v>
      </c>
      <c r="B194" s="31">
        <v>1</v>
      </c>
      <c r="C194" s="71">
        <v>41966</v>
      </c>
      <c r="D194">
        <v>3.29</v>
      </c>
      <c r="E194">
        <f t="shared" si="0"/>
        <v>3.29</v>
      </c>
      <c r="F194" t="s">
        <v>287</v>
      </c>
      <c r="G194" t="s">
        <v>298</v>
      </c>
      <c r="H194" s="71">
        <v>41953</v>
      </c>
      <c r="I194" t="s">
        <v>748</v>
      </c>
      <c r="J194" t="s">
        <v>13</v>
      </c>
    </row>
    <row r="195" spans="1:10" x14ac:dyDescent="0.2">
      <c r="A195" t="s">
        <v>269</v>
      </c>
      <c r="B195" s="31">
        <v>1</v>
      </c>
      <c r="C195" s="71">
        <v>41966</v>
      </c>
      <c r="D195">
        <v>4.75</v>
      </c>
      <c r="E195">
        <f t="shared" si="0"/>
        <v>4.75</v>
      </c>
      <c r="F195" t="s">
        <v>615</v>
      </c>
      <c r="G195" t="s">
        <v>298</v>
      </c>
      <c r="H195" s="71">
        <v>41953</v>
      </c>
      <c r="I195" t="s">
        <v>748</v>
      </c>
      <c r="J195" t="s">
        <v>13</v>
      </c>
    </row>
    <row r="196" spans="1:10" x14ac:dyDescent="0.2">
      <c r="A196" t="s">
        <v>351</v>
      </c>
      <c r="B196" s="31">
        <v>1</v>
      </c>
      <c r="C196" s="71">
        <v>41976</v>
      </c>
      <c r="D196">
        <v>2.85</v>
      </c>
      <c r="E196">
        <f t="shared" si="0"/>
        <v>2.85</v>
      </c>
      <c r="F196" t="s">
        <v>73</v>
      </c>
      <c r="G196" t="s">
        <v>298</v>
      </c>
      <c r="H196" s="71">
        <v>41953</v>
      </c>
      <c r="I196" t="s">
        <v>748</v>
      </c>
      <c r="J196" t="s">
        <v>13</v>
      </c>
    </row>
    <row r="197" spans="1:10" x14ac:dyDescent="0.2">
      <c r="A197" t="s">
        <v>352</v>
      </c>
      <c r="B197" s="31">
        <v>0.105</v>
      </c>
      <c r="C197" s="71">
        <v>41976</v>
      </c>
      <c r="D197">
        <v>54.99</v>
      </c>
      <c r="E197">
        <f t="shared" si="0"/>
        <v>5.7739500000000001</v>
      </c>
      <c r="F197" t="s">
        <v>653</v>
      </c>
      <c r="G197" t="s">
        <v>299</v>
      </c>
      <c r="H197" s="71">
        <v>41953</v>
      </c>
      <c r="I197" t="s">
        <v>748</v>
      </c>
      <c r="J197" t="s">
        <v>13</v>
      </c>
    </row>
    <row r="198" spans="1:10" x14ac:dyDescent="0.2">
      <c r="A198" t="s">
        <v>295</v>
      </c>
      <c r="B198" s="31">
        <v>0.25</v>
      </c>
      <c r="C198" s="71">
        <v>41976</v>
      </c>
      <c r="D198">
        <v>28.09</v>
      </c>
      <c r="E198">
        <f t="shared" si="0"/>
        <v>7.0225</v>
      </c>
      <c r="F198" t="s">
        <v>653</v>
      </c>
      <c r="G198" t="s">
        <v>299</v>
      </c>
      <c r="H198" s="71">
        <v>41953</v>
      </c>
      <c r="I198" t="s">
        <v>748</v>
      </c>
      <c r="J198" t="s">
        <v>13</v>
      </c>
    </row>
    <row r="199" spans="1:10" x14ac:dyDescent="0.2">
      <c r="A199" t="s">
        <v>285</v>
      </c>
      <c r="B199" s="31">
        <v>0.33</v>
      </c>
      <c r="C199" s="71">
        <v>41976</v>
      </c>
      <c r="D199">
        <v>30.59</v>
      </c>
      <c r="E199">
        <f t="shared" si="0"/>
        <v>10.0947</v>
      </c>
      <c r="F199" t="s">
        <v>609</v>
      </c>
      <c r="G199" t="s">
        <v>299</v>
      </c>
      <c r="H199" s="71">
        <v>41953</v>
      </c>
      <c r="I199" t="s">
        <v>748</v>
      </c>
      <c r="J199" t="s">
        <v>13</v>
      </c>
    </row>
    <row r="200" spans="1:10" x14ac:dyDescent="0.2">
      <c r="A200" t="s">
        <v>353</v>
      </c>
      <c r="B200" s="31">
        <v>1</v>
      </c>
      <c r="C200" s="71">
        <v>41976</v>
      </c>
      <c r="D200">
        <v>4.49</v>
      </c>
      <c r="E200">
        <f t="shared" si="0"/>
        <v>4.49</v>
      </c>
      <c r="F200" t="s">
        <v>620</v>
      </c>
      <c r="G200" t="s">
        <v>298</v>
      </c>
      <c r="H200" s="71">
        <v>41953</v>
      </c>
      <c r="I200" t="s">
        <v>748</v>
      </c>
      <c r="J200" t="s">
        <v>13</v>
      </c>
    </row>
    <row r="201" spans="1:10" x14ac:dyDescent="0.2">
      <c r="A201" t="s">
        <v>257</v>
      </c>
      <c r="B201" s="31">
        <v>1</v>
      </c>
      <c r="C201" s="71">
        <v>41976</v>
      </c>
      <c r="D201">
        <v>41.99</v>
      </c>
      <c r="E201">
        <f t="shared" si="0"/>
        <v>41.99</v>
      </c>
      <c r="F201" t="s">
        <v>619</v>
      </c>
      <c r="G201" t="s">
        <v>298</v>
      </c>
      <c r="H201" s="71">
        <v>41953</v>
      </c>
      <c r="I201" t="s">
        <v>748</v>
      </c>
      <c r="J201" t="s">
        <v>13</v>
      </c>
    </row>
    <row r="202" spans="1:10" x14ac:dyDescent="0.2">
      <c r="A202" t="s">
        <v>354</v>
      </c>
      <c r="B202" s="31">
        <v>3</v>
      </c>
      <c r="C202" s="71">
        <v>41976</v>
      </c>
      <c r="D202">
        <v>3.49</v>
      </c>
      <c r="E202">
        <f t="shared" si="0"/>
        <v>10.47</v>
      </c>
      <c r="F202" t="s">
        <v>215</v>
      </c>
      <c r="G202" t="s">
        <v>298</v>
      </c>
      <c r="H202" s="71">
        <v>41953</v>
      </c>
      <c r="I202" t="s">
        <v>748</v>
      </c>
      <c r="J202" t="s">
        <v>13</v>
      </c>
    </row>
    <row r="203" spans="1:10" x14ac:dyDescent="0.2">
      <c r="A203" t="s">
        <v>355</v>
      </c>
      <c r="B203" s="31">
        <v>1</v>
      </c>
      <c r="C203" s="71">
        <v>41976</v>
      </c>
      <c r="D203">
        <v>2.85</v>
      </c>
      <c r="E203">
        <f t="shared" si="0"/>
        <v>2.85</v>
      </c>
      <c r="F203" t="s">
        <v>215</v>
      </c>
      <c r="G203" t="s">
        <v>298</v>
      </c>
      <c r="H203" s="71">
        <v>41953</v>
      </c>
      <c r="I203" t="s">
        <v>748</v>
      </c>
      <c r="J203" t="s">
        <v>13</v>
      </c>
    </row>
    <row r="204" spans="1:10" x14ac:dyDescent="0.2">
      <c r="A204" t="s">
        <v>249</v>
      </c>
      <c r="B204" s="31">
        <v>1</v>
      </c>
      <c r="C204" s="71">
        <v>41976</v>
      </c>
      <c r="D204">
        <v>5.49</v>
      </c>
      <c r="E204">
        <f t="shared" si="0"/>
        <v>5.49</v>
      </c>
      <c r="F204" t="s">
        <v>468</v>
      </c>
      <c r="G204" t="s">
        <v>298</v>
      </c>
      <c r="H204" s="71">
        <v>41953</v>
      </c>
      <c r="I204" t="s">
        <v>748</v>
      </c>
      <c r="J204" t="s">
        <v>13</v>
      </c>
    </row>
    <row r="205" spans="1:10" x14ac:dyDescent="0.2">
      <c r="A205" t="s">
        <v>220</v>
      </c>
      <c r="B205" s="31">
        <v>1</v>
      </c>
      <c r="C205" s="71">
        <v>41995</v>
      </c>
      <c r="D205">
        <v>14.99</v>
      </c>
      <c r="E205">
        <f t="shared" ref="E205:E226" si="1">B205*D205</f>
        <v>14.99</v>
      </c>
      <c r="F205" t="s">
        <v>222</v>
      </c>
      <c r="G205" t="s">
        <v>298</v>
      </c>
      <c r="H205" s="71">
        <v>41983</v>
      </c>
      <c r="I205" t="s">
        <v>748</v>
      </c>
      <c r="J205" t="s">
        <v>13</v>
      </c>
    </row>
    <row r="206" spans="1:10" x14ac:dyDescent="0.2">
      <c r="A206" t="s">
        <v>404</v>
      </c>
      <c r="B206" s="31">
        <v>1</v>
      </c>
      <c r="C206" s="71">
        <v>41995</v>
      </c>
      <c r="D206">
        <v>2.98</v>
      </c>
      <c r="E206">
        <f t="shared" si="1"/>
        <v>2.98</v>
      </c>
      <c r="F206" t="s">
        <v>287</v>
      </c>
      <c r="G206" t="s">
        <v>298</v>
      </c>
      <c r="H206" s="71">
        <v>41983</v>
      </c>
      <c r="I206" t="s">
        <v>748</v>
      </c>
      <c r="J206" t="s">
        <v>13</v>
      </c>
    </row>
    <row r="207" spans="1:10" x14ac:dyDescent="0.2">
      <c r="A207" t="s">
        <v>241</v>
      </c>
      <c r="B207" s="31">
        <v>1</v>
      </c>
      <c r="C207" s="71">
        <v>41995</v>
      </c>
      <c r="D207">
        <v>3.98</v>
      </c>
      <c r="E207">
        <f t="shared" si="1"/>
        <v>3.98</v>
      </c>
      <c r="F207" t="s">
        <v>282</v>
      </c>
      <c r="G207" t="s">
        <v>298</v>
      </c>
      <c r="H207" s="71">
        <v>41983</v>
      </c>
      <c r="I207" t="s">
        <v>748</v>
      </c>
      <c r="J207" t="s">
        <v>13</v>
      </c>
    </row>
    <row r="208" spans="1:10" x14ac:dyDescent="0.2">
      <c r="A208" t="s">
        <v>274</v>
      </c>
      <c r="B208" s="31">
        <v>2</v>
      </c>
      <c r="C208" s="71">
        <v>41995</v>
      </c>
      <c r="D208">
        <v>12.5</v>
      </c>
      <c r="E208">
        <f t="shared" si="1"/>
        <v>25</v>
      </c>
      <c r="F208" t="s">
        <v>282</v>
      </c>
      <c r="G208" t="s">
        <v>298</v>
      </c>
      <c r="H208" s="71">
        <v>41983</v>
      </c>
      <c r="I208" t="s">
        <v>748</v>
      </c>
      <c r="J208" t="s">
        <v>13</v>
      </c>
    </row>
    <row r="209" spans="1:10" x14ac:dyDescent="0.2">
      <c r="A209" t="s">
        <v>321</v>
      </c>
      <c r="B209" s="31">
        <v>1</v>
      </c>
      <c r="C209" s="71">
        <v>41995</v>
      </c>
      <c r="D209">
        <v>1.79</v>
      </c>
      <c r="E209">
        <f t="shared" si="1"/>
        <v>1.79</v>
      </c>
      <c r="F209" t="s">
        <v>282</v>
      </c>
      <c r="G209" t="s">
        <v>298</v>
      </c>
      <c r="H209" s="71">
        <v>41983</v>
      </c>
      <c r="I209" t="s">
        <v>748</v>
      </c>
      <c r="J209" t="s">
        <v>13</v>
      </c>
    </row>
    <row r="210" spans="1:10" x14ac:dyDescent="0.2">
      <c r="A210" t="s">
        <v>405</v>
      </c>
      <c r="B210" s="31">
        <v>1</v>
      </c>
      <c r="C210" s="71">
        <v>41995</v>
      </c>
      <c r="D210">
        <v>11.8</v>
      </c>
      <c r="E210">
        <f t="shared" si="1"/>
        <v>11.8</v>
      </c>
      <c r="F210" t="s">
        <v>282</v>
      </c>
      <c r="G210" t="s">
        <v>298</v>
      </c>
      <c r="H210" s="71">
        <v>41983</v>
      </c>
      <c r="I210" t="s">
        <v>748</v>
      </c>
      <c r="J210" t="s">
        <v>13</v>
      </c>
    </row>
    <row r="211" spans="1:10" x14ac:dyDescent="0.2">
      <c r="A211" t="s">
        <v>472</v>
      </c>
      <c r="B211" s="31">
        <v>1</v>
      </c>
      <c r="C211" s="71">
        <v>41995</v>
      </c>
      <c r="D211">
        <v>8.39</v>
      </c>
      <c r="E211">
        <f t="shared" si="1"/>
        <v>8.39</v>
      </c>
      <c r="F211" t="s">
        <v>282</v>
      </c>
      <c r="G211" t="s">
        <v>298</v>
      </c>
      <c r="H211" s="71">
        <v>41983</v>
      </c>
      <c r="I211" t="s">
        <v>748</v>
      </c>
      <c r="J211" t="s">
        <v>13</v>
      </c>
    </row>
    <row r="212" spans="1:10" x14ac:dyDescent="0.2">
      <c r="A212" t="s">
        <v>473</v>
      </c>
      <c r="B212" s="31">
        <v>1</v>
      </c>
      <c r="C212" s="71">
        <v>41995</v>
      </c>
      <c r="D212">
        <v>4.3499999999999996</v>
      </c>
      <c r="E212">
        <f t="shared" si="1"/>
        <v>4.3499999999999996</v>
      </c>
      <c r="F212" t="s">
        <v>282</v>
      </c>
      <c r="G212" t="s">
        <v>298</v>
      </c>
      <c r="H212" s="71">
        <v>41983</v>
      </c>
      <c r="I212" t="s">
        <v>748</v>
      </c>
      <c r="J212" t="s">
        <v>13</v>
      </c>
    </row>
    <row r="213" spans="1:10" x14ac:dyDescent="0.2">
      <c r="A213" t="s">
        <v>406</v>
      </c>
      <c r="B213" s="31">
        <v>1</v>
      </c>
      <c r="C213" s="71">
        <v>41995</v>
      </c>
      <c r="D213">
        <v>2.99</v>
      </c>
      <c r="E213">
        <f t="shared" si="1"/>
        <v>2.99</v>
      </c>
      <c r="F213" t="s">
        <v>282</v>
      </c>
      <c r="G213" t="s">
        <v>298</v>
      </c>
      <c r="H213" s="71">
        <v>41983</v>
      </c>
      <c r="I213" t="s">
        <v>748</v>
      </c>
      <c r="J213" t="s">
        <v>13</v>
      </c>
    </row>
    <row r="214" spans="1:10" x14ac:dyDescent="0.2">
      <c r="A214" t="s">
        <v>243</v>
      </c>
      <c r="B214" s="31">
        <v>1</v>
      </c>
      <c r="C214" s="71">
        <v>41995</v>
      </c>
      <c r="D214">
        <v>14.9</v>
      </c>
      <c r="E214">
        <f t="shared" si="1"/>
        <v>14.9</v>
      </c>
      <c r="F214" t="s">
        <v>282</v>
      </c>
      <c r="G214" t="s">
        <v>298</v>
      </c>
      <c r="H214" s="71">
        <v>41983</v>
      </c>
      <c r="I214" t="s">
        <v>748</v>
      </c>
      <c r="J214" t="s">
        <v>13</v>
      </c>
    </row>
    <row r="215" spans="1:10" x14ac:dyDescent="0.2">
      <c r="A215" t="s">
        <v>276</v>
      </c>
      <c r="B215" s="31">
        <v>1</v>
      </c>
      <c r="C215" s="71">
        <v>41995</v>
      </c>
      <c r="D215">
        <v>4.8899999999999997</v>
      </c>
      <c r="E215">
        <f t="shared" si="1"/>
        <v>4.8899999999999997</v>
      </c>
      <c r="F215" t="s">
        <v>282</v>
      </c>
      <c r="G215" t="s">
        <v>298</v>
      </c>
      <c r="H215" s="71">
        <v>41983</v>
      </c>
      <c r="I215" t="s">
        <v>748</v>
      </c>
      <c r="J215" t="s">
        <v>13</v>
      </c>
    </row>
    <row r="216" spans="1:10" x14ac:dyDescent="0.2">
      <c r="A216" t="s">
        <v>407</v>
      </c>
      <c r="B216" s="31">
        <v>1</v>
      </c>
      <c r="C216" s="71">
        <v>41995</v>
      </c>
      <c r="D216">
        <v>4.3899999999999997</v>
      </c>
      <c r="E216">
        <f t="shared" si="1"/>
        <v>4.3899999999999997</v>
      </c>
      <c r="F216" t="s">
        <v>282</v>
      </c>
      <c r="G216" t="s">
        <v>298</v>
      </c>
      <c r="H216" s="71">
        <v>41983</v>
      </c>
      <c r="I216" t="s">
        <v>748</v>
      </c>
      <c r="J216" t="s">
        <v>13</v>
      </c>
    </row>
    <row r="217" spans="1:10" x14ac:dyDescent="0.2">
      <c r="A217" t="s">
        <v>408</v>
      </c>
      <c r="B217" s="31">
        <v>1</v>
      </c>
      <c r="C217" s="71">
        <v>41995</v>
      </c>
      <c r="D217">
        <v>5.99</v>
      </c>
      <c r="E217">
        <f t="shared" si="1"/>
        <v>5.99</v>
      </c>
      <c r="F217" t="s">
        <v>468</v>
      </c>
      <c r="G217" t="s">
        <v>298</v>
      </c>
      <c r="H217" s="71">
        <v>41983</v>
      </c>
      <c r="I217" t="s">
        <v>748</v>
      </c>
      <c r="J217" t="s">
        <v>13</v>
      </c>
    </row>
    <row r="218" spans="1:10" x14ac:dyDescent="0.2">
      <c r="A218" t="s">
        <v>408</v>
      </c>
      <c r="B218" s="31">
        <v>1</v>
      </c>
      <c r="C218" s="71">
        <v>41995</v>
      </c>
      <c r="D218">
        <v>7.38</v>
      </c>
      <c r="E218">
        <f t="shared" si="1"/>
        <v>7.38</v>
      </c>
      <c r="F218" t="s">
        <v>468</v>
      </c>
      <c r="G218" t="s">
        <v>298</v>
      </c>
      <c r="H218" s="71">
        <v>41983</v>
      </c>
      <c r="I218" t="s">
        <v>748</v>
      </c>
      <c r="J218" t="s">
        <v>13</v>
      </c>
    </row>
    <row r="219" spans="1:10" x14ac:dyDescent="0.2">
      <c r="A219" t="s">
        <v>224</v>
      </c>
      <c r="B219" s="31">
        <v>1</v>
      </c>
      <c r="C219" s="71">
        <v>41995</v>
      </c>
      <c r="D219">
        <v>3.9</v>
      </c>
      <c r="E219">
        <f t="shared" si="1"/>
        <v>3.9</v>
      </c>
      <c r="F219" t="s">
        <v>208</v>
      </c>
      <c r="G219" t="s">
        <v>298</v>
      </c>
      <c r="H219" s="71">
        <v>41983</v>
      </c>
      <c r="I219" t="s">
        <v>748</v>
      </c>
      <c r="J219" t="s">
        <v>13</v>
      </c>
    </row>
    <row r="220" spans="1:10" x14ac:dyDescent="0.2">
      <c r="A220" t="s">
        <v>295</v>
      </c>
      <c r="B220" s="31">
        <v>0.126</v>
      </c>
      <c r="C220" s="71">
        <v>41995</v>
      </c>
      <c r="D220">
        <v>17.8</v>
      </c>
      <c r="E220">
        <f t="shared" si="1"/>
        <v>2.2427999999999999</v>
      </c>
      <c r="F220" t="s">
        <v>653</v>
      </c>
      <c r="G220" t="s">
        <v>299</v>
      </c>
      <c r="H220" s="71">
        <v>41983</v>
      </c>
      <c r="I220" t="s">
        <v>748</v>
      </c>
      <c r="J220" t="s">
        <v>13</v>
      </c>
    </row>
    <row r="221" spans="1:10" x14ac:dyDescent="0.2">
      <c r="A221" t="s">
        <v>409</v>
      </c>
      <c r="B221" s="31">
        <v>0.122</v>
      </c>
      <c r="C221" s="71">
        <v>41995</v>
      </c>
      <c r="D221">
        <v>29.9</v>
      </c>
      <c r="E221">
        <f t="shared" si="1"/>
        <v>3.6477999999999997</v>
      </c>
      <c r="F221" t="s">
        <v>653</v>
      </c>
      <c r="G221" t="s">
        <v>299</v>
      </c>
      <c r="H221" s="71">
        <v>41983</v>
      </c>
      <c r="I221" t="s">
        <v>748</v>
      </c>
      <c r="J221" t="s">
        <v>13</v>
      </c>
    </row>
    <row r="222" spans="1:10" x14ac:dyDescent="0.2">
      <c r="A222" t="s">
        <v>227</v>
      </c>
      <c r="B222" s="31">
        <v>0.17499999999999999</v>
      </c>
      <c r="C222" s="71">
        <v>41995</v>
      </c>
      <c r="D222">
        <v>7.45</v>
      </c>
      <c r="E222">
        <f t="shared" si="1"/>
        <v>1.30375</v>
      </c>
      <c r="F222" t="s">
        <v>620</v>
      </c>
      <c r="G222" t="s">
        <v>299</v>
      </c>
      <c r="H222" s="71">
        <v>41983</v>
      </c>
      <c r="I222" t="s">
        <v>748</v>
      </c>
      <c r="J222" t="s">
        <v>13</v>
      </c>
    </row>
    <row r="223" spans="1:10" x14ac:dyDescent="0.2">
      <c r="A223" t="s">
        <v>476</v>
      </c>
      <c r="B223" s="31">
        <v>1</v>
      </c>
      <c r="C223" s="71">
        <v>41995</v>
      </c>
      <c r="D223">
        <v>4.58</v>
      </c>
      <c r="E223">
        <f t="shared" si="1"/>
        <v>4.58</v>
      </c>
      <c r="F223" t="s">
        <v>681</v>
      </c>
      <c r="G223" t="s">
        <v>298</v>
      </c>
      <c r="H223" s="71">
        <v>41983</v>
      </c>
      <c r="I223" t="s">
        <v>748</v>
      </c>
      <c r="J223" t="s">
        <v>13</v>
      </c>
    </row>
    <row r="224" spans="1:10" x14ac:dyDescent="0.2">
      <c r="A224" t="s">
        <v>414</v>
      </c>
      <c r="B224" s="31">
        <v>0.39</v>
      </c>
      <c r="C224" s="71">
        <v>41997</v>
      </c>
      <c r="D224">
        <v>9.9</v>
      </c>
      <c r="E224">
        <f t="shared" si="1"/>
        <v>3.8610000000000002</v>
      </c>
      <c r="F224" t="s">
        <v>279</v>
      </c>
      <c r="G224" t="s">
        <v>299</v>
      </c>
      <c r="H224" s="71">
        <v>41983</v>
      </c>
      <c r="I224" t="s">
        <v>748</v>
      </c>
      <c r="J224" t="s">
        <v>13</v>
      </c>
    </row>
    <row r="225" spans="1:10" x14ac:dyDescent="0.2">
      <c r="A225" t="s">
        <v>234</v>
      </c>
      <c r="B225" s="31">
        <v>2</v>
      </c>
      <c r="C225" s="71">
        <v>41997</v>
      </c>
      <c r="D225">
        <v>3.49</v>
      </c>
      <c r="E225">
        <f t="shared" si="1"/>
        <v>6.98</v>
      </c>
      <c r="F225" t="s">
        <v>222</v>
      </c>
      <c r="G225" t="s">
        <v>298</v>
      </c>
      <c r="H225" s="71">
        <v>41983</v>
      </c>
      <c r="I225" t="s">
        <v>748</v>
      </c>
      <c r="J225" t="s">
        <v>13</v>
      </c>
    </row>
    <row r="226" spans="1:10" x14ac:dyDescent="0.2">
      <c r="A226" t="s">
        <v>289</v>
      </c>
      <c r="B226" s="31">
        <v>0.47899999999999998</v>
      </c>
      <c r="C226" s="71">
        <v>41997</v>
      </c>
      <c r="D226">
        <v>9.99</v>
      </c>
      <c r="E226">
        <f t="shared" si="1"/>
        <v>4.7852100000000002</v>
      </c>
      <c r="F226" t="s">
        <v>615</v>
      </c>
      <c r="G226" t="s">
        <v>298</v>
      </c>
      <c r="H226" s="71">
        <v>41983</v>
      </c>
      <c r="I226" t="s">
        <v>748</v>
      </c>
      <c r="J226" t="s">
        <v>13</v>
      </c>
    </row>
    <row r="227" spans="1:10" x14ac:dyDescent="0.2">
      <c r="A227" t="s">
        <v>289</v>
      </c>
      <c r="B227" s="31">
        <v>0.48099999999999998</v>
      </c>
      <c r="C227" s="71">
        <v>41997</v>
      </c>
      <c r="D227">
        <v>11.99</v>
      </c>
      <c r="E227">
        <f t="shared" ref="E227:E290" si="2">B227*D227</f>
        <v>5.7671900000000003</v>
      </c>
      <c r="F227" t="s">
        <v>615</v>
      </c>
      <c r="G227" t="s">
        <v>298</v>
      </c>
      <c r="H227" s="71">
        <v>41983</v>
      </c>
      <c r="I227" t="s">
        <v>748</v>
      </c>
      <c r="J227" t="s">
        <v>13</v>
      </c>
    </row>
    <row r="228" spans="1:10" x14ac:dyDescent="0.2">
      <c r="A228" t="s">
        <v>415</v>
      </c>
      <c r="B228" s="31">
        <v>1</v>
      </c>
      <c r="C228" s="71">
        <v>41997</v>
      </c>
      <c r="D228">
        <v>3.79</v>
      </c>
      <c r="E228">
        <f t="shared" si="2"/>
        <v>3.79</v>
      </c>
      <c r="F228" t="s">
        <v>208</v>
      </c>
      <c r="G228" t="s">
        <v>298</v>
      </c>
      <c r="H228" s="71">
        <v>41983</v>
      </c>
      <c r="I228" t="s">
        <v>748</v>
      </c>
      <c r="J228" t="s">
        <v>13</v>
      </c>
    </row>
    <row r="229" spans="1:10" x14ac:dyDescent="0.2">
      <c r="A229" t="s">
        <v>295</v>
      </c>
      <c r="B229" s="31">
        <v>0.30399999999999999</v>
      </c>
      <c r="C229" s="71">
        <v>41997</v>
      </c>
      <c r="D229">
        <v>36.89</v>
      </c>
      <c r="E229">
        <f t="shared" si="2"/>
        <v>11.214560000000001</v>
      </c>
      <c r="F229" t="s">
        <v>653</v>
      </c>
      <c r="G229" t="s">
        <v>299</v>
      </c>
      <c r="H229" s="71">
        <v>41983</v>
      </c>
      <c r="I229" t="s">
        <v>748</v>
      </c>
      <c r="J229" t="s">
        <v>13</v>
      </c>
    </row>
    <row r="230" spans="1:10" x14ac:dyDescent="0.2">
      <c r="A230" t="s">
        <v>416</v>
      </c>
      <c r="B230" s="31">
        <v>9.5000000000000001E-2</v>
      </c>
      <c r="C230" s="71">
        <v>41997</v>
      </c>
      <c r="D230">
        <v>15.05</v>
      </c>
      <c r="E230">
        <f t="shared" si="2"/>
        <v>1.4297500000000001</v>
      </c>
      <c r="F230" t="s">
        <v>653</v>
      </c>
      <c r="G230" t="s">
        <v>298</v>
      </c>
      <c r="H230" s="71">
        <v>41983</v>
      </c>
      <c r="I230" t="s">
        <v>748</v>
      </c>
      <c r="J230" t="s">
        <v>13</v>
      </c>
    </row>
    <row r="231" spans="1:10" x14ac:dyDescent="0.2">
      <c r="A231" t="s">
        <v>417</v>
      </c>
      <c r="B231" s="31">
        <v>2</v>
      </c>
      <c r="C231" s="71">
        <v>41997</v>
      </c>
      <c r="D231">
        <v>1.19</v>
      </c>
      <c r="E231">
        <f t="shared" si="2"/>
        <v>2.38</v>
      </c>
      <c r="F231" t="s">
        <v>222</v>
      </c>
      <c r="G231" t="s">
        <v>298</v>
      </c>
      <c r="H231" s="71">
        <v>41983</v>
      </c>
      <c r="I231" t="s">
        <v>748</v>
      </c>
      <c r="J231" t="s">
        <v>13</v>
      </c>
    </row>
    <row r="232" spans="1:10" x14ac:dyDescent="0.2">
      <c r="A232" t="s">
        <v>418</v>
      </c>
      <c r="B232" s="31">
        <v>1</v>
      </c>
      <c r="C232" s="71">
        <v>41997</v>
      </c>
      <c r="D232">
        <v>4.29</v>
      </c>
      <c r="E232">
        <f t="shared" si="2"/>
        <v>4.29</v>
      </c>
      <c r="F232" t="s">
        <v>73</v>
      </c>
      <c r="G232" t="s">
        <v>298</v>
      </c>
      <c r="H232" s="71">
        <v>41983</v>
      </c>
      <c r="I232" t="s">
        <v>748</v>
      </c>
      <c r="J232" t="s">
        <v>13</v>
      </c>
    </row>
    <row r="233" spans="1:10" x14ac:dyDescent="0.2">
      <c r="A233" t="s">
        <v>419</v>
      </c>
      <c r="B233" s="31">
        <v>1</v>
      </c>
      <c r="C233" s="71">
        <v>41997</v>
      </c>
      <c r="D233">
        <v>3.99</v>
      </c>
      <c r="E233">
        <f t="shared" si="2"/>
        <v>3.99</v>
      </c>
      <c r="F233" t="s">
        <v>468</v>
      </c>
      <c r="G233" t="s">
        <v>298</v>
      </c>
      <c r="H233" s="71">
        <v>41983</v>
      </c>
      <c r="I233" t="s">
        <v>748</v>
      </c>
      <c r="J233" t="s">
        <v>13</v>
      </c>
    </row>
    <row r="234" spans="1:10" x14ac:dyDescent="0.2">
      <c r="A234" t="s">
        <v>420</v>
      </c>
      <c r="B234" s="31">
        <v>1</v>
      </c>
      <c r="C234" s="71">
        <v>41997</v>
      </c>
      <c r="D234">
        <v>21.69</v>
      </c>
      <c r="E234">
        <f t="shared" si="2"/>
        <v>21.69</v>
      </c>
      <c r="F234" t="s">
        <v>322</v>
      </c>
      <c r="G234" t="s">
        <v>298</v>
      </c>
      <c r="H234" s="71">
        <v>41983</v>
      </c>
      <c r="I234" t="s">
        <v>748</v>
      </c>
      <c r="J234" t="s">
        <v>13</v>
      </c>
    </row>
    <row r="235" spans="1:10" x14ac:dyDescent="0.2">
      <c r="A235" t="s">
        <v>449</v>
      </c>
      <c r="B235" s="31">
        <v>1</v>
      </c>
      <c r="C235" s="71">
        <v>41997</v>
      </c>
      <c r="D235">
        <v>11.9</v>
      </c>
      <c r="E235">
        <f t="shared" si="2"/>
        <v>11.9</v>
      </c>
      <c r="F235" t="s">
        <v>322</v>
      </c>
      <c r="G235" t="s">
        <v>298</v>
      </c>
      <c r="H235" s="71">
        <v>41983</v>
      </c>
      <c r="I235" t="s">
        <v>748</v>
      </c>
      <c r="J235" t="s">
        <v>13</v>
      </c>
    </row>
    <row r="236" spans="1:10" x14ac:dyDescent="0.2">
      <c r="A236" t="s">
        <v>426</v>
      </c>
      <c r="B236" s="31">
        <v>1</v>
      </c>
      <c r="C236" s="71">
        <v>41997</v>
      </c>
      <c r="D236">
        <v>44.9</v>
      </c>
      <c r="E236">
        <f t="shared" si="2"/>
        <v>44.9</v>
      </c>
      <c r="F236" t="s">
        <v>344</v>
      </c>
      <c r="G236" t="s">
        <v>298</v>
      </c>
      <c r="H236" s="71">
        <v>41983</v>
      </c>
      <c r="I236" t="s">
        <v>748</v>
      </c>
      <c r="J236" t="s">
        <v>13</v>
      </c>
    </row>
    <row r="237" spans="1:10" x14ac:dyDescent="0.2">
      <c r="A237" t="s">
        <v>422</v>
      </c>
      <c r="B237" s="31">
        <v>2</v>
      </c>
      <c r="C237" s="71">
        <v>41997</v>
      </c>
      <c r="D237">
        <v>1.25</v>
      </c>
      <c r="E237">
        <f t="shared" si="2"/>
        <v>2.5</v>
      </c>
      <c r="F237" t="s">
        <v>73</v>
      </c>
      <c r="G237" t="s">
        <v>298</v>
      </c>
      <c r="H237" s="71">
        <v>41983</v>
      </c>
      <c r="I237" t="s">
        <v>748</v>
      </c>
      <c r="J237" t="s">
        <v>13</v>
      </c>
    </row>
    <row r="238" spans="1:10" x14ac:dyDescent="0.2">
      <c r="A238" t="s">
        <v>477</v>
      </c>
      <c r="B238" s="31">
        <v>2</v>
      </c>
      <c r="C238" s="71">
        <v>41997</v>
      </c>
      <c r="D238">
        <v>1.19</v>
      </c>
      <c r="E238">
        <f t="shared" si="2"/>
        <v>2.38</v>
      </c>
      <c r="F238" t="s">
        <v>468</v>
      </c>
      <c r="G238" t="s">
        <v>298</v>
      </c>
      <c r="H238" s="71">
        <v>41983</v>
      </c>
      <c r="I238" t="s">
        <v>748</v>
      </c>
      <c r="J238" t="s">
        <v>13</v>
      </c>
    </row>
    <row r="239" spans="1:10" x14ac:dyDescent="0.2">
      <c r="A239" t="s">
        <v>423</v>
      </c>
      <c r="B239" s="31">
        <v>1</v>
      </c>
      <c r="C239" s="71">
        <v>41997</v>
      </c>
      <c r="D239">
        <v>5.55</v>
      </c>
      <c r="E239">
        <f t="shared" si="2"/>
        <v>5.55</v>
      </c>
      <c r="F239" t="s">
        <v>208</v>
      </c>
      <c r="G239" t="s">
        <v>298</v>
      </c>
      <c r="H239" s="71">
        <v>41983</v>
      </c>
      <c r="I239" t="s">
        <v>748</v>
      </c>
      <c r="J239" t="s">
        <v>13</v>
      </c>
    </row>
    <row r="240" spans="1:10" x14ac:dyDescent="0.2">
      <c r="A240" t="s">
        <v>249</v>
      </c>
      <c r="B240" s="31">
        <v>1</v>
      </c>
      <c r="C240" s="71">
        <v>41997</v>
      </c>
      <c r="D240">
        <v>7.99</v>
      </c>
      <c r="E240">
        <f t="shared" si="2"/>
        <v>7.99</v>
      </c>
      <c r="F240" t="s">
        <v>468</v>
      </c>
      <c r="G240" t="s">
        <v>298</v>
      </c>
      <c r="H240" s="71">
        <v>41983</v>
      </c>
      <c r="I240" t="s">
        <v>748</v>
      </c>
      <c r="J240" t="s">
        <v>13</v>
      </c>
    </row>
    <row r="241" spans="1:10" x14ac:dyDescent="0.2">
      <c r="A241" t="s">
        <v>424</v>
      </c>
      <c r="B241" s="31">
        <v>1</v>
      </c>
      <c r="C241" s="71">
        <v>41997</v>
      </c>
      <c r="D241">
        <v>2.4500000000000002</v>
      </c>
      <c r="E241">
        <f t="shared" si="2"/>
        <v>2.4500000000000002</v>
      </c>
      <c r="F241" t="s">
        <v>208</v>
      </c>
      <c r="G241" t="s">
        <v>298</v>
      </c>
      <c r="H241" s="71">
        <v>41983</v>
      </c>
      <c r="I241" t="s">
        <v>748</v>
      </c>
      <c r="J241" t="s">
        <v>13</v>
      </c>
    </row>
    <row r="242" spans="1:10" x14ac:dyDescent="0.2">
      <c r="A242" t="s">
        <v>307</v>
      </c>
      <c r="B242" s="31">
        <v>0.68</v>
      </c>
      <c r="C242" s="71">
        <v>41997</v>
      </c>
      <c r="D242">
        <v>1.59</v>
      </c>
      <c r="E242">
        <f t="shared" si="2"/>
        <v>1.0812000000000002</v>
      </c>
      <c r="F242" t="s">
        <v>280</v>
      </c>
      <c r="G242" t="s">
        <v>299</v>
      </c>
      <c r="H242" s="71">
        <v>41983</v>
      </c>
      <c r="I242" t="s">
        <v>748</v>
      </c>
      <c r="J242" t="s">
        <v>13</v>
      </c>
    </row>
    <row r="243" spans="1:10" x14ac:dyDescent="0.2">
      <c r="A243" t="s">
        <v>302</v>
      </c>
      <c r="B243" s="31">
        <v>0.76500000000000001</v>
      </c>
      <c r="C243" s="71">
        <v>41997</v>
      </c>
      <c r="D243">
        <v>3.98</v>
      </c>
      <c r="E243">
        <f t="shared" si="2"/>
        <v>3.0447000000000002</v>
      </c>
      <c r="F243" t="s">
        <v>279</v>
      </c>
      <c r="G243" t="s">
        <v>299</v>
      </c>
      <c r="H243" s="71">
        <v>41983</v>
      </c>
      <c r="I243" t="s">
        <v>748</v>
      </c>
      <c r="J243" t="s">
        <v>13</v>
      </c>
    </row>
    <row r="244" spans="1:10" x14ac:dyDescent="0.2">
      <c r="A244" t="s">
        <v>313</v>
      </c>
      <c r="B244" s="31">
        <v>0.59499999999999997</v>
      </c>
      <c r="C244" s="71">
        <v>41997</v>
      </c>
      <c r="D244">
        <v>1.99</v>
      </c>
      <c r="E244">
        <f t="shared" si="2"/>
        <v>1.18405</v>
      </c>
      <c r="F244" t="s">
        <v>280</v>
      </c>
      <c r="G244" t="s">
        <v>299</v>
      </c>
      <c r="H244" s="71">
        <v>41983</v>
      </c>
      <c r="I244" t="s">
        <v>748</v>
      </c>
      <c r="J244" t="s">
        <v>13</v>
      </c>
    </row>
    <row r="245" spans="1:10" x14ac:dyDescent="0.2">
      <c r="A245" t="s">
        <v>300</v>
      </c>
      <c r="B245" s="31">
        <v>0.53</v>
      </c>
      <c r="C245" s="71">
        <v>41997</v>
      </c>
      <c r="D245">
        <v>1.99</v>
      </c>
      <c r="E245">
        <f t="shared" si="2"/>
        <v>1.0547</v>
      </c>
      <c r="F245" t="s">
        <v>280</v>
      </c>
      <c r="G245" t="s">
        <v>299</v>
      </c>
      <c r="H245" s="71">
        <v>41983</v>
      </c>
      <c r="I245" t="s">
        <v>748</v>
      </c>
      <c r="J245" t="s">
        <v>13</v>
      </c>
    </row>
    <row r="246" spans="1:10" x14ac:dyDescent="0.2">
      <c r="A246" t="s">
        <v>300</v>
      </c>
      <c r="B246" s="31">
        <v>0.35499999999999998</v>
      </c>
      <c r="C246" s="71">
        <v>41997</v>
      </c>
      <c r="D246">
        <v>7.98</v>
      </c>
      <c r="E246">
        <f t="shared" si="2"/>
        <v>2.8329</v>
      </c>
      <c r="F246" t="s">
        <v>280</v>
      </c>
      <c r="G246" t="s">
        <v>299</v>
      </c>
      <c r="H246" s="71">
        <v>41983</v>
      </c>
      <c r="I246" t="s">
        <v>748</v>
      </c>
      <c r="J246" t="s">
        <v>13</v>
      </c>
    </row>
    <row r="247" spans="1:10" x14ac:dyDescent="0.2">
      <c r="A247" t="s">
        <v>425</v>
      </c>
      <c r="B247" s="31">
        <v>1</v>
      </c>
      <c r="C247" s="71">
        <v>41997</v>
      </c>
      <c r="D247">
        <v>26.99</v>
      </c>
      <c r="E247">
        <f t="shared" si="2"/>
        <v>26.99</v>
      </c>
      <c r="F247" t="s">
        <v>267</v>
      </c>
      <c r="G247" t="s">
        <v>298</v>
      </c>
      <c r="H247" s="71">
        <v>41983</v>
      </c>
      <c r="I247" t="s">
        <v>748</v>
      </c>
      <c r="J247" t="s">
        <v>13</v>
      </c>
    </row>
    <row r="248" spans="1:10" x14ac:dyDescent="0.2">
      <c r="A248" t="s">
        <v>183</v>
      </c>
      <c r="B248" s="31">
        <v>2</v>
      </c>
      <c r="C248" s="71">
        <v>41997</v>
      </c>
      <c r="D248">
        <v>18.489999999999998</v>
      </c>
      <c r="E248">
        <f t="shared" si="2"/>
        <v>36.979999999999997</v>
      </c>
      <c r="F248" t="s">
        <v>221</v>
      </c>
      <c r="G248" t="s">
        <v>298</v>
      </c>
      <c r="H248" s="71">
        <v>41983</v>
      </c>
      <c r="I248" t="s">
        <v>748</v>
      </c>
      <c r="J248" t="s">
        <v>13</v>
      </c>
    </row>
    <row r="249" spans="1:10" x14ac:dyDescent="0.2">
      <c r="A249" t="s">
        <v>422</v>
      </c>
      <c r="B249" s="31">
        <v>2</v>
      </c>
      <c r="C249" s="71">
        <v>42000</v>
      </c>
      <c r="D249">
        <v>0.75</v>
      </c>
      <c r="E249">
        <f t="shared" si="2"/>
        <v>1.5</v>
      </c>
      <c r="F249" t="s">
        <v>73</v>
      </c>
      <c r="G249" t="s">
        <v>298</v>
      </c>
      <c r="H249" s="71">
        <v>41983</v>
      </c>
      <c r="I249" t="s">
        <v>748</v>
      </c>
      <c r="J249" t="s">
        <v>13</v>
      </c>
    </row>
    <row r="250" spans="1:10" x14ac:dyDescent="0.2">
      <c r="A250" t="s">
        <v>427</v>
      </c>
      <c r="B250" s="31">
        <v>1</v>
      </c>
      <c r="C250" s="71">
        <v>42000</v>
      </c>
      <c r="D250">
        <v>1.39</v>
      </c>
      <c r="E250">
        <f t="shared" si="2"/>
        <v>1.39</v>
      </c>
      <c r="F250" t="s">
        <v>618</v>
      </c>
      <c r="G250" t="s">
        <v>298</v>
      </c>
      <c r="H250" s="71">
        <v>41983</v>
      </c>
      <c r="I250" t="s">
        <v>748</v>
      </c>
      <c r="J250" t="s">
        <v>13</v>
      </c>
    </row>
    <row r="251" spans="1:10" x14ac:dyDescent="0.2">
      <c r="A251" t="s">
        <v>353</v>
      </c>
      <c r="B251" s="31">
        <v>1</v>
      </c>
      <c r="C251" s="71">
        <v>42000</v>
      </c>
      <c r="D251">
        <v>3.99</v>
      </c>
      <c r="E251">
        <f t="shared" si="2"/>
        <v>3.99</v>
      </c>
      <c r="F251" t="s">
        <v>620</v>
      </c>
      <c r="G251" t="s">
        <v>298</v>
      </c>
      <c r="H251" s="71">
        <v>41983</v>
      </c>
      <c r="I251" t="s">
        <v>748</v>
      </c>
      <c r="J251" t="s">
        <v>13</v>
      </c>
    </row>
    <row r="252" spans="1:10" x14ac:dyDescent="0.2">
      <c r="A252" t="s">
        <v>610</v>
      </c>
      <c r="B252" s="31">
        <v>1</v>
      </c>
      <c r="C252" s="71">
        <v>42000</v>
      </c>
      <c r="D252">
        <v>1.99</v>
      </c>
      <c r="E252">
        <f t="shared" si="2"/>
        <v>1.99</v>
      </c>
      <c r="F252" t="s">
        <v>465</v>
      </c>
      <c r="G252" t="s">
        <v>298</v>
      </c>
      <c r="H252" s="71">
        <v>41983</v>
      </c>
      <c r="I252" t="s">
        <v>748</v>
      </c>
      <c r="J252" t="s">
        <v>13</v>
      </c>
    </row>
    <row r="253" spans="1:10" x14ac:dyDescent="0.2">
      <c r="A253" t="s">
        <v>428</v>
      </c>
      <c r="B253" s="31">
        <v>1</v>
      </c>
      <c r="C253" s="71">
        <v>42000</v>
      </c>
      <c r="D253">
        <v>1.55</v>
      </c>
      <c r="E253">
        <f t="shared" si="2"/>
        <v>1.55</v>
      </c>
      <c r="F253" t="s">
        <v>465</v>
      </c>
      <c r="G253" t="s">
        <v>298</v>
      </c>
      <c r="H253" s="71">
        <v>41983</v>
      </c>
      <c r="I253" t="s">
        <v>748</v>
      </c>
      <c r="J253" t="s">
        <v>13</v>
      </c>
    </row>
    <row r="254" spans="1:10" x14ac:dyDescent="0.2">
      <c r="A254" t="s">
        <v>428</v>
      </c>
      <c r="B254" s="31">
        <v>1</v>
      </c>
      <c r="C254" s="71">
        <v>42000</v>
      </c>
      <c r="D254">
        <v>3.75</v>
      </c>
      <c r="E254">
        <f t="shared" si="2"/>
        <v>3.75</v>
      </c>
      <c r="F254" t="s">
        <v>465</v>
      </c>
      <c r="G254" t="s">
        <v>298</v>
      </c>
      <c r="H254" s="71">
        <v>41983</v>
      </c>
      <c r="I254" t="s">
        <v>748</v>
      </c>
      <c r="J254" t="s">
        <v>13</v>
      </c>
    </row>
    <row r="255" spans="1:10" x14ac:dyDescent="0.2">
      <c r="A255" t="s">
        <v>429</v>
      </c>
      <c r="B255" s="31">
        <v>2</v>
      </c>
      <c r="C255" s="71">
        <v>42000</v>
      </c>
      <c r="D255">
        <v>2.95</v>
      </c>
      <c r="E255">
        <f t="shared" si="2"/>
        <v>5.9</v>
      </c>
      <c r="F255" t="s">
        <v>465</v>
      </c>
      <c r="G255" t="s">
        <v>298</v>
      </c>
      <c r="H255" s="71">
        <v>41983</v>
      </c>
      <c r="I255" t="s">
        <v>748</v>
      </c>
      <c r="J255" t="s">
        <v>13</v>
      </c>
    </row>
    <row r="256" spans="1:10" x14ac:dyDescent="0.2">
      <c r="A256" t="s">
        <v>430</v>
      </c>
      <c r="B256" s="31">
        <v>1</v>
      </c>
      <c r="C256" s="71">
        <v>42000</v>
      </c>
      <c r="D256">
        <v>3.29</v>
      </c>
      <c r="E256">
        <f t="shared" si="2"/>
        <v>3.29</v>
      </c>
      <c r="F256" t="s">
        <v>73</v>
      </c>
      <c r="G256" t="s">
        <v>298</v>
      </c>
      <c r="H256" s="71">
        <v>41983</v>
      </c>
      <c r="I256" t="s">
        <v>748</v>
      </c>
      <c r="J256" t="s">
        <v>13</v>
      </c>
    </row>
    <row r="257" spans="1:10" x14ac:dyDescent="0.2">
      <c r="A257" t="s">
        <v>257</v>
      </c>
      <c r="B257" s="31">
        <v>1</v>
      </c>
      <c r="C257" s="71">
        <v>42000</v>
      </c>
      <c r="D257">
        <v>19.989999999999998</v>
      </c>
      <c r="E257">
        <f t="shared" si="2"/>
        <v>19.989999999999998</v>
      </c>
      <c r="F257" t="s">
        <v>619</v>
      </c>
      <c r="G257" t="s">
        <v>298</v>
      </c>
      <c r="H257" s="71">
        <v>41983</v>
      </c>
      <c r="I257" t="s">
        <v>748</v>
      </c>
      <c r="J257" t="s">
        <v>13</v>
      </c>
    </row>
    <row r="258" spans="1:10" x14ac:dyDescent="0.2">
      <c r="A258" t="s">
        <v>446</v>
      </c>
      <c r="B258" s="31">
        <v>1</v>
      </c>
      <c r="C258" s="71">
        <v>42000</v>
      </c>
      <c r="D258">
        <v>3.49</v>
      </c>
      <c r="E258">
        <f t="shared" si="2"/>
        <v>3.49</v>
      </c>
      <c r="F258" t="s">
        <v>222</v>
      </c>
      <c r="G258" t="s">
        <v>298</v>
      </c>
      <c r="H258" s="71">
        <v>41983</v>
      </c>
      <c r="I258" t="s">
        <v>748</v>
      </c>
      <c r="J258" t="s">
        <v>13</v>
      </c>
    </row>
    <row r="259" spans="1:10" x14ac:dyDescent="0.2">
      <c r="A259" t="s">
        <v>277</v>
      </c>
      <c r="B259" s="31">
        <v>1</v>
      </c>
      <c r="C259" s="71">
        <v>42000</v>
      </c>
      <c r="D259">
        <v>11.29</v>
      </c>
      <c r="E259">
        <f t="shared" si="2"/>
        <v>11.29</v>
      </c>
      <c r="F259" t="s">
        <v>222</v>
      </c>
      <c r="G259" t="s">
        <v>298</v>
      </c>
      <c r="H259" s="71">
        <v>41983</v>
      </c>
      <c r="I259" t="s">
        <v>748</v>
      </c>
      <c r="J259" t="s">
        <v>13</v>
      </c>
    </row>
    <row r="260" spans="1:10" x14ac:dyDescent="0.2">
      <c r="A260" t="s">
        <v>234</v>
      </c>
      <c r="B260" s="31">
        <v>2</v>
      </c>
      <c r="C260" s="71">
        <v>42000</v>
      </c>
      <c r="D260">
        <v>2.99</v>
      </c>
      <c r="E260">
        <f t="shared" si="2"/>
        <v>5.98</v>
      </c>
      <c r="F260" t="s">
        <v>222</v>
      </c>
      <c r="G260" t="s">
        <v>298</v>
      </c>
      <c r="H260" s="71">
        <v>41983</v>
      </c>
      <c r="I260" t="s">
        <v>748</v>
      </c>
      <c r="J260" t="s">
        <v>13</v>
      </c>
    </row>
    <row r="261" spans="1:10" x14ac:dyDescent="0.2">
      <c r="A261" t="s">
        <v>431</v>
      </c>
      <c r="B261" s="31">
        <v>6</v>
      </c>
      <c r="C261" s="71">
        <v>42000</v>
      </c>
      <c r="D261">
        <v>3.15</v>
      </c>
      <c r="E261">
        <f t="shared" si="2"/>
        <v>18.899999999999999</v>
      </c>
      <c r="F261" t="s">
        <v>215</v>
      </c>
      <c r="G261" t="s">
        <v>298</v>
      </c>
      <c r="H261" s="71">
        <v>41983</v>
      </c>
      <c r="I261" t="s">
        <v>748</v>
      </c>
      <c r="J261" t="s">
        <v>13</v>
      </c>
    </row>
    <row r="262" spans="1:10" x14ac:dyDescent="0.2">
      <c r="A262" t="s">
        <v>425</v>
      </c>
      <c r="B262" s="31">
        <v>1</v>
      </c>
      <c r="C262" s="71">
        <v>42000</v>
      </c>
      <c r="D262">
        <v>26.99</v>
      </c>
      <c r="E262">
        <f t="shared" si="2"/>
        <v>26.99</v>
      </c>
      <c r="F262" t="s">
        <v>267</v>
      </c>
      <c r="G262" t="s">
        <v>298</v>
      </c>
      <c r="H262" s="71">
        <v>41983</v>
      </c>
      <c r="I262" t="s">
        <v>748</v>
      </c>
      <c r="J262" t="s">
        <v>13</v>
      </c>
    </row>
    <row r="263" spans="1:10" x14ac:dyDescent="0.2">
      <c r="A263" t="s">
        <v>417</v>
      </c>
      <c r="B263" s="31">
        <v>5</v>
      </c>
      <c r="C263" s="71">
        <v>42000</v>
      </c>
      <c r="D263">
        <v>1.19</v>
      </c>
      <c r="E263">
        <f t="shared" si="2"/>
        <v>5.9499999999999993</v>
      </c>
      <c r="F263" t="s">
        <v>222</v>
      </c>
      <c r="G263" t="s">
        <v>298</v>
      </c>
      <c r="H263" s="71">
        <v>41983</v>
      </c>
      <c r="I263" t="s">
        <v>748</v>
      </c>
      <c r="J263" t="s">
        <v>13</v>
      </c>
    </row>
    <row r="264" spans="1:10" x14ac:dyDescent="0.2">
      <c r="A264" t="s">
        <v>418</v>
      </c>
      <c r="B264" s="31">
        <v>1</v>
      </c>
      <c r="C264" s="71">
        <v>42000</v>
      </c>
      <c r="D264">
        <v>4.29</v>
      </c>
      <c r="E264">
        <f t="shared" si="2"/>
        <v>4.29</v>
      </c>
      <c r="F264" t="s">
        <v>73</v>
      </c>
      <c r="G264" t="s">
        <v>298</v>
      </c>
      <c r="H264" s="71">
        <v>41983</v>
      </c>
      <c r="I264" t="s">
        <v>748</v>
      </c>
      <c r="J264" t="s">
        <v>13</v>
      </c>
    </row>
    <row r="265" spans="1:10" x14ac:dyDescent="0.2">
      <c r="A265" t="s">
        <v>432</v>
      </c>
      <c r="B265" s="31">
        <v>6</v>
      </c>
      <c r="C265" s="71">
        <v>42000</v>
      </c>
      <c r="D265">
        <v>2.09</v>
      </c>
      <c r="E265">
        <f t="shared" si="2"/>
        <v>12.54</v>
      </c>
      <c r="F265" t="s">
        <v>222</v>
      </c>
      <c r="G265" t="s">
        <v>298</v>
      </c>
      <c r="H265" s="71">
        <v>41983</v>
      </c>
      <c r="I265" t="s">
        <v>748</v>
      </c>
      <c r="J265" t="s">
        <v>13</v>
      </c>
    </row>
    <row r="266" spans="1:10" x14ac:dyDescent="0.2">
      <c r="A266" t="s">
        <v>444</v>
      </c>
      <c r="B266" s="31">
        <v>1</v>
      </c>
      <c r="C266" s="71">
        <v>42000</v>
      </c>
      <c r="D266">
        <v>14.29</v>
      </c>
      <c r="E266">
        <f t="shared" si="2"/>
        <v>14.29</v>
      </c>
      <c r="F266" t="s">
        <v>73</v>
      </c>
      <c r="G266" t="s">
        <v>298</v>
      </c>
      <c r="H266" s="71">
        <v>41983</v>
      </c>
      <c r="I266" t="s">
        <v>748</v>
      </c>
      <c r="J266" t="s">
        <v>13</v>
      </c>
    </row>
    <row r="267" spans="1:10" x14ac:dyDescent="0.2">
      <c r="A267" t="s">
        <v>433</v>
      </c>
      <c r="B267" s="31">
        <v>1</v>
      </c>
      <c r="C267" s="71">
        <v>42000</v>
      </c>
      <c r="D267">
        <v>12.9</v>
      </c>
      <c r="E267">
        <f t="shared" si="2"/>
        <v>12.9</v>
      </c>
      <c r="F267" t="s">
        <v>73</v>
      </c>
      <c r="G267" t="s">
        <v>298</v>
      </c>
      <c r="H267" s="71">
        <v>41983</v>
      </c>
      <c r="I267" t="s">
        <v>748</v>
      </c>
      <c r="J267" t="s">
        <v>13</v>
      </c>
    </row>
    <row r="268" spans="1:10" x14ac:dyDescent="0.2">
      <c r="A268" t="s">
        <v>447</v>
      </c>
      <c r="B268" s="31">
        <v>1</v>
      </c>
      <c r="C268" s="71">
        <v>42000</v>
      </c>
      <c r="D268">
        <v>1.39</v>
      </c>
      <c r="E268">
        <f t="shared" si="2"/>
        <v>1.39</v>
      </c>
      <c r="F268" t="s">
        <v>222</v>
      </c>
      <c r="G268" t="s">
        <v>298</v>
      </c>
      <c r="H268" s="71">
        <v>41983</v>
      </c>
      <c r="I268" t="s">
        <v>748</v>
      </c>
      <c r="J268" t="s">
        <v>13</v>
      </c>
    </row>
    <row r="269" spans="1:10" x14ac:dyDescent="0.2">
      <c r="A269" t="s">
        <v>434</v>
      </c>
      <c r="B269" s="31">
        <v>1</v>
      </c>
      <c r="C269" s="71">
        <v>42000</v>
      </c>
      <c r="D269">
        <v>6.99</v>
      </c>
      <c r="E269">
        <f t="shared" si="2"/>
        <v>6.99</v>
      </c>
      <c r="F269" t="s">
        <v>614</v>
      </c>
      <c r="G269" t="s">
        <v>298</v>
      </c>
      <c r="H269" s="71">
        <v>41983</v>
      </c>
      <c r="I269" t="s">
        <v>748</v>
      </c>
      <c r="J269" t="s">
        <v>13</v>
      </c>
    </row>
    <row r="270" spans="1:10" x14ac:dyDescent="0.2">
      <c r="A270" t="s">
        <v>435</v>
      </c>
      <c r="B270" s="31">
        <v>1</v>
      </c>
      <c r="C270" s="71">
        <v>42000</v>
      </c>
      <c r="D270">
        <v>4.49</v>
      </c>
      <c r="E270">
        <f t="shared" si="2"/>
        <v>4.49</v>
      </c>
      <c r="F270" t="s">
        <v>208</v>
      </c>
      <c r="G270" t="s">
        <v>298</v>
      </c>
      <c r="H270" s="71">
        <v>41983</v>
      </c>
      <c r="I270" t="s">
        <v>748</v>
      </c>
      <c r="J270" t="s">
        <v>13</v>
      </c>
    </row>
    <row r="271" spans="1:10" x14ac:dyDescent="0.2">
      <c r="A271" t="s">
        <v>289</v>
      </c>
      <c r="B271" s="31">
        <v>0.14399999999999999</v>
      </c>
      <c r="C271" s="71">
        <v>42000</v>
      </c>
      <c r="D271">
        <v>29.79</v>
      </c>
      <c r="E271">
        <f t="shared" si="2"/>
        <v>4.2897599999999994</v>
      </c>
      <c r="F271" t="s">
        <v>615</v>
      </c>
      <c r="G271" t="s">
        <v>299</v>
      </c>
      <c r="H271" s="71">
        <v>41983</v>
      </c>
      <c r="I271" t="s">
        <v>748</v>
      </c>
      <c r="J271" t="s">
        <v>13</v>
      </c>
    </row>
    <row r="272" spans="1:10" x14ac:dyDescent="0.2">
      <c r="A272" t="s">
        <v>416</v>
      </c>
      <c r="B272" s="31">
        <v>0.158</v>
      </c>
      <c r="C272" s="71">
        <v>42000</v>
      </c>
      <c r="D272">
        <v>26.9</v>
      </c>
      <c r="E272">
        <f t="shared" si="2"/>
        <v>4.2501999999999995</v>
      </c>
      <c r="F272" t="s">
        <v>653</v>
      </c>
      <c r="G272" t="s">
        <v>299</v>
      </c>
      <c r="H272" s="71">
        <v>41983</v>
      </c>
      <c r="I272" t="s">
        <v>748</v>
      </c>
      <c r="J272" t="s">
        <v>13</v>
      </c>
    </row>
    <row r="273" spans="1:10" x14ac:dyDescent="0.2">
      <c r="A273" t="s">
        <v>295</v>
      </c>
      <c r="B273" s="31">
        <v>0.19</v>
      </c>
      <c r="C273" s="71">
        <v>42000</v>
      </c>
      <c r="D273">
        <v>24.9</v>
      </c>
      <c r="E273">
        <f t="shared" si="2"/>
        <v>4.7309999999999999</v>
      </c>
      <c r="F273" t="s">
        <v>653</v>
      </c>
      <c r="G273" t="s">
        <v>299</v>
      </c>
      <c r="H273" s="71">
        <v>41983</v>
      </c>
      <c r="I273" t="s">
        <v>748</v>
      </c>
      <c r="J273" t="s">
        <v>13</v>
      </c>
    </row>
    <row r="274" spans="1:10" x14ac:dyDescent="0.2">
      <c r="A274" t="s">
        <v>295</v>
      </c>
      <c r="B274" s="31">
        <v>0.223</v>
      </c>
      <c r="C274" s="71">
        <v>42000</v>
      </c>
      <c r="D274">
        <v>24.9</v>
      </c>
      <c r="E274">
        <f t="shared" si="2"/>
        <v>5.5526999999999997</v>
      </c>
      <c r="F274" t="s">
        <v>653</v>
      </c>
      <c r="G274" t="s">
        <v>299</v>
      </c>
      <c r="H274" s="71">
        <v>41983</v>
      </c>
      <c r="I274" t="s">
        <v>748</v>
      </c>
      <c r="J274" t="s">
        <v>13</v>
      </c>
    </row>
    <row r="275" spans="1:10" x14ac:dyDescent="0.2">
      <c r="A275" t="s">
        <v>227</v>
      </c>
      <c r="B275" s="31">
        <v>0.17499999999999999</v>
      </c>
      <c r="C275" s="71">
        <v>42000</v>
      </c>
      <c r="D275">
        <v>7.45</v>
      </c>
      <c r="E275">
        <f t="shared" si="2"/>
        <v>1.30375</v>
      </c>
      <c r="F275" t="s">
        <v>620</v>
      </c>
      <c r="G275" t="s">
        <v>299</v>
      </c>
      <c r="H275" s="71">
        <v>41983</v>
      </c>
      <c r="I275" t="s">
        <v>748</v>
      </c>
      <c r="J275" t="s">
        <v>13</v>
      </c>
    </row>
    <row r="276" spans="1:10" x14ac:dyDescent="0.2">
      <c r="A276" t="s">
        <v>436</v>
      </c>
      <c r="B276" s="31">
        <v>2</v>
      </c>
      <c r="C276" s="71">
        <v>42000</v>
      </c>
      <c r="D276">
        <v>5.49</v>
      </c>
      <c r="E276">
        <f t="shared" si="2"/>
        <v>10.98</v>
      </c>
      <c r="F276" t="s">
        <v>448</v>
      </c>
      <c r="G276" t="s">
        <v>298</v>
      </c>
      <c r="H276" s="71">
        <v>41983</v>
      </c>
      <c r="I276" t="s">
        <v>748</v>
      </c>
      <c r="J276" t="s">
        <v>13</v>
      </c>
    </row>
    <row r="277" spans="1:10" x14ac:dyDescent="0.2">
      <c r="A277" t="s">
        <v>357</v>
      </c>
      <c r="B277" s="31">
        <v>9</v>
      </c>
      <c r="C277" s="71">
        <v>42000</v>
      </c>
      <c r="D277">
        <v>1.29</v>
      </c>
      <c r="E277">
        <f t="shared" si="2"/>
        <v>11.61</v>
      </c>
      <c r="F277" t="s">
        <v>468</v>
      </c>
      <c r="G277" t="s">
        <v>298</v>
      </c>
      <c r="H277" s="71">
        <v>41983</v>
      </c>
      <c r="I277" t="s">
        <v>748</v>
      </c>
      <c r="J277" t="s">
        <v>13</v>
      </c>
    </row>
    <row r="278" spans="1:10" x14ac:dyDescent="0.2">
      <c r="A278" t="s">
        <v>419</v>
      </c>
      <c r="B278" s="31">
        <v>1</v>
      </c>
      <c r="C278" s="71">
        <v>42000</v>
      </c>
      <c r="D278">
        <v>2.29</v>
      </c>
      <c r="E278">
        <f t="shared" si="2"/>
        <v>2.29</v>
      </c>
      <c r="F278" t="s">
        <v>468</v>
      </c>
      <c r="G278" t="s">
        <v>298</v>
      </c>
      <c r="H278" s="71">
        <v>41983</v>
      </c>
      <c r="I278" t="s">
        <v>748</v>
      </c>
      <c r="J278" t="s">
        <v>13</v>
      </c>
    </row>
    <row r="279" spans="1:10" x14ac:dyDescent="0.2">
      <c r="A279" t="s">
        <v>437</v>
      </c>
      <c r="B279" s="31">
        <v>2</v>
      </c>
      <c r="C279" s="71">
        <v>42000</v>
      </c>
      <c r="D279">
        <v>1.0900000000000001</v>
      </c>
      <c r="E279">
        <f t="shared" si="2"/>
        <v>2.1800000000000002</v>
      </c>
      <c r="F279" t="s">
        <v>468</v>
      </c>
      <c r="G279" t="s">
        <v>298</v>
      </c>
      <c r="H279" s="71">
        <v>41983</v>
      </c>
      <c r="I279" t="s">
        <v>748</v>
      </c>
      <c r="J279" t="s">
        <v>13</v>
      </c>
    </row>
    <row r="280" spans="1:10" x14ac:dyDescent="0.2">
      <c r="A280" t="s">
        <v>311</v>
      </c>
      <c r="B280" s="31">
        <v>0.23</v>
      </c>
      <c r="C280" s="71">
        <v>42000</v>
      </c>
      <c r="D280">
        <v>3.55</v>
      </c>
      <c r="E280">
        <f t="shared" si="2"/>
        <v>0.8165</v>
      </c>
      <c r="F280" t="s">
        <v>279</v>
      </c>
      <c r="G280" t="s">
        <v>299</v>
      </c>
      <c r="H280" s="71">
        <v>41983</v>
      </c>
      <c r="I280" t="s">
        <v>748</v>
      </c>
      <c r="J280" t="s">
        <v>13</v>
      </c>
    </row>
    <row r="281" spans="1:10" x14ac:dyDescent="0.2">
      <c r="A281" t="s">
        <v>445</v>
      </c>
      <c r="B281" s="31">
        <v>1</v>
      </c>
      <c r="C281" s="71">
        <v>42000</v>
      </c>
      <c r="D281">
        <v>1.99</v>
      </c>
      <c r="E281">
        <f t="shared" si="2"/>
        <v>1.99</v>
      </c>
      <c r="F281" t="s">
        <v>280</v>
      </c>
      <c r="G281" t="s">
        <v>298</v>
      </c>
      <c r="H281" s="71">
        <v>41983</v>
      </c>
      <c r="I281" t="s">
        <v>748</v>
      </c>
      <c r="J281" t="s">
        <v>13</v>
      </c>
    </row>
    <row r="282" spans="1:10" x14ac:dyDescent="0.2">
      <c r="A282" t="s">
        <v>253</v>
      </c>
      <c r="B282" s="31">
        <v>0.85</v>
      </c>
      <c r="C282" s="71">
        <v>42000</v>
      </c>
      <c r="D282">
        <v>3.69</v>
      </c>
      <c r="E282">
        <f t="shared" si="2"/>
        <v>3.1364999999999998</v>
      </c>
      <c r="F282" t="s">
        <v>279</v>
      </c>
      <c r="G282" t="s">
        <v>299</v>
      </c>
      <c r="H282" s="71">
        <v>41983</v>
      </c>
      <c r="I282" t="s">
        <v>748</v>
      </c>
      <c r="J282" t="s">
        <v>13</v>
      </c>
    </row>
    <row r="283" spans="1:10" x14ac:dyDescent="0.2">
      <c r="A283" t="s">
        <v>218</v>
      </c>
      <c r="B283" s="31">
        <v>1</v>
      </c>
      <c r="C283" s="71">
        <v>42000</v>
      </c>
      <c r="D283">
        <v>2.15</v>
      </c>
      <c r="E283">
        <f t="shared" si="2"/>
        <v>2.15</v>
      </c>
      <c r="F283" t="s">
        <v>280</v>
      </c>
      <c r="G283" t="s">
        <v>298</v>
      </c>
      <c r="H283" s="71">
        <v>41983</v>
      </c>
      <c r="I283" t="s">
        <v>748</v>
      </c>
      <c r="J283" t="s">
        <v>13</v>
      </c>
    </row>
    <row r="284" spans="1:10" x14ac:dyDescent="0.2">
      <c r="A284" t="s">
        <v>438</v>
      </c>
      <c r="B284" s="31">
        <v>0.6</v>
      </c>
      <c r="C284" s="71">
        <v>42000</v>
      </c>
      <c r="D284">
        <v>9.99</v>
      </c>
      <c r="E284">
        <f t="shared" si="2"/>
        <v>5.9939999999999998</v>
      </c>
      <c r="F284" t="s">
        <v>280</v>
      </c>
      <c r="G284" t="s">
        <v>299</v>
      </c>
      <c r="H284" s="71">
        <v>41983</v>
      </c>
      <c r="I284" t="s">
        <v>748</v>
      </c>
      <c r="J284" t="s">
        <v>13</v>
      </c>
    </row>
    <row r="285" spans="1:10" x14ac:dyDescent="0.2">
      <c r="A285" t="s">
        <v>307</v>
      </c>
      <c r="B285" s="31">
        <v>0.84</v>
      </c>
      <c r="C285" s="71">
        <v>42000</v>
      </c>
      <c r="D285">
        <v>2.29</v>
      </c>
      <c r="E285">
        <f t="shared" si="2"/>
        <v>1.9236</v>
      </c>
      <c r="F285" t="s">
        <v>280</v>
      </c>
      <c r="G285" t="s">
        <v>299</v>
      </c>
      <c r="H285" s="71">
        <v>41983</v>
      </c>
      <c r="I285" t="s">
        <v>748</v>
      </c>
      <c r="J285" t="s">
        <v>13</v>
      </c>
    </row>
    <row r="286" spans="1:10" x14ac:dyDescent="0.2">
      <c r="A286" t="s">
        <v>439</v>
      </c>
      <c r="B286" s="31">
        <v>2</v>
      </c>
      <c r="C286" s="71">
        <v>42000</v>
      </c>
      <c r="D286">
        <v>5.39</v>
      </c>
      <c r="E286">
        <f t="shared" si="2"/>
        <v>10.78</v>
      </c>
      <c r="F286" t="s">
        <v>344</v>
      </c>
      <c r="G286" t="s">
        <v>298</v>
      </c>
      <c r="H286" s="71">
        <v>41983</v>
      </c>
      <c r="I286" t="s">
        <v>748</v>
      </c>
      <c r="J286" t="s">
        <v>13</v>
      </c>
    </row>
    <row r="287" spans="1:10" x14ac:dyDescent="0.2">
      <c r="A287" t="s">
        <v>440</v>
      </c>
      <c r="B287" s="31">
        <v>1</v>
      </c>
      <c r="C287" s="71">
        <v>42000</v>
      </c>
      <c r="D287">
        <v>10.35</v>
      </c>
      <c r="E287">
        <f t="shared" si="2"/>
        <v>10.35</v>
      </c>
      <c r="F287" t="s">
        <v>344</v>
      </c>
      <c r="G287" t="s">
        <v>298</v>
      </c>
      <c r="H287" s="71">
        <v>41983</v>
      </c>
      <c r="I287" t="s">
        <v>748</v>
      </c>
      <c r="J287" t="s">
        <v>13</v>
      </c>
    </row>
    <row r="288" spans="1:10" x14ac:dyDescent="0.2">
      <c r="A288" t="s">
        <v>421</v>
      </c>
      <c r="B288" s="31">
        <v>1</v>
      </c>
      <c r="C288" s="71">
        <v>42000</v>
      </c>
      <c r="D288">
        <v>7.99</v>
      </c>
      <c r="E288">
        <f t="shared" si="2"/>
        <v>7.99</v>
      </c>
      <c r="F288" t="s">
        <v>322</v>
      </c>
      <c r="G288" t="s">
        <v>298</v>
      </c>
      <c r="H288" s="71">
        <v>41983</v>
      </c>
      <c r="I288" t="s">
        <v>748</v>
      </c>
      <c r="J288" t="s">
        <v>13</v>
      </c>
    </row>
    <row r="289" spans="1:10" x14ac:dyDescent="0.2">
      <c r="A289" t="s">
        <v>320</v>
      </c>
      <c r="B289" s="31">
        <v>1</v>
      </c>
      <c r="C289" s="71">
        <v>42000</v>
      </c>
      <c r="D289">
        <v>18.59</v>
      </c>
      <c r="E289">
        <f t="shared" si="2"/>
        <v>18.59</v>
      </c>
      <c r="F289" t="s">
        <v>322</v>
      </c>
      <c r="G289" t="s">
        <v>298</v>
      </c>
      <c r="H289" s="71">
        <v>41983</v>
      </c>
      <c r="I289" t="s">
        <v>748</v>
      </c>
      <c r="J289" t="s">
        <v>13</v>
      </c>
    </row>
    <row r="290" spans="1:10" x14ac:dyDescent="0.2">
      <c r="A290" t="s">
        <v>441</v>
      </c>
      <c r="B290" s="31">
        <v>1</v>
      </c>
      <c r="C290" s="71">
        <v>42000</v>
      </c>
      <c r="D290">
        <v>9.39</v>
      </c>
      <c r="E290">
        <f t="shared" si="2"/>
        <v>9.39</v>
      </c>
      <c r="F290" t="s">
        <v>322</v>
      </c>
      <c r="G290" t="s">
        <v>298</v>
      </c>
      <c r="H290" s="71">
        <v>41983</v>
      </c>
      <c r="I290" t="s">
        <v>748</v>
      </c>
      <c r="J290" t="s">
        <v>13</v>
      </c>
    </row>
    <row r="291" spans="1:10" x14ac:dyDescent="0.2">
      <c r="A291" t="s">
        <v>442</v>
      </c>
      <c r="B291" s="31">
        <v>1</v>
      </c>
      <c r="C291" s="71">
        <v>42000</v>
      </c>
      <c r="D291">
        <v>13.9</v>
      </c>
      <c r="E291">
        <f>B291*D291</f>
        <v>13.9</v>
      </c>
      <c r="F291" t="s">
        <v>322</v>
      </c>
      <c r="G291" t="s">
        <v>298</v>
      </c>
      <c r="H291" s="71">
        <v>41983</v>
      </c>
      <c r="I291" t="s">
        <v>748</v>
      </c>
      <c r="J291" t="s">
        <v>13</v>
      </c>
    </row>
    <row r="292" spans="1:10" x14ac:dyDescent="0.2">
      <c r="A292" t="s">
        <v>243</v>
      </c>
      <c r="B292" s="31">
        <v>1</v>
      </c>
      <c r="C292" s="71">
        <v>42000</v>
      </c>
      <c r="D292">
        <v>8.4499999999999993</v>
      </c>
      <c r="E292">
        <f>B292*D292</f>
        <v>8.4499999999999993</v>
      </c>
      <c r="F292" t="s">
        <v>282</v>
      </c>
      <c r="G292" t="s">
        <v>298</v>
      </c>
      <c r="H292" s="71">
        <v>41983</v>
      </c>
      <c r="I292" t="s">
        <v>748</v>
      </c>
      <c r="J292" t="s">
        <v>13</v>
      </c>
    </row>
    <row r="293" spans="1:10" x14ac:dyDescent="0.2">
      <c r="A293" t="s">
        <v>443</v>
      </c>
      <c r="B293" s="31">
        <v>1</v>
      </c>
      <c r="C293" s="71">
        <v>42000</v>
      </c>
      <c r="D293">
        <v>14.89</v>
      </c>
      <c r="E293">
        <f>B293*D293</f>
        <v>14.89</v>
      </c>
      <c r="F293" t="s">
        <v>322</v>
      </c>
      <c r="G293" t="s">
        <v>298</v>
      </c>
      <c r="H293" s="71">
        <v>41983</v>
      </c>
      <c r="I293" t="s">
        <v>748</v>
      </c>
      <c r="J293" t="s">
        <v>13</v>
      </c>
    </row>
    <row r="294" spans="1:10" x14ac:dyDescent="0.2">
      <c r="A294" t="s">
        <v>220</v>
      </c>
      <c r="B294" s="31">
        <v>1</v>
      </c>
      <c r="C294" s="71">
        <v>42004</v>
      </c>
      <c r="D294">
        <v>15.99</v>
      </c>
      <c r="E294">
        <f t="shared" ref="E294:E501" si="3">B294*D294</f>
        <v>15.99</v>
      </c>
      <c r="F294" t="s">
        <v>222</v>
      </c>
      <c r="G294" t="s">
        <v>298</v>
      </c>
      <c r="H294" s="71">
        <v>41983</v>
      </c>
      <c r="I294" t="s">
        <v>748</v>
      </c>
      <c r="J294" t="s">
        <v>13</v>
      </c>
    </row>
    <row r="295" spans="1:10" x14ac:dyDescent="0.2">
      <c r="A295" t="s">
        <v>353</v>
      </c>
      <c r="B295" s="31">
        <v>1</v>
      </c>
      <c r="C295" s="71">
        <v>42004</v>
      </c>
      <c r="D295">
        <v>4.6500000000000004</v>
      </c>
      <c r="E295">
        <f t="shared" si="3"/>
        <v>4.6500000000000004</v>
      </c>
      <c r="F295" t="s">
        <v>620</v>
      </c>
      <c r="G295" t="s">
        <v>298</v>
      </c>
      <c r="H295" s="71">
        <v>41983</v>
      </c>
      <c r="I295" t="s">
        <v>748</v>
      </c>
      <c r="J295" t="s">
        <v>13</v>
      </c>
    </row>
    <row r="296" spans="1:10" x14ac:dyDescent="0.2">
      <c r="A296" t="s">
        <v>461</v>
      </c>
      <c r="B296" s="31">
        <v>1</v>
      </c>
      <c r="C296" s="71">
        <v>42004</v>
      </c>
      <c r="D296">
        <v>4.28</v>
      </c>
      <c r="E296">
        <f t="shared" si="3"/>
        <v>4.28</v>
      </c>
      <c r="F296" t="s">
        <v>344</v>
      </c>
      <c r="G296" t="s">
        <v>298</v>
      </c>
      <c r="H296" s="71">
        <v>41983</v>
      </c>
      <c r="I296" t="s">
        <v>748</v>
      </c>
      <c r="J296" t="s">
        <v>13</v>
      </c>
    </row>
    <row r="297" spans="1:10" x14ac:dyDescent="0.2">
      <c r="A297" t="s">
        <v>462</v>
      </c>
      <c r="B297" s="31">
        <v>1</v>
      </c>
      <c r="C297" s="71">
        <v>42004</v>
      </c>
      <c r="D297">
        <v>18.829999999999998</v>
      </c>
      <c r="E297">
        <f t="shared" si="3"/>
        <v>18.829999999999998</v>
      </c>
      <c r="F297" t="s">
        <v>267</v>
      </c>
      <c r="G297" t="s">
        <v>298</v>
      </c>
      <c r="H297" s="71">
        <v>41983</v>
      </c>
      <c r="I297" t="s">
        <v>748</v>
      </c>
      <c r="J297" t="s">
        <v>13</v>
      </c>
    </row>
    <row r="298" spans="1:10" x14ac:dyDescent="0.2">
      <c r="A298" t="s">
        <v>463</v>
      </c>
      <c r="B298" s="31">
        <v>1</v>
      </c>
      <c r="C298" s="71">
        <v>42004</v>
      </c>
      <c r="D298">
        <v>23.9</v>
      </c>
      <c r="E298">
        <f t="shared" si="3"/>
        <v>23.9</v>
      </c>
      <c r="F298" t="s">
        <v>619</v>
      </c>
      <c r="G298" t="s">
        <v>298</v>
      </c>
      <c r="H298" s="71">
        <v>41983</v>
      </c>
      <c r="I298" t="s">
        <v>748</v>
      </c>
      <c r="J298" t="s">
        <v>13</v>
      </c>
    </row>
    <row r="299" spans="1:10" x14ac:dyDescent="0.2">
      <c r="A299" t="s">
        <v>425</v>
      </c>
      <c r="B299" s="31">
        <v>1</v>
      </c>
      <c r="C299" s="71">
        <v>42004</v>
      </c>
      <c r="D299">
        <v>22.69</v>
      </c>
      <c r="E299">
        <f t="shared" si="3"/>
        <v>22.69</v>
      </c>
      <c r="F299" t="s">
        <v>267</v>
      </c>
      <c r="G299" t="s">
        <v>298</v>
      </c>
      <c r="H299" s="71">
        <v>41983</v>
      </c>
      <c r="I299" t="s">
        <v>748</v>
      </c>
      <c r="J299" t="s">
        <v>13</v>
      </c>
    </row>
    <row r="300" spans="1:10" x14ac:dyDescent="0.2">
      <c r="A300" t="s">
        <v>464</v>
      </c>
      <c r="B300" s="31">
        <v>1</v>
      </c>
      <c r="C300" s="71">
        <v>42004</v>
      </c>
      <c r="D300">
        <v>4.99</v>
      </c>
      <c r="E300">
        <f t="shared" si="3"/>
        <v>4.99</v>
      </c>
      <c r="F300" t="s">
        <v>222</v>
      </c>
      <c r="G300" t="s">
        <v>298</v>
      </c>
      <c r="H300" s="71">
        <v>41983</v>
      </c>
      <c r="I300" t="s">
        <v>748</v>
      </c>
      <c r="J300" t="s">
        <v>13</v>
      </c>
    </row>
    <row r="301" spans="1:10" x14ac:dyDescent="0.2">
      <c r="A301" t="s">
        <v>234</v>
      </c>
      <c r="B301" s="31">
        <v>1</v>
      </c>
      <c r="C301" s="71">
        <v>42004</v>
      </c>
      <c r="D301">
        <v>3.89</v>
      </c>
      <c r="E301">
        <f t="shared" si="3"/>
        <v>3.89</v>
      </c>
      <c r="F301" t="s">
        <v>222</v>
      </c>
      <c r="G301" t="s">
        <v>298</v>
      </c>
      <c r="H301" s="71">
        <v>41983</v>
      </c>
      <c r="I301" t="s">
        <v>748</v>
      </c>
      <c r="J301" t="s">
        <v>13</v>
      </c>
    </row>
    <row r="302" spans="1:10" x14ac:dyDescent="0.2">
      <c r="A302" t="s">
        <v>215</v>
      </c>
      <c r="B302" s="31">
        <v>3</v>
      </c>
      <c r="C302" s="71">
        <v>42004</v>
      </c>
      <c r="D302">
        <v>2.35</v>
      </c>
      <c r="E302">
        <f t="shared" si="3"/>
        <v>7.0500000000000007</v>
      </c>
      <c r="F302" t="s">
        <v>215</v>
      </c>
      <c r="G302" t="s">
        <v>298</v>
      </c>
      <c r="H302" s="71">
        <v>41983</v>
      </c>
      <c r="I302" t="s">
        <v>748</v>
      </c>
      <c r="J302" t="s">
        <v>13</v>
      </c>
    </row>
    <row r="303" spans="1:10" x14ac:dyDescent="0.2">
      <c r="A303" t="s">
        <v>465</v>
      </c>
      <c r="B303" s="31">
        <v>2</v>
      </c>
      <c r="C303" s="71">
        <v>42004</v>
      </c>
      <c r="D303">
        <v>4.79</v>
      </c>
      <c r="E303">
        <f t="shared" si="3"/>
        <v>9.58</v>
      </c>
      <c r="F303" t="s">
        <v>465</v>
      </c>
      <c r="G303" t="s">
        <v>298</v>
      </c>
      <c r="H303" s="71">
        <v>41983</v>
      </c>
      <c r="I303" t="s">
        <v>748</v>
      </c>
      <c r="J303" t="s">
        <v>13</v>
      </c>
    </row>
    <row r="304" spans="1:10" x14ac:dyDescent="0.2">
      <c r="A304" t="s">
        <v>610</v>
      </c>
      <c r="B304" s="31">
        <v>1</v>
      </c>
      <c r="C304" s="71">
        <v>42004</v>
      </c>
      <c r="D304">
        <v>1.99</v>
      </c>
      <c r="E304">
        <f t="shared" si="3"/>
        <v>1.99</v>
      </c>
      <c r="F304" t="s">
        <v>465</v>
      </c>
      <c r="G304" t="s">
        <v>298</v>
      </c>
      <c r="H304" s="71">
        <v>41983</v>
      </c>
      <c r="I304" t="s">
        <v>748</v>
      </c>
      <c r="J304" t="s">
        <v>13</v>
      </c>
    </row>
    <row r="305" spans="1:10" x14ac:dyDescent="0.2">
      <c r="A305" t="s">
        <v>264</v>
      </c>
      <c r="B305" s="31">
        <v>3</v>
      </c>
      <c r="C305" s="71">
        <v>42004</v>
      </c>
      <c r="D305">
        <v>7.39</v>
      </c>
      <c r="E305">
        <f t="shared" si="3"/>
        <v>22.169999999999998</v>
      </c>
      <c r="F305" t="s">
        <v>618</v>
      </c>
      <c r="G305" t="s">
        <v>298</v>
      </c>
      <c r="H305" s="71">
        <v>41983</v>
      </c>
      <c r="I305" t="s">
        <v>748</v>
      </c>
      <c r="J305" t="s">
        <v>13</v>
      </c>
    </row>
    <row r="306" spans="1:10" x14ac:dyDescent="0.2">
      <c r="A306" t="s">
        <v>224</v>
      </c>
      <c r="B306" s="31">
        <v>1</v>
      </c>
      <c r="C306" s="71">
        <v>42004</v>
      </c>
      <c r="D306">
        <v>4.96</v>
      </c>
      <c r="E306">
        <f t="shared" si="3"/>
        <v>4.96</v>
      </c>
      <c r="F306" t="s">
        <v>224</v>
      </c>
      <c r="G306" t="s">
        <v>298</v>
      </c>
      <c r="H306" s="71">
        <v>41983</v>
      </c>
      <c r="I306" t="s">
        <v>748</v>
      </c>
      <c r="J306" t="s">
        <v>13</v>
      </c>
    </row>
    <row r="307" spans="1:10" x14ac:dyDescent="0.2">
      <c r="A307" t="s">
        <v>466</v>
      </c>
      <c r="B307" s="31">
        <v>1</v>
      </c>
      <c r="C307" s="71">
        <v>42004</v>
      </c>
      <c r="D307">
        <v>13.99</v>
      </c>
      <c r="E307">
        <f t="shared" si="3"/>
        <v>13.99</v>
      </c>
      <c r="F307" t="s">
        <v>681</v>
      </c>
      <c r="G307" t="s">
        <v>298</v>
      </c>
      <c r="H307" s="71">
        <v>41983</v>
      </c>
      <c r="I307" t="s">
        <v>748</v>
      </c>
      <c r="J307" t="s">
        <v>13</v>
      </c>
    </row>
    <row r="308" spans="1:10" x14ac:dyDescent="0.2">
      <c r="A308" t="s">
        <v>183</v>
      </c>
      <c r="B308" s="31">
        <v>1</v>
      </c>
      <c r="C308" s="71">
        <v>42004</v>
      </c>
      <c r="D308">
        <v>19.579999999999998</v>
      </c>
      <c r="E308">
        <f t="shared" si="3"/>
        <v>19.579999999999998</v>
      </c>
      <c r="F308" t="s">
        <v>221</v>
      </c>
      <c r="G308" t="s">
        <v>298</v>
      </c>
      <c r="H308" s="71">
        <v>41983</v>
      </c>
      <c r="I308" t="s">
        <v>748</v>
      </c>
      <c r="J308" t="s">
        <v>13</v>
      </c>
    </row>
    <row r="309" spans="1:10" x14ac:dyDescent="0.2">
      <c r="A309" t="s">
        <v>183</v>
      </c>
      <c r="B309" s="31">
        <v>1</v>
      </c>
      <c r="C309" s="71">
        <v>42004</v>
      </c>
      <c r="D309">
        <v>14.98</v>
      </c>
      <c r="E309">
        <f t="shared" si="3"/>
        <v>14.98</v>
      </c>
      <c r="F309" t="s">
        <v>221</v>
      </c>
      <c r="G309" t="s">
        <v>298</v>
      </c>
      <c r="H309" s="71">
        <v>41983</v>
      </c>
      <c r="I309" t="s">
        <v>748</v>
      </c>
      <c r="J309" t="s">
        <v>13</v>
      </c>
    </row>
    <row r="310" spans="1:10" x14ac:dyDescent="0.2">
      <c r="A310" t="s">
        <v>302</v>
      </c>
      <c r="B310" s="31">
        <v>0.2</v>
      </c>
      <c r="C310" s="71">
        <v>42004</v>
      </c>
      <c r="D310">
        <v>6.92</v>
      </c>
      <c r="E310">
        <f t="shared" si="3"/>
        <v>1.3840000000000001</v>
      </c>
      <c r="F310" t="s">
        <v>279</v>
      </c>
      <c r="G310" t="s">
        <v>299</v>
      </c>
      <c r="H310" s="71">
        <v>41983</v>
      </c>
      <c r="I310" t="s">
        <v>748</v>
      </c>
      <c r="J310" t="s">
        <v>13</v>
      </c>
    </row>
    <row r="311" spans="1:10" x14ac:dyDescent="0.2">
      <c r="A311" t="s">
        <v>467</v>
      </c>
      <c r="B311" s="31">
        <v>2</v>
      </c>
      <c r="C311" s="71">
        <v>42004</v>
      </c>
      <c r="D311">
        <v>3.51</v>
      </c>
      <c r="E311">
        <f t="shared" si="3"/>
        <v>7.02</v>
      </c>
      <c r="F311" t="s">
        <v>617</v>
      </c>
      <c r="G311" t="s">
        <v>298</v>
      </c>
      <c r="H311" s="71">
        <v>41983</v>
      </c>
      <c r="I311" t="s">
        <v>748</v>
      </c>
      <c r="J311" t="s">
        <v>13</v>
      </c>
    </row>
    <row r="312" spans="1:10" x14ac:dyDescent="0.2">
      <c r="A312" t="s">
        <v>416</v>
      </c>
      <c r="B312" s="31">
        <v>0.51800000000000002</v>
      </c>
      <c r="C312" s="71">
        <v>42004</v>
      </c>
      <c r="D312">
        <v>23.6</v>
      </c>
      <c r="E312">
        <f t="shared" si="3"/>
        <v>12.224800000000002</v>
      </c>
      <c r="F312" t="s">
        <v>653</v>
      </c>
      <c r="G312" t="s">
        <v>299</v>
      </c>
      <c r="H312" s="71">
        <v>41983</v>
      </c>
      <c r="I312" t="s">
        <v>748</v>
      </c>
      <c r="J312" t="s">
        <v>13</v>
      </c>
    </row>
    <row r="313" spans="1:10" x14ac:dyDescent="0.2">
      <c r="A313" t="s">
        <v>295</v>
      </c>
      <c r="B313" s="31">
        <v>0.50800000000000001</v>
      </c>
      <c r="C313" s="71">
        <v>42004</v>
      </c>
      <c r="D313">
        <v>19.45</v>
      </c>
      <c r="E313">
        <f t="shared" si="3"/>
        <v>9.8805999999999994</v>
      </c>
      <c r="F313" t="s">
        <v>653</v>
      </c>
      <c r="G313" t="s">
        <v>299</v>
      </c>
      <c r="H313" s="71">
        <v>41983</v>
      </c>
      <c r="I313" t="s">
        <v>748</v>
      </c>
      <c r="J313" t="s">
        <v>13</v>
      </c>
    </row>
    <row r="314" spans="1:10" x14ac:dyDescent="0.2">
      <c r="A314" t="s">
        <v>311</v>
      </c>
      <c r="B314" s="31">
        <v>0.52500000000000002</v>
      </c>
      <c r="C314" s="71">
        <v>42004</v>
      </c>
      <c r="D314">
        <v>1.99</v>
      </c>
      <c r="E314">
        <f t="shared" si="3"/>
        <v>1.0447500000000001</v>
      </c>
      <c r="F314" t="s">
        <v>279</v>
      </c>
      <c r="G314" t="s">
        <v>299</v>
      </c>
      <c r="H314" s="71">
        <v>41983</v>
      </c>
      <c r="I314" t="s">
        <v>748</v>
      </c>
      <c r="J314" t="s">
        <v>13</v>
      </c>
    </row>
    <row r="315" spans="1:10" x14ac:dyDescent="0.2">
      <c r="A315" t="s">
        <v>218</v>
      </c>
      <c r="B315" s="31">
        <v>1</v>
      </c>
      <c r="C315" s="71">
        <v>42004</v>
      </c>
      <c r="D315">
        <v>1.04</v>
      </c>
      <c r="E315">
        <f t="shared" si="3"/>
        <v>1.04</v>
      </c>
      <c r="F315" t="s">
        <v>280</v>
      </c>
      <c r="G315" t="s">
        <v>298</v>
      </c>
      <c r="H315" s="71">
        <v>41983</v>
      </c>
      <c r="I315" t="s">
        <v>748</v>
      </c>
      <c r="J315" t="s">
        <v>13</v>
      </c>
    </row>
    <row r="316" spans="1:10" x14ac:dyDescent="0.2">
      <c r="A316" t="s">
        <v>230</v>
      </c>
      <c r="B316" s="31">
        <v>0.48</v>
      </c>
      <c r="C316" s="71">
        <v>42004</v>
      </c>
      <c r="D316">
        <v>5.99</v>
      </c>
      <c r="E316">
        <f t="shared" si="3"/>
        <v>2.8752</v>
      </c>
      <c r="F316" t="s">
        <v>280</v>
      </c>
      <c r="G316" t="s">
        <v>299</v>
      </c>
      <c r="H316" s="71">
        <v>41983</v>
      </c>
      <c r="I316" t="s">
        <v>748</v>
      </c>
      <c r="J316" t="s">
        <v>13</v>
      </c>
    </row>
    <row r="317" spans="1:10" x14ac:dyDescent="0.2">
      <c r="A317" t="s">
        <v>253</v>
      </c>
      <c r="B317" s="31">
        <v>0.69499999999999995</v>
      </c>
      <c r="C317" s="71">
        <v>42004</v>
      </c>
      <c r="D317">
        <v>4.32</v>
      </c>
      <c r="E317">
        <f t="shared" si="3"/>
        <v>3.0024000000000002</v>
      </c>
      <c r="F317" t="s">
        <v>279</v>
      </c>
      <c r="G317" t="s">
        <v>299</v>
      </c>
      <c r="H317" s="71">
        <v>41983</v>
      </c>
      <c r="I317" t="s">
        <v>748</v>
      </c>
      <c r="J317" t="s">
        <v>13</v>
      </c>
    </row>
    <row r="318" spans="1:10" x14ac:dyDescent="0.2">
      <c r="A318" t="s">
        <v>307</v>
      </c>
      <c r="B318" s="31">
        <v>0.47499999999999998</v>
      </c>
      <c r="C318" s="71">
        <v>42004</v>
      </c>
      <c r="D318">
        <v>1.99</v>
      </c>
      <c r="E318">
        <f t="shared" si="3"/>
        <v>0.94524999999999992</v>
      </c>
      <c r="F318" t="s">
        <v>280</v>
      </c>
      <c r="G318" t="s">
        <v>299</v>
      </c>
      <c r="H318" s="71">
        <v>41983</v>
      </c>
      <c r="I318" t="s">
        <v>748</v>
      </c>
      <c r="J318" t="s">
        <v>13</v>
      </c>
    </row>
    <row r="319" spans="1:10" x14ac:dyDescent="0.2">
      <c r="A319" t="s">
        <v>302</v>
      </c>
      <c r="B319" s="31">
        <v>0.51</v>
      </c>
      <c r="C319" s="71">
        <v>42004</v>
      </c>
      <c r="D319">
        <v>5.99</v>
      </c>
      <c r="E319">
        <f t="shared" si="3"/>
        <v>3.0548999999999999</v>
      </c>
      <c r="F319" t="s">
        <v>279</v>
      </c>
      <c r="G319" t="s">
        <v>299</v>
      </c>
      <c r="H319" s="71">
        <v>41983</v>
      </c>
      <c r="I319" t="s">
        <v>748</v>
      </c>
      <c r="J319" t="s">
        <v>13</v>
      </c>
    </row>
    <row r="320" spans="1:10" x14ac:dyDescent="0.2">
      <c r="A320" t="s">
        <v>284</v>
      </c>
      <c r="B320" s="31">
        <v>0.14599999999999999</v>
      </c>
      <c r="C320" s="71">
        <v>42004</v>
      </c>
      <c r="D320">
        <v>17.5</v>
      </c>
      <c r="E320">
        <f t="shared" si="3"/>
        <v>2.5549999999999997</v>
      </c>
      <c r="F320" t="s">
        <v>208</v>
      </c>
      <c r="G320" t="s">
        <v>299</v>
      </c>
      <c r="H320" s="71">
        <v>41983</v>
      </c>
      <c r="I320" t="s">
        <v>748</v>
      </c>
      <c r="J320" t="s">
        <v>13</v>
      </c>
    </row>
    <row r="321" spans="1:10" x14ac:dyDescent="0.2">
      <c r="A321" t="s">
        <v>468</v>
      </c>
      <c r="B321" s="31">
        <v>5</v>
      </c>
      <c r="C321" s="71">
        <v>42004</v>
      </c>
      <c r="D321">
        <v>1.59</v>
      </c>
      <c r="E321">
        <f t="shared" si="3"/>
        <v>7.95</v>
      </c>
      <c r="F321" t="s">
        <v>468</v>
      </c>
      <c r="G321" t="s">
        <v>298</v>
      </c>
      <c r="H321" s="71">
        <v>41983</v>
      </c>
      <c r="I321" t="s">
        <v>748</v>
      </c>
      <c r="J321" t="s">
        <v>13</v>
      </c>
    </row>
    <row r="322" spans="1:10" x14ac:dyDescent="0.2">
      <c r="A322" t="s">
        <v>292</v>
      </c>
      <c r="B322" s="31">
        <v>0.51200000000000001</v>
      </c>
      <c r="C322" s="71">
        <v>42004</v>
      </c>
      <c r="D322">
        <v>25.9</v>
      </c>
      <c r="E322">
        <f t="shared" si="3"/>
        <v>13.2608</v>
      </c>
      <c r="F322" t="s">
        <v>609</v>
      </c>
      <c r="G322" t="s">
        <v>299</v>
      </c>
      <c r="H322" s="71">
        <v>41983</v>
      </c>
      <c r="I322" t="s">
        <v>748</v>
      </c>
      <c r="J322" t="s">
        <v>13</v>
      </c>
    </row>
    <row r="323" spans="1:10" x14ac:dyDescent="0.2">
      <c r="A323" t="s">
        <v>249</v>
      </c>
      <c r="B323" s="31">
        <v>1</v>
      </c>
      <c r="C323" s="71">
        <v>42004</v>
      </c>
      <c r="D323">
        <v>8.69</v>
      </c>
      <c r="E323">
        <f t="shared" si="3"/>
        <v>8.69</v>
      </c>
      <c r="F323" t="s">
        <v>468</v>
      </c>
      <c r="G323" t="s">
        <v>298</v>
      </c>
      <c r="H323" s="71">
        <v>41983</v>
      </c>
      <c r="I323" t="s">
        <v>748</v>
      </c>
      <c r="J323" t="s">
        <v>13</v>
      </c>
    </row>
    <row r="324" spans="1:10" x14ac:dyDescent="0.2">
      <c r="A324" t="s">
        <v>231</v>
      </c>
      <c r="B324" s="31">
        <v>1</v>
      </c>
      <c r="C324" s="71">
        <v>42004</v>
      </c>
      <c r="D324">
        <v>5.99</v>
      </c>
      <c r="E324">
        <f t="shared" si="3"/>
        <v>5.99</v>
      </c>
      <c r="F324" t="s">
        <v>279</v>
      </c>
      <c r="G324" t="s">
        <v>298</v>
      </c>
      <c r="H324" s="71">
        <v>41983</v>
      </c>
      <c r="I324" t="s">
        <v>748</v>
      </c>
      <c r="J324" t="s">
        <v>13</v>
      </c>
    </row>
    <row r="325" spans="1:10" x14ac:dyDescent="0.2">
      <c r="A325" t="s">
        <v>235</v>
      </c>
      <c r="B325" s="31">
        <v>1</v>
      </c>
      <c r="C325" s="71">
        <v>42004</v>
      </c>
      <c r="D325">
        <v>5.17</v>
      </c>
      <c r="E325">
        <f t="shared" si="3"/>
        <v>5.17</v>
      </c>
      <c r="F325" t="s">
        <v>653</v>
      </c>
      <c r="G325" t="s">
        <v>298</v>
      </c>
      <c r="H325" s="71">
        <v>41983</v>
      </c>
      <c r="I325" t="s">
        <v>748</v>
      </c>
      <c r="J325" t="s">
        <v>13</v>
      </c>
    </row>
    <row r="326" spans="1:10" x14ac:dyDescent="0.2">
      <c r="A326" t="s">
        <v>469</v>
      </c>
      <c r="B326" s="31">
        <v>0.504</v>
      </c>
      <c r="C326" s="71">
        <v>42004</v>
      </c>
      <c r="D326">
        <v>54.9</v>
      </c>
      <c r="E326">
        <f t="shared" si="3"/>
        <v>27.669599999999999</v>
      </c>
      <c r="F326" t="s">
        <v>609</v>
      </c>
      <c r="G326" t="s">
        <v>299</v>
      </c>
      <c r="H326" s="71">
        <v>41983</v>
      </c>
      <c r="I326" t="s">
        <v>748</v>
      </c>
      <c r="J326" t="s">
        <v>13</v>
      </c>
    </row>
    <row r="327" spans="1:10" x14ac:dyDescent="0.2">
      <c r="A327" t="s">
        <v>318</v>
      </c>
      <c r="B327" s="31">
        <v>0.56799999999999995</v>
      </c>
      <c r="C327" s="71">
        <v>42004</v>
      </c>
      <c r="D327">
        <v>23.9</v>
      </c>
      <c r="E327">
        <f t="shared" si="3"/>
        <v>13.575199999999999</v>
      </c>
      <c r="F327" t="s">
        <v>609</v>
      </c>
      <c r="G327" t="s">
        <v>299</v>
      </c>
      <c r="H327" s="71">
        <v>41983</v>
      </c>
      <c r="I327" t="s">
        <v>748</v>
      </c>
      <c r="J327" t="s">
        <v>13</v>
      </c>
    </row>
    <row r="328" spans="1:10" x14ac:dyDescent="0.2">
      <c r="A328" t="s">
        <v>289</v>
      </c>
      <c r="B328" s="31">
        <v>0.81499999999999995</v>
      </c>
      <c r="C328" s="71">
        <v>42004</v>
      </c>
      <c r="D328">
        <v>8.39</v>
      </c>
      <c r="E328">
        <f t="shared" si="3"/>
        <v>6.8378500000000004</v>
      </c>
      <c r="F328" t="s">
        <v>615</v>
      </c>
      <c r="G328" t="s">
        <v>299</v>
      </c>
      <c r="H328" s="71">
        <v>41983</v>
      </c>
      <c r="I328" t="s">
        <v>748</v>
      </c>
      <c r="J328" t="s">
        <v>13</v>
      </c>
    </row>
    <row r="329" spans="1:10" x14ac:dyDescent="0.2">
      <c r="A329" t="s">
        <v>352</v>
      </c>
      <c r="B329" s="31">
        <v>0.51800000000000002</v>
      </c>
      <c r="C329" s="71">
        <v>42004</v>
      </c>
      <c r="D329">
        <v>31.99</v>
      </c>
      <c r="E329">
        <f t="shared" si="3"/>
        <v>16.570820000000001</v>
      </c>
      <c r="F329" t="s">
        <v>653</v>
      </c>
      <c r="G329" t="s">
        <v>299</v>
      </c>
      <c r="H329" s="71">
        <v>41983</v>
      </c>
      <c r="I329" t="s">
        <v>748</v>
      </c>
      <c r="J329" t="s">
        <v>13</v>
      </c>
    </row>
    <row r="330" spans="1:10" x14ac:dyDescent="0.2">
      <c r="A330" t="s">
        <v>247</v>
      </c>
      <c r="B330" s="31">
        <v>1</v>
      </c>
      <c r="C330" s="71">
        <v>42004</v>
      </c>
      <c r="D330">
        <v>1.85</v>
      </c>
      <c r="E330">
        <f t="shared" si="3"/>
        <v>1.85</v>
      </c>
      <c r="F330" t="s">
        <v>287</v>
      </c>
      <c r="G330" t="s">
        <v>298</v>
      </c>
      <c r="H330" s="71">
        <v>41983</v>
      </c>
      <c r="I330" t="s">
        <v>748</v>
      </c>
      <c r="J330" t="s">
        <v>13</v>
      </c>
    </row>
    <row r="331" spans="1:10" x14ac:dyDescent="0.2">
      <c r="A331" t="s">
        <v>312</v>
      </c>
      <c r="B331" s="31">
        <v>1.03</v>
      </c>
      <c r="C331" s="71">
        <v>42004</v>
      </c>
      <c r="D331">
        <v>3.4</v>
      </c>
      <c r="E331">
        <f t="shared" si="3"/>
        <v>3.5019999999999998</v>
      </c>
      <c r="F331" t="s">
        <v>280</v>
      </c>
      <c r="G331" t="s">
        <v>299</v>
      </c>
      <c r="H331" s="71">
        <v>41983</v>
      </c>
      <c r="I331" t="s">
        <v>748</v>
      </c>
      <c r="J331" t="s">
        <v>13</v>
      </c>
    </row>
    <row r="332" spans="1:10" x14ac:dyDescent="0.2">
      <c r="A332" t="s">
        <v>471</v>
      </c>
      <c r="B332" s="31">
        <v>1</v>
      </c>
      <c r="C332" s="71">
        <v>42004</v>
      </c>
      <c r="D332">
        <v>5.07</v>
      </c>
      <c r="E332">
        <f t="shared" si="3"/>
        <v>5.07</v>
      </c>
      <c r="F332" t="s">
        <v>222</v>
      </c>
      <c r="G332" t="s">
        <v>298</v>
      </c>
      <c r="H332" s="71">
        <v>41983</v>
      </c>
      <c r="I332" t="s">
        <v>748</v>
      </c>
      <c r="J332" t="s">
        <v>13</v>
      </c>
    </row>
    <row r="333" spans="1:10" x14ac:dyDescent="0.2">
      <c r="A333" t="s">
        <v>470</v>
      </c>
      <c r="B333" s="31">
        <v>1</v>
      </c>
      <c r="C333" s="71">
        <v>42004</v>
      </c>
      <c r="D333">
        <v>4.9800000000000004</v>
      </c>
      <c r="E333">
        <f t="shared" si="3"/>
        <v>4.9800000000000004</v>
      </c>
      <c r="F333" t="s">
        <v>208</v>
      </c>
      <c r="G333" t="s">
        <v>298</v>
      </c>
      <c r="H333" s="71">
        <v>41983</v>
      </c>
      <c r="I333" t="s">
        <v>748</v>
      </c>
      <c r="J333" t="s">
        <v>13</v>
      </c>
    </row>
    <row r="334" spans="1:10" x14ac:dyDescent="0.2">
      <c r="A334" t="s">
        <v>269</v>
      </c>
      <c r="B334" s="31">
        <v>1</v>
      </c>
      <c r="C334" s="71">
        <v>42004</v>
      </c>
      <c r="D334">
        <v>4</v>
      </c>
      <c r="E334">
        <f t="shared" si="3"/>
        <v>4</v>
      </c>
      <c r="F334" t="s">
        <v>615</v>
      </c>
      <c r="G334" t="s">
        <v>298</v>
      </c>
      <c r="H334" s="71">
        <v>41983</v>
      </c>
      <c r="I334" t="s">
        <v>748</v>
      </c>
      <c r="J334" t="s">
        <v>13</v>
      </c>
    </row>
    <row r="335" spans="1:10" x14ac:dyDescent="0.2">
      <c r="A335" t="s">
        <v>220</v>
      </c>
      <c r="B335" s="31">
        <v>1</v>
      </c>
      <c r="C335" s="71">
        <v>42037</v>
      </c>
      <c r="D335">
        <v>15.12</v>
      </c>
      <c r="E335">
        <f t="shared" si="3"/>
        <v>15.12</v>
      </c>
      <c r="F335" t="s">
        <v>222</v>
      </c>
      <c r="G335" t="s">
        <v>298</v>
      </c>
      <c r="H335" s="71">
        <v>42014</v>
      </c>
      <c r="I335" t="s">
        <v>748</v>
      </c>
      <c r="J335" t="s">
        <v>13</v>
      </c>
    </row>
    <row r="336" spans="1:10" x14ac:dyDescent="0.2">
      <c r="A336" t="s">
        <v>516</v>
      </c>
      <c r="B336" s="31">
        <v>4</v>
      </c>
      <c r="C336" s="71">
        <v>42037</v>
      </c>
      <c r="D336">
        <v>2.4500000000000002</v>
      </c>
      <c r="E336">
        <f t="shared" si="3"/>
        <v>9.8000000000000007</v>
      </c>
      <c r="F336" t="s">
        <v>215</v>
      </c>
      <c r="G336" t="s">
        <v>298</v>
      </c>
      <c r="H336" s="71">
        <v>42014</v>
      </c>
      <c r="I336" t="s">
        <v>748</v>
      </c>
      <c r="J336" t="s">
        <v>13</v>
      </c>
    </row>
    <row r="337" spans="1:10" x14ac:dyDescent="0.2">
      <c r="A337" t="s">
        <v>517</v>
      </c>
      <c r="B337" s="31">
        <v>1</v>
      </c>
      <c r="C337" s="71">
        <v>42037</v>
      </c>
      <c r="D337">
        <v>7.75</v>
      </c>
      <c r="E337">
        <f t="shared" si="3"/>
        <v>7.75</v>
      </c>
      <c r="F337" t="s">
        <v>620</v>
      </c>
      <c r="G337" t="s">
        <v>298</v>
      </c>
      <c r="H337" s="71">
        <v>42014</v>
      </c>
      <c r="I337" t="s">
        <v>748</v>
      </c>
      <c r="J337" t="s">
        <v>13</v>
      </c>
    </row>
    <row r="338" spans="1:10" x14ac:dyDescent="0.2">
      <c r="A338" t="s">
        <v>294</v>
      </c>
      <c r="B338" s="31">
        <v>0.55400000000000005</v>
      </c>
      <c r="C338" s="71">
        <v>42037</v>
      </c>
      <c r="D338">
        <v>17.59</v>
      </c>
      <c r="E338">
        <f t="shared" si="3"/>
        <v>9.744860000000001</v>
      </c>
      <c r="F338" t="s">
        <v>653</v>
      </c>
      <c r="G338" t="s">
        <v>299</v>
      </c>
      <c r="H338" s="71">
        <v>42014</v>
      </c>
      <c r="I338" t="s">
        <v>748</v>
      </c>
      <c r="J338" t="s">
        <v>13</v>
      </c>
    </row>
    <row r="339" spans="1:10" x14ac:dyDescent="0.2">
      <c r="A339" t="s">
        <v>249</v>
      </c>
      <c r="B339" s="31">
        <v>1</v>
      </c>
      <c r="C339" s="71">
        <v>42037</v>
      </c>
      <c r="D339">
        <v>6.49</v>
      </c>
      <c r="E339">
        <f t="shared" si="3"/>
        <v>6.49</v>
      </c>
      <c r="F339" t="s">
        <v>468</v>
      </c>
      <c r="G339" t="s">
        <v>298</v>
      </c>
      <c r="H339" s="71">
        <v>42014</v>
      </c>
      <c r="I339" t="s">
        <v>748</v>
      </c>
      <c r="J339" t="s">
        <v>13</v>
      </c>
    </row>
    <row r="340" spans="1:10" x14ac:dyDescent="0.2">
      <c r="A340" t="s">
        <v>320</v>
      </c>
      <c r="B340" s="31">
        <v>1</v>
      </c>
      <c r="C340" s="71">
        <v>42037</v>
      </c>
      <c r="D340">
        <v>32.979999999999997</v>
      </c>
      <c r="E340">
        <f t="shared" si="3"/>
        <v>32.979999999999997</v>
      </c>
      <c r="F340" t="s">
        <v>322</v>
      </c>
      <c r="G340" t="s">
        <v>298</v>
      </c>
      <c r="H340" s="71">
        <v>42014</v>
      </c>
      <c r="I340" t="s">
        <v>748</v>
      </c>
      <c r="J340" t="s">
        <v>13</v>
      </c>
    </row>
    <row r="341" spans="1:10" x14ac:dyDescent="0.2">
      <c r="A341" t="s">
        <v>249</v>
      </c>
      <c r="B341" s="31">
        <v>1</v>
      </c>
      <c r="C341" s="71">
        <v>42039</v>
      </c>
      <c r="D341">
        <v>6.69</v>
      </c>
      <c r="E341">
        <f t="shared" si="3"/>
        <v>6.69</v>
      </c>
      <c r="F341" t="s">
        <v>468</v>
      </c>
      <c r="G341" t="s">
        <v>298</v>
      </c>
      <c r="H341" s="71">
        <v>42014</v>
      </c>
      <c r="I341" t="s">
        <v>748</v>
      </c>
      <c r="J341" t="s">
        <v>13</v>
      </c>
    </row>
    <row r="342" spans="1:10" x14ac:dyDescent="0.2">
      <c r="A342" t="s">
        <v>232</v>
      </c>
      <c r="B342" s="31">
        <v>0.45500000000000002</v>
      </c>
      <c r="C342" s="71">
        <v>42039</v>
      </c>
      <c r="D342">
        <v>2.5</v>
      </c>
      <c r="E342">
        <f t="shared" si="3"/>
        <v>1.1375</v>
      </c>
      <c r="F342" t="s">
        <v>279</v>
      </c>
      <c r="G342" t="s">
        <v>299</v>
      </c>
      <c r="H342" s="71">
        <v>42014</v>
      </c>
      <c r="I342" t="s">
        <v>748</v>
      </c>
      <c r="J342" t="s">
        <v>13</v>
      </c>
    </row>
    <row r="343" spans="1:10" x14ac:dyDescent="0.2">
      <c r="A343" t="s">
        <v>253</v>
      </c>
      <c r="B343" s="31">
        <v>1.1100000000000001</v>
      </c>
      <c r="C343" s="71">
        <v>42039</v>
      </c>
      <c r="D343">
        <v>3.98</v>
      </c>
      <c r="E343">
        <f t="shared" si="3"/>
        <v>4.4178000000000006</v>
      </c>
      <c r="F343" t="s">
        <v>279</v>
      </c>
      <c r="G343" t="s">
        <v>299</v>
      </c>
      <c r="H343" s="71">
        <v>42014</v>
      </c>
      <c r="I343" t="s">
        <v>748</v>
      </c>
      <c r="J343" t="s">
        <v>13</v>
      </c>
    </row>
    <row r="344" spans="1:10" x14ac:dyDescent="0.2">
      <c r="A344" t="s">
        <v>308</v>
      </c>
      <c r="B344" s="31">
        <v>1.2250000000000001</v>
      </c>
      <c r="C344" s="71">
        <v>42039</v>
      </c>
      <c r="D344">
        <v>2.48</v>
      </c>
      <c r="E344">
        <f t="shared" si="3"/>
        <v>3.0380000000000003</v>
      </c>
      <c r="F344" t="s">
        <v>279</v>
      </c>
      <c r="G344" t="s">
        <v>299</v>
      </c>
      <c r="H344" s="71">
        <v>42014</v>
      </c>
      <c r="I344" t="s">
        <v>748</v>
      </c>
      <c r="J344" t="s">
        <v>13</v>
      </c>
    </row>
    <row r="345" spans="1:10" x14ac:dyDescent="0.2">
      <c r="A345" t="s">
        <v>543</v>
      </c>
      <c r="B345" s="31">
        <v>1</v>
      </c>
      <c r="C345" s="71">
        <v>42049</v>
      </c>
      <c r="D345">
        <v>13.9</v>
      </c>
      <c r="E345">
        <f t="shared" si="3"/>
        <v>13.9</v>
      </c>
      <c r="F345" t="s">
        <v>287</v>
      </c>
      <c r="G345" t="s">
        <v>298</v>
      </c>
      <c r="H345" s="71">
        <v>42045</v>
      </c>
      <c r="I345" t="s">
        <v>748</v>
      </c>
      <c r="J345" t="s">
        <v>13</v>
      </c>
    </row>
    <row r="346" spans="1:10" x14ac:dyDescent="0.2">
      <c r="A346" t="s">
        <v>544</v>
      </c>
      <c r="B346" s="31">
        <v>1</v>
      </c>
      <c r="C346" s="71">
        <v>42049</v>
      </c>
      <c r="D346">
        <v>39.9</v>
      </c>
      <c r="E346">
        <f t="shared" si="3"/>
        <v>39.9</v>
      </c>
      <c r="F346" t="s">
        <v>287</v>
      </c>
      <c r="G346" t="s">
        <v>298</v>
      </c>
      <c r="H346" s="71">
        <v>42045</v>
      </c>
      <c r="I346" t="s">
        <v>748</v>
      </c>
      <c r="J346" t="s">
        <v>13</v>
      </c>
    </row>
    <row r="347" spans="1:10" x14ac:dyDescent="0.2">
      <c r="A347" t="s">
        <v>248</v>
      </c>
      <c r="B347" s="31">
        <v>1</v>
      </c>
      <c r="C347" s="71">
        <v>42049</v>
      </c>
      <c r="D347">
        <v>3.69</v>
      </c>
      <c r="E347">
        <f t="shared" si="3"/>
        <v>3.69</v>
      </c>
      <c r="F347" t="s">
        <v>287</v>
      </c>
      <c r="G347" t="s">
        <v>298</v>
      </c>
      <c r="H347" s="71">
        <v>42045</v>
      </c>
      <c r="I347" t="s">
        <v>748</v>
      </c>
      <c r="J347" t="s">
        <v>13</v>
      </c>
    </row>
    <row r="348" spans="1:10" x14ac:dyDescent="0.2">
      <c r="A348" t="s">
        <v>271</v>
      </c>
      <c r="B348" s="31">
        <v>1</v>
      </c>
      <c r="C348" s="71">
        <v>42049</v>
      </c>
      <c r="D348">
        <v>3.99</v>
      </c>
      <c r="E348">
        <f t="shared" si="3"/>
        <v>3.99</v>
      </c>
      <c r="F348" t="s">
        <v>282</v>
      </c>
      <c r="G348" t="s">
        <v>298</v>
      </c>
      <c r="H348" s="71">
        <v>42045</v>
      </c>
      <c r="I348" t="s">
        <v>748</v>
      </c>
      <c r="J348" t="s">
        <v>13</v>
      </c>
    </row>
    <row r="349" spans="1:10" x14ac:dyDescent="0.2">
      <c r="A349" t="s">
        <v>549</v>
      </c>
      <c r="B349" s="31">
        <v>3</v>
      </c>
      <c r="C349" s="71">
        <v>42049</v>
      </c>
      <c r="D349">
        <v>3.69</v>
      </c>
      <c r="E349">
        <f t="shared" si="3"/>
        <v>11.07</v>
      </c>
      <c r="F349" t="s">
        <v>282</v>
      </c>
      <c r="G349" t="s">
        <v>298</v>
      </c>
      <c r="H349" s="71">
        <v>42045</v>
      </c>
      <c r="I349" t="s">
        <v>748</v>
      </c>
      <c r="J349" t="s">
        <v>13</v>
      </c>
    </row>
    <row r="350" spans="1:10" x14ac:dyDescent="0.2">
      <c r="A350" t="s">
        <v>545</v>
      </c>
      <c r="B350" s="31">
        <v>1</v>
      </c>
      <c r="C350" s="71">
        <v>42049</v>
      </c>
      <c r="D350">
        <v>5.09</v>
      </c>
      <c r="E350">
        <f t="shared" si="3"/>
        <v>5.09</v>
      </c>
      <c r="F350" t="s">
        <v>282</v>
      </c>
      <c r="G350" t="s">
        <v>298</v>
      </c>
      <c r="H350" s="71">
        <v>42045</v>
      </c>
      <c r="I350" t="s">
        <v>748</v>
      </c>
      <c r="J350" t="s">
        <v>13</v>
      </c>
    </row>
    <row r="351" spans="1:10" x14ac:dyDescent="0.2">
      <c r="A351" t="s">
        <v>546</v>
      </c>
      <c r="B351" s="31">
        <v>1</v>
      </c>
      <c r="C351" s="71">
        <v>42049</v>
      </c>
      <c r="D351">
        <v>17.59</v>
      </c>
      <c r="E351">
        <f t="shared" si="3"/>
        <v>17.59</v>
      </c>
      <c r="F351" t="s">
        <v>282</v>
      </c>
      <c r="G351" t="s">
        <v>298</v>
      </c>
      <c r="H351" s="71">
        <v>42045</v>
      </c>
      <c r="I351" t="s">
        <v>748</v>
      </c>
      <c r="J351" t="s">
        <v>13</v>
      </c>
    </row>
    <row r="352" spans="1:10" x14ac:dyDescent="0.2">
      <c r="A352" t="s">
        <v>547</v>
      </c>
      <c r="B352" s="31">
        <v>1</v>
      </c>
      <c r="C352" s="71">
        <v>42049</v>
      </c>
      <c r="D352">
        <v>7.98</v>
      </c>
      <c r="E352">
        <f t="shared" si="3"/>
        <v>7.98</v>
      </c>
      <c r="F352" t="s">
        <v>282</v>
      </c>
      <c r="G352" t="s">
        <v>298</v>
      </c>
      <c r="H352" s="71">
        <v>42045</v>
      </c>
      <c r="I352" t="s">
        <v>748</v>
      </c>
      <c r="J352" t="s">
        <v>13</v>
      </c>
    </row>
    <row r="353" spans="1:10" x14ac:dyDescent="0.2">
      <c r="A353" t="s">
        <v>241</v>
      </c>
      <c r="B353" s="31">
        <v>1</v>
      </c>
      <c r="C353" s="71">
        <v>42049</v>
      </c>
      <c r="D353">
        <v>8.4499999999999993</v>
      </c>
      <c r="E353">
        <f t="shared" si="3"/>
        <v>8.4499999999999993</v>
      </c>
      <c r="F353" t="s">
        <v>282</v>
      </c>
      <c r="G353" t="s">
        <v>298</v>
      </c>
      <c r="H353" s="71">
        <v>42045</v>
      </c>
      <c r="I353" t="s">
        <v>748</v>
      </c>
      <c r="J353" t="s">
        <v>13</v>
      </c>
    </row>
    <row r="354" spans="1:10" x14ac:dyDescent="0.2">
      <c r="A354" t="s">
        <v>548</v>
      </c>
      <c r="B354" s="31">
        <v>3</v>
      </c>
      <c r="C354" s="71">
        <v>42049</v>
      </c>
      <c r="D354">
        <v>1.25</v>
      </c>
      <c r="E354">
        <f t="shared" si="3"/>
        <v>3.75</v>
      </c>
      <c r="F354" t="s">
        <v>282</v>
      </c>
      <c r="G354" t="s">
        <v>298</v>
      </c>
      <c r="H354" s="71">
        <v>42045</v>
      </c>
      <c r="I354" t="s">
        <v>748</v>
      </c>
      <c r="J354" t="s">
        <v>13</v>
      </c>
    </row>
    <row r="355" spans="1:10" x14ac:dyDescent="0.2">
      <c r="A355" t="s">
        <v>550</v>
      </c>
      <c r="B355" s="31">
        <v>1</v>
      </c>
      <c r="C355" s="71">
        <v>42049</v>
      </c>
      <c r="D355">
        <v>4.49</v>
      </c>
      <c r="E355">
        <f t="shared" si="3"/>
        <v>4.49</v>
      </c>
      <c r="F355" t="s">
        <v>282</v>
      </c>
      <c r="G355" t="s">
        <v>298</v>
      </c>
      <c r="H355" s="71">
        <v>42045</v>
      </c>
      <c r="I355" t="s">
        <v>748</v>
      </c>
      <c r="J355" t="s">
        <v>13</v>
      </c>
    </row>
    <row r="356" spans="1:10" x14ac:dyDescent="0.2">
      <c r="A356" t="s">
        <v>551</v>
      </c>
      <c r="B356" s="31">
        <v>1</v>
      </c>
      <c r="C356" s="71">
        <v>42049</v>
      </c>
      <c r="D356">
        <v>5.21</v>
      </c>
      <c r="E356">
        <f t="shared" si="3"/>
        <v>5.21</v>
      </c>
      <c r="F356" t="s">
        <v>282</v>
      </c>
      <c r="G356" t="s">
        <v>298</v>
      </c>
      <c r="H356" s="71">
        <v>42045</v>
      </c>
      <c r="I356" t="s">
        <v>748</v>
      </c>
      <c r="J356" t="s">
        <v>13</v>
      </c>
    </row>
    <row r="357" spans="1:10" x14ac:dyDescent="0.2">
      <c r="A357" t="s">
        <v>552</v>
      </c>
      <c r="B357" s="31">
        <v>1</v>
      </c>
      <c r="C357" s="71">
        <v>42049</v>
      </c>
      <c r="D357">
        <v>8.9</v>
      </c>
      <c r="E357">
        <f t="shared" si="3"/>
        <v>8.9</v>
      </c>
      <c r="F357" t="s">
        <v>282</v>
      </c>
      <c r="G357" t="s">
        <v>298</v>
      </c>
      <c r="H357" s="71">
        <v>42045</v>
      </c>
      <c r="I357" t="s">
        <v>748</v>
      </c>
      <c r="J357" t="s">
        <v>13</v>
      </c>
    </row>
    <row r="358" spans="1:10" x14ac:dyDescent="0.2">
      <c r="A358" t="s">
        <v>421</v>
      </c>
      <c r="B358" s="31">
        <v>1</v>
      </c>
      <c r="C358" s="71">
        <v>42049</v>
      </c>
      <c r="D358">
        <v>11.9</v>
      </c>
      <c r="E358">
        <f t="shared" si="3"/>
        <v>11.9</v>
      </c>
      <c r="F358" t="s">
        <v>322</v>
      </c>
      <c r="G358" t="s">
        <v>298</v>
      </c>
      <c r="H358" s="71">
        <v>42045</v>
      </c>
      <c r="I358" t="s">
        <v>748</v>
      </c>
      <c r="J358" t="s">
        <v>13</v>
      </c>
    </row>
    <row r="359" spans="1:10" x14ac:dyDescent="0.2">
      <c r="A359" t="s">
        <v>553</v>
      </c>
      <c r="B359" s="31">
        <v>1</v>
      </c>
      <c r="C359" s="71">
        <v>42049</v>
      </c>
      <c r="D359">
        <v>18.89</v>
      </c>
      <c r="E359">
        <f t="shared" si="3"/>
        <v>18.89</v>
      </c>
      <c r="F359" t="s">
        <v>282</v>
      </c>
      <c r="G359" t="s">
        <v>298</v>
      </c>
      <c r="H359" s="71">
        <v>42045</v>
      </c>
      <c r="I359" t="s">
        <v>748</v>
      </c>
      <c r="J359" t="s">
        <v>13</v>
      </c>
    </row>
    <row r="360" spans="1:10" x14ac:dyDescent="0.2">
      <c r="A360" t="s">
        <v>554</v>
      </c>
      <c r="B360" s="31">
        <v>1</v>
      </c>
      <c r="C360" s="71">
        <v>42049</v>
      </c>
      <c r="D360">
        <v>8.25</v>
      </c>
      <c r="E360">
        <f t="shared" si="3"/>
        <v>8.25</v>
      </c>
      <c r="F360" t="s">
        <v>282</v>
      </c>
      <c r="G360" t="s">
        <v>298</v>
      </c>
      <c r="H360" s="71">
        <v>42045</v>
      </c>
      <c r="I360" t="s">
        <v>748</v>
      </c>
      <c r="J360" t="s">
        <v>13</v>
      </c>
    </row>
    <row r="361" spans="1:10" x14ac:dyDescent="0.2">
      <c r="A361" t="s">
        <v>555</v>
      </c>
      <c r="B361" s="31">
        <v>1</v>
      </c>
      <c r="C361" s="71">
        <v>42049</v>
      </c>
      <c r="D361">
        <v>4.99</v>
      </c>
      <c r="E361">
        <f t="shared" si="3"/>
        <v>4.99</v>
      </c>
      <c r="F361" t="s">
        <v>224</v>
      </c>
      <c r="G361" t="s">
        <v>298</v>
      </c>
      <c r="H361" s="71">
        <v>42045</v>
      </c>
      <c r="I361" t="s">
        <v>748</v>
      </c>
      <c r="J361" t="s">
        <v>13</v>
      </c>
    </row>
    <row r="362" spans="1:10" x14ac:dyDescent="0.2">
      <c r="A362" t="s">
        <v>556</v>
      </c>
      <c r="B362" s="31">
        <v>1</v>
      </c>
      <c r="C362" s="71">
        <v>42049</v>
      </c>
      <c r="D362">
        <v>4.29</v>
      </c>
      <c r="E362">
        <f t="shared" si="3"/>
        <v>4.29</v>
      </c>
      <c r="F362" t="s">
        <v>681</v>
      </c>
      <c r="G362" t="s">
        <v>298</v>
      </c>
      <c r="H362" s="71">
        <v>42045</v>
      </c>
      <c r="I362" t="s">
        <v>748</v>
      </c>
      <c r="J362" t="s">
        <v>13</v>
      </c>
    </row>
    <row r="363" spans="1:10" x14ac:dyDescent="0.2">
      <c r="A363" t="s">
        <v>556</v>
      </c>
      <c r="B363" s="31">
        <v>1</v>
      </c>
      <c r="C363" s="71">
        <v>42049</v>
      </c>
      <c r="D363">
        <v>3.69</v>
      </c>
      <c r="E363">
        <f t="shared" si="3"/>
        <v>3.69</v>
      </c>
      <c r="F363" t="s">
        <v>681</v>
      </c>
      <c r="G363" t="s">
        <v>298</v>
      </c>
      <c r="H363" s="71">
        <v>42045</v>
      </c>
      <c r="I363" t="s">
        <v>748</v>
      </c>
      <c r="J363" t="s">
        <v>13</v>
      </c>
    </row>
    <row r="364" spans="1:10" x14ac:dyDescent="0.2">
      <c r="A364" t="s">
        <v>277</v>
      </c>
      <c r="B364" s="31">
        <v>1</v>
      </c>
      <c r="C364" s="71">
        <v>42049</v>
      </c>
      <c r="D364">
        <v>11.29</v>
      </c>
      <c r="E364">
        <f t="shared" si="3"/>
        <v>11.29</v>
      </c>
      <c r="F364" t="s">
        <v>222</v>
      </c>
      <c r="G364" t="s">
        <v>298</v>
      </c>
      <c r="H364" s="71">
        <v>42045</v>
      </c>
      <c r="I364" t="s">
        <v>748</v>
      </c>
      <c r="J364" t="s">
        <v>13</v>
      </c>
    </row>
    <row r="365" spans="1:10" x14ac:dyDescent="0.2">
      <c r="A365" t="s">
        <v>220</v>
      </c>
      <c r="B365" s="31">
        <v>2</v>
      </c>
      <c r="C365" s="71">
        <v>42049</v>
      </c>
      <c r="D365">
        <v>15.99</v>
      </c>
      <c r="E365">
        <f t="shared" si="3"/>
        <v>31.98</v>
      </c>
      <c r="F365" t="s">
        <v>222</v>
      </c>
      <c r="G365" t="s">
        <v>298</v>
      </c>
      <c r="H365" s="71">
        <v>42045</v>
      </c>
      <c r="I365" t="s">
        <v>748</v>
      </c>
      <c r="J365" t="s">
        <v>13</v>
      </c>
    </row>
    <row r="366" spans="1:10" x14ac:dyDescent="0.2">
      <c r="A366" t="s">
        <v>610</v>
      </c>
      <c r="B366" s="31">
        <v>1</v>
      </c>
      <c r="C366" s="71">
        <v>42049</v>
      </c>
      <c r="D366">
        <v>1.99</v>
      </c>
      <c r="E366">
        <f t="shared" si="3"/>
        <v>1.99</v>
      </c>
      <c r="F366" t="s">
        <v>465</v>
      </c>
      <c r="G366" t="s">
        <v>298</v>
      </c>
      <c r="H366" s="71">
        <v>42045</v>
      </c>
      <c r="I366" t="s">
        <v>748</v>
      </c>
      <c r="J366" t="s">
        <v>13</v>
      </c>
    </row>
    <row r="367" spans="1:10" x14ac:dyDescent="0.2">
      <c r="A367" t="s">
        <v>557</v>
      </c>
      <c r="B367" s="31">
        <v>1</v>
      </c>
      <c r="C367" s="71">
        <v>42049</v>
      </c>
      <c r="D367">
        <v>2.89</v>
      </c>
      <c r="E367">
        <f t="shared" si="3"/>
        <v>2.89</v>
      </c>
      <c r="F367" t="s">
        <v>465</v>
      </c>
      <c r="G367" t="s">
        <v>298</v>
      </c>
      <c r="H367" s="71">
        <v>42045</v>
      </c>
      <c r="I367" t="s">
        <v>748</v>
      </c>
      <c r="J367" t="s">
        <v>13</v>
      </c>
    </row>
    <row r="368" spans="1:10" x14ac:dyDescent="0.2">
      <c r="A368" t="s">
        <v>558</v>
      </c>
      <c r="B368" s="31">
        <v>1</v>
      </c>
      <c r="C368" s="71">
        <v>42049</v>
      </c>
      <c r="D368">
        <v>5.28</v>
      </c>
      <c r="E368">
        <f t="shared" si="3"/>
        <v>5.28</v>
      </c>
      <c r="F368" t="s">
        <v>465</v>
      </c>
      <c r="G368" t="s">
        <v>298</v>
      </c>
      <c r="H368" s="71">
        <v>42045</v>
      </c>
      <c r="I368" t="s">
        <v>748</v>
      </c>
      <c r="J368" t="s">
        <v>13</v>
      </c>
    </row>
    <row r="369" spans="1:10" x14ac:dyDescent="0.2">
      <c r="A369" t="s">
        <v>559</v>
      </c>
      <c r="B369" s="31">
        <v>3</v>
      </c>
      <c r="C369" s="71">
        <v>42049</v>
      </c>
      <c r="D369">
        <v>2.59</v>
      </c>
      <c r="E369">
        <f t="shared" si="3"/>
        <v>7.77</v>
      </c>
      <c r="F369" t="s">
        <v>215</v>
      </c>
      <c r="G369" t="s">
        <v>298</v>
      </c>
      <c r="H369" s="71">
        <v>42045</v>
      </c>
      <c r="I369" t="s">
        <v>748</v>
      </c>
      <c r="J369" t="s">
        <v>13</v>
      </c>
    </row>
    <row r="370" spans="1:10" x14ac:dyDescent="0.2">
      <c r="A370" t="s">
        <v>560</v>
      </c>
      <c r="B370" s="31">
        <v>2</v>
      </c>
      <c r="C370" s="71">
        <v>42049</v>
      </c>
      <c r="D370">
        <v>4.49</v>
      </c>
      <c r="E370">
        <f t="shared" si="3"/>
        <v>8.98</v>
      </c>
      <c r="F370" t="s">
        <v>222</v>
      </c>
      <c r="G370" t="s">
        <v>298</v>
      </c>
      <c r="H370" s="71">
        <v>42045</v>
      </c>
      <c r="I370" t="s">
        <v>748</v>
      </c>
      <c r="J370" t="s">
        <v>13</v>
      </c>
    </row>
    <row r="371" spans="1:10" x14ac:dyDescent="0.2">
      <c r="A371" t="s">
        <v>569</v>
      </c>
      <c r="B371" s="31">
        <v>1</v>
      </c>
      <c r="C371" s="71">
        <v>42049</v>
      </c>
      <c r="D371">
        <v>16.79</v>
      </c>
      <c r="E371">
        <f t="shared" si="3"/>
        <v>16.79</v>
      </c>
      <c r="F371" t="s">
        <v>267</v>
      </c>
      <c r="G371" t="s">
        <v>298</v>
      </c>
      <c r="H371" s="71">
        <v>42045</v>
      </c>
      <c r="I371" t="s">
        <v>748</v>
      </c>
      <c r="J371" t="s">
        <v>13</v>
      </c>
    </row>
    <row r="372" spans="1:10" x14ac:dyDescent="0.2">
      <c r="A372" t="s">
        <v>264</v>
      </c>
      <c r="B372" s="31">
        <v>1</v>
      </c>
      <c r="C372" s="71">
        <v>42049</v>
      </c>
      <c r="D372">
        <v>7.39</v>
      </c>
      <c r="E372">
        <f t="shared" si="3"/>
        <v>7.39</v>
      </c>
      <c r="F372" t="s">
        <v>618</v>
      </c>
      <c r="G372" t="s">
        <v>298</v>
      </c>
      <c r="H372" s="71">
        <v>42045</v>
      </c>
      <c r="I372" t="s">
        <v>748</v>
      </c>
      <c r="J372" t="s">
        <v>13</v>
      </c>
    </row>
    <row r="373" spans="1:10" x14ac:dyDescent="0.2">
      <c r="A373" t="s">
        <v>561</v>
      </c>
      <c r="B373" s="31">
        <v>0.76500000000000001</v>
      </c>
      <c r="C373" s="71">
        <v>42049</v>
      </c>
      <c r="D373">
        <v>8.4499999999999993</v>
      </c>
      <c r="E373">
        <f t="shared" si="3"/>
        <v>6.4642499999999998</v>
      </c>
      <c r="F373" t="s">
        <v>279</v>
      </c>
      <c r="G373" t="s">
        <v>299</v>
      </c>
      <c r="H373" s="71">
        <v>42045</v>
      </c>
      <c r="I373" t="s">
        <v>748</v>
      </c>
      <c r="J373" t="s">
        <v>13</v>
      </c>
    </row>
    <row r="374" spans="1:10" x14ac:dyDescent="0.2">
      <c r="A374" t="s">
        <v>313</v>
      </c>
      <c r="B374" s="31">
        <v>0.755</v>
      </c>
      <c r="C374" s="71">
        <v>42049</v>
      </c>
      <c r="D374">
        <v>3.69</v>
      </c>
      <c r="E374">
        <f t="shared" si="3"/>
        <v>2.7859500000000001</v>
      </c>
      <c r="F374" t="s">
        <v>280</v>
      </c>
      <c r="G374" t="s">
        <v>299</v>
      </c>
      <c r="H374" s="71">
        <v>42045</v>
      </c>
      <c r="I374" t="s">
        <v>748</v>
      </c>
      <c r="J374" t="s">
        <v>13</v>
      </c>
    </row>
    <row r="375" spans="1:10" x14ac:dyDescent="0.2">
      <c r="A375" t="s">
        <v>307</v>
      </c>
      <c r="B375" s="31">
        <v>0.33500000000000002</v>
      </c>
      <c r="C375" s="71">
        <v>42049</v>
      </c>
      <c r="D375">
        <v>3.99</v>
      </c>
      <c r="E375">
        <f t="shared" si="3"/>
        <v>1.3366500000000001</v>
      </c>
      <c r="F375" t="s">
        <v>280</v>
      </c>
      <c r="G375" t="s">
        <v>299</v>
      </c>
      <c r="H375" s="71">
        <v>42045</v>
      </c>
      <c r="I375" t="s">
        <v>748</v>
      </c>
      <c r="J375" t="s">
        <v>13</v>
      </c>
    </row>
    <row r="376" spans="1:10" x14ac:dyDescent="0.2">
      <c r="A376" t="s">
        <v>304</v>
      </c>
      <c r="B376" s="31">
        <v>0.76500000000000001</v>
      </c>
      <c r="C376" s="71">
        <v>42049</v>
      </c>
      <c r="D376">
        <v>1.99</v>
      </c>
      <c r="E376">
        <f t="shared" si="3"/>
        <v>1.5223500000000001</v>
      </c>
      <c r="F376" t="s">
        <v>280</v>
      </c>
      <c r="G376" t="s">
        <v>299</v>
      </c>
      <c r="H376" s="71">
        <v>42045</v>
      </c>
      <c r="I376" t="s">
        <v>748</v>
      </c>
      <c r="J376" t="s">
        <v>13</v>
      </c>
    </row>
    <row r="377" spans="1:10" x14ac:dyDescent="0.2">
      <c r="A377" t="s">
        <v>312</v>
      </c>
      <c r="B377" s="31">
        <v>2.3450000000000002</v>
      </c>
      <c r="C377" s="71">
        <v>42049</v>
      </c>
      <c r="D377">
        <v>1.99</v>
      </c>
      <c r="E377">
        <f t="shared" si="3"/>
        <v>4.66655</v>
      </c>
      <c r="F377" t="s">
        <v>280</v>
      </c>
      <c r="G377" t="s">
        <v>299</v>
      </c>
      <c r="H377" s="71">
        <v>42045</v>
      </c>
      <c r="I377" t="s">
        <v>748</v>
      </c>
      <c r="J377" t="s">
        <v>13</v>
      </c>
    </row>
    <row r="378" spans="1:10" x14ac:dyDescent="0.2">
      <c r="A378" t="s">
        <v>208</v>
      </c>
      <c r="B378" s="31">
        <v>1</v>
      </c>
      <c r="C378" s="71">
        <v>42049</v>
      </c>
      <c r="D378">
        <v>3.48</v>
      </c>
      <c r="E378">
        <f t="shared" si="3"/>
        <v>3.48</v>
      </c>
      <c r="F378" t="s">
        <v>208</v>
      </c>
      <c r="G378" t="s">
        <v>298</v>
      </c>
      <c r="H378" s="71">
        <v>42045</v>
      </c>
      <c r="I378" t="s">
        <v>748</v>
      </c>
      <c r="J378" t="s">
        <v>13</v>
      </c>
    </row>
    <row r="379" spans="1:10" x14ac:dyDescent="0.2">
      <c r="A379" t="s">
        <v>438</v>
      </c>
      <c r="B379" s="31">
        <v>0.53500000000000003</v>
      </c>
      <c r="C379" s="71">
        <v>42049</v>
      </c>
      <c r="D379">
        <v>7.69</v>
      </c>
      <c r="E379">
        <f t="shared" si="3"/>
        <v>4.1141500000000004</v>
      </c>
      <c r="F379" t="s">
        <v>280</v>
      </c>
      <c r="G379" t="s">
        <v>299</v>
      </c>
      <c r="H379" s="71">
        <v>42045</v>
      </c>
      <c r="I379" t="s">
        <v>748</v>
      </c>
      <c r="J379" t="s">
        <v>13</v>
      </c>
    </row>
    <row r="380" spans="1:10" x14ac:dyDescent="0.2">
      <c r="A380" t="s">
        <v>307</v>
      </c>
      <c r="B380" s="31">
        <v>0.63500000000000001</v>
      </c>
      <c r="C380" s="71">
        <v>42049</v>
      </c>
      <c r="D380">
        <v>2.99</v>
      </c>
      <c r="E380">
        <f t="shared" si="3"/>
        <v>1.8986500000000002</v>
      </c>
      <c r="F380" t="s">
        <v>280</v>
      </c>
      <c r="G380" t="s">
        <v>299</v>
      </c>
      <c r="H380" s="71">
        <v>42045</v>
      </c>
      <c r="I380" t="s">
        <v>748</v>
      </c>
      <c r="J380" t="s">
        <v>13</v>
      </c>
    </row>
    <row r="381" spans="1:10" x14ac:dyDescent="0.2">
      <c r="A381" t="s">
        <v>562</v>
      </c>
      <c r="B381" s="31">
        <v>0.47</v>
      </c>
      <c r="C381" s="71">
        <v>42049</v>
      </c>
      <c r="D381">
        <v>15.4</v>
      </c>
      <c r="E381">
        <f t="shared" si="3"/>
        <v>7.2379999999999995</v>
      </c>
      <c r="F381" t="s">
        <v>614</v>
      </c>
      <c r="G381" t="s">
        <v>299</v>
      </c>
      <c r="H381" s="71">
        <v>42045</v>
      </c>
      <c r="I381" t="s">
        <v>748</v>
      </c>
      <c r="J381" t="s">
        <v>13</v>
      </c>
    </row>
    <row r="382" spans="1:10" x14ac:dyDescent="0.2">
      <c r="A382" t="s">
        <v>563</v>
      </c>
      <c r="B382" s="31">
        <v>0.37</v>
      </c>
      <c r="C382" s="71">
        <v>42049</v>
      </c>
      <c r="D382">
        <v>48.9</v>
      </c>
      <c r="E382">
        <f t="shared" si="3"/>
        <v>18.093</v>
      </c>
      <c r="F382" t="s">
        <v>609</v>
      </c>
      <c r="G382" t="s">
        <v>299</v>
      </c>
      <c r="H382" s="71">
        <v>42045</v>
      </c>
      <c r="I382" t="s">
        <v>748</v>
      </c>
      <c r="J382" t="s">
        <v>13</v>
      </c>
    </row>
    <row r="383" spans="1:10" x14ac:dyDescent="0.2">
      <c r="A383" t="s">
        <v>469</v>
      </c>
      <c r="B383" s="31">
        <v>0.502</v>
      </c>
      <c r="C383" s="71">
        <v>42049</v>
      </c>
      <c r="D383">
        <v>29.9</v>
      </c>
      <c r="E383">
        <f t="shared" si="3"/>
        <v>15.009799999999998</v>
      </c>
      <c r="F383" t="s">
        <v>609</v>
      </c>
      <c r="G383" t="s">
        <v>299</v>
      </c>
      <c r="H383" s="71">
        <v>42045</v>
      </c>
      <c r="I383" t="s">
        <v>748</v>
      </c>
      <c r="J383" t="s">
        <v>13</v>
      </c>
    </row>
    <row r="384" spans="1:10" x14ac:dyDescent="0.2">
      <c r="A384" t="s">
        <v>564</v>
      </c>
      <c r="B384" s="31">
        <v>0.70599999999999996</v>
      </c>
      <c r="C384" s="71">
        <v>42049</v>
      </c>
      <c r="D384">
        <v>24.99</v>
      </c>
      <c r="E384">
        <f t="shared" si="3"/>
        <v>17.642939999999999</v>
      </c>
      <c r="F384" t="s">
        <v>609</v>
      </c>
      <c r="G384" t="s">
        <v>299</v>
      </c>
      <c r="H384" s="71">
        <v>42045</v>
      </c>
      <c r="I384" t="s">
        <v>748</v>
      </c>
      <c r="J384" t="s">
        <v>13</v>
      </c>
    </row>
    <row r="385" spans="1:10" x14ac:dyDescent="0.2">
      <c r="A385" t="s">
        <v>565</v>
      </c>
      <c r="B385" s="31">
        <v>0.58599999999999997</v>
      </c>
      <c r="C385" s="71">
        <v>42049</v>
      </c>
      <c r="D385">
        <v>15.99</v>
      </c>
      <c r="E385">
        <f t="shared" si="3"/>
        <v>9.3701399999999992</v>
      </c>
      <c r="F385" t="s">
        <v>279</v>
      </c>
      <c r="G385" t="s">
        <v>299</v>
      </c>
      <c r="H385" s="71">
        <v>42045</v>
      </c>
      <c r="I385" t="s">
        <v>748</v>
      </c>
      <c r="J385" t="s">
        <v>13</v>
      </c>
    </row>
    <row r="386" spans="1:10" x14ac:dyDescent="0.2">
      <c r="A386" t="s">
        <v>269</v>
      </c>
      <c r="B386" s="31">
        <v>1</v>
      </c>
      <c r="C386" s="71">
        <v>42049</v>
      </c>
      <c r="D386">
        <v>5</v>
      </c>
      <c r="E386">
        <f t="shared" si="3"/>
        <v>5</v>
      </c>
      <c r="F386" t="s">
        <v>615</v>
      </c>
      <c r="G386" t="s">
        <v>298</v>
      </c>
      <c r="H386" s="71">
        <v>42045</v>
      </c>
      <c r="I386" t="s">
        <v>748</v>
      </c>
      <c r="J386" t="s">
        <v>13</v>
      </c>
    </row>
    <row r="387" spans="1:10" x14ac:dyDescent="0.2">
      <c r="A387" t="s">
        <v>566</v>
      </c>
      <c r="B387" s="31">
        <v>3.6</v>
      </c>
      <c r="C387" s="71">
        <v>42049</v>
      </c>
      <c r="D387">
        <v>1.79</v>
      </c>
      <c r="E387">
        <f t="shared" si="3"/>
        <v>6.444</v>
      </c>
      <c r="F387" t="s">
        <v>279</v>
      </c>
      <c r="G387" t="s">
        <v>299</v>
      </c>
      <c r="H387" s="71">
        <v>42045</v>
      </c>
      <c r="I387" t="s">
        <v>748</v>
      </c>
      <c r="J387" t="s">
        <v>13</v>
      </c>
    </row>
    <row r="388" spans="1:10" x14ac:dyDescent="0.2">
      <c r="A388" t="s">
        <v>567</v>
      </c>
      <c r="B388" s="31">
        <v>0.51500000000000001</v>
      </c>
      <c r="C388" s="71">
        <v>42049</v>
      </c>
      <c r="D388">
        <v>4.99</v>
      </c>
      <c r="E388">
        <f t="shared" si="3"/>
        <v>2.5698500000000002</v>
      </c>
      <c r="F388" t="s">
        <v>279</v>
      </c>
      <c r="G388" t="s">
        <v>299</v>
      </c>
      <c r="H388" s="71">
        <v>42045</v>
      </c>
      <c r="I388" t="s">
        <v>748</v>
      </c>
      <c r="J388" t="s">
        <v>13</v>
      </c>
    </row>
    <row r="389" spans="1:10" x14ac:dyDescent="0.2">
      <c r="A389" t="s">
        <v>568</v>
      </c>
      <c r="B389" s="31">
        <v>1</v>
      </c>
      <c r="C389" s="71">
        <v>42049</v>
      </c>
      <c r="D389">
        <v>10.99</v>
      </c>
      <c r="E389">
        <f t="shared" si="3"/>
        <v>10.99</v>
      </c>
      <c r="F389" t="s">
        <v>615</v>
      </c>
      <c r="G389" t="s">
        <v>299</v>
      </c>
      <c r="H389" s="71">
        <v>42045</v>
      </c>
      <c r="I389" t="s">
        <v>748</v>
      </c>
      <c r="J389" t="s">
        <v>13</v>
      </c>
    </row>
    <row r="390" spans="1:10" x14ac:dyDescent="0.2">
      <c r="A390" t="s">
        <v>183</v>
      </c>
      <c r="B390" s="31">
        <v>1</v>
      </c>
      <c r="C390" s="71">
        <v>42049</v>
      </c>
      <c r="D390">
        <v>19.41</v>
      </c>
      <c r="E390">
        <f t="shared" si="3"/>
        <v>19.41</v>
      </c>
      <c r="F390" t="s">
        <v>221</v>
      </c>
      <c r="G390" t="s">
        <v>298</v>
      </c>
      <c r="H390" s="71">
        <v>42045</v>
      </c>
      <c r="I390" t="s">
        <v>748</v>
      </c>
      <c r="J390" t="s">
        <v>13</v>
      </c>
    </row>
    <row r="391" spans="1:10" x14ac:dyDescent="0.2">
      <c r="A391" t="s">
        <v>598</v>
      </c>
      <c r="B391" s="31">
        <v>1</v>
      </c>
      <c r="C391" s="71">
        <v>42049</v>
      </c>
      <c r="D391">
        <v>2.98</v>
      </c>
      <c r="E391">
        <f t="shared" si="3"/>
        <v>2.98</v>
      </c>
      <c r="F391" t="s">
        <v>465</v>
      </c>
      <c r="G391" t="s">
        <v>298</v>
      </c>
      <c r="H391" s="71">
        <v>42045</v>
      </c>
      <c r="I391" t="s">
        <v>748</v>
      </c>
      <c r="J391" t="s">
        <v>13</v>
      </c>
    </row>
    <row r="392" spans="1:10" x14ac:dyDescent="0.2">
      <c r="A392" t="s">
        <v>249</v>
      </c>
      <c r="B392" s="31">
        <v>1</v>
      </c>
      <c r="C392" s="71">
        <v>42049</v>
      </c>
      <c r="D392">
        <v>6.65</v>
      </c>
      <c r="E392">
        <f t="shared" si="3"/>
        <v>6.65</v>
      </c>
      <c r="F392" t="s">
        <v>468</v>
      </c>
      <c r="G392" t="s">
        <v>298</v>
      </c>
      <c r="H392" s="71">
        <v>42045</v>
      </c>
      <c r="I392" t="s">
        <v>748</v>
      </c>
      <c r="J392" t="s">
        <v>13</v>
      </c>
    </row>
    <row r="393" spans="1:10" x14ac:dyDescent="0.2">
      <c r="A393" t="s">
        <v>419</v>
      </c>
      <c r="B393" s="31">
        <v>2</v>
      </c>
      <c r="C393" s="71">
        <v>42051</v>
      </c>
      <c r="D393">
        <v>4.29</v>
      </c>
      <c r="E393">
        <f t="shared" si="3"/>
        <v>8.58</v>
      </c>
      <c r="F393" t="s">
        <v>468</v>
      </c>
      <c r="G393" t="s">
        <v>298</v>
      </c>
      <c r="H393" s="71">
        <v>42045</v>
      </c>
      <c r="I393" t="s">
        <v>748</v>
      </c>
      <c r="J393" t="s">
        <v>13</v>
      </c>
    </row>
    <row r="394" spans="1:10" x14ac:dyDescent="0.2">
      <c r="A394" t="s">
        <v>437</v>
      </c>
      <c r="B394" s="31">
        <v>1</v>
      </c>
      <c r="C394" s="71">
        <v>42051</v>
      </c>
      <c r="D394">
        <v>1.19</v>
      </c>
      <c r="E394">
        <f t="shared" si="3"/>
        <v>1.19</v>
      </c>
      <c r="F394" t="s">
        <v>468</v>
      </c>
      <c r="G394" t="s">
        <v>298</v>
      </c>
      <c r="H394" s="71">
        <v>42045</v>
      </c>
      <c r="I394" t="s">
        <v>748</v>
      </c>
      <c r="J394" t="s">
        <v>13</v>
      </c>
    </row>
    <row r="395" spans="1:10" x14ac:dyDescent="0.2">
      <c r="A395" t="s">
        <v>570</v>
      </c>
      <c r="B395" s="31">
        <v>1</v>
      </c>
      <c r="C395" s="71">
        <v>42051</v>
      </c>
      <c r="D395">
        <v>3.38</v>
      </c>
      <c r="E395">
        <f t="shared" si="3"/>
        <v>3.38</v>
      </c>
      <c r="F395" t="s">
        <v>653</v>
      </c>
      <c r="G395" t="s">
        <v>298</v>
      </c>
      <c r="H395" s="71">
        <v>42045</v>
      </c>
      <c r="I395" t="s">
        <v>748</v>
      </c>
      <c r="J395" t="s">
        <v>13</v>
      </c>
    </row>
    <row r="396" spans="1:10" x14ac:dyDescent="0.2">
      <c r="A396" t="s">
        <v>571</v>
      </c>
      <c r="B396" s="31">
        <v>1</v>
      </c>
      <c r="C396" s="71">
        <v>42051</v>
      </c>
      <c r="D396">
        <v>4.6900000000000004</v>
      </c>
      <c r="E396">
        <f t="shared" si="3"/>
        <v>4.6900000000000004</v>
      </c>
      <c r="F396" t="s">
        <v>619</v>
      </c>
      <c r="G396" t="s">
        <v>298</v>
      </c>
      <c r="H396" s="71">
        <v>42045</v>
      </c>
      <c r="I396" t="s">
        <v>748</v>
      </c>
      <c r="J396" t="s">
        <v>13</v>
      </c>
    </row>
    <row r="397" spans="1:10" x14ac:dyDescent="0.2">
      <c r="A397" t="s">
        <v>112</v>
      </c>
      <c r="B397" s="31">
        <v>1</v>
      </c>
      <c r="C397" s="71">
        <v>42051</v>
      </c>
      <c r="D397">
        <v>3.39</v>
      </c>
      <c r="E397">
        <f t="shared" si="3"/>
        <v>3.39</v>
      </c>
      <c r="F397" t="s">
        <v>448</v>
      </c>
      <c r="G397" t="s">
        <v>298</v>
      </c>
      <c r="H397" s="71">
        <v>42045</v>
      </c>
      <c r="I397" t="s">
        <v>748</v>
      </c>
      <c r="J397" t="s">
        <v>13</v>
      </c>
    </row>
    <row r="398" spans="1:10" x14ac:dyDescent="0.2">
      <c r="A398" t="s">
        <v>218</v>
      </c>
      <c r="B398" s="31">
        <v>1</v>
      </c>
      <c r="C398" s="71">
        <v>42051</v>
      </c>
      <c r="D398">
        <v>4.8899999999999997</v>
      </c>
      <c r="E398">
        <f t="shared" si="3"/>
        <v>4.8899999999999997</v>
      </c>
      <c r="F398" t="s">
        <v>280</v>
      </c>
      <c r="G398" t="s">
        <v>298</v>
      </c>
      <c r="H398" s="71">
        <v>42045</v>
      </c>
      <c r="I398" t="s">
        <v>748</v>
      </c>
      <c r="J398" t="s">
        <v>13</v>
      </c>
    </row>
    <row r="399" spans="1:10" x14ac:dyDescent="0.2">
      <c r="A399" t="s">
        <v>572</v>
      </c>
      <c r="B399" s="31">
        <v>1</v>
      </c>
      <c r="C399" s="71">
        <v>42051</v>
      </c>
      <c r="D399">
        <v>14.99</v>
      </c>
      <c r="E399">
        <f t="shared" si="3"/>
        <v>14.99</v>
      </c>
      <c r="F399" t="s">
        <v>615</v>
      </c>
      <c r="G399" t="s">
        <v>298</v>
      </c>
      <c r="H399" s="71">
        <v>42045</v>
      </c>
      <c r="I399" t="s">
        <v>748</v>
      </c>
      <c r="J399" t="s">
        <v>13</v>
      </c>
    </row>
    <row r="400" spans="1:10" x14ac:dyDescent="0.2">
      <c r="A400" t="s">
        <v>573</v>
      </c>
      <c r="B400" s="31">
        <v>1</v>
      </c>
      <c r="C400" s="71">
        <v>42051</v>
      </c>
      <c r="D400">
        <v>6.99</v>
      </c>
      <c r="E400">
        <f t="shared" si="3"/>
        <v>6.99</v>
      </c>
      <c r="F400" t="s">
        <v>620</v>
      </c>
      <c r="G400" t="s">
        <v>298</v>
      </c>
      <c r="H400" s="71">
        <v>42045</v>
      </c>
      <c r="I400" t="s">
        <v>748</v>
      </c>
      <c r="J400" t="s">
        <v>13</v>
      </c>
    </row>
    <row r="401" spans="1:10" x14ac:dyDescent="0.2">
      <c r="A401" t="s">
        <v>574</v>
      </c>
      <c r="B401" s="31">
        <v>1</v>
      </c>
      <c r="C401" s="71">
        <v>42051</v>
      </c>
      <c r="D401">
        <v>5.99</v>
      </c>
      <c r="E401">
        <f t="shared" si="3"/>
        <v>5.99</v>
      </c>
      <c r="F401" t="s">
        <v>622</v>
      </c>
      <c r="G401" t="s">
        <v>298</v>
      </c>
      <c r="H401" s="71">
        <v>42045</v>
      </c>
      <c r="I401" t="s">
        <v>748</v>
      </c>
      <c r="J401" t="s">
        <v>13</v>
      </c>
    </row>
    <row r="402" spans="1:10" x14ac:dyDescent="0.2">
      <c r="A402" t="s">
        <v>575</v>
      </c>
      <c r="B402" s="31">
        <v>1</v>
      </c>
      <c r="C402" s="71">
        <v>42051</v>
      </c>
      <c r="D402">
        <v>9.39</v>
      </c>
      <c r="E402">
        <f t="shared" si="3"/>
        <v>9.39</v>
      </c>
      <c r="F402" t="s">
        <v>287</v>
      </c>
      <c r="G402" t="s">
        <v>298</v>
      </c>
      <c r="H402" s="71">
        <v>42045</v>
      </c>
      <c r="I402" t="s">
        <v>748</v>
      </c>
      <c r="J402" t="s">
        <v>13</v>
      </c>
    </row>
    <row r="403" spans="1:10" x14ac:dyDescent="0.2">
      <c r="A403" t="s">
        <v>576</v>
      </c>
      <c r="B403" s="31">
        <v>1</v>
      </c>
      <c r="C403" s="71">
        <v>42051</v>
      </c>
      <c r="D403">
        <v>8.39</v>
      </c>
      <c r="E403">
        <f t="shared" si="3"/>
        <v>8.39</v>
      </c>
      <c r="F403" t="s">
        <v>322</v>
      </c>
      <c r="G403" t="s">
        <v>298</v>
      </c>
      <c r="H403" s="71">
        <v>42045</v>
      </c>
      <c r="I403" t="s">
        <v>748</v>
      </c>
      <c r="J403" t="s">
        <v>13</v>
      </c>
    </row>
    <row r="404" spans="1:10" x14ac:dyDescent="0.2">
      <c r="A404" t="s">
        <v>249</v>
      </c>
      <c r="B404" s="31">
        <v>1</v>
      </c>
      <c r="C404" s="71">
        <v>42056</v>
      </c>
      <c r="D404">
        <v>6.49</v>
      </c>
      <c r="E404">
        <f t="shared" si="3"/>
        <v>6.49</v>
      </c>
      <c r="F404" t="s">
        <v>468</v>
      </c>
      <c r="G404" t="s">
        <v>298</v>
      </c>
      <c r="H404" s="71">
        <v>42045</v>
      </c>
      <c r="I404" t="s">
        <v>748</v>
      </c>
      <c r="J404" t="s">
        <v>13</v>
      </c>
    </row>
    <row r="405" spans="1:10" x14ac:dyDescent="0.2">
      <c r="A405" t="s">
        <v>590</v>
      </c>
      <c r="B405" s="31">
        <v>1</v>
      </c>
      <c r="C405" s="71">
        <v>42056</v>
      </c>
      <c r="D405">
        <v>6.79</v>
      </c>
      <c r="E405">
        <f t="shared" si="3"/>
        <v>6.79</v>
      </c>
      <c r="F405" t="s">
        <v>448</v>
      </c>
      <c r="G405" t="s">
        <v>298</v>
      </c>
      <c r="H405" s="71">
        <v>42045</v>
      </c>
      <c r="I405" t="s">
        <v>748</v>
      </c>
      <c r="J405" t="s">
        <v>13</v>
      </c>
    </row>
    <row r="406" spans="1:10" x14ac:dyDescent="0.2">
      <c r="A406" t="s">
        <v>591</v>
      </c>
      <c r="B406" s="31">
        <v>1</v>
      </c>
      <c r="C406" s="71">
        <v>42056</v>
      </c>
      <c r="D406">
        <v>9.48</v>
      </c>
      <c r="E406">
        <f t="shared" si="3"/>
        <v>9.48</v>
      </c>
      <c r="F406" t="s">
        <v>448</v>
      </c>
      <c r="G406" t="s">
        <v>298</v>
      </c>
      <c r="H406" s="71">
        <v>42045</v>
      </c>
      <c r="I406" t="s">
        <v>748</v>
      </c>
      <c r="J406" t="s">
        <v>13</v>
      </c>
    </row>
    <row r="407" spans="1:10" x14ac:dyDescent="0.2">
      <c r="A407" t="s">
        <v>592</v>
      </c>
      <c r="B407" s="31">
        <v>1</v>
      </c>
      <c r="C407" s="71">
        <v>42056</v>
      </c>
      <c r="D407">
        <v>7.49</v>
      </c>
      <c r="E407">
        <f t="shared" si="3"/>
        <v>7.49</v>
      </c>
      <c r="F407" t="s">
        <v>468</v>
      </c>
      <c r="G407" t="s">
        <v>298</v>
      </c>
      <c r="H407" s="71">
        <v>42045</v>
      </c>
      <c r="I407" t="s">
        <v>748</v>
      </c>
      <c r="J407" t="s">
        <v>13</v>
      </c>
    </row>
    <row r="408" spans="1:10" x14ac:dyDescent="0.2">
      <c r="A408" t="s">
        <v>593</v>
      </c>
      <c r="B408" s="31">
        <v>1</v>
      </c>
      <c r="C408" s="71">
        <v>42056</v>
      </c>
      <c r="D408">
        <v>5.99</v>
      </c>
      <c r="E408">
        <f t="shared" si="3"/>
        <v>5.99</v>
      </c>
      <c r="F408" t="s">
        <v>615</v>
      </c>
      <c r="G408" t="s">
        <v>298</v>
      </c>
      <c r="H408" s="71">
        <v>42045</v>
      </c>
      <c r="I408" t="s">
        <v>748</v>
      </c>
      <c r="J408" t="s">
        <v>13</v>
      </c>
    </row>
    <row r="409" spans="1:10" x14ac:dyDescent="0.2">
      <c r="A409" t="s">
        <v>594</v>
      </c>
      <c r="B409" s="31">
        <v>1</v>
      </c>
      <c r="C409" s="71">
        <v>42056</v>
      </c>
      <c r="D409">
        <v>9.2899999999999991</v>
      </c>
      <c r="E409">
        <f t="shared" si="3"/>
        <v>9.2899999999999991</v>
      </c>
      <c r="F409" t="s">
        <v>468</v>
      </c>
      <c r="G409" t="s">
        <v>298</v>
      </c>
      <c r="H409" s="71">
        <v>42045</v>
      </c>
      <c r="I409" t="s">
        <v>748</v>
      </c>
      <c r="J409" t="s">
        <v>13</v>
      </c>
    </row>
    <row r="410" spans="1:10" x14ac:dyDescent="0.2">
      <c r="A410" t="s">
        <v>595</v>
      </c>
      <c r="B410" s="31">
        <v>1</v>
      </c>
      <c r="C410" s="71">
        <v>42056</v>
      </c>
      <c r="D410">
        <v>14.99</v>
      </c>
      <c r="E410">
        <f t="shared" si="3"/>
        <v>14.99</v>
      </c>
      <c r="F410" t="s">
        <v>221</v>
      </c>
      <c r="G410" t="s">
        <v>298</v>
      </c>
      <c r="H410" s="71">
        <v>42045</v>
      </c>
      <c r="I410" t="s">
        <v>748</v>
      </c>
      <c r="J410" t="s">
        <v>13</v>
      </c>
    </row>
    <row r="411" spans="1:10" x14ac:dyDescent="0.2">
      <c r="A411" t="s">
        <v>419</v>
      </c>
      <c r="B411" s="31">
        <v>1</v>
      </c>
      <c r="C411" s="71">
        <v>42056</v>
      </c>
      <c r="D411">
        <v>1.79</v>
      </c>
      <c r="E411">
        <f t="shared" si="3"/>
        <v>1.79</v>
      </c>
      <c r="F411" t="s">
        <v>468</v>
      </c>
      <c r="G411" t="s">
        <v>298</v>
      </c>
      <c r="H411" s="71">
        <v>42045</v>
      </c>
      <c r="I411" t="s">
        <v>748</v>
      </c>
      <c r="J411" t="s">
        <v>13</v>
      </c>
    </row>
    <row r="412" spans="1:10" x14ac:dyDescent="0.2">
      <c r="A412" t="s">
        <v>592</v>
      </c>
      <c r="B412" s="31">
        <v>1</v>
      </c>
      <c r="C412" s="71">
        <v>42056</v>
      </c>
      <c r="D412">
        <v>1.79</v>
      </c>
      <c r="E412">
        <f t="shared" si="3"/>
        <v>1.79</v>
      </c>
      <c r="F412" t="s">
        <v>468</v>
      </c>
      <c r="G412" t="s">
        <v>298</v>
      </c>
      <c r="H412" s="71">
        <v>42045</v>
      </c>
      <c r="I412" t="s">
        <v>748</v>
      </c>
      <c r="J412" t="s">
        <v>13</v>
      </c>
    </row>
    <row r="413" spans="1:10" x14ac:dyDescent="0.2">
      <c r="A413" t="s">
        <v>220</v>
      </c>
      <c r="B413" s="31">
        <v>1</v>
      </c>
      <c r="C413" s="71">
        <v>42056</v>
      </c>
      <c r="D413">
        <v>15.99</v>
      </c>
      <c r="E413">
        <f t="shared" si="3"/>
        <v>15.99</v>
      </c>
      <c r="F413" t="s">
        <v>222</v>
      </c>
      <c r="G413" t="s">
        <v>298</v>
      </c>
      <c r="H413" s="71">
        <v>42045</v>
      </c>
      <c r="I413" t="s">
        <v>748</v>
      </c>
      <c r="J413" t="s">
        <v>13</v>
      </c>
    </row>
    <row r="414" spans="1:10" x14ac:dyDescent="0.2">
      <c r="A414" t="s">
        <v>295</v>
      </c>
      <c r="B414" s="31">
        <v>0.19800000000000001</v>
      </c>
      <c r="C414" s="71">
        <v>42056</v>
      </c>
      <c r="D414">
        <v>20.6</v>
      </c>
      <c r="E414">
        <f t="shared" si="3"/>
        <v>4.0788000000000002</v>
      </c>
      <c r="F414" t="s">
        <v>653</v>
      </c>
      <c r="G414" t="s">
        <v>299</v>
      </c>
      <c r="H414" s="71">
        <v>42045</v>
      </c>
      <c r="I414" t="s">
        <v>748</v>
      </c>
      <c r="J414" t="s">
        <v>13</v>
      </c>
    </row>
    <row r="415" spans="1:10" x14ac:dyDescent="0.2">
      <c r="A415" t="s">
        <v>596</v>
      </c>
      <c r="B415" s="31">
        <v>0.39</v>
      </c>
      <c r="C415" s="71">
        <v>42056</v>
      </c>
      <c r="D415">
        <v>24.39</v>
      </c>
      <c r="E415">
        <f t="shared" si="3"/>
        <v>9.5121000000000002</v>
      </c>
      <c r="F415" t="s">
        <v>653</v>
      </c>
      <c r="G415" t="s">
        <v>299</v>
      </c>
      <c r="H415" s="71">
        <v>42045</v>
      </c>
      <c r="I415" t="s">
        <v>748</v>
      </c>
      <c r="J415" t="s">
        <v>13</v>
      </c>
    </row>
    <row r="416" spans="1:10" x14ac:dyDescent="0.2">
      <c r="A416" t="s">
        <v>296</v>
      </c>
      <c r="B416" s="31">
        <v>0.20200000000000001</v>
      </c>
      <c r="C416" s="71">
        <v>42056</v>
      </c>
      <c r="D416">
        <v>35.35</v>
      </c>
      <c r="E416">
        <f t="shared" si="3"/>
        <v>7.1407000000000007</v>
      </c>
      <c r="F416" t="s">
        <v>653</v>
      </c>
      <c r="G416" t="s">
        <v>299</v>
      </c>
      <c r="H416" s="71">
        <v>42045</v>
      </c>
      <c r="I416" t="s">
        <v>748</v>
      </c>
      <c r="J416" t="s">
        <v>13</v>
      </c>
    </row>
    <row r="417" spans="1:10" x14ac:dyDescent="0.2">
      <c r="A417" t="s">
        <v>289</v>
      </c>
      <c r="B417" s="31">
        <v>1</v>
      </c>
      <c r="C417" s="71">
        <v>42056</v>
      </c>
      <c r="D417">
        <v>10.69</v>
      </c>
      <c r="E417">
        <f t="shared" si="3"/>
        <v>10.69</v>
      </c>
      <c r="F417" t="s">
        <v>615</v>
      </c>
      <c r="G417" t="s">
        <v>298</v>
      </c>
      <c r="H417" s="71">
        <v>42045</v>
      </c>
      <c r="I417" t="s">
        <v>748</v>
      </c>
      <c r="J417" t="s">
        <v>13</v>
      </c>
    </row>
    <row r="418" spans="1:10" x14ac:dyDescent="0.2">
      <c r="A418" t="s">
        <v>285</v>
      </c>
      <c r="B418" s="31">
        <v>0.52200000000000002</v>
      </c>
      <c r="C418" s="71">
        <v>42056</v>
      </c>
      <c r="D418">
        <v>25.9</v>
      </c>
      <c r="E418">
        <f t="shared" si="3"/>
        <v>13.5198</v>
      </c>
      <c r="F418" t="s">
        <v>609</v>
      </c>
      <c r="G418" t="s">
        <v>299</v>
      </c>
      <c r="H418" s="71">
        <v>42045</v>
      </c>
      <c r="I418" t="s">
        <v>748</v>
      </c>
      <c r="J418" t="s">
        <v>13</v>
      </c>
    </row>
    <row r="419" spans="1:10" x14ac:dyDescent="0.2">
      <c r="A419" t="s">
        <v>557</v>
      </c>
      <c r="B419" s="31">
        <v>2</v>
      </c>
      <c r="C419" s="71">
        <v>42056</v>
      </c>
      <c r="D419">
        <v>2.89</v>
      </c>
      <c r="E419">
        <f t="shared" si="3"/>
        <v>5.78</v>
      </c>
      <c r="F419" t="s">
        <v>465</v>
      </c>
      <c r="G419" t="s">
        <v>298</v>
      </c>
      <c r="H419" s="71">
        <v>42045</v>
      </c>
      <c r="I419" t="s">
        <v>748</v>
      </c>
      <c r="J419" t="s">
        <v>13</v>
      </c>
    </row>
    <row r="420" spans="1:10" x14ac:dyDescent="0.2">
      <c r="A420" t="s">
        <v>597</v>
      </c>
      <c r="B420" s="31">
        <v>1</v>
      </c>
      <c r="C420" s="71">
        <v>42056</v>
      </c>
      <c r="D420">
        <v>1.99</v>
      </c>
      <c r="E420">
        <f t="shared" si="3"/>
        <v>1.99</v>
      </c>
      <c r="F420" t="s">
        <v>653</v>
      </c>
      <c r="G420" t="s">
        <v>298</v>
      </c>
      <c r="H420" s="71">
        <v>42045</v>
      </c>
      <c r="I420" t="s">
        <v>748</v>
      </c>
      <c r="J420" t="s">
        <v>13</v>
      </c>
    </row>
    <row r="421" spans="1:10" x14ac:dyDescent="0.2">
      <c r="A421" t="s">
        <v>598</v>
      </c>
      <c r="B421" s="31">
        <v>1</v>
      </c>
      <c r="C421" s="71">
        <v>42056</v>
      </c>
      <c r="D421">
        <v>2.98</v>
      </c>
      <c r="E421">
        <f t="shared" si="3"/>
        <v>2.98</v>
      </c>
      <c r="F421" t="s">
        <v>465</v>
      </c>
      <c r="G421" t="s">
        <v>298</v>
      </c>
      <c r="H421" s="71">
        <v>42045</v>
      </c>
      <c r="I421" t="s">
        <v>748</v>
      </c>
      <c r="J421" t="s">
        <v>13</v>
      </c>
    </row>
    <row r="422" spans="1:10" x14ac:dyDescent="0.2">
      <c r="A422" t="s">
        <v>599</v>
      </c>
      <c r="B422" s="31">
        <v>1</v>
      </c>
      <c r="C422" s="71">
        <v>42056</v>
      </c>
      <c r="D422">
        <v>3.55</v>
      </c>
      <c r="E422">
        <f t="shared" si="3"/>
        <v>3.55</v>
      </c>
      <c r="F422" t="s">
        <v>618</v>
      </c>
      <c r="G422" t="s">
        <v>298</v>
      </c>
      <c r="H422" s="71">
        <v>42045</v>
      </c>
      <c r="I422" t="s">
        <v>748</v>
      </c>
      <c r="J422" t="s">
        <v>13</v>
      </c>
    </row>
    <row r="423" spans="1:10" x14ac:dyDescent="0.2">
      <c r="A423" t="s">
        <v>600</v>
      </c>
      <c r="B423" s="31">
        <v>1</v>
      </c>
      <c r="C423" s="71">
        <v>42056</v>
      </c>
      <c r="D423">
        <v>2.59</v>
      </c>
      <c r="E423">
        <f t="shared" si="3"/>
        <v>2.59</v>
      </c>
      <c r="F423" t="s">
        <v>465</v>
      </c>
      <c r="G423" t="s">
        <v>298</v>
      </c>
      <c r="H423" s="71">
        <v>42045</v>
      </c>
      <c r="I423" t="s">
        <v>748</v>
      </c>
      <c r="J423" t="s">
        <v>13</v>
      </c>
    </row>
    <row r="424" spans="1:10" x14ac:dyDescent="0.2">
      <c r="A424" t="s">
        <v>601</v>
      </c>
      <c r="B424" s="31">
        <v>1</v>
      </c>
      <c r="C424" s="71">
        <v>42056</v>
      </c>
      <c r="D424">
        <v>1.1599999999999999</v>
      </c>
      <c r="E424">
        <f t="shared" si="3"/>
        <v>1.1599999999999999</v>
      </c>
      <c r="F424" t="s">
        <v>208</v>
      </c>
      <c r="G424" t="s">
        <v>298</v>
      </c>
      <c r="H424" s="71">
        <v>42045</v>
      </c>
      <c r="I424" t="s">
        <v>748</v>
      </c>
      <c r="J424" t="s">
        <v>13</v>
      </c>
    </row>
    <row r="425" spans="1:10" x14ac:dyDescent="0.2">
      <c r="A425" t="s">
        <v>559</v>
      </c>
      <c r="B425" s="31">
        <v>6</v>
      </c>
      <c r="C425" s="71">
        <v>42056</v>
      </c>
      <c r="D425">
        <v>2.59</v>
      </c>
      <c r="E425">
        <f t="shared" si="3"/>
        <v>15.54</v>
      </c>
      <c r="F425" t="s">
        <v>215</v>
      </c>
      <c r="G425" t="s">
        <v>298</v>
      </c>
      <c r="H425" s="71">
        <v>42045</v>
      </c>
      <c r="I425" t="s">
        <v>748</v>
      </c>
      <c r="J425" t="s">
        <v>13</v>
      </c>
    </row>
    <row r="426" spans="1:10" x14ac:dyDescent="0.2">
      <c r="A426" t="s">
        <v>602</v>
      </c>
      <c r="B426" s="31">
        <v>1</v>
      </c>
      <c r="C426" s="71">
        <v>42056</v>
      </c>
      <c r="D426">
        <v>2.59</v>
      </c>
      <c r="E426">
        <f t="shared" si="3"/>
        <v>2.59</v>
      </c>
      <c r="F426" t="s">
        <v>226</v>
      </c>
      <c r="G426" t="s">
        <v>298</v>
      </c>
      <c r="H426" s="71">
        <v>42045</v>
      </c>
      <c r="I426" t="s">
        <v>748</v>
      </c>
      <c r="J426" t="s">
        <v>13</v>
      </c>
    </row>
    <row r="427" spans="1:10" x14ac:dyDescent="0.2">
      <c r="A427" t="s">
        <v>603</v>
      </c>
      <c r="B427" s="31">
        <v>1</v>
      </c>
      <c r="C427" s="71">
        <v>42056</v>
      </c>
      <c r="D427">
        <v>3.99</v>
      </c>
      <c r="E427">
        <f t="shared" si="3"/>
        <v>3.99</v>
      </c>
      <c r="F427" t="s">
        <v>468</v>
      </c>
      <c r="G427" t="s">
        <v>298</v>
      </c>
      <c r="H427" s="71">
        <v>42045</v>
      </c>
      <c r="I427" t="s">
        <v>748</v>
      </c>
      <c r="J427" t="s">
        <v>13</v>
      </c>
    </row>
    <row r="428" spans="1:10" x14ac:dyDescent="0.2">
      <c r="A428" t="s">
        <v>560</v>
      </c>
      <c r="B428" s="31">
        <v>1</v>
      </c>
      <c r="C428" s="71">
        <v>42056</v>
      </c>
      <c r="D428">
        <v>3.99</v>
      </c>
      <c r="E428">
        <f t="shared" si="3"/>
        <v>3.99</v>
      </c>
      <c r="F428" t="s">
        <v>234</v>
      </c>
      <c r="G428" t="s">
        <v>298</v>
      </c>
      <c r="H428" s="71">
        <v>42045</v>
      </c>
      <c r="I428" t="s">
        <v>748</v>
      </c>
      <c r="J428" t="s">
        <v>13</v>
      </c>
    </row>
    <row r="429" spans="1:10" x14ac:dyDescent="0.2">
      <c r="A429" t="s">
        <v>264</v>
      </c>
      <c r="B429" s="31">
        <v>1</v>
      </c>
      <c r="C429" s="71">
        <v>42056</v>
      </c>
      <c r="D429">
        <v>7.39</v>
      </c>
      <c r="E429">
        <f t="shared" si="3"/>
        <v>7.39</v>
      </c>
      <c r="F429" t="s">
        <v>618</v>
      </c>
      <c r="G429" t="s">
        <v>298</v>
      </c>
      <c r="H429" s="71">
        <v>42045</v>
      </c>
      <c r="I429" t="s">
        <v>748</v>
      </c>
      <c r="J429" t="s">
        <v>13</v>
      </c>
    </row>
    <row r="430" spans="1:10" x14ac:dyDescent="0.2">
      <c r="A430" t="s">
        <v>304</v>
      </c>
      <c r="B430" s="31">
        <v>0.79500000000000004</v>
      </c>
      <c r="C430" s="71">
        <v>42056</v>
      </c>
      <c r="D430">
        <v>1.58</v>
      </c>
      <c r="E430">
        <f t="shared" si="3"/>
        <v>1.2561000000000002</v>
      </c>
      <c r="F430" t="s">
        <v>280</v>
      </c>
      <c r="G430" t="s">
        <v>299</v>
      </c>
      <c r="H430" s="71">
        <v>42045</v>
      </c>
      <c r="I430" t="s">
        <v>748</v>
      </c>
      <c r="J430" t="s">
        <v>13</v>
      </c>
    </row>
    <row r="431" spans="1:10" x14ac:dyDescent="0.2">
      <c r="A431" t="s">
        <v>604</v>
      </c>
      <c r="B431" s="31">
        <v>1</v>
      </c>
      <c r="C431" s="71">
        <v>42056</v>
      </c>
      <c r="D431">
        <v>4.6500000000000004</v>
      </c>
      <c r="E431">
        <f t="shared" si="3"/>
        <v>4.6500000000000004</v>
      </c>
      <c r="F431" t="s">
        <v>620</v>
      </c>
      <c r="G431" t="s">
        <v>298</v>
      </c>
      <c r="H431" s="71">
        <v>42045</v>
      </c>
      <c r="I431" t="s">
        <v>748</v>
      </c>
      <c r="J431" t="s">
        <v>13</v>
      </c>
    </row>
    <row r="432" spans="1:10" x14ac:dyDescent="0.2">
      <c r="A432" t="s">
        <v>605</v>
      </c>
      <c r="B432" s="31">
        <v>1</v>
      </c>
      <c r="C432" s="71">
        <v>42056</v>
      </c>
      <c r="D432">
        <v>3.15</v>
      </c>
      <c r="E432">
        <f t="shared" si="3"/>
        <v>3.15</v>
      </c>
      <c r="F432" t="s">
        <v>605</v>
      </c>
      <c r="G432" t="s">
        <v>298</v>
      </c>
      <c r="H432" s="71">
        <v>42045</v>
      </c>
      <c r="I432" t="s">
        <v>748</v>
      </c>
      <c r="J432" t="s">
        <v>13</v>
      </c>
    </row>
    <row r="433" spans="1:10" x14ac:dyDescent="0.2">
      <c r="A433" t="s">
        <v>303</v>
      </c>
      <c r="B433" s="31">
        <v>2.25</v>
      </c>
      <c r="C433" s="71">
        <v>42056</v>
      </c>
      <c r="D433">
        <v>1.49</v>
      </c>
      <c r="E433">
        <f t="shared" si="3"/>
        <v>3.3525</v>
      </c>
      <c r="F433" t="s">
        <v>279</v>
      </c>
      <c r="G433" t="s">
        <v>299</v>
      </c>
      <c r="H433" s="71">
        <v>42045</v>
      </c>
      <c r="I433" t="s">
        <v>748</v>
      </c>
      <c r="J433" t="s">
        <v>13</v>
      </c>
    </row>
    <row r="434" spans="1:10" x14ac:dyDescent="0.2">
      <c r="A434" t="s">
        <v>300</v>
      </c>
      <c r="B434" s="31">
        <v>0.33</v>
      </c>
      <c r="C434" s="71">
        <v>42056</v>
      </c>
      <c r="D434">
        <v>4.62</v>
      </c>
      <c r="E434">
        <f t="shared" si="3"/>
        <v>1.5246000000000002</v>
      </c>
      <c r="F434" t="s">
        <v>280</v>
      </c>
      <c r="G434" t="s">
        <v>299</v>
      </c>
      <c r="H434" s="71">
        <v>42045</v>
      </c>
      <c r="I434" t="s">
        <v>748</v>
      </c>
      <c r="J434" t="s">
        <v>13</v>
      </c>
    </row>
    <row r="435" spans="1:10" x14ac:dyDescent="0.2">
      <c r="A435" t="s">
        <v>606</v>
      </c>
      <c r="B435" s="31">
        <v>1</v>
      </c>
      <c r="C435" s="71">
        <v>42056</v>
      </c>
      <c r="D435">
        <v>5.99</v>
      </c>
      <c r="E435">
        <f t="shared" si="3"/>
        <v>5.99</v>
      </c>
      <c r="F435" t="s">
        <v>279</v>
      </c>
      <c r="G435" t="s">
        <v>298</v>
      </c>
      <c r="H435" s="71">
        <v>42045</v>
      </c>
      <c r="I435" t="s">
        <v>748</v>
      </c>
      <c r="J435" t="s">
        <v>13</v>
      </c>
    </row>
    <row r="436" spans="1:10" x14ac:dyDescent="0.2">
      <c r="A436" t="s">
        <v>242</v>
      </c>
      <c r="B436" s="31">
        <v>3</v>
      </c>
      <c r="C436" s="71">
        <v>42056</v>
      </c>
      <c r="D436">
        <v>5.99</v>
      </c>
      <c r="E436">
        <f t="shared" si="3"/>
        <v>17.97</v>
      </c>
      <c r="F436" t="s">
        <v>282</v>
      </c>
      <c r="G436" t="s">
        <v>298</v>
      </c>
      <c r="H436" s="71">
        <v>42045</v>
      </c>
      <c r="I436" t="s">
        <v>748</v>
      </c>
      <c r="J436" t="s">
        <v>13</v>
      </c>
    </row>
    <row r="437" spans="1:10" x14ac:dyDescent="0.2">
      <c r="A437" t="s">
        <v>548</v>
      </c>
      <c r="B437" s="31">
        <v>2</v>
      </c>
      <c r="C437" s="71">
        <v>42056</v>
      </c>
      <c r="D437">
        <v>1.19</v>
      </c>
      <c r="E437">
        <f t="shared" si="3"/>
        <v>2.38</v>
      </c>
      <c r="F437" t="s">
        <v>282</v>
      </c>
      <c r="G437" t="s">
        <v>298</v>
      </c>
      <c r="H437" s="71">
        <v>42045</v>
      </c>
      <c r="I437" t="s">
        <v>748</v>
      </c>
      <c r="J437" t="s">
        <v>13</v>
      </c>
    </row>
    <row r="438" spans="1:10" x14ac:dyDescent="0.2">
      <c r="A438" t="s">
        <v>607</v>
      </c>
      <c r="B438" s="31">
        <v>1</v>
      </c>
      <c r="C438" s="71">
        <v>42056</v>
      </c>
      <c r="D438">
        <v>4.78</v>
      </c>
      <c r="E438">
        <f t="shared" si="3"/>
        <v>4.78</v>
      </c>
      <c r="F438" t="s">
        <v>282</v>
      </c>
      <c r="G438" t="s">
        <v>298</v>
      </c>
      <c r="H438" s="71">
        <v>42045</v>
      </c>
      <c r="I438" t="s">
        <v>748</v>
      </c>
      <c r="J438" t="s">
        <v>13</v>
      </c>
    </row>
    <row r="439" spans="1:10" x14ac:dyDescent="0.2">
      <c r="A439" t="s">
        <v>608</v>
      </c>
      <c r="B439" s="31">
        <v>1</v>
      </c>
      <c r="C439" s="71">
        <v>42056</v>
      </c>
      <c r="D439">
        <v>12.98</v>
      </c>
      <c r="E439">
        <f t="shared" si="3"/>
        <v>12.98</v>
      </c>
      <c r="F439" t="s">
        <v>282</v>
      </c>
      <c r="G439" t="s">
        <v>298</v>
      </c>
      <c r="H439" s="71">
        <v>42045</v>
      </c>
      <c r="I439" t="s">
        <v>748</v>
      </c>
      <c r="J439" t="s">
        <v>13</v>
      </c>
    </row>
    <row r="440" spans="1:10" x14ac:dyDescent="0.2">
      <c r="A440" t="s">
        <v>651</v>
      </c>
      <c r="B440" s="31">
        <v>1</v>
      </c>
      <c r="C440" s="71">
        <v>42079</v>
      </c>
      <c r="D440">
        <v>12.99</v>
      </c>
      <c r="E440">
        <f t="shared" si="3"/>
        <v>12.99</v>
      </c>
      <c r="F440" t="s">
        <v>287</v>
      </c>
      <c r="G440" t="s">
        <v>298</v>
      </c>
      <c r="H440" s="71">
        <v>42073</v>
      </c>
      <c r="I440" t="s">
        <v>749</v>
      </c>
      <c r="J440" t="s">
        <v>13</v>
      </c>
    </row>
    <row r="441" spans="1:10" x14ac:dyDescent="0.2">
      <c r="A441" t="s">
        <v>295</v>
      </c>
      <c r="B441" s="31">
        <v>0.26300000000000001</v>
      </c>
      <c r="C441" s="71">
        <v>42079</v>
      </c>
      <c r="D441">
        <v>24.89</v>
      </c>
      <c r="E441">
        <f t="shared" si="3"/>
        <v>6.5460700000000003</v>
      </c>
      <c r="F441" t="s">
        <v>653</v>
      </c>
      <c r="G441" t="s">
        <v>299</v>
      </c>
      <c r="H441" s="71">
        <v>42073</v>
      </c>
      <c r="I441" t="s">
        <v>749</v>
      </c>
      <c r="J441" t="s">
        <v>13</v>
      </c>
    </row>
    <row r="442" spans="1:10" x14ac:dyDescent="0.2">
      <c r="A442" t="s">
        <v>416</v>
      </c>
      <c r="B442" s="31">
        <v>1</v>
      </c>
      <c r="C442" s="71">
        <v>42079</v>
      </c>
      <c r="D442">
        <v>9.85</v>
      </c>
      <c r="E442">
        <f t="shared" si="3"/>
        <v>9.85</v>
      </c>
      <c r="F442" t="s">
        <v>653</v>
      </c>
      <c r="G442" t="s">
        <v>298</v>
      </c>
      <c r="H442" s="71">
        <v>42073</v>
      </c>
      <c r="I442" t="s">
        <v>749</v>
      </c>
      <c r="J442" t="s">
        <v>13</v>
      </c>
    </row>
    <row r="443" spans="1:10" x14ac:dyDescent="0.2">
      <c r="A443" t="s">
        <v>308</v>
      </c>
      <c r="B443" s="31">
        <v>0.88500000000000001</v>
      </c>
      <c r="C443" s="71">
        <v>42079</v>
      </c>
      <c r="D443">
        <v>3.99</v>
      </c>
      <c r="E443">
        <f t="shared" si="3"/>
        <v>3.5311500000000002</v>
      </c>
      <c r="F443" t="s">
        <v>279</v>
      </c>
      <c r="G443" t="s">
        <v>299</v>
      </c>
      <c r="H443" s="71">
        <v>42073</v>
      </c>
      <c r="I443" t="s">
        <v>749</v>
      </c>
      <c r="J443" t="s">
        <v>13</v>
      </c>
    </row>
    <row r="444" spans="1:10" x14ac:dyDescent="0.2">
      <c r="A444" t="s">
        <v>652</v>
      </c>
      <c r="B444" s="31">
        <v>0.81</v>
      </c>
      <c r="C444" s="71">
        <v>42079</v>
      </c>
      <c r="D444">
        <v>3.75</v>
      </c>
      <c r="E444">
        <f t="shared" si="3"/>
        <v>3.0375000000000001</v>
      </c>
      <c r="F444" t="s">
        <v>279</v>
      </c>
      <c r="G444" t="s">
        <v>299</v>
      </c>
      <c r="H444" s="71">
        <v>42073</v>
      </c>
      <c r="I444" t="s">
        <v>749</v>
      </c>
      <c r="J444" t="s">
        <v>13</v>
      </c>
    </row>
    <row r="445" spans="1:10" x14ac:dyDescent="0.2">
      <c r="A445" t="s">
        <v>567</v>
      </c>
      <c r="B445" s="31">
        <v>1.0549999999999999</v>
      </c>
      <c r="C445" s="71">
        <v>42079</v>
      </c>
      <c r="D445">
        <v>1.69</v>
      </c>
      <c r="E445">
        <f t="shared" si="3"/>
        <v>1.7829499999999998</v>
      </c>
      <c r="F445" t="s">
        <v>279</v>
      </c>
      <c r="G445" t="s">
        <v>299</v>
      </c>
      <c r="H445" s="71">
        <v>42073</v>
      </c>
      <c r="I445" t="s">
        <v>749</v>
      </c>
      <c r="J445" t="s">
        <v>13</v>
      </c>
    </row>
    <row r="446" spans="1:10" x14ac:dyDescent="0.2">
      <c r="A446" t="s">
        <v>654</v>
      </c>
      <c r="B446" s="31">
        <v>1</v>
      </c>
      <c r="C446" s="71">
        <v>42082</v>
      </c>
      <c r="D446">
        <v>3.95</v>
      </c>
      <c r="E446">
        <f t="shared" si="3"/>
        <v>3.95</v>
      </c>
      <c r="F446" t="s">
        <v>620</v>
      </c>
      <c r="G446" t="s">
        <v>298</v>
      </c>
      <c r="H446" s="71">
        <v>42073</v>
      </c>
      <c r="I446" t="s">
        <v>749</v>
      </c>
      <c r="J446" t="s">
        <v>13</v>
      </c>
    </row>
    <row r="447" spans="1:10" x14ac:dyDescent="0.2">
      <c r="A447" t="s">
        <v>295</v>
      </c>
      <c r="B447" s="31">
        <v>0.11899999999999999</v>
      </c>
      <c r="C447" s="71">
        <v>42082</v>
      </c>
      <c r="D447">
        <v>22.69</v>
      </c>
      <c r="E447">
        <f t="shared" si="3"/>
        <v>2.70011</v>
      </c>
      <c r="F447" t="s">
        <v>653</v>
      </c>
      <c r="G447" t="s">
        <v>299</v>
      </c>
      <c r="H447" s="71">
        <v>42073</v>
      </c>
      <c r="I447" t="s">
        <v>749</v>
      </c>
      <c r="J447" t="s">
        <v>13</v>
      </c>
    </row>
    <row r="448" spans="1:10" x14ac:dyDescent="0.2">
      <c r="A448" t="s">
        <v>352</v>
      </c>
      <c r="B448" s="31">
        <v>7.1999999999999995E-2</v>
      </c>
      <c r="C448" s="71">
        <v>42082</v>
      </c>
      <c r="D448">
        <v>64.349999999999994</v>
      </c>
      <c r="E448">
        <f t="shared" si="3"/>
        <v>4.6331999999999995</v>
      </c>
      <c r="F448" t="s">
        <v>653</v>
      </c>
      <c r="G448" t="s">
        <v>299</v>
      </c>
      <c r="H448" s="71">
        <v>42073</v>
      </c>
      <c r="I448" t="s">
        <v>749</v>
      </c>
      <c r="J448" t="s">
        <v>13</v>
      </c>
    </row>
    <row r="449" spans="1:10" x14ac:dyDescent="0.2">
      <c r="A449" t="s">
        <v>655</v>
      </c>
      <c r="B449" s="31">
        <v>1</v>
      </c>
      <c r="C449" s="71">
        <v>42082</v>
      </c>
      <c r="D449">
        <v>5.49</v>
      </c>
      <c r="E449">
        <f t="shared" si="3"/>
        <v>5.49</v>
      </c>
      <c r="F449" t="s">
        <v>465</v>
      </c>
      <c r="G449" t="s">
        <v>298</v>
      </c>
      <c r="H449" s="71">
        <v>42073</v>
      </c>
      <c r="I449" t="s">
        <v>749</v>
      </c>
      <c r="J449" t="s">
        <v>13</v>
      </c>
    </row>
    <row r="450" spans="1:10" x14ac:dyDescent="0.2">
      <c r="A450" t="s">
        <v>656</v>
      </c>
      <c r="B450" s="31">
        <v>1</v>
      </c>
      <c r="C450" s="71">
        <v>42082</v>
      </c>
      <c r="D450">
        <v>2.99</v>
      </c>
      <c r="E450">
        <f t="shared" si="3"/>
        <v>2.99</v>
      </c>
      <c r="F450" t="s">
        <v>465</v>
      </c>
      <c r="G450" t="s">
        <v>298</v>
      </c>
      <c r="H450" s="71">
        <v>42073</v>
      </c>
      <c r="I450" t="s">
        <v>749</v>
      </c>
      <c r="J450" t="s">
        <v>13</v>
      </c>
    </row>
    <row r="451" spans="1:10" x14ac:dyDescent="0.2">
      <c r="A451" t="s">
        <v>253</v>
      </c>
      <c r="B451" s="31">
        <v>1.2150000000000001</v>
      </c>
      <c r="C451" s="71">
        <v>42082</v>
      </c>
      <c r="D451">
        <v>2.4900000000000002</v>
      </c>
      <c r="E451">
        <f t="shared" si="3"/>
        <v>3.0253500000000004</v>
      </c>
      <c r="F451" t="s">
        <v>279</v>
      </c>
      <c r="G451" t="s">
        <v>299</v>
      </c>
      <c r="H451" s="71">
        <v>42073</v>
      </c>
      <c r="I451" t="s">
        <v>749</v>
      </c>
      <c r="J451" t="s">
        <v>13</v>
      </c>
    </row>
    <row r="452" spans="1:10" x14ac:dyDescent="0.2">
      <c r="A452" t="s">
        <v>567</v>
      </c>
      <c r="B452" s="31">
        <v>0.38500000000000001</v>
      </c>
      <c r="C452" s="71">
        <v>42082</v>
      </c>
      <c r="D452">
        <v>4.8899999999999997</v>
      </c>
      <c r="E452">
        <f t="shared" si="3"/>
        <v>1.8826499999999999</v>
      </c>
      <c r="F452" t="s">
        <v>279</v>
      </c>
      <c r="G452" t="s">
        <v>299</v>
      </c>
      <c r="H452" s="71">
        <v>42073</v>
      </c>
      <c r="I452" t="s">
        <v>749</v>
      </c>
      <c r="J452" t="s">
        <v>13</v>
      </c>
    </row>
    <row r="453" spans="1:10" x14ac:dyDescent="0.2">
      <c r="A453" t="s">
        <v>232</v>
      </c>
      <c r="B453" s="31">
        <v>0.84499999999999997</v>
      </c>
      <c r="C453" s="71">
        <v>42082</v>
      </c>
      <c r="D453">
        <v>3.99</v>
      </c>
      <c r="E453">
        <f t="shared" si="3"/>
        <v>3.37155</v>
      </c>
      <c r="F453" t="s">
        <v>279</v>
      </c>
      <c r="G453" t="s">
        <v>299</v>
      </c>
      <c r="H453" s="71">
        <v>42073</v>
      </c>
      <c r="I453" t="s">
        <v>749</v>
      </c>
      <c r="J453" t="s">
        <v>13</v>
      </c>
    </row>
    <row r="454" spans="1:10" x14ac:dyDescent="0.2">
      <c r="A454" t="s">
        <v>234</v>
      </c>
      <c r="B454" s="31">
        <v>1</v>
      </c>
      <c r="C454" s="71">
        <v>42082</v>
      </c>
      <c r="D454">
        <v>3.59</v>
      </c>
      <c r="E454">
        <f t="shared" si="3"/>
        <v>3.59</v>
      </c>
      <c r="F454" t="s">
        <v>222</v>
      </c>
      <c r="G454" t="s">
        <v>298</v>
      </c>
      <c r="H454" s="71">
        <v>42073</v>
      </c>
      <c r="I454" t="s">
        <v>749</v>
      </c>
      <c r="J454" t="s">
        <v>13</v>
      </c>
    </row>
    <row r="455" spans="1:10" x14ac:dyDescent="0.2">
      <c r="A455" t="s">
        <v>215</v>
      </c>
      <c r="B455" s="31">
        <v>1</v>
      </c>
      <c r="C455" s="71">
        <v>42082</v>
      </c>
      <c r="D455">
        <v>2.29</v>
      </c>
      <c r="E455">
        <f t="shared" si="3"/>
        <v>2.29</v>
      </c>
      <c r="F455" t="s">
        <v>215</v>
      </c>
      <c r="G455" t="s">
        <v>298</v>
      </c>
      <c r="H455" s="71">
        <v>42073</v>
      </c>
      <c r="I455" t="s">
        <v>749</v>
      </c>
      <c r="J455" t="s">
        <v>13</v>
      </c>
    </row>
    <row r="456" spans="1:10" x14ac:dyDescent="0.2">
      <c r="A456" t="s">
        <v>235</v>
      </c>
      <c r="B456" s="31">
        <v>1</v>
      </c>
      <c r="C456" s="71">
        <v>42085</v>
      </c>
      <c r="D456">
        <v>4.6900000000000004</v>
      </c>
      <c r="E456">
        <f t="shared" si="3"/>
        <v>4.6900000000000004</v>
      </c>
      <c r="F456" t="s">
        <v>653</v>
      </c>
      <c r="G456" t="s">
        <v>298</v>
      </c>
      <c r="H456" s="71">
        <v>42073</v>
      </c>
      <c r="I456" t="s">
        <v>749</v>
      </c>
      <c r="J456" t="s">
        <v>13</v>
      </c>
    </row>
    <row r="457" spans="1:10" x14ac:dyDescent="0.2">
      <c r="A457" t="s">
        <v>658</v>
      </c>
      <c r="B457" s="31">
        <v>1</v>
      </c>
      <c r="C457" s="71">
        <v>42085</v>
      </c>
      <c r="D457">
        <v>2.65</v>
      </c>
      <c r="E457">
        <f t="shared" si="3"/>
        <v>2.65</v>
      </c>
      <c r="F457" t="s">
        <v>208</v>
      </c>
      <c r="G457" t="s">
        <v>298</v>
      </c>
      <c r="H457" s="71">
        <v>42073</v>
      </c>
      <c r="I457" t="s">
        <v>749</v>
      </c>
      <c r="J457" t="s">
        <v>13</v>
      </c>
    </row>
    <row r="458" spans="1:10" x14ac:dyDescent="0.2">
      <c r="A458" t="s">
        <v>409</v>
      </c>
      <c r="B458" s="31">
        <v>0.11</v>
      </c>
      <c r="C458" s="71">
        <v>42085</v>
      </c>
      <c r="D458">
        <v>11.99</v>
      </c>
      <c r="E458">
        <f t="shared" si="3"/>
        <v>1.3189</v>
      </c>
      <c r="F458" t="s">
        <v>653</v>
      </c>
      <c r="G458" t="s">
        <v>299</v>
      </c>
      <c r="H458" s="71">
        <v>42073</v>
      </c>
      <c r="I458" t="s">
        <v>749</v>
      </c>
      <c r="J458" t="s">
        <v>13</v>
      </c>
    </row>
    <row r="459" spans="1:10" x14ac:dyDescent="0.2">
      <c r="A459" t="s">
        <v>295</v>
      </c>
      <c r="B459" s="31">
        <v>0.12</v>
      </c>
      <c r="C459" s="71">
        <v>42085</v>
      </c>
      <c r="D459">
        <v>22.69</v>
      </c>
      <c r="E459">
        <f t="shared" si="3"/>
        <v>2.7227999999999999</v>
      </c>
      <c r="F459" t="s">
        <v>653</v>
      </c>
      <c r="G459" t="s">
        <v>299</v>
      </c>
      <c r="H459" s="71">
        <v>42073</v>
      </c>
      <c r="I459" t="s">
        <v>749</v>
      </c>
      <c r="J459" t="s">
        <v>13</v>
      </c>
    </row>
    <row r="460" spans="1:10" x14ac:dyDescent="0.2">
      <c r="A460" t="s">
        <v>416</v>
      </c>
      <c r="B460" s="31">
        <v>0.108</v>
      </c>
      <c r="C460" s="71">
        <v>42085</v>
      </c>
      <c r="D460">
        <v>21.99</v>
      </c>
      <c r="E460">
        <f t="shared" si="3"/>
        <v>2.3749199999999999</v>
      </c>
      <c r="F460" t="s">
        <v>653</v>
      </c>
      <c r="G460" t="s">
        <v>299</v>
      </c>
      <c r="H460" s="71">
        <v>42073</v>
      </c>
      <c r="I460" t="s">
        <v>749</v>
      </c>
      <c r="J460" t="s">
        <v>13</v>
      </c>
    </row>
    <row r="461" spans="1:10" x14ac:dyDescent="0.2">
      <c r="A461" t="s">
        <v>295</v>
      </c>
      <c r="B461" s="31">
        <v>0.16700000000000001</v>
      </c>
      <c r="C461" s="71">
        <v>42085</v>
      </c>
      <c r="D461">
        <v>22.69</v>
      </c>
      <c r="E461">
        <f t="shared" si="3"/>
        <v>3.7892300000000003</v>
      </c>
      <c r="F461" t="s">
        <v>653</v>
      </c>
      <c r="G461" t="s">
        <v>299</v>
      </c>
      <c r="H461" s="71">
        <v>42073</v>
      </c>
      <c r="I461" t="s">
        <v>749</v>
      </c>
      <c r="J461" t="s">
        <v>13</v>
      </c>
    </row>
    <row r="462" spans="1:10" x14ac:dyDescent="0.2">
      <c r="A462" t="s">
        <v>659</v>
      </c>
      <c r="B462" s="31">
        <v>1</v>
      </c>
      <c r="C462" s="71">
        <v>42085</v>
      </c>
      <c r="D462">
        <v>6.89</v>
      </c>
      <c r="E462">
        <f t="shared" si="3"/>
        <v>6.89</v>
      </c>
      <c r="F462" t="s">
        <v>344</v>
      </c>
      <c r="G462" t="s">
        <v>298</v>
      </c>
      <c r="H462" s="71">
        <v>42073</v>
      </c>
      <c r="I462" t="s">
        <v>749</v>
      </c>
      <c r="J462" t="s">
        <v>13</v>
      </c>
    </row>
    <row r="463" spans="1:10" x14ac:dyDescent="0.2">
      <c r="A463" t="s">
        <v>230</v>
      </c>
      <c r="B463" s="31">
        <v>0.46</v>
      </c>
      <c r="C463" s="71">
        <v>42085</v>
      </c>
      <c r="D463">
        <v>4.6500000000000004</v>
      </c>
      <c r="E463">
        <f t="shared" si="3"/>
        <v>2.1390000000000002</v>
      </c>
      <c r="F463" t="s">
        <v>280</v>
      </c>
      <c r="G463" t="s">
        <v>299</v>
      </c>
      <c r="H463" s="71">
        <v>42073</v>
      </c>
      <c r="I463" t="s">
        <v>749</v>
      </c>
      <c r="J463" t="s">
        <v>13</v>
      </c>
    </row>
    <row r="464" spans="1:10" x14ac:dyDescent="0.2">
      <c r="A464" t="s">
        <v>308</v>
      </c>
      <c r="B464" s="31">
        <v>0.92</v>
      </c>
      <c r="C464" s="71">
        <v>42085</v>
      </c>
      <c r="D464">
        <v>2.99</v>
      </c>
      <c r="E464">
        <f t="shared" si="3"/>
        <v>2.7508000000000004</v>
      </c>
      <c r="F464" t="s">
        <v>279</v>
      </c>
      <c r="G464" t="s">
        <v>299</v>
      </c>
      <c r="H464" s="71">
        <v>42073</v>
      </c>
      <c r="I464" t="s">
        <v>749</v>
      </c>
      <c r="J464" t="s">
        <v>13</v>
      </c>
    </row>
    <row r="465" spans="1:10" x14ac:dyDescent="0.2">
      <c r="A465" t="s">
        <v>232</v>
      </c>
      <c r="B465" s="31">
        <v>0.47499999999999998</v>
      </c>
      <c r="C465" s="71">
        <v>42085</v>
      </c>
      <c r="D465">
        <v>3.75</v>
      </c>
      <c r="E465">
        <f t="shared" si="3"/>
        <v>1.78125</v>
      </c>
      <c r="F465" t="s">
        <v>279</v>
      </c>
      <c r="G465" t="s">
        <v>299</v>
      </c>
      <c r="H465" s="71">
        <v>42073</v>
      </c>
      <c r="I465" t="s">
        <v>749</v>
      </c>
      <c r="J465" t="s">
        <v>13</v>
      </c>
    </row>
    <row r="466" spans="1:10" x14ac:dyDescent="0.2">
      <c r="A466" t="s">
        <v>660</v>
      </c>
      <c r="B466" s="31">
        <v>1</v>
      </c>
      <c r="C466" s="71">
        <v>42087</v>
      </c>
      <c r="D466">
        <v>5.09</v>
      </c>
      <c r="E466">
        <f t="shared" si="3"/>
        <v>5.09</v>
      </c>
      <c r="F466" t="s">
        <v>267</v>
      </c>
      <c r="G466" t="s">
        <v>298</v>
      </c>
      <c r="H466" s="71">
        <v>42073</v>
      </c>
      <c r="I466" t="s">
        <v>749</v>
      </c>
      <c r="J466" t="s">
        <v>13</v>
      </c>
    </row>
    <row r="467" spans="1:10" x14ac:dyDescent="0.2">
      <c r="A467" t="s">
        <v>218</v>
      </c>
      <c r="B467" s="31">
        <v>1</v>
      </c>
      <c r="C467" s="71">
        <v>42087</v>
      </c>
      <c r="D467">
        <v>2.89</v>
      </c>
      <c r="E467">
        <f t="shared" si="3"/>
        <v>2.89</v>
      </c>
      <c r="F467" t="s">
        <v>280</v>
      </c>
      <c r="G467" t="s">
        <v>298</v>
      </c>
      <c r="H467" s="71">
        <v>42073</v>
      </c>
      <c r="I467" t="s">
        <v>749</v>
      </c>
      <c r="J467" t="s">
        <v>13</v>
      </c>
    </row>
    <row r="468" spans="1:10" x14ac:dyDescent="0.2">
      <c r="A468" t="s">
        <v>657</v>
      </c>
      <c r="B468" s="31">
        <v>1</v>
      </c>
      <c r="C468" s="71">
        <v>42087</v>
      </c>
      <c r="D468">
        <v>6.95</v>
      </c>
      <c r="E468">
        <f t="shared" si="3"/>
        <v>6.95</v>
      </c>
      <c r="F468" t="s">
        <v>620</v>
      </c>
      <c r="G468" t="s">
        <v>298</v>
      </c>
      <c r="H468" s="71">
        <v>42073</v>
      </c>
      <c r="I468" t="s">
        <v>749</v>
      </c>
      <c r="J468" t="s">
        <v>13</v>
      </c>
    </row>
    <row r="469" spans="1:10" x14ac:dyDescent="0.2">
      <c r="A469" t="s">
        <v>416</v>
      </c>
      <c r="B469" s="31">
        <v>0.161</v>
      </c>
      <c r="C469" s="71">
        <v>42087</v>
      </c>
      <c r="D469">
        <v>21.99</v>
      </c>
      <c r="E469">
        <f t="shared" si="3"/>
        <v>3.5403899999999999</v>
      </c>
      <c r="F469" t="s">
        <v>653</v>
      </c>
      <c r="G469" t="s">
        <v>299</v>
      </c>
      <c r="H469" s="71">
        <v>42073</v>
      </c>
      <c r="I469" t="s">
        <v>749</v>
      </c>
      <c r="J469" t="s">
        <v>13</v>
      </c>
    </row>
    <row r="470" spans="1:10" x14ac:dyDescent="0.2">
      <c r="A470" t="s">
        <v>295</v>
      </c>
      <c r="B470" s="31">
        <v>0.245</v>
      </c>
      <c r="C470" s="71">
        <v>42087</v>
      </c>
      <c r="D470">
        <v>22.69</v>
      </c>
      <c r="E470">
        <f t="shared" si="3"/>
        <v>5.55905</v>
      </c>
      <c r="F470" t="s">
        <v>653</v>
      </c>
      <c r="G470" t="s">
        <v>299</v>
      </c>
      <c r="H470" s="71">
        <v>42073</v>
      </c>
      <c r="I470" t="s">
        <v>749</v>
      </c>
      <c r="J470" t="s">
        <v>13</v>
      </c>
    </row>
    <row r="471" spans="1:10" x14ac:dyDescent="0.2">
      <c r="A471" t="s">
        <v>658</v>
      </c>
      <c r="B471" s="31">
        <v>1</v>
      </c>
      <c r="C471" s="71">
        <v>42087</v>
      </c>
      <c r="D471">
        <v>2.65</v>
      </c>
      <c r="E471">
        <f t="shared" si="3"/>
        <v>2.65</v>
      </c>
      <c r="F471" t="s">
        <v>208</v>
      </c>
      <c r="G471" t="s">
        <v>298</v>
      </c>
      <c r="H471" s="71">
        <v>42073</v>
      </c>
      <c r="I471" t="s">
        <v>749</v>
      </c>
      <c r="J471" t="s">
        <v>13</v>
      </c>
    </row>
    <row r="472" spans="1:10" x14ac:dyDescent="0.2">
      <c r="A472" t="s">
        <v>661</v>
      </c>
      <c r="B472" s="31">
        <v>1</v>
      </c>
      <c r="C472" s="71">
        <v>42087</v>
      </c>
      <c r="D472">
        <v>3.99</v>
      </c>
      <c r="E472">
        <f t="shared" si="3"/>
        <v>3.99</v>
      </c>
      <c r="F472" t="s">
        <v>208</v>
      </c>
      <c r="G472" t="s">
        <v>298</v>
      </c>
      <c r="H472" s="71">
        <v>42073</v>
      </c>
      <c r="I472" t="s">
        <v>749</v>
      </c>
      <c r="J472" t="s">
        <v>13</v>
      </c>
    </row>
    <row r="473" spans="1:10" x14ac:dyDescent="0.2">
      <c r="A473" t="s">
        <v>215</v>
      </c>
      <c r="B473" s="31">
        <v>1</v>
      </c>
      <c r="C473" s="71">
        <v>42087</v>
      </c>
      <c r="D473">
        <v>2.75</v>
      </c>
      <c r="E473">
        <f t="shared" si="3"/>
        <v>2.75</v>
      </c>
      <c r="F473" t="s">
        <v>215</v>
      </c>
      <c r="G473" t="s">
        <v>298</v>
      </c>
      <c r="H473" s="71">
        <v>42073</v>
      </c>
      <c r="I473" t="s">
        <v>749</v>
      </c>
      <c r="J473" t="s">
        <v>13</v>
      </c>
    </row>
    <row r="474" spans="1:10" x14ac:dyDescent="0.2">
      <c r="A474" t="s">
        <v>257</v>
      </c>
      <c r="B474" s="31">
        <v>1</v>
      </c>
      <c r="C474" s="71">
        <v>42090</v>
      </c>
      <c r="D474">
        <v>41.99</v>
      </c>
      <c r="E474">
        <f t="shared" si="3"/>
        <v>41.99</v>
      </c>
      <c r="F474" t="s">
        <v>619</v>
      </c>
      <c r="G474" t="s">
        <v>298</v>
      </c>
      <c r="H474" s="71">
        <v>42073</v>
      </c>
      <c r="I474" t="s">
        <v>749</v>
      </c>
      <c r="J474" t="s">
        <v>13</v>
      </c>
    </row>
    <row r="475" spans="1:10" x14ac:dyDescent="0.2">
      <c r="A475" t="s">
        <v>307</v>
      </c>
      <c r="B475" s="31">
        <v>0.28999999999999998</v>
      </c>
      <c r="C475" s="71">
        <v>42090</v>
      </c>
      <c r="D475">
        <v>3.39</v>
      </c>
      <c r="E475">
        <f t="shared" si="3"/>
        <v>0.98309999999999997</v>
      </c>
      <c r="F475" t="s">
        <v>280</v>
      </c>
      <c r="G475" t="s">
        <v>299</v>
      </c>
      <c r="H475" s="71">
        <v>42073</v>
      </c>
      <c r="I475" t="s">
        <v>749</v>
      </c>
      <c r="J475" t="s">
        <v>13</v>
      </c>
    </row>
    <row r="476" spans="1:10" x14ac:dyDescent="0.2">
      <c r="A476" t="s">
        <v>304</v>
      </c>
      <c r="B476" s="31">
        <v>0.76500000000000001</v>
      </c>
      <c r="C476" s="71">
        <v>42090</v>
      </c>
      <c r="D476">
        <v>2.99</v>
      </c>
      <c r="E476">
        <f t="shared" si="3"/>
        <v>2.28735</v>
      </c>
      <c r="F476" t="s">
        <v>280</v>
      </c>
      <c r="G476" t="s">
        <v>299</v>
      </c>
      <c r="H476" s="71">
        <v>42073</v>
      </c>
      <c r="I476" t="s">
        <v>749</v>
      </c>
      <c r="J476" t="s">
        <v>13</v>
      </c>
    </row>
    <row r="477" spans="1:10" x14ac:dyDescent="0.2">
      <c r="A477" t="s">
        <v>232</v>
      </c>
      <c r="B477" s="31">
        <v>0.39500000000000002</v>
      </c>
      <c r="C477" s="71">
        <v>42090</v>
      </c>
      <c r="D477">
        <v>3.75</v>
      </c>
      <c r="E477">
        <f t="shared" si="3"/>
        <v>1.4812500000000002</v>
      </c>
      <c r="F477" t="s">
        <v>279</v>
      </c>
      <c r="G477" t="s">
        <v>299</v>
      </c>
      <c r="H477" s="71">
        <v>42073</v>
      </c>
      <c r="I477" t="s">
        <v>749</v>
      </c>
      <c r="J477" t="s">
        <v>13</v>
      </c>
    </row>
    <row r="478" spans="1:10" x14ac:dyDescent="0.2">
      <c r="A478" t="s">
        <v>215</v>
      </c>
      <c r="B478" s="31">
        <v>1</v>
      </c>
      <c r="C478" s="71">
        <v>42090</v>
      </c>
      <c r="D478">
        <v>2.79</v>
      </c>
      <c r="E478">
        <f t="shared" si="3"/>
        <v>2.79</v>
      </c>
      <c r="F478" t="s">
        <v>215</v>
      </c>
      <c r="G478" t="s">
        <v>298</v>
      </c>
      <c r="H478" s="71">
        <v>42073</v>
      </c>
      <c r="I478" t="s">
        <v>749</v>
      </c>
      <c r="J478" t="s">
        <v>13</v>
      </c>
    </row>
    <row r="479" spans="1:10" x14ac:dyDescent="0.2">
      <c r="A479" t="s">
        <v>662</v>
      </c>
      <c r="B479" s="31">
        <v>1</v>
      </c>
      <c r="C479" s="71">
        <v>42090</v>
      </c>
      <c r="D479">
        <v>4.99</v>
      </c>
      <c r="E479">
        <f t="shared" si="3"/>
        <v>4.99</v>
      </c>
      <c r="F479" t="s">
        <v>344</v>
      </c>
      <c r="G479" t="s">
        <v>298</v>
      </c>
      <c r="H479" s="71">
        <v>42073</v>
      </c>
      <c r="I479" t="s">
        <v>749</v>
      </c>
      <c r="J479" t="s">
        <v>13</v>
      </c>
    </row>
    <row r="480" spans="1:10" x14ac:dyDescent="0.2">
      <c r="A480" t="s">
        <v>313</v>
      </c>
      <c r="B480" s="31">
        <v>0.18</v>
      </c>
      <c r="C480" s="71">
        <v>42090</v>
      </c>
      <c r="D480">
        <v>2.99</v>
      </c>
      <c r="E480">
        <f t="shared" si="3"/>
        <v>0.53820000000000001</v>
      </c>
      <c r="F480" t="s">
        <v>280</v>
      </c>
      <c r="G480" t="s">
        <v>299</v>
      </c>
      <c r="H480" s="71">
        <v>42073</v>
      </c>
      <c r="I480" t="s">
        <v>749</v>
      </c>
      <c r="J480" t="s">
        <v>13</v>
      </c>
    </row>
    <row r="481" spans="1:10" x14ac:dyDescent="0.2">
      <c r="A481" t="s">
        <v>663</v>
      </c>
      <c r="B481" s="31">
        <v>0.18</v>
      </c>
      <c r="C481" s="71">
        <v>42090</v>
      </c>
      <c r="D481">
        <v>6.59</v>
      </c>
      <c r="E481">
        <f t="shared" si="3"/>
        <v>1.1861999999999999</v>
      </c>
      <c r="F481" t="s">
        <v>279</v>
      </c>
      <c r="G481" t="s">
        <v>299</v>
      </c>
      <c r="H481" s="71">
        <v>42073</v>
      </c>
      <c r="I481" t="s">
        <v>749</v>
      </c>
      <c r="J481" t="s">
        <v>13</v>
      </c>
    </row>
    <row r="482" spans="1:10" x14ac:dyDescent="0.2">
      <c r="A482" t="s">
        <v>421</v>
      </c>
      <c r="B482" s="31">
        <v>1</v>
      </c>
      <c r="C482" s="71">
        <v>42090</v>
      </c>
      <c r="D482">
        <v>1.75</v>
      </c>
      <c r="E482">
        <f t="shared" si="3"/>
        <v>1.75</v>
      </c>
      <c r="F482" t="s">
        <v>344</v>
      </c>
      <c r="G482" t="s">
        <v>298</v>
      </c>
      <c r="H482" s="71">
        <v>42073</v>
      </c>
      <c r="I482" t="s">
        <v>749</v>
      </c>
      <c r="J482" t="s">
        <v>13</v>
      </c>
    </row>
    <row r="483" spans="1:10" x14ac:dyDescent="0.2">
      <c r="A483" t="s">
        <v>567</v>
      </c>
      <c r="B483" s="31">
        <v>0.27500000000000002</v>
      </c>
      <c r="C483" s="71">
        <v>42090</v>
      </c>
      <c r="D483">
        <v>4.99</v>
      </c>
      <c r="E483">
        <f t="shared" si="3"/>
        <v>1.3722500000000002</v>
      </c>
      <c r="F483" t="s">
        <v>279</v>
      </c>
      <c r="G483" t="s">
        <v>299</v>
      </c>
      <c r="H483" s="71">
        <v>42073</v>
      </c>
      <c r="I483" t="s">
        <v>749</v>
      </c>
      <c r="J483" t="s">
        <v>13</v>
      </c>
    </row>
    <row r="484" spans="1:10" x14ac:dyDescent="0.2">
      <c r="A484" t="s">
        <v>302</v>
      </c>
      <c r="B484" s="31">
        <v>0.28499999999999998</v>
      </c>
      <c r="C484" s="71">
        <v>42090</v>
      </c>
      <c r="D484">
        <v>3.79</v>
      </c>
      <c r="E484">
        <f t="shared" si="3"/>
        <v>1.0801499999999999</v>
      </c>
      <c r="F484" t="s">
        <v>279</v>
      </c>
      <c r="G484" t="s">
        <v>299</v>
      </c>
      <c r="H484" s="71">
        <v>42073</v>
      </c>
      <c r="I484" t="s">
        <v>749</v>
      </c>
      <c r="J484" t="s">
        <v>13</v>
      </c>
    </row>
    <row r="485" spans="1:10" x14ac:dyDescent="0.2">
      <c r="A485" t="s">
        <v>664</v>
      </c>
      <c r="B485" s="31">
        <v>1</v>
      </c>
      <c r="C485" s="71">
        <v>42091</v>
      </c>
      <c r="D485">
        <v>1.67</v>
      </c>
      <c r="E485">
        <f t="shared" si="3"/>
        <v>1.67</v>
      </c>
      <c r="F485" t="s">
        <v>664</v>
      </c>
      <c r="G485" t="s">
        <v>298</v>
      </c>
      <c r="H485" s="71">
        <v>42073</v>
      </c>
      <c r="I485" t="s">
        <v>749</v>
      </c>
      <c r="J485" t="s">
        <v>13</v>
      </c>
    </row>
    <row r="486" spans="1:10" x14ac:dyDescent="0.2">
      <c r="A486" t="s">
        <v>244</v>
      </c>
      <c r="B486" s="31">
        <v>2</v>
      </c>
      <c r="C486" s="71">
        <v>42091</v>
      </c>
      <c r="D486">
        <v>1.29</v>
      </c>
      <c r="E486">
        <f t="shared" si="3"/>
        <v>2.58</v>
      </c>
      <c r="F486" t="s">
        <v>282</v>
      </c>
      <c r="G486" t="s">
        <v>298</v>
      </c>
      <c r="H486" s="71">
        <v>42073</v>
      </c>
      <c r="I486" t="s">
        <v>749</v>
      </c>
      <c r="J486" t="s">
        <v>13</v>
      </c>
    </row>
    <row r="487" spans="1:10" x14ac:dyDescent="0.2">
      <c r="A487" t="s">
        <v>468</v>
      </c>
      <c r="B487" s="31">
        <v>1</v>
      </c>
      <c r="C487" s="71">
        <v>42091</v>
      </c>
      <c r="D487">
        <v>4.6900000000000004</v>
      </c>
      <c r="E487">
        <f t="shared" si="3"/>
        <v>4.6900000000000004</v>
      </c>
      <c r="F487" t="s">
        <v>468</v>
      </c>
      <c r="G487" t="s">
        <v>298</v>
      </c>
      <c r="H487" s="71">
        <v>42073</v>
      </c>
      <c r="I487" t="s">
        <v>749</v>
      </c>
      <c r="J487" t="s">
        <v>13</v>
      </c>
    </row>
    <row r="488" spans="1:10" x14ac:dyDescent="0.2">
      <c r="A488" t="s">
        <v>665</v>
      </c>
      <c r="B488" s="31">
        <v>1</v>
      </c>
      <c r="C488" s="71">
        <v>42091</v>
      </c>
      <c r="D488">
        <v>2.59</v>
      </c>
      <c r="E488">
        <f t="shared" si="3"/>
        <v>2.59</v>
      </c>
      <c r="F488" t="s">
        <v>287</v>
      </c>
      <c r="G488" t="s">
        <v>298</v>
      </c>
      <c r="H488" s="71">
        <v>42073</v>
      </c>
      <c r="I488" t="s">
        <v>749</v>
      </c>
      <c r="J488" t="s">
        <v>13</v>
      </c>
    </row>
    <row r="489" spans="1:10" x14ac:dyDescent="0.2">
      <c r="A489" t="s">
        <v>657</v>
      </c>
      <c r="B489" s="31">
        <v>0.11</v>
      </c>
      <c r="C489" s="71">
        <v>42091</v>
      </c>
      <c r="D489">
        <v>13.5</v>
      </c>
      <c r="E489">
        <f t="shared" si="3"/>
        <v>1.4850000000000001</v>
      </c>
      <c r="F489" t="s">
        <v>620</v>
      </c>
      <c r="G489" t="s">
        <v>299</v>
      </c>
      <c r="H489" s="71">
        <v>42073</v>
      </c>
      <c r="I489" t="s">
        <v>749</v>
      </c>
      <c r="J489" t="s">
        <v>13</v>
      </c>
    </row>
    <row r="490" spans="1:10" x14ac:dyDescent="0.2">
      <c r="A490" t="s">
        <v>296</v>
      </c>
      <c r="B490" s="31">
        <v>0.1</v>
      </c>
      <c r="C490" s="71">
        <v>42091</v>
      </c>
      <c r="D490">
        <v>58.9</v>
      </c>
      <c r="E490">
        <f t="shared" si="3"/>
        <v>5.8900000000000006</v>
      </c>
      <c r="F490" t="s">
        <v>653</v>
      </c>
      <c r="G490" t="s">
        <v>299</v>
      </c>
      <c r="H490" s="71">
        <v>42073</v>
      </c>
      <c r="I490" t="s">
        <v>749</v>
      </c>
      <c r="J490" t="s">
        <v>13</v>
      </c>
    </row>
    <row r="491" spans="1:10" x14ac:dyDescent="0.2">
      <c r="A491" t="s">
        <v>295</v>
      </c>
      <c r="B491" s="31">
        <v>0.11</v>
      </c>
      <c r="C491" s="71">
        <v>42091</v>
      </c>
      <c r="D491">
        <v>38.15</v>
      </c>
      <c r="E491">
        <f t="shared" si="3"/>
        <v>4.1964999999999995</v>
      </c>
      <c r="F491" t="s">
        <v>653</v>
      </c>
      <c r="G491" t="s">
        <v>299</v>
      </c>
      <c r="H491" s="71">
        <v>42073</v>
      </c>
      <c r="I491" t="s">
        <v>749</v>
      </c>
      <c r="J491" t="s">
        <v>13</v>
      </c>
    </row>
    <row r="492" spans="1:10" x14ac:dyDescent="0.2">
      <c r="A492" t="s">
        <v>666</v>
      </c>
      <c r="B492" s="31">
        <v>0.25600000000000001</v>
      </c>
      <c r="C492" s="71">
        <v>42091</v>
      </c>
      <c r="D492">
        <v>41</v>
      </c>
      <c r="E492">
        <f t="shared" si="3"/>
        <v>10.496</v>
      </c>
      <c r="F492" t="s">
        <v>267</v>
      </c>
      <c r="G492" t="s">
        <v>299</v>
      </c>
      <c r="H492" s="71">
        <v>42073</v>
      </c>
      <c r="I492" t="s">
        <v>749</v>
      </c>
      <c r="J492" t="s">
        <v>13</v>
      </c>
    </row>
    <row r="493" spans="1:10" x14ac:dyDescent="0.2">
      <c r="A493" t="s">
        <v>667</v>
      </c>
      <c r="B493" s="31">
        <v>0.38700000000000001</v>
      </c>
      <c r="C493" s="71">
        <v>42093</v>
      </c>
      <c r="D493">
        <v>5.68</v>
      </c>
      <c r="E493">
        <f t="shared" si="3"/>
        <v>2.1981600000000001</v>
      </c>
      <c r="F493" t="s">
        <v>667</v>
      </c>
      <c r="G493" t="s">
        <v>299</v>
      </c>
      <c r="H493" s="71">
        <v>42073</v>
      </c>
      <c r="I493" t="s">
        <v>753</v>
      </c>
      <c r="J493" t="s">
        <v>13</v>
      </c>
    </row>
    <row r="494" spans="1:10" x14ac:dyDescent="0.2">
      <c r="A494" t="s">
        <v>570</v>
      </c>
      <c r="B494" s="31">
        <v>1</v>
      </c>
      <c r="C494" s="71">
        <v>42093</v>
      </c>
      <c r="D494">
        <v>4.9000000000000004</v>
      </c>
      <c r="E494">
        <f t="shared" si="3"/>
        <v>4.9000000000000004</v>
      </c>
      <c r="F494" t="s">
        <v>653</v>
      </c>
      <c r="G494" t="s">
        <v>298</v>
      </c>
      <c r="H494" s="71">
        <v>42073</v>
      </c>
      <c r="I494" t="s">
        <v>753</v>
      </c>
      <c r="J494" t="s">
        <v>13</v>
      </c>
    </row>
    <row r="495" spans="1:10" x14ac:dyDescent="0.2">
      <c r="A495" t="s">
        <v>668</v>
      </c>
      <c r="B495" s="31">
        <v>1</v>
      </c>
      <c r="C495" s="71">
        <v>42093</v>
      </c>
      <c r="D495">
        <v>2.5499999999999998</v>
      </c>
      <c r="E495">
        <f t="shared" si="3"/>
        <v>2.5499999999999998</v>
      </c>
      <c r="F495" t="s">
        <v>653</v>
      </c>
      <c r="G495" t="s">
        <v>298</v>
      </c>
      <c r="H495" s="71">
        <v>42073</v>
      </c>
      <c r="I495" t="s">
        <v>753</v>
      </c>
      <c r="J495" t="s">
        <v>13</v>
      </c>
    </row>
    <row r="496" spans="1:10" x14ac:dyDescent="0.2">
      <c r="A496" t="s">
        <v>304</v>
      </c>
      <c r="B496" s="31">
        <v>0.495</v>
      </c>
      <c r="C496" s="71">
        <v>42093</v>
      </c>
      <c r="D496">
        <v>3.88</v>
      </c>
      <c r="E496">
        <f t="shared" si="3"/>
        <v>1.9205999999999999</v>
      </c>
      <c r="F496" t="s">
        <v>280</v>
      </c>
      <c r="G496" t="s">
        <v>299</v>
      </c>
      <c r="H496" s="71">
        <v>42073</v>
      </c>
      <c r="I496" t="s">
        <v>753</v>
      </c>
      <c r="J496" t="s">
        <v>13</v>
      </c>
    </row>
    <row r="497" spans="1:10" x14ac:dyDescent="0.2">
      <c r="A497" t="s">
        <v>618</v>
      </c>
      <c r="B497" s="31">
        <v>1</v>
      </c>
      <c r="C497" s="71">
        <v>42093</v>
      </c>
      <c r="D497">
        <v>1.88</v>
      </c>
      <c r="E497">
        <f t="shared" si="3"/>
        <v>1.88</v>
      </c>
      <c r="F497" t="s">
        <v>618</v>
      </c>
      <c r="G497" t="s">
        <v>298</v>
      </c>
      <c r="H497" s="71">
        <v>42073</v>
      </c>
      <c r="I497" t="s">
        <v>753</v>
      </c>
      <c r="J497" t="s">
        <v>13</v>
      </c>
    </row>
    <row r="498" spans="1:10" x14ac:dyDescent="0.2">
      <c r="A498" t="s">
        <v>215</v>
      </c>
      <c r="B498" s="31">
        <v>2</v>
      </c>
      <c r="C498" s="71">
        <v>42093</v>
      </c>
      <c r="D498">
        <v>2.68</v>
      </c>
      <c r="E498">
        <f t="shared" si="3"/>
        <v>5.36</v>
      </c>
      <c r="F498" t="s">
        <v>215</v>
      </c>
      <c r="G498" t="s">
        <v>298</v>
      </c>
      <c r="H498" s="71">
        <v>42073</v>
      </c>
      <c r="I498" t="s">
        <v>753</v>
      </c>
      <c r="J498" t="s">
        <v>13</v>
      </c>
    </row>
    <row r="499" spans="1:10" x14ac:dyDescent="0.2">
      <c r="A499" t="s">
        <v>669</v>
      </c>
      <c r="B499" s="31">
        <v>2</v>
      </c>
      <c r="C499" s="71">
        <v>42093</v>
      </c>
      <c r="D499">
        <v>1.77</v>
      </c>
      <c r="E499">
        <f t="shared" si="3"/>
        <v>3.54</v>
      </c>
      <c r="F499" t="s">
        <v>374</v>
      </c>
      <c r="G499" t="s">
        <v>298</v>
      </c>
      <c r="H499" s="71">
        <v>42073</v>
      </c>
      <c r="I499" t="s">
        <v>753</v>
      </c>
      <c r="J499" t="s">
        <v>13</v>
      </c>
    </row>
    <row r="500" spans="1:10" x14ac:dyDescent="0.2">
      <c r="A500" t="s">
        <v>670</v>
      </c>
      <c r="B500" s="31">
        <v>1</v>
      </c>
      <c r="C500" s="71">
        <v>42093</v>
      </c>
      <c r="D500">
        <v>2.48</v>
      </c>
      <c r="E500">
        <f t="shared" si="3"/>
        <v>2.48</v>
      </c>
      <c r="F500" t="s">
        <v>670</v>
      </c>
      <c r="G500" t="s">
        <v>298</v>
      </c>
      <c r="H500" s="71">
        <v>42073</v>
      </c>
      <c r="I500" t="s">
        <v>753</v>
      </c>
      <c r="J500" t="s">
        <v>13</v>
      </c>
    </row>
    <row r="501" spans="1:10" x14ac:dyDescent="0.2">
      <c r="A501" t="s">
        <v>671</v>
      </c>
      <c r="B501" s="31">
        <v>1</v>
      </c>
      <c r="C501" s="71">
        <v>42093</v>
      </c>
      <c r="D501">
        <v>1.78</v>
      </c>
      <c r="E501">
        <f t="shared" si="3"/>
        <v>1.78</v>
      </c>
      <c r="F501" t="s">
        <v>73</v>
      </c>
      <c r="G501" t="s">
        <v>298</v>
      </c>
      <c r="H501" s="71">
        <v>42073</v>
      </c>
      <c r="I501" t="s">
        <v>753</v>
      </c>
      <c r="J501" t="s">
        <v>13</v>
      </c>
    </row>
    <row r="502" spans="1:10" x14ac:dyDescent="0.2">
      <c r="A502" t="s">
        <v>672</v>
      </c>
      <c r="B502" s="31">
        <v>1</v>
      </c>
      <c r="C502" s="71">
        <v>42093</v>
      </c>
      <c r="D502">
        <v>6.89</v>
      </c>
      <c r="E502">
        <f t="shared" ref="E502:E757" si="4">B502*D502</f>
        <v>6.89</v>
      </c>
      <c r="F502" t="s">
        <v>620</v>
      </c>
      <c r="G502" t="s">
        <v>298</v>
      </c>
      <c r="H502" s="71">
        <v>42073</v>
      </c>
      <c r="I502" t="s">
        <v>753</v>
      </c>
      <c r="J502" t="s">
        <v>13</v>
      </c>
    </row>
    <row r="503" spans="1:10" x14ac:dyDescent="0.2">
      <c r="A503" t="s">
        <v>673</v>
      </c>
      <c r="B503" s="31">
        <v>1</v>
      </c>
      <c r="C503" s="71">
        <v>42093</v>
      </c>
      <c r="D503">
        <v>3.18</v>
      </c>
      <c r="E503">
        <f t="shared" si="4"/>
        <v>3.18</v>
      </c>
      <c r="F503" t="s">
        <v>681</v>
      </c>
      <c r="G503" t="s">
        <v>298</v>
      </c>
      <c r="H503" s="71">
        <v>42073</v>
      </c>
      <c r="I503" t="s">
        <v>753</v>
      </c>
      <c r="J503" t="s">
        <v>13</v>
      </c>
    </row>
    <row r="504" spans="1:10" x14ac:dyDescent="0.2">
      <c r="A504" t="s">
        <v>674</v>
      </c>
      <c r="B504" s="31">
        <v>2</v>
      </c>
      <c r="C504" s="71">
        <v>42093</v>
      </c>
      <c r="D504">
        <v>1.88</v>
      </c>
      <c r="E504">
        <f t="shared" si="4"/>
        <v>3.76</v>
      </c>
      <c r="F504" t="s">
        <v>465</v>
      </c>
      <c r="G504" t="s">
        <v>298</v>
      </c>
      <c r="H504" s="71">
        <v>42073</v>
      </c>
      <c r="I504" t="s">
        <v>753</v>
      </c>
      <c r="J504" t="s">
        <v>13</v>
      </c>
    </row>
    <row r="505" spans="1:10" x14ac:dyDescent="0.2">
      <c r="A505" t="s">
        <v>675</v>
      </c>
      <c r="B505" s="31">
        <v>1</v>
      </c>
      <c r="C505" s="71">
        <v>42093</v>
      </c>
      <c r="D505">
        <v>1.58</v>
      </c>
      <c r="E505">
        <f t="shared" si="4"/>
        <v>1.58</v>
      </c>
      <c r="F505" t="s">
        <v>208</v>
      </c>
      <c r="G505" t="s">
        <v>298</v>
      </c>
      <c r="H505" s="71">
        <v>42073</v>
      </c>
      <c r="I505" t="s">
        <v>753</v>
      </c>
      <c r="J505" t="s">
        <v>13</v>
      </c>
    </row>
    <row r="506" spans="1:10" x14ac:dyDescent="0.2">
      <c r="A506" t="s">
        <v>676</v>
      </c>
      <c r="B506" s="31">
        <v>1</v>
      </c>
      <c r="C506" s="71">
        <v>42093</v>
      </c>
      <c r="D506">
        <v>1.38</v>
      </c>
      <c r="E506">
        <f t="shared" si="4"/>
        <v>1.38</v>
      </c>
      <c r="F506" t="s">
        <v>468</v>
      </c>
      <c r="G506" t="s">
        <v>298</v>
      </c>
      <c r="H506" s="71">
        <v>42073</v>
      </c>
      <c r="I506" t="s">
        <v>753</v>
      </c>
      <c r="J506" t="s">
        <v>13</v>
      </c>
    </row>
    <row r="507" spans="1:10" x14ac:dyDescent="0.2">
      <c r="A507" t="s">
        <v>677</v>
      </c>
      <c r="B507" s="31">
        <v>0.76600000000000001</v>
      </c>
      <c r="C507" s="71">
        <v>42096</v>
      </c>
      <c r="D507">
        <v>9.98</v>
      </c>
      <c r="E507">
        <f t="shared" si="4"/>
        <v>7.6446800000000001</v>
      </c>
      <c r="F507" t="s">
        <v>280</v>
      </c>
      <c r="G507" t="s">
        <v>299</v>
      </c>
      <c r="H507" s="71">
        <v>42073</v>
      </c>
      <c r="I507" t="s">
        <v>750</v>
      </c>
      <c r="J507" t="s">
        <v>13</v>
      </c>
    </row>
    <row r="508" spans="1:10" x14ac:dyDescent="0.2">
      <c r="A508" t="s">
        <v>300</v>
      </c>
      <c r="B508" s="31">
        <v>0.14499999999999999</v>
      </c>
      <c r="C508" s="71">
        <v>42096</v>
      </c>
      <c r="D508">
        <v>6.98</v>
      </c>
      <c r="E508">
        <f t="shared" si="4"/>
        <v>1.0121</v>
      </c>
      <c r="F508" t="s">
        <v>280</v>
      </c>
      <c r="G508" t="s">
        <v>299</v>
      </c>
      <c r="H508" s="71">
        <v>42073</v>
      </c>
      <c r="I508" t="s">
        <v>750</v>
      </c>
      <c r="J508" t="s">
        <v>13</v>
      </c>
    </row>
    <row r="509" spans="1:10" x14ac:dyDescent="0.2">
      <c r="A509" t="s">
        <v>269</v>
      </c>
      <c r="B509" s="31">
        <v>1</v>
      </c>
      <c r="C509" s="71">
        <v>42096</v>
      </c>
      <c r="D509">
        <v>2.4900000000000002</v>
      </c>
      <c r="E509">
        <f t="shared" si="4"/>
        <v>2.4900000000000002</v>
      </c>
      <c r="F509" t="s">
        <v>269</v>
      </c>
      <c r="G509" t="s">
        <v>298</v>
      </c>
      <c r="H509" s="71">
        <v>42073</v>
      </c>
      <c r="I509" t="s">
        <v>750</v>
      </c>
      <c r="J509" t="s">
        <v>13</v>
      </c>
    </row>
    <row r="510" spans="1:10" x14ac:dyDescent="0.2">
      <c r="A510" t="s">
        <v>307</v>
      </c>
      <c r="B510" s="31">
        <v>0.315</v>
      </c>
      <c r="C510" s="71">
        <v>42096</v>
      </c>
      <c r="D510">
        <v>4.4800000000000004</v>
      </c>
      <c r="E510">
        <f t="shared" si="4"/>
        <v>1.4112000000000002</v>
      </c>
      <c r="F510" t="s">
        <v>280</v>
      </c>
      <c r="G510" t="s">
        <v>299</v>
      </c>
      <c r="H510" s="71">
        <v>42073</v>
      </c>
      <c r="I510" t="s">
        <v>750</v>
      </c>
      <c r="J510" t="s">
        <v>13</v>
      </c>
    </row>
    <row r="511" spans="1:10" x14ac:dyDescent="0.2">
      <c r="A511" t="s">
        <v>218</v>
      </c>
      <c r="B511" s="31">
        <v>1</v>
      </c>
      <c r="C511" s="71">
        <v>42096</v>
      </c>
      <c r="D511">
        <v>2.69</v>
      </c>
      <c r="E511">
        <f t="shared" si="4"/>
        <v>2.69</v>
      </c>
      <c r="F511" t="s">
        <v>280</v>
      </c>
      <c r="G511" t="s">
        <v>298</v>
      </c>
      <c r="H511" s="71">
        <v>42073</v>
      </c>
      <c r="I511" t="s">
        <v>750</v>
      </c>
      <c r="J511" t="s">
        <v>13</v>
      </c>
    </row>
    <row r="512" spans="1:10" x14ac:dyDescent="0.2">
      <c r="A512" t="s">
        <v>230</v>
      </c>
      <c r="B512" s="31">
        <v>0.505</v>
      </c>
      <c r="C512" s="71">
        <v>42096</v>
      </c>
      <c r="D512">
        <v>7.98</v>
      </c>
      <c r="E512">
        <f t="shared" si="4"/>
        <v>4.0299000000000005</v>
      </c>
      <c r="F512" t="s">
        <v>280</v>
      </c>
      <c r="G512" t="s">
        <v>299</v>
      </c>
      <c r="H512" s="71">
        <v>42073</v>
      </c>
      <c r="I512" t="s">
        <v>750</v>
      </c>
      <c r="J512" t="s">
        <v>13</v>
      </c>
    </row>
    <row r="513" spans="1:10" x14ac:dyDescent="0.2">
      <c r="A513" t="s">
        <v>678</v>
      </c>
      <c r="B513" s="31">
        <v>1.0760000000000001</v>
      </c>
      <c r="C513" s="71">
        <v>42096</v>
      </c>
      <c r="D513">
        <v>15.9</v>
      </c>
      <c r="E513">
        <f t="shared" si="4"/>
        <v>17.108400000000003</v>
      </c>
      <c r="F513" t="s">
        <v>609</v>
      </c>
      <c r="G513" t="s">
        <v>299</v>
      </c>
      <c r="H513" s="71">
        <v>42073</v>
      </c>
      <c r="I513" t="s">
        <v>750</v>
      </c>
      <c r="J513" t="s">
        <v>13</v>
      </c>
    </row>
    <row r="514" spans="1:10" x14ac:dyDescent="0.2">
      <c r="A514" t="s">
        <v>315</v>
      </c>
      <c r="B514" s="31">
        <v>0.06</v>
      </c>
      <c r="C514" s="71">
        <v>42096</v>
      </c>
      <c r="D514">
        <v>24.8</v>
      </c>
      <c r="E514">
        <f t="shared" si="4"/>
        <v>1.488</v>
      </c>
      <c r="F514" t="s">
        <v>280</v>
      </c>
      <c r="G514" t="s">
        <v>299</v>
      </c>
      <c r="H514" s="71">
        <v>42073</v>
      </c>
      <c r="I514" t="s">
        <v>750</v>
      </c>
      <c r="J514" t="s">
        <v>13</v>
      </c>
    </row>
    <row r="515" spans="1:10" x14ac:dyDescent="0.2">
      <c r="A515" t="s">
        <v>679</v>
      </c>
      <c r="B515" s="31">
        <v>0.52600000000000002</v>
      </c>
      <c r="C515" s="71">
        <v>42096</v>
      </c>
      <c r="D515">
        <v>10.9</v>
      </c>
      <c r="E515">
        <f t="shared" si="4"/>
        <v>5.7334000000000005</v>
      </c>
      <c r="F515" t="s">
        <v>615</v>
      </c>
      <c r="G515" t="s">
        <v>299</v>
      </c>
      <c r="H515" s="71">
        <v>42073</v>
      </c>
      <c r="I515" t="s">
        <v>750</v>
      </c>
      <c r="J515" t="s">
        <v>13</v>
      </c>
    </row>
    <row r="516" spans="1:10" x14ac:dyDescent="0.2">
      <c r="A516" t="s">
        <v>680</v>
      </c>
      <c r="B516" s="31">
        <v>1</v>
      </c>
      <c r="C516" s="71">
        <v>42096</v>
      </c>
      <c r="D516">
        <v>3.29</v>
      </c>
      <c r="E516">
        <f t="shared" si="4"/>
        <v>3.29</v>
      </c>
      <c r="F516" t="s">
        <v>208</v>
      </c>
      <c r="G516" t="s">
        <v>298</v>
      </c>
      <c r="H516" s="71">
        <v>42073</v>
      </c>
      <c r="I516" t="s">
        <v>750</v>
      </c>
      <c r="J516" t="s">
        <v>13</v>
      </c>
    </row>
    <row r="517" spans="1:10" x14ac:dyDescent="0.2">
      <c r="A517" t="s">
        <v>311</v>
      </c>
      <c r="B517" s="31">
        <v>0.2</v>
      </c>
      <c r="C517" s="71">
        <v>42096</v>
      </c>
      <c r="D517">
        <v>1.98</v>
      </c>
      <c r="E517">
        <f t="shared" si="4"/>
        <v>0.39600000000000002</v>
      </c>
      <c r="F517" t="s">
        <v>279</v>
      </c>
      <c r="G517" t="s">
        <v>299</v>
      </c>
      <c r="H517" s="71">
        <v>42073</v>
      </c>
      <c r="I517" t="s">
        <v>750</v>
      </c>
      <c r="J517" t="s">
        <v>13</v>
      </c>
    </row>
    <row r="518" spans="1:10" x14ac:dyDescent="0.2">
      <c r="A518" t="s">
        <v>685</v>
      </c>
      <c r="B518" s="31">
        <v>1</v>
      </c>
      <c r="C518" s="71">
        <v>42094</v>
      </c>
      <c r="D518">
        <v>10.9</v>
      </c>
      <c r="E518">
        <f t="shared" si="4"/>
        <v>10.9</v>
      </c>
      <c r="F518" t="s">
        <v>287</v>
      </c>
      <c r="G518" t="s">
        <v>298</v>
      </c>
      <c r="H518" s="71">
        <v>42073</v>
      </c>
      <c r="I518" t="s">
        <v>749</v>
      </c>
      <c r="J518" t="s">
        <v>13</v>
      </c>
    </row>
    <row r="519" spans="1:10" x14ac:dyDescent="0.2">
      <c r="A519" t="s">
        <v>230</v>
      </c>
      <c r="B519" s="31">
        <v>0.41</v>
      </c>
      <c r="C519" s="71">
        <v>42094</v>
      </c>
      <c r="D519">
        <v>5.39</v>
      </c>
      <c r="E519">
        <f t="shared" si="4"/>
        <v>2.2098999999999998</v>
      </c>
      <c r="F519" t="s">
        <v>280</v>
      </c>
      <c r="G519" t="s">
        <v>299</v>
      </c>
      <c r="H519" s="71">
        <v>42073</v>
      </c>
      <c r="I519" t="s">
        <v>749</v>
      </c>
      <c r="J519" t="s">
        <v>13</v>
      </c>
    </row>
    <row r="520" spans="1:10" x14ac:dyDescent="0.2">
      <c r="A520" t="s">
        <v>294</v>
      </c>
      <c r="B520" s="31">
        <v>0.436</v>
      </c>
      <c r="C520" s="71">
        <v>42094</v>
      </c>
      <c r="D520">
        <v>23.19</v>
      </c>
      <c r="E520">
        <f t="shared" si="4"/>
        <v>10.110840000000001</v>
      </c>
      <c r="F520" t="s">
        <v>653</v>
      </c>
      <c r="G520" t="s">
        <v>299</v>
      </c>
      <c r="H520" s="71">
        <v>42073</v>
      </c>
      <c r="I520" t="s">
        <v>749</v>
      </c>
      <c r="J520" t="s">
        <v>13</v>
      </c>
    </row>
    <row r="521" spans="1:10" x14ac:dyDescent="0.2">
      <c r="A521" t="s">
        <v>614</v>
      </c>
      <c r="B521" s="31">
        <v>1</v>
      </c>
      <c r="C521" s="71">
        <v>42094</v>
      </c>
      <c r="D521">
        <v>3.15</v>
      </c>
      <c r="E521">
        <f t="shared" si="4"/>
        <v>3.15</v>
      </c>
      <c r="F521" t="s">
        <v>614</v>
      </c>
      <c r="G521" t="s">
        <v>298</v>
      </c>
      <c r="H521" s="71">
        <v>42073</v>
      </c>
      <c r="I521" t="s">
        <v>749</v>
      </c>
      <c r="J521" t="s">
        <v>13</v>
      </c>
    </row>
    <row r="522" spans="1:10" x14ac:dyDescent="0.2">
      <c r="A522" t="s">
        <v>682</v>
      </c>
      <c r="B522" s="31">
        <v>1</v>
      </c>
      <c r="C522" s="71">
        <v>42094</v>
      </c>
      <c r="D522">
        <v>8.39</v>
      </c>
      <c r="E522">
        <f t="shared" si="4"/>
        <v>8.39</v>
      </c>
      <c r="F522" t="s">
        <v>287</v>
      </c>
      <c r="G522" t="s">
        <v>298</v>
      </c>
      <c r="H522" s="71">
        <v>42073</v>
      </c>
      <c r="I522" t="s">
        <v>749</v>
      </c>
      <c r="J522" t="s">
        <v>13</v>
      </c>
    </row>
    <row r="523" spans="1:10" x14ac:dyDescent="0.2">
      <c r="A523" t="s">
        <v>683</v>
      </c>
      <c r="B523" s="31">
        <v>1</v>
      </c>
      <c r="C523" s="71">
        <v>42094</v>
      </c>
      <c r="D523">
        <v>3.09</v>
      </c>
      <c r="E523">
        <f t="shared" si="4"/>
        <v>3.09</v>
      </c>
      <c r="F523" t="s">
        <v>73</v>
      </c>
      <c r="G523" t="s">
        <v>298</v>
      </c>
      <c r="H523" s="71">
        <v>42073</v>
      </c>
      <c r="I523" t="s">
        <v>749</v>
      </c>
      <c r="J523" t="s">
        <v>13</v>
      </c>
    </row>
    <row r="524" spans="1:10" x14ac:dyDescent="0.2">
      <c r="A524" t="s">
        <v>468</v>
      </c>
      <c r="B524" s="31">
        <v>1</v>
      </c>
      <c r="C524" s="71">
        <v>42094</v>
      </c>
      <c r="D524">
        <v>4.29</v>
      </c>
      <c r="E524">
        <f t="shared" si="4"/>
        <v>4.29</v>
      </c>
      <c r="F524" t="s">
        <v>468</v>
      </c>
      <c r="G524" t="s">
        <v>298</v>
      </c>
      <c r="H524" s="71">
        <v>42073</v>
      </c>
      <c r="I524" t="s">
        <v>749</v>
      </c>
      <c r="J524" t="s">
        <v>13</v>
      </c>
    </row>
    <row r="525" spans="1:10" x14ac:dyDescent="0.2">
      <c r="A525" t="s">
        <v>320</v>
      </c>
      <c r="B525" s="31">
        <v>1</v>
      </c>
      <c r="C525" s="71">
        <v>42094</v>
      </c>
      <c r="D525">
        <v>6.99</v>
      </c>
      <c r="E525">
        <f t="shared" si="4"/>
        <v>6.99</v>
      </c>
      <c r="F525" t="s">
        <v>344</v>
      </c>
      <c r="G525" t="s">
        <v>298</v>
      </c>
      <c r="H525" s="71">
        <v>42073</v>
      </c>
      <c r="I525" t="s">
        <v>749</v>
      </c>
      <c r="J525" t="s">
        <v>13</v>
      </c>
    </row>
    <row r="526" spans="1:10" x14ac:dyDescent="0.2">
      <c r="A526" t="s">
        <v>684</v>
      </c>
      <c r="B526" s="31">
        <v>1</v>
      </c>
      <c r="C526" s="71">
        <v>42094</v>
      </c>
      <c r="D526">
        <v>5.99</v>
      </c>
      <c r="E526">
        <f t="shared" si="4"/>
        <v>5.99</v>
      </c>
      <c r="F526" t="s">
        <v>267</v>
      </c>
      <c r="G526" t="s">
        <v>298</v>
      </c>
      <c r="H526" s="71">
        <v>42073</v>
      </c>
      <c r="I526" t="s">
        <v>749</v>
      </c>
      <c r="J526" t="s">
        <v>13</v>
      </c>
    </row>
    <row r="527" spans="1:10" x14ac:dyDescent="0.2">
      <c r="A527" t="s">
        <v>517</v>
      </c>
      <c r="B527" s="31">
        <v>1</v>
      </c>
      <c r="C527" s="71">
        <v>42094</v>
      </c>
      <c r="D527">
        <v>7.89</v>
      </c>
      <c r="E527">
        <f t="shared" si="4"/>
        <v>7.89</v>
      </c>
      <c r="F527" t="s">
        <v>620</v>
      </c>
      <c r="G527" t="s">
        <v>298</v>
      </c>
      <c r="H527" s="71">
        <v>42073</v>
      </c>
      <c r="I527" t="s">
        <v>749</v>
      </c>
      <c r="J527" t="s">
        <v>13</v>
      </c>
    </row>
    <row r="528" spans="1:10" x14ac:dyDescent="0.2">
      <c r="A528" t="s">
        <v>694</v>
      </c>
      <c r="B528" s="31">
        <v>1</v>
      </c>
      <c r="C528" s="71">
        <v>42101</v>
      </c>
      <c r="D528">
        <v>2.8</v>
      </c>
      <c r="E528">
        <f t="shared" si="4"/>
        <v>2.8</v>
      </c>
      <c r="F528" t="s">
        <v>287</v>
      </c>
      <c r="G528" t="s">
        <v>298</v>
      </c>
      <c r="H528" s="71">
        <v>42073</v>
      </c>
      <c r="I528" t="s">
        <v>752</v>
      </c>
      <c r="J528" t="s">
        <v>13</v>
      </c>
    </row>
    <row r="529" spans="1:10" x14ac:dyDescent="0.2">
      <c r="A529" t="s">
        <v>695</v>
      </c>
      <c r="B529" s="31">
        <v>1</v>
      </c>
      <c r="C529" s="71">
        <v>42101</v>
      </c>
      <c r="D529">
        <v>3</v>
      </c>
      <c r="E529">
        <f t="shared" si="4"/>
        <v>3</v>
      </c>
      <c r="F529" t="s">
        <v>322</v>
      </c>
      <c r="G529" t="s">
        <v>298</v>
      </c>
      <c r="H529" s="71">
        <v>42073</v>
      </c>
      <c r="I529" t="s">
        <v>752</v>
      </c>
      <c r="J529" t="s">
        <v>13</v>
      </c>
    </row>
    <row r="530" spans="1:10" x14ac:dyDescent="0.2">
      <c r="A530" t="s">
        <v>421</v>
      </c>
      <c r="B530" s="31">
        <v>1</v>
      </c>
      <c r="C530" s="71">
        <v>42101</v>
      </c>
      <c r="D530">
        <v>2.5</v>
      </c>
      <c r="E530">
        <f t="shared" si="4"/>
        <v>2.5</v>
      </c>
      <c r="F530" t="s">
        <v>322</v>
      </c>
      <c r="G530" t="s">
        <v>298</v>
      </c>
      <c r="H530" s="71">
        <v>42073</v>
      </c>
      <c r="I530" t="s">
        <v>752</v>
      </c>
      <c r="J530" t="s">
        <v>13</v>
      </c>
    </row>
    <row r="531" spans="1:10" x14ac:dyDescent="0.2">
      <c r="A531" t="s">
        <v>375</v>
      </c>
      <c r="B531" s="31">
        <v>1</v>
      </c>
      <c r="C531" s="71">
        <v>42101</v>
      </c>
      <c r="D531">
        <v>4.95</v>
      </c>
      <c r="E531">
        <f t="shared" si="4"/>
        <v>4.95</v>
      </c>
      <c r="F531" t="s">
        <v>344</v>
      </c>
      <c r="G531" t="s">
        <v>298</v>
      </c>
      <c r="H531" s="71">
        <v>42073</v>
      </c>
      <c r="I531" t="s">
        <v>752</v>
      </c>
      <c r="J531" t="s">
        <v>13</v>
      </c>
    </row>
    <row r="532" spans="1:10" x14ac:dyDescent="0.2">
      <c r="A532" t="s">
        <v>442</v>
      </c>
      <c r="B532" s="31">
        <v>2</v>
      </c>
      <c r="C532" s="71">
        <v>42101</v>
      </c>
      <c r="D532">
        <v>2</v>
      </c>
      <c r="E532">
        <f t="shared" si="4"/>
        <v>4</v>
      </c>
      <c r="F532" t="s">
        <v>322</v>
      </c>
      <c r="G532" t="s">
        <v>298</v>
      </c>
      <c r="H532" s="71">
        <v>42073</v>
      </c>
      <c r="I532" t="s">
        <v>752</v>
      </c>
      <c r="J532" t="s">
        <v>13</v>
      </c>
    </row>
    <row r="533" spans="1:10" x14ac:dyDescent="0.2">
      <c r="A533" t="s">
        <v>696</v>
      </c>
      <c r="B533" s="31">
        <v>1</v>
      </c>
      <c r="C533" s="71">
        <v>42101</v>
      </c>
      <c r="D533">
        <v>6.7</v>
      </c>
      <c r="E533">
        <f t="shared" si="4"/>
        <v>6.7</v>
      </c>
      <c r="F533" t="s">
        <v>322</v>
      </c>
      <c r="G533" t="s">
        <v>298</v>
      </c>
      <c r="H533" s="71">
        <v>42073</v>
      </c>
      <c r="I533" t="s">
        <v>752</v>
      </c>
      <c r="J533" t="s">
        <v>13</v>
      </c>
    </row>
    <row r="534" spans="1:10" x14ac:dyDescent="0.2">
      <c r="A534" t="s">
        <v>697</v>
      </c>
      <c r="B534" s="31">
        <v>1</v>
      </c>
      <c r="C534" s="71">
        <v>42101</v>
      </c>
      <c r="D534">
        <v>8.6999999999999993</v>
      </c>
      <c r="E534">
        <f t="shared" si="4"/>
        <v>8.6999999999999993</v>
      </c>
      <c r="F534" t="s">
        <v>344</v>
      </c>
      <c r="G534" t="s">
        <v>298</v>
      </c>
      <c r="H534" s="71">
        <v>42073</v>
      </c>
      <c r="I534" t="s">
        <v>752</v>
      </c>
      <c r="J534" t="s">
        <v>13</v>
      </c>
    </row>
    <row r="535" spans="1:10" x14ac:dyDescent="0.2">
      <c r="A535" t="s">
        <v>698</v>
      </c>
      <c r="B535" s="31">
        <v>1</v>
      </c>
      <c r="C535" s="71">
        <v>42101</v>
      </c>
      <c r="D535">
        <v>7.35</v>
      </c>
      <c r="E535">
        <f t="shared" si="4"/>
        <v>7.35</v>
      </c>
      <c r="F535" t="s">
        <v>344</v>
      </c>
      <c r="G535" t="s">
        <v>298</v>
      </c>
      <c r="H535" s="71">
        <v>42073</v>
      </c>
      <c r="I535" t="s">
        <v>752</v>
      </c>
      <c r="J535" t="s">
        <v>13</v>
      </c>
    </row>
    <row r="536" spans="1:10" x14ac:dyDescent="0.2">
      <c r="A536" t="s">
        <v>699</v>
      </c>
      <c r="B536" s="31">
        <v>1</v>
      </c>
      <c r="C536" s="71">
        <v>42101</v>
      </c>
      <c r="D536">
        <v>2.25</v>
      </c>
      <c r="E536">
        <f t="shared" si="4"/>
        <v>2.25</v>
      </c>
      <c r="F536" t="s">
        <v>344</v>
      </c>
      <c r="G536" t="s">
        <v>298</v>
      </c>
      <c r="H536" s="71">
        <v>42073</v>
      </c>
      <c r="I536" t="s">
        <v>752</v>
      </c>
      <c r="J536" t="s">
        <v>13</v>
      </c>
    </row>
    <row r="537" spans="1:10" x14ac:dyDescent="0.2">
      <c r="A537" t="s">
        <v>700</v>
      </c>
      <c r="B537" s="31">
        <v>1</v>
      </c>
      <c r="C537" s="71">
        <v>42101</v>
      </c>
      <c r="D537">
        <v>2.75</v>
      </c>
      <c r="E537">
        <f t="shared" si="4"/>
        <v>2.75</v>
      </c>
      <c r="F537" t="s">
        <v>208</v>
      </c>
      <c r="G537" t="s">
        <v>298</v>
      </c>
      <c r="H537" s="71">
        <v>42073</v>
      </c>
      <c r="I537" t="s">
        <v>751</v>
      </c>
      <c r="J537" t="s">
        <v>13</v>
      </c>
    </row>
    <row r="538" spans="1:10" x14ac:dyDescent="0.2">
      <c r="A538" t="s">
        <v>701</v>
      </c>
      <c r="B538" s="31">
        <v>0.19800000000000001</v>
      </c>
      <c r="C538" s="71">
        <v>42101</v>
      </c>
      <c r="D538">
        <v>12.99</v>
      </c>
      <c r="E538">
        <f t="shared" si="4"/>
        <v>2.5720200000000002</v>
      </c>
      <c r="F538" t="s">
        <v>267</v>
      </c>
      <c r="G538" t="s">
        <v>299</v>
      </c>
      <c r="H538" s="71">
        <v>42073</v>
      </c>
      <c r="I538" t="s">
        <v>751</v>
      </c>
      <c r="J538" t="s">
        <v>13</v>
      </c>
    </row>
    <row r="539" spans="1:10" x14ac:dyDescent="0.2">
      <c r="A539" t="s">
        <v>618</v>
      </c>
      <c r="B539" s="31">
        <v>1</v>
      </c>
      <c r="C539" s="71">
        <v>42101</v>
      </c>
      <c r="D539">
        <v>1.88</v>
      </c>
      <c r="E539">
        <f t="shared" si="4"/>
        <v>1.88</v>
      </c>
      <c r="F539" t="s">
        <v>618</v>
      </c>
      <c r="G539" t="s">
        <v>298</v>
      </c>
      <c r="H539" s="71">
        <v>42073</v>
      </c>
      <c r="I539" t="s">
        <v>751</v>
      </c>
      <c r="J539" t="s">
        <v>13</v>
      </c>
    </row>
    <row r="540" spans="1:10" x14ac:dyDescent="0.2">
      <c r="A540" t="s">
        <v>702</v>
      </c>
      <c r="B540" s="31">
        <v>1</v>
      </c>
      <c r="C540" s="71">
        <v>42101</v>
      </c>
      <c r="D540">
        <v>3.59</v>
      </c>
      <c r="E540">
        <f t="shared" si="4"/>
        <v>3.59</v>
      </c>
      <c r="F540" t="s">
        <v>702</v>
      </c>
      <c r="G540" t="s">
        <v>298</v>
      </c>
      <c r="H540" s="71">
        <v>42073</v>
      </c>
      <c r="I540" t="s">
        <v>751</v>
      </c>
      <c r="J540" t="s">
        <v>13</v>
      </c>
    </row>
    <row r="541" spans="1:10" x14ac:dyDescent="0.2">
      <c r="A541" t="s">
        <v>269</v>
      </c>
      <c r="B541" s="31">
        <v>1</v>
      </c>
      <c r="C541" s="71">
        <v>42101</v>
      </c>
      <c r="D541">
        <v>2.09</v>
      </c>
      <c r="E541">
        <f t="shared" si="4"/>
        <v>2.09</v>
      </c>
      <c r="F541" t="s">
        <v>269</v>
      </c>
      <c r="G541" t="s">
        <v>298</v>
      </c>
      <c r="H541" s="71">
        <v>42073</v>
      </c>
      <c r="I541" t="s">
        <v>751</v>
      </c>
      <c r="J541" t="s">
        <v>13</v>
      </c>
    </row>
    <row r="542" spans="1:10" x14ac:dyDescent="0.2">
      <c r="A542" t="s">
        <v>652</v>
      </c>
      <c r="B542" s="31">
        <v>1.0449999999999999</v>
      </c>
      <c r="C542" s="71">
        <v>42101</v>
      </c>
      <c r="D542">
        <v>5.99</v>
      </c>
      <c r="E542">
        <f t="shared" si="4"/>
        <v>6.2595499999999999</v>
      </c>
      <c r="F542" t="s">
        <v>279</v>
      </c>
      <c r="G542" t="s">
        <v>299</v>
      </c>
      <c r="H542" s="71">
        <v>42073</v>
      </c>
      <c r="I542" t="s">
        <v>749</v>
      </c>
      <c r="J542" t="s">
        <v>13</v>
      </c>
    </row>
    <row r="543" spans="1:10" x14ac:dyDescent="0.2">
      <c r="A543" t="s">
        <v>253</v>
      </c>
      <c r="B543" s="31">
        <v>1.2549999999999999</v>
      </c>
      <c r="C543" s="71">
        <v>42101</v>
      </c>
      <c r="D543">
        <v>2.59</v>
      </c>
      <c r="E543">
        <f t="shared" si="4"/>
        <v>3.2504499999999994</v>
      </c>
      <c r="F543" t="s">
        <v>279</v>
      </c>
      <c r="G543" t="s">
        <v>299</v>
      </c>
      <c r="H543" s="71">
        <v>42073</v>
      </c>
      <c r="I543" t="s">
        <v>749</v>
      </c>
      <c r="J543" t="s">
        <v>13</v>
      </c>
    </row>
    <row r="544" spans="1:10" x14ac:dyDescent="0.2">
      <c r="A544" t="s">
        <v>300</v>
      </c>
      <c r="B544" s="31">
        <v>0.11</v>
      </c>
      <c r="C544" s="71">
        <v>42101</v>
      </c>
      <c r="D544">
        <v>6.39</v>
      </c>
      <c r="E544">
        <f t="shared" si="4"/>
        <v>0.70289999999999997</v>
      </c>
      <c r="F544" t="s">
        <v>280</v>
      </c>
      <c r="G544" t="s">
        <v>299</v>
      </c>
      <c r="H544" s="71">
        <v>42073</v>
      </c>
      <c r="I544" t="s">
        <v>749</v>
      </c>
      <c r="J544" t="s">
        <v>13</v>
      </c>
    </row>
    <row r="545" spans="1:10" x14ac:dyDescent="0.2">
      <c r="A545" t="s">
        <v>419</v>
      </c>
      <c r="B545" s="31">
        <v>1</v>
      </c>
      <c r="C545" s="71">
        <v>42101</v>
      </c>
      <c r="D545">
        <v>4.49</v>
      </c>
      <c r="E545">
        <f t="shared" si="4"/>
        <v>4.49</v>
      </c>
      <c r="F545" t="s">
        <v>468</v>
      </c>
      <c r="G545" t="s">
        <v>298</v>
      </c>
      <c r="H545" s="71">
        <v>42073</v>
      </c>
      <c r="I545" t="s">
        <v>749</v>
      </c>
      <c r="J545" t="s">
        <v>13</v>
      </c>
    </row>
    <row r="546" spans="1:10" x14ac:dyDescent="0.2">
      <c r="A546" t="s">
        <v>703</v>
      </c>
      <c r="B546" s="31">
        <v>0.58699999999999997</v>
      </c>
      <c r="C546" s="71">
        <v>42101</v>
      </c>
      <c r="D546">
        <v>28.39</v>
      </c>
      <c r="E546">
        <f t="shared" si="4"/>
        <v>16.664929999999998</v>
      </c>
      <c r="F546" t="s">
        <v>614</v>
      </c>
      <c r="G546" t="s">
        <v>299</v>
      </c>
      <c r="H546" s="71">
        <v>42073</v>
      </c>
      <c r="I546" t="s">
        <v>749</v>
      </c>
      <c r="J546" t="s">
        <v>13</v>
      </c>
    </row>
    <row r="547" spans="1:10" x14ac:dyDescent="0.2">
      <c r="A547" t="s">
        <v>704</v>
      </c>
      <c r="B547" s="31">
        <v>2</v>
      </c>
      <c r="C547" s="71">
        <v>42101</v>
      </c>
      <c r="D547">
        <v>1.59</v>
      </c>
      <c r="E547">
        <f t="shared" si="4"/>
        <v>3.18</v>
      </c>
      <c r="F547" t="s">
        <v>704</v>
      </c>
      <c r="G547" t="s">
        <v>298</v>
      </c>
      <c r="H547" s="71">
        <v>42073</v>
      </c>
      <c r="I547" t="s">
        <v>749</v>
      </c>
      <c r="J547" t="s">
        <v>13</v>
      </c>
    </row>
    <row r="548" spans="1:10" x14ac:dyDescent="0.2">
      <c r="A548" t="s">
        <v>705</v>
      </c>
      <c r="B548" s="31">
        <v>2</v>
      </c>
      <c r="C548" s="71">
        <v>42101</v>
      </c>
      <c r="D548">
        <v>4.3499999999999996</v>
      </c>
      <c r="E548">
        <f t="shared" si="4"/>
        <v>8.6999999999999993</v>
      </c>
      <c r="F548" t="s">
        <v>704</v>
      </c>
      <c r="G548" t="s">
        <v>298</v>
      </c>
      <c r="H548" s="71">
        <v>42073</v>
      </c>
      <c r="I548" t="s">
        <v>749</v>
      </c>
      <c r="J548" t="s">
        <v>13</v>
      </c>
    </row>
    <row r="549" spans="1:10" x14ac:dyDescent="0.2">
      <c r="A549" t="s">
        <v>706</v>
      </c>
      <c r="B549" s="31">
        <v>1.1299999999999999</v>
      </c>
      <c r="C549" s="71">
        <v>42103</v>
      </c>
      <c r="D549">
        <v>10.49</v>
      </c>
      <c r="E549">
        <f t="shared" si="4"/>
        <v>11.8537</v>
      </c>
      <c r="F549" t="s">
        <v>615</v>
      </c>
      <c r="G549" t="s">
        <v>299</v>
      </c>
      <c r="H549" s="71">
        <v>42073</v>
      </c>
      <c r="I549" t="s">
        <v>750</v>
      </c>
      <c r="J549" t="s">
        <v>13</v>
      </c>
    </row>
    <row r="550" spans="1:10" x14ac:dyDescent="0.2">
      <c r="A550" t="s">
        <v>285</v>
      </c>
      <c r="B550" s="31">
        <v>0.57199999999999995</v>
      </c>
      <c r="C550" s="71">
        <v>42103</v>
      </c>
      <c r="D550">
        <v>24.9</v>
      </c>
      <c r="E550">
        <f t="shared" si="4"/>
        <v>14.242799999999997</v>
      </c>
      <c r="F550" t="s">
        <v>609</v>
      </c>
      <c r="G550" t="s">
        <v>299</v>
      </c>
      <c r="H550" s="71">
        <v>42073</v>
      </c>
      <c r="I550" t="s">
        <v>750</v>
      </c>
      <c r="J550" t="s">
        <v>13</v>
      </c>
    </row>
    <row r="551" spans="1:10" x14ac:dyDescent="0.2">
      <c r="A551" t="s">
        <v>230</v>
      </c>
      <c r="B551" s="31">
        <v>0.48</v>
      </c>
      <c r="C551" s="71">
        <v>42103</v>
      </c>
      <c r="D551">
        <v>7.98</v>
      </c>
      <c r="E551">
        <f t="shared" si="4"/>
        <v>3.8304</v>
      </c>
      <c r="F551" t="s">
        <v>280</v>
      </c>
      <c r="G551" t="s">
        <v>299</v>
      </c>
      <c r="H551" s="71">
        <v>42073</v>
      </c>
      <c r="I551" t="s">
        <v>750</v>
      </c>
      <c r="J551" t="s">
        <v>13</v>
      </c>
    </row>
    <row r="552" spans="1:10" x14ac:dyDescent="0.2">
      <c r="A552" t="s">
        <v>307</v>
      </c>
      <c r="B552" s="31">
        <v>0.245</v>
      </c>
      <c r="C552" s="71">
        <v>42103</v>
      </c>
      <c r="D552">
        <v>4.4800000000000004</v>
      </c>
      <c r="E552">
        <f t="shared" si="4"/>
        <v>1.0976000000000001</v>
      </c>
      <c r="F552" t="s">
        <v>280</v>
      </c>
      <c r="G552" t="s">
        <v>299</v>
      </c>
      <c r="H552" s="71">
        <v>42073</v>
      </c>
      <c r="I552" t="s">
        <v>750</v>
      </c>
      <c r="J552" t="s">
        <v>13</v>
      </c>
    </row>
    <row r="553" spans="1:10" x14ac:dyDescent="0.2">
      <c r="A553" t="s">
        <v>707</v>
      </c>
      <c r="B553" s="31">
        <v>1</v>
      </c>
      <c r="C553" s="71">
        <v>42103</v>
      </c>
      <c r="D553">
        <v>1.49</v>
      </c>
      <c r="E553">
        <f t="shared" si="4"/>
        <v>1.49</v>
      </c>
      <c r="F553" t="s">
        <v>280</v>
      </c>
      <c r="G553" t="s">
        <v>298</v>
      </c>
      <c r="H553" s="71">
        <v>42073</v>
      </c>
      <c r="I553" t="s">
        <v>750</v>
      </c>
      <c r="J553" t="s">
        <v>13</v>
      </c>
    </row>
    <row r="554" spans="1:10" x14ac:dyDescent="0.2">
      <c r="A554" t="s">
        <v>284</v>
      </c>
      <c r="B554" s="31">
        <v>0.14399999999999999</v>
      </c>
      <c r="C554" s="71">
        <v>42103</v>
      </c>
      <c r="D554">
        <v>21.9</v>
      </c>
      <c r="E554">
        <f t="shared" si="4"/>
        <v>3.1535999999999995</v>
      </c>
      <c r="F554" t="s">
        <v>284</v>
      </c>
      <c r="G554" t="s">
        <v>299</v>
      </c>
      <c r="H554" s="71">
        <v>42073</v>
      </c>
      <c r="I554" t="s">
        <v>750</v>
      </c>
      <c r="J554" t="s">
        <v>13</v>
      </c>
    </row>
    <row r="555" spans="1:10" x14ac:dyDescent="0.2">
      <c r="A555" t="s">
        <v>308</v>
      </c>
      <c r="B555" s="31">
        <v>0.91</v>
      </c>
      <c r="C555" s="71">
        <v>42103</v>
      </c>
      <c r="D555">
        <v>5.48</v>
      </c>
      <c r="E555">
        <f t="shared" si="4"/>
        <v>4.9868000000000006</v>
      </c>
      <c r="F555" t="s">
        <v>279</v>
      </c>
      <c r="G555" t="s">
        <v>299</v>
      </c>
      <c r="H555" s="71">
        <v>42073</v>
      </c>
      <c r="I555" t="s">
        <v>750</v>
      </c>
      <c r="J555" t="s">
        <v>13</v>
      </c>
    </row>
    <row r="556" spans="1:10" x14ac:dyDescent="0.2">
      <c r="A556" t="s">
        <v>218</v>
      </c>
      <c r="B556" s="31">
        <v>1</v>
      </c>
      <c r="C556" s="71">
        <v>42103</v>
      </c>
      <c r="D556">
        <v>2.69</v>
      </c>
      <c r="E556">
        <f t="shared" si="4"/>
        <v>2.69</v>
      </c>
      <c r="F556" t="s">
        <v>280</v>
      </c>
      <c r="G556" t="s">
        <v>298</v>
      </c>
      <c r="H556" s="71">
        <v>42073</v>
      </c>
      <c r="I556" t="s">
        <v>750</v>
      </c>
      <c r="J556" t="s">
        <v>13</v>
      </c>
    </row>
    <row r="557" spans="1:10" x14ac:dyDescent="0.2">
      <c r="A557" t="s">
        <v>708</v>
      </c>
      <c r="B557" s="31">
        <v>0.64200000000000002</v>
      </c>
      <c r="C557" s="71">
        <v>42103</v>
      </c>
      <c r="D557">
        <v>15.9</v>
      </c>
      <c r="E557">
        <f t="shared" si="4"/>
        <v>10.207800000000001</v>
      </c>
      <c r="F557" t="s">
        <v>609</v>
      </c>
      <c r="G557" t="s">
        <v>299</v>
      </c>
      <c r="H557" s="71">
        <v>42073</v>
      </c>
      <c r="I557" t="s">
        <v>750</v>
      </c>
      <c r="J557" t="s">
        <v>13</v>
      </c>
    </row>
    <row r="558" spans="1:10" x14ac:dyDescent="0.2">
      <c r="A558" t="s">
        <v>315</v>
      </c>
      <c r="B558" s="31">
        <v>0.05</v>
      </c>
      <c r="C558" s="71">
        <v>42103</v>
      </c>
      <c r="D558">
        <v>24.8</v>
      </c>
      <c r="E558">
        <f t="shared" si="4"/>
        <v>1.2400000000000002</v>
      </c>
      <c r="F558" t="s">
        <v>280</v>
      </c>
      <c r="G558" t="s">
        <v>299</v>
      </c>
      <c r="H558" s="71">
        <v>42073</v>
      </c>
      <c r="I558" t="s">
        <v>750</v>
      </c>
      <c r="J558" t="s">
        <v>13</v>
      </c>
    </row>
    <row r="559" spans="1:10" x14ac:dyDescent="0.2">
      <c r="A559" t="s">
        <v>709</v>
      </c>
      <c r="B559" s="31">
        <v>1</v>
      </c>
      <c r="C559" s="71">
        <v>42103</v>
      </c>
      <c r="D559">
        <v>2.48</v>
      </c>
      <c r="E559">
        <f t="shared" si="4"/>
        <v>2.48</v>
      </c>
      <c r="F559" t="s">
        <v>280</v>
      </c>
      <c r="G559" t="s">
        <v>298</v>
      </c>
      <c r="H559" s="71">
        <v>42073</v>
      </c>
      <c r="I559" t="s">
        <v>750</v>
      </c>
      <c r="J559" t="s">
        <v>13</v>
      </c>
    </row>
    <row r="560" spans="1:10" x14ac:dyDescent="0.2">
      <c r="A560" t="s">
        <v>300</v>
      </c>
      <c r="B560" s="31">
        <v>0.19</v>
      </c>
      <c r="C560" s="71">
        <v>42103</v>
      </c>
      <c r="D560">
        <v>6.98</v>
      </c>
      <c r="E560">
        <f t="shared" si="4"/>
        <v>1.3262</v>
      </c>
      <c r="F560" t="s">
        <v>280</v>
      </c>
      <c r="G560" t="s">
        <v>299</v>
      </c>
      <c r="H560" s="71">
        <v>42073</v>
      </c>
      <c r="I560" t="s">
        <v>750</v>
      </c>
      <c r="J560" t="s">
        <v>13</v>
      </c>
    </row>
    <row r="561" spans="1:10" x14ac:dyDescent="0.2">
      <c r="A561" t="s">
        <v>710</v>
      </c>
      <c r="B561" s="31">
        <v>1</v>
      </c>
      <c r="C561" s="71">
        <v>42103</v>
      </c>
      <c r="D561">
        <v>1.19</v>
      </c>
      <c r="E561">
        <f t="shared" si="4"/>
        <v>1.19</v>
      </c>
      <c r="F561" t="s">
        <v>208</v>
      </c>
      <c r="G561" t="s">
        <v>298</v>
      </c>
      <c r="H561" s="71">
        <v>42073</v>
      </c>
      <c r="I561" t="s">
        <v>750</v>
      </c>
      <c r="J561" t="s">
        <v>13</v>
      </c>
    </row>
    <row r="562" spans="1:10" x14ac:dyDescent="0.2">
      <c r="A562" t="s">
        <v>711</v>
      </c>
      <c r="B562" s="31">
        <v>1</v>
      </c>
      <c r="C562" s="71">
        <v>42103</v>
      </c>
      <c r="D562">
        <v>1.29</v>
      </c>
      <c r="E562">
        <f t="shared" si="4"/>
        <v>1.29</v>
      </c>
      <c r="F562" t="s">
        <v>208</v>
      </c>
      <c r="G562" t="s">
        <v>298</v>
      </c>
      <c r="H562" s="71">
        <v>42073</v>
      </c>
      <c r="I562" t="s">
        <v>750</v>
      </c>
      <c r="J562" t="s">
        <v>13</v>
      </c>
    </row>
    <row r="563" spans="1:10" x14ac:dyDescent="0.2">
      <c r="A563" t="s">
        <v>673</v>
      </c>
      <c r="B563" s="31">
        <v>1</v>
      </c>
      <c r="C563" s="71">
        <v>42103</v>
      </c>
      <c r="D563">
        <v>6.49</v>
      </c>
      <c r="E563">
        <f t="shared" si="4"/>
        <v>6.49</v>
      </c>
      <c r="F563" t="s">
        <v>681</v>
      </c>
      <c r="G563" t="s">
        <v>298</v>
      </c>
      <c r="H563" s="71">
        <v>42073</v>
      </c>
      <c r="I563" t="s">
        <v>750</v>
      </c>
      <c r="J563" t="s">
        <v>13</v>
      </c>
    </row>
    <row r="564" spans="1:10" x14ac:dyDescent="0.2">
      <c r="A564" t="s">
        <v>712</v>
      </c>
      <c r="B564" s="31">
        <v>1</v>
      </c>
      <c r="C564" s="71">
        <v>42103</v>
      </c>
      <c r="D564">
        <v>8.19</v>
      </c>
      <c r="E564">
        <f t="shared" si="4"/>
        <v>8.19</v>
      </c>
      <c r="F564" t="s">
        <v>208</v>
      </c>
      <c r="G564" t="s">
        <v>298</v>
      </c>
      <c r="H564" s="71">
        <v>42073</v>
      </c>
      <c r="I564" t="s">
        <v>750</v>
      </c>
      <c r="J564" t="s">
        <v>13</v>
      </c>
    </row>
    <row r="565" spans="1:10" x14ac:dyDescent="0.2">
      <c r="A565" t="s">
        <v>713</v>
      </c>
      <c r="B565" s="31">
        <v>1</v>
      </c>
      <c r="C565" s="71">
        <v>42103</v>
      </c>
      <c r="D565">
        <v>3.49</v>
      </c>
      <c r="E565">
        <f t="shared" si="4"/>
        <v>3.49</v>
      </c>
      <c r="F565" t="s">
        <v>208</v>
      </c>
      <c r="G565" t="s">
        <v>298</v>
      </c>
      <c r="H565" s="71">
        <v>42073</v>
      </c>
      <c r="I565" t="s">
        <v>750</v>
      </c>
      <c r="J565" t="s">
        <v>13</v>
      </c>
    </row>
    <row r="566" spans="1:10" x14ac:dyDescent="0.2">
      <c r="A566" t="s">
        <v>714</v>
      </c>
      <c r="B566" s="31">
        <v>1</v>
      </c>
      <c r="C566" s="71">
        <v>42103</v>
      </c>
      <c r="D566">
        <v>3.99</v>
      </c>
      <c r="E566">
        <f t="shared" si="4"/>
        <v>3.99</v>
      </c>
      <c r="F566" t="s">
        <v>208</v>
      </c>
      <c r="G566" t="s">
        <v>298</v>
      </c>
      <c r="H566" s="71">
        <v>42073</v>
      </c>
      <c r="I566" t="s">
        <v>750</v>
      </c>
      <c r="J566" t="s">
        <v>13</v>
      </c>
    </row>
    <row r="567" spans="1:10" x14ac:dyDescent="0.2">
      <c r="A567" t="s">
        <v>618</v>
      </c>
      <c r="B567" s="31">
        <v>1</v>
      </c>
      <c r="C567" s="71">
        <v>42103</v>
      </c>
      <c r="D567">
        <v>1.59</v>
      </c>
      <c r="E567">
        <f t="shared" si="4"/>
        <v>1.59</v>
      </c>
      <c r="F567" t="s">
        <v>618</v>
      </c>
      <c r="G567" t="s">
        <v>298</v>
      </c>
      <c r="H567" s="71">
        <v>42073</v>
      </c>
      <c r="I567" t="s">
        <v>750</v>
      </c>
      <c r="J567" t="s">
        <v>13</v>
      </c>
    </row>
    <row r="568" spans="1:10" x14ac:dyDescent="0.2">
      <c r="A568" t="s">
        <v>715</v>
      </c>
      <c r="B568" s="31">
        <v>1</v>
      </c>
      <c r="C568" s="71">
        <v>42103</v>
      </c>
      <c r="D568">
        <v>2.29</v>
      </c>
      <c r="E568">
        <f t="shared" si="4"/>
        <v>2.29</v>
      </c>
      <c r="F568" t="s">
        <v>208</v>
      </c>
      <c r="G568" t="s">
        <v>298</v>
      </c>
      <c r="H568" s="71">
        <v>42073</v>
      </c>
      <c r="I568" t="s">
        <v>750</v>
      </c>
      <c r="J568" t="s">
        <v>13</v>
      </c>
    </row>
    <row r="569" spans="1:10" x14ac:dyDescent="0.2">
      <c r="A569" t="s">
        <v>716</v>
      </c>
      <c r="B569" s="31">
        <v>1</v>
      </c>
      <c r="C569" s="71">
        <v>42103</v>
      </c>
      <c r="D569">
        <v>2.29</v>
      </c>
      <c r="E569">
        <f t="shared" si="4"/>
        <v>2.29</v>
      </c>
      <c r="F569" t="s">
        <v>208</v>
      </c>
      <c r="G569" t="s">
        <v>298</v>
      </c>
      <c r="H569" s="71">
        <v>42073</v>
      </c>
      <c r="I569" t="s">
        <v>750</v>
      </c>
      <c r="J569" t="s">
        <v>13</v>
      </c>
    </row>
    <row r="570" spans="1:10" x14ac:dyDescent="0.2">
      <c r="A570" t="s">
        <v>717</v>
      </c>
      <c r="B570" s="31">
        <v>1</v>
      </c>
      <c r="C570" s="71">
        <v>42103</v>
      </c>
      <c r="D570">
        <v>1.95</v>
      </c>
      <c r="E570">
        <f t="shared" si="4"/>
        <v>1.95</v>
      </c>
      <c r="F570" t="s">
        <v>702</v>
      </c>
      <c r="G570" t="s">
        <v>298</v>
      </c>
      <c r="H570" s="71">
        <v>42073</v>
      </c>
      <c r="I570" t="s">
        <v>749</v>
      </c>
      <c r="J570" t="s">
        <v>13</v>
      </c>
    </row>
    <row r="571" spans="1:10" x14ac:dyDescent="0.2">
      <c r="A571" t="s">
        <v>718</v>
      </c>
      <c r="B571" s="31">
        <v>0.50900000000000001</v>
      </c>
      <c r="C571" s="71">
        <v>42103</v>
      </c>
      <c r="D571">
        <v>5.99</v>
      </c>
      <c r="E571">
        <f t="shared" si="4"/>
        <v>3.0489100000000002</v>
      </c>
      <c r="F571" t="s">
        <v>279</v>
      </c>
      <c r="G571" t="s">
        <v>299</v>
      </c>
      <c r="H571" s="71">
        <v>42073</v>
      </c>
      <c r="I571" t="s">
        <v>749</v>
      </c>
      <c r="J571" t="s">
        <v>13</v>
      </c>
    </row>
    <row r="572" spans="1:10" x14ac:dyDescent="0.2">
      <c r="A572" t="s">
        <v>241</v>
      </c>
      <c r="B572" s="31">
        <v>1</v>
      </c>
      <c r="C572" s="71">
        <v>42103</v>
      </c>
      <c r="D572">
        <v>2.99</v>
      </c>
      <c r="E572">
        <f t="shared" si="4"/>
        <v>2.99</v>
      </c>
      <c r="F572" t="s">
        <v>282</v>
      </c>
      <c r="G572" t="s">
        <v>298</v>
      </c>
      <c r="H572" s="71">
        <v>42073</v>
      </c>
      <c r="I572" t="s">
        <v>749</v>
      </c>
      <c r="J572" t="s">
        <v>13</v>
      </c>
    </row>
    <row r="573" spans="1:10" x14ac:dyDescent="0.2">
      <c r="A573" t="s">
        <v>721</v>
      </c>
      <c r="B573" s="31">
        <v>1</v>
      </c>
      <c r="C573" s="71">
        <v>42103</v>
      </c>
      <c r="D573">
        <v>3.69</v>
      </c>
      <c r="E573">
        <f t="shared" si="4"/>
        <v>3.69</v>
      </c>
      <c r="F573" t="s">
        <v>282</v>
      </c>
      <c r="G573" t="s">
        <v>298</v>
      </c>
      <c r="H573" s="71">
        <v>42073</v>
      </c>
      <c r="I573" t="s">
        <v>749</v>
      </c>
      <c r="J573" t="s">
        <v>13</v>
      </c>
    </row>
    <row r="574" spans="1:10" x14ac:dyDescent="0.2">
      <c r="A574" t="s">
        <v>719</v>
      </c>
      <c r="B574" s="31">
        <v>1</v>
      </c>
      <c r="C574" s="71">
        <v>42103</v>
      </c>
      <c r="D574">
        <v>3.79</v>
      </c>
      <c r="E574">
        <f t="shared" si="4"/>
        <v>3.79</v>
      </c>
      <c r="F574" t="s">
        <v>234</v>
      </c>
      <c r="G574" t="s">
        <v>298</v>
      </c>
      <c r="H574" s="71">
        <v>42073</v>
      </c>
      <c r="I574" t="s">
        <v>749</v>
      </c>
      <c r="J574" t="s">
        <v>13</v>
      </c>
    </row>
    <row r="575" spans="1:10" x14ac:dyDescent="0.2">
      <c r="A575" t="s">
        <v>253</v>
      </c>
      <c r="B575" s="31">
        <v>0.65500000000000003</v>
      </c>
      <c r="C575" s="71">
        <v>42103</v>
      </c>
      <c r="D575">
        <v>2.89</v>
      </c>
      <c r="E575">
        <f t="shared" si="4"/>
        <v>1.8929500000000001</v>
      </c>
      <c r="F575" t="s">
        <v>279</v>
      </c>
      <c r="G575" t="s">
        <v>299</v>
      </c>
      <c r="H575" s="71">
        <v>42073</v>
      </c>
      <c r="I575" t="s">
        <v>749</v>
      </c>
      <c r="J575" t="s">
        <v>13</v>
      </c>
    </row>
    <row r="576" spans="1:10" x14ac:dyDescent="0.2">
      <c r="A576" t="s">
        <v>415</v>
      </c>
      <c r="B576" s="31">
        <v>1</v>
      </c>
      <c r="C576" s="71">
        <v>42103</v>
      </c>
      <c r="D576">
        <v>4.3899999999999997</v>
      </c>
      <c r="E576">
        <f t="shared" si="4"/>
        <v>4.3899999999999997</v>
      </c>
      <c r="F576" t="s">
        <v>304</v>
      </c>
      <c r="G576" t="s">
        <v>298</v>
      </c>
      <c r="H576" s="71">
        <v>42073</v>
      </c>
      <c r="I576" t="s">
        <v>749</v>
      </c>
      <c r="J576" t="s">
        <v>13</v>
      </c>
    </row>
    <row r="577" spans="1:10" x14ac:dyDescent="0.2">
      <c r="A577" t="s">
        <v>672</v>
      </c>
      <c r="B577" s="31">
        <v>1</v>
      </c>
      <c r="C577" s="71">
        <v>42103</v>
      </c>
      <c r="D577">
        <v>6.09</v>
      </c>
      <c r="E577">
        <f t="shared" si="4"/>
        <v>6.09</v>
      </c>
      <c r="F577" t="s">
        <v>620</v>
      </c>
      <c r="G577" t="s">
        <v>298</v>
      </c>
      <c r="H577" s="71">
        <v>42073</v>
      </c>
      <c r="I577" t="s">
        <v>749</v>
      </c>
      <c r="J577" t="s">
        <v>13</v>
      </c>
    </row>
    <row r="578" spans="1:10" x14ac:dyDescent="0.2">
      <c r="A578" t="s">
        <v>295</v>
      </c>
      <c r="B578" s="31">
        <v>0.48399999999999999</v>
      </c>
      <c r="C578" s="71">
        <v>42103</v>
      </c>
      <c r="D578">
        <v>23.19</v>
      </c>
      <c r="E578">
        <f t="shared" si="4"/>
        <v>11.22396</v>
      </c>
      <c r="F578" t="s">
        <v>653</v>
      </c>
      <c r="G578" t="s">
        <v>299</v>
      </c>
      <c r="H578" s="71">
        <v>42073</v>
      </c>
      <c r="I578" t="s">
        <v>749</v>
      </c>
      <c r="J578" t="s">
        <v>13</v>
      </c>
    </row>
    <row r="579" spans="1:10" x14ac:dyDescent="0.2">
      <c r="A579" t="s">
        <v>294</v>
      </c>
      <c r="B579" s="31">
        <v>0.22700000000000001</v>
      </c>
      <c r="C579" s="71">
        <v>42103</v>
      </c>
      <c r="D579">
        <v>26.49</v>
      </c>
      <c r="E579">
        <f t="shared" si="4"/>
        <v>6.0132300000000001</v>
      </c>
      <c r="F579" t="s">
        <v>653</v>
      </c>
      <c r="G579" t="s">
        <v>299</v>
      </c>
      <c r="H579" s="71">
        <v>42073</v>
      </c>
      <c r="I579" t="s">
        <v>749</v>
      </c>
      <c r="J579" t="s">
        <v>13</v>
      </c>
    </row>
    <row r="580" spans="1:10" x14ac:dyDescent="0.2">
      <c r="A580" t="s">
        <v>296</v>
      </c>
      <c r="B580" s="31">
        <v>1</v>
      </c>
      <c r="C580" s="71">
        <v>42103</v>
      </c>
      <c r="D580">
        <v>12.9</v>
      </c>
      <c r="E580">
        <f t="shared" si="4"/>
        <v>12.9</v>
      </c>
      <c r="F580" t="s">
        <v>653</v>
      </c>
      <c r="G580" t="s">
        <v>298</v>
      </c>
      <c r="H580" s="71">
        <v>42073</v>
      </c>
      <c r="I580" t="s">
        <v>749</v>
      </c>
      <c r="J580" t="s">
        <v>13</v>
      </c>
    </row>
    <row r="581" spans="1:10" x14ac:dyDescent="0.2">
      <c r="A581" t="s">
        <v>720</v>
      </c>
      <c r="B581" s="31">
        <v>1</v>
      </c>
      <c r="C581" s="71">
        <v>42105</v>
      </c>
      <c r="D581">
        <v>6.79</v>
      </c>
      <c r="E581">
        <f t="shared" si="4"/>
        <v>6.79</v>
      </c>
      <c r="F581" t="s">
        <v>282</v>
      </c>
      <c r="G581" t="s">
        <v>298</v>
      </c>
      <c r="H581" s="71">
        <v>42104</v>
      </c>
      <c r="I581" t="s">
        <v>749</v>
      </c>
      <c r="J581" t="s">
        <v>13</v>
      </c>
    </row>
    <row r="582" spans="1:10" x14ac:dyDescent="0.2">
      <c r="A582" t="s">
        <v>602</v>
      </c>
      <c r="B582" s="31">
        <v>1</v>
      </c>
      <c r="C582" s="71">
        <v>42105</v>
      </c>
      <c r="D582">
        <v>2.19</v>
      </c>
      <c r="E582">
        <f t="shared" si="4"/>
        <v>2.19</v>
      </c>
      <c r="F582" t="s">
        <v>226</v>
      </c>
      <c r="G582" t="s">
        <v>298</v>
      </c>
      <c r="H582" s="71">
        <v>42104</v>
      </c>
      <c r="I582" t="s">
        <v>749</v>
      </c>
      <c r="J582" t="s">
        <v>13</v>
      </c>
    </row>
    <row r="583" spans="1:10" x14ac:dyDescent="0.2">
      <c r="A583" t="s">
        <v>244</v>
      </c>
      <c r="B583" s="31">
        <v>1</v>
      </c>
      <c r="C583" s="71">
        <v>42105</v>
      </c>
      <c r="D583">
        <v>1.29</v>
      </c>
      <c r="E583">
        <f t="shared" si="4"/>
        <v>1.29</v>
      </c>
      <c r="F583" t="s">
        <v>282</v>
      </c>
      <c r="G583" t="s">
        <v>298</v>
      </c>
      <c r="H583" s="71">
        <v>42104</v>
      </c>
      <c r="I583" t="s">
        <v>749</v>
      </c>
      <c r="J583" t="s">
        <v>13</v>
      </c>
    </row>
    <row r="584" spans="1:10" x14ac:dyDescent="0.2">
      <c r="A584" t="s">
        <v>722</v>
      </c>
      <c r="B584" s="31">
        <v>1</v>
      </c>
      <c r="C584" s="71">
        <v>42105</v>
      </c>
      <c r="D584">
        <v>5.59</v>
      </c>
      <c r="E584">
        <f t="shared" si="4"/>
        <v>5.59</v>
      </c>
      <c r="F584" t="s">
        <v>620</v>
      </c>
      <c r="G584" t="s">
        <v>298</v>
      </c>
      <c r="H584" s="71">
        <v>42104</v>
      </c>
      <c r="I584" t="s">
        <v>749</v>
      </c>
      <c r="J584" t="s">
        <v>13</v>
      </c>
    </row>
    <row r="585" spans="1:10" x14ac:dyDescent="0.2">
      <c r="A585" t="s">
        <v>703</v>
      </c>
      <c r="B585" s="31">
        <v>0.45800000000000002</v>
      </c>
      <c r="C585" s="71">
        <v>42107</v>
      </c>
      <c r="D585">
        <v>11.99</v>
      </c>
      <c r="E585">
        <f t="shared" si="4"/>
        <v>5.4914200000000006</v>
      </c>
      <c r="F585" t="s">
        <v>614</v>
      </c>
      <c r="G585" t="str">
        <f>IF(F585="linguiça","kg",IF(F585="legumes","kg",IF(F585="carnes","kg","unidade")))</f>
        <v>kg</v>
      </c>
      <c r="H585" s="71">
        <v>42104</v>
      </c>
      <c r="I585" t="s">
        <v>749</v>
      </c>
      <c r="J585" t="s">
        <v>13</v>
      </c>
    </row>
    <row r="586" spans="1:10" x14ac:dyDescent="0.2">
      <c r="A586" t="s">
        <v>723</v>
      </c>
      <c r="B586" s="31">
        <v>1</v>
      </c>
      <c r="C586" s="71">
        <v>42107</v>
      </c>
      <c r="D586">
        <v>3.89</v>
      </c>
      <c r="E586">
        <f t="shared" si="4"/>
        <v>3.89</v>
      </c>
      <c r="F586" t="s">
        <v>737</v>
      </c>
      <c r="G586" t="str">
        <f t="shared" ref="G586:G601" si="5">IF(F586="linguiça","kg",IF(F586="legumes","kg",IF(F586="carnes","kg","unidade")))</f>
        <v>unidade</v>
      </c>
      <c r="H586" s="71">
        <v>42104</v>
      </c>
      <c r="I586" t="s">
        <v>749</v>
      </c>
      <c r="J586" t="s">
        <v>13</v>
      </c>
    </row>
    <row r="587" spans="1:10" x14ac:dyDescent="0.2">
      <c r="A587" t="s">
        <v>269</v>
      </c>
      <c r="B587" s="31">
        <v>1</v>
      </c>
      <c r="C587" s="71">
        <v>42107</v>
      </c>
      <c r="D587">
        <v>6.9</v>
      </c>
      <c r="E587">
        <f t="shared" si="4"/>
        <v>6.9</v>
      </c>
      <c r="F587" t="s">
        <v>269</v>
      </c>
      <c r="G587" t="str">
        <f t="shared" si="5"/>
        <v>unidade</v>
      </c>
      <c r="H587" s="71">
        <v>42104</v>
      </c>
      <c r="I587" t="s">
        <v>749</v>
      </c>
      <c r="J587" t="s">
        <v>13</v>
      </c>
    </row>
    <row r="588" spans="1:10" x14ac:dyDescent="0.2">
      <c r="A588" t="s">
        <v>419</v>
      </c>
      <c r="B588" s="31">
        <v>1</v>
      </c>
      <c r="C588" s="71">
        <v>42107</v>
      </c>
      <c r="D588">
        <v>6.79</v>
      </c>
      <c r="E588">
        <f t="shared" si="4"/>
        <v>6.79</v>
      </c>
      <c r="F588" t="s">
        <v>468</v>
      </c>
      <c r="G588" t="str">
        <f t="shared" si="5"/>
        <v>unidade</v>
      </c>
      <c r="H588" s="71">
        <v>42104</v>
      </c>
      <c r="I588" t="s">
        <v>749</v>
      </c>
      <c r="J588" t="s">
        <v>13</v>
      </c>
    </row>
    <row r="589" spans="1:10" x14ac:dyDescent="0.2">
      <c r="A589" t="s">
        <v>215</v>
      </c>
      <c r="B589" s="31">
        <v>1</v>
      </c>
      <c r="C589" s="71">
        <v>42107</v>
      </c>
      <c r="D589">
        <v>3.69</v>
      </c>
      <c r="E589">
        <f t="shared" si="4"/>
        <v>3.69</v>
      </c>
      <c r="F589" t="s">
        <v>215</v>
      </c>
      <c r="G589" t="str">
        <f t="shared" si="5"/>
        <v>unidade</v>
      </c>
      <c r="H589" s="71">
        <v>42104</v>
      </c>
      <c r="I589" t="s">
        <v>749</v>
      </c>
      <c r="J589" t="s">
        <v>13</v>
      </c>
    </row>
    <row r="590" spans="1:10" x14ac:dyDescent="0.2">
      <c r="A590" t="s">
        <v>672</v>
      </c>
      <c r="B590" s="31">
        <v>1</v>
      </c>
      <c r="C590" s="71">
        <v>42108</v>
      </c>
      <c r="D590">
        <v>6.09</v>
      </c>
      <c r="E590">
        <f t="shared" si="4"/>
        <v>6.09</v>
      </c>
      <c r="F590" t="s">
        <v>620</v>
      </c>
      <c r="G590" t="str">
        <f t="shared" si="5"/>
        <v>unidade</v>
      </c>
      <c r="H590" s="71">
        <v>42104</v>
      </c>
      <c r="I590" t="s">
        <v>749</v>
      </c>
      <c r="J590" t="s">
        <v>13</v>
      </c>
    </row>
    <row r="591" spans="1:10" x14ac:dyDescent="0.2">
      <c r="A591" t="s">
        <v>409</v>
      </c>
      <c r="B591" s="31">
        <v>0.20799999999999999</v>
      </c>
      <c r="C591" s="71">
        <v>42108</v>
      </c>
      <c r="D591">
        <v>16.09</v>
      </c>
      <c r="E591">
        <f t="shared" si="4"/>
        <v>3.3467199999999999</v>
      </c>
      <c r="F591" t="s">
        <v>653</v>
      </c>
      <c r="G591" t="s">
        <v>299</v>
      </c>
      <c r="H591" s="71">
        <v>42104</v>
      </c>
      <c r="I591" t="s">
        <v>749</v>
      </c>
      <c r="J591" t="s">
        <v>13</v>
      </c>
    </row>
    <row r="592" spans="1:10" x14ac:dyDescent="0.2">
      <c r="A592" t="s">
        <v>295</v>
      </c>
      <c r="B592" s="31">
        <v>0.19400000000000001</v>
      </c>
      <c r="C592" s="71">
        <v>42108</v>
      </c>
      <c r="D592">
        <v>26.99</v>
      </c>
      <c r="E592">
        <f t="shared" si="4"/>
        <v>5.2360600000000002</v>
      </c>
      <c r="F592" t="s">
        <v>653</v>
      </c>
      <c r="G592" t="s">
        <v>299</v>
      </c>
      <c r="H592" s="71">
        <v>42104</v>
      </c>
      <c r="I592" t="s">
        <v>749</v>
      </c>
      <c r="J592" t="s">
        <v>13</v>
      </c>
    </row>
    <row r="593" spans="1:10" x14ac:dyDescent="0.2">
      <c r="A593" t="s">
        <v>235</v>
      </c>
      <c r="B593" s="31">
        <v>1</v>
      </c>
      <c r="C593" s="71">
        <v>42108</v>
      </c>
      <c r="D593">
        <v>4.09</v>
      </c>
      <c r="E593">
        <f t="shared" si="4"/>
        <v>4.09</v>
      </c>
      <c r="F593" t="s">
        <v>653</v>
      </c>
      <c r="G593" t="str">
        <f t="shared" si="5"/>
        <v>unidade</v>
      </c>
      <c r="H593" s="71">
        <v>42104</v>
      </c>
      <c r="I593" t="s">
        <v>749</v>
      </c>
      <c r="J593" t="s">
        <v>13</v>
      </c>
    </row>
    <row r="594" spans="1:10" x14ac:dyDescent="0.2">
      <c r="A594" t="s">
        <v>183</v>
      </c>
      <c r="B594" s="31">
        <v>1</v>
      </c>
      <c r="C594" s="71">
        <v>42108</v>
      </c>
      <c r="D594">
        <v>16.989999999999998</v>
      </c>
      <c r="E594">
        <f t="shared" si="4"/>
        <v>16.989999999999998</v>
      </c>
      <c r="F594" t="s">
        <v>221</v>
      </c>
      <c r="G594" t="str">
        <f t="shared" si="5"/>
        <v>unidade</v>
      </c>
      <c r="H594" s="71">
        <v>42104</v>
      </c>
      <c r="I594" t="s">
        <v>749</v>
      </c>
      <c r="J594" t="s">
        <v>13</v>
      </c>
    </row>
    <row r="595" spans="1:10" x14ac:dyDescent="0.2">
      <c r="A595" t="s">
        <v>432</v>
      </c>
      <c r="B595" s="31">
        <v>1</v>
      </c>
      <c r="C595" s="71">
        <v>42108</v>
      </c>
      <c r="D595">
        <v>7.49</v>
      </c>
      <c r="E595">
        <f t="shared" si="4"/>
        <v>7.49</v>
      </c>
      <c r="F595" t="s">
        <v>374</v>
      </c>
      <c r="G595" t="str">
        <f t="shared" si="5"/>
        <v>unidade</v>
      </c>
      <c r="H595" s="71">
        <v>42104</v>
      </c>
      <c r="I595" t="s">
        <v>749</v>
      </c>
      <c r="J595" t="s">
        <v>13</v>
      </c>
    </row>
    <row r="596" spans="1:10" x14ac:dyDescent="0.2">
      <c r="A596" t="s">
        <v>724</v>
      </c>
      <c r="B596" s="31">
        <v>0.42499999999999999</v>
      </c>
      <c r="C596" s="71">
        <v>42109</v>
      </c>
      <c r="D596">
        <v>1.89</v>
      </c>
      <c r="E596">
        <f t="shared" si="4"/>
        <v>0.80324999999999991</v>
      </c>
      <c r="F596" t="s">
        <v>280</v>
      </c>
      <c r="G596" t="str">
        <f t="shared" si="5"/>
        <v>kg</v>
      </c>
      <c r="H596" s="71">
        <v>42104</v>
      </c>
      <c r="I596" t="s">
        <v>748</v>
      </c>
      <c r="J596" t="s">
        <v>13</v>
      </c>
    </row>
    <row r="597" spans="1:10" x14ac:dyDescent="0.2">
      <c r="A597" t="s">
        <v>307</v>
      </c>
      <c r="B597" s="31">
        <v>0.37</v>
      </c>
      <c r="C597" s="71">
        <v>42109</v>
      </c>
      <c r="D597">
        <v>3.99</v>
      </c>
      <c r="E597">
        <f t="shared" si="4"/>
        <v>1.4763000000000002</v>
      </c>
      <c r="F597" t="s">
        <v>280</v>
      </c>
      <c r="G597" t="str">
        <f t="shared" si="5"/>
        <v>kg</v>
      </c>
      <c r="H597" s="71">
        <v>42104</v>
      </c>
      <c r="I597" t="s">
        <v>748</v>
      </c>
      <c r="J597" t="s">
        <v>13</v>
      </c>
    </row>
    <row r="598" spans="1:10" x14ac:dyDescent="0.2">
      <c r="A598" t="s">
        <v>725</v>
      </c>
      <c r="B598" s="31">
        <v>0.311</v>
      </c>
      <c r="C598" s="71">
        <v>42109</v>
      </c>
      <c r="D598">
        <v>10.99</v>
      </c>
      <c r="E598">
        <f t="shared" si="4"/>
        <v>3.4178899999999999</v>
      </c>
      <c r="F598" t="s">
        <v>609</v>
      </c>
      <c r="G598" t="str">
        <f t="shared" si="5"/>
        <v>kg</v>
      </c>
      <c r="H598" s="71">
        <v>42104</v>
      </c>
      <c r="I598" t="s">
        <v>748</v>
      </c>
      <c r="J598" t="s">
        <v>13</v>
      </c>
    </row>
    <row r="599" spans="1:10" x14ac:dyDescent="0.2">
      <c r="A599" t="s">
        <v>285</v>
      </c>
      <c r="B599" s="31">
        <v>0.64300000000000002</v>
      </c>
      <c r="C599" s="71">
        <v>42109</v>
      </c>
      <c r="D599">
        <v>26.9</v>
      </c>
      <c r="E599">
        <f t="shared" si="4"/>
        <v>17.296699999999998</v>
      </c>
      <c r="F599" t="s">
        <v>609</v>
      </c>
      <c r="G599" t="str">
        <f t="shared" si="5"/>
        <v>kg</v>
      </c>
      <c r="H599" s="71">
        <v>42104</v>
      </c>
      <c r="I599" t="s">
        <v>748</v>
      </c>
      <c r="J599" t="s">
        <v>13</v>
      </c>
    </row>
    <row r="600" spans="1:10" x14ac:dyDescent="0.2">
      <c r="A600" t="s">
        <v>678</v>
      </c>
      <c r="B600" s="31">
        <v>0.54600000000000004</v>
      </c>
      <c r="C600" s="71">
        <v>42109</v>
      </c>
      <c r="D600">
        <v>19.899999999999999</v>
      </c>
      <c r="E600">
        <f t="shared" si="4"/>
        <v>10.865399999999999</v>
      </c>
      <c r="F600" t="s">
        <v>609</v>
      </c>
      <c r="G600" t="str">
        <f t="shared" si="5"/>
        <v>kg</v>
      </c>
      <c r="H600" s="71">
        <v>42104</v>
      </c>
      <c r="I600" t="s">
        <v>748</v>
      </c>
      <c r="J600" t="s">
        <v>13</v>
      </c>
    </row>
    <row r="601" spans="1:10" x14ac:dyDescent="0.2">
      <c r="A601" t="s">
        <v>726</v>
      </c>
      <c r="B601" s="31">
        <v>0.32500000000000001</v>
      </c>
      <c r="C601" s="71">
        <v>42109</v>
      </c>
      <c r="D601">
        <v>0.99</v>
      </c>
      <c r="E601">
        <f t="shared" si="4"/>
        <v>0.32174999999999998</v>
      </c>
      <c r="F601" t="s">
        <v>280</v>
      </c>
      <c r="G601" t="str">
        <f t="shared" si="5"/>
        <v>kg</v>
      </c>
      <c r="H601" s="71">
        <v>42104</v>
      </c>
      <c r="I601" t="s">
        <v>748</v>
      </c>
      <c r="J601" t="s">
        <v>13</v>
      </c>
    </row>
    <row r="602" spans="1:10" x14ac:dyDescent="0.2">
      <c r="A602" t="s">
        <v>421</v>
      </c>
      <c r="B602" s="31">
        <v>2</v>
      </c>
      <c r="C602" s="71">
        <v>42109</v>
      </c>
      <c r="D602">
        <v>2.12</v>
      </c>
      <c r="E602">
        <f t="shared" si="4"/>
        <v>4.24</v>
      </c>
      <c r="F602" t="s">
        <v>344</v>
      </c>
      <c r="G602" t="s">
        <v>298</v>
      </c>
      <c r="H602" s="71">
        <v>42104</v>
      </c>
      <c r="I602" t="s">
        <v>748</v>
      </c>
      <c r="J602" t="s">
        <v>13</v>
      </c>
    </row>
    <row r="603" spans="1:10" x14ac:dyDescent="0.2">
      <c r="A603" t="s">
        <v>727</v>
      </c>
      <c r="B603" s="31">
        <v>1</v>
      </c>
      <c r="C603" s="71">
        <v>42109</v>
      </c>
      <c r="D603">
        <v>3.58</v>
      </c>
      <c r="E603">
        <f t="shared" si="4"/>
        <v>3.58</v>
      </c>
      <c r="F603" t="s">
        <v>282</v>
      </c>
      <c r="G603" t="s">
        <v>298</v>
      </c>
      <c r="H603" s="71">
        <v>42104</v>
      </c>
      <c r="I603" t="s">
        <v>748</v>
      </c>
      <c r="J603" t="s">
        <v>13</v>
      </c>
    </row>
    <row r="604" spans="1:10" x14ac:dyDescent="0.2">
      <c r="A604" t="s">
        <v>734</v>
      </c>
      <c r="B604" s="31">
        <v>2</v>
      </c>
      <c r="C604" s="71">
        <v>42109</v>
      </c>
      <c r="D604">
        <v>1.36</v>
      </c>
      <c r="E604">
        <f t="shared" si="4"/>
        <v>2.72</v>
      </c>
      <c r="F604" t="s">
        <v>344</v>
      </c>
      <c r="G604" t="s">
        <v>298</v>
      </c>
      <c r="H604" s="71">
        <v>42104</v>
      </c>
      <c r="I604" t="s">
        <v>748</v>
      </c>
      <c r="J604" t="s">
        <v>13</v>
      </c>
    </row>
    <row r="605" spans="1:10" x14ac:dyDescent="0.2">
      <c r="A605" t="s">
        <v>728</v>
      </c>
      <c r="B605" s="31">
        <v>1</v>
      </c>
      <c r="C605" s="71">
        <v>42109</v>
      </c>
      <c r="D605">
        <v>6.18</v>
      </c>
      <c r="E605">
        <f t="shared" si="4"/>
        <v>6.18</v>
      </c>
      <c r="F605" t="s">
        <v>344</v>
      </c>
      <c r="G605" t="s">
        <v>298</v>
      </c>
      <c r="H605" s="71">
        <v>42104</v>
      </c>
      <c r="I605" t="s">
        <v>748</v>
      </c>
      <c r="J605" t="s">
        <v>13</v>
      </c>
    </row>
    <row r="606" spans="1:10" x14ac:dyDescent="0.2">
      <c r="A606" t="s">
        <v>735</v>
      </c>
      <c r="B606" s="31">
        <v>1</v>
      </c>
      <c r="C606" s="71">
        <v>42109</v>
      </c>
      <c r="D606">
        <v>2.41</v>
      </c>
      <c r="E606">
        <f t="shared" si="4"/>
        <v>2.41</v>
      </c>
      <c r="F606" t="s">
        <v>344</v>
      </c>
      <c r="G606" t="s">
        <v>298</v>
      </c>
      <c r="H606" s="71">
        <v>42104</v>
      </c>
      <c r="I606" t="s">
        <v>748</v>
      </c>
      <c r="J606" t="s">
        <v>13</v>
      </c>
    </row>
    <row r="607" spans="1:10" x14ac:dyDescent="0.2">
      <c r="A607" t="s">
        <v>315</v>
      </c>
      <c r="B607" s="31">
        <v>7.4999999999999997E-2</v>
      </c>
      <c r="C607" s="71">
        <v>42109</v>
      </c>
      <c r="D607">
        <v>17.5</v>
      </c>
      <c r="E607">
        <f t="shared" si="4"/>
        <v>1.3125</v>
      </c>
      <c r="F607" t="s">
        <v>208</v>
      </c>
      <c r="G607" t="s">
        <v>298</v>
      </c>
      <c r="H607" s="71">
        <v>42104</v>
      </c>
      <c r="I607" t="s">
        <v>748</v>
      </c>
      <c r="J607" t="s">
        <v>13</v>
      </c>
    </row>
    <row r="608" spans="1:10" x14ac:dyDescent="0.2">
      <c r="A608" t="s">
        <v>557</v>
      </c>
      <c r="B608" s="31">
        <v>2</v>
      </c>
      <c r="C608" s="71">
        <v>42109</v>
      </c>
      <c r="D608">
        <v>2.89</v>
      </c>
      <c r="E608">
        <f t="shared" si="4"/>
        <v>5.78</v>
      </c>
      <c r="F608" t="s">
        <v>465</v>
      </c>
      <c r="G608" t="s">
        <v>298</v>
      </c>
      <c r="H608" s="71">
        <v>42104</v>
      </c>
      <c r="I608" t="s">
        <v>748</v>
      </c>
      <c r="J608" t="s">
        <v>13</v>
      </c>
    </row>
    <row r="609" spans="1:10" x14ac:dyDescent="0.2">
      <c r="A609" t="s">
        <v>729</v>
      </c>
      <c r="B609" s="31">
        <v>1</v>
      </c>
      <c r="C609" s="71">
        <v>42109</v>
      </c>
      <c r="D609">
        <v>23.25</v>
      </c>
      <c r="E609">
        <f t="shared" si="4"/>
        <v>23.25</v>
      </c>
      <c r="F609" t="s">
        <v>344</v>
      </c>
      <c r="G609" t="s">
        <v>298</v>
      </c>
      <c r="H609" s="71">
        <v>42104</v>
      </c>
      <c r="I609" t="s">
        <v>748</v>
      </c>
      <c r="J609" t="s">
        <v>13</v>
      </c>
    </row>
    <row r="610" spans="1:10" x14ac:dyDescent="0.2">
      <c r="A610" t="s">
        <v>352</v>
      </c>
      <c r="B610" s="31">
        <v>0.05</v>
      </c>
      <c r="C610" s="71">
        <v>42111</v>
      </c>
      <c r="D610">
        <v>61.49</v>
      </c>
      <c r="E610">
        <f t="shared" si="4"/>
        <v>3.0745000000000005</v>
      </c>
      <c r="F610" t="s">
        <v>653</v>
      </c>
      <c r="G610" t="s">
        <v>299</v>
      </c>
      <c r="H610" s="71">
        <v>42104</v>
      </c>
      <c r="I610" t="s">
        <v>749</v>
      </c>
      <c r="J610" t="s">
        <v>13</v>
      </c>
    </row>
    <row r="611" spans="1:10" x14ac:dyDescent="0.2">
      <c r="A611" t="s">
        <v>730</v>
      </c>
      <c r="B611" s="31">
        <v>1</v>
      </c>
      <c r="C611" s="71">
        <v>42111</v>
      </c>
      <c r="D611">
        <v>2.89</v>
      </c>
      <c r="E611">
        <f t="shared" si="4"/>
        <v>2.89</v>
      </c>
      <c r="F611" t="s">
        <v>267</v>
      </c>
      <c r="G611" t="s">
        <v>298</v>
      </c>
      <c r="H611" s="71">
        <v>42104</v>
      </c>
      <c r="I611" t="s">
        <v>749</v>
      </c>
      <c r="J611" t="s">
        <v>13</v>
      </c>
    </row>
    <row r="612" spans="1:10" x14ac:dyDescent="0.2">
      <c r="A612" t="s">
        <v>416</v>
      </c>
      <c r="B612" s="31">
        <v>0.11600000000000001</v>
      </c>
      <c r="C612" s="71">
        <v>42111</v>
      </c>
      <c r="D612">
        <v>21.49</v>
      </c>
      <c r="E612">
        <f t="shared" si="4"/>
        <v>2.4928400000000002</v>
      </c>
      <c r="F612" t="s">
        <v>653</v>
      </c>
      <c r="G612" t="s">
        <v>299</v>
      </c>
      <c r="H612" s="71">
        <v>42104</v>
      </c>
      <c r="I612" t="s">
        <v>749</v>
      </c>
      <c r="J612" t="s">
        <v>13</v>
      </c>
    </row>
    <row r="613" spans="1:10" x14ac:dyDescent="0.2">
      <c r="A613" t="s">
        <v>295</v>
      </c>
      <c r="B613" s="31">
        <v>0.11</v>
      </c>
      <c r="C613" s="71">
        <v>42111</v>
      </c>
      <c r="D613">
        <v>22.89</v>
      </c>
      <c r="E613">
        <f t="shared" si="4"/>
        <v>2.5179</v>
      </c>
      <c r="F613" t="s">
        <v>653</v>
      </c>
      <c r="G613" t="s">
        <v>299</v>
      </c>
      <c r="H613" s="71">
        <v>42104</v>
      </c>
      <c r="I613" t="s">
        <v>749</v>
      </c>
      <c r="J613" t="s">
        <v>13</v>
      </c>
    </row>
    <row r="614" spans="1:10" x14ac:dyDescent="0.2">
      <c r="A614" t="s">
        <v>731</v>
      </c>
      <c r="B614" s="31">
        <v>1</v>
      </c>
      <c r="C614" s="71">
        <v>42111</v>
      </c>
      <c r="D614">
        <v>8.06</v>
      </c>
      <c r="E614">
        <f t="shared" si="4"/>
        <v>8.06</v>
      </c>
      <c r="F614" t="s">
        <v>468</v>
      </c>
      <c r="G614" t="s">
        <v>298</v>
      </c>
      <c r="H614" s="71">
        <v>42104</v>
      </c>
      <c r="I614" t="s">
        <v>749</v>
      </c>
      <c r="J614" t="s">
        <v>13</v>
      </c>
    </row>
    <row r="615" spans="1:10" x14ac:dyDescent="0.2">
      <c r="A615" t="s">
        <v>702</v>
      </c>
      <c r="B615" s="31">
        <v>2</v>
      </c>
      <c r="C615" s="71">
        <v>42111</v>
      </c>
      <c r="D615">
        <v>2.0499999999999998</v>
      </c>
      <c r="E615">
        <f t="shared" si="4"/>
        <v>4.0999999999999996</v>
      </c>
      <c r="F615" t="s">
        <v>344</v>
      </c>
      <c r="G615" t="s">
        <v>298</v>
      </c>
      <c r="H615" s="71">
        <v>42104</v>
      </c>
      <c r="I615" t="s">
        <v>749</v>
      </c>
      <c r="J615" t="s">
        <v>13</v>
      </c>
    </row>
    <row r="616" spans="1:10" x14ac:dyDescent="0.2">
      <c r="A616" t="s">
        <v>732</v>
      </c>
      <c r="B616" s="31">
        <v>1</v>
      </c>
      <c r="C616" s="71">
        <v>42111</v>
      </c>
      <c r="D616">
        <v>1.9</v>
      </c>
      <c r="E616">
        <f t="shared" si="4"/>
        <v>1.9</v>
      </c>
      <c r="F616" t="s">
        <v>737</v>
      </c>
      <c r="G616" t="s">
        <v>298</v>
      </c>
      <c r="H616" s="71">
        <v>42104</v>
      </c>
      <c r="I616" t="s">
        <v>749</v>
      </c>
      <c r="J616" t="s">
        <v>13</v>
      </c>
    </row>
    <row r="617" spans="1:10" x14ac:dyDescent="0.2">
      <c r="A617" t="s">
        <v>733</v>
      </c>
      <c r="B617" s="31">
        <v>1</v>
      </c>
      <c r="C617" s="71">
        <v>42111</v>
      </c>
      <c r="D617">
        <v>3.79</v>
      </c>
      <c r="E617">
        <f t="shared" si="4"/>
        <v>3.79</v>
      </c>
      <c r="F617" t="s">
        <v>620</v>
      </c>
      <c r="G617" t="s">
        <v>298</v>
      </c>
      <c r="H617" s="71">
        <v>42104</v>
      </c>
      <c r="I617" t="s">
        <v>749</v>
      </c>
      <c r="J617" t="s">
        <v>13</v>
      </c>
    </row>
    <row r="618" spans="1:10" x14ac:dyDescent="0.2">
      <c r="A618" t="s">
        <v>230</v>
      </c>
      <c r="B618" s="31">
        <v>0.40500000000000003</v>
      </c>
      <c r="C618" s="71">
        <v>42111</v>
      </c>
      <c r="D618">
        <v>4.9000000000000004</v>
      </c>
      <c r="E618">
        <f t="shared" si="4"/>
        <v>1.9845000000000004</v>
      </c>
      <c r="F618" t="s">
        <v>280</v>
      </c>
      <c r="G618" t="s">
        <v>299</v>
      </c>
      <c r="H618" s="71">
        <v>42104</v>
      </c>
      <c r="I618" t="s">
        <v>749</v>
      </c>
      <c r="J618" t="s">
        <v>13</v>
      </c>
    </row>
    <row r="619" spans="1:10" x14ac:dyDescent="0.2">
      <c r="A619" t="s">
        <v>570</v>
      </c>
      <c r="B619" s="31">
        <v>1</v>
      </c>
      <c r="C619" s="71">
        <v>42111</v>
      </c>
      <c r="D619">
        <v>4.49</v>
      </c>
      <c r="E619">
        <f t="shared" si="4"/>
        <v>4.49</v>
      </c>
      <c r="F619" t="s">
        <v>653</v>
      </c>
      <c r="G619" t="s">
        <v>298</v>
      </c>
      <c r="H619" s="71">
        <v>42104</v>
      </c>
      <c r="I619" t="s">
        <v>749</v>
      </c>
      <c r="J619" t="s">
        <v>13</v>
      </c>
    </row>
    <row r="620" spans="1:10" x14ac:dyDescent="0.2">
      <c r="A620" t="s">
        <v>215</v>
      </c>
      <c r="B620" s="31">
        <v>1</v>
      </c>
      <c r="C620" s="71">
        <v>42111</v>
      </c>
      <c r="D620">
        <v>4.6900000000000004</v>
      </c>
      <c r="E620">
        <f t="shared" si="4"/>
        <v>4.6900000000000004</v>
      </c>
      <c r="F620" t="s">
        <v>215</v>
      </c>
      <c r="G620" t="s">
        <v>298</v>
      </c>
      <c r="H620" s="71">
        <v>42104</v>
      </c>
      <c r="I620" t="s">
        <v>749</v>
      </c>
      <c r="J620" t="s">
        <v>13</v>
      </c>
    </row>
    <row r="621" spans="1:10" x14ac:dyDescent="0.2">
      <c r="A621" t="s">
        <v>730</v>
      </c>
      <c r="B621" s="31">
        <v>1</v>
      </c>
      <c r="C621" s="71">
        <v>42111</v>
      </c>
      <c r="D621">
        <v>3.25</v>
      </c>
      <c r="E621">
        <f t="shared" si="4"/>
        <v>3.25</v>
      </c>
      <c r="F621" t="s">
        <v>267</v>
      </c>
      <c r="G621" t="s">
        <v>298</v>
      </c>
      <c r="H621" s="71">
        <v>42104</v>
      </c>
      <c r="I621" t="s">
        <v>749</v>
      </c>
      <c r="J621" t="s">
        <v>13</v>
      </c>
    </row>
    <row r="622" spans="1:10" x14ac:dyDescent="0.2">
      <c r="A622" t="s">
        <v>249</v>
      </c>
      <c r="B622" s="31">
        <v>1</v>
      </c>
      <c r="C622" s="71">
        <v>42111</v>
      </c>
      <c r="D622">
        <v>4.29</v>
      </c>
      <c r="E622">
        <f t="shared" si="4"/>
        <v>4.29</v>
      </c>
      <c r="F622" t="s">
        <v>468</v>
      </c>
      <c r="G622" t="s">
        <v>298</v>
      </c>
      <c r="H622" s="71">
        <v>42104</v>
      </c>
      <c r="I622" t="s">
        <v>749</v>
      </c>
      <c r="J622" t="s">
        <v>13</v>
      </c>
    </row>
    <row r="623" spans="1:10" x14ac:dyDescent="0.2">
      <c r="A623" t="s">
        <v>553</v>
      </c>
      <c r="B623" s="31">
        <v>1</v>
      </c>
      <c r="C623" s="71">
        <v>42115</v>
      </c>
      <c r="D623">
        <v>7.9</v>
      </c>
      <c r="E623">
        <f t="shared" si="4"/>
        <v>7.9</v>
      </c>
      <c r="F623" t="s">
        <v>282</v>
      </c>
      <c r="G623" t="s">
        <v>298</v>
      </c>
      <c r="H623" s="71">
        <v>42104</v>
      </c>
      <c r="I623" t="s">
        <v>749</v>
      </c>
      <c r="J623" t="s">
        <v>13</v>
      </c>
    </row>
    <row r="624" spans="1:10" x14ac:dyDescent="0.2">
      <c r="A624" t="s">
        <v>741</v>
      </c>
      <c r="B624" s="31">
        <v>1</v>
      </c>
      <c r="C624" s="71">
        <v>42115</v>
      </c>
      <c r="D624">
        <v>5.79</v>
      </c>
      <c r="E624">
        <f t="shared" si="4"/>
        <v>5.79</v>
      </c>
      <c r="F624" t="s">
        <v>282</v>
      </c>
      <c r="G624" t="s">
        <v>298</v>
      </c>
      <c r="H624" s="71">
        <v>42104</v>
      </c>
      <c r="I624" t="s">
        <v>749</v>
      </c>
      <c r="J624" t="s">
        <v>13</v>
      </c>
    </row>
    <row r="625" spans="1:10" x14ac:dyDescent="0.2">
      <c r="A625" t="s">
        <v>242</v>
      </c>
      <c r="B625" s="31">
        <v>1</v>
      </c>
      <c r="C625" s="71">
        <v>42115</v>
      </c>
      <c r="D625">
        <v>4.1900000000000004</v>
      </c>
      <c r="E625">
        <f t="shared" si="4"/>
        <v>4.1900000000000004</v>
      </c>
      <c r="F625" t="s">
        <v>282</v>
      </c>
      <c r="G625" t="s">
        <v>298</v>
      </c>
      <c r="H625" s="71">
        <v>42104</v>
      </c>
      <c r="I625" t="s">
        <v>749</v>
      </c>
      <c r="J625" t="s">
        <v>13</v>
      </c>
    </row>
    <row r="626" spans="1:10" x14ac:dyDescent="0.2">
      <c r="A626" t="s">
        <v>241</v>
      </c>
      <c r="B626" s="31">
        <v>1</v>
      </c>
      <c r="C626" s="71">
        <v>42115</v>
      </c>
      <c r="D626">
        <v>3.19</v>
      </c>
      <c r="E626">
        <f t="shared" si="4"/>
        <v>3.19</v>
      </c>
      <c r="F626" t="s">
        <v>282</v>
      </c>
      <c r="G626" t="s">
        <v>298</v>
      </c>
      <c r="H626" s="71">
        <v>42104</v>
      </c>
      <c r="I626" t="s">
        <v>749</v>
      </c>
      <c r="J626" t="s">
        <v>13</v>
      </c>
    </row>
    <row r="627" spans="1:10" x14ac:dyDescent="0.2">
      <c r="A627" t="s">
        <v>320</v>
      </c>
      <c r="B627" s="31">
        <v>1</v>
      </c>
      <c r="C627" s="71">
        <v>42115</v>
      </c>
      <c r="D627">
        <v>8.16</v>
      </c>
      <c r="E627">
        <f t="shared" si="4"/>
        <v>8.16</v>
      </c>
      <c r="F627" t="s">
        <v>287</v>
      </c>
      <c r="G627" t="s">
        <v>298</v>
      </c>
      <c r="H627" s="71">
        <v>42104</v>
      </c>
      <c r="I627" t="s">
        <v>749</v>
      </c>
      <c r="J627" t="s">
        <v>13</v>
      </c>
    </row>
    <row r="628" spans="1:10" x14ac:dyDescent="0.2">
      <c r="A628" t="s">
        <v>441</v>
      </c>
      <c r="B628" s="31">
        <v>1</v>
      </c>
      <c r="C628" s="71">
        <v>42115</v>
      </c>
      <c r="D628">
        <v>12.59</v>
      </c>
      <c r="E628">
        <f t="shared" si="4"/>
        <v>12.59</v>
      </c>
      <c r="F628" t="s">
        <v>344</v>
      </c>
      <c r="G628" t="s">
        <v>298</v>
      </c>
      <c r="H628" s="71">
        <v>42104</v>
      </c>
      <c r="I628" t="s">
        <v>749</v>
      </c>
      <c r="J628" t="s">
        <v>13</v>
      </c>
    </row>
    <row r="629" spans="1:10" x14ac:dyDescent="0.2">
      <c r="A629" t="s">
        <v>742</v>
      </c>
      <c r="B629" s="31">
        <v>1</v>
      </c>
      <c r="C629" s="71">
        <v>42115</v>
      </c>
      <c r="D629">
        <v>6.99</v>
      </c>
      <c r="E629">
        <f t="shared" si="4"/>
        <v>6.99</v>
      </c>
      <c r="F629" t="s">
        <v>344</v>
      </c>
      <c r="G629" t="s">
        <v>298</v>
      </c>
      <c r="H629" s="71">
        <v>42104</v>
      </c>
      <c r="I629" t="s">
        <v>749</v>
      </c>
      <c r="J629" t="s">
        <v>13</v>
      </c>
    </row>
    <row r="630" spans="1:10" x14ac:dyDescent="0.2">
      <c r="A630" t="s">
        <v>248</v>
      </c>
      <c r="B630" s="31">
        <v>1</v>
      </c>
      <c r="C630" s="71">
        <v>42115</v>
      </c>
      <c r="D630">
        <v>4.3499999999999996</v>
      </c>
      <c r="E630">
        <f t="shared" si="4"/>
        <v>4.3499999999999996</v>
      </c>
      <c r="F630" t="s">
        <v>287</v>
      </c>
      <c r="G630" t="s">
        <v>298</v>
      </c>
      <c r="H630" s="71">
        <v>42104</v>
      </c>
      <c r="I630" t="s">
        <v>749</v>
      </c>
      <c r="J630" t="s">
        <v>13</v>
      </c>
    </row>
    <row r="631" spans="1:10" x14ac:dyDescent="0.2">
      <c r="A631" t="s">
        <v>432</v>
      </c>
      <c r="B631" s="31">
        <v>1</v>
      </c>
      <c r="C631" s="71">
        <v>42115</v>
      </c>
      <c r="D631">
        <v>14.99</v>
      </c>
      <c r="E631">
        <f t="shared" si="4"/>
        <v>14.99</v>
      </c>
      <c r="F631" t="s">
        <v>374</v>
      </c>
      <c r="G631" t="s">
        <v>298</v>
      </c>
      <c r="H631" s="71">
        <v>42104</v>
      </c>
      <c r="I631" t="s">
        <v>749</v>
      </c>
      <c r="J631" t="s">
        <v>13</v>
      </c>
    </row>
    <row r="632" spans="1:10" x14ac:dyDescent="0.2">
      <c r="A632" t="s">
        <v>353</v>
      </c>
      <c r="B632" s="31">
        <v>1</v>
      </c>
      <c r="C632" s="71">
        <v>42115</v>
      </c>
      <c r="D632">
        <v>3.79</v>
      </c>
      <c r="E632">
        <f t="shared" si="4"/>
        <v>3.79</v>
      </c>
      <c r="F632" t="s">
        <v>620</v>
      </c>
      <c r="G632" t="s">
        <v>298</v>
      </c>
      <c r="H632" s="71">
        <v>42104</v>
      </c>
      <c r="I632" t="s">
        <v>749</v>
      </c>
      <c r="J632" t="s">
        <v>13</v>
      </c>
    </row>
    <row r="633" spans="1:10" x14ac:dyDescent="0.2">
      <c r="A633" t="s">
        <v>215</v>
      </c>
      <c r="B633" s="31">
        <v>1</v>
      </c>
      <c r="C633" s="71">
        <v>42115</v>
      </c>
      <c r="D633">
        <v>2.4900000000000002</v>
      </c>
      <c r="E633">
        <f t="shared" si="4"/>
        <v>2.4900000000000002</v>
      </c>
      <c r="F633" t="s">
        <v>215</v>
      </c>
      <c r="G633" t="s">
        <v>298</v>
      </c>
      <c r="H633" s="71">
        <v>42104</v>
      </c>
      <c r="I633" t="s">
        <v>749</v>
      </c>
      <c r="J633" t="s">
        <v>13</v>
      </c>
    </row>
    <row r="634" spans="1:10" x14ac:dyDescent="0.2">
      <c r="A634" t="s">
        <v>468</v>
      </c>
      <c r="B634" s="31">
        <v>1</v>
      </c>
      <c r="C634" s="71">
        <v>42119</v>
      </c>
      <c r="D634">
        <v>5.49</v>
      </c>
      <c r="E634">
        <f t="shared" si="4"/>
        <v>5.49</v>
      </c>
      <c r="F634" t="s">
        <v>468</v>
      </c>
      <c r="G634" t="s">
        <v>298</v>
      </c>
      <c r="H634" s="71">
        <v>42104</v>
      </c>
      <c r="I634" t="s">
        <v>749</v>
      </c>
      <c r="J634" t="s">
        <v>13</v>
      </c>
    </row>
    <row r="635" spans="1:10" x14ac:dyDescent="0.2">
      <c r="A635" t="s">
        <v>215</v>
      </c>
      <c r="B635" s="31">
        <v>2</v>
      </c>
      <c r="C635" s="71">
        <v>42119</v>
      </c>
      <c r="D635">
        <v>2.29</v>
      </c>
      <c r="E635">
        <f t="shared" si="4"/>
        <v>4.58</v>
      </c>
      <c r="F635" t="s">
        <v>215</v>
      </c>
      <c r="G635" t="s">
        <v>298</v>
      </c>
      <c r="H635" s="71">
        <v>42104</v>
      </c>
      <c r="I635" t="s">
        <v>749</v>
      </c>
      <c r="J635" t="s">
        <v>13</v>
      </c>
    </row>
    <row r="636" spans="1:10" x14ac:dyDescent="0.2">
      <c r="A636" t="s">
        <v>743</v>
      </c>
      <c r="B636" s="31">
        <v>1</v>
      </c>
      <c r="C636" s="71">
        <v>42119</v>
      </c>
      <c r="D636">
        <v>5.99</v>
      </c>
      <c r="E636">
        <f t="shared" si="4"/>
        <v>5.99</v>
      </c>
      <c r="F636" t="s">
        <v>620</v>
      </c>
      <c r="G636" t="s">
        <v>298</v>
      </c>
      <c r="H636" s="71">
        <v>42104</v>
      </c>
      <c r="I636" t="s">
        <v>749</v>
      </c>
      <c r="J636" t="s">
        <v>13</v>
      </c>
    </row>
    <row r="637" spans="1:10" x14ac:dyDescent="0.2">
      <c r="A637" t="s">
        <v>570</v>
      </c>
      <c r="B637" s="31">
        <v>1</v>
      </c>
      <c r="C637" s="71">
        <v>42119</v>
      </c>
      <c r="D637">
        <v>3.39</v>
      </c>
      <c r="E637">
        <f t="shared" si="4"/>
        <v>3.39</v>
      </c>
      <c r="F637" t="s">
        <v>653</v>
      </c>
      <c r="G637" t="s">
        <v>298</v>
      </c>
      <c r="H637" s="71">
        <v>42104</v>
      </c>
      <c r="I637" t="s">
        <v>749</v>
      </c>
      <c r="J637" t="s">
        <v>13</v>
      </c>
    </row>
    <row r="638" spans="1:10" x14ac:dyDescent="0.2">
      <c r="A638" t="s">
        <v>409</v>
      </c>
      <c r="B638" s="31">
        <v>0.152</v>
      </c>
      <c r="C638" s="71">
        <v>42119</v>
      </c>
      <c r="D638">
        <v>11.5</v>
      </c>
      <c r="E638">
        <f t="shared" si="4"/>
        <v>1.748</v>
      </c>
      <c r="F638" t="s">
        <v>653</v>
      </c>
      <c r="G638" t="s">
        <v>299</v>
      </c>
      <c r="H638" s="71">
        <v>42104</v>
      </c>
      <c r="I638" t="s">
        <v>749</v>
      </c>
      <c r="J638" t="s">
        <v>13</v>
      </c>
    </row>
    <row r="639" spans="1:10" x14ac:dyDescent="0.2">
      <c r="A639" t="s">
        <v>295</v>
      </c>
      <c r="B639" s="31">
        <v>0.16400000000000001</v>
      </c>
      <c r="C639" s="71">
        <v>42119</v>
      </c>
      <c r="D639">
        <v>19.989999999999998</v>
      </c>
      <c r="E639">
        <f t="shared" si="4"/>
        <v>3.2783599999999997</v>
      </c>
      <c r="F639" t="s">
        <v>653</v>
      </c>
      <c r="G639" t="s">
        <v>299</v>
      </c>
      <c r="H639" s="71">
        <v>42104</v>
      </c>
      <c r="I639" t="s">
        <v>749</v>
      </c>
      <c r="J639" t="s">
        <v>13</v>
      </c>
    </row>
    <row r="640" spans="1:10" x14ac:dyDescent="0.2">
      <c r="A640" t="s">
        <v>416</v>
      </c>
      <c r="B640" s="31">
        <v>0.12</v>
      </c>
      <c r="C640" s="71">
        <v>42119</v>
      </c>
      <c r="D640">
        <v>15.9</v>
      </c>
      <c r="E640">
        <f t="shared" si="4"/>
        <v>1.9079999999999999</v>
      </c>
      <c r="F640" t="s">
        <v>653</v>
      </c>
      <c r="G640" t="s">
        <v>299</v>
      </c>
      <c r="H640" s="71">
        <v>42104</v>
      </c>
      <c r="I640" t="s">
        <v>749</v>
      </c>
      <c r="J640" t="s">
        <v>13</v>
      </c>
    </row>
    <row r="641" spans="1:10" x14ac:dyDescent="0.2">
      <c r="A641" t="s">
        <v>215</v>
      </c>
      <c r="B641" s="31">
        <v>1</v>
      </c>
      <c r="C641" s="71">
        <v>42121</v>
      </c>
      <c r="D641">
        <v>2.59</v>
      </c>
      <c r="E641">
        <f t="shared" si="4"/>
        <v>2.59</v>
      </c>
      <c r="F641" t="s">
        <v>215</v>
      </c>
      <c r="G641" t="s">
        <v>298</v>
      </c>
      <c r="H641" s="71">
        <v>42104</v>
      </c>
      <c r="I641" t="s">
        <v>751</v>
      </c>
      <c r="J641" t="s">
        <v>13</v>
      </c>
    </row>
    <row r="642" spans="1:10" x14ac:dyDescent="0.2">
      <c r="A642" t="s">
        <v>732</v>
      </c>
      <c r="B642" s="31">
        <v>1</v>
      </c>
      <c r="C642" s="71">
        <v>42121</v>
      </c>
      <c r="D642">
        <v>0.99</v>
      </c>
      <c r="E642">
        <f t="shared" si="4"/>
        <v>0.99</v>
      </c>
      <c r="F642" t="s">
        <v>732</v>
      </c>
      <c r="G642" t="s">
        <v>298</v>
      </c>
      <c r="H642" s="71">
        <v>42104</v>
      </c>
      <c r="I642" t="s">
        <v>751</v>
      </c>
      <c r="J642" t="s">
        <v>13</v>
      </c>
    </row>
    <row r="643" spans="1:10" x14ac:dyDescent="0.2">
      <c r="A643" t="s">
        <v>244</v>
      </c>
      <c r="B643" s="31">
        <v>2</v>
      </c>
      <c r="C643" s="71">
        <v>42121</v>
      </c>
      <c r="D643">
        <v>1.0900000000000001</v>
      </c>
      <c r="E643">
        <f t="shared" si="4"/>
        <v>2.1800000000000002</v>
      </c>
      <c r="F643" t="s">
        <v>282</v>
      </c>
      <c r="G643" t="s">
        <v>298</v>
      </c>
      <c r="H643" s="71">
        <v>42104</v>
      </c>
      <c r="I643" t="s">
        <v>751</v>
      </c>
      <c r="J643" t="s">
        <v>13</v>
      </c>
    </row>
    <row r="644" spans="1:10" x14ac:dyDescent="0.2">
      <c r="A644" t="s">
        <v>754</v>
      </c>
      <c r="B644" s="31">
        <v>1</v>
      </c>
      <c r="C644" s="71">
        <v>42121</v>
      </c>
      <c r="D644">
        <v>8.99</v>
      </c>
      <c r="E644">
        <f t="shared" si="4"/>
        <v>8.99</v>
      </c>
      <c r="F644" t="s">
        <v>448</v>
      </c>
      <c r="G644" t="s">
        <v>298</v>
      </c>
      <c r="H644" s="71">
        <v>42104</v>
      </c>
      <c r="I644" t="s">
        <v>751</v>
      </c>
      <c r="J644" t="s">
        <v>13</v>
      </c>
    </row>
    <row r="645" spans="1:10" x14ac:dyDescent="0.2">
      <c r="A645" t="s">
        <v>755</v>
      </c>
      <c r="B645" s="31">
        <v>1</v>
      </c>
      <c r="C645" s="71">
        <v>42122</v>
      </c>
      <c r="D645">
        <v>6.48</v>
      </c>
      <c r="E645">
        <f t="shared" si="4"/>
        <v>6.48</v>
      </c>
      <c r="F645" t="s">
        <v>279</v>
      </c>
      <c r="G645" t="s">
        <v>298</v>
      </c>
      <c r="H645" s="71">
        <v>42104</v>
      </c>
      <c r="I645" t="s">
        <v>750</v>
      </c>
      <c r="J645" t="s">
        <v>13</v>
      </c>
    </row>
    <row r="646" spans="1:10" x14ac:dyDescent="0.2">
      <c r="A646" t="s">
        <v>231</v>
      </c>
      <c r="B646" s="31">
        <v>1</v>
      </c>
      <c r="C646" s="71">
        <v>42122</v>
      </c>
      <c r="D646">
        <v>4.9800000000000004</v>
      </c>
      <c r="E646">
        <f t="shared" si="4"/>
        <v>4.9800000000000004</v>
      </c>
      <c r="F646" t="s">
        <v>279</v>
      </c>
      <c r="G646" t="s">
        <v>298</v>
      </c>
      <c r="H646" s="71">
        <v>42104</v>
      </c>
      <c r="I646" t="s">
        <v>750</v>
      </c>
      <c r="J646" t="s">
        <v>13</v>
      </c>
    </row>
    <row r="647" spans="1:10" x14ac:dyDescent="0.2">
      <c r="A647" t="s">
        <v>295</v>
      </c>
      <c r="B647" s="31">
        <v>0.11799999999999999</v>
      </c>
      <c r="C647" s="71">
        <v>42122</v>
      </c>
      <c r="D647">
        <v>21.9</v>
      </c>
      <c r="E647">
        <f t="shared" si="4"/>
        <v>2.5841999999999996</v>
      </c>
      <c r="F647" t="s">
        <v>653</v>
      </c>
      <c r="G647" t="s">
        <v>299</v>
      </c>
      <c r="H647" s="71">
        <v>42104</v>
      </c>
      <c r="I647" t="s">
        <v>750</v>
      </c>
      <c r="J647" t="s">
        <v>13</v>
      </c>
    </row>
    <row r="648" spans="1:10" x14ac:dyDescent="0.2">
      <c r="A648" t="s">
        <v>308</v>
      </c>
      <c r="B648" s="31">
        <v>0.82</v>
      </c>
      <c r="C648" s="71">
        <v>42122</v>
      </c>
      <c r="D648">
        <v>4.9800000000000004</v>
      </c>
      <c r="E648">
        <f t="shared" si="4"/>
        <v>4.0835999999999997</v>
      </c>
      <c r="F648" t="s">
        <v>279</v>
      </c>
      <c r="G648" t="s">
        <v>299</v>
      </c>
      <c r="H648" s="71">
        <v>42104</v>
      </c>
      <c r="I648" t="s">
        <v>750</v>
      </c>
      <c r="J648" t="s">
        <v>13</v>
      </c>
    </row>
    <row r="649" spans="1:10" x14ac:dyDescent="0.2">
      <c r="A649" t="s">
        <v>567</v>
      </c>
      <c r="B649" s="31">
        <v>0.42499999999999999</v>
      </c>
      <c r="C649" s="71">
        <v>42122</v>
      </c>
      <c r="D649">
        <v>7.68</v>
      </c>
      <c r="E649">
        <f t="shared" si="4"/>
        <v>3.2639999999999998</v>
      </c>
      <c r="F649" t="s">
        <v>279</v>
      </c>
      <c r="G649" t="s">
        <v>299</v>
      </c>
      <c r="H649" s="71">
        <v>42104</v>
      </c>
      <c r="I649" t="s">
        <v>750</v>
      </c>
      <c r="J649" t="s">
        <v>13</v>
      </c>
    </row>
    <row r="650" spans="1:10" x14ac:dyDescent="0.2">
      <c r="A650" t="s">
        <v>614</v>
      </c>
      <c r="B650" s="31">
        <v>1</v>
      </c>
      <c r="C650" s="71">
        <v>42122</v>
      </c>
      <c r="D650">
        <v>9.99</v>
      </c>
      <c r="E650">
        <f t="shared" si="4"/>
        <v>9.99</v>
      </c>
      <c r="F650" t="s">
        <v>614</v>
      </c>
      <c r="G650" t="s">
        <v>298</v>
      </c>
      <c r="H650" s="71">
        <v>42104</v>
      </c>
      <c r="I650" t="s">
        <v>750</v>
      </c>
      <c r="J650" t="s">
        <v>13</v>
      </c>
    </row>
    <row r="651" spans="1:10" x14ac:dyDescent="0.2">
      <c r="A651" t="s">
        <v>614</v>
      </c>
      <c r="B651" s="31">
        <v>0.53800000000000003</v>
      </c>
      <c r="C651" s="71">
        <v>42122</v>
      </c>
      <c r="D651">
        <v>12.9</v>
      </c>
      <c r="E651">
        <f t="shared" si="4"/>
        <v>6.9402000000000008</v>
      </c>
      <c r="F651" t="s">
        <v>614</v>
      </c>
      <c r="G651" t="s">
        <v>299</v>
      </c>
      <c r="H651" s="71">
        <v>42104</v>
      </c>
      <c r="I651" t="s">
        <v>750</v>
      </c>
      <c r="J651" t="s">
        <v>13</v>
      </c>
    </row>
    <row r="652" spans="1:10" x14ac:dyDescent="0.2">
      <c r="A652" t="s">
        <v>285</v>
      </c>
      <c r="B652" s="31">
        <v>0.99199999999999999</v>
      </c>
      <c r="C652" s="71">
        <v>42122</v>
      </c>
      <c r="D652">
        <v>24.9</v>
      </c>
      <c r="E652">
        <f t="shared" si="4"/>
        <v>24.700799999999997</v>
      </c>
      <c r="F652" t="s">
        <v>609</v>
      </c>
      <c r="G652" t="s">
        <v>299</v>
      </c>
      <c r="H652" s="71">
        <v>42104</v>
      </c>
      <c r="I652" t="s">
        <v>750</v>
      </c>
      <c r="J652" t="s">
        <v>13</v>
      </c>
    </row>
    <row r="653" spans="1:10" x14ac:dyDescent="0.2">
      <c r="A653" t="s">
        <v>756</v>
      </c>
      <c r="B653" s="31">
        <v>1</v>
      </c>
      <c r="C653" s="71">
        <v>42123</v>
      </c>
      <c r="D653">
        <v>2.89</v>
      </c>
      <c r="E653">
        <f t="shared" si="4"/>
        <v>2.89</v>
      </c>
      <c r="F653" t="s">
        <v>280</v>
      </c>
      <c r="G653" t="s">
        <v>298</v>
      </c>
      <c r="H653" s="71">
        <v>42104</v>
      </c>
      <c r="I653" t="s">
        <v>749</v>
      </c>
      <c r="J653" t="s">
        <v>13</v>
      </c>
    </row>
    <row r="654" spans="1:10" x14ac:dyDescent="0.2">
      <c r="A654" t="s">
        <v>733</v>
      </c>
      <c r="B654" s="31">
        <v>1</v>
      </c>
      <c r="C654" s="71">
        <v>42123</v>
      </c>
      <c r="D654">
        <v>3.79</v>
      </c>
      <c r="E654">
        <f t="shared" si="4"/>
        <v>3.79</v>
      </c>
      <c r="F654" t="s">
        <v>657</v>
      </c>
      <c r="G654" t="s">
        <v>298</v>
      </c>
      <c r="H654" s="71">
        <v>42104</v>
      </c>
      <c r="I654" t="s">
        <v>749</v>
      </c>
      <c r="J654" t="s">
        <v>13</v>
      </c>
    </row>
    <row r="655" spans="1:10" x14ac:dyDescent="0.2">
      <c r="A655" t="s">
        <v>419</v>
      </c>
      <c r="B655" s="31">
        <v>1</v>
      </c>
      <c r="C655" s="71">
        <v>42123</v>
      </c>
      <c r="D655">
        <v>4.6900000000000004</v>
      </c>
      <c r="E655">
        <f t="shared" si="4"/>
        <v>4.6900000000000004</v>
      </c>
      <c r="F655" t="s">
        <v>468</v>
      </c>
      <c r="G655" t="s">
        <v>298</v>
      </c>
      <c r="H655" s="71">
        <v>42104</v>
      </c>
      <c r="I655" t="s">
        <v>749</v>
      </c>
      <c r="J655" t="s">
        <v>13</v>
      </c>
    </row>
    <row r="656" spans="1:10" x14ac:dyDescent="0.2">
      <c r="A656" t="s">
        <v>249</v>
      </c>
      <c r="B656" s="31">
        <v>1</v>
      </c>
      <c r="C656" s="71">
        <v>42123</v>
      </c>
      <c r="D656">
        <v>4.6900000000000004</v>
      </c>
      <c r="E656">
        <f t="shared" si="4"/>
        <v>4.6900000000000004</v>
      </c>
      <c r="F656" t="s">
        <v>468</v>
      </c>
      <c r="G656" t="s">
        <v>298</v>
      </c>
      <c r="H656" s="71">
        <v>42104</v>
      </c>
      <c r="I656" t="s">
        <v>749</v>
      </c>
      <c r="J656" t="s">
        <v>13</v>
      </c>
    </row>
    <row r="657" spans="1:10" x14ac:dyDescent="0.2">
      <c r="A657" t="s">
        <v>295</v>
      </c>
      <c r="B657" s="31">
        <v>0.39200000000000002</v>
      </c>
      <c r="C657" s="71">
        <v>42123</v>
      </c>
      <c r="D657">
        <v>23.19</v>
      </c>
      <c r="E657">
        <f t="shared" si="4"/>
        <v>9.0904800000000012</v>
      </c>
      <c r="F657" t="s">
        <v>653</v>
      </c>
      <c r="G657" t="s">
        <v>299</v>
      </c>
      <c r="H657" s="71">
        <v>42104</v>
      </c>
      <c r="I657" t="s">
        <v>749</v>
      </c>
      <c r="J657" t="s">
        <v>13</v>
      </c>
    </row>
    <row r="658" spans="1:10" x14ac:dyDescent="0.2">
      <c r="A658" t="s">
        <v>294</v>
      </c>
      <c r="B658" s="31">
        <v>0.252</v>
      </c>
      <c r="C658" s="71">
        <v>42123</v>
      </c>
      <c r="D658">
        <v>20.350000000000001</v>
      </c>
      <c r="E658">
        <f t="shared" si="4"/>
        <v>5.1282000000000005</v>
      </c>
      <c r="F658" t="s">
        <v>653</v>
      </c>
      <c r="G658" t="s">
        <v>299</v>
      </c>
      <c r="H658" s="71">
        <v>42104</v>
      </c>
      <c r="I658" t="s">
        <v>749</v>
      </c>
      <c r="J658" t="s">
        <v>13</v>
      </c>
    </row>
    <row r="659" spans="1:10" x14ac:dyDescent="0.2">
      <c r="A659" t="s">
        <v>215</v>
      </c>
      <c r="B659" s="31">
        <v>1</v>
      </c>
      <c r="C659" s="71">
        <v>42123</v>
      </c>
      <c r="D659">
        <v>2.4900000000000002</v>
      </c>
      <c r="E659">
        <f t="shared" si="4"/>
        <v>2.4900000000000002</v>
      </c>
      <c r="F659" t="s">
        <v>215</v>
      </c>
      <c r="G659" t="s">
        <v>298</v>
      </c>
      <c r="H659" s="71">
        <v>42104</v>
      </c>
      <c r="I659" t="s">
        <v>749</v>
      </c>
      <c r="J659" t="s">
        <v>13</v>
      </c>
    </row>
    <row r="660" spans="1:10" x14ac:dyDescent="0.2">
      <c r="A660" t="s">
        <v>702</v>
      </c>
      <c r="B660" s="31">
        <v>1</v>
      </c>
      <c r="C660" s="71">
        <v>42123</v>
      </c>
      <c r="D660">
        <v>1.99</v>
      </c>
      <c r="E660">
        <f t="shared" si="4"/>
        <v>1.99</v>
      </c>
      <c r="F660" t="s">
        <v>702</v>
      </c>
      <c r="G660" t="s">
        <v>298</v>
      </c>
      <c r="H660" s="71">
        <v>42104</v>
      </c>
      <c r="I660" t="s">
        <v>749</v>
      </c>
      <c r="J660" t="s">
        <v>13</v>
      </c>
    </row>
    <row r="661" spans="1:10" x14ac:dyDescent="0.2">
      <c r="A661" t="s">
        <v>558</v>
      </c>
      <c r="B661" s="31">
        <v>1</v>
      </c>
      <c r="C661" s="71">
        <v>42123</v>
      </c>
      <c r="D661">
        <v>2.99</v>
      </c>
      <c r="E661">
        <f t="shared" si="4"/>
        <v>2.99</v>
      </c>
      <c r="F661" t="s">
        <v>465</v>
      </c>
      <c r="G661" t="s">
        <v>298</v>
      </c>
      <c r="H661" s="71">
        <v>42104</v>
      </c>
      <c r="I661" t="s">
        <v>749</v>
      </c>
      <c r="J661" t="s">
        <v>13</v>
      </c>
    </row>
    <row r="662" spans="1:10" x14ac:dyDescent="0.2">
      <c r="A662" t="s">
        <v>429</v>
      </c>
      <c r="B662" s="31">
        <v>1</v>
      </c>
      <c r="C662" s="71">
        <v>42123</v>
      </c>
      <c r="D662">
        <v>5.29</v>
      </c>
      <c r="E662">
        <f t="shared" si="4"/>
        <v>5.29</v>
      </c>
      <c r="F662" t="s">
        <v>465</v>
      </c>
      <c r="G662" t="s">
        <v>298</v>
      </c>
      <c r="H662" s="71">
        <v>42104</v>
      </c>
      <c r="I662" t="s">
        <v>749</v>
      </c>
      <c r="J662" t="s">
        <v>13</v>
      </c>
    </row>
    <row r="663" spans="1:10" x14ac:dyDescent="0.2">
      <c r="A663" t="s">
        <v>757</v>
      </c>
      <c r="B663" s="31">
        <v>1</v>
      </c>
      <c r="C663" s="71">
        <v>42123</v>
      </c>
      <c r="D663">
        <v>4.49</v>
      </c>
      <c r="E663">
        <f t="shared" si="4"/>
        <v>4.49</v>
      </c>
      <c r="F663" t="s">
        <v>757</v>
      </c>
      <c r="G663" t="s">
        <v>298</v>
      </c>
      <c r="H663" s="71">
        <v>42104</v>
      </c>
      <c r="I663" t="s">
        <v>749</v>
      </c>
      <c r="J663" t="s">
        <v>13</v>
      </c>
    </row>
    <row r="664" spans="1:10" x14ac:dyDescent="0.2">
      <c r="A664" t="s">
        <v>256</v>
      </c>
      <c r="B664" s="31">
        <v>1</v>
      </c>
      <c r="C664" s="71">
        <v>42123</v>
      </c>
      <c r="D664">
        <v>4.49</v>
      </c>
      <c r="E664">
        <f t="shared" si="4"/>
        <v>4.49</v>
      </c>
      <c r="F664" t="s">
        <v>448</v>
      </c>
      <c r="G664" t="s">
        <v>298</v>
      </c>
      <c r="H664" s="71">
        <v>42104</v>
      </c>
      <c r="I664" t="s">
        <v>749</v>
      </c>
      <c r="J664" t="s">
        <v>13</v>
      </c>
    </row>
    <row r="665" spans="1:10" x14ac:dyDescent="0.2">
      <c r="A665" t="s">
        <v>657</v>
      </c>
      <c r="B665" s="31">
        <v>0.27800000000000002</v>
      </c>
      <c r="C665" s="71">
        <v>42126</v>
      </c>
      <c r="D665">
        <v>7.99</v>
      </c>
      <c r="E665">
        <f t="shared" si="4"/>
        <v>2.2212200000000002</v>
      </c>
      <c r="F665" t="s">
        <v>657</v>
      </c>
      <c r="G665" t="s">
        <v>299</v>
      </c>
      <c r="H665" s="71">
        <v>42104</v>
      </c>
      <c r="I665" t="s">
        <v>748</v>
      </c>
      <c r="J665" t="s">
        <v>13</v>
      </c>
    </row>
    <row r="666" spans="1:10" x14ac:dyDescent="0.2">
      <c r="A666" t="s">
        <v>570</v>
      </c>
      <c r="B666" s="31">
        <v>1</v>
      </c>
      <c r="C666" s="71">
        <v>42126</v>
      </c>
      <c r="D666">
        <v>3.59</v>
      </c>
      <c r="E666">
        <f t="shared" si="4"/>
        <v>3.59</v>
      </c>
      <c r="F666" t="s">
        <v>653</v>
      </c>
      <c r="G666" t="s">
        <v>298</v>
      </c>
      <c r="H666" s="71">
        <v>42104</v>
      </c>
      <c r="I666" t="s">
        <v>748</v>
      </c>
      <c r="J666" t="s">
        <v>13</v>
      </c>
    </row>
    <row r="667" spans="1:10" x14ac:dyDescent="0.2">
      <c r="A667" t="s">
        <v>780</v>
      </c>
      <c r="B667" s="31">
        <v>0.124</v>
      </c>
      <c r="C667" s="71">
        <v>42126</v>
      </c>
      <c r="D667">
        <v>10.57</v>
      </c>
      <c r="E667">
        <f t="shared" si="4"/>
        <v>1.3106800000000001</v>
      </c>
      <c r="F667" t="s">
        <v>614</v>
      </c>
      <c r="G667" t="s">
        <v>299</v>
      </c>
      <c r="H667" s="71">
        <v>42104</v>
      </c>
      <c r="I667" t="s">
        <v>748</v>
      </c>
      <c r="J667" t="s">
        <v>13</v>
      </c>
    </row>
    <row r="668" spans="1:10" x14ac:dyDescent="0.2">
      <c r="A668" t="s">
        <v>295</v>
      </c>
      <c r="B668" s="31">
        <v>0.156</v>
      </c>
      <c r="C668" s="71">
        <v>42126</v>
      </c>
      <c r="D668">
        <v>21.99</v>
      </c>
      <c r="E668">
        <f t="shared" si="4"/>
        <v>3.4304399999999999</v>
      </c>
      <c r="F668" t="s">
        <v>653</v>
      </c>
      <c r="G668" t="s">
        <v>299</v>
      </c>
      <c r="H668" s="71">
        <v>42104</v>
      </c>
      <c r="I668" t="s">
        <v>748</v>
      </c>
      <c r="J668" t="s">
        <v>13</v>
      </c>
    </row>
    <row r="669" spans="1:10" x14ac:dyDescent="0.2">
      <c r="A669" t="s">
        <v>215</v>
      </c>
      <c r="B669" s="31">
        <v>1</v>
      </c>
      <c r="C669" s="71">
        <v>42126</v>
      </c>
      <c r="D669">
        <v>2.85</v>
      </c>
      <c r="E669">
        <f t="shared" si="4"/>
        <v>2.85</v>
      </c>
      <c r="F669" t="s">
        <v>215</v>
      </c>
      <c r="G669" t="s">
        <v>298</v>
      </c>
      <c r="H669" s="71">
        <v>42104</v>
      </c>
      <c r="I669" t="s">
        <v>748</v>
      </c>
      <c r="J669" t="s">
        <v>13</v>
      </c>
    </row>
    <row r="670" spans="1:10" x14ac:dyDescent="0.2">
      <c r="A670" t="s">
        <v>215</v>
      </c>
      <c r="B670" s="31">
        <v>2</v>
      </c>
      <c r="C670" s="71">
        <v>42128</v>
      </c>
      <c r="D670">
        <v>2.85</v>
      </c>
      <c r="E670">
        <f t="shared" si="4"/>
        <v>5.7</v>
      </c>
      <c r="F670" t="s">
        <v>215</v>
      </c>
      <c r="G670" t="s">
        <v>298</v>
      </c>
      <c r="H670" s="71">
        <v>42104</v>
      </c>
      <c r="I670" t="s">
        <v>748</v>
      </c>
      <c r="J670" t="s">
        <v>13</v>
      </c>
    </row>
    <row r="671" spans="1:10" x14ac:dyDescent="0.2">
      <c r="A671" t="s">
        <v>708</v>
      </c>
      <c r="B671" s="31">
        <v>0.45</v>
      </c>
      <c r="C671" s="71">
        <v>42128</v>
      </c>
      <c r="D671">
        <v>21.3</v>
      </c>
      <c r="E671">
        <f t="shared" si="4"/>
        <v>9.5850000000000009</v>
      </c>
      <c r="F671" t="s">
        <v>609</v>
      </c>
      <c r="G671" t="s">
        <v>299</v>
      </c>
      <c r="H671" s="71">
        <v>42104</v>
      </c>
      <c r="I671" t="s">
        <v>748</v>
      </c>
      <c r="J671" t="s">
        <v>13</v>
      </c>
    </row>
    <row r="672" spans="1:10" x14ac:dyDescent="0.2">
      <c r="A672" t="s">
        <v>781</v>
      </c>
      <c r="B672" s="31">
        <v>0.72799999999999998</v>
      </c>
      <c r="C672" s="71">
        <v>42128</v>
      </c>
      <c r="D672">
        <v>16.899999999999999</v>
      </c>
      <c r="E672">
        <f t="shared" si="4"/>
        <v>12.303199999999999</v>
      </c>
      <c r="F672" t="s">
        <v>609</v>
      </c>
      <c r="G672" t="s">
        <v>299</v>
      </c>
      <c r="H672" s="71">
        <v>42104</v>
      </c>
      <c r="I672" t="s">
        <v>748</v>
      </c>
      <c r="J672" t="s">
        <v>13</v>
      </c>
    </row>
    <row r="673" spans="1:10" x14ac:dyDescent="0.2">
      <c r="A673" t="s">
        <v>468</v>
      </c>
      <c r="B673" s="31">
        <v>1</v>
      </c>
      <c r="C673" s="71">
        <v>42128</v>
      </c>
      <c r="D673">
        <v>5.49</v>
      </c>
      <c r="E673">
        <f t="shared" si="4"/>
        <v>5.49</v>
      </c>
      <c r="F673" t="s">
        <v>468</v>
      </c>
      <c r="G673" t="s">
        <v>298</v>
      </c>
      <c r="H673" s="71">
        <v>42104</v>
      </c>
      <c r="I673" t="s">
        <v>748</v>
      </c>
      <c r="J673" t="s">
        <v>13</v>
      </c>
    </row>
    <row r="674" spans="1:10" x14ac:dyDescent="0.2">
      <c r="A674" t="s">
        <v>657</v>
      </c>
      <c r="B674" s="31">
        <v>1</v>
      </c>
      <c r="C674" s="71">
        <v>42128</v>
      </c>
      <c r="D674">
        <v>5.62</v>
      </c>
      <c r="E674">
        <f t="shared" si="4"/>
        <v>5.62</v>
      </c>
      <c r="F674" t="s">
        <v>657</v>
      </c>
      <c r="G674" t="s">
        <v>298</v>
      </c>
      <c r="H674" s="71">
        <v>42104</v>
      </c>
      <c r="I674" t="s">
        <v>748</v>
      </c>
      <c r="J674" t="s">
        <v>13</v>
      </c>
    </row>
    <row r="675" spans="1:10" x14ac:dyDescent="0.2">
      <c r="A675" t="s">
        <v>294</v>
      </c>
      <c r="B675" s="31">
        <v>0.192</v>
      </c>
      <c r="C675" s="71">
        <v>42128</v>
      </c>
      <c r="D675">
        <v>18.899999999999999</v>
      </c>
      <c r="E675">
        <f t="shared" si="4"/>
        <v>3.6287999999999996</v>
      </c>
      <c r="F675" t="s">
        <v>653</v>
      </c>
      <c r="G675" t="s">
        <v>299</v>
      </c>
      <c r="H675" s="71">
        <v>42104</v>
      </c>
      <c r="I675" t="s">
        <v>748</v>
      </c>
      <c r="J675" t="s">
        <v>13</v>
      </c>
    </row>
    <row r="676" spans="1:10" x14ac:dyDescent="0.2">
      <c r="A676" t="s">
        <v>296</v>
      </c>
      <c r="B676" s="31">
        <v>0.17399999999999999</v>
      </c>
      <c r="C676" s="71">
        <v>42128</v>
      </c>
      <c r="D676">
        <v>39.99</v>
      </c>
      <c r="E676">
        <f t="shared" si="4"/>
        <v>6.9582600000000001</v>
      </c>
      <c r="F676" t="s">
        <v>653</v>
      </c>
      <c r="G676" t="s">
        <v>299</v>
      </c>
      <c r="H676" s="71">
        <v>42104</v>
      </c>
      <c r="I676" t="s">
        <v>748</v>
      </c>
      <c r="J676" t="s">
        <v>13</v>
      </c>
    </row>
    <row r="677" spans="1:10" x14ac:dyDescent="0.2">
      <c r="A677" t="s">
        <v>706</v>
      </c>
      <c r="B677" s="31">
        <v>1</v>
      </c>
      <c r="C677" s="71">
        <v>42128</v>
      </c>
      <c r="D677">
        <v>8.7899999999999991</v>
      </c>
      <c r="E677">
        <f t="shared" si="4"/>
        <v>8.7899999999999991</v>
      </c>
      <c r="F677" t="s">
        <v>615</v>
      </c>
      <c r="G677" t="s">
        <v>299</v>
      </c>
      <c r="H677" s="71">
        <v>42104</v>
      </c>
      <c r="I677" t="s">
        <v>748</v>
      </c>
      <c r="J677" t="s">
        <v>13</v>
      </c>
    </row>
    <row r="678" spans="1:10" x14ac:dyDescent="0.2">
      <c r="A678" t="s">
        <v>782</v>
      </c>
      <c r="B678" s="31">
        <v>0.35199999999999998</v>
      </c>
      <c r="C678" s="71">
        <v>42128</v>
      </c>
      <c r="D678">
        <v>47.99</v>
      </c>
      <c r="E678">
        <f t="shared" si="4"/>
        <v>16.892479999999999</v>
      </c>
      <c r="F678" t="s">
        <v>784</v>
      </c>
      <c r="G678" t="s">
        <v>299</v>
      </c>
      <c r="H678" s="71">
        <v>42104</v>
      </c>
      <c r="I678" t="s">
        <v>748</v>
      </c>
      <c r="J678" t="s">
        <v>13</v>
      </c>
    </row>
    <row r="679" spans="1:10" x14ac:dyDescent="0.2">
      <c r="A679" t="s">
        <v>783</v>
      </c>
      <c r="B679" s="31">
        <v>0.29799999999999999</v>
      </c>
      <c r="C679" s="71">
        <v>42128</v>
      </c>
      <c r="D679">
        <v>35.5</v>
      </c>
      <c r="E679">
        <f t="shared" si="4"/>
        <v>10.578999999999999</v>
      </c>
      <c r="F679" t="s">
        <v>784</v>
      </c>
      <c r="G679" t="s">
        <v>299</v>
      </c>
      <c r="H679" s="71">
        <v>42104</v>
      </c>
      <c r="I679" t="s">
        <v>748</v>
      </c>
      <c r="J679" t="s">
        <v>13</v>
      </c>
    </row>
    <row r="680" spans="1:10" x14ac:dyDescent="0.2">
      <c r="A680" t="s">
        <v>785</v>
      </c>
      <c r="B680" s="31">
        <v>2</v>
      </c>
      <c r="C680" s="71">
        <v>42132</v>
      </c>
      <c r="D680">
        <v>7.19</v>
      </c>
      <c r="E680">
        <f t="shared" si="4"/>
        <v>14.38</v>
      </c>
      <c r="F680" t="s">
        <v>322</v>
      </c>
      <c r="G680" t="s">
        <v>298</v>
      </c>
      <c r="H680" s="71">
        <v>42134</v>
      </c>
      <c r="I680" t="s">
        <v>749</v>
      </c>
      <c r="J680" t="s">
        <v>13</v>
      </c>
    </row>
    <row r="681" spans="1:10" x14ac:dyDescent="0.2">
      <c r="A681" t="s">
        <v>244</v>
      </c>
      <c r="B681" s="31">
        <v>2</v>
      </c>
      <c r="C681" s="71">
        <v>42132</v>
      </c>
      <c r="D681">
        <v>1.29</v>
      </c>
      <c r="E681">
        <f t="shared" si="4"/>
        <v>2.58</v>
      </c>
      <c r="F681" t="s">
        <v>282</v>
      </c>
      <c r="G681" t="s">
        <v>298</v>
      </c>
      <c r="H681" s="71">
        <v>42134</v>
      </c>
      <c r="I681" t="s">
        <v>749</v>
      </c>
      <c r="J681" t="s">
        <v>13</v>
      </c>
    </row>
    <row r="682" spans="1:10" x14ac:dyDescent="0.2">
      <c r="A682" t="s">
        <v>442</v>
      </c>
      <c r="B682" s="31">
        <v>3</v>
      </c>
      <c r="C682" s="71">
        <v>42132</v>
      </c>
      <c r="D682">
        <v>1.79</v>
      </c>
      <c r="E682">
        <f t="shared" si="4"/>
        <v>5.37</v>
      </c>
      <c r="F682" t="s">
        <v>322</v>
      </c>
      <c r="G682" t="s">
        <v>298</v>
      </c>
      <c r="H682" s="71">
        <v>42134</v>
      </c>
      <c r="I682" t="s">
        <v>749</v>
      </c>
      <c r="J682" t="s">
        <v>13</v>
      </c>
    </row>
    <row r="683" spans="1:10" x14ac:dyDescent="0.2">
      <c r="A683" t="s">
        <v>786</v>
      </c>
      <c r="B683" s="31">
        <v>2</v>
      </c>
      <c r="C683" s="71">
        <v>42132</v>
      </c>
      <c r="D683">
        <v>1.79</v>
      </c>
      <c r="E683">
        <f t="shared" si="4"/>
        <v>3.58</v>
      </c>
      <c r="F683" t="s">
        <v>322</v>
      </c>
      <c r="G683" t="s">
        <v>298</v>
      </c>
      <c r="H683" s="71">
        <v>42134</v>
      </c>
      <c r="I683" t="s">
        <v>749</v>
      </c>
      <c r="J683" t="s">
        <v>13</v>
      </c>
    </row>
    <row r="684" spans="1:10" x14ac:dyDescent="0.2">
      <c r="A684" t="s">
        <v>787</v>
      </c>
      <c r="B684" s="31">
        <v>1</v>
      </c>
      <c r="C684" s="71">
        <v>42132</v>
      </c>
      <c r="D684">
        <v>3.69</v>
      </c>
      <c r="E684">
        <f t="shared" si="4"/>
        <v>3.69</v>
      </c>
      <c r="F684" t="s">
        <v>282</v>
      </c>
      <c r="G684" t="s">
        <v>298</v>
      </c>
      <c r="H684" s="71">
        <v>42134</v>
      </c>
      <c r="I684" t="s">
        <v>749</v>
      </c>
      <c r="J684" t="s">
        <v>13</v>
      </c>
    </row>
    <row r="685" spans="1:10" x14ac:dyDescent="0.2">
      <c r="A685" t="s">
        <v>661</v>
      </c>
      <c r="B685" s="31">
        <v>1</v>
      </c>
      <c r="C685" s="71">
        <v>42132</v>
      </c>
      <c r="D685">
        <v>3.99</v>
      </c>
      <c r="E685">
        <f t="shared" si="4"/>
        <v>3.99</v>
      </c>
      <c r="F685" t="s">
        <v>661</v>
      </c>
      <c r="G685" t="s">
        <v>298</v>
      </c>
      <c r="H685" s="71">
        <v>42134</v>
      </c>
      <c r="I685" t="s">
        <v>749</v>
      </c>
      <c r="J685" t="s">
        <v>13</v>
      </c>
    </row>
    <row r="686" spans="1:10" x14ac:dyDescent="0.2">
      <c r="A686" t="s">
        <v>468</v>
      </c>
      <c r="B686" s="31">
        <v>1</v>
      </c>
      <c r="C686" s="71">
        <v>42132</v>
      </c>
      <c r="D686">
        <v>4.5999999999999996</v>
      </c>
      <c r="E686">
        <f t="shared" si="4"/>
        <v>4.5999999999999996</v>
      </c>
      <c r="F686" t="s">
        <v>468</v>
      </c>
      <c r="G686" t="s">
        <v>298</v>
      </c>
      <c r="H686" s="71">
        <v>42134</v>
      </c>
      <c r="I686" t="s">
        <v>749</v>
      </c>
      <c r="J686" t="s">
        <v>13</v>
      </c>
    </row>
    <row r="687" spans="1:10" x14ac:dyDescent="0.2">
      <c r="A687" t="s">
        <v>215</v>
      </c>
      <c r="B687" s="31">
        <v>1</v>
      </c>
      <c r="C687" s="71">
        <v>42132</v>
      </c>
      <c r="D687">
        <v>2.4900000000000002</v>
      </c>
      <c r="E687">
        <f t="shared" si="4"/>
        <v>2.4900000000000002</v>
      </c>
      <c r="F687" t="s">
        <v>215</v>
      </c>
      <c r="G687" t="s">
        <v>298</v>
      </c>
      <c r="H687" s="71">
        <v>42134</v>
      </c>
      <c r="I687" t="s">
        <v>749</v>
      </c>
      <c r="J687" t="s">
        <v>13</v>
      </c>
    </row>
    <row r="688" spans="1:10" x14ac:dyDescent="0.2">
      <c r="A688" t="s">
        <v>788</v>
      </c>
      <c r="B688" s="31">
        <v>1</v>
      </c>
      <c r="C688" s="71">
        <v>42132</v>
      </c>
      <c r="D688">
        <v>5.79</v>
      </c>
      <c r="E688">
        <f t="shared" si="4"/>
        <v>5.79</v>
      </c>
      <c r="F688" t="s">
        <v>267</v>
      </c>
      <c r="G688" t="s">
        <v>298</v>
      </c>
      <c r="H688" s="71">
        <v>42134</v>
      </c>
      <c r="I688" t="s">
        <v>749</v>
      </c>
      <c r="J688" t="s">
        <v>13</v>
      </c>
    </row>
    <row r="689" spans="1:10" x14ac:dyDescent="0.2">
      <c r="A689" t="s">
        <v>657</v>
      </c>
      <c r="B689" s="31">
        <v>1</v>
      </c>
      <c r="C689" s="71">
        <v>42132</v>
      </c>
      <c r="D689">
        <v>3.79</v>
      </c>
      <c r="E689">
        <f t="shared" si="4"/>
        <v>3.79</v>
      </c>
      <c r="F689" t="s">
        <v>657</v>
      </c>
      <c r="G689" t="s">
        <v>298</v>
      </c>
      <c r="H689" s="71">
        <v>42134</v>
      </c>
      <c r="I689" t="s">
        <v>749</v>
      </c>
      <c r="J689" t="s">
        <v>13</v>
      </c>
    </row>
    <row r="690" spans="1:10" x14ac:dyDescent="0.2">
      <c r="A690" t="s">
        <v>415</v>
      </c>
      <c r="B690" s="31">
        <v>1</v>
      </c>
      <c r="C690" s="71">
        <v>42132</v>
      </c>
      <c r="D690">
        <v>4.99</v>
      </c>
      <c r="E690">
        <f t="shared" si="4"/>
        <v>4.99</v>
      </c>
      <c r="F690" t="s">
        <v>304</v>
      </c>
      <c r="G690" t="s">
        <v>298</v>
      </c>
      <c r="H690" s="71">
        <v>42134</v>
      </c>
      <c r="I690" t="s">
        <v>749</v>
      </c>
      <c r="J690" t="s">
        <v>13</v>
      </c>
    </row>
    <row r="691" spans="1:10" x14ac:dyDescent="0.2">
      <c r="A691" t="s">
        <v>789</v>
      </c>
      <c r="B691" s="31">
        <v>0.40200000000000002</v>
      </c>
      <c r="C691" s="71">
        <v>42132</v>
      </c>
      <c r="D691">
        <v>13.9</v>
      </c>
      <c r="E691">
        <f t="shared" si="4"/>
        <v>5.5878000000000005</v>
      </c>
      <c r="F691" t="s">
        <v>657</v>
      </c>
      <c r="G691" t="s">
        <v>299</v>
      </c>
      <c r="H691" s="71">
        <v>42134</v>
      </c>
      <c r="I691" t="s">
        <v>749</v>
      </c>
      <c r="J691" t="s">
        <v>13</v>
      </c>
    </row>
    <row r="692" spans="1:10" x14ac:dyDescent="0.2">
      <c r="A692" t="s">
        <v>790</v>
      </c>
      <c r="B692" s="31">
        <v>1</v>
      </c>
      <c r="C692" s="71">
        <v>42132</v>
      </c>
      <c r="D692">
        <v>3.97</v>
      </c>
      <c r="E692">
        <f t="shared" si="4"/>
        <v>3.97</v>
      </c>
      <c r="F692" t="s">
        <v>790</v>
      </c>
      <c r="G692" t="s">
        <v>298</v>
      </c>
      <c r="H692" s="71">
        <v>42134</v>
      </c>
      <c r="I692" t="s">
        <v>749</v>
      </c>
      <c r="J692" t="s">
        <v>13</v>
      </c>
    </row>
    <row r="693" spans="1:10" x14ac:dyDescent="0.2">
      <c r="A693" t="s">
        <v>416</v>
      </c>
      <c r="B693" s="31">
        <v>0.19600000000000001</v>
      </c>
      <c r="C693" s="71">
        <v>42132</v>
      </c>
      <c r="D693">
        <v>20.99</v>
      </c>
      <c r="E693">
        <f t="shared" si="4"/>
        <v>4.1140400000000001</v>
      </c>
      <c r="F693" t="s">
        <v>653</v>
      </c>
      <c r="G693" t="s">
        <v>299</v>
      </c>
      <c r="H693" s="71">
        <v>42134</v>
      </c>
      <c r="I693" t="s">
        <v>749</v>
      </c>
      <c r="J693" t="s">
        <v>13</v>
      </c>
    </row>
    <row r="694" spans="1:10" x14ac:dyDescent="0.2">
      <c r="A694" t="s">
        <v>295</v>
      </c>
      <c r="B694" s="31">
        <v>0.216</v>
      </c>
      <c r="C694" s="71">
        <v>42132</v>
      </c>
      <c r="D694">
        <v>23.89</v>
      </c>
      <c r="E694">
        <f t="shared" si="4"/>
        <v>5.1602399999999999</v>
      </c>
      <c r="F694" t="s">
        <v>653</v>
      </c>
      <c r="G694" t="s">
        <v>299</v>
      </c>
      <c r="H694" s="71">
        <v>42134</v>
      </c>
      <c r="I694" t="s">
        <v>749</v>
      </c>
      <c r="J694" t="s">
        <v>13</v>
      </c>
    </row>
    <row r="695" spans="1:10" x14ac:dyDescent="0.2">
      <c r="A695" t="s">
        <v>434</v>
      </c>
      <c r="B695" s="31">
        <v>1</v>
      </c>
      <c r="C695" s="71">
        <v>42132</v>
      </c>
      <c r="D695">
        <v>6.99</v>
      </c>
      <c r="E695">
        <f t="shared" si="4"/>
        <v>6.99</v>
      </c>
      <c r="F695" t="s">
        <v>667</v>
      </c>
      <c r="G695" t="s">
        <v>298</v>
      </c>
      <c r="H695" s="71">
        <v>42134</v>
      </c>
      <c r="I695" t="s">
        <v>749</v>
      </c>
      <c r="J695" t="s">
        <v>13</v>
      </c>
    </row>
    <row r="696" spans="1:10" x14ac:dyDescent="0.2">
      <c r="A696" t="s">
        <v>269</v>
      </c>
      <c r="B696" s="31">
        <v>1</v>
      </c>
      <c r="C696" s="71">
        <v>42132</v>
      </c>
      <c r="D696">
        <v>4.99</v>
      </c>
      <c r="E696">
        <f t="shared" si="4"/>
        <v>4.99</v>
      </c>
      <c r="F696" t="s">
        <v>269</v>
      </c>
      <c r="G696" t="s">
        <v>298</v>
      </c>
      <c r="H696" s="71">
        <v>42134</v>
      </c>
      <c r="I696" t="s">
        <v>749</v>
      </c>
      <c r="J696" t="s">
        <v>13</v>
      </c>
    </row>
    <row r="697" spans="1:10" x14ac:dyDescent="0.2">
      <c r="A697" t="s">
        <v>231</v>
      </c>
      <c r="B697" s="31">
        <v>1</v>
      </c>
      <c r="C697" s="71">
        <v>42136</v>
      </c>
      <c r="D697">
        <v>2.99</v>
      </c>
      <c r="E697">
        <f t="shared" si="4"/>
        <v>2.99</v>
      </c>
      <c r="F697" t="s">
        <v>279</v>
      </c>
      <c r="G697" t="s">
        <v>298</v>
      </c>
      <c r="H697" s="71">
        <v>42134</v>
      </c>
      <c r="I697" t="s">
        <v>749</v>
      </c>
      <c r="J697" t="s">
        <v>13</v>
      </c>
    </row>
    <row r="698" spans="1:10" x14ac:dyDescent="0.2">
      <c r="A698" t="s">
        <v>657</v>
      </c>
      <c r="B698" s="31">
        <v>0.24199999999999999</v>
      </c>
      <c r="C698" s="71">
        <v>42136</v>
      </c>
      <c r="D698">
        <v>9.59</v>
      </c>
      <c r="E698">
        <f t="shared" si="4"/>
        <v>2.3207800000000001</v>
      </c>
      <c r="F698" t="s">
        <v>657</v>
      </c>
      <c r="G698" t="s">
        <v>299</v>
      </c>
      <c r="H698" s="71">
        <v>42134</v>
      </c>
      <c r="I698" t="s">
        <v>749</v>
      </c>
      <c r="J698" t="s">
        <v>13</v>
      </c>
    </row>
    <row r="699" spans="1:10" x14ac:dyDescent="0.2">
      <c r="A699" t="s">
        <v>657</v>
      </c>
      <c r="B699" s="31">
        <v>1</v>
      </c>
      <c r="C699" s="71">
        <v>42136</v>
      </c>
      <c r="D699">
        <v>6.59</v>
      </c>
      <c r="E699">
        <f t="shared" si="4"/>
        <v>6.59</v>
      </c>
      <c r="F699" t="s">
        <v>657</v>
      </c>
      <c r="G699" t="s">
        <v>298</v>
      </c>
      <c r="H699" s="71">
        <v>42134</v>
      </c>
      <c r="I699" t="s">
        <v>749</v>
      </c>
      <c r="J699" t="s">
        <v>13</v>
      </c>
    </row>
    <row r="700" spans="1:10" x14ac:dyDescent="0.2">
      <c r="A700" t="s">
        <v>737</v>
      </c>
      <c r="B700" s="31">
        <v>1</v>
      </c>
      <c r="C700" s="71">
        <v>42136</v>
      </c>
      <c r="D700">
        <v>2.99</v>
      </c>
      <c r="E700">
        <f t="shared" si="4"/>
        <v>2.99</v>
      </c>
      <c r="F700" t="s">
        <v>737</v>
      </c>
      <c r="G700" t="s">
        <v>298</v>
      </c>
      <c r="H700" s="71">
        <v>42134</v>
      </c>
      <c r="I700" t="s">
        <v>749</v>
      </c>
      <c r="J700" t="s">
        <v>13</v>
      </c>
    </row>
    <row r="701" spans="1:10" x14ac:dyDescent="0.2">
      <c r="A701" t="s">
        <v>468</v>
      </c>
      <c r="B701" s="31">
        <v>1</v>
      </c>
      <c r="C701" s="71">
        <v>42136</v>
      </c>
      <c r="D701">
        <v>4.6900000000000004</v>
      </c>
      <c r="E701">
        <f t="shared" si="4"/>
        <v>4.6900000000000004</v>
      </c>
      <c r="F701" t="s">
        <v>468</v>
      </c>
      <c r="G701" t="s">
        <v>298</v>
      </c>
      <c r="H701" s="71">
        <v>42134</v>
      </c>
      <c r="I701" t="s">
        <v>749</v>
      </c>
      <c r="J701" t="s">
        <v>13</v>
      </c>
    </row>
    <row r="702" spans="1:10" x14ac:dyDescent="0.2">
      <c r="A702" t="s">
        <v>215</v>
      </c>
      <c r="B702" s="31">
        <v>1</v>
      </c>
      <c r="C702" s="71">
        <v>42136</v>
      </c>
      <c r="D702">
        <v>2.69</v>
      </c>
      <c r="E702">
        <f t="shared" si="4"/>
        <v>2.69</v>
      </c>
      <c r="F702" t="s">
        <v>215</v>
      </c>
      <c r="G702" t="s">
        <v>298</v>
      </c>
      <c r="H702" s="71">
        <v>42134</v>
      </c>
      <c r="I702" t="s">
        <v>749</v>
      </c>
      <c r="J702" t="s">
        <v>13</v>
      </c>
    </row>
    <row r="703" spans="1:10" x14ac:dyDescent="0.2">
      <c r="A703" t="s">
        <v>215</v>
      </c>
      <c r="B703" s="31">
        <v>1</v>
      </c>
      <c r="C703" s="71">
        <v>42136</v>
      </c>
      <c r="D703">
        <v>2.89</v>
      </c>
      <c r="E703">
        <f t="shared" si="4"/>
        <v>2.89</v>
      </c>
      <c r="F703" t="s">
        <v>215</v>
      </c>
      <c r="G703" t="s">
        <v>298</v>
      </c>
      <c r="H703" s="71">
        <v>42134</v>
      </c>
      <c r="I703" t="s">
        <v>749</v>
      </c>
      <c r="J703" t="s">
        <v>13</v>
      </c>
    </row>
    <row r="704" spans="1:10" x14ac:dyDescent="0.2">
      <c r="A704" t="s">
        <v>468</v>
      </c>
      <c r="B704" s="31">
        <v>1</v>
      </c>
      <c r="C704" s="71">
        <v>42136</v>
      </c>
      <c r="D704">
        <v>5.49</v>
      </c>
      <c r="E704">
        <f t="shared" si="4"/>
        <v>5.49</v>
      </c>
      <c r="F704" t="s">
        <v>468</v>
      </c>
      <c r="G704" t="s">
        <v>298</v>
      </c>
      <c r="H704" s="71">
        <v>42134</v>
      </c>
      <c r="I704" t="s">
        <v>749</v>
      </c>
      <c r="J704" t="s">
        <v>13</v>
      </c>
    </row>
    <row r="705" spans="1:10" x14ac:dyDescent="0.2">
      <c r="A705" t="s">
        <v>468</v>
      </c>
      <c r="B705" s="31">
        <v>1</v>
      </c>
      <c r="C705" s="71">
        <v>42136</v>
      </c>
      <c r="D705">
        <v>6.59</v>
      </c>
      <c r="E705">
        <f t="shared" ref="E705" si="6">B705*D705</f>
        <v>6.59</v>
      </c>
      <c r="F705" t="s">
        <v>468</v>
      </c>
      <c r="G705" t="s">
        <v>298</v>
      </c>
      <c r="H705" s="71">
        <v>42134</v>
      </c>
      <c r="I705" t="s">
        <v>749</v>
      </c>
      <c r="J705" t="s">
        <v>13</v>
      </c>
    </row>
    <row r="706" spans="1:10" x14ac:dyDescent="0.2">
      <c r="A706" t="s">
        <v>570</v>
      </c>
      <c r="B706" s="31">
        <v>1</v>
      </c>
      <c r="C706" s="71">
        <v>42136</v>
      </c>
      <c r="D706">
        <v>4.99</v>
      </c>
      <c r="E706">
        <f t="shared" si="4"/>
        <v>4.99</v>
      </c>
      <c r="F706" t="s">
        <v>798</v>
      </c>
      <c r="G706" t="s">
        <v>298</v>
      </c>
      <c r="H706" s="71">
        <v>42134</v>
      </c>
      <c r="I706" t="s">
        <v>749</v>
      </c>
      <c r="J706" t="s">
        <v>13</v>
      </c>
    </row>
    <row r="707" spans="1:10" x14ac:dyDescent="0.2">
      <c r="A707" t="s">
        <v>668</v>
      </c>
      <c r="B707" s="31">
        <v>1</v>
      </c>
      <c r="C707" s="71">
        <v>42136</v>
      </c>
      <c r="D707">
        <v>3.19</v>
      </c>
      <c r="E707">
        <f t="shared" si="4"/>
        <v>3.19</v>
      </c>
      <c r="F707" t="s">
        <v>668</v>
      </c>
      <c r="G707" t="s">
        <v>298</v>
      </c>
      <c r="H707" s="71">
        <v>42134</v>
      </c>
      <c r="I707" t="s">
        <v>749</v>
      </c>
      <c r="J707" t="s">
        <v>13</v>
      </c>
    </row>
    <row r="708" spans="1:10" x14ac:dyDescent="0.2">
      <c r="A708" t="s">
        <v>614</v>
      </c>
      <c r="B708" s="31">
        <v>1</v>
      </c>
      <c r="C708" s="71">
        <v>42136</v>
      </c>
      <c r="D708">
        <v>3.99</v>
      </c>
      <c r="E708">
        <f t="shared" si="4"/>
        <v>3.99</v>
      </c>
      <c r="F708" t="s">
        <v>614</v>
      </c>
      <c r="G708" t="s">
        <v>298</v>
      </c>
      <c r="H708" s="71">
        <v>42134</v>
      </c>
      <c r="I708" t="s">
        <v>749</v>
      </c>
      <c r="J708" t="s">
        <v>13</v>
      </c>
    </row>
    <row r="709" spans="1:10" x14ac:dyDescent="0.2">
      <c r="A709" t="s">
        <v>208</v>
      </c>
      <c r="B709" s="31">
        <v>1</v>
      </c>
      <c r="C709" s="71">
        <v>42136</v>
      </c>
      <c r="D709">
        <v>2.69</v>
      </c>
      <c r="E709">
        <f t="shared" si="4"/>
        <v>2.69</v>
      </c>
      <c r="F709" t="s">
        <v>208</v>
      </c>
      <c r="G709" t="s">
        <v>298</v>
      </c>
      <c r="H709" s="71">
        <v>42134</v>
      </c>
      <c r="I709" t="s">
        <v>749</v>
      </c>
      <c r="J709" t="s">
        <v>13</v>
      </c>
    </row>
    <row r="710" spans="1:10" x14ac:dyDescent="0.2">
      <c r="A710" t="s">
        <v>658</v>
      </c>
      <c r="B710" s="31">
        <v>1</v>
      </c>
      <c r="C710" s="71">
        <v>42136</v>
      </c>
      <c r="D710">
        <v>2.65</v>
      </c>
      <c r="E710">
        <f t="shared" si="4"/>
        <v>2.65</v>
      </c>
      <c r="F710" t="s">
        <v>208</v>
      </c>
      <c r="G710" t="s">
        <v>298</v>
      </c>
      <c r="H710" s="71">
        <v>42134</v>
      </c>
      <c r="I710" t="s">
        <v>749</v>
      </c>
      <c r="J710" t="s">
        <v>13</v>
      </c>
    </row>
    <row r="711" spans="1:10" x14ac:dyDescent="0.2">
      <c r="A711" t="s">
        <v>791</v>
      </c>
      <c r="B711" s="31">
        <v>1</v>
      </c>
      <c r="C711" s="71">
        <v>42136</v>
      </c>
      <c r="D711">
        <v>2.59</v>
      </c>
      <c r="E711">
        <f t="shared" si="4"/>
        <v>2.59</v>
      </c>
      <c r="F711" t="s">
        <v>208</v>
      </c>
      <c r="G711" t="s">
        <v>298</v>
      </c>
      <c r="H711" s="71">
        <v>42134</v>
      </c>
      <c r="I711" t="s">
        <v>749</v>
      </c>
      <c r="J711" t="s">
        <v>13</v>
      </c>
    </row>
    <row r="712" spans="1:10" x14ac:dyDescent="0.2">
      <c r="A712" t="s">
        <v>792</v>
      </c>
      <c r="B712" s="31">
        <v>1</v>
      </c>
      <c r="C712" s="71">
        <v>42136</v>
      </c>
      <c r="D712">
        <v>3.29</v>
      </c>
      <c r="E712">
        <f t="shared" si="4"/>
        <v>3.29</v>
      </c>
      <c r="F712" t="s">
        <v>208</v>
      </c>
      <c r="G712" t="s">
        <v>298</v>
      </c>
      <c r="H712" s="71">
        <v>42134</v>
      </c>
      <c r="I712" t="s">
        <v>749</v>
      </c>
      <c r="J712" t="s">
        <v>13</v>
      </c>
    </row>
    <row r="713" spans="1:10" x14ac:dyDescent="0.2">
      <c r="A713" t="s">
        <v>799</v>
      </c>
      <c r="B713" s="31">
        <v>1</v>
      </c>
      <c r="C713" s="71">
        <v>42136</v>
      </c>
      <c r="D713">
        <v>2.59</v>
      </c>
      <c r="E713">
        <f t="shared" si="4"/>
        <v>2.59</v>
      </c>
      <c r="F713" t="s">
        <v>208</v>
      </c>
      <c r="G713" t="s">
        <v>298</v>
      </c>
      <c r="H713" s="71">
        <v>42134</v>
      </c>
      <c r="I713" t="s">
        <v>749</v>
      </c>
      <c r="J713" t="s">
        <v>13</v>
      </c>
    </row>
    <row r="714" spans="1:10" x14ac:dyDescent="0.2">
      <c r="A714" t="s">
        <v>409</v>
      </c>
      <c r="B714" s="31">
        <v>0.16800000000000001</v>
      </c>
      <c r="C714" s="71">
        <v>42136</v>
      </c>
      <c r="D714">
        <v>14.99</v>
      </c>
      <c r="E714">
        <f t="shared" si="4"/>
        <v>2.5183200000000001</v>
      </c>
      <c r="F714" t="s">
        <v>653</v>
      </c>
      <c r="G714" t="s">
        <v>299</v>
      </c>
      <c r="H714" s="71">
        <v>42134</v>
      </c>
      <c r="I714" t="s">
        <v>749</v>
      </c>
      <c r="J714" t="s">
        <v>13</v>
      </c>
    </row>
    <row r="715" spans="1:10" x14ac:dyDescent="0.2">
      <c r="A715" t="s">
        <v>295</v>
      </c>
      <c r="B715" s="31">
        <v>0.154</v>
      </c>
      <c r="C715" s="71">
        <v>42136</v>
      </c>
      <c r="D715">
        <v>23.89</v>
      </c>
      <c r="E715">
        <f t="shared" si="4"/>
        <v>3.6790600000000002</v>
      </c>
      <c r="F715" t="s">
        <v>653</v>
      </c>
      <c r="G715" t="s">
        <v>299</v>
      </c>
      <c r="H715" s="71">
        <v>42134</v>
      </c>
      <c r="I715" t="s">
        <v>749</v>
      </c>
      <c r="J715" t="s">
        <v>13</v>
      </c>
    </row>
    <row r="716" spans="1:10" x14ac:dyDescent="0.2">
      <c r="A716" t="s">
        <v>307</v>
      </c>
      <c r="B716" s="31">
        <v>0.52500000000000002</v>
      </c>
      <c r="C716" s="71">
        <v>42136</v>
      </c>
      <c r="D716">
        <v>4.99</v>
      </c>
      <c r="E716">
        <f t="shared" si="4"/>
        <v>2.6197500000000002</v>
      </c>
      <c r="F716" t="s">
        <v>280</v>
      </c>
      <c r="G716" t="s">
        <v>299</v>
      </c>
      <c r="H716" s="71">
        <v>42134</v>
      </c>
      <c r="I716" t="s">
        <v>749</v>
      </c>
      <c r="J716" t="s">
        <v>13</v>
      </c>
    </row>
    <row r="717" spans="1:10" x14ac:dyDescent="0.2">
      <c r="A717" t="s">
        <v>793</v>
      </c>
      <c r="B717" s="31">
        <v>0.4</v>
      </c>
      <c r="C717" s="71">
        <v>42136</v>
      </c>
      <c r="D717">
        <v>2.89</v>
      </c>
      <c r="E717">
        <f t="shared" si="4"/>
        <v>1.1560000000000001</v>
      </c>
      <c r="F717" t="s">
        <v>280</v>
      </c>
      <c r="G717" t="s">
        <v>299</v>
      </c>
      <c r="H717" s="71">
        <v>42134</v>
      </c>
      <c r="I717" t="s">
        <v>749</v>
      </c>
      <c r="J717" t="s">
        <v>13</v>
      </c>
    </row>
    <row r="718" spans="1:10" x14ac:dyDescent="0.2">
      <c r="A718" t="s">
        <v>218</v>
      </c>
      <c r="B718" s="31">
        <v>1</v>
      </c>
      <c r="C718" s="71">
        <v>42136</v>
      </c>
      <c r="D718">
        <v>2.99</v>
      </c>
      <c r="E718">
        <f t="shared" si="4"/>
        <v>2.99</v>
      </c>
      <c r="F718" t="s">
        <v>280</v>
      </c>
      <c r="G718" t="s">
        <v>298</v>
      </c>
      <c r="H718" s="71">
        <v>42134</v>
      </c>
      <c r="I718" t="s">
        <v>749</v>
      </c>
      <c r="J718" t="s">
        <v>13</v>
      </c>
    </row>
    <row r="719" spans="1:10" x14ac:dyDescent="0.2">
      <c r="A719" t="s">
        <v>308</v>
      </c>
      <c r="B719" s="31">
        <v>0.81499999999999995</v>
      </c>
      <c r="C719" s="71">
        <v>42136</v>
      </c>
      <c r="D719">
        <v>3.17</v>
      </c>
      <c r="E719">
        <f t="shared" si="4"/>
        <v>2.5835499999999998</v>
      </c>
      <c r="F719" t="s">
        <v>279</v>
      </c>
      <c r="G719" t="s">
        <v>299</v>
      </c>
      <c r="H719" s="71">
        <v>42134</v>
      </c>
      <c r="I719" t="s">
        <v>749</v>
      </c>
      <c r="J719" t="s">
        <v>13</v>
      </c>
    </row>
    <row r="720" spans="1:10" x14ac:dyDescent="0.2">
      <c r="A720" t="s">
        <v>253</v>
      </c>
      <c r="B720" s="31">
        <v>0.86</v>
      </c>
      <c r="C720" s="71">
        <v>42136</v>
      </c>
      <c r="D720">
        <v>2.14</v>
      </c>
      <c r="E720">
        <f t="shared" si="4"/>
        <v>1.8404</v>
      </c>
      <c r="F720" t="s">
        <v>279</v>
      </c>
      <c r="G720" t="s">
        <v>299</v>
      </c>
      <c r="H720" s="71">
        <v>42134</v>
      </c>
      <c r="I720" t="s">
        <v>749</v>
      </c>
      <c r="J720" t="s">
        <v>13</v>
      </c>
    </row>
    <row r="721" spans="1:10" x14ac:dyDescent="0.2">
      <c r="A721" t="s">
        <v>652</v>
      </c>
      <c r="B721" s="31">
        <v>1.0900000000000001</v>
      </c>
      <c r="C721" s="71">
        <v>42136</v>
      </c>
      <c r="D721">
        <v>3.15</v>
      </c>
      <c r="E721">
        <f t="shared" si="4"/>
        <v>3.4335</v>
      </c>
      <c r="F721" t="s">
        <v>279</v>
      </c>
      <c r="G721" t="s">
        <v>299</v>
      </c>
      <c r="H721" s="71">
        <v>42134</v>
      </c>
      <c r="I721" t="s">
        <v>749</v>
      </c>
      <c r="J721" t="s">
        <v>13</v>
      </c>
    </row>
    <row r="722" spans="1:10" x14ac:dyDescent="0.2">
      <c r="A722" t="s">
        <v>794</v>
      </c>
      <c r="B722" s="31">
        <v>0.48499999999999999</v>
      </c>
      <c r="C722" s="71">
        <v>42136</v>
      </c>
      <c r="D722">
        <v>1.93</v>
      </c>
      <c r="E722">
        <f t="shared" si="4"/>
        <v>0.93604999999999994</v>
      </c>
      <c r="F722" t="s">
        <v>280</v>
      </c>
      <c r="G722" t="s">
        <v>299</v>
      </c>
      <c r="H722" s="71">
        <v>42134</v>
      </c>
      <c r="I722" t="s">
        <v>749</v>
      </c>
      <c r="J722" t="s">
        <v>13</v>
      </c>
    </row>
    <row r="723" spans="1:10" x14ac:dyDescent="0.2">
      <c r="A723" t="s">
        <v>795</v>
      </c>
      <c r="B723" s="31">
        <v>1</v>
      </c>
      <c r="C723" s="71">
        <v>42136</v>
      </c>
      <c r="D723">
        <v>2.99</v>
      </c>
      <c r="E723">
        <f t="shared" si="4"/>
        <v>2.99</v>
      </c>
      <c r="F723" t="s">
        <v>282</v>
      </c>
      <c r="G723" t="s">
        <v>298</v>
      </c>
      <c r="H723" s="71">
        <v>42134</v>
      </c>
      <c r="I723" t="s">
        <v>749</v>
      </c>
      <c r="J723" t="s">
        <v>13</v>
      </c>
    </row>
    <row r="724" spans="1:10" x14ac:dyDescent="0.2">
      <c r="A724" t="s">
        <v>796</v>
      </c>
      <c r="B724" s="31">
        <v>1</v>
      </c>
      <c r="C724" s="71">
        <v>42136</v>
      </c>
      <c r="D724">
        <v>4.75</v>
      </c>
      <c r="E724">
        <f t="shared" si="4"/>
        <v>4.75</v>
      </c>
      <c r="F724" t="s">
        <v>282</v>
      </c>
      <c r="G724" t="s">
        <v>298</v>
      </c>
      <c r="H724" s="71">
        <v>42134</v>
      </c>
      <c r="I724" t="s">
        <v>749</v>
      </c>
      <c r="J724" t="s">
        <v>13</v>
      </c>
    </row>
    <row r="725" spans="1:10" x14ac:dyDescent="0.2">
      <c r="A725" t="s">
        <v>797</v>
      </c>
      <c r="B725" s="31">
        <v>1</v>
      </c>
      <c r="C725" s="71">
        <v>42136</v>
      </c>
      <c r="D725">
        <v>6.05</v>
      </c>
      <c r="E725">
        <f t="shared" si="4"/>
        <v>6.05</v>
      </c>
      <c r="F725" t="s">
        <v>282</v>
      </c>
      <c r="G725" t="s">
        <v>298</v>
      </c>
      <c r="H725" s="71">
        <v>42134</v>
      </c>
      <c r="I725" t="s">
        <v>749</v>
      </c>
      <c r="J725" t="s">
        <v>13</v>
      </c>
    </row>
    <row r="726" spans="1:10" x14ac:dyDescent="0.2">
      <c r="A726" t="s">
        <v>248</v>
      </c>
      <c r="B726" s="31">
        <v>1</v>
      </c>
      <c r="C726" s="71">
        <v>42136</v>
      </c>
      <c r="D726">
        <v>4.3499999999999996</v>
      </c>
      <c r="E726">
        <f t="shared" si="4"/>
        <v>4.3499999999999996</v>
      </c>
      <c r="F726" t="s">
        <v>322</v>
      </c>
      <c r="G726" t="s">
        <v>298</v>
      </c>
      <c r="H726" s="71">
        <v>42134</v>
      </c>
      <c r="I726" t="s">
        <v>749</v>
      </c>
      <c r="J726" t="s">
        <v>13</v>
      </c>
    </row>
    <row r="727" spans="1:10" x14ac:dyDescent="0.2">
      <c r="A727" t="s">
        <v>215</v>
      </c>
      <c r="B727" s="31">
        <v>4</v>
      </c>
      <c r="C727" s="71">
        <v>42139</v>
      </c>
      <c r="D727">
        <v>2.69</v>
      </c>
      <c r="E727">
        <f t="shared" si="4"/>
        <v>10.76</v>
      </c>
      <c r="F727" t="s">
        <v>215</v>
      </c>
      <c r="G727" t="s">
        <v>298</v>
      </c>
      <c r="H727" s="71">
        <v>42134</v>
      </c>
      <c r="I727" t="s">
        <v>835</v>
      </c>
      <c r="J727" t="s">
        <v>15</v>
      </c>
    </row>
    <row r="728" spans="1:10" x14ac:dyDescent="0.2">
      <c r="A728" t="s">
        <v>468</v>
      </c>
      <c r="B728" s="31">
        <v>1</v>
      </c>
      <c r="C728" s="71">
        <v>42139</v>
      </c>
      <c r="D728">
        <v>4.99</v>
      </c>
      <c r="E728">
        <f t="shared" si="4"/>
        <v>4.99</v>
      </c>
      <c r="F728" t="s">
        <v>468</v>
      </c>
      <c r="G728" t="s">
        <v>298</v>
      </c>
      <c r="H728" s="71">
        <v>42134</v>
      </c>
      <c r="I728" t="s">
        <v>835</v>
      </c>
      <c r="J728" t="s">
        <v>15</v>
      </c>
    </row>
    <row r="729" spans="1:10" x14ac:dyDescent="0.2">
      <c r="A729" t="s">
        <v>300</v>
      </c>
      <c r="B729" s="31">
        <v>1</v>
      </c>
      <c r="C729" s="71">
        <v>42139</v>
      </c>
      <c r="D729">
        <v>1.98</v>
      </c>
      <c r="E729">
        <f t="shared" si="4"/>
        <v>1.98</v>
      </c>
      <c r="F729" t="s">
        <v>280</v>
      </c>
      <c r="G729" t="s">
        <v>299</v>
      </c>
      <c r="H729" s="71">
        <v>42134</v>
      </c>
      <c r="I729" t="s">
        <v>835</v>
      </c>
      <c r="J729" t="s">
        <v>15</v>
      </c>
    </row>
    <row r="730" spans="1:10" x14ac:dyDescent="0.2">
      <c r="A730" t="s">
        <v>813</v>
      </c>
      <c r="B730" s="31">
        <v>1</v>
      </c>
      <c r="C730" s="71">
        <v>42139</v>
      </c>
      <c r="D730">
        <v>3.68</v>
      </c>
      <c r="E730">
        <f t="shared" si="4"/>
        <v>3.68</v>
      </c>
      <c r="F730" t="s">
        <v>813</v>
      </c>
      <c r="G730" t="s">
        <v>298</v>
      </c>
      <c r="H730" s="71">
        <v>42134</v>
      </c>
      <c r="I730" t="s">
        <v>835</v>
      </c>
      <c r="J730" t="s">
        <v>15</v>
      </c>
    </row>
    <row r="731" spans="1:10" x14ac:dyDescent="0.2">
      <c r="A731" t="s">
        <v>600</v>
      </c>
      <c r="B731" s="31">
        <v>3</v>
      </c>
      <c r="C731" s="71">
        <v>42139</v>
      </c>
      <c r="D731">
        <v>1.98</v>
      </c>
      <c r="E731">
        <f t="shared" si="4"/>
        <v>5.9399999999999995</v>
      </c>
      <c r="F731" t="s">
        <v>465</v>
      </c>
      <c r="G731" t="s">
        <v>298</v>
      </c>
      <c r="H731" s="71">
        <v>42134</v>
      </c>
      <c r="I731" t="s">
        <v>835</v>
      </c>
      <c r="J731" t="s">
        <v>15</v>
      </c>
    </row>
    <row r="732" spans="1:10" x14ac:dyDescent="0.2">
      <c r="A732" t="s">
        <v>640</v>
      </c>
      <c r="B732" s="31">
        <v>2</v>
      </c>
      <c r="C732" s="71">
        <v>42139</v>
      </c>
      <c r="D732">
        <v>0.99</v>
      </c>
      <c r="E732">
        <f t="shared" si="4"/>
        <v>1.98</v>
      </c>
      <c r="F732" t="s">
        <v>465</v>
      </c>
      <c r="G732" t="s">
        <v>298</v>
      </c>
      <c r="H732" s="71">
        <v>42134</v>
      </c>
      <c r="I732" t="s">
        <v>835</v>
      </c>
      <c r="J732" t="s">
        <v>15</v>
      </c>
    </row>
    <row r="733" spans="1:10" x14ac:dyDescent="0.2">
      <c r="A733" t="s">
        <v>814</v>
      </c>
      <c r="B733" s="31">
        <v>1</v>
      </c>
      <c r="C733" s="71">
        <v>42139</v>
      </c>
      <c r="D733">
        <v>5.98</v>
      </c>
      <c r="E733">
        <f t="shared" si="4"/>
        <v>5.98</v>
      </c>
      <c r="F733" t="s">
        <v>465</v>
      </c>
      <c r="G733" t="s">
        <v>298</v>
      </c>
      <c r="H733" s="71">
        <v>42134</v>
      </c>
      <c r="I733" t="s">
        <v>835</v>
      </c>
      <c r="J733" t="s">
        <v>15</v>
      </c>
    </row>
    <row r="734" spans="1:10" x14ac:dyDescent="0.2">
      <c r="A734" t="s">
        <v>815</v>
      </c>
      <c r="B734" s="31">
        <v>1</v>
      </c>
      <c r="C734" s="71">
        <v>42139</v>
      </c>
      <c r="D734">
        <v>4.9800000000000004</v>
      </c>
      <c r="E734">
        <f t="shared" si="4"/>
        <v>4.9800000000000004</v>
      </c>
      <c r="F734" t="s">
        <v>833</v>
      </c>
      <c r="G734" t="s">
        <v>298</v>
      </c>
      <c r="H734" s="71">
        <v>42134</v>
      </c>
      <c r="I734" t="s">
        <v>835</v>
      </c>
      <c r="J734" t="s">
        <v>15</v>
      </c>
    </row>
    <row r="735" spans="1:10" x14ac:dyDescent="0.2">
      <c r="A735" t="s">
        <v>816</v>
      </c>
      <c r="B735" s="31">
        <v>1</v>
      </c>
      <c r="C735" s="71">
        <v>42139</v>
      </c>
      <c r="D735">
        <v>2.99</v>
      </c>
      <c r="E735">
        <f t="shared" si="4"/>
        <v>2.99</v>
      </c>
      <c r="F735" t="s">
        <v>415</v>
      </c>
      <c r="G735" t="s">
        <v>298</v>
      </c>
      <c r="H735" s="71">
        <v>42134</v>
      </c>
      <c r="I735" t="s">
        <v>835</v>
      </c>
      <c r="J735" t="s">
        <v>15</v>
      </c>
    </row>
    <row r="736" spans="1:10" x14ac:dyDescent="0.2">
      <c r="A736" t="s">
        <v>817</v>
      </c>
      <c r="B736" s="31">
        <v>1</v>
      </c>
      <c r="C736" s="71">
        <v>42139</v>
      </c>
      <c r="D736">
        <v>5.48</v>
      </c>
      <c r="E736">
        <f t="shared" si="4"/>
        <v>5.48</v>
      </c>
      <c r="F736" t="s">
        <v>620</v>
      </c>
      <c r="G736" t="s">
        <v>298</v>
      </c>
      <c r="H736" s="71">
        <v>42134</v>
      </c>
      <c r="I736" t="s">
        <v>835</v>
      </c>
      <c r="J736" t="s">
        <v>15</v>
      </c>
    </row>
    <row r="737" spans="1:10" x14ac:dyDescent="0.2">
      <c r="A737" t="s">
        <v>353</v>
      </c>
      <c r="B737" s="31">
        <v>1</v>
      </c>
      <c r="C737" s="71">
        <v>42139</v>
      </c>
      <c r="D737">
        <v>4.9800000000000004</v>
      </c>
      <c r="E737">
        <f t="shared" si="4"/>
        <v>4.9800000000000004</v>
      </c>
      <c r="F737" t="s">
        <v>620</v>
      </c>
      <c r="G737" t="s">
        <v>298</v>
      </c>
      <c r="H737" s="71">
        <v>42134</v>
      </c>
      <c r="I737" t="s">
        <v>835</v>
      </c>
      <c r="J737" t="s">
        <v>15</v>
      </c>
    </row>
    <row r="738" spans="1:10" x14ac:dyDescent="0.2">
      <c r="A738" t="s">
        <v>416</v>
      </c>
      <c r="B738" s="31">
        <v>0.20599999999999999</v>
      </c>
      <c r="C738" s="71">
        <v>42139</v>
      </c>
      <c r="D738">
        <v>19.8</v>
      </c>
      <c r="E738">
        <f t="shared" si="4"/>
        <v>4.0788000000000002</v>
      </c>
      <c r="F738" t="s">
        <v>653</v>
      </c>
      <c r="G738" t="s">
        <v>299</v>
      </c>
      <c r="H738" s="71">
        <v>42134</v>
      </c>
      <c r="I738" t="s">
        <v>835</v>
      </c>
      <c r="J738" t="s">
        <v>15</v>
      </c>
    </row>
    <row r="739" spans="1:10" x14ac:dyDescent="0.2">
      <c r="A739" t="s">
        <v>818</v>
      </c>
      <c r="B739" s="31">
        <v>0.114</v>
      </c>
      <c r="C739" s="71">
        <v>42139</v>
      </c>
      <c r="D739">
        <v>25.48</v>
      </c>
      <c r="E739">
        <f t="shared" si="4"/>
        <v>2.9047200000000002</v>
      </c>
      <c r="F739" t="s">
        <v>653</v>
      </c>
      <c r="G739" t="s">
        <v>299</v>
      </c>
      <c r="H739" s="71">
        <v>42134</v>
      </c>
      <c r="I739" t="s">
        <v>835</v>
      </c>
      <c r="J739" t="s">
        <v>15</v>
      </c>
    </row>
    <row r="740" spans="1:10" x14ac:dyDescent="0.2">
      <c r="A740" t="s">
        <v>295</v>
      </c>
      <c r="B740" s="31">
        <v>0.20200000000000001</v>
      </c>
      <c r="C740" s="71">
        <v>42139</v>
      </c>
      <c r="D740">
        <v>21.8</v>
      </c>
      <c r="E740">
        <f t="shared" si="4"/>
        <v>4.4036000000000008</v>
      </c>
      <c r="F740" t="s">
        <v>653</v>
      </c>
      <c r="G740" t="s">
        <v>299</v>
      </c>
      <c r="H740" s="71">
        <v>42134</v>
      </c>
      <c r="I740" t="s">
        <v>835</v>
      </c>
      <c r="J740" t="s">
        <v>15</v>
      </c>
    </row>
    <row r="741" spans="1:10" x14ac:dyDescent="0.2">
      <c r="A741" t="s">
        <v>112</v>
      </c>
      <c r="B741" s="31">
        <v>1</v>
      </c>
      <c r="C741" s="71">
        <v>42139</v>
      </c>
      <c r="D741">
        <v>3.59</v>
      </c>
      <c r="E741">
        <f t="shared" si="4"/>
        <v>3.59</v>
      </c>
      <c r="F741" t="s">
        <v>448</v>
      </c>
      <c r="G741" t="s">
        <v>298</v>
      </c>
      <c r="H741" s="71">
        <v>42134</v>
      </c>
      <c r="I741" t="s">
        <v>835</v>
      </c>
      <c r="J741" t="s">
        <v>15</v>
      </c>
    </row>
    <row r="742" spans="1:10" x14ac:dyDescent="0.2">
      <c r="A742" t="s">
        <v>183</v>
      </c>
      <c r="B742" s="31">
        <v>1</v>
      </c>
      <c r="C742" s="71">
        <v>42139</v>
      </c>
      <c r="D742">
        <v>16.98</v>
      </c>
      <c r="E742">
        <f t="shared" si="4"/>
        <v>16.98</v>
      </c>
      <c r="F742" t="s">
        <v>183</v>
      </c>
      <c r="G742" t="s">
        <v>298</v>
      </c>
      <c r="H742" s="71">
        <v>42134</v>
      </c>
      <c r="I742" t="s">
        <v>835</v>
      </c>
      <c r="J742" t="s">
        <v>15</v>
      </c>
    </row>
    <row r="743" spans="1:10" x14ac:dyDescent="0.2">
      <c r="A743" t="s">
        <v>423</v>
      </c>
      <c r="B743" s="31">
        <v>7.3999999999999996E-2</v>
      </c>
      <c r="C743" s="71">
        <v>42139</v>
      </c>
      <c r="D743">
        <v>19.8</v>
      </c>
      <c r="E743">
        <f t="shared" si="4"/>
        <v>1.4652000000000001</v>
      </c>
      <c r="F743" t="s">
        <v>423</v>
      </c>
      <c r="G743" t="s">
        <v>299</v>
      </c>
      <c r="H743" s="71">
        <v>42134</v>
      </c>
      <c r="I743" t="s">
        <v>835</v>
      </c>
      <c r="J743" t="s">
        <v>15</v>
      </c>
    </row>
    <row r="744" spans="1:10" x14ac:dyDescent="0.2">
      <c r="A744" t="s">
        <v>292</v>
      </c>
      <c r="B744" s="31">
        <v>1.018</v>
      </c>
      <c r="C744" s="71">
        <v>42139</v>
      </c>
      <c r="D744">
        <v>26.9</v>
      </c>
      <c r="E744">
        <f t="shared" si="4"/>
        <v>27.3842</v>
      </c>
      <c r="F744" t="s">
        <v>609</v>
      </c>
      <c r="G744" t="s">
        <v>299</v>
      </c>
      <c r="H744" s="71">
        <v>42134</v>
      </c>
      <c r="I744" t="s">
        <v>835</v>
      </c>
      <c r="J744" t="s">
        <v>15</v>
      </c>
    </row>
    <row r="745" spans="1:10" x14ac:dyDescent="0.2">
      <c r="A745" t="s">
        <v>230</v>
      </c>
      <c r="B745" s="31">
        <v>0.505</v>
      </c>
      <c r="C745" s="71">
        <v>42139</v>
      </c>
      <c r="D745">
        <v>6.98</v>
      </c>
      <c r="E745">
        <f t="shared" si="4"/>
        <v>3.5249000000000001</v>
      </c>
      <c r="F745" t="s">
        <v>280</v>
      </c>
      <c r="G745" t="s">
        <v>299</v>
      </c>
      <c r="H745" s="71">
        <v>42134</v>
      </c>
      <c r="I745" t="s">
        <v>835</v>
      </c>
      <c r="J745" t="s">
        <v>15</v>
      </c>
    </row>
    <row r="746" spans="1:10" x14ac:dyDescent="0.2">
      <c r="A746" t="s">
        <v>819</v>
      </c>
      <c r="B746" s="31">
        <v>0.53600000000000003</v>
      </c>
      <c r="C746" s="71">
        <v>42139</v>
      </c>
      <c r="D746">
        <v>11.48</v>
      </c>
      <c r="E746">
        <f t="shared" si="4"/>
        <v>6.1532800000000005</v>
      </c>
      <c r="F746" t="s">
        <v>614</v>
      </c>
      <c r="G746" t="s">
        <v>299</v>
      </c>
      <c r="H746" s="71">
        <v>42134</v>
      </c>
      <c r="I746" t="s">
        <v>835</v>
      </c>
      <c r="J746" t="s">
        <v>15</v>
      </c>
    </row>
    <row r="747" spans="1:10" x14ac:dyDescent="0.2">
      <c r="A747" t="s">
        <v>708</v>
      </c>
      <c r="B747" s="31">
        <v>0.62</v>
      </c>
      <c r="C747" s="71">
        <v>42139</v>
      </c>
      <c r="D747">
        <v>22.78</v>
      </c>
      <c r="E747">
        <f t="shared" si="4"/>
        <v>14.123600000000001</v>
      </c>
      <c r="F747" t="s">
        <v>609</v>
      </c>
      <c r="G747" t="s">
        <v>299</v>
      </c>
      <c r="H747" s="71">
        <v>42134</v>
      </c>
      <c r="I747" t="s">
        <v>835</v>
      </c>
      <c r="J747" t="s">
        <v>15</v>
      </c>
    </row>
    <row r="748" spans="1:10" x14ac:dyDescent="0.2">
      <c r="A748" t="s">
        <v>614</v>
      </c>
      <c r="B748" s="31">
        <v>0.48</v>
      </c>
      <c r="C748" s="71">
        <v>42139</v>
      </c>
      <c r="D748">
        <v>10.9</v>
      </c>
      <c r="E748">
        <f t="shared" si="4"/>
        <v>5.2320000000000002</v>
      </c>
      <c r="F748" t="s">
        <v>614</v>
      </c>
      <c r="G748" t="s">
        <v>299</v>
      </c>
      <c r="H748" s="71">
        <v>42134</v>
      </c>
      <c r="I748" t="s">
        <v>835</v>
      </c>
      <c r="J748" t="s">
        <v>15</v>
      </c>
    </row>
    <row r="749" spans="1:10" x14ac:dyDescent="0.2">
      <c r="A749" t="s">
        <v>568</v>
      </c>
      <c r="B749" s="31">
        <v>0.96799999999999997</v>
      </c>
      <c r="C749" s="71">
        <v>42139</v>
      </c>
      <c r="D749">
        <v>8.9499999999999993</v>
      </c>
      <c r="E749">
        <f t="shared" si="4"/>
        <v>8.6635999999999989</v>
      </c>
      <c r="F749" t="s">
        <v>615</v>
      </c>
      <c r="G749" t="s">
        <v>299</v>
      </c>
      <c r="H749" s="71">
        <v>42134</v>
      </c>
      <c r="I749" t="s">
        <v>835</v>
      </c>
      <c r="J749" t="s">
        <v>15</v>
      </c>
    </row>
    <row r="750" spans="1:10" x14ac:dyDescent="0.2">
      <c r="A750" t="s">
        <v>308</v>
      </c>
      <c r="B750" s="31">
        <v>0.69499999999999995</v>
      </c>
      <c r="C750" s="71">
        <v>42139</v>
      </c>
      <c r="D750">
        <v>5.48</v>
      </c>
      <c r="E750">
        <f t="shared" si="4"/>
        <v>3.8086000000000002</v>
      </c>
      <c r="F750" t="s">
        <v>279</v>
      </c>
      <c r="G750" t="s">
        <v>299</v>
      </c>
      <c r="H750" s="71">
        <v>42134</v>
      </c>
      <c r="I750" t="s">
        <v>835</v>
      </c>
      <c r="J750" t="s">
        <v>15</v>
      </c>
    </row>
    <row r="751" spans="1:10" x14ac:dyDescent="0.2">
      <c r="A751" t="s">
        <v>218</v>
      </c>
      <c r="B751" s="31">
        <v>1</v>
      </c>
      <c r="C751" s="71">
        <v>42139</v>
      </c>
      <c r="D751">
        <v>1.89</v>
      </c>
      <c r="E751">
        <f t="shared" si="4"/>
        <v>1.89</v>
      </c>
      <c r="F751" t="s">
        <v>280</v>
      </c>
      <c r="G751" t="s">
        <v>298</v>
      </c>
      <c r="H751" s="71">
        <v>42134</v>
      </c>
      <c r="I751" t="s">
        <v>835</v>
      </c>
      <c r="J751" t="s">
        <v>15</v>
      </c>
    </row>
    <row r="752" spans="1:10" x14ac:dyDescent="0.2">
      <c r="A752" t="s">
        <v>308</v>
      </c>
      <c r="B752" s="31">
        <v>0.83</v>
      </c>
      <c r="C752" s="71">
        <v>42139</v>
      </c>
      <c r="D752">
        <v>5.48</v>
      </c>
      <c r="E752">
        <f t="shared" si="4"/>
        <v>4.5484</v>
      </c>
      <c r="F752" t="s">
        <v>279</v>
      </c>
      <c r="G752" t="s">
        <v>299</v>
      </c>
      <c r="H752" s="71">
        <v>42134</v>
      </c>
      <c r="I752" t="s">
        <v>835</v>
      </c>
      <c r="J752" t="s">
        <v>15</v>
      </c>
    </row>
    <row r="753" spans="1:10" x14ac:dyDescent="0.2">
      <c r="A753" t="s">
        <v>253</v>
      </c>
      <c r="B753" s="31">
        <v>1.1499999999999999</v>
      </c>
      <c r="C753" s="71">
        <v>42139</v>
      </c>
      <c r="D753">
        <v>2.48</v>
      </c>
      <c r="E753">
        <f t="shared" si="4"/>
        <v>2.8519999999999999</v>
      </c>
      <c r="F753" t="s">
        <v>279</v>
      </c>
      <c r="G753" t="s">
        <v>299</v>
      </c>
      <c r="H753" s="71">
        <v>42134</v>
      </c>
      <c r="I753" t="s">
        <v>835</v>
      </c>
      <c r="J753" t="s">
        <v>15</v>
      </c>
    </row>
    <row r="754" spans="1:10" x14ac:dyDescent="0.2">
      <c r="A754" t="s">
        <v>315</v>
      </c>
      <c r="B754" s="31">
        <v>0.105</v>
      </c>
      <c r="C754" s="71">
        <v>42139</v>
      </c>
      <c r="D754">
        <v>16.8</v>
      </c>
      <c r="E754">
        <f t="shared" si="4"/>
        <v>1.764</v>
      </c>
      <c r="F754" t="s">
        <v>280</v>
      </c>
      <c r="G754" t="s">
        <v>299</v>
      </c>
      <c r="H754" s="71">
        <v>42134</v>
      </c>
      <c r="I754" t="s">
        <v>835</v>
      </c>
      <c r="J754" t="s">
        <v>15</v>
      </c>
    </row>
    <row r="755" spans="1:10" x14ac:dyDescent="0.2">
      <c r="A755" t="s">
        <v>307</v>
      </c>
      <c r="B755" s="31">
        <v>0.33500000000000002</v>
      </c>
      <c r="C755" s="71">
        <v>42139</v>
      </c>
      <c r="D755">
        <v>5.98</v>
      </c>
      <c r="E755">
        <f t="shared" si="4"/>
        <v>2.0033000000000003</v>
      </c>
      <c r="F755" t="s">
        <v>280</v>
      </c>
      <c r="G755" t="s">
        <v>299</v>
      </c>
      <c r="H755" s="71">
        <v>42134</v>
      </c>
      <c r="I755" t="s">
        <v>835</v>
      </c>
      <c r="J755" t="s">
        <v>15</v>
      </c>
    </row>
    <row r="756" spans="1:10" x14ac:dyDescent="0.2">
      <c r="A756" t="s">
        <v>242</v>
      </c>
      <c r="B756" s="31">
        <v>1</v>
      </c>
      <c r="C756" s="71">
        <v>42139</v>
      </c>
      <c r="D756">
        <v>8.9700000000000006</v>
      </c>
      <c r="E756">
        <f t="shared" si="4"/>
        <v>8.9700000000000006</v>
      </c>
      <c r="F756" t="s">
        <v>282</v>
      </c>
      <c r="G756" t="s">
        <v>298</v>
      </c>
      <c r="H756" s="71">
        <v>42134</v>
      </c>
      <c r="I756" t="s">
        <v>835</v>
      </c>
      <c r="J756" t="s">
        <v>15</v>
      </c>
    </row>
    <row r="757" spans="1:10" x14ac:dyDescent="0.2">
      <c r="A757" t="s">
        <v>230</v>
      </c>
      <c r="B757" s="31">
        <v>0.35</v>
      </c>
      <c r="C757" s="71">
        <v>42149</v>
      </c>
      <c r="D757">
        <v>6.99</v>
      </c>
      <c r="E757">
        <f t="shared" si="4"/>
        <v>2.4464999999999999</v>
      </c>
      <c r="F757" t="s">
        <v>280</v>
      </c>
      <c r="G757" t="s">
        <v>299</v>
      </c>
      <c r="H757" s="71">
        <v>42134</v>
      </c>
      <c r="I757" t="s">
        <v>749</v>
      </c>
      <c r="J757" t="s">
        <v>13</v>
      </c>
    </row>
    <row r="758" spans="1:10" x14ac:dyDescent="0.2">
      <c r="A758" t="s">
        <v>757</v>
      </c>
      <c r="B758" s="31">
        <v>1</v>
      </c>
      <c r="C758" s="71">
        <v>42149</v>
      </c>
      <c r="D758">
        <v>6.99</v>
      </c>
      <c r="E758">
        <f t="shared" ref="E758:E822" si="7">B758*D758</f>
        <v>6.99</v>
      </c>
      <c r="F758" t="s">
        <v>757</v>
      </c>
      <c r="G758" t="s">
        <v>298</v>
      </c>
      <c r="H758" s="71">
        <v>42134</v>
      </c>
      <c r="I758" t="s">
        <v>749</v>
      </c>
      <c r="J758" t="s">
        <v>13</v>
      </c>
    </row>
    <row r="759" spans="1:10" x14ac:dyDescent="0.2">
      <c r="A759" t="s">
        <v>468</v>
      </c>
      <c r="B759" s="31">
        <v>1</v>
      </c>
      <c r="C759" s="71">
        <v>42149</v>
      </c>
      <c r="D759">
        <v>5.49</v>
      </c>
      <c r="E759">
        <f t="shared" si="7"/>
        <v>5.49</v>
      </c>
      <c r="F759" t="s">
        <v>468</v>
      </c>
      <c r="G759" t="s">
        <v>298</v>
      </c>
      <c r="H759" s="71">
        <v>42134</v>
      </c>
      <c r="I759" t="s">
        <v>749</v>
      </c>
      <c r="J759" t="s">
        <v>13</v>
      </c>
    </row>
    <row r="760" spans="1:10" x14ac:dyDescent="0.2">
      <c r="A760" t="s">
        <v>820</v>
      </c>
      <c r="B760" s="31">
        <v>0.13400000000000001</v>
      </c>
      <c r="C760" s="71">
        <v>42149</v>
      </c>
      <c r="D760">
        <v>31.9</v>
      </c>
      <c r="E760">
        <f t="shared" si="7"/>
        <v>4.2746000000000004</v>
      </c>
      <c r="F760" t="s">
        <v>653</v>
      </c>
      <c r="G760" t="s">
        <v>299</v>
      </c>
      <c r="H760" s="71">
        <v>42134</v>
      </c>
      <c r="I760" t="s">
        <v>749</v>
      </c>
      <c r="J760" t="s">
        <v>13</v>
      </c>
    </row>
    <row r="761" spans="1:10" x14ac:dyDescent="0.2">
      <c r="A761" t="s">
        <v>296</v>
      </c>
      <c r="B761" s="31">
        <v>0.112</v>
      </c>
      <c r="C761" s="71">
        <v>42149</v>
      </c>
      <c r="D761">
        <v>33.9</v>
      </c>
      <c r="E761">
        <f t="shared" si="7"/>
        <v>3.7967999999999997</v>
      </c>
      <c r="F761" t="s">
        <v>653</v>
      </c>
      <c r="G761" t="s">
        <v>299</v>
      </c>
      <c r="H761" s="71">
        <v>42134</v>
      </c>
      <c r="I761" t="s">
        <v>749</v>
      </c>
      <c r="J761" t="s">
        <v>13</v>
      </c>
    </row>
    <row r="762" spans="1:10" x14ac:dyDescent="0.2">
      <c r="A762" t="s">
        <v>215</v>
      </c>
      <c r="B762" s="31">
        <v>3</v>
      </c>
      <c r="C762" s="71">
        <v>42149</v>
      </c>
      <c r="D762">
        <v>2.59</v>
      </c>
      <c r="E762">
        <f t="shared" si="7"/>
        <v>7.77</v>
      </c>
      <c r="F762" t="s">
        <v>215</v>
      </c>
      <c r="G762" t="s">
        <v>298</v>
      </c>
      <c r="H762" s="71">
        <v>42134</v>
      </c>
      <c r="I762" t="s">
        <v>749</v>
      </c>
      <c r="J762" t="s">
        <v>13</v>
      </c>
    </row>
    <row r="763" spans="1:10" x14ac:dyDescent="0.2">
      <c r="A763" t="s">
        <v>733</v>
      </c>
      <c r="B763" s="31">
        <v>1</v>
      </c>
      <c r="C763" s="71">
        <v>42149</v>
      </c>
      <c r="D763">
        <v>3.79</v>
      </c>
      <c r="E763">
        <f t="shared" si="7"/>
        <v>3.79</v>
      </c>
      <c r="F763" t="s">
        <v>620</v>
      </c>
      <c r="G763" t="s">
        <v>298</v>
      </c>
      <c r="H763" s="71">
        <v>42134</v>
      </c>
      <c r="I763" t="s">
        <v>749</v>
      </c>
      <c r="J763" t="s">
        <v>13</v>
      </c>
    </row>
    <row r="764" spans="1:10" x14ac:dyDescent="0.2">
      <c r="A764" t="s">
        <v>244</v>
      </c>
      <c r="B764" s="31">
        <v>2</v>
      </c>
      <c r="C764" s="71">
        <v>42149</v>
      </c>
      <c r="D764">
        <v>1.29</v>
      </c>
      <c r="E764">
        <f t="shared" si="7"/>
        <v>2.58</v>
      </c>
      <c r="F764" t="s">
        <v>282</v>
      </c>
      <c r="G764" t="s">
        <v>298</v>
      </c>
      <c r="H764" s="71">
        <v>42134</v>
      </c>
      <c r="I764" t="s">
        <v>749</v>
      </c>
      <c r="J764" t="s">
        <v>13</v>
      </c>
    </row>
    <row r="765" spans="1:10" x14ac:dyDescent="0.2">
      <c r="A765" t="s">
        <v>465</v>
      </c>
      <c r="B765" s="31">
        <v>1</v>
      </c>
      <c r="C765" s="71">
        <v>42149</v>
      </c>
      <c r="D765">
        <v>3.79</v>
      </c>
      <c r="E765">
        <f t="shared" si="7"/>
        <v>3.79</v>
      </c>
      <c r="F765" t="s">
        <v>465</v>
      </c>
      <c r="G765" t="s">
        <v>298</v>
      </c>
      <c r="H765" s="71">
        <v>42134</v>
      </c>
      <c r="I765" t="s">
        <v>749</v>
      </c>
      <c r="J765" t="s">
        <v>13</v>
      </c>
    </row>
    <row r="766" spans="1:10" x14ac:dyDescent="0.2">
      <c r="A766" t="s">
        <v>243</v>
      </c>
      <c r="B766" s="31">
        <v>1</v>
      </c>
      <c r="C766" s="71">
        <v>42149</v>
      </c>
      <c r="D766">
        <v>13.99</v>
      </c>
      <c r="E766">
        <f t="shared" si="7"/>
        <v>13.99</v>
      </c>
      <c r="F766" t="s">
        <v>282</v>
      </c>
      <c r="G766" t="s">
        <v>298</v>
      </c>
      <c r="H766" s="71">
        <v>42134</v>
      </c>
      <c r="I766" t="s">
        <v>749</v>
      </c>
      <c r="J766" t="s">
        <v>13</v>
      </c>
    </row>
    <row r="767" spans="1:10" x14ac:dyDescent="0.2">
      <c r="A767" t="s">
        <v>465</v>
      </c>
      <c r="B767" s="31">
        <v>1</v>
      </c>
      <c r="C767" s="71">
        <v>42149</v>
      </c>
      <c r="D767">
        <v>5.19</v>
      </c>
      <c r="E767">
        <f t="shared" si="7"/>
        <v>5.19</v>
      </c>
      <c r="F767" t="s">
        <v>465</v>
      </c>
      <c r="G767" t="s">
        <v>298</v>
      </c>
      <c r="H767" s="71">
        <v>42134</v>
      </c>
      <c r="I767" t="s">
        <v>749</v>
      </c>
      <c r="J767" t="s">
        <v>13</v>
      </c>
    </row>
    <row r="768" spans="1:10" x14ac:dyDescent="0.2">
      <c r="A768" t="s">
        <v>253</v>
      </c>
      <c r="B768" s="31">
        <v>0.77500000000000002</v>
      </c>
      <c r="C768" s="71">
        <v>42152</v>
      </c>
      <c r="D768">
        <v>2.4900000000000002</v>
      </c>
      <c r="E768">
        <f t="shared" si="7"/>
        <v>1.9297500000000003</v>
      </c>
      <c r="F768" t="s">
        <v>279</v>
      </c>
      <c r="G768" t="s">
        <v>299</v>
      </c>
      <c r="H768" s="71">
        <v>42134</v>
      </c>
      <c r="I768" t="s">
        <v>749</v>
      </c>
      <c r="J768" t="s">
        <v>13</v>
      </c>
    </row>
    <row r="769" spans="1:10" x14ac:dyDescent="0.2">
      <c r="A769" t="s">
        <v>227</v>
      </c>
      <c r="B769" s="31">
        <v>0.249</v>
      </c>
      <c r="C769" s="71">
        <v>42152</v>
      </c>
      <c r="D769">
        <v>8.99</v>
      </c>
      <c r="E769">
        <f t="shared" si="7"/>
        <v>2.2385100000000002</v>
      </c>
      <c r="F769" t="s">
        <v>620</v>
      </c>
      <c r="G769" t="s">
        <v>299</v>
      </c>
      <c r="H769" s="71">
        <v>42134</v>
      </c>
      <c r="I769" t="s">
        <v>749</v>
      </c>
      <c r="J769" t="s">
        <v>13</v>
      </c>
    </row>
    <row r="770" spans="1:10" x14ac:dyDescent="0.2">
      <c r="A770" t="s">
        <v>284</v>
      </c>
      <c r="B770" s="31">
        <v>0.26</v>
      </c>
      <c r="C770" s="71">
        <v>42152</v>
      </c>
      <c r="D770">
        <v>15.49</v>
      </c>
      <c r="E770">
        <f t="shared" si="7"/>
        <v>4.0274000000000001</v>
      </c>
      <c r="F770" t="s">
        <v>609</v>
      </c>
      <c r="G770" t="s">
        <v>299</v>
      </c>
      <c r="H770" s="71">
        <v>42134</v>
      </c>
      <c r="I770" t="s">
        <v>749</v>
      </c>
      <c r="J770" t="s">
        <v>13</v>
      </c>
    </row>
    <row r="771" spans="1:10" x14ac:dyDescent="0.2">
      <c r="A771" t="s">
        <v>296</v>
      </c>
      <c r="B771" s="31">
        <v>0.114</v>
      </c>
      <c r="C771" s="71">
        <v>42152</v>
      </c>
      <c r="D771">
        <v>33.9</v>
      </c>
      <c r="E771">
        <f t="shared" si="7"/>
        <v>3.8645999999999998</v>
      </c>
      <c r="F771" t="s">
        <v>653</v>
      </c>
      <c r="G771" t="s">
        <v>299</v>
      </c>
      <c r="H771" s="71">
        <v>42134</v>
      </c>
      <c r="I771" t="s">
        <v>749</v>
      </c>
      <c r="J771" t="s">
        <v>13</v>
      </c>
    </row>
    <row r="772" spans="1:10" x14ac:dyDescent="0.2">
      <c r="A772" t="s">
        <v>820</v>
      </c>
      <c r="B772" s="31">
        <v>0.14000000000000001</v>
      </c>
      <c r="C772" s="71">
        <v>42152</v>
      </c>
      <c r="D772">
        <v>31.9</v>
      </c>
      <c r="E772">
        <f t="shared" si="7"/>
        <v>4.4660000000000002</v>
      </c>
      <c r="F772" t="s">
        <v>653</v>
      </c>
      <c r="G772" t="s">
        <v>298</v>
      </c>
      <c r="H772" s="71">
        <v>42134</v>
      </c>
      <c r="I772" t="s">
        <v>749</v>
      </c>
      <c r="J772" t="s">
        <v>13</v>
      </c>
    </row>
    <row r="773" spans="1:10" x14ac:dyDescent="0.2">
      <c r="A773" t="s">
        <v>468</v>
      </c>
      <c r="B773" s="31">
        <v>1</v>
      </c>
      <c r="C773" s="71">
        <v>42152</v>
      </c>
      <c r="D773">
        <v>5.49</v>
      </c>
      <c r="E773">
        <f t="shared" si="7"/>
        <v>5.49</v>
      </c>
      <c r="F773" t="s">
        <v>468</v>
      </c>
      <c r="G773" t="s">
        <v>298</v>
      </c>
      <c r="H773" s="71">
        <v>42134</v>
      </c>
      <c r="I773" t="s">
        <v>749</v>
      </c>
      <c r="J773" t="s">
        <v>13</v>
      </c>
    </row>
    <row r="774" spans="1:10" x14ac:dyDescent="0.2">
      <c r="A774" t="s">
        <v>313</v>
      </c>
      <c r="B774" s="31">
        <v>0.38500000000000001</v>
      </c>
      <c r="C774" s="71">
        <v>42155</v>
      </c>
      <c r="D774">
        <v>2.85</v>
      </c>
      <c r="E774">
        <f t="shared" si="7"/>
        <v>1.0972500000000001</v>
      </c>
      <c r="F774" t="s">
        <v>280</v>
      </c>
      <c r="G774" t="s">
        <v>299</v>
      </c>
      <c r="H774" s="71">
        <v>42134</v>
      </c>
      <c r="I774" t="s">
        <v>748</v>
      </c>
      <c r="J774" t="s">
        <v>13</v>
      </c>
    </row>
    <row r="775" spans="1:10" x14ac:dyDescent="0.2">
      <c r="A775" t="s">
        <v>303</v>
      </c>
      <c r="B775" s="31">
        <v>0.77500000000000002</v>
      </c>
      <c r="C775" s="71">
        <v>42155</v>
      </c>
      <c r="D775">
        <v>1.29</v>
      </c>
      <c r="E775">
        <f t="shared" si="7"/>
        <v>0.99975000000000003</v>
      </c>
      <c r="F775" t="s">
        <v>279</v>
      </c>
      <c r="G775" t="s">
        <v>299</v>
      </c>
      <c r="H775" s="71">
        <v>42134</v>
      </c>
      <c r="I775" t="s">
        <v>748</v>
      </c>
      <c r="J775" t="s">
        <v>13</v>
      </c>
    </row>
    <row r="776" spans="1:10" x14ac:dyDescent="0.2">
      <c r="A776" t="s">
        <v>726</v>
      </c>
      <c r="B776" s="31">
        <v>0.32500000000000001</v>
      </c>
      <c r="C776" s="71">
        <v>42155</v>
      </c>
      <c r="D776">
        <v>1.19</v>
      </c>
      <c r="E776">
        <f t="shared" si="7"/>
        <v>0.38674999999999998</v>
      </c>
      <c r="F776" t="s">
        <v>280</v>
      </c>
      <c r="G776" t="s">
        <v>299</v>
      </c>
      <c r="H776" s="71">
        <v>42134</v>
      </c>
      <c r="I776" t="s">
        <v>748</v>
      </c>
      <c r="J776" t="s">
        <v>13</v>
      </c>
    </row>
    <row r="777" spans="1:10" x14ac:dyDescent="0.2">
      <c r="A777" t="s">
        <v>230</v>
      </c>
      <c r="B777" s="31">
        <v>0.48499999999999999</v>
      </c>
      <c r="C777" s="71">
        <v>42155</v>
      </c>
      <c r="D777">
        <v>7.69</v>
      </c>
      <c r="E777">
        <f t="shared" si="7"/>
        <v>3.7296499999999999</v>
      </c>
      <c r="F777" t="s">
        <v>280</v>
      </c>
      <c r="G777" t="s">
        <v>299</v>
      </c>
      <c r="H777" s="71">
        <v>42134</v>
      </c>
      <c r="I777" t="s">
        <v>748</v>
      </c>
      <c r="J777" t="s">
        <v>13</v>
      </c>
    </row>
    <row r="778" spans="1:10" x14ac:dyDescent="0.2">
      <c r="A778" t="s">
        <v>308</v>
      </c>
      <c r="B778" s="31">
        <v>0.85</v>
      </c>
      <c r="C778" s="71">
        <v>42155</v>
      </c>
      <c r="D778">
        <v>3.99</v>
      </c>
      <c r="E778">
        <f t="shared" si="7"/>
        <v>3.3915000000000002</v>
      </c>
      <c r="F778" t="s">
        <v>279</v>
      </c>
      <c r="G778" t="s">
        <v>299</v>
      </c>
      <c r="H778" s="71">
        <v>42134</v>
      </c>
      <c r="I778" t="s">
        <v>748</v>
      </c>
      <c r="J778" t="s">
        <v>13</v>
      </c>
    </row>
    <row r="779" spans="1:10" x14ac:dyDescent="0.2">
      <c r="A779" t="s">
        <v>303</v>
      </c>
      <c r="B779" s="31">
        <v>0.93</v>
      </c>
      <c r="C779" s="71">
        <v>42155</v>
      </c>
      <c r="D779">
        <v>1.19</v>
      </c>
      <c r="E779">
        <f t="shared" si="7"/>
        <v>1.1067</v>
      </c>
      <c r="F779" t="s">
        <v>279</v>
      </c>
      <c r="G779" t="s">
        <v>299</v>
      </c>
      <c r="H779" s="71">
        <v>42134</v>
      </c>
      <c r="I779" t="s">
        <v>748</v>
      </c>
      <c r="J779" t="s">
        <v>13</v>
      </c>
    </row>
    <row r="780" spans="1:10" x14ac:dyDescent="0.2">
      <c r="A780" t="s">
        <v>232</v>
      </c>
      <c r="B780" s="31">
        <v>3</v>
      </c>
      <c r="C780" s="71">
        <v>42155</v>
      </c>
      <c r="D780">
        <v>1.99</v>
      </c>
      <c r="E780">
        <f t="shared" si="7"/>
        <v>5.97</v>
      </c>
      <c r="F780" t="s">
        <v>279</v>
      </c>
      <c r="G780" t="s">
        <v>299</v>
      </c>
      <c r="H780" s="71">
        <v>42134</v>
      </c>
      <c r="I780" t="s">
        <v>748</v>
      </c>
      <c r="J780" t="s">
        <v>13</v>
      </c>
    </row>
    <row r="781" spans="1:10" x14ac:dyDescent="0.2">
      <c r="A781" t="s">
        <v>253</v>
      </c>
      <c r="B781" s="31">
        <v>0.875</v>
      </c>
      <c r="C781" s="71">
        <v>42155</v>
      </c>
      <c r="D781">
        <v>1.99</v>
      </c>
      <c r="E781">
        <f t="shared" si="7"/>
        <v>1.74125</v>
      </c>
      <c r="F781" t="s">
        <v>279</v>
      </c>
      <c r="G781" t="s">
        <v>299</v>
      </c>
      <c r="H781" s="71">
        <v>42134</v>
      </c>
      <c r="I781" t="s">
        <v>748</v>
      </c>
      <c r="J781" t="s">
        <v>13</v>
      </c>
    </row>
    <row r="782" spans="1:10" x14ac:dyDescent="0.2">
      <c r="A782" t="s">
        <v>218</v>
      </c>
      <c r="B782" s="31">
        <v>1</v>
      </c>
      <c r="C782" s="71">
        <v>42155</v>
      </c>
      <c r="D782">
        <v>1.86</v>
      </c>
      <c r="E782">
        <f t="shared" si="7"/>
        <v>1.86</v>
      </c>
      <c r="F782" t="s">
        <v>280</v>
      </c>
      <c r="G782" t="s">
        <v>298</v>
      </c>
      <c r="H782" s="71">
        <v>42134</v>
      </c>
      <c r="I782" t="s">
        <v>748</v>
      </c>
      <c r="J782" t="s">
        <v>13</v>
      </c>
    </row>
    <row r="783" spans="1:10" x14ac:dyDescent="0.2">
      <c r="A783" t="s">
        <v>567</v>
      </c>
      <c r="B783" s="31">
        <v>0.51</v>
      </c>
      <c r="C783" s="71">
        <v>42155</v>
      </c>
      <c r="D783">
        <v>4.99</v>
      </c>
      <c r="E783">
        <f t="shared" si="7"/>
        <v>2.5449000000000002</v>
      </c>
      <c r="F783" t="s">
        <v>279</v>
      </c>
      <c r="G783" t="s">
        <v>299</v>
      </c>
      <c r="H783" s="71">
        <v>42134</v>
      </c>
      <c r="I783" t="s">
        <v>748</v>
      </c>
      <c r="J783" t="s">
        <v>13</v>
      </c>
    </row>
    <row r="784" spans="1:10" x14ac:dyDescent="0.2">
      <c r="A784" t="s">
        <v>308</v>
      </c>
      <c r="B784" s="31">
        <v>1.1599999999999999</v>
      </c>
      <c r="C784" s="71">
        <v>42155</v>
      </c>
      <c r="D784">
        <v>2.89</v>
      </c>
      <c r="E784">
        <f t="shared" si="7"/>
        <v>3.3523999999999998</v>
      </c>
      <c r="F784" t="s">
        <v>279</v>
      </c>
      <c r="G784" t="s">
        <v>299</v>
      </c>
      <c r="H784" s="71">
        <v>42134</v>
      </c>
      <c r="I784" t="s">
        <v>748</v>
      </c>
      <c r="J784" t="s">
        <v>13</v>
      </c>
    </row>
    <row r="785" spans="1:10" x14ac:dyDescent="0.2">
      <c r="A785" t="s">
        <v>821</v>
      </c>
      <c r="B785" s="31">
        <v>0.312</v>
      </c>
      <c r="C785" s="71">
        <v>42155</v>
      </c>
      <c r="D785">
        <v>10</v>
      </c>
      <c r="E785">
        <f t="shared" si="7"/>
        <v>3.12</v>
      </c>
      <c r="F785" t="s">
        <v>280</v>
      </c>
      <c r="G785" t="s">
        <v>299</v>
      </c>
      <c r="H785" s="71">
        <v>42134</v>
      </c>
      <c r="I785" t="s">
        <v>748</v>
      </c>
      <c r="J785" t="s">
        <v>13</v>
      </c>
    </row>
    <row r="786" spans="1:10" x14ac:dyDescent="0.2">
      <c r="A786" t="s">
        <v>302</v>
      </c>
      <c r="B786" s="31">
        <v>0.66500000000000004</v>
      </c>
      <c r="C786" s="71">
        <v>42155</v>
      </c>
      <c r="D786">
        <v>4.99</v>
      </c>
      <c r="E786">
        <f t="shared" si="7"/>
        <v>3.3183500000000001</v>
      </c>
      <c r="F786" t="s">
        <v>279</v>
      </c>
      <c r="G786" t="s">
        <v>299</v>
      </c>
      <c r="H786" s="71">
        <v>42134</v>
      </c>
      <c r="I786" t="s">
        <v>748</v>
      </c>
      <c r="J786" t="s">
        <v>13</v>
      </c>
    </row>
    <row r="787" spans="1:10" x14ac:dyDescent="0.2">
      <c r="A787" t="s">
        <v>468</v>
      </c>
      <c r="B787" s="31">
        <v>1</v>
      </c>
      <c r="C787" s="71">
        <v>42155</v>
      </c>
      <c r="D787">
        <v>4.95</v>
      </c>
      <c r="E787">
        <f t="shared" si="7"/>
        <v>4.95</v>
      </c>
      <c r="F787" t="s">
        <v>468</v>
      </c>
      <c r="G787" t="s">
        <v>298</v>
      </c>
      <c r="H787" s="71">
        <v>42134</v>
      </c>
      <c r="I787" t="s">
        <v>748</v>
      </c>
      <c r="J787" t="s">
        <v>13</v>
      </c>
    </row>
    <row r="788" spans="1:10" x14ac:dyDescent="0.2">
      <c r="A788" t="s">
        <v>733</v>
      </c>
      <c r="B788" s="31">
        <v>1</v>
      </c>
      <c r="C788" s="71">
        <v>42155</v>
      </c>
      <c r="D788">
        <v>3.99</v>
      </c>
      <c r="E788">
        <f t="shared" si="7"/>
        <v>3.99</v>
      </c>
      <c r="F788" t="s">
        <v>620</v>
      </c>
      <c r="G788" t="s">
        <v>298</v>
      </c>
      <c r="H788" s="71">
        <v>42134</v>
      </c>
      <c r="I788" t="s">
        <v>748</v>
      </c>
      <c r="J788" t="s">
        <v>13</v>
      </c>
    </row>
    <row r="789" spans="1:10" x14ac:dyDescent="0.2">
      <c r="A789" t="s">
        <v>215</v>
      </c>
      <c r="B789" s="31">
        <v>3</v>
      </c>
      <c r="C789" s="71">
        <v>42155</v>
      </c>
      <c r="D789">
        <v>2.79</v>
      </c>
      <c r="E789">
        <f t="shared" si="7"/>
        <v>8.370000000000001</v>
      </c>
      <c r="F789" t="s">
        <v>215</v>
      </c>
      <c r="G789" t="s">
        <v>298</v>
      </c>
      <c r="H789" s="71">
        <v>42134</v>
      </c>
      <c r="I789" t="s">
        <v>748</v>
      </c>
      <c r="J789" t="s">
        <v>13</v>
      </c>
    </row>
    <row r="790" spans="1:10" x14ac:dyDescent="0.2">
      <c r="A790" t="s">
        <v>570</v>
      </c>
      <c r="B790" s="31">
        <v>2</v>
      </c>
      <c r="C790" s="71">
        <v>42155</v>
      </c>
      <c r="D790">
        <v>4.79</v>
      </c>
      <c r="E790">
        <f t="shared" si="7"/>
        <v>9.58</v>
      </c>
      <c r="F790" t="s">
        <v>653</v>
      </c>
      <c r="G790" t="s">
        <v>298</v>
      </c>
      <c r="H790" s="71">
        <v>42134</v>
      </c>
      <c r="I790" t="s">
        <v>748</v>
      </c>
      <c r="J790" t="s">
        <v>13</v>
      </c>
    </row>
    <row r="791" spans="1:10" x14ac:dyDescent="0.2">
      <c r="A791" t="s">
        <v>668</v>
      </c>
      <c r="B791" s="31">
        <v>1</v>
      </c>
      <c r="C791" s="71">
        <v>42155</v>
      </c>
      <c r="D791">
        <v>3.39</v>
      </c>
      <c r="E791">
        <f t="shared" si="7"/>
        <v>3.39</v>
      </c>
      <c r="F791" t="s">
        <v>235</v>
      </c>
      <c r="G791" t="s">
        <v>298</v>
      </c>
      <c r="H791" s="71">
        <v>42134</v>
      </c>
      <c r="I791" t="s">
        <v>748</v>
      </c>
      <c r="J791" t="s">
        <v>13</v>
      </c>
    </row>
    <row r="792" spans="1:10" x14ac:dyDescent="0.2">
      <c r="A792" t="s">
        <v>614</v>
      </c>
      <c r="B792" s="31">
        <v>0.42299999999999999</v>
      </c>
      <c r="C792" s="71">
        <v>42155</v>
      </c>
      <c r="D792">
        <v>10.99</v>
      </c>
      <c r="E792">
        <f t="shared" si="7"/>
        <v>4.6487699999999998</v>
      </c>
      <c r="F792" t="s">
        <v>614</v>
      </c>
      <c r="G792" t="s">
        <v>299</v>
      </c>
      <c r="H792" s="71">
        <v>42134</v>
      </c>
      <c r="I792" t="s">
        <v>748</v>
      </c>
      <c r="J792" t="s">
        <v>13</v>
      </c>
    </row>
    <row r="793" spans="1:10" x14ac:dyDescent="0.2">
      <c r="A793" t="s">
        <v>822</v>
      </c>
      <c r="B793" s="31">
        <v>0.224</v>
      </c>
      <c r="C793" s="71">
        <v>42155</v>
      </c>
      <c r="D793">
        <v>12.99</v>
      </c>
      <c r="E793">
        <f t="shared" si="7"/>
        <v>2.9097599999999999</v>
      </c>
      <c r="F793" t="s">
        <v>784</v>
      </c>
      <c r="G793" t="s">
        <v>299</v>
      </c>
      <c r="H793" s="71">
        <v>42134</v>
      </c>
      <c r="I793" t="s">
        <v>748</v>
      </c>
      <c r="J793" t="s">
        <v>13</v>
      </c>
    </row>
    <row r="794" spans="1:10" x14ac:dyDescent="0.2">
      <c r="A794" t="s">
        <v>828</v>
      </c>
      <c r="B794" s="31">
        <v>0.36399999999999999</v>
      </c>
      <c r="C794" s="71">
        <v>42155</v>
      </c>
      <c r="D794">
        <v>36.6</v>
      </c>
      <c r="E794">
        <f t="shared" si="7"/>
        <v>13.3224</v>
      </c>
      <c r="F794" t="s">
        <v>784</v>
      </c>
      <c r="G794" t="s">
        <v>299</v>
      </c>
      <c r="H794" s="71">
        <v>42134</v>
      </c>
      <c r="I794" t="s">
        <v>748</v>
      </c>
      <c r="J794" t="s">
        <v>13</v>
      </c>
    </row>
    <row r="795" spans="1:10" x14ac:dyDescent="0.2">
      <c r="A795" t="s">
        <v>823</v>
      </c>
      <c r="B795" s="31">
        <v>1</v>
      </c>
      <c r="C795" s="71">
        <v>42155</v>
      </c>
      <c r="D795">
        <v>7.99</v>
      </c>
      <c r="E795">
        <f t="shared" si="7"/>
        <v>7.99</v>
      </c>
      <c r="F795" t="s">
        <v>322</v>
      </c>
      <c r="G795" t="s">
        <v>298</v>
      </c>
      <c r="H795" s="71">
        <v>42134</v>
      </c>
      <c r="I795" t="s">
        <v>748</v>
      </c>
      <c r="J795" t="s">
        <v>13</v>
      </c>
    </row>
    <row r="796" spans="1:10" x14ac:dyDescent="0.2">
      <c r="A796" t="s">
        <v>824</v>
      </c>
      <c r="B796" s="31">
        <v>1</v>
      </c>
      <c r="C796" s="71">
        <v>42155</v>
      </c>
      <c r="D796">
        <v>4.9800000000000004</v>
      </c>
      <c r="E796">
        <f t="shared" si="7"/>
        <v>4.9800000000000004</v>
      </c>
      <c r="F796" t="s">
        <v>282</v>
      </c>
      <c r="G796" t="s">
        <v>298</v>
      </c>
      <c r="H796" s="71">
        <v>42134</v>
      </c>
      <c r="I796" t="s">
        <v>748</v>
      </c>
      <c r="J796" t="s">
        <v>13</v>
      </c>
    </row>
    <row r="797" spans="1:10" x14ac:dyDescent="0.2">
      <c r="A797" t="s">
        <v>825</v>
      </c>
      <c r="B797" s="31">
        <v>1</v>
      </c>
      <c r="C797" s="71">
        <v>42155</v>
      </c>
      <c r="D797">
        <v>4.99</v>
      </c>
      <c r="E797">
        <f t="shared" si="7"/>
        <v>4.99</v>
      </c>
      <c r="F797" t="s">
        <v>322</v>
      </c>
      <c r="G797" t="s">
        <v>298</v>
      </c>
      <c r="H797" s="71">
        <v>42134</v>
      </c>
      <c r="I797" t="s">
        <v>748</v>
      </c>
      <c r="J797" t="s">
        <v>13</v>
      </c>
    </row>
    <row r="798" spans="1:10" x14ac:dyDescent="0.2">
      <c r="A798" t="s">
        <v>829</v>
      </c>
      <c r="B798" s="31">
        <v>1</v>
      </c>
      <c r="C798" s="71">
        <v>42155</v>
      </c>
      <c r="D798">
        <v>23.25</v>
      </c>
      <c r="E798">
        <f t="shared" si="7"/>
        <v>23.25</v>
      </c>
      <c r="F798" t="s">
        <v>322</v>
      </c>
      <c r="G798" t="s">
        <v>298</v>
      </c>
      <c r="H798" s="71">
        <v>42134</v>
      </c>
      <c r="I798" t="s">
        <v>748</v>
      </c>
      <c r="J798" t="s">
        <v>13</v>
      </c>
    </row>
    <row r="799" spans="1:10" x14ac:dyDescent="0.2">
      <c r="A799" t="s">
        <v>826</v>
      </c>
      <c r="B799" s="31">
        <v>4</v>
      </c>
      <c r="C799" s="71">
        <v>42155</v>
      </c>
      <c r="D799">
        <v>1.69</v>
      </c>
      <c r="E799">
        <f t="shared" si="7"/>
        <v>6.76</v>
      </c>
      <c r="F799" t="s">
        <v>322</v>
      </c>
      <c r="G799" t="s">
        <v>298</v>
      </c>
      <c r="H799" s="71">
        <v>42134</v>
      </c>
      <c r="I799" t="s">
        <v>748</v>
      </c>
      <c r="J799" t="s">
        <v>13</v>
      </c>
    </row>
    <row r="800" spans="1:10" x14ac:dyDescent="0.2">
      <c r="A800" t="s">
        <v>786</v>
      </c>
      <c r="B800" s="31">
        <v>3</v>
      </c>
      <c r="C800" s="71">
        <v>42155</v>
      </c>
      <c r="D800">
        <v>2.12</v>
      </c>
      <c r="E800">
        <f t="shared" si="7"/>
        <v>6.36</v>
      </c>
      <c r="F800" t="s">
        <v>322</v>
      </c>
      <c r="G800" t="s">
        <v>298</v>
      </c>
      <c r="H800" s="71">
        <v>42134</v>
      </c>
      <c r="I800" t="s">
        <v>748</v>
      </c>
      <c r="J800" t="s">
        <v>13</v>
      </c>
    </row>
    <row r="801" spans="1:10" x14ac:dyDescent="0.2">
      <c r="A801" t="s">
        <v>827</v>
      </c>
      <c r="B801" s="31">
        <v>1</v>
      </c>
      <c r="C801" s="71">
        <v>42155</v>
      </c>
      <c r="D801">
        <v>3.58</v>
      </c>
      <c r="E801">
        <f t="shared" si="7"/>
        <v>3.58</v>
      </c>
      <c r="F801" t="s">
        <v>282</v>
      </c>
      <c r="G801" t="s">
        <v>298</v>
      </c>
      <c r="H801" s="71">
        <v>42134</v>
      </c>
      <c r="I801" t="s">
        <v>748</v>
      </c>
      <c r="J801" t="s">
        <v>13</v>
      </c>
    </row>
    <row r="802" spans="1:10" x14ac:dyDescent="0.2">
      <c r="A802" t="s">
        <v>320</v>
      </c>
      <c r="B802" s="31">
        <v>1</v>
      </c>
      <c r="C802" s="71">
        <v>42155</v>
      </c>
      <c r="D802">
        <v>17.59</v>
      </c>
      <c r="E802">
        <f t="shared" si="7"/>
        <v>17.59</v>
      </c>
      <c r="F802" t="s">
        <v>322</v>
      </c>
      <c r="G802" t="s">
        <v>298</v>
      </c>
      <c r="H802" s="71">
        <v>42134</v>
      </c>
      <c r="I802" t="s">
        <v>748</v>
      </c>
      <c r="J802" t="s">
        <v>13</v>
      </c>
    </row>
    <row r="803" spans="1:10" x14ac:dyDescent="0.2">
      <c r="A803" t="s">
        <v>248</v>
      </c>
      <c r="B803" s="31">
        <v>1</v>
      </c>
      <c r="C803" s="71">
        <v>42155</v>
      </c>
      <c r="D803">
        <v>3.58</v>
      </c>
      <c r="E803">
        <f t="shared" si="7"/>
        <v>3.58</v>
      </c>
      <c r="F803" t="s">
        <v>322</v>
      </c>
      <c r="G803" t="s">
        <v>298</v>
      </c>
      <c r="H803" s="71">
        <v>42134</v>
      </c>
      <c r="I803" t="s">
        <v>748</v>
      </c>
      <c r="J803" t="s">
        <v>13</v>
      </c>
    </row>
    <row r="804" spans="1:10" x14ac:dyDescent="0.2">
      <c r="A804" t="s">
        <v>830</v>
      </c>
      <c r="B804" s="31">
        <v>1</v>
      </c>
      <c r="C804" s="71">
        <v>42156</v>
      </c>
      <c r="D804">
        <v>2.99</v>
      </c>
      <c r="E804">
        <f t="shared" si="7"/>
        <v>2.99</v>
      </c>
      <c r="F804" t="s">
        <v>834</v>
      </c>
      <c r="G804" t="s">
        <v>298</v>
      </c>
      <c r="H804" s="71">
        <v>42134</v>
      </c>
      <c r="I804" t="s">
        <v>749</v>
      </c>
      <c r="J804" t="s">
        <v>13</v>
      </c>
    </row>
    <row r="805" spans="1:10" x14ac:dyDescent="0.2">
      <c r="A805" t="s">
        <v>831</v>
      </c>
      <c r="B805" s="31">
        <v>6.6000000000000003E-2</v>
      </c>
      <c r="C805" s="71">
        <v>42156</v>
      </c>
      <c r="D805">
        <v>60.9</v>
      </c>
      <c r="E805">
        <f t="shared" si="7"/>
        <v>4.0194000000000001</v>
      </c>
      <c r="F805" t="s">
        <v>653</v>
      </c>
      <c r="G805" t="s">
        <v>299</v>
      </c>
      <c r="H805" s="71">
        <v>42134</v>
      </c>
      <c r="I805" t="s">
        <v>749</v>
      </c>
      <c r="J805" t="s">
        <v>13</v>
      </c>
    </row>
    <row r="806" spans="1:10" x14ac:dyDescent="0.2">
      <c r="A806" t="s">
        <v>441</v>
      </c>
      <c r="B806" s="31">
        <v>1</v>
      </c>
      <c r="C806" s="71">
        <v>42159</v>
      </c>
      <c r="D806">
        <v>4.99</v>
      </c>
      <c r="E806">
        <f t="shared" si="7"/>
        <v>4.99</v>
      </c>
      <c r="F806" t="s">
        <v>322</v>
      </c>
      <c r="G806" t="s">
        <v>298</v>
      </c>
      <c r="H806" s="71">
        <v>42134</v>
      </c>
      <c r="I806" t="s">
        <v>749</v>
      </c>
      <c r="J806" t="s">
        <v>13</v>
      </c>
    </row>
    <row r="807" spans="1:10" x14ac:dyDescent="0.2">
      <c r="A807" t="s">
        <v>832</v>
      </c>
      <c r="B807" s="31">
        <v>1</v>
      </c>
      <c r="C807" s="71">
        <v>42159</v>
      </c>
      <c r="D807">
        <v>9.49</v>
      </c>
      <c r="E807">
        <f t="shared" si="7"/>
        <v>9.49</v>
      </c>
      <c r="F807" t="s">
        <v>620</v>
      </c>
      <c r="G807" t="s">
        <v>298</v>
      </c>
      <c r="H807" s="71">
        <v>42134</v>
      </c>
      <c r="I807" t="s">
        <v>749</v>
      </c>
      <c r="J807" t="s">
        <v>13</v>
      </c>
    </row>
    <row r="808" spans="1:10" x14ac:dyDescent="0.2">
      <c r="A808" t="s">
        <v>257</v>
      </c>
      <c r="B808" s="31">
        <v>1</v>
      </c>
      <c r="C808" s="71">
        <v>42159</v>
      </c>
      <c r="D808">
        <v>41.99</v>
      </c>
      <c r="E808">
        <f t="shared" si="7"/>
        <v>41.99</v>
      </c>
      <c r="F808" t="s">
        <v>257</v>
      </c>
      <c r="G808" t="s">
        <v>298</v>
      </c>
      <c r="H808" s="71">
        <v>42134</v>
      </c>
      <c r="I808" t="s">
        <v>749</v>
      </c>
      <c r="J808" t="s">
        <v>13</v>
      </c>
    </row>
    <row r="809" spans="1:10" x14ac:dyDescent="0.2">
      <c r="A809" t="s">
        <v>244</v>
      </c>
      <c r="B809" s="31">
        <v>2</v>
      </c>
      <c r="C809" s="71">
        <v>42165</v>
      </c>
      <c r="D809">
        <v>1.29</v>
      </c>
      <c r="E809">
        <f t="shared" si="7"/>
        <v>2.58</v>
      </c>
      <c r="F809" t="s">
        <v>282</v>
      </c>
      <c r="G809" t="s">
        <v>298</v>
      </c>
      <c r="H809" s="71">
        <v>42165</v>
      </c>
      <c r="I809" t="s">
        <v>749</v>
      </c>
      <c r="J809" t="s">
        <v>13</v>
      </c>
    </row>
    <row r="810" spans="1:10" x14ac:dyDescent="0.2">
      <c r="A810" t="s">
        <v>573</v>
      </c>
      <c r="B810" s="31">
        <v>1</v>
      </c>
      <c r="C810" s="71">
        <v>42165</v>
      </c>
      <c r="D810">
        <v>6.89</v>
      </c>
      <c r="E810">
        <f t="shared" si="7"/>
        <v>6.89</v>
      </c>
      <c r="F810" t="s">
        <v>657</v>
      </c>
      <c r="G810" t="s">
        <v>298</v>
      </c>
      <c r="H810" s="71">
        <v>42165</v>
      </c>
      <c r="I810" t="s">
        <v>749</v>
      </c>
      <c r="J810" t="s">
        <v>13</v>
      </c>
    </row>
    <row r="811" spans="1:10" x14ac:dyDescent="0.2">
      <c r="A811" t="s">
        <v>728</v>
      </c>
      <c r="B811" s="31">
        <v>2</v>
      </c>
      <c r="C811" s="71">
        <v>42165</v>
      </c>
      <c r="D811">
        <v>7.99</v>
      </c>
      <c r="E811">
        <f t="shared" si="7"/>
        <v>15.98</v>
      </c>
      <c r="F811" t="s">
        <v>322</v>
      </c>
      <c r="G811" t="s">
        <v>298</v>
      </c>
      <c r="H811" s="71">
        <v>42165</v>
      </c>
      <c r="I811" t="s">
        <v>749</v>
      </c>
      <c r="J811" t="s">
        <v>13</v>
      </c>
    </row>
    <row r="812" spans="1:10" x14ac:dyDescent="0.2">
      <c r="A812" t="s">
        <v>227</v>
      </c>
      <c r="B812" s="31">
        <v>0.2</v>
      </c>
      <c r="C812" s="71">
        <v>42165</v>
      </c>
      <c r="D812">
        <v>8.99</v>
      </c>
      <c r="E812">
        <f t="shared" si="7"/>
        <v>1.798</v>
      </c>
      <c r="F812" t="s">
        <v>657</v>
      </c>
      <c r="G812" t="s">
        <v>299</v>
      </c>
      <c r="H812" s="71">
        <v>42165</v>
      </c>
      <c r="I812" t="s">
        <v>749</v>
      </c>
      <c r="J812" t="s">
        <v>13</v>
      </c>
    </row>
    <row r="813" spans="1:10" x14ac:dyDescent="0.2">
      <c r="A813" t="s">
        <v>876</v>
      </c>
      <c r="B813" s="31">
        <v>1</v>
      </c>
      <c r="C813" s="71">
        <v>42165</v>
      </c>
      <c r="D813">
        <v>3.29</v>
      </c>
      <c r="E813">
        <f t="shared" si="7"/>
        <v>3.29</v>
      </c>
      <c r="F813" t="s">
        <v>282</v>
      </c>
      <c r="G813" t="s">
        <v>298</v>
      </c>
      <c r="H813" s="71">
        <v>42165</v>
      </c>
      <c r="I813" t="s">
        <v>749</v>
      </c>
      <c r="J813" t="s">
        <v>13</v>
      </c>
    </row>
    <row r="814" spans="1:10" x14ac:dyDescent="0.2">
      <c r="A814" t="s">
        <v>877</v>
      </c>
      <c r="B814" s="31">
        <v>1</v>
      </c>
      <c r="C814" s="71">
        <v>42165</v>
      </c>
      <c r="D814">
        <v>4.29</v>
      </c>
      <c r="E814">
        <f t="shared" si="7"/>
        <v>4.29</v>
      </c>
      <c r="F814" t="s">
        <v>287</v>
      </c>
      <c r="G814" t="s">
        <v>298</v>
      </c>
      <c r="H814" s="71">
        <v>42165</v>
      </c>
      <c r="I814" t="s">
        <v>749</v>
      </c>
      <c r="J814" t="s">
        <v>13</v>
      </c>
    </row>
    <row r="815" spans="1:10" x14ac:dyDescent="0.2">
      <c r="A815" t="s">
        <v>878</v>
      </c>
      <c r="B815" s="31">
        <v>1</v>
      </c>
      <c r="C815" s="71">
        <v>42165</v>
      </c>
      <c r="D815">
        <v>4.29</v>
      </c>
      <c r="E815">
        <f t="shared" si="7"/>
        <v>4.29</v>
      </c>
      <c r="F815" t="s">
        <v>287</v>
      </c>
      <c r="G815" t="s">
        <v>298</v>
      </c>
      <c r="H815" s="71">
        <v>42165</v>
      </c>
      <c r="I815" t="s">
        <v>749</v>
      </c>
      <c r="J815" t="s">
        <v>13</v>
      </c>
    </row>
    <row r="816" spans="1:10" x14ac:dyDescent="0.2">
      <c r="A816" t="s">
        <v>215</v>
      </c>
      <c r="B816" s="31">
        <v>4</v>
      </c>
      <c r="C816" s="71">
        <v>42161</v>
      </c>
      <c r="D816">
        <v>2.85</v>
      </c>
      <c r="E816">
        <f t="shared" si="7"/>
        <v>11.4</v>
      </c>
      <c r="F816" t="s">
        <v>215</v>
      </c>
      <c r="G816" t="s">
        <v>298</v>
      </c>
      <c r="H816" s="71">
        <v>42134</v>
      </c>
      <c r="I816" t="s">
        <v>748</v>
      </c>
      <c r="J816" t="s">
        <v>13</v>
      </c>
    </row>
    <row r="817" spans="1:10" x14ac:dyDescent="0.2">
      <c r="A817" t="s">
        <v>468</v>
      </c>
      <c r="B817" s="31">
        <v>1</v>
      </c>
      <c r="C817" s="71">
        <v>42161</v>
      </c>
      <c r="D817">
        <v>6.05</v>
      </c>
      <c r="E817">
        <f t="shared" si="7"/>
        <v>6.05</v>
      </c>
      <c r="F817" t="s">
        <v>468</v>
      </c>
      <c r="G817" t="s">
        <v>298</v>
      </c>
      <c r="H817" s="71">
        <v>42134</v>
      </c>
      <c r="I817" t="s">
        <v>748</v>
      </c>
      <c r="J817" t="s">
        <v>13</v>
      </c>
    </row>
    <row r="818" spans="1:10" x14ac:dyDescent="0.2">
      <c r="A818" t="s">
        <v>678</v>
      </c>
      <c r="B818" s="31">
        <v>1.08</v>
      </c>
      <c r="C818" s="71">
        <v>42161</v>
      </c>
      <c r="D818">
        <v>17.899999999999999</v>
      </c>
      <c r="E818">
        <f t="shared" si="7"/>
        <v>19.332000000000001</v>
      </c>
      <c r="F818" t="s">
        <v>609</v>
      </c>
      <c r="G818" t="s">
        <v>299</v>
      </c>
      <c r="H818" s="71">
        <v>42134</v>
      </c>
      <c r="I818" t="s">
        <v>748</v>
      </c>
      <c r="J818" t="s">
        <v>13</v>
      </c>
    </row>
    <row r="819" spans="1:10" x14ac:dyDescent="0.2">
      <c r="A819" t="s">
        <v>307</v>
      </c>
      <c r="B819" s="31">
        <v>0.44500000000000001</v>
      </c>
      <c r="C819" s="71">
        <v>42161</v>
      </c>
      <c r="D819">
        <v>6.99</v>
      </c>
      <c r="E819">
        <f t="shared" si="7"/>
        <v>3.1105499999999999</v>
      </c>
      <c r="F819" t="s">
        <v>280</v>
      </c>
      <c r="G819" t="s">
        <v>299</v>
      </c>
      <c r="H819" s="71">
        <v>42134</v>
      </c>
      <c r="I819" t="s">
        <v>748</v>
      </c>
      <c r="J819" t="s">
        <v>13</v>
      </c>
    </row>
    <row r="820" spans="1:10" x14ac:dyDescent="0.2">
      <c r="A820" t="s">
        <v>409</v>
      </c>
      <c r="B820" s="31">
        <v>0.17100000000000001</v>
      </c>
      <c r="C820" s="71">
        <v>42161</v>
      </c>
      <c r="D820">
        <v>10.57</v>
      </c>
      <c r="E820">
        <f t="shared" si="7"/>
        <v>1.8074700000000001</v>
      </c>
      <c r="F820" t="s">
        <v>653</v>
      </c>
      <c r="G820" t="s">
        <v>299</v>
      </c>
      <c r="H820" s="71">
        <v>42134</v>
      </c>
      <c r="I820" t="s">
        <v>748</v>
      </c>
      <c r="J820" t="s">
        <v>13</v>
      </c>
    </row>
    <row r="821" spans="1:10" x14ac:dyDescent="0.2">
      <c r="A821" t="s">
        <v>295</v>
      </c>
      <c r="B821" s="31">
        <v>0.27800000000000002</v>
      </c>
      <c r="C821" s="71">
        <v>42161</v>
      </c>
      <c r="D821">
        <v>24.9</v>
      </c>
      <c r="E821">
        <f t="shared" si="7"/>
        <v>6.9222000000000001</v>
      </c>
      <c r="F821" t="s">
        <v>653</v>
      </c>
      <c r="G821" t="s">
        <v>299</v>
      </c>
      <c r="H821" s="71">
        <v>42134</v>
      </c>
      <c r="I821" t="s">
        <v>748</v>
      </c>
      <c r="J821" t="s">
        <v>13</v>
      </c>
    </row>
    <row r="822" spans="1:10" x14ac:dyDescent="0.2">
      <c r="A822" t="s">
        <v>657</v>
      </c>
      <c r="B822" s="31">
        <v>1</v>
      </c>
      <c r="C822" s="71">
        <v>42161</v>
      </c>
      <c r="D822" s="81">
        <v>6.29</v>
      </c>
      <c r="E822">
        <f t="shared" si="7"/>
        <v>6.29</v>
      </c>
      <c r="F822" t="s">
        <v>657</v>
      </c>
      <c r="G822" t="s">
        <v>298</v>
      </c>
      <c r="H822" s="71">
        <v>42134</v>
      </c>
      <c r="I822" t="s">
        <v>748</v>
      </c>
      <c r="J822" t="s">
        <v>13</v>
      </c>
    </row>
    <row r="823" spans="1:10" x14ac:dyDescent="0.2">
      <c r="A823" t="s">
        <v>879</v>
      </c>
      <c r="B823" s="31">
        <v>1</v>
      </c>
      <c r="C823" s="71">
        <v>42161</v>
      </c>
      <c r="D823" s="81">
        <v>5.38</v>
      </c>
      <c r="E823">
        <f t="shared" ref="E823:E928" si="8">B823*D823</f>
        <v>5.38</v>
      </c>
      <c r="F823" t="s">
        <v>222</v>
      </c>
      <c r="G823" t="s">
        <v>298</v>
      </c>
      <c r="H823" s="71">
        <v>42134</v>
      </c>
      <c r="I823" t="s">
        <v>748</v>
      </c>
      <c r="J823" t="s">
        <v>13</v>
      </c>
    </row>
    <row r="824" spans="1:10" x14ac:dyDescent="0.2">
      <c r="A824" t="s">
        <v>269</v>
      </c>
      <c r="B824" s="31">
        <v>1</v>
      </c>
      <c r="C824" s="71">
        <v>42161</v>
      </c>
      <c r="D824" s="81">
        <v>4.3099999999999996</v>
      </c>
      <c r="E824">
        <f t="shared" si="8"/>
        <v>4.3099999999999996</v>
      </c>
      <c r="F824" t="s">
        <v>269</v>
      </c>
      <c r="G824" t="s">
        <v>298</v>
      </c>
      <c r="H824" s="71">
        <v>42134</v>
      </c>
      <c r="I824" t="s">
        <v>748</v>
      </c>
      <c r="J824" t="s">
        <v>13</v>
      </c>
    </row>
    <row r="825" spans="1:10" x14ac:dyDescent="0.2">
      <c r="A825" t="s">
        <v>215</v>
      </c>
      <c r="B825" s="31">
        <v>3</v>
      </c>
      <c r="C825" s="71">
        <v>42170</v>
      </c>
      <c r="D825" s="81">
        <v>2.85</v>
      </c>
      <c r="E825">
        <f t="shared" si="8"/>
        <v>8.5500000000000007</v>
      </c>
      <c r="F825" t="s">
        <v>215</v>
      </c>
      <c r="G825" t="s">
        <v>298</v>
      </c>
      <c r="H825" s="71">
        <v>42165</v>
      </c>
      <c r="I825" t="s">
        <v>749</v>
      </c>
      <c r="J825" t="s">
        <v>13</v>
      </c>
    </row>
    <row r="826" spans="1:10" x14ac:dyDescent="0.2">
      <c r="A826" t="s">
        <v>573</v>
      </c>
      <c r="B826" s="31">
        <v>1</v>
      </c>
      <c r="C826" s="71">
        <v>42170</v>
      </c>
      <c r="D826" s="81">
        <v>6.89</v>
      </c>
      <c r="E826">
        <f t="shared" si="8"/>
        <v>6.89</v>
      </c>
      <c r="F826" t="s">
        <v>657</v>
      </c>
      <c r="G826" t="s">
        <v>298</v>
      </c>
      <c r="H826" s="71">
        <v>42165</v>
      </c>
      <c r="I826" t="s">
        <v>749</v>
      </c>
      <c r="J826" t="s">
        <v>13</v>
      </c>
    </row>
    <row r="827" spans="1:10" x14ac:dyDescent="0.2">
      <c r="A827" t="s">
        <v>244</v>
      </c>
      <c r="B827" s="31">
        <v>2</v>
      </c>
      <c r="C827" s="71">
        <v>42170</v>
      </c>
      <c r="D827" s="81">
        <v>1.29</v>
      </c>
      <c r="E827">
        <f t="shared" si="8"/>
        <v>2.58</v>
      </c>
      <c r="F827" t="s">
        <v>282</v>
      </c>
      <c r="G827" t="s">
        <v>298</v>
      </c>
      <c r="H827" s="71">
        <v>42165</v>
      </c>
      <c r="I827" t="s">
        <v>749</v>
      </c>
      <c r="J827" t="s">
        <v>13</v>
      </c>
    </row>
    <row r="828" spans="1:10" x14ac:dyDescent="0.2">
      <c r="A828" t="s">
        <v>307</v>
      </c>
      <c r="B828" s="31">
        <v>0.64500000000000002</v>
      </c>
      <c r="C828" s="71">
        <v>42170</v>
      </c>
      <c r="D828" s="81">
        <v>4.7</v>
      </c>
      <c r="E828">
        <f t="shared" si="8"/>
        <v>3.0315000000000003</v>
      </c>
      <c r="F828" t="s">
        <v>280</v>
      </c>
      <c r="G828" t="s">
        <v>299</v>
      </c>
      <c r="H828" s="71">
        <v>42165</v>
      </c>
      <c r="I828" t="s">
        <v>749</v>
      </c>
      <c r="J828" t="s">
        <v>13</v>
      </c>
    </row>
    <row r="829" spans="1:10" x14ac:dyDescent="0.2">
      <c r="A829" t="s">
        <v>570</v>
      </c>
      <c r="B829" s="31">
        <v>1</v>
      </c>
      <c r="C829" s="71">
        <v>42170</v>
      </c>
      <c r="D829" s="81">
        <v>4.45</v>
      </c>
      <c r="E829">
        <f t="shared" si="8"/>
        <v>4.45</v>
      </c>
      <c r="F829" t="s">
        <v>653</v>
      </c>
      <c r="G829" t="s">
        <v>298</v>
      </c>
      <c r="H829" s="71">
        <v>42165</v>
      </c>
      <c r="I829" t="s">
        <v>749</v>
      </c>
      <c r="J829" t="s">
        <v>13</v>
      </c>
    </row>
    <row r="830" spans="1:10" x14ac:dyDescent="0.2">
      <c r="A830" t="s">
        <v>308</v>
      </c>
      <c r="B830" s="31">
        <v>0.98499999999999999</v>
      </c>
      <c r="C830" s="71">
        <v>42170</v>
      </c>
      <c r="D830" s="81">
        <v>3.89</v>
      </c>
      <c r="E830">
        <f t="shared" si="8"/>
        <v>3.8316500000000002</v>
      </c>
      <c r="F830" t="s">
        <v>279</v>
      </c>
      <c r="G830" t="s">
        <v>299</v>
      </c>
      <c r="H830" s="71">
        <v>42165</v>
      </c>
      <c r="I830" t="s">
        <v>749</v>
      </c>
      <c r="J830" t="s">
        <v>13</v>
      </c>
    </row>
    <row r="831" spans="1:10" x14ac:dyDescent="0.2">
      <c r="A831" t="s">
        <v>880</v>
      </c>
      <c r="B831" s="31">
        <v>0.505</v>
      </c>
      <c r="C831" s="71">
        <v>42170</v>
      </c>
      <c r="D831" s="81">
        <v>5.39</v>
      </c>
      <c r="E831">
        <f t="shared" si="8"/>
        <v>2.7219499999999996</v>
      </c>
      <c r="F831" t="s">
        <v>279</v>
      </c>
      <c r="G831" t="s">
        <v>299</v>
      </c>
      <c r="H831" s="71">
        <v>42165</v>
      </c>
      <c r="I831" t="s">
        <v>749</v>
      </c>
      <c r="J831" t="s">
        <v>13</v>
      </c>
    </row>
    <row r="832" spans="1:10" x14ac:dyDescent="0.2">
      <c r="A832" t="s">
        <v>614</v>
      </c>
      <c r="B832" s="31">
        <v>1</v>
      </c>
      <c r="C832" s="71">
        <v>42170</v>
      </c>
      <c r="D832" s="81">
        <v>3.99</v>
      </c>
      <c r="E832">
        <f t="shared" si="8"/>
        <v>3.99</v>
      </c>
      <c r="F832" t="s">
        <v>614</v>
      </c>
      <c r="G832" t="s">
        <v>299</v>
      </c>
      <c r="H832" s="71">
        <v>42165</v>
      </c>
      <c r="I832" t="s">
        <v>749</v>
      </c>
      <c r="J832" t="s">
        <v>13</v>
      </c>
    </row>
    <row r="833" spans="1:10" x14ac:dyDescent="0.2">
      <c r="A833" t="s">
        <v>881</v>
      </c>
      <c r="B833" s="31">
        <v>0.436</v>
      </c>
      <c r="C833" s="71">
        <v>42170</v>
      </c>
      <c r="D833" s="81">
        <v>35.79</v>
      </c>
      <c r="E833">
        <f t="shared" si="8"/>
        <v>15.60444</v>
      </c>
      <c r="F833" t="s">
        <v>609</v>
      </c>
      <c r="G833" t="s">
        <v>299</v>
      </c>
      <c r="H833" s="71">
        <v>42165</v>
      </c>
      <c r="I833" t="s">
        <v>749</v>
      </c>
      <c r="J833" t="s">
        <v>13</v>
      </c>
    </row>
    <row r="834" spans="1:10" x14ac:dyDescent="0.2">
      <c r="A834" t="s">
        <v>300</v>
      </c>
      <c r="B834" s="31">
        <v>0.37</v>
      </c>
      <c r="C834" s="71">
        <v>42170</v>
      </c>
      <c r="D834" s="81">
        <v>5.99</v>
      </c>
      <c r="E834">
        <f t="shared" si="8"/>
        <v>2.2162999999999999</v>
      </c>
      <c r="F834" t="s">
        <v>280</v>
      </c>
      <c r="G834" t="s">
        <v>299</v>
      </c>
      <c r="H834" s="71">
        <v>42165</v>
      </c>
      <c r="I834" t="s">
        <v>749</v>
      </c>
      <c r="J834" t="s">
        <v>13</v>
      </c>
    </row>
    <row r="835" spans="1:10" x14ac:dyDescent="0.2">
      <c r="A835" t="s">
        <v>468</v>
      </c>
      <c r="B835" s="31">
        <v>1</v>
      </c>
      <c r="C835" s="71">
        <v>42170</v>
      </c>
      <c r="D835" s="81">
        <v>6.89</v>
      </c>
      <c r="E835">
        <f t="shared" si="8"/>
        <v>6.89</v>
      </c>
      <c r="F835" t="s">
        <v>468</v>
      </c>
      <c r="G835" t="s">
        <v>298</v>
      </c>
      <c r="H835" s="71">
        <v>42165</v>
      </c>
      <c r="I835" t="s">
        <v>749</v>
      </c>
      <c r="J835" t="s">
        <v>13</v>
      </c>
    </row>
    <row r="836" spans="1:10" x14ac:dyDescent="0.2">
      <c r="A836" t="s">
        <v>244</v>
      </c>
      <c r="B836" s="31">
        <v>2</v>
      </c>
      <c r="C836" s="71">
        <v>42175</v>
      </c>
      <c r="D836" s="81">
        <v>1.19</v>
      </c>
      <c r="E836">
        <f t="shared" si="8"/>
        <v>2.38</v>
      </c>
      <c r="F836" t="s">
        <v>282</v>
      </c>
      <c r="G836" t="s">
        <v>298</v>
      </c>
      <c r="H836" s="71">
        <v>42165</v>
      </c>
      <c r="I836" t="s">
        <v>748</v>
      </c>
      <c r="J836" t="s">
        <v>13</v>
      </c>
    </row>
    <row r="837" spans="1:10" x14ac:dyDescent="0.2">
      <c r="A837" t="s">
        <v>827</v>
      </c>
      <c r="B837" s="31">
        <v>1</v>
      </c>
      <c r="C837" s="71">
        <v>42175</v>
      </c>
      <c r="D837" s="81">
        <v>3.58</v>
      </c>
      <c r="E837">
        <f t="shared" si="8"/>
        <v>3.58</v>
      </c>
      <c r="F837" t="s">
        <v>282</v>
      </c>
      <c r="G837" t="s">
        <v>298</v>
      </c>
      <c r="H837" s="71">
        <v>42165</v>
      </c>
      <c r="I837" t="s">
        <v>748</v>
      </c>
      <c r="J837" t="s">
        <v>13</v>
      </c>
    </row>
    <row r="838" spans="1:10" x14ac:dyDescent="0.2">
      <c r="A838" t="s">
        <v>549</v>
      </c>
      <c r="B838" s="31">
        <v>1</v>
      </c>
      <c r="C838" s="71">
        <v>42175</v>
      </c>
      <c r="D838" s="81">
        <v>6.68</v>
      </c>
      <c r="E838">
        <f t="shared" si="8"/>
        <v>6.68</v>
      </c>
      <c r="F838" t="s">
        <v>282</v>
      </c>
      <c r="G838" t="s">
        <v>298</v>
      </c>
      <c r="H838" s="71">
        <v>42165</v>
      </c>
      <c r="I838" t="s">
        <v>748</v>
      </c>
      <c r="J838" t="s">
        <v>13</v>
      </c>
    </row>
    <row r="839" spans="1:10" x14ac:dyDescent="0.2">
      <c r="A839" t="s">
        <v>241</v>
      </c>
      <c r="B839" s="31">
        <v>1</v>
      </c>
      <c r="C839" s="71">
        <v>42175</v>
      </c>
      <c r="D839" s="81">
        <v>4.9800000000000004</v>
      </c>
      <c r="E839">
        <f t="shared" si="8"/>
        <v>4.9800000000000004</v>
      </c>
      <c r="F839" t="s">
        <v>282</v>
      </c>
      <c r="G839" t="s">
        <v>298</v>
      </c>
      <c r="H839" s="71">
        <v>42165</v>
      </c>
      <c r="I839" t="s">
        <v>748</v>
      </c>
      <c r="J839" t="s">
        <v>13</v>
      </c>
    </row>
    <row r="840" spans="1:10" x14ac:dyDescent="0.2">
      <c r="A840" t="s">
        <v>242</v>
      </c>
      <c r="B840" s="31">
        <v>1</v>
      </c>
      <c r="C840" s="71">
        <v>42175</v>
      </c>
      <c r="D840" s="81">
        <v>7.99</v>
      </c>
      <c r="E840">
        <f t="shared" si="8"/>
        <v>7.99</v>
      </c>
      <c r="F840" t="s">
        <v>282</v>
      </c>
      <c r="G840" t="s">
        <v>298</v>
      </c>
      <c r="H840" s="71">
        <v>42165</v>
      </c>
      <c r="I840" t="s">
        <v>748</v>
      </c>
      <c r="J840" t="s">
        <v>13</v>
      </c>
    </row>
    <row r="841" spans="1:10" x14ac:dyDescent="0.2">
      <c r="A841" t="s">
        <v>882</v>
      </c>
      <c r="B841" s="31">
        <v>0.755</v>
      </c>
      <c r="C841" s="71">
        <v>42175</v>
      </c>
      <c r="D841" s="81">
        <v>3.69</v>
      </c>
      <c r="E841">
        <f t="shared" si="8"/>
        <v>2.7859500000000001</v>
      </c>
      <c r="F841" t="s">
        <v>279</v>
      </c>
      <c r="G841" t="s">
        <v>299</v>
      </c>
      <c r="H841" s="71">
        <v>42165</v>
      </c>
      <c r="I841" t="s">
        <v>748</v>
      </c>
      <c r="J841" t="s">
        <v>13</v>
      </c>
    </row>
    <row r="842" spans="1:10" x14ac:dyDescent="0.2">
      <c r="A842" t="s">
        <v>755</v>
      </c>
      <c r="B842" s="31">
        <v>1</v>
      </c>
      <c r="C842" s="71">
        <v>42175</v>
      </c>
      <c r="D842" s="81">
        <v>3.99</v>
      </c>
      <c r="E842">
        <f t="shared" si="8"/>
        <v>3.99</v>
      </c>
      <c r="F842" t="s">
        <v>279</v>
      </c>
      <c r="G842" t="s">
        <v>298</v>
      </c>
      <c r="H842" s="71">
        <v>42165</v>
      </c>
      <c r="I842" t="s">
        <v>748</v>
      </c>
      <c r="J842" t="s">
        <v>13</v>
      </c>
    </row>
    <row r="843" spans="1:10" x14ac:dyDescent="0.2">
      <c r="A843" t="s">
        <v>232</v>
      </c>
      <c r="B843" s="31">
        <v>2</v>
      </c>
      <c r="C843" s="71">
        <v>42175</v>
      </c>
      <c r="D843" s="81">
        <v>7.7</v>
      </c>
      <c r="E843">
        <f t="shared" si="8"/>
        <v>15.4</v>
      </c>
      <c r="F843" t="s">
        <v>279</v>
      </c>
      <c r="G843" t="s">
        <v>299</v>
      </c>
      <c r="H843" s="71">
        <v>42165</v>
      </c>
      <c r="I843" t="s">
        <v>748</v>
      </c>
      <c r="J843" t="s">
        <v>13</v>
      </c>
    </row>
    <row r="844" spans="1:10" x14ac:dyDescent="0.2">
      <c r="A844" t="s">
        <v>883</v>
      </c>
      <c r="B844" s="31">
        <v>1</v>
      </c>
      <c r="C844" s="71">
        <v>42175</v>
      </c>
      <c r="D844">
        <v>2.86</v>
      </c>
      <c r="E844">
        <f t="shared" si="8"/>
        <v>2.86</v>
      </c>
      <c r="F844" t="s">
        <v>280</v>
      </c>
      <c r="G844" t="s">
        <v>298</v>
      </c>
      <c r="H844" s="71">
        <v>42165</v>
      </c>
      <c r="I844" t="s">
        <v>748</v>
      </c>
      <c r="J844" t="s">
        <v>13</v>
      </c>
    </row>
    <row r="845" spans="1:10" x14ac:dyDescent="0.2">
      <c r="A845" t="s">
        <v>231</v>
      </c>
      <c r="B845" s="31">
        <v>1</v>
      </c>
      <c r="C845" s="71">
        <v>42175</v>
      </c>
      <c r="D845" s="81">
        <v>5.99</v>
      </c>
      <c r="E845">
        <f t="shared" si="8"/>
        <v>5.99</v>
      </c>
      <c r="F845" t="s">
        <v>279</v>
      </c>
      <c r="G845" t="s">
        <v>298</v>
      </c>
      <c r="H845" s="71">
        <v>42165</v>
      </c>
      <c r="I845" t="s">
        <v>748</v>
      </c>
      <c r="J845" t="s">
        <v>13</v>
      </c>
    </row>
    <row r="846" spans="1:10" x14ac:dyDescent="0.2">
      <c r="A846" t="s">
        <v>300</v>
      </c>
      <c r="B846" s="31">
        <v>0.28000000000000003</v>
      </c>
      <c r="C846" s="71">
        <v>42175</v>
      </c>
      <c r="D846" s="81">
        <v>4.3099999999999996</v>
      </c>
      <c r="E846">
        <f t="shared" si="8"/>
        <v>1.2068000000000001</v>
      </c>
      <c r="F846" t="s">
        <v>280</v>
      </c>
      <c r="G846" t="s">
        <v>299</v>
      </c>
      <c r="H846" s="71">
        <v>42165</v>
      </c>
      <c r="I846" t="s">
        <v>748</v>
      </c>
      <c r="J846" t="s">
        <v>13</v>
      </c>
    </row>
    <row r="847" spans="1:10" x14ac:dyDescent="0.2">
      <c r="A847" t="s">
        <v>315</v>
      </c>
      <c r="B847" s="31">
        <v>0.11</v>
      </c>
      <c r="C847" s="71">
        <v>42175</v>
      </c>
      <c r="D847" s="81">
        <v>19.899999999999999</v>
      </c>
      <c r="E847">
        <f t="shared" si="8"/>
        <v>2.1890000000000001</v>
      </c>
      <c r="F847" t="s">
        <v>280</v>
      </c>
      <c r="G847" t="s">
        <v>299</v>
      </c>
      <c r="H847" s="71">
        <v>42165</v>
      </c>
      <c r="I847" t="s">
        <v>748</v>
      </c>
      <c r="J847" t="s">
        <v>13</v>
      </c>
    </row>
    <row r="848" spans="1:10" x14ac:dyDescent="0.2">
      <c r="A848" t="s">
        <v>301</v>
      </c>
      <c r="B848" s="31">
        <v>0.57999999999999996</v>
      </c>
      <c r="C848" s="71">
        <v>42175</v>
      </c>
      <c r="D848" s="81">
        <v>10</v>
      </c>
      <c r="E848">
        <f t="shared" si="8"/>
        <v>5.8</v>
      </c>
      <c r="F848" t="s">
        <v>280</v>
      </c>
      <c r="G848" t="s">
        <v>299</v>
      </c>
      <c r="H848" s="71">
        <v>42165</v>
      </c>
      <c r="I848" t="s">
        <v>748</v>
      </c>
      <c r="J848" t="s">
        <v>13</v>
      </c>
    </row>
    <row r="849" spans="1:10" x14ac:dyDescent="0.2">
      <c r="A849" t="s">
        <v>215</v>
      </c>
      <c r="B849" s="31">
        <v>3</v>
      </c>
      <c r="C849" s="71">
        <v>42175</v>
      </c>
      <c r="D849" s="81">
        <v>2.89</v>
      </c>
      <c r="E849">
        <f t="shared" si="8"/>
        <v>8.67</v>
      </c>
      <c r="F849" t="s">
        <v>215</v>
      </c>
      <c r="G849" t="s">
        <v>298</v>
      </c>
      <c r="H849" s="71">
        <v>42165</v>
      </c>
      <c r="I849" t="s">
        <v>748</v>
      </c>
      <c r="J849" t="s">
        <v>13</v>
      </c>
    </row>
    <row r="850" spans="1:10" x14ac:dyDescent="0.2">
      <c r="A850" t="s">
        <v>438</v>
      </c>
      <c r="B850" s="31">
        <v>0.53</v>
      </c>
      <c r="C850" s="71">
        <v>42175</v>
      </c>
      <c r="D850" s="81">
        <v>10</v>
      </c>
      <c r="E850">
        <f t="shared" si="8"/>
        <v>5.3000000000000007</v>
      </c>
      <c r="F850" t="s">
        <v>280</v>
      </c>
      <c r="G850" t="s">
        <v>299</v>
      </c>
      <c r="H850" s="71">
        <v>42165</v>
      </c>
      <c r="I850" t="s">
        <v>748</v>
      </c>
      <c r="J850" t="s">
        <v>13</v>
      </c>
    </row>
    <row r="851" spans="1:10" x14ac:dyDescent="0.2">
      <c r="A851" t="s">
        <v>468</v>
      </c>
      <c r="B851" s="31">
        <v>1</v>
      </c>
      <c r="C851" s="71">
        <v>42175</v>
      </c>
      <c r="D851" s="81">
        <v>4.8499999999999996</v>
      </c>
      <c r="E851">
        <f t="shared" si="8"/>
        <v>4.8499999999999996</v>
      </c>
      <c r="F851" t="s">
        <v>468</v>
      </c>
      <c r="G851" t="s">
        <v>298</v>
      </c>
      <c r="H851" s="71">
        <v>42165</v>
      </c>
      <c r="I851" t="s">
        <v>748</v>
      </c>
      <c r="J851" t="s">
        <v>13</v>
      </c>
    </row>
    <row r="852" spans="1:10" x14ac:dyDescent="0.2">
      <c r="A852" t="s">
        <v>570</v>
      </c>
      <c r="B852" s="31">
        <v>1</v>
      </c>
      <c r="C852" s="71">
        <v>42175</v>
      </c>
      <c r="D852" s="81">
        <v>4.79</v>
      </c>
      <c r="E852">
        <f t="shared" si="8"/>
        <v>4.79</v>
      </c>
      <c r="F852" t="s">
        <v>653</v>
      </c>
      <c r="G852" t="s">
        <v>298</v>
      </c>
      <c r="H852" s="71">
        <v>42165</v>
      </c>
      <c r="I852" t="s">
        <v>748</v>
      </c>
      <c r="J852" t="s">
        <v>13</v>
      </c>
    </row>
    <row r="853" spans="1:10" x14ac:dyDescent="0.2">
      <c r="A853" t="s">
        <v>884</v>
      </c>
      <c r="B853" s="31">
        <v>1</v>
      </c>
      <c r="C853" s="71">
        <v>42175</v>
      </c>
      <c r="D853" s="81">
        <v>6.7</v>
      </c>
      <c r="E853">
        <f t="shared" si="8"/>
        <v>6.7</v>
      </c>
      <c r="F853" t="s">
        <v>617</v>
      </c>
      <c r="G853" t="s">
        <v>298</v>
      </c>
      <c r="H853" s="71">
        <v>42165</v>
      </c>
      <c r="I853" t="s">
        <v>748</v>
      </c>
      <c r="J853" t="s">
        <v>13</v>
      </c>
    </row>
    <row r="854" spans="1:10" x14ac:dyDescent="0.2">
      <c r="A854" t="s">
        <v>708</v>
      </c>
      <c r="B854" s="31">
        <v>0.51200000000000001</v>
      </c>
      <c r="C854" s="71">
        <v>42175</v>
      </c>
      <c r="D854" s="81">
        <v>22.99</v>
      </c>
      <c r="E854">
        <f t="shared" si="8"/>
        <v>11.77088</v>
      </c>
      <c r="F854" t="s">
        <v>609</v>
      </c>
      <c r="G854" t="s">
        <v>299</v>
      </c>
      <c r="H854" s="71">
        <v>42165</v>
      </c>
      <c r="I854" t="s">
        <v>748</v>
      </c>
      <c r="J854" t="s">
        <v>13</v>
      </c>
    </row>
    <row r="855" spans="1:10" x14ac:dyDescent="0.2">
      <c r="A855" t="s">
        <v>887</v>
      </c>
      <c r="B855" s="31">
        <v>0.88500000000000001</v>
      </c>
      <c r="C855" s="71">
        <v>42175</v>
      </c>
      <c r="D855" s="81">
        <v>11.59</v>
      </c>
      <c r="E855">
        <f t="shared" si="8"/>
        <v>10.257149999999999</v>
      </c>
      <c r="F855" t="s">
        <v>615</v>
      </c>
      <c r="G855" t="s">
        <v>299</v>
      </c>
      <c r="H855" s="71">
        <v>42165</v>
      </c>
      <c r="I855" t="s">
        <v>748</v>
      </c>
      <c r="J855" t="s">
        <v>13</v>
      </c>
    </row>
    <row r="856" spans="1:10" x14ac:dyDescent="0.2">
      <c r="A856" t="s">
        <v>885</v>
      </c>
      <c r="B856" s="31">
        <v>0.93799999999999994</v>
      </c>
      <c r="C856" s="71">
        <v>42175</v>
      </c>
      <c r="D856" s="81">
        <v>18.989999999999998</v>
      </c>
      <c r="E856">
        <f t="shared" si="8"/>
        <v>17.812619999999999</v>
      </c>
      <c r="F856" t="s">
        <v>609</v>
      </c>
      <c r="G856" t="s">
        <v>299</v>
      </c>
      <c r="H856" s="71">
        <v>42165</v>
      </c>
      <c r="I856" t="s">
        <v>748</v>
      </c>
      <c r="J856" t="s">
        <v>13</v>
      </c>
    </row>
    <row r="857" spans="1:10" x14ac:dyDescent="0.2">
      <c r="A857" t="s">
        <v>886</v>
      </c>
      <c r="B857" s="31">
        <v>1</v>
      </c>
      <c r="C857" s="71">
        <v>42175</v>
      </c>
      <c r="D857" s="81">
        <v>6.8</v>
      </c>
      <c r="E857">
        <f t="shared" si="8"/>
        <v>6.8</v>
      </c>
      <c r="F857" t="s">
        <v>790</v>
      </c>
      <c r="G857" t="s">
        <v>298</v>
      </c>
      <c r="H857" s="71">
        <v>42165</v>
      </c>
      <c r="I857" t="s">
        <v>748</v>
      </c>
      <c r="J857" t="s">
        <v>13</v>
      </c>
    </row>
    <row r="858" spans="1:10" x14ac:dyDescent="0.2">
      <c r="A858" t="s">
        <v>573</v>
      </c>
      <c r="B858" s="31">
        <v>1</v>
      </c>
      <c r="C858" s="71">
        <v>42175</v>
      </c>
      <c r="D858" s="81">
        <v>6.29</v>
      </c>
      <c r="E858">
        <f t="shared" si="8"/>
        <v>6.29</v>
      </c>
      <c r="F858" t="s">
        <v>657</v>
      </c>
      <c r="G858" t="s">
        <v>298</v>
      </c>
      <c r="H858" s="71">
        <v>42165</v>
      </c>
      <c r="I858" t="s">
        <v>748</v>
      </c>
      <c r="J858" t="s">
        <v>13</v>
      </c>
    </row>
    <row r="859" spans="1:10" x14ac:dyDescent="0.2">
      <c r="A859" t="s">
        <v>468</v>
      </c>
      <c r="B859" s="31">
        <v>1</v>
      </c>
      <c r="C859" s="71">
        <v>42175</v>
      </c>
      <c r="D859" s="81">
        <v>4.3899999999999997</v>
      </c>
      <c r="E859">
        <f t="shared" si="8"/>
        <v>4.3899999999999997</v>
      </c>
      <c r="F859" t="s">
        <v>468</v>
      </c>
      <c r="G859" t="s">
        <v>298</v>
      </c>
      <c r="H859" s="71">
        <v>42165</v>
      </c>
      <c r="I859" t="s">
        <v>748</v>
      </c>
      <c r="J859" t="s">
        <v>13</v>
      </c>
    </row>
    <row r="860" spans="1:10" x14ac:dyDescent="0.2">
      <c r="A860" t="s">
        <v>295</v>
      </c>
      <c r="B860" s="31">
        <v>0.106</v>
      </c>
      <c r="C860" s="71">
        <v>42175</v>
      </c>
      <c r="D860" s="81">
        <v>21.99</v>
      </c>
      <c r="E860">
        <f t="shared" si="8"/>
        <v>2.3309399999999996</v>
      </c>
      <c r="F860" t="s">
        <v>653</v>
      </c>
      <c r="G860" t="s">
        <v>299</v>
      </c>
      <c r="H860" s="71">
        <v>42165</v>
      </c>
      <c r="I860" t="s">
        <v>748</v>
      </c>
      <c r="J860" t="s">
        <v>13</v>
      </c>
    </row>
    <row r="861" spans="1:10" x14ac:dyDescent="0.2">
      <c r="A861" t="s">
        <v>296</v>
      </c>
      <c r="B861" s="31">
        <v>0.11</v>
      </c>
      <c r="C861" s="71">
        <v>42175</v>
      </c>
      <c r="D861" s="81">
        <v>48.99</v>
      </c>
      <c r="E861">
        <f t="shared" si="8"/>
        <v>5.3889000000000005</v>
      </c>
      <c r="F861" t="s">
        <v>653</v>
      </c>
      <c r="G861" t="s">
        <v>299</v>
      </c>
      <c r="H861" s="71">
        <v>42165</v>
      </c>
      <c r="I861" t="s">
        <v>748</v>
      </c>
      <c r="J861" t="s">
        <v>13</v>
      </c>
    </row>
    <row r="862" spans="1:10" x14ac:dyDescent="0.2">
      <c r="A862" t="s">
        <v>183</v>
      </c>
      <c r="B862" s="31">
        <v>1</v>
      </c>
      <c r="C862" s="71">
        <v>42175</v>
      </c>
      <c r="D862" s="81">
        <v>16.989999999999998</v>
      </c>
      <c r="E862">
        <f t="shared" si="8"/>
        <v>16.989999999999998</v>
      </c>
      <c r="F862" t="s">
        <v>183</v>
      </c>
      <c r="G862" t="s">
        <v>298</v>
      </c>
      <c r="H862" s="71">
        <v>42165</v>
      </c>
      <c r="I862" t="s">
        <v>748</v>
      </c>
      <c r="J862" t="s">
        <v>13</v>
      </c>
    </row>
    <row r="863" spans="1:10" x14ac:dyDescent="0.2">
      <c r="A863" t="s">
        <v>938</v>
      </c>
      <c r="B863" s="31">
        <v>1</v>
      </c>
      <c r="C863" s="71">
        <v>42182</v>
      </c>
      <c r="D863" s="81">
        <v>3.79</v>
      </c>
      <c r="E863">
        <f t="shared" si="8"/>
        <v>3.79</v>
      </c>
      <c r="F863" t="s">
        <v>657</v>
      </c>
      <c r="G863" t="s">
        <v>298</v>
      </c>
      <c r="H863" s="71">
        <v>42165</v>
      </c>
      <c r="I863" t="s">
        <v>748</v>
      </c>
      <c r="J863" t="s">
        <v>15</v>
      </c>
    </row>
    <row r="864" spans="1:10" x14ac:dyDescent="0.2">
      <c r="A864" t="s">
        <v>939</v>
      </c>
      <c r="B864" s="31">
        <v>1</v>
      </c>
      <c r="C864" s="71">
        <v>42182</v>
      </c>
      <c r="D864" s="81">
        <v>5.7</v>
      </c>
      <c r="E864">
        <f t="shared" si="8"/>
        <v>5.7</v>
      </c>
      <c r="F864" t="s">
        <v>757</v>
      </c>
      <c r="G864" t="s">
        <v>298</v>
      </c>
      <c r="H864" s="71">
        <v>42165</v>
      </c>
      <c r="I864" t="s">
        <v>748</v>
      </c>
      <c r="J864" t="s">
        <v>15</v>
      </c>
    </row>
    <row r="865" spans="1:10" x14ac:dyDescent="0.2">
      <c r="A865" t="s">
        <v>733</v>
      </c>
      <c r="B865" s="31">
        <v>1</v>
      </c>
      <c r="C865" s="71">
        <v>42182</v>
      </c>
      <c r="D865" s="81">
        <v>5.62</v>
      </c>
      <c r="E865">
        <f t="shared" si="8"/>
        <v>5.62</v>
      </c>
      <c r="F865" t="s">
        <v>657</v>
      </c>
      <c r="G865" t="s">
        <v>298</v>
      </c>
      <c r="H865" s="71">
        <v>42165</v>
      </c>
      <c r="I865" t="s">
        <v>748</v>
      </c>
      <c r="J865" t="s">
        <v>15</v>
      </c>
    </row>
    <row r="866" spans="1:10" x14ac:dyDescent="0.2">
      <c r="A866" t="s">
        <v>814</v>
      </c>
      <c r="B866" s="31">
        <v>1</v>
      </c>
      <c r="C866" s="71">
        <v>42182</v>
      </c>
      <c r="D866" s="81">
        <v>4.8899999999999997</v>
      </c>
      <c r="E866">
        <f t="shared" si="8"/>
        <v>4.8899999999999997</v>
      </c>
      <c r="F866" t="s">
        <v>465</v>
      </c>
      <c r="G866" t="s">
        <v>298</v>
      </c>
      <c r="H866" s="71">
        <v>42165</v>
      </c>
      <c r="I866" t="s">
        <v>748</v>
      </c>
      <c r="J866" t="s">
        <v>15</v>
      </c>
    </row>
    <row r="867" spans="1:10" x14ac:dyDescent="0.2">
      <c r="A867" t="s">
        <v>248</v>
      </c>
      <c r="B867" s="31">
        <v>1</v>
      </c>
      <c r="C867" s="71">
        <v>42182</v>
      </c>
      <c r="D867" s="81">
        <v>3.58</v>
      </c>
      <c r="E867">
        <f t="shared" si="8"/>
        <v>3.58</v>
      </c>
      <c r="F867" t="s">
        <v>948</v>
      </c>
      <c r="G867" t="s">
        <v>298</v>
      </c>
      <c r="H867" s="71">
        <v>42165</v>
      </c>
      <c r="I867" t="s">
        <v>748</v>
      </c>
      <c r="J867" t="s">
        <v>15</v>
      </c>
    </row>
    <row r="868" spans="1:10" x14ac:dyDescent="0.2">
      <c r="A868" t="s">
        <v>313</v>
      </c>
      <c r="B868" s="31">
        <v>0.21</v>
      </c>
      <c r="C868" s="71">
        <v>42182</v>
      </c>
      <c r="D868" s="81">
        <v>1.89</v>
      </c>
      <c r="E868">
        <f t="shared" si="8"/>
        <v>0.39689999999999998</v>
      </c>
      <c r="F868" t="s">
        <v>280</v>
      </c>
      <c r="G868" t="s">
        <v>299</v>
      </c>
      <c r="H868" s="71">
        <v>42165</v>
      </c>
      <c r="I868" t="s">
        <v>748</v>
      </c>
      <c r="J868" t="s">
        <v>15</v>
      </c>
    </row>
    <row r="869" spans="1:10" x14ac:dyDescent="0.2">
      <c r="A869" t="s">
        <v>307</v>
      </c>
      <c r="B869" s="31">
        <v>0.66</v>
      </c>
      <c r="C869" s="71">
        <v>42182</v>
      </c>
      <c r="D869" s="81">
        <v>5.99</v>
      </c>
      <c r="E869">
        <f t="shared" si="8"/>
        <v>3.9534000000000002</v>
      </c>
      <c r="F869" t="s">
        <v>280</v>
      </c>
      <c r="G869" t="s">
        <v>299</v>
      </c>
      <c r="H869" s="71">
        <v>42165</v>
      </c>
      <c r="I869" t="s">
        <v>748</v>
      </c>
      <c r="J869" t="s">
        <v>15</v>
      </c>
    </row>
    <row r="870" spans="1:10" x14ac:dyDescent="0.2">
      <c r="A870" t="s">
        <v>940</v>
      </c>
      <c r="B870" s="31">
        <v>1</v>
      </c>
      <c r="C870" s="71">
        <v>42182</v>
      </c>
      <c r="D870" s="81">
        <v>4.58</v>
      </c>
      <c r="E870">
        <f t="shared" si="8"/>
        <v>4.58</v>
      </c>
      <c r="F870" t="s">
        <v>287</v>
      </c>
      <c r="G870" t="s">
        <v>298</v>
      </c>
      <c r="H870" s="71">
        <v>42165</v>
      </c>
      <c r="I870" t="s">
        <v>748</v>
      </c>
      <c r="J870" t="s">
        <v>15</v>
      </c>
    </row>
    <row r="871" spans="1:10" x14ac:dyDescent="0.2">
      <c r="A871" t="s">
        <v>570</v>
      </c>
      <c r="B871" s="31">
        <v>2</v>
      </c>
      <c r="C871" s="71">
        <v>42182</v>
      </c>
      <c r="D871" s="81">
        <v>4.79</v>
      </c>
      <c r="E871">
        <f t="shared" si="8"/>
        <v>9.58</v>
      </c>
      <c r="F871" t="s">
        <v>653</v>
      </c>
      <c r="G871" t="s">
        <v>298</v>
      </c>
      <c r="H871" s="71">
        <v>42165</v>
      </c>
      <c r="I871" t="s">
        <v>748</v>
      </c>
      <c r="J871" t="s">
        <v>15</v>
      </c>
    </row>
    <row r="872" spans="1:10" x14ac:dyDescent="0.2">
      <c r="A872" t="s">
        <v>226</v>
      </c>
      <c r="B872" s="31">
        <v>1</v>
      </c>
      <c r="C872" s="71">
        <v>42182</v>
      </c>
      <c r="D872" s="81">
        <v>2.59</v>
      </c>
      <c r="E872">
        <f t="shared" si="8"/>
        <v>2.59</v>
      </c>
      <c r="F872" t="s">
        <v>226</v>
      </c>
      <c r="G872" t="s">
        <v>298</v>
      </c>
      <c r="H872" s="71">
        <v>42165</v>
      </c>
      <c r="I872" t="s">
        <v>748</v>
      </c>
      <c r="J872" t="s">
        <v>15</v>
      </c>
    </row>
    <row r="873" spans="1:10" x14ac:dyDescent="0.2">
      <c r="A873" t="s">
        <v>468</v>
      </c>
      <c r="B873" s="31">
        <v>1</v>
      </c>
      <c r="C873" s="71">
        <v>42182</v>
      </c>
      <c r="D873" s="81">
        <v>4.8899999999999997</v>
      </c>
      <c r="E873">
        <f t="shared" si="8"/>
        <v>4.8899999999999997</v>
      </c>
      <c r="F873" t="s">
        <v>468</v>
      </c>
      <c r="G873" t="s">
        <v>298</v>
      </c>
      <c r="H873" s="71">
        <v>42165</v>
      </c>
      <c r="I873" t="s">
        <v>748</v>
      </c>
      <c r="J873" t="s">
        <v>15</v>
      </c>
    </row>
    <row r="874" spans="1:10" x14ac:dyDescent="0.2">
      <c r="A874" t="s">
        <v>249</v>
      </c>
      <c r="B874" s="31">
        <v>1</v>
      </c>
      <c r="C874" s="71">
        <v>42182</v>
      </c>
      <c r="D874" s="81">
        <v>5.25</v>
      </c>
      <c r="E874">
        <f t="shared" si="8"/>
        <v>5.25</v>
      </c>
      <c r="F874" t="s">
        <v>468</v>
      </c>
      <c r="G874" t="s">
        <v>298</v>
      </c>
      <c r="H874" s="71">
        <v>42165</v>
      </c>
      <c r="I874" t="s">
        <v>748</v>
      </c>
      <c r="J874" t="s">
        <v>15</v>
      </c>
    </row>
    <row r="875" spans="1:10" x14ac:dyDescent="0.2">
      <c r="A875" t="s">
        <v>614</v>
      </c>
      <c r="B875" s="31">
        <v>1</v>
      </c>
      <c r="C875" s="71">
        <v>42182</v>
      </c>
      <c r="D875" s="81">
        <v>3.29</v>
      </c>
      <c r="E875">
        <f t="shared" si="8"/>
        <v>3.29</v>
      </c>
      <c r="F875" t="s">
        <v>614</v>
      </c>
      <c r="G875" t="s">
        <v>298</v>
      </c>
      <c r="H875" s="71">
        <v>42165</v>
      </c>
      <c r="I875" t="s">
        <v>748</v>
      </c>
      <c r="J875" t="s">
        <v>15</v>
      </c>
    </row>
    <row r="876" spans="1:10" x14ac:dyDescent="0.2">
      <c r="A876" t="s">
        <v>284</v>
      </c>
      <c r="B876" s="31">
        <v>0.22600000000000001</v>
      </c>
      <c r="C876" s="71">
        <v>42182</v>
      </c>
      <c r="D876" s="81">
        <v>19.899999999999999</v>
      </c>
      <c r="E876">
        <f t="shared" si="8"/>
        <v>4.4973999999999998</v>
      </c>
      <c r="F876" t="s">
        <v>609</v>
      </c>
      <c r="G876" t="s">
        <v>299</v>
      </c>
      <c r="H876" s="71">
        <v>42165</v>
      </c>
      <c r="I876" t="s">
        <v>748</v>
      </c>
      <c r="J876" t="s">
        <v>15</v>
      </c>
    </row>
    <row r="877" spans="1:10" x14ac:dyDescent="0.2">
      <c r="A877" t="s">
        <v>215</v>
      </c>
      <c r="B877" s="31">
        <v>5</v>
      </c>
      <c r="C877" s="71">
        <v>42182</v>
      </c>
      <c r="D877" s="81">
        <v>2.99</v>
      </c>
      <c r="E877">
        <f t="shared" si="8"/>
        <v>14.950000000000001</v>
      </c>
      <c r="F877" t="s">
        <v>215</v>
      </c>
      <c r="G877" t="s">
        <v>298</v>
      </c>
      <c r="H877" s="71">
        <v>42165</v>
      </c>
      <c r="I877" t="s">
        <v>748</v>
      </c>
      <c r="J877" t="s">
        <v>15</v>
      </c>
    </row>
    <row r="878" spans="1:10" x14ac:dyDescent="0.2">
      <c r="A878" t="s">
        <v>941</v>
      </c>
      <c r="B878" s="31">
        <v>0.57199999999999995</v>
      </c>
      <c r="C878" s="71">
        <v>42182</v>
      </c>
      <c r="D878" s="81">
        <v>11.59</v>
      </c>
      <c r="E878">
        <f t="shared" si="8"/>
        <v>6.6294799999999992</v>
      </c>
      <c r="F878" t="s">
        <v>615</v>
      </c>
      <c r="G878" t="s">
        <v>299</v>
      </c>
      <c r="H878" s="71">
        <v>42165</v>
      </c>
      <c r="I878" t="s">
        <v>748</v>
      </c>
      <c r="J878" t="s">
        <v>15</v>
      </c>
    </row>
    <row r="879" spans="1:10" x14ac:dyDescent="0.2">
      <c r="A879" t="s">
        <v>244</v>
      </c>
      <c r="B879" s="31">
        <v>2</v>
      </c>
      <c r="C879" s="71">
        <v>42182</v>
      </c>
      <c r="D879" s="81">
        <v>1.19</v>
      </c>
      <c r="E879">
        <f t="shared" si="8"/>
        <v>2.38</v>
      </c>
      <c r="F879" t="s">
        <v>282</v>
      </c>
      <c r="G879" t="s">
        <v>298</v>
      </c>
      <c r="H879" s="71">
        <v>42165</v>
      </c>
      <c r="I879" t="s">
        <v>748</v>
      </c>
      <c r="J879" t="s">
        <v>15</v>
      </c>
    </row>
    <row r="880" spans="1:10" x14ac:dyDescent="0.2">
      <c r="A880" t="s">
        <v>241</v>
      </c>
      <c r="B880" s="31">
        <v>1</v>
      </c>
      <c r="C880" s="71">
        <v>42182</v>
      </c>
      <c r="D880" s="81">
        <v>3.89</v>
      </c>
      <c r="E880">
        <f t="shared" si="8"/>
        <v>3.89</v>
      </c>
      <c r="F880" t="s">
        <v>282</v>
      </c>
      <c r="G880" t="s">
        <v>298</v>
      </c>
      <c r="H880" s="71">
        <v>42165</v>
      </c>
      <c r="I880" t="s">
        <v>748</v>
      </c>
      <c r="J880" t="s">
        <v>15</v>
      </c>
    </row>
    <row r="881" spans="1:10" x14ac:dyDescent="0.2">
      <c r="A881" t="s">
        <v>941</v>
      </c>
      <c r="B881" s="31">
        <v>0.51600000000000001</v>
      </c>
      <c r="C881" s="71">
        <v>42182</v>
      </c>
      <c r="D881" s="81">
        <v>11.59</v>
      </c>
      <c r="E881">
        <f t="shared" si="8"/>
        <v>5.9804399999999998</v>
      </c>
      <c r="F881" t="s">
        <v>615</v>
      </c>
      <c r="G881" t="s">
        <v>299</v>
      </c>
      <c r="H881" s="71">
        <v>42165</v>
      </c>
      <c r="I881" t="s">
        <v>748</v>
      </c>
      <c r="J881" t="s">
        <v>15</v>
      </c>
    </row>
    <row r="882" spans="1:10" x14ac:dyDescent="0.2">
      <c r="A882" t="s">
        <v>814</v>
      </c>
      <c r="B882" s="31">
        <v>1</v>
      </c>
      <c r="C882" s="71">
        <v>42187</v>
      </c>
      <c r="D882" s="81">
        <v>3.79</v>
      </c>
      <c r="E882">
        <f t="shared" si="8"/>
        <v>3.79</v>
      </c>
      <c r="F882" t="s">
        <v>465</v>
      </c>
      <c r="G882" t="s">
        <v>298</v>
      </c>
      <c r="H882" s="71">
        <v>42165</v>
      </c>
      <c r="I882" t="s">
        <v>749</v>
      </c>
      <c r="J882" t="s">
        <v>15</v>
      </c>
    </row>
    <row r="883" spans="1:10" x14ac:dyDescent="0.2">
      <c r="A883" t="s">
        <v>468</v>
      </c>
      <c r="B883" s="31">
        <v>1</v>
      </c>
      <c r="C883" s="71">
        <v>42187</v>
      </c>
      <c r="D883" s="81">
        <v>5.49</v>
      </c>
      <c r="E883">
        <f t="shared" si="8"/>
        <v>5.49</v>
      </c>
      <c r="F883" t="s">
        <v>468</v>
      </c>
      <c r="G883" t="s">
        <v>298</v>
      </c>
      <c r="H883" s="71">
        <v>42165</v>
      </c>
      <c r="I883" t="s">
        <v>749</v>
      </c>
      <c r="J883" t="s">
        <v>15</v>
      </c>
    </row>
    <row r="884" spans="1:10" x14ac:dyDescent="0.2">
      <c r="A884" t="s">
        <v>235</v>
      </c>
      <c r="B884" s="31">
        <v>1</v>
      </c>
      <c r="C884" s="71">
        <v>42187</v>
      </c>
      <c r="D884" s="81">
        <v>4.1900000000000004</v>
      </c>
      <c r="E884">
        <f t="shared" si="8"/>
        <v>4.1900000000000004</v>
      </c>
      <c r="F884" t="s">
        <v>653</v>
      </c>
      <c r="G884" t="s">
        <v>298</v>
      </c>
      <c r="H884" s="71">
        <v>42165</v>
      </c>
      <c r="I884" t="s">
        <v>749</v>
      </c>
      <c r="J884" t="s">
        <v>15</v>
      </c>
    </row>
    <row r="885" spans="1:10" x14ac:dyDescent="0.2">
      <c r="A885" t="s">
        <v>942</v>
      </c>
      <c r="B885" s="31">
        <v>1</v>
      </c>
      <c r="C885" s="71">
        <v>42187</v>
      </c>
      <c r="D885" s="81">
        <v>3.79</v>
      </c>
      <c r="E885">
        <f t="shared" si="8"/>
        <v>3.79</v>
      </c>
      <c r="F885" t="s">
        <v>657</v>
      </c>
      <c r="G885" t="s">
        <v>298</v>
      </c>
      <c r="H885" s="71">
        <v>42165</v>
      </c>
      <c r="I885" t="s">
        <v>749</v>
      </c>
      <c r="J885" t="s">
        <v>15</v>
      </c>
    </row>
    <row r="886" spans="1:10" x14ac:dyDescent="0.2">
      <c r="A886" t="s">
        <v>598</v>
      </c>
      <c r="B886" s="31">
        <v>1</v>
      </c>
      <c r="C886" s="71">
        <v>42192</v>
      </c>
      <c r="D886" s="81">
        <v>2.99</v>
      </c>
      <c r="E886">
        <f t="shared" si="8"/>
        <v>2.99</v>
      </c>
      <c r="F886" t="s">
        <v>465</v>
      </c>
      <c r="G886" t="s">
        <v>298</v>
      </c>
      <c r="H886" s="71">
        <v>42165</v>
      </c>
      <c r="I886" t="s">
        <v>749</v>
      </c>
      <c r="J886" t="s">
        <v>15</v>
      </c>
    </row>
    <row r="887" spans="1:10" x14ac:dyDescent="0.2">
      <c r="A887" t="s">
        <v>230</v>
      </c>
      <c r="B887" s="31">
        <v>1</v>
      </c>
      <c r="C887" s="71">
        <v>42192</v>
      </c>
      <c r="D887" s="81">
        <v>2.29</v>
      </c>
      <c r="E887">
        <f t="shared" si="8"/>
        <v>2.29</v>
      </c>
      <c r="F887" t="s">
        <v>280</v>
      </c>
      <c r="G887" t="s">
        <v>298</v>
      </c>
      <c r="H887" s="71">
        <v>42165</v>
      </c>
      <c r="I887" t="s">
        <v>749</v>
      </c>
      <c r="J887" t="s">
        <v>15</v>
      </c>
    </row>
    <row r="888" spans="1:10" x14ac:dyDescent="0.2">
      <c r="A888" t="s">
        <v>618</v>
      </c>
      <c r="B888" s="31">
        <v>1</v>
      </c>
      <c r="C888" s="71">
        <v>42192</v>
      </c>
      <c r="D888" s="81">
        <v>1.79</v>
      </c>
      <c r="E888">
        <f t="shared" si="8"/>
        <v>1.79</v>
      </c>
      <c r="F888" t="s">
        <v>208</v>
      </c>
      <c r="G888" t="s">
        <v>298</v>
      </c>
      <c r="H888" s="71">
        <v>42165</v>
      </c>
      <c r="I888" t="s">
        <v>749</v>
      </c>
      <c r="J888" t="s">
        <v>15</v>
      </c>
    </row>
    <row r="889" spans="1:10" x14ac:dyDescent="0.2">
      <c r="A889" t="s">
        <v>295</v>
      </c>
      <c r="B889" s="31">
        <v>0.29099999999999998</v>
      </c>
      <c r="C889" s="71">
        <v>42192</v>
      </c>
      <c r="D889" s="81">
        <v>21.99</v>
      </c>
      <c r="E889">
        <f t="shared" si="8"/>
        <v>6.3990899999999993</v>
      </c>
      <c r="F889" t="s">
        <v>653</v>
      </c>
      <c r="G889" t="s">
        <v>299</v>
      </c>
      <c r="H889" s="71">
        <v>42165</v>
      </c>
      <c r="I889" t="s">
        <v>749</v>
      </c>
      <c r="J889" t="s">
        <v>15</v>
      </c>
    </row>
    <row r="890" spans="1:10" x14ac:dyDescent="0.2">
      <c r="A890" t="s">
        <v>285</v>
      </c>
      <c r="B890" s="31">
        <v>0.61299999999999999</v>
      </c>
      <c r="C890" s="71">
        <v>42192</v>
      </c>
      <c r="D890" s="81">
        <v>23.51</v>
      </c>
      <c r="E890">
        <f t="shared" si="8"/>
        <v>14.411630000000001</v>
      </c>
      <c r="F890" t="s">
        <v>609</v>
      </c>
      <c r="G890" t="s">
        <v>299</v>
      </c>
      <c r="H890" s="71">
        <v>42165</v>
      </c>
      <c r="I890" t="s">
        <v>749</v>
      </c>
      <c r="J890" t="s">
        <v>15</v>
      </c>
    </row>
    <row r="891" spans="1:10" x14ac:dyDescent="0.2">
      <c r="A891" t="s">
        <v>307</v>
      </c>
      <c r="B891" s="31">
        <v>0.27</v>
      </c>
      <c r="C891" s="71">
        <v>42192</v>
      </c>
      <c r="D891" s="81">
        <v>6.99</v>
      </c>
      <c r="E891">
        <f t="shared" si="8"/>
        <v>1.8873000000000002</v>
      </c>
      <c r="F891" t="s">
        <v>280</v>
      </c>
      <c r="G891" t="s">
        <v>299</v>
      </c>
      <c r="H891" s="71">
        <v>42165</v>
      </c>
      <c r="I891" t="s">
        <v>749</v>
      </c>
      <c r="J891" t="s">
        <v>15</v>
      </c>
    </row>
    <row r="892" spans="1:10" x14ac:dyDescent="0.2">
      <c r="A892" t="s">
        <v>468</v>
      </c>
      <c r="B892" s="31">
        <v>1</v>
      </c>
      <c r="C892" s="71">
        <v>42192</v>
      </c>
      <c r="D892" s="81">
        <v>4.79</v>
      </c>
      <c r="E892">
        <f t="shared" si="8"/>
        <v>4.79</v>
      </c>
      <c r="F892" t="s">
        <v>468</v>
      </c>
      <c r="G892" t="s">
        <v>298</v>
      </c>
      <c r="H892" s="71">
        <v>42165</v>
      </c>
      <c r="I892" t="s">
        <v>749</v>
      </c>
      <c r="J892" t="s">
        <v>15</v>
      </c>
    </row>
    <row r="893" spans="1:10" x14ac:dyDescent="0.2">
      <c r="A893" t="s">
        <v>603</v>
      </c>
      <c r="B893" s="31">
        <v>1</v>
      </c>
      <c r="C893" s="71">
        <v>42195</v>
      </c>
      <c r="D893" s="81">
        <v>5.69</v>
      </c>
      <c r="E893">
        <f t="shared" si="8"/>
        <v>5.69</v>
      </c>
      <c r="F893" t="s">
        <v>468</v>
      </c>
      <c r="G893" t="s">
        <v>298</v>
      </c>
      <c r="H893" s="71">
        <v>42195</v>
      </c>
      <c r="I893" t="s">
        <v>749</v>
      </c>
      <c r="J893" t="s">
        <v>15</v>
      </c>
    </row>
    <row r="894" spans="1:10" x14ac:dyDescent="0.2">
      <c r="A894" t="s">
        <v>603</v>
      </c>
      <c r="B894" s="31">
        <v>1</v>
      </c>
      <c r="C894" s="71">
        <v>42195</v>
      </c>
      <c r="D894" s="81">
        <v>8.99</v>
      </c>
      <c r="E894">
        <f t="shared" si="8"/>
        <v>8.99</v>
      </c>
      <c r="F894" t="s">
        <v>468</v>
      </c>
      <c r="G894" t="s">
        <v>298</v>
      </c>
      <c r="H894" s="71">
        <v>42195</v>
      </c>
      <c r="I894" t="s">
        <v>749</v>
      </c>
      <c r="J894" t="s">
        <v>15</v>
      </c>
    </row>
    <row r="895" spans="1:10" x14ac:dyDescent="0.2">
      <c r="A895" t="s">
        <v>942</v>
      </c>
      <c r="B895" s="31">
        <v>1</v>
      </c>
      <c r="C895" s="71">
        <v>42195</v>
      </c>
      <c r="D895" s="81">
        <v>6.99</v>
      </c>
      <c r="E895">
        <f t="shared" si="8"/>
        <v>6.99</v>
      </c>
      <c r="F895" t="s">
        <v>657</v>
      </c>
      <c r="G895" t="s">
        <v>298</v>
      </c>
      <c r="H895" s="71">
        <v>42195</v>
      </c>
      <c r="I895" t="s">
        <v>749</v>
      </c>
      <c r="J895" t="s">
        <v>15</v>
      </c>
    </row>
    <row r="896" spans="1:10" x14ac:dyDescent="0.2">
      <c r="A896" t="s">
        <v>570</v>
      </c>
      <c r="B896" s="31">
        <v>2</v>
      </c>
      <c r="C896" s="71">
        <v>42195</v>
      </c>
      <c r="D896" s="81">
        <v>4.49</v>
      </c>
      <c r="E896">
        <f t="shared" si="8"/>
        <v>8.98</v>
      </c>
      <c r="F896" t="s">
        <v>653</v>
      </c>
      <c r="G896" t="s">
        <v>298</v>
      </c>
      <c r="H896" s="71">
        <v>42195</v>
      </c>
      <c r="I896" t="s">
        <v>749</v>
      </c>
      <c r="J896" t="s">
        <v>15</v>
      </c>
    </row>
    <row r="897" spans="1:10" x14ac:dyDescent="0.2">
      <c r="A897" t="s">
        <v>218</v>
      </c>
      <c r="B897" s="31">
        <v>1</v>
      </c>
      <c r="C897" s="71">
        <v>42195</v>
      </c>
      <c r="D897" s="81">
        <v>2.89</v>
      </c>
      <c r="E897">
        <f t="shared" si="8"/>
        <v>2.89</v>
      </c>
      <c r="F897" t="s">
        <v>280</v>
      </c>
      <c r="G897" t="s">
        <v>298</v>
      </c>
      <c r="H897" s="71">
        <v>42195</v>
      </c>
      <c r="I897" t="s">
        <v>749</v>
      </c>
      <c r="J897" t="s">
        <v>15</v>
      </c>
    </row>
    <row r="898" spans="1:10" x14ac:dyDescent="0.2">
      <c r="A898" t="s">
        <v>253</v>
      </c>
      <c r="B898" s="31">
        <v>0.93500000000000005</v>
      </c>
      <c r="C898" s="71">
        <v>42195</v>
      </c>
      <c r="D898" s="81">
        <v>4.6900000000000004</v>
      </c>
      <c r="E898">
        <f t="shared" si="8"/>
        <v>4.3851500000000003</v>
      </c>
      <c r="F898" t="s">
        <v>279</v>
      </c>
      <c r="G898" t="s">
        <v>298</v>
      </c>
      <c r="H898" s="71">
        <v>42195</v>
      </c>
      <c r="I898" t="s">
        <v>749</v>
      </c>
      <c r="J898" t="s">
        <v>15</v>
      </c>
    </row>
    <row r="899" spans="1:10" x14ac:dyDescent="0.2">
      <c r="A899" t="s">
        <v>614</v>
      </c>
      <c r="B899" s="31">
        <v>1</v>
      </c>
      <c r="C899" s="71">
        <v>42195</v>
      </c>
      <c r="D899" s="81">
        <v>3.89</v>
      </c>
      <c r="E899">
        <f t="shared" si="8"/>
        <v>3.89</v>
      </c>
      <c r="F899" t="s">
        <v>614</v>
      </c>
      <c r="G899" t="s">
        <v>298</v>
      </c>
      <c r="H899" s="71">
        <v>42195</v>
      </c>
      <c r="I899" t="s">
        <v>749</v>
      </c>
      <c r="J899" t="s">
        <v>15</v>
      </c>
    </row>
    <row r="900" spans="1:10" x14ac:dyDescent="0.2">
      <c r="A900" t="s">
        <v>658</v>
      </c>
      <c r="B900" s="31">
        <v>1</v>
      </c>
      <c r="C900" s="71">
        <v>42195</v>
      </c>
      <c r="D900" s="81">
        <v>2.65</v>
      </c>
      <c r="E900">
        <f t="shared" si="8"/>
        <v>2.65</v>
      </c>
      <c r="F900" t="s">
        <v>208</v>
      </c>
      <c r="G900" t="s">
        <v>298</v>
      </c>
      <c r="H900" s="71">
        <v>42195</v>
      </c>
      <c r="I900" t="s">
        <v>749</v>
      </c>
      <c r="J900" t="s">
        <v>15</v>
      </c>
    </row>
    <row r="901" spans="1:10" x14ac:dyDescent="0.2">
      <c r="A901" t="s">
        <v>295</v>
      </c>
      <c r="B901" s="31">
        <v>0.21199999999999999</v>
      </c>
      <c r="C901" s="71">
        <v>42195</v>
      </c>
      <c r="D901" s="81">
        <v>22.99</v>
      </c>
      <c r="E901">
        <f t="shared" si="8"/>
        <v>4.8738799999999998</v>
      </c>
      <c r="F901" t="s">
        <v>653</v>
      </c>
      <c r="G901" t="s">
        <v>299</v>
      </c>
      <c r="H901" s="71">
        <v>42195</v>
      </c>
      <c r="I901" t="s">
        <v>749</v>
      </c>
      <c r="J901" t="s">
        <v>15</v>
      </c>
    </row>
    <row r="902" spans="1:10" x14ac:dyDescent="0.2">
      <c r="A902" t="s">
        <v>295</v>
      </c>
      <c r="B902" s="31">
        <v>0.17799999999999999</v>
      </c>
      <c r="C902" s="71">
        <v>42195</v>
      </c>
      <c r="D902" s="81">
        <v>22.99</v>
      </c>
      <c r="E902">
        <f t="shared" si="8"/>
        <v>4.0922199999999993</v>
      </c>
      <c r="F902" t="s">
        <v>653</v>
      </c>
      <c r="G902" t="s">
        <v>299</v>
      </c>
      <c r="H902" s="71">
        <v>42195</v>
      </c>
      <c r="I902" t="s">
        <v>749</v>
      </c>
      <c r="J902" t="s">
        <v>15</v>
      </c>
    </row>
    <row r="903" spans="1:10" x14ac:dyDescent="0.2">
      <c r="A903" t="s">
        <v>567</v>
      </c>
      <c r="B903" s="31">
        <v>0.64</v>
      </c>
      <c r="C903" s="71">
        <v>42195</v>
      </c>
      <c r="D903" s="81">
        <v>4.9800000000000004</v>
      </c>
      <c r="E903">
        <f t="shared" si="8"/>
        <v>3.1872000000000003</v>
      </c>
      <c r="F903" t="s">
        <v>279</v>
      </c>
      <c r="G903" t="s">
        <v>299</v>
      </c>
      <c r="H903" s="71">
        <v>42195</v>
      </c>
      <c r="I903" t="s">
        <v>749</v>
      </c>
      <c r="J903" t="s">
        <v>15</v>
      </c>
    </row>
    <row r="904" spans="1:10" x14ac:dyDescent="0.2">
      <c r="A904" t="s">
        <v>880</v>
      </c>
      <c r="B904" s="31">
        <v>0.53</v>
      </c>
      <c r="C904" s="71">
        <v>42195</v>
      </c>
      <c r="D904" s="81">
        <v>4.59</v>
      </c>
      <c r="E904">
        <f t="shared" si="8"/>
        <v>2.4327000000000001</v>
      </c>
      <c r="F904" t="s">
        <v>279</v>
      </c>
      <c r="G904" t="s">
        <v>299</v>
      </c>
      <c r="H904" s="71">
        <v>42195</v>
      </c>
      <c r="I904" t="s">
        <v>749</v>
      </c>
      <c r="J904" t="s">
        <v>15</v>
      </c>
    </row>
    <row r="905" spans="1:10" x14ac:dyDescent="0.2">
      <c r="A905" t="s">
        <v>208</v>
      </c>
      <c r="B905" s="31">
        <v>1</v>
      </c>
      <c r="C905" s="71">
        <v>42195</v>
      </c>
      <c r="D905" s="81">
        <v>2.59</v>
      </c>
      <c r="E905">
        <f t="shared" si="8"/>
        <v>2.59</v>
      </c>
      <c r="F905" t="s">
        <v>208</v>
      </c>
      <c r="G905" t="s">
        <v>298</v>
      </c>
      <c r="H905" s="71">
        <v>42195</v>
      </c>
      <c r="I905" t="s">
        <v>749</v>
      </c>
      <c r="J905" t="s">
        <v>15</v>
      </c>
    </row>
    <row r="906" spans="1:10" x14ac:dyDescent="0.2">
      <c r="A906" t="s">
        <v>215</v>
      </c>
      <c r="B906" s="31">
        <v>2</v>
      </c>
      <c r="C906" s="71">
        <v>42195</v>
      </c>
      <c r="D906" s="81">
        <v>2.4700000000000002</v>
      </c>
      <c r="E906">
        <f t="shared" si="8"/>
        <v>4.9400000000000004</v>
      </c>
      <c r="F906" t="s">
        <v>215</v>
      </c>
      <c r="G906" t="s">
        <v>298</v>
      </c>
      <c r="H906" s="71">
        <v>42195</v>
      </c>
      <c r="I906" t="s">
        <v>749</v>
      </c>
      <c r="J906" t="s">
        <v>15</v>
      </c>
    </row>
    <row r="907" spans="1:10" x14ac:dyDescent="0.2">
      <c r="A907" t="s">
        <v>468</v>
      </c>
      <c r="B907" s="31">
        <v>1</v>
      </c>
      <c r="C907" s="71">
        <v>42195</v>
      </c>
      <c r="D907" s="81">
        <v>5.99</v>
      </c>
      <c r="E907">
        <f t="shared" si="8"/>
        <v>5.99</v>
      </c>
      <c r="F907" t="s">
        <v>468</v>
      </c>
      <c r="G907" t="s">
        <v>298</v>
      </c>
      <c r="H907" s="71">
        <v>42195</v>
      </c>
      <c r="I907" t="s">
        <v>749</v>
      </c>
      <c r="J907" t="s">
        <v>15</v>
      </c>
    </row>
    <row r="908" spans="1:10" x14ac:dyDescent="0.2">
      <c r="A908" t="s">
        <v>269</v>
      </c>
      <c r="B908" s="31">
        <v>1</v>
      </c>
      <c r="C908" s="71">
        <v>42195</v>
      </c>
      <c r="D908" s="81">
        <v>4.99</v>
      </c>
      <c r="E908">
        <f t="shared" si="8"/>
        <v>4.99</v>
      </c>
      <c r="F908" t="s">
        <v>269</v>
      </c>
      <c r="G908" t="s">
        <v>298</v>
      </c>
      <c r="H908" s="71">
        <v>42195</v>
      </c>
      <c r="I908" t="s">
        <v>749</v>
      </c>
      <c r="J908" t="s">
        <v>15</v>
      </c>
    </row>
    <row r="909" spans="1:10" x14ac:dyDescent="0.2">
      <c r="A909" t="s">
        <v>614</v>
      </c>
      <c r="B909" s="31">
        <v>1</v>
      </c>
      <c r="C909" s="71">
        <v>42199</v>
      </c>
      <c r="D909" s="81">
        <v>10.69</v>
      </c>
      <c r="E909">
        <f t="shared" si="8"/>
        <v>10.69</v>
      </c>
      <c r="F909" t="s">
        <v>614</v>
      </c>
      <c r="G909" t="s">
        <v>298</v>
      </c>
      <c r="H909" s="71">
        <v>42195</v>
      </c>
      <c r="I909" t="s">
        <v>749</v>
      </c>
      <c r="J909" t="s">
        <v>15</v>
      </c>
    </row>
    <row r="910" spans="1:10" x14ac:dyDescent="0.2">
      <c r="A910" t="s">
        <v>943</v>
      </c>
      <c r="B910" s="31">
        <v>1</v>
      </c>
      <c r="C910" s="71">
        <v>42199</v>
      </c>
      <c r="D910" s="81">
        <v>2.39</v>
      </c>
      <c r="E910">
        <f t="shared" si="8"/>
        <v>2.39</v>
      </c>
      <c r="F910" t="s">
        <v>208</v>
      </c>
      <c r="G910" t="s">
        <v>298</v>
      </c>
      <c r="H910" s="71">
        <v>42195</v>
      </c>
      <c r="I910" t="s">
        <v>749</v>
      </c>
      <c r="J910" t="s">
        <v>15</v>
      </c>
    </row>
    <row r="911" spans="1:10" x14ac:dyDescent="0.2">
      <c r="A911" t="s">
        <v>573</v>
      </c>
      <c r="B911" s="31">
        <v>1</v>
      </c>
      <c r="C911" s="71">
        <v>42200</v>
      </c>
      <c r="D911" s="81">
        <v>6.99</v>
      </c>
      <c r="E911">
        <f t="shared" si="8"/>
        <v>6.99</v>
      </c>
      <c r="F911" t="s">
        <v>657</v>
      </c>
      <c r="G911" t="s">
        <v>298</v>
      </c>
      <c r="H911" s="71">
        <v>42195</v>
      </c>
      <c r="I911" t="s">
        <v>749</v>
      </c>
      <c r="J911" t="s">
        <v>15</v>
      </c>
    </row>
    <row r="912" spans="1:10" x14ac:dyDescent="0.2">
      <c r="A912" t="s">
        <v>215</v>
      </c>
      <c r="B912" s="31">
        <v>1</v>
      </c>
      <c r="C912" s="71">
        <v>42200</v>
      </c>
      <c r="D912" s="81">
        <v>2.99</v>
      </c>
      <c r="E912">
        <f t="shared" si="8"/>
        <v>2.99</v>
      </c>
      <c r="F912" t="s">
        <v>215</v>
      </c>
      <c r="G912" t="s">
        <v>298</v>
      </c>
      <c r="H912" s="71">
        <v>42195</v>
      </c>
      <c r="I912" t="s">
        <v>749</v>
      </c>
      <c r="J912" t="s">
        <v>15</v>
      </c>
    </row>
    <row r="913" spans="1:10" x14ac:dyDescent="0.2">
      <c r="A913" t="s">
        <v>614</v>
      </c>
      <c r="B913" s="31">
        <v>1</v>
      </c>
      <c r="C913" s="71">
        <v>42202</v>
      </c>
      <c r="D913" s="81">
        <v>3.89</v>
      </c>
      <c r="E913">
        <f t="shared" si="8"/>
        <v>3.89</v>
      </c>
      <c r="F913" t="s">
        <v>614</v>
      </c>
      <c r="G913" t="s">
        <v>298</v>
      </c>
      <c r="H913" s="71">
        <v>42195</v>
      </c>
      <c r="I913" t="s">
        <v>749</v>
      </c>
      <c r="J913" t="s">
        <v>15</v>
      </c>
    </row>
    <row r="914" spans="1:10" x14ac:dyDescent="0.2">
      <c r="A914" t="s">
        <v>295</v>
      </c>
      <c r="B914" s="31">
        <v>0.222</v>
      </c>
      <c r="C914" s="71">
        <v>42202</v>
      </c>
      <c r="D914" s="81">
        <v>23.99</v>
      </c>
      <c r="E914">
        <f t="shared" si="8"/>
        <v>5.32578</v>
      </c>
      <c r="F914" t="s">
        <v>653</v>
      </c>
      <c r="G914" t="s">
        <v>299</v>
      </c>
      <c r="H914" s="71">
        <v>42195</v>
      </c>
      <c r="I914" t="s">
        <v>749</v>
      </c>
      <c r="J914" t="s">
        <v>15</v>
      </c>
    </row>
    <row r="915" spans="1:10" x14ac:dyDescent="0.2">
      <c r="A915" t="s">
        <v>296</v>
      </c>
      <c r="B915" s="31">
        <v>0.11799999999999999</v>
      </c>
      <c r="C915" s="71">
        <v>42202</v>
      </c>
      <c r="D915" s="81">
        <v>46.99</v>
      </c>
      <c r="E915">
        <f t="shared" si="8"/>
        <v>5.5448199999999996</v>
      </c>
      <c r="F915" t="s">
        <v>653</v>
      </c>
      <c r="G915" t="s">
        <v>299</v>
      </c>
      <c r="H915" s="71">
        <v>42195</v>
      </c>
      <c r="I915" t="s">
        <v>749</v>
      </c>
      <c r="J915" t="s">
        <v>15</v>
      </c>
    </row>
    <row r="916" spans="1:10" x14ac:dyDescent="0.2">
      <c r="A916" t="s">
        <v>300</v>
      </c>
      <c r="B916" s="31">
        <v>0.19</v>
      </c>
      <c r="C916" s="71">
        <v>42202</v>
      </c>
      <c r="D916" s="81">
        <v>4.1900000000000004</v>
      </c>
      <c r="E916">
        <f t="shared" si="8"/>
        <v>0.79610000000000003</v>
      </c>
      <c r="F916" t="s">
        <v>280</v>
      </c>
      <c r="G916" t="s">
        <v>299</v>
      </c>
      <c r="H916" s="71">
        <v>42195</v>
      </c>
      <c r="I916" t="s">
        <v>749</v>
      </c>
      <c r="J916" t="s">
        <v>15</v>
      </c>
    </row>
    <row r="917" spans="1:10" x14ac:dyDescent="0.2">
      <c r="A917" t="s">
        <v>880</v>
      </c>
      <c r="B917" s="31">
        <v>0.66</v>
      </c>
      <c r="C917" s="71">
        <v>42202</v>
      </c>
      <c r="D917" s="81">
        <v>3.59</v>
      </c>
      <c r="E917">
        <f t="shared" si="8"/>
        <v>2.3694000000000002</v>
      </c>
      <c r="F917" t="s">
        <v>279</v>
      </c>
      <c r="G917" t="s">
        <v>299</v>
      </c>
      <c r="H917" s="71">
        <v>42195</v>
      </c>
      <c r="I917" t="s">
        <v>749</v>
      </c>
      <c r="J917" t="s">
        <v>15</v>
      </c>
    </row>
    <row r="918" spans="1:10" x14ac:dyDescent="0.2">
      <c r="A918" t="s">
        <v>307</v>
      </c>
      <c r="B918" s="31">
        <v>0.54</v>
      </c>
      <c r="C918" s="71">
        <v>42202</v>
      </c>
      <c r="D918" s="81">
        <v>7.39</v>
      </c>
      <c r="E918">
        <f t="shared" si="8"/>
        <v>3.9906000000000001</v>
      </c>
      <c r="F918" t="s">
        <v>280</v>
      </c>
      <c r="G918" t="s">
        <v>299</v>
      </c>
      <c r="H918" s="71">
        <v>42195</v>
      </c>
      <c r="I918" t="s">
        <v>749</v>
      </c>
      <c r="J918" t="s">
        <v>15</v>
      </c>
    </row>
    <row r="919" spans="1:10" x14ac:dyDescent="0.2">
      <c r="A919" t="s">
        <v>233</v>
      </c>
      <c r="B919" s="31">
        <v>1</v>
      </c>
      <c r="C919" s="71">
        <v>42202</v>
      </c>
      <c r="D919" s="81">
        <v>3.69</v>
      </c>
      <c r="E919">
        <f t="shared" si="8"/>
        <v>3.69</v>
      </c>
      <c r="F919" t="s">
        <v>279</v>
      </c>
      <c r="G919" t="s">
        <v>298</v>
      </c>
      <c r="H919" s="71">
        <v>42195</v>
      </c>
      <c r="I919" t="s">
        <v>749</v>
      </c>
      <c r="J919" t="s">
        <v>15</v>
      </c>
    </row>
    <row r="920" spans="1:10" x14ac:dyDescent="0.2">
      <c r="A920" t="s">
        <v>249</v>
      </c>
      <c r="B920" s="31">
        <v>1</v>
      </c>
      <c r="C920" s="71">
        <v>42202</v>
      </c>
      <c r="D920" s="81">
        <v>6.89</v>
      </c>
      <c r="E920">
        <f t="shared" si="8"/>
        <v>6.89</v>
      </c>
      <c r="F920" t="s">
        <v>468</v>
      </c>
      <c r="G920" t="s">
        <v>298</v>
      </c>
      <c r="H920" s="71">
        <v>42195</v>
      </c>
      <c r="I920" t="s">
        <v>749</v>
      </c>
      <c r="J920" t="s">
        <v>15</v>
      </c>
    </row>
    <row r="921" spans="1:10" x14ac:dyDescent="0.2">
      <c r="A921" t="s">
        <v>301</v>
      </c>
      <c r="B921" s="31">
        <v>0.245</v>
      </c>
      <c r="C921" s="71">
        <v>42202</v>
      </c>
      <c r="D921" s="81">
        <v>11.79</v>
      </c>
      <c r="E921">
        <f t="shared" si="8"/>
        <v>2.88855</v>
      </c>
      <c r="F921" t="s">
        <v>280</v>
      </c>
      <c r="G921" t="s">
        <v>299</v>
      </c>
      <c r="H921" s="71">
        <v>42195</v>
      </c>
      <c r="I921" t="s">
        <v>749</v>
      </c>
      <c r="J921" t="s">
        <v>15</v>
      </c>
    </row>
    <row r="922" spans="1:10" x14ac:dyDescent="0.2">
      <c r="A922" t="s">
        <v>241</v>
      </c>
      <c r="B922" s="31">
        <v>1</v>
      </c>
      <c r="C922" s="71">
        <v>42202</v>
      </c>
      <c r="D922" s="81">
        <v>3.99</v>
      </c>
      <c r="E922">
        <f t="shared" si="8"/>
        <v>3.99</v>
      </c>
      <c r="F922" t="s">
        <v>282</v>
      </c>
      <c r="G922" t="s">
        <v>298</v>
      </c>
      <c r="H922" s="71">
        <v>42195</v>
      </c>
      <c r="I922" t="s">
        <v>749</v>
      </c>
      <c r="J922" t="s">
        <v>15</v>
      </c>
    </row>
    <row r="923" spans="1:10" x14ac:dyDescent="0.2">
      <c r="A923" t="s">
        <v>242</v>
      </c>
      <c r="B923" s="31">
        <v>1</v>
      </c>
      <c r="C923" s="71">
        <v>42202</v>
      </c>
      <c r="D923" s="81">
        <v>10.49</v>
      </c>
      <c r="E923">
        <f t="shared" si="8"/>
        <v>10.49</v>
      </c>
      <c r="F923" t="s">
        <v>282</v>
      </c>
      <c r="G923" t="s">
        <v>298</v>
      </c>
      <c r="H923" s="71">
        <v>42195</v>
      </c>
      <c r="I923" t="s">
        <v>749</v>
      </c>
      <c r="J923" t="s">
        <v>15</v>
      </c>
    </row>
    <row r="924" spans="1:10" x14ac:dyDescent="0.2">
      <c r="A924" t="s">
        <v>944</v>
      </c>
      <c r="B924" s="31">
        <v>1</v>
      </c>
      <c r="C924" s="71">
        <v>42202</v>
      </c>
      <c r="D924" s="81">
        <v>14.41</v>
      </c>
      <c r="E924">
        <f t="shared" si="8"/>
        <v>14.41</v>
      </c>
      <c r="F924" t="s">
        <v>282</v>
      </c>
      <c r="G924" t="s">
        <v>298</v>
      </c>
      <c r="H924" s="71">
        <v>42195</v>
      </c>
      <c r="I924" t="s">
        <v>749</v>
      </c>
      <c r="J924" t="s">
        <v>15</v>
      </c>
    </row>
    <row r="925" spans="1:10" x14ac:dyDescent="0.2">
      <c r="A925" t="s">
        <v>708</v>
      </c>
      <c r="B925" s="31">
        <v>1.1279999999999999</v>
      </c>
      <c r="C925" s="71">
        <v>42204</v>
      </c>
      <c r="D925" s="81">
        <v>22.9</v>
      </c>
      <c r="E925">
        <f t="shared" si="8"/>
        <v>25.831199999999995</v>
      </c>
      <c r="F925" t="s">
        <v>609</v>
      </c>
      <c r="G925" t="s">
        <v>299</v>
      </c>
      <c r="H925" s="71">
        <v>42195</v>
      </c>
      <c r="I925" t="s">
        <v>748</v>
      </c>
      <c r="J925" t="s">
        <v>15</v>
      </c>
    </row>
    <row r="926" spans="1:10" x14ac:dyDescent="0.2">
      <c r="A926" t="s">
        <v>945</v>
      </c>
      <c r="B926" s="31">
        <v>0.41799999999999998</v>
      </c>
      <c r="C926" s="71">
        <v>42204</v>
      </c>
      <c r="D926" s="81">
        <v>32.9</v>
      </c>
      <c r="E926">
        <f t="shared" si="8"/>
        <v>13.752199999999998</v>
      </c>
      <c r="F926" t="s">
        <v>784</v>
      </c>
      <c r="G926" t="s">
        <v>299</v>
      </c>
      <c r="H926" s="71">
        <v>42195</v>
      </c>
      <c r="I926" t="s">
        <v>748</v>
      </c>
      <c r="J926" t="s">
        <v>15</v>
      </c>
    </row>
    <row r="927" spans="1:10" x14ac:dyDescent="0.2">
      <c r="A927" t="s">
        <v>292</v>
      </c>
      <c r="B927" s="31">
        <v>0.25600000000000001</v>
      </c>
      <c r="C927" s="71">
        <v>42204</v>
      </c>
      <c r="D927" s="81">
        <v>29.9</v>
      </c>
      <c r="E927">
        <f t="shared" si="8"/>
        <v>7.6543999999999999</v>
      </c>
      <c r="F927" t="s">
        <v>609</v>
      </c>
      <c r="G927" t="s">
        <v>299</v>
      </c>
      <c r="H927" s="71">
        <v>42195</v>
      </c>
      <c r="I927" t="s">
        <v>748</v>
      </c>
      <c r="J927" t="s">
        <v>15</v>
      </c>
    </row>
    <row r="928" spans="1:10" x14ac:dyDescent="0.2">
      <c r="A928" t="s">
        <v>289</v>
      </c>
      <c r="B928" s="31">
        <v>0.41299999999999998</v>
      </c>
      <c r="C928" s="71">
        <v>42204</v>
      </c>
      <c r="D928" s="81">
        <v>11.59</v>
      </c>
      <c r="E928">
        <f t="shared" si="8"/>
        <v>4.78667</v>
      </c>
      <c r="F928" t="s">
        <v>615</v>
      </c>
      <c r="G928" t="s">
        <v>299</v>
      </c>
      <c r="H928" s="71">
        <v>42195</v>
      </c>
      <c r="I928" t="s">
        <v>748</v>
      </c>
      <c r="J928" t="s">
        <v>15</v>
      </c>
    </row>
    <row r="929" spans="1:10" x14ac:dyDescent="0.2">
      <c r="A929" t="s">
        <v>946</v>
      </c>
      <c r="B929" s="31">
        <v>1.17</v>
      </c>
      <c r="C929" s="71">
        <v>42204</v>
      </c>
      <c r="D929" s="81">
        <v>17.899999999999999</v>
      </c>
      <c r="E929">
        <f t="shared" ref="E929:E980" si="9">B929*D929</f>
        <v>20.942999999999998</v>
      </c>
      <c r="F929" t="s">
        <v>609</v>
      </c>
      <c r="G929" t="s">
        <v>299</v>
      </c>
      <c r="H929" s="71">
        <v>42195</v>
      </c>
      <c r="I929" t="s">
        <v>748</v>
      </c>
      <c r="J929" t="s">
        <v>15</v>
      </c>
    </row>
    <row r="930" spans="1:10" x14ac:dyDescent="0.2">
      <c r="A930" t="s">
        <v>230</v>
      </c>
      <c r="B930" s="31">
        <v>0.30499999999999999</v>
      </c>
      <c r="C930" s="71">
        <v>42204</v>
      </c>
      <c r="D930" s="81">
        <v>4.99</v>
      </c>
      <c r="E930">
        <f t="shared" si="9"/>
        <v>1.5219500000000001</v>
      </c>
      <c r="F930" t="s">
        <v>280</v>
      </c>
      <c r="G930" t="s">
        <v>299</v>
      </c>
      <c r="H930" s="71">
        <v>42195</v>
      </c>
      <c r="I930" t="s">
        <v>748</v>
      </c>
      <c r="J930" t="s">
        <v>15</v>
      </c>
    </row>
    <row r="931" spans="1:10" x14ac:dyDescent="0.2">
      <c r="A931" t="s">
        <v>794</v>
      </c>
      <c r="B931" s="31">
        <v>0.495</v>
      </c>
      <c r="C931" s="71">
        <v>42204</v>
      </c>
      <c r="D931" s="81">
        <v>0.99</v>
      </c>
      <c r="E931">
        <f t="shared" si="9"/>
        <v>0.49004999999999999</v>
      </c>
      <c r="F931" t="s">
        <v>280</v>
      </c>
      <c r="G931" t="s">
        <v>299</v>
      </c>
      <c r="H931" s="71">
        <v>42195</v>
      </c>
      <c r="I931" t="s">
        <v>748</v>
      </c>
      <c r="J931" t="s">
        <v>15</v>
      </c>
    </row>
    <row r="932" spans="1:10" x14ac:dyDescent="0.2">
      <c r="A932" t="s">
        <v>300</v>
      </c>
      <c r="B932" s="31">
        <v>0.13500000000000001</v>
      </c>
      <c r="C932" s="71">
        <v>42204</v>
      </c>
      <c r="D932" s="81">
        <v>3.85</v>
      </c>
      <c r="E932">
        <f t="shared" si="9"/>
        <v>0.51975000000000005</v>
      </c>
      <c r="F932" t="s">
        <v>280</v>
      </c>
      <c r="G932" t="s">
        <v>299</v>
      </c>
      <c r="H932" s="71">
        <v>42195</v>
      </c>
      <c r="I932" t="s">
        <v>748</v>
      </c>
      <c r="J932" t="s">
        <v>15</v>
      </c>
    </row>
    <row r="933" spans="1:10" x14ac:dyDescent="0.2">
      <c r="A933" t="s">
        <v>733</v>
      </c>
      <c r="B933" s="31">
        <v>1</v>
      </c>
      <c r="C933" s="71">
        <v>42204</v>
      </c>
      <c r="D933" s="81">
        <v>8.07</v>
      </c>
      <c r="E933">
        <f t="shared" si="9"/>
        <v>8.07</v>
      </c>
      <c r="F933" t="s">
        <v>657</v>
      </c>
      <c r="G933" t="s">
        <v>298</v>
      </c>
      <c r="H933" s="71">
        <v>42195</v>
      </c>
      <c r="I933" t="s">
        <v>748</v>
      </c>
      <c r="J933" t="s">
        <v>15</v>
      </c>
    </row>
    <row r="934" spans="1:10" x14ac:dyDescent="0.2">
      <c r="A934" t="s">
        <v>208</v>
      </c>
      <c r="B934" s="31">
        <v>1</v>
      </c>
      <c r="C934" s="71">
        <v>42204</v>
      </c>
      <c r="D934" s="81">
        <v>2.58</v>
      </c>
      <c r="E934">
        <f t="shared" si="9"/>
        <v>2.58</v>
      </c>
      <c r="F934" t="s">
        <v>208</v>
      </c>
      <c r="G934" t="s">
        <v>298</v>
      </c>
      <c r="H934" s="71">
        <v>42195</v>
      </c>
      <c r="I934" t="s">
        <v>748</v>
      </c>
      <c r="J934" t="s">
        <v>15</v>
      </c>
    </row>
    <row r="935" spans="1:10" x14ac:dyDescent="0.2">
      <c r="A935" t="s">
        <v>208</v>
      </c>
      <c r="B935" s="31">
        <v>1</v>
      </c>
      <c r="C935" s="71">
        <v>42204</v>
      </c>
      <c r="D935" s="81">
        <v>3.85</v>
      </c>
      <c r="E935">
        <f t="shared" si="9"/>
        <v>3.85</v>
      </c>
      <c r="F935" t="s">
        <v>208</v>
      </c>
      <c r="G935" t="s">
        <v>298</v>
      </c>
      <c r="H935" s="71">
        <v>42195</v>
      </c>
      <c r="I935" t="s">
        <v>748</v>
      </c>
      <c r="J935" t="s">
        <v>15</v>
      </c>
    </row>
    <row r="936" spans="1:10" x14ac:dyDescent="0.2">
      <c r="A936" t="s">
        <v>939</v>
      </c>
      <c r="B936" s="31">
        <v>1</v>
      </c>
      <c r="C936" s="71">
        <v>42204</v>
      </c>
      <c r="D936" s="81">
        <v>5.7</v>
      </c>
      <c r="E936">
        <f t="shared" si="9"/>
        <v>5.7</v>
      </c>
      <c r="F936" t="s">
        <v>757</v>
      </c>
      <c r="G936" t="s">
        <v>298</v>
      </c>
      <c r="H936" s="71">
        <v>42195</v>
      </c>
      <c r="I936" t="s">
        <v>748</v>
      </c>
      <c r="J936" t="s">
        <v>15</v>
      </c>
    </row>
    <row r="937" spans="1:10" x14ac:dyDescent="0.2">
      <c r="A937" t="s">
        <v>465</v>
      </c>
      <c r="B937" s="31">
        <v>1</v>
      </c>
      <c r="C937" s="71">
        <v>42204</v>
      </c>
      <c r="D937" s="81">
        <v>2.98</v>
      </c>
      <c r="E937">
        <f t="shared" si="9"/>
        <v>2.98</v>
      </c>
      <c r="F937" t="s">
        <v>465</v>
      </c>
      <c r="G937" t="s">
        <v>298</v>
      </c>
      <c r="H937" s="71">
        <v>42195</v>
      </c>
      <c r="I937" t="s">
        <v>748</v>
      </c>
      <c r="J937" t="s">
        <v>15</v>
      </c>
    </row>
    <row r="938" spans="1:10" x14ac:dyDescent="0.2">
      <c r="A938" t="s">
        <v>465</v>
      </c>
      <c r="B938" s="31">
        <v>1</v>
      </c>
      <c r="C938" s="71">
        <v>42204</v>
      </c>
      <c r="D938" s="81">
        <v>2.29</v>
      </c>
      <c r="E938">
        <f t="shared" si="9"/>
        <v>2.29</v>
      </c>
      <c r="F938" t="s">
        <v>465</v>
      </c>
      <c r="G938" t="s">
        <v>298</v>
      </c>
      <c r="H938" s="71">
        <v>42195</v>
      </c>
      <c r="I938" t="s">
        <v>748</v>
      </c>
      <c r="J938" t="s">
        <v>15</v>
      </c>
    </row>
    <row r="939" spans="1:10" x14ac:dyDescent="0.2">
      <c r="A939" t="s">
        <v>423</v>
      </c>
      <c r="B939" s="31">
        <v>1</v>
      </c>
      <c r="C939" s="71">
        <v>42204</v>
      </c>
      <c r="D939" s="81">
        <v>4.95</v>
      </c>
      <c r="E939">
        <f t="shared" si="9"/>
        <v>4.95</v>
      </c>
      <c r="F939" t="s">
        <v>208</v>
      </c>
      <c r="G939" t="s">
        <v>298</v>
      </c>
      <c r="H939" s="71">
        <v>42195</v>
      </c>
      <c r="I939" t="s">
        <v>748</v>
      </c>
      <c r="J939" t="s">
        <v>15</v>
      </c>
    </row>
    <row r="940" spans="1:10" x14ac:dyDescent="0.2">
      <c r="A940" t="s">
        <v>215</v>
      </c>
      <c r="B940" s="31">
        <v>3</v>
      </c>
      <c r="C940" s="71">
        <v>42204</v>
      </c>
      <c r="D940" s="81">
        <v>2.99</v>
      </c>
      <c r="E940">
        <f t="shared" si="9"/>
        <v>8.9700000000000006</v>
      </c>
      <c r="F940" t="s">
        <v>215</v>
      </c>
      <c r="G940" t="s">
        <v>298</v>
      </c>
      <c r="H940" s="71">
        <v>42195</v>
      </c>
      <c r="I940" t="s">
        <v>748</v>
      </c>
      <c r="J940" t="s">
        <v>15</v>
      </c>
    </row>
    <row r="941" spans="1:10" x14ac:dyDescent="0.2">
      <c r="A941" t="s">
        <v>603</v>
      </c>
      <c r="B941" s="31">
        <v>1</v>
      </c>
      <c r="C941" s="71">
        <v>42204</v>
      </c>
      <c r="D941" s="81">
        <v>5.29</v>
      </c>
      <c r="E941">
        <f t="shared" si="9"/>
        <v>5.29</v>
      </c>
      <c r="F941" t="s">
        <v>468</v>
      </c>
      <c r="G941" t="s">
        <v>298</v>
      </c>
      <c r="H941" s="71">
        <v>42195</v>
      </c>
      <c r="I941" t="s">
        <v>748</v>
      </c>
      <c r="J941" t="s">
        <v>15</v>
      </c>
    </row>
    <row r="942" spans="1:10" x14ac:dyDescent="0.2">
      <c r="A942" t="s">
        <v>947</v>
      </c>
      <c r="B942" s="31">
        <v>1</v>
      </c>
      <c r="C942" s="71">
        <v>42204</v>
      </c>
      <c r="D942" s="81">
        <v>6.68</v>
      </c>
      <c r="E942">
        <f t="shared" si="9"/>
        <v>6.68</v>
      </c>
      <c r="F942" t="s">
        <v>282</v>
      </c>
      <c r="G942" t="s">
        <v>298</v>
      </c>
      <c r="H942" s="71">
        <v>42195</v>
      </c>
      <c r="I942" t="s">
        <v>748</v>
      </c>
      <c r="J942" t="s">
        <v>15</v>
      </c>
    </row>
    <row r="943" spans="1:10" x14ac:dyDescent="0.2">
      <c r="A943" t="s">
        <v>244</v>
      </c>
      <c r="B943" s="31">
        <v>4</v>
      </c>
      <c r="C943" s="71">
        <v>42204</v>
      </c>
      <c r="D943" s="81">
        <v>1.19</v>
      </c>
      <c r="E943">
        <f t="shared" si="9"/>
        <v>4.76</v>
      </c>
      <c r="F943" t="s">
        <v>282</v>
      </c>
      <c r="G943" t="s">
        <v>298</v>
      </c>
      <c r="H943" s="71">
        <v>42195</v>
      </c>
      <c r="I943" t="s">
        <v>748</v>
      </c>
      <c r="J943" t="s">
        <v>15</v>
      </c>
    </row>
    <row r="944" spans="1:10" x14ac:dyDescent="0.2">
      <c r="A944" t="s">
        <v>320</v>
      </c>
      <c r="B944" s="31">
        <v>1</v>
      </c>
      <c r="C944" s="71">
        <v>42204</v>
      </c>
      <c r="D944" s="81">
        <v>6.26</v>
      </c>
      <c r="E944">
        <f t="shared" si="9"/>
        <v>6.26</v>
      </c>
      <c r="F944" t="s">
        <v>322</v>
      </c>
      <c r="G944" t="s">
        <v>298</v>
      </c>
      <c r="H944" s="71">
        <v>42195</v>
      </c>
      <c r="I944" t="s">
        <v>748</v>
      </c>
      <c r="J944" t="s">
        <v>15</v>
      </c>
    </row>
    <row r="945" spans="1:10" x14ac:dyDescent="0.2">
      <c r="A945" t="s">
        <v>215</v>
      </c>
      <c r="B945" s="31">
        <v>2</v>
      </c>
      <c r="C945" s="71">
        <v>42212</v>
      </c>
      <c r="D945" s="81">
        <v>4.13</v>
      </c>
      <c r="E945">
        <f t="shared" si="9"/>
        <v>8.26</v>
      </c>
      <c r="F945" t="s">
        <v>215</v>
      </c>
      <c r="G945" t="s">
        <v>298</v>
      </c>
      <c r="H945" s="71">
        <v>42195</v>
      </c>
      <c r="I945" t="s">
        <v>749</v>
      </c>
      <c r="J945" t="s">
        <v>15</v>
      </c>
    </row>
    <row r="946" spans="1:10" x14ac:dyDescent="0.2">
      <c r="A946" t="s">
        <v>468</v>
      </c>
      <c r="B946" s="31">
        <v>1</v>
      </c>
      <c r="C946" s="71">
        <v>42212</v>
      </c>
      <c r="D946" s="81">
        <v>6.39</v>
      </c>
      <c r="E946">
        <f t="shared" si="9"/>
        <v>6.39</v>
      </c>
      <c r="F946" t="s">
        <v>468</v>
      </c>
      <c r="G946" t="s">
        <v>298</v>
      </c>
      <c r="H946" s="71">
        <v>42195</v>
      </c>
      <c r="I946" t="s">
        <v>749</v>
      </c>
      <c r="J946" t="s">
        <v>15</v>
      </c>
    </row>
    <row r="947" spans="1:10" x14ac:dyDescent="0.2">
      <c r="A947" t="s">
        <v>295</v>
      </c>
      <c r="B947" s="31">
        <v>0.20599999999999999</v>
      </c>
      <c r="C947" s="71">
        <v>42212</v>
      </c>
      <c r="D947" s="81">
        <v>18.989999999999998</v>
      </c>
      <c r="E947">
        <f t="shared" si="9"/>
        <v>3.9119399999999995</v>
      </c>
      <c r="F947" t="s">
        <v>653</v>
      </c>
      <c r="G947" t="s">
        <v>299</v>
      </c>
      <c r="H947" s="71">
        <v>42195</v>
      </c>
      <c r="I947" t="s">
        <v>749</v>
      </c>
      <c r="J947" t="s">
        <v>15</v>
      </c>
    </row>
    <row r="948" spans="1:10" x14ac:dyDescent="0.2">
      <c r="A948" t="s">
        <v>416</v>
      </c>
      <c r="B948" s="31">
        <v>0.16400000000000001</v>
      </c>
      <c r="C948" s="71">
        <v>42212</v>
      </c>
      <c r="D948" s="81">
        <v>19.89</v>
      </c>
      <c r="E948">
        <f t="shared" si="9"/>
        <v>3.2619600000000002</v>
      </c>
      <c r="F948" t="s">
        <v>653</v>
      </c>
      <c r="G948" t="s">
        <v>299</v>
      </c>
      <c r="H948" s="71">
        <v>42195</v>
      </c>
      <c r="I948" t="s">
        <v>749</v>
      </c>
      <c r="J948" t="s">
        <v>15</v>
      </c>
    </row>
    <row r="949" spans="1:10" x14ac:dyDescent="0.2">
      <c r="A949" t="s">
        <v>218</v>
      </c>
      <c r="B949" s="31">
        <v>1</v>
      </c>
      <c r="C949" s="71">
        <v>42212</v>
      </c>
      <c r="D949" s="81">
        <v>1.49</v>
      </c>
      <c r="E949">
        <f t="shared" si="9"/>
        <v>1.49</v>
      </c>
      <c r="F949" t="s">
        <v>280</v>
      </c>
      <c r="G949" t="s">
        <v>298</v>
      </c>
      <c r="H949" s="71">
        <v>42195</v>
      </c>
      <c r="I949" t="s">
        <v>749</v>
      </c>
      <c r="J949" t="s">
        <v>15</v>
      </c>
    </row>
    <row r="950" spans="1:10" x14ac:dyDescent="0.2">
      <c r="A950" t="s">
        <v>320</v>
      </c>
      <c r="B950" s="31">
        <v>1</v>
      </c>
      <c r="C950" s="71">
        <v>42212</v>
      </c>
      <c r="D950" s="81">
        <v>9.33</v>
      </c>
      <c r="E950">
        <f t="shared" si="9"/>
        <v>9.33</v>
      </c>
      <c r="F950" t="s">
        <v>948</v>
      </c>
      <c r="G950" t="s">
        <v>298</v>
      </c>
      <c r="H950" s="71">
        <v>42195</v>
      </c>
      <c r="I950" t="s">
        <v>749</v>
      </c>
      <c r="J950" t="s">
        <v>15</v>
      </c>
    </row>
    <row r="951" spans="1:10" x14ac:dyDescent="0.2">
      <c r="A951" t="s">
        <v>465</v>
      </c>
      <c r="B951" s="31">
        <v>2</v>
      </c>
      <c r="C951" s="71">
        <v>42212</v>
      </c>
      <c r="D951" s="81">
        <v>2.79</v>
      </c>
      <c r="E951">
        <f t="shared" si="9"/>
        <v>5.58</v>
      </c>
      <c r="F951" t="s">
        <v>465</v>
      </c>
      <c r="G951" t="s">
        <v>298</v>
      </c>
      <c r="H951" s="71">
        <v>42195</v>
      </c>
      <c r="I951" t="s">
        <v>749</v>
      </c>
      <c r="J951" t="s">
        <v>15</v>
      </c>
    </row>
    <row r="952" spans="1:10" x14ac:dyDescent="0.2">
      <c r="A952" t="s">
        <v>242</v>
      </c>
      <c r="B952" s="31">
        <v>1</v>
      </c>
      <c r="C952" s="71">
        <v>42212</v>
      </c>
      <c r="D952" s="81">
        <v>8.9</v>
      </c>
      <c r="E952">
        <f t="shared" si="9"/>
        <v>8.9</v>
      </c>
      <c r="F952" t="s">
        <v>282</v>
      </c>
      <c r="G952" t="s">
        <v>298</v>
      </c>
      <c r="H952" s="71">
        <v>42195</v>
      </c>
      <c r="I952" t="s">
        <v>749</v>
      </c>
      <c r="J952" t="s">
        <v>15</v>
      </c>
    </row>
    <row r="953" spans="1:10" x14ac:dyDescent="0.2">
      <c r="A953" t="s">
        <v>442</v>
      </c>
      <c r="B953" s="31">
        <v>2</v>
      </c>
      <c r="C953" s="71">
        <v>42212</v>
      </c>
      <c r="D953" s="81">
        <v>1.89</v>
      </c>
      <c r="E953">
        <f t="shared" si="9"/>
        <v>3.78</v>
      </c>
      <c r="F953" t="s">
        <v>322</v>
      </c>
      <c r="G953" t="s">
        <v>298</v>
      </c>
      <c r="H953" s="71">
        <v>42195</v>
      </c>
      <c r="I953" t="s">
        <v>749</v>
      </c>
      <c r="J953" t="s">
        <v>15</v>
      </c>
    </row>
    <row r="954" spans="1:10" x14ac:dyDescent="0.2">
      <c r="A954" t="s">
        <v>421</v>
      </c>
      <c r="B954" s="31">
        <v>2</v>
      </c>
      <c r="C954" s="71">
        <v>42212</v>
      </c>
      <c r="D954" s="81">
        <v>3.39</v>
      </c>
      <c r="E954">
        <f t="shared" si="9"/>
        <v>6.78</v>
      </c>
      <c r="F954" t="s">
        <v>322</v>
      </c>
      <c r="G954" t="s">
        <v>298</v>
      </c>
      <c r="H954" s="71">
        <v>42195</v>
      </c>
      <c r="I954" t="s">
        <v>749</v>
      </c>
      <c r="J954" t="s">
        <v>15</v>
      </c>
    </row>
    <row r="955" spans="1:10" x14ac:dyDescent="0.2">
      <c r="A955" t="s">
        <v>442</v>
      </c>
      <c r="B955" s="31">
        <v>2</v>
      </c>
      <c r="C955" s="71">
        <v>42212</v>
      </c>
      <c r="D955" s="81">
        <v>1.19</v>
      </c>
      <c r="E955">
        <f t="shared" si="9"/>
        <v>2.38</v>
      </c>
      <c r="F955" t="s">
        <v>322</v>
      </c>
      <c r="G955" t="s">
        <v>298</v>
      </c>
      <c r="H955" s="71">
        <v>42195</v>
      </c>
      <c r="I955" t="s">
        <v>749</v>
      </c>
      <c r="J955" t="s">
        <v>15</v>
      </c>
    </row>
    <row r="956" spans="1:10" x14ac:dyDescent="0.2">
      <c r="A956" t="s">
        <v>215</v>
      </c>
      <c r="B956" s="31">
        <v>1</v>
      </c>
      <c r="C956" s="71">
        <v>42217</v>
      </c>
      <c r="D956" s="81">
        <v>4.13</v>
      </c>
      <c r="E956">
        <f t="shared" si="9"/>
        <v>4.13</v>
      </c>
      <c r="F956" t="s">
        <v>215</v>
      </c>
      <c r="G956" t="s">
        <v>298</v>
      </c>
      <c r="H956" s="71">
        <v>42195</v>
      </c>
      <c r="I956" t="s">
        <v>749</v>
      </c>
      <c r="J956" t="s">
        <v>15</v>
      </c>
    </row>
    <row r="957" spans="1:10" x14ac:dyDescent="0.2">
      <c r="A957" t="s">
        <v>943</v>
      </c>
      <c r="B957" s="31">
        <v>1</v>
      </c>
      <c r="C957" s="71">
        <v>42217</v>
      </c>
      <c r="D957" s="81">
        <v>2.29</v>
      </c>
      <c r="E957">
        <f t="shared" si="9"/>
        <v>2.29</v>
      </c>
      <c r="F957" t="s">
        <v>943</v>
      </c>
      <c r="G957" t="s">
        <v>298</v>
      </c>
      <c r="H957" s="71">
        <v>42195</v>
      </c>
      <c r="I957" t="s">
        <v>749</v>
      </c>
      <c r="J957" t="s">
        <v>15</v>
      </c>
    </row>
    <row r="958" spans="1:10" x14ac:dyDescent="0.2">
      <c r="A958" t="s">
        <v>468</v>
      </c>
      <c r="B958" s="31">
        <v>1</v>
      </c>
      <c r="C958" s="71">
        <v>42217</v>
      </c>
      <c r="D958" s="81">
        <v>3.99</v>
      </c>
      <c r="E958">
        <f t="shared" si="9"/>
        <v>3.99</v>
      </c>
      <c r="F958" t="s">
        <v>468</v>
      </c>
      <c r="G958" t="s">
        <v>298</v>
      </c>
      <c r="H958" s="71">
        <v>42195</v>
      </c>
      <c r="I958" t="s">
        <v>749</v>
      </c>
      <c r="J958" t="s">
        <v>15</v>
      </c>
    </row>
    <row r="959" spans="1:10" x14ac:dyDescent="0.2">
      <c r="A959" t="s">
        <v>253</v>
      </c>
      <c r="B959" s="31">
        <v>1.0349999999999999</v>
      </c>
      <c r="C959" s="71">
        <v>42217</v>
      </c>
      <c r="D959" s="81">
        <v>2.98</v>
      </c>
      <c r="E959">
        <f t="shared" si="9"/>
        <v>3.0842999999999998</v>
      </c>
      <c r="F959" t="s">
        <v>279</v>
      </c>
      <c r="G959" t="s">
        <v>299</v>
      </c>
      <c r="H959" s="71">
        <v>42195</v>
      </c>
      <c r="I959" t="s">
        <v>749</v>
      </c>
      <c r="J959" t="s">
        <v>15</v>
      </c>
    </row>
    <row r="960" spans="1:10" x14ac:dyDescent="0.2">
      <c r="A960" t="s">
        <v>237</v>
      </c>
      <c r="B960" s="31">
        <v>1</v>
      </c>
      <c r="C960" s="71">
        <v>42217</v>
      </c>
      <c r="D960" s="81">
        <v>4.8899999999999997</v>
      </c>
      <c r="E960">
        <f t="shared" si="9"/>
        <v>4.8899999999999997</v>
      </c>
      <c r="F960" t="s">
        <v>653</v>
      </c>
      <c r="G960" t="s">
        <v>298</v>
      </c>
      <c r="H960" s="71">
        <v>42195</v>
      </c>
      <c r="I960" t="s">
        <v>749</v>
      </c>
      <c r="J960" t="s">
        <v>15</v>
      </c>
    </row>
    <row r="961" spans="1:10" x14ac:dyDescent="0.2">
      <c r="A961" t="s">
        <v>232</v>
      </c>
      <c r="B961" s="31">
        <v>1.125</v>
      </c>
      <c r="C961" s="71">
        <v>42217</v>
      </c>
      <c r="D961" s="81">
        <v>5.99</v>
      </c>
      <c r="E961">
        <f t="shared" si="9"/>
        <v>6.7387500000000005</v>
      </c>
      <c r="F961" t="s">
        <v>279</v>
      </c>
      <c r="G961" t="s">
        <v>299</v>
      </c>
      <c r="H961" s="71">
        <v>42195</v>
      </c>
      <c r="I961" t="s">
        <v>749</v>
      </c>
      <c r="J961" t="s">
        <v>15</v>
      </c>
    </row>
    <row r="962" spans="1:10" x14ac:dyDescent="0.2">
      <c r="A962" t="s">
        <v>308</v>
      </c>
      <c r="B962" s="31">
        <v>0.51</v>
      </c>
      <c r="C962" s="71">
        <v>42217</v>
      </c>
      <c r="D962" s="81">
        <v>3.98</v>
      </c>
      <c r="E962">
        <f t="shared" si="9"/>
        <v>2.0297999999999998</v>
      </c>
      <c r="F962" t="s">
        <v>279</v>
      </c>
      <c r="G962" t="s">
        <v>299</v>
      </c>
      <c r="H962" s="71">
        <v>42195</v>
      </c>
      <c r="I962" t="s">
        <v>749</v>
      </c>
      <c r="J962" t="s">
        <v>15</v>
      </c>
    </row>
    <row r="963" spans="1:10" x14ac:dyDescent="0.2">
      <c r="A963" t="s">
        <v>230</v>
      </c>
      <c r="B963" s="31">
        <v>0.23</v>
      </c>
      <c r="C963" s="71">
        <v>42217</v>
      </c>
      <c r="D963" s="81">
        <v>3.99</v>
      </c>
      <c r="E963">
        <f t="shared" si="9"/>
        <v>0.91770000000000007</v>
      </c>
      <c r="F963" t="s">
        <v>280</v>
      </c>
      <c r="G963" t="s">
        <v>299</v>
      </c>
      <c r="H963" s="71">
        <v>42195</v>
      </c>
      <c r="I963" t="s">
        <v>749</v>
      </c>
      <c r="J963" t="s">
        <v>15</v>
      </c>
    </row>
    <row r="964" spans="1:10" x14ac:dyDescent="0.2">
      <c r="A964" t="s">
        <v>307</v>
      </c>
      <c r="B964" s="31">
        <v>0.41499999999999998</v>
      </c>
      <c r="C964" s="71">
        <v>42217</v>
      </c>
      <c r="D964" s="81">
        <v>7.39</v>
      </c>
      <c r="E964">
        <f t="shared" si="9"/>
        <v>3.0668499999999996</v>
      </c>
      <c r="F964" t="s">
        <v>280</v>
      </c>
      <c r="G964" t="s">
        <v>299</v>
      </c>
      <c r="H964" s="71">
        <v>42195</v>
      </c>
      <c r="I964" t="s">
        <v>749</v>
      </c>
      <c r="J964" t="s">
        <v>15</v>
      </c>
    </row>
    <row r="965" spans="1:10" x14ac:dyDescent="0.2">
      <c r="A965" t="s">
        <v>248</v>
      </c>
      <c r="B965" s="31">
        <v>1</v>
      </c>
      <c r="C965" s="71">
        <v>42217</v>
      </c>
      <c r="D965" s="81">
        <v>2.99</v>
      </c>
      <c r="E965">
        <f t="shared" si="9"/>
        <v>2.99</v>
      </c>
      <c r="F965" t="s">
        <v>287</v>
      </c>
      <c r="G965" t="s">
        <v>298</v>
      </c>
      <c r="H965" s="71">
        <v>42195</v>
      </c>
      <c r="I965" t="s">
        <v>749</v>
      </c>
      <c r="J965" t="s">
        <v>15</v>
      </c>
    </row>
    <row r="966" spans="1:10" x14ac:dyDescent="0.2">
      <c r="A966" t="s">
        <v>604</v>
      </c>
      <c r="B966" s="31">
        <v>1</v>
      </c>
      <c r="C966" s="71">
        <v>42217</v>
      </c>
      <c r="D966" s="81">
        <v>5.19</v>
      </c>
      <c r="E966">
        <f t="shared" si="9"/>
        <v>5.19</v>
      </c>
      <c r="F966" t="s">
        <v>657</v>
      </c>
      <c r="G966" t="s">
        <v>298</v>
      </c>
      <c r="H966" s="71">
        <v>42195</v>
      </c>
      <c r="I966" t="s">
        <v>749</v>
      </c>
      <c r="J966" t="s">
        <v>15</v>
      </c>
    </row>
    <row r="967" spans="1:10" x14ac:dyDescent="0.2">
      <c r="A967" t="s">
        <v>269</v>
      </c>
      <c r="B967" s="31">
        <v>1</v>
      </c>
      <c r="C967" s="71">
        <v>42217</v>
      </c>
      <c r="D967" s="81">
        <v>5.29</v>
      </c>
      <c r="E967">
        <f t="shared" si="9"/>
        <v>5.29</v>
      </c>
      <c r="F967" t="s">
        <v>269</v>
      </c>
      <c r="G967" t="s">
        <v>298</v>
      </c>
      <c r="H967" s="71">
        <v>42195</v>
      </c>
      <c r="I967" t="s">
        <v>749</v>
      </c>
      <c r="J967" t="s">
        <v>15</v>
      </c>
    </row>
    <row r="968" spans="1:10" x14ac:dyDescent="0.2">
      <c r="A968" t="s">
        <v>824</v>
      </c>
      <c r="B968" s="31">
        <v>1</v>
      </c>
      <c r="C968" s="71">
        <v>42217</v>
      </c>
      <c r="D968" s="81">
        <v>3.59</v>
      </c>
      <c r="E968">
        <f t="shared" si="9"/>
        <v>3.59</v>
      </c>
      <c r="F968" t="s">
        <v>282</v>
      </c>
      <c r="G968" t="s">
        <v>298</v>
      </c>
      <c r="H968" s="71">
        <v>42195</v>
      </c>
      <c r="I968" t="s">
        <v>749</v>
      </c>
      <c r="J968" t="s">
        <v>15</v>
      </c>
    </row>
    <row r="969" spans="1:10" x14ac:dyDescent="0.2">
      <c r="A969" t="s">
        <v>657</v>
      </c>
      <c r="B969" s="31">
        <v>1</v>
      </c>
      <c r="C969" s="71">
        <v>42222</v>
      </c>
      <c r="D969" s="81">
        <v>7.39</v>
      </c>
      <c r="E969">
        <f t="shared" si="9"/>
        <v>7.39</v>
      </c>
      <c r="F969" t="s">
        <v>657</v>
      </c>
      <c r="G969" t="s">
        <v>298</v>
      </c>
      <c r="H969" s="71">
        <v>42195</v>
      </c>
      <c r="I969" t="s">
        <v>749</v>
      </c>
      <c r="J969" t="s">
        <v>15</v>
      </c>
    </row>
    <row r="970" spans="1:10" x14ac:dyDescent="0.2">
      <c r="A970" t="s">
        <v>307</v>
      </c>
      <c r="B970" s="31">
        <v>0.30499999999999999</v>
      </c>
      <c r="C970" s="71">
        <v>42222</v>
      </c>
      <c r="D970" s="81">
        <v>7.39</v>
      </c>
      <c r="E970">
        <f t="shared" si="9"/>
        <v>2.2539499999999997</v>
      </c>
      <c r="F970" t="s">
        <v>280</v>
      </c>
      <c r="G970" t="s">
        <v>299</v>
      </c>
      <c r="H970" s="71">
        <v>42195</v>
      </c>
      <c r="I970" t="s">
        <v>749</v>
      </c>
      <c r="J970" t="s">
        <v>15</v>
      </c>
    </row>
    <row r="971" spans="1:10" x14ac:dyDescent="0.2">
      <c r="A971" t="s">
        <v>614</v>
      </c>
      <c r="B971" s="31">
        <v>1</v>
      </c>
      <c r="C971" s="71">
        <v>42222</v>
      </c>
      <c r="D971" s="81">
        <v>3.79</v>
      </c>
      <c r="E971">
        <f t="shared" si="9"/>
        <v>3.79</v>
      </c>
      <c r="F971" t="s">
        <v>614</v>
      </c>
      <c r="G971" t="s">
        <v>298</v>
      </c>
      <c r="H971" s="71">
        <v>42195</v>
      </c>
      <c r="I971" t="s">
        <v>749</v>
      </c>
      <c r="J971" t="s">
        <v>15</v>
      </c>
    </row>
    <row r="972" spans="1:10" x14ac:dyDescent="0.2">
      <c r="A972" t="s">
        <v>243</v>
      </c>
      <c r="B972" s="31">
        <v>1</v>
      </c>
      <c r="C972" s="71">
        <v>42222</v>
      </c>
      <c r="D972" s="81">
        <v>14.41</v>
      </c>
      <c r="E972">
        <f t="shared" si="9"/>
        <v>14.41</v>
      </c>
      <c r="F972" t="s">
        <v>282</v>
      </c>
      <c r="G972" t="s">
        <v>298</v>
      </c>
      <c r="H972" s="71">
        <v>42195</v>
      </c>
      <c r="I972" t="s">
        <v>749</v>
      </c>
      <c r="J972" t="s">
        <v>15</v>
      </c>
    </row>
    <row r="973" spans="1:10" x14ac:dyDescent="0.2">
      <c r="A973" t="s">
        <v>253</v>
      </c>
      <c r="B973" s="31">
        <v>0.73</v>
      </c>
      <c r="C973" s="71">
        <v>42222</v>
      </c>
      <c r="D973" s="81">
        <v>3.49</v>
      </c>
      <c r="E973">
        <f t="shared" si="9"/>
        <v>2.5477000000000003</v>
      </c>
      <c r="F973" t="s">
        <v>279</v>
      </c>
      <c r="G973" t="s">
        <v>299</v>
      </c>
      <c r="H973" s="71">
        <v>42195</v>
      </c>
      <c r="I973" t="s">
        <v>749</v>
      </c>
      <c r="J973" t="s">
        <v>15</v>
      </c>
    </row>
    <row r="974" spans="1:10" x14ac:dyDescent="0.2">
      <c r="A974" t="s">
        <v>741</v>
      </c>
      <c r="B974" s="31">
        <v>1</v>
      </c>
      <c r="C974" s="71">
        <v>42222</v>
      </c>
      <c r="D974" s="81">
        <v>6.89</v>
      </c>
      <c r="E974">
        <f t="shared" si="9"/>
        <v>6.89</v>
      </c>
      <c r="F974" t="s">
        <v>282</v>
      </c>
      <c r="G974" t="s">
        <v>298</v>
      </c>
      <c r="H974" s="71">
        <v>42195</v>
      </c>
      <c r="I974" t="s">
        <v>749</v>
      </c>
      <c r="J974" t="s">
        <v>15</v>
      </c>
    </row>
    <row r="975" spans="1:10" x14ac:dyDescent="0.2">
      <c r="A975" t="s">
        <v>795</v>
      </c>
      <c r="B975" s="31">
        <v>1</v>
      </c>
      <c r="C975" s="71">
        <v>42222</v>
      </c>
      <c r="D975" s="81">
        <v>3.29</v>
      </c>
      <c r="E975">
        <f t="shared" si="9"/>
        <v>3.29</v>
      </c>
      <c r="F975" t="s">
        <v>282</v>
      </c>
      <c r="G975" t="s">
        <v>298</v>
      </c>
      <c r="H975" s="71">
        <v>42195</v>
      </c>
      <c r="I975" t="s">
        <v>749</v>
      </c>
      <c r="J975" t="s">
        <v>15</v>
      </c>
    </row>
    <row r="976" spans="1:10" x14ac:dyDescent="0.2">
      <c r="A976" t="s">
        <v>1010</v>
      </c>
      <c r="B976" s="31">
        <v>1</v>
      </c>
      <c r="C976" s="71">
        <v>42222</v>
      </c>
      <c r="D976" s="81">
        <v>3.09</v>
      </c>
      <c r="E976">
        <f t="shared" si="9"/>
        <v>3.09</v>
      </c>
      <c r="F976" t="s">
        <v>465</v>
      </c>
      <c r="G976" t="s">
        <v>298</v>
      </c>
      <c r="H976" s="71">
        <v>42195</v>
      </c>
      <c r="I976" t="s">
        <v>749</v>
      </c>
      <c r="J976" t="s">
        <v>15</v>
      </c>
    </row>
    <row r="977" spans="1:10" x14ac:dyDescent="0.2">
      <c r="A977" t="s">
        <v>468</v>
      </c>
      <c r="B977" s="31">
        <v>1</v>
      </c>
      <c r="C977" s="71">
        <v>42222</v>
      </c>
      <c r="D977" s="81">
        <v>5.29</v>
      </c>
      <c r="E977">
        <f t="shared" si="9"/>
        <v>5.29</v>
      </c>
      <c r="F977" t="s">
        <v>468</v>
      </c>
      <c r="G977" t="s">
        <v>298</v>
      </c>
      <c r="H977" s="71">
        <v>42195</v>
      </c>
      <c r="I977" t="s">
        <v>749</v>
      </c>
      <c r="J977" t="s">
        <v>15</v>
      </c>
    </row>
    <row r="978" spans="1:10" x14ac:dyDescent="0.2">
      <c r="A978" t="s">
        <v>249</v>
      </c>
      <c r="B978" s="31">
        <v>1</v>
      </c>
      <c r="C978" s="71">
        <v>42222</v>
      </c>
      <c r="D978" s="81">
        <v>5.49</v>
      </c>
      <c r="E978">
        <f t="shared" si="9"/>
        <v>5.49</v>
      </c>
      <c r="F978" t="s">
        <v>468</v>
      </c>
      <c r="G978" t="s">
        <v>298</v>
      </c>
      <c r="H978" s="71">
        <v>42195</v>
      </c>
      <c r="I978" t="s">
        <v>749</v>
      </c>
      <c r="J978" t="s">
        <v>15</v>
      </c>
    </row>
    <row r="979" spans="1:10" x14ac:dyDescent="0.2">
      <c r="A979" t="s">
        <v>1010</v>
      </c>
      <c r="B979" s="31">
        <v>1</v>
      </c>
      <c r="C979" s="71">
        <v>42222</v>
      </c>
      <c r="D979" s="81">
        <v>3.09</v>
      </c>
      <c r="E979">
        <f t="shared" si="9"/>
        <v>3.09</v>
      </c>
      <c r="F979" t="s">
        <v>465</v>
      </c>
      <c r="G979" t="s">
        <v>298</v>
      </c>
      <c r="H979" s="71">
        <v>42195</v>
      </c>
      <c r="I979" t="s">
        <v>749</v>
      </c>
      <c r="J979" t="s">
        <v>15</v>
      </c>
    </row>
    <row r="980" spans="1:10" x14ac:dyDescent="0.2">
      <c r="A980" t="s">
        <v>215</v>
      </c>
      <c r="B980" s="31">
        <v>2</v>
      </c>
      <c r="C980" s="71">
        <v>42222</v>
      </c>
      <c r="D980" s="81">
        <v>2.79</v>
      </c>
      <c r="E980">
        <f t="shared" si="9"/>
        <v>5.58</v>
      </c>
      <c r="F980" t="s">
        <v>215</v>
      </c>
      <c r="G980" t="s">
        <v>298</v>
      </c>
      <c r="H980" s="71">
        <v>42195</v>
      </c>
      <c r="I980" t="s">
        <v>749</v>
      </c>
      <c r="J980" t="s">
        <v>15</v>
      </c>
    </row>
    <row r="981" spans="1:10" x14ac:dyDescent="0.2">
      <c r="A981" t="s">
        <v>244</v>
      </c>
      <c r="B981" s="31">
        <v>3</v>
      </c>
      <c r="C981" s="71">
        <v>42225</v>
      </c>
      <c r="D981" s="81">
        <v>1.49</v>
      </c>
      <c r="E981">
        <f t="shared" ref="E981:E1006" si="10">B981*D981</f>
        <v>4.47</v>
      </c>
      <c r="F981" t="s">
        <v>282</v>
      </c>
      <c r="G981" t="s">
        <v>298</v>
      </c>
      <c r="H981" s="71">
        <v>42226</v>
      </c>
      <c r="I981" t="s">
        <v>749</v>
      </c>
      <c r="J981" t="s">
        <v>15</v>
      </c>
    </row>
    <row r="982" spans="1:10" x14ac:dyDescent="0.2">
      <c r="A982" t="s">
        <v>786</v>
      </c>
      <c r="B982" s="31">
        <v>2</v>
      </c>
      <c r="C982" s="71">
        <v>42225</v>
      </c>
      <c r="D982" s="81">
        <v>1.35</v>
      </c>
      <c r="E982">
        <f t="shared" si="10"/>
        <v>2.7</v>
      </c>
      <c r="F982" t="s">
        <v>322</v>
      </c>
      <c r="G982" t="s">
        <v>298</v>
      </c>
      <c r="H982" s="71">
        <v>42226</v>
      </c>
      <c r="I982" t="s">
        <v>749</v>
      </c>
      <c r="J982" t="s">
        <v>15</v>
      </c>
    </row>
    <row r="983" spans="1:10" x14ac:dyDescent="0.2">
      <c r="A983" t="s">
        <v>465</v>
      </c>
      <c r="B983" s="31">
        <v>1</v>
      </c>
      <c r="C983" s="71">
        <v>42225</v>
      </c>
      <c r="D983" s="81">
        <v>5.29</v>
      </c>
      <c r="E983">
        <f t="shared" si="10"/>
        <v>5.29</v>
      </c>
      <c r="F983" t="s">
        <v>465</v>
      </c>
      <c r="G983" t="s">
        <v>298</v>
      </c>
      <c r="H983" s="71">
        <v>42226</v>
      </c>
      <c r="I983" t="s">
        <v>749</v>
      </c>
      <c r="J983" t="s">
        <v>15</v>
      </c>
    </row>
    <row r="984" spans="1:10" x14ac:dyDescent="0.2">
      <c r="A984" t="s">
        <v>442</v>
      </c>
      <c r="B984" s="31">
        <v>3</v>
      </c>
      <c r="C984" s="71">
        <v>42225</v>
      </c>
      <c r="D984" s="81">
        <v>1.0900000000000001</v>
      </c>
      <c r="E984">
        <f t="shared" si="10"/>
        <v>3.2700000000000005</v>
      </c>
      <c r="F984" t="s">
        <v>322</v>
      </c>
      <c r="G984" t="s">
        <v>298</v>
      </c>
      <c r="H984" s="71">
        <v>42226</v>
      </c>
      <c r="I984" t="s">
        <v>749</v>
      </c>
      <c r="J984" t="s">
        <v>15</v>
      </c>
    </row>
    <row r="985" spans="1:10" x14ac:dyDescent="0.2">
      <c r="A985" t="s">
        <v>785</v>
      </c>
      <c r="B985" s="31">
        <v>1</v>
      </c>
      <c r="C985" s="71">
        <v>42225</v>
      </c>
      <c r="D985" s="81">
        <v>3.39</v>
      </c>
      <c r="E985">
        <f t="shared" si="10"/>
        <v>3.39</v>
      </c>
      <c r="F985" t="s">
        <v>322</v>
      </c>
      <c r="G985" t="s">
        <v>298</v>
      </c>
      <c r="H985" s="71">
        <v>42226</v>
      </c>
      <c r="I985" t="s">
        <v>749</v>
      </c>
      <c r="J985" t="s">
        <v>15</v>
      </c>
    </row>
    <row r="986" spans="1:10" x14ac:dyDescent="0.2">
      <c r="A986" t="s">
        <v>668</v>
      </c>
      <c r="B986" s="31">
        <v>1</v>
      </c>
      <c r="C986" s="71">
        <v>42225</v>
      </c>
      <c r="D986" s="81">
        <v>4.1900000000000004</v>
      </c>
      <c r="E986">
        <f t="shared" si="10"/>
        <v>4.1900000000000004</v>
      </c>
      <c r="F986" t="s">
        <v>653</v>
      </c>
      <c r="G986" t="s">
        <v>298</v>
      </c>
      <c r="H986" s="71">
        <v>42226</v>
      </c>
      <c r="I986" t="s">
        <v>749</v>
      </c>
      <c r="J986" t="s">
        <v>15</v>
      </c>
    </row>
    <row r="987" spans="1:10" x14ac:dyDescent="0.2">
      <c r="A987" t="s">
        <v>465</v>
      </c>
      <c r="B987" s="31">
        <v>1</v>
      </c>
      <c r="C987" s="71">
        <v>42225</v>
      </c>
      <c r="D987" s="81">
        <v>4.1900000000000004</v>
      </c>
      <c r="E987">
        <f t="shared" si="10"/>
        <v>4.1900000000000004</v>
      </c>
      <c r="F987" t="s">
        <v>465</v>
      </c>
      <c r="G987" t="s">
        <v>298</v>
      </c>
      <c r="H987" s="71">
        <v>42226</v>
      </c>
      <c r="I987" t="s">
        <v>749</v>
      </c>
      <c r="J987" t="s">
        <v>15</v>
      </c>
    </row>
    <row r="988" spans="1:10" x14ac:dyDescent="0.2">
      <c r="A988" t="s">
        <v>215</v>
      </c>
      <c r="B988" s="31">
        <v>2</v>
      </c>
      <c r="C988" s="71">
        <v>42225</v>
      </c>
      <c r="D988" s="81">
        <v>4.13</v>
      </c>
      <c r="E988">
        <f t="shared" si="10"/>
        <v>8.26</v>
      </c>
      <c r="F988" t="s">
        <v>215</v>
      </c>
      <c r="G988" t="s">
        <v>298</v>
      </c>
      <c r="H988" s="71">
        <v>42226</v>
      </c>
      <c r="I988" t="s">
        <v>749</v>
      </c>
      <c r="J988" t="s">
        <v>15</v>
      </c>
    </row>
    <row r="989" spans="1:10" x14ac:dyDescent="0.2">
      <c r="A989" t="s">
        <v>1011</v>
      </c>
      <c r="B989" s="31">
        <v>1</v>
      </c>
      <c r="C989" s="71">
        <v>42225</v>
      </c>
      <c r="D989" s="81">
        <v>4.09</v>
      </c>
      <c r="E989">
        <f t="shared" si="10"/>
        <v>4.09</v>
      </c>
      <c r="F989" t="s">
        <v>468</v>
      </c>
      <c r="G989" t="s">
        <v>298</v>
      </c>
      <c r="H989" s="71">
        <v>42226</v>
      </c>
      <c r="I989" t="s">
        <v>749</v>
      </c>
      <c r="J989" t="s">
        <v>15</v>
      </c>
    </row>
    <row r="990" spans="1:10" x14ac:dyDescent="0.2">
      <c r="A990" t="s">
        <v>237</v>
      </c>
      <c r="B990" s="31">
        <v>1</v>
      </c>
      <c r="C990" s="71">
        <v>42225</v>
      </c>
      <c r="D990" s="81">
        <v>5.39</v>
      </c>
      <c r="E990">
        <f t="shared" si="10"/>
        <v>5.39</v>
      </c>
      <c r="F990" t="s">
        <v>653</v>
      </c>
      <c r="G990" t="s">
        <v>298</v>
      </c>
      <c r="H990" s="71">
        <v>42226</v>
      </c>
      <c r="I990" t="s">
        <v>749</v>
      </c>
      <c r="J990" t="s">
        <v>15</v>
      </c>
    </row>
    <row r="991" spans="1:10" x14ac:dyDescent="0.2">
      <c r="A991" t="s">
        <v>575</v>
      </c>
      <c r="B991" s="31">
        <v>1</v>
      </c>
      <c r="C991" s="71">
        <v>42225</v>
      </c>
      <c r="D991" s="81">
        <v>9.7899999999999991</v>
      </c>
      <c r="E991">
        <f t="shared" si="10"/>
        <v>9.7899999999999991</v>
      </c>
      <c r="F991" t="s">
        <v>282</v>
      </c>
      <c r="G991" t="s">
        <v>298</v>
      </c>
      <c r="H991" s="71">
        <v>42226</v>
      </c>
      <c r="I991" t="s">
        <v>749</v>
      </c>
      <c r="J991" t="s">
        <v>15</v>
      </c>
    </row>
    <row r="992" spans="1:10" x14ac:dyDescent="0.2">
      <c r="A992" t="s">
        <v>657</v>
      </c>
      <c r="B992" s="31">
        <v>1</v>
      </c>
      <c r="C992" s="71">
        <v>42225</v>
      </c>
      <c r="D992" s="81">
        <v>4.59</v>
      </c>
      <c r="E992">
        <f t="shared" si="10"/>
        <v>4.59</v>
      </c>
      <c r="F992" t="s">
        <v>657</v>
      </c>
      <c r="G992" t="s">
        <v>298</v>
      </c>
      <c r="H992" s="71">
        <v>42226</v>
      </c>
      <c r="I992" t="s">
        <v>749</v>
      </c>
      <c r="J992" t="s">
        <v>15</v>
      </c>
    </row>
    <row r="993" spans="1:10" x14ac:dyDescent="0.2">
      <c r="A993" t="s">
        <v>242</v>
      </c>
      <c r="B993" s="31">
        <v>1</v>
      </c>
      <c r="C993" s="71">
        <v>42231</v>
      </c>
      <c r="D993" s="81">
        <v>8.49</v>
      </c>
      <c r="E993">
        <f t="shared" si="10"/>
        <v>8.49</v>
      </c>
      <c r="F993" t="s">
        <v>282</v>
      </c>
      <c r="G993" t="s">
        <v>298</v>
      </c>
      <c r="H993" s="71">
        <v>42226</v>
      </c>
      <c r="I993" t="s">
        <v>749</v>
      </c>
      <c r="J993" t="s">
        <v>15</v>
      </c>
    </row>
    <row r="994" spans="1:10" x14ac:dyDescent="0.2">
      <c r="A994" t="s">
        <v>657</v>
      </c>
      <c r="B994" s="31">
        <v>0.13200000000000001</v>
      </c>
      <c r="C994" s="71">
        <v>42231</v>
      </c>
      <c r="D994" s="81">
        <v>12.99</v>
      </c>
      <c r="E994">
        <f t="shared" si="10"/>
        <v>1.7146800000000002</v>
      </c>
      <c r="F994" t="s">
        <v>657</v>
      </c>
      <c r="G994" t="s">
        <v>298</v>
      </c>
      <c r="H994" s="71">
        <v>42226</v>
      </c>
      <c r="I994" t="s">
        <v>749</v>
      </c>
      <c r="J994" t="s">
        <v>15</v>
      </c>
    </row>
    <row r="995" spans="1:10" x14ac:dyDescent="0.2">
      <c r="A995" t="s">
        <v>1012</v>
      </c>
      <c r="B995" s="31">
        <v>1</v>
      </c>
      <c r="C995" s="71">
        <v>42231</v>
      </c>
      <c r="D995" s="81">
        <v>7.29</v>
      </c>
      <c r="E995">
        <f t="shared" si="10"/>
        <v>7.29</v>
      </c>
      <c r="F995" t="s">
        <v>322</v>
      </c>
      <c r="G995" t="s">
        <v>298</v>
      </c>
      <c r="H995" s="71">
        <v>42226</v>
      </c>
      <c r="I995" t="s">
        <v>749</v>
      </c>
      <c r="J995" t="s">
        <v>15</v>
      </c>
    </row>
    <row r="996" spans="1:10" x14ac:dyDescent="0.2">
      <c r="A996" t="s">
        <v>696</v>
      </c>
      <c r="B996" s="31">
        <v>1</v>
      </c>
      <c r="C996" s="71">
        <v>42231</v>
      </c>
      <c r="D996" s="81">
        <v>7.89</v>
      </c>
      <c r="E996">
        <f t="shared" si="10"/>
        <v>7.89</v>
      </c>
      <c r="F996" t="s">
        <v>322</v>
      </c>
      <c r="G996" t="s">
        <v>298</v>
      </c>
      <c r="H996" s="71">
        <v>42226</v>
      </c>
      <c r="I996" t="s">
        <v>749</v>
      </c>
      <c r="J996" t="s">
        <v>15</v>
      </c>
    </row>
    <row r="997" spans="1:10" x14ac:dyDescent="0.2">
      <c r="A997" t="s">
        <v>416</v>
      </c>
      <c r="B997" s="31">
        <v>0.104</v>
      </c>
      <c r="C997" s="71">
        <v>42231</v>
      </c>
      <c r="D997" s="81">
        <v>19.989999999999998</v>
      </c>
      <c r="E997">
        <f t="shared" si="10"/>
        <v>2.0789599999999999</v>
      </c>
      <c r="F997" t="s">
        <v>653</v>
      </c>
      <c r="G997" t="s">
        <v>299</v>
      </c>
      <c r="H997" s="71">
        <v>42226</v>
      </c>
      <c r="I997" t="s">
        <v>749</v>
      </c>
      <c r="J997" t="s">
        <v>15</v>
      </c>
    </row>
    <row r="998" spans="1:10" x14ac:dyDescent="0.2">
      <c r="A998" t="s">
        <v>295</v>
      </c>
      <c r="B998" s="31">
        <v>0.106</v>
      </c>
      <c r="C998" s="71">
        <v>42231</v>
      </c>
      <c r="D998" s="81">
        <v>21.9</v>
      </c>
      <c r="E998">
        <f t="shared" si="10"/>
        <v>2.3213999999999997</v>
      </c>
      <c r="F998" t="s">
        <v>653</v>
      </c>
      <c r="G998" t="s">
        <v>299</v>
      </c>
      <c r="H998" s="71">
        <v>42226</v>
      </c>
      <c r="I998" t="s">
        <v>749</v>
      </c>
      <c r="J998" t="s">
        <v>15</v>
      </c>
    </row>
    <row r="999" spans="1:10" x14ac:dyDescent="0.2">
      <c r="A999" t="s">
        <v>308</v>
      </c>
      <c r="B999" s="31">
        <v>0.875</v>
      </c>
      <c r="C999" s="71">
        <v>42233</v>
      </c>
      <c r="D999" s="81">
        <v>4.79</v>
      </c>
      <c r="E999">
        <f t="shared" si="10"/>
        <v>4.1912500000000001</v>
      </c>
      <c r="F999" t="s">
        <v>279</v>
      </c>
      <c r="G999" t="s">
        <v>299</v>
      </c>
      <c r="H999" s="71">
        <v>42226</v>
      </c>
      <c r="I999" t="s">
        <v>749</v>
      </c>
      <c r="J999" t="s">
        <v>15</v>
      </c>
    </row>
    <row r="1000" spans="1:10" x14ac:dyDescent="0.2">
      <c r="A1000" t="s">
        <v>657</v>
      </c>
      <c r="B1000" s="31">
        <v>1</v>
      </c>
      <c r="C1000" s="71">
        <v>42233</v>
      </c>
      <c r="D1000" s="81">
        <v>6.49</v>
      </c>
      <c r="E1000">
        <f t="shared" si="10"/>
        <v>6.49</v>
      </c>
      <c r="F1000" t="s">
        <v>657</v>
      </c>
      <c r="G1000" t="s">
        <v>298</v>
      </c>
      <c r="H1000" s="71">
        <v>42226</v>
      </c>
      <c r="I1000" t="s">
        <v>749</v>
      </c>
      <c r="J1000" t="s">
        <v>15</v>
      </c>
    </row>
    <row r="1001" spans="1:10" x14ac:dyDescent="0.2">
      <c r="A1001" t="s">
        <v>880</v>
      </c>
      <c r="B1001" s="31">
        <v>0.51500000000000001</v>
      </c>
      <c r="C1001" s="71">
        <v>42233</v>
      </c>
      <c r="D1001" s="81">
        <v>4.99</v>
      </c>
      <c r="E1001">
        <f t="shared" si="10"/>
        <v>2.5698500000000002</v>
      </c>
      <c r="F1001" t="s">
        <v>279</v>
      </c>
      <c r="G1001" t="s">
        <v>299</v>
      </c>
      <c r="H1001" s="71">
        <v>42226</v>
      </c>
      <c r="I1001" t="s">
        <v>749</v>
      </c>
      <c r="J1001" t="s">
        <v>15</v>
      </c>
    </row>
    <row r="1002" spans="1:10" x14ac:dyDescent="0.2">
      <c r="A1002" t="s">
        <v>253</v>
      </c>
      <c r="B1002" s="31">
        <v>0.84</v>
      </c>
      <c r="C1002" s="71">
        <v>42233</v>
      </c>
      <c r="D1002" s="81">
        <v>3.69</v>
      </c>
      <c r="E1002">
        <f t="shared" si="10"/>
        <v>3.0995999999999997</v>
      </c>
      <c r="F1002" t="s">
        <v>279</v>
      </c>
      <c r="G1002" t="s">
        <v>299</v>
      </c>
      <c r="H1002" s="71">
        <v>42226</v>
      </c>
      <c r="I1002" t="s">
        <v>749</v>
      </c>
      <c r="J1002" t="s">
        <v>15</v>
      </c>
    </row>
    <row r="1003" spans="1:10" x14ac:dyDescent="0.2">
      <c r="A1003" t="s">
        <v>465</v>
      </c>
      <c r="B1003" s="31">
        <v>1</v>
      </c>
      <c r="C1003" s="71">
        <v>42233</v>
      </c>
      <c r="D1003" s="81">
        <v>5.29</v>
      </c>
      <c r="E1003">
        <f t="shared" si="10"/>
        <v>5.29</v>
      </c>
      <c r="F1003" t="s">
        <v>465</v>
      </c>
      <c r="G1003" t="s">
        <v>298</v>
      </c>
      <c r="H1003" s="71">
        <v>42226</v>
      </c>
      <c r="I1003" t="s">
        <v>749</v>
      </c>
      <c r="J1003" t="s">
        <v>15</v>
      </c>
    </row>
    <row r="1004" spans="1:10" x14ac:dyDescent="0.2">
      <c r="A1004" t="s">
        <v>468</v>
      </c>
      <c r="B1004" s="31">
        <v>1</v>
      </c>
      <c r="C1004" s="71">
        <v>42233</v>
      </c>
      <c r="D1004" s="81">
        <v>5.29</v>
      </c>
      <c r="E1004">
        <f t="shared" si="10"/>
        <v>5.29</v>
      </c>
      <c r="F1004" t="s">
        <v>468</v>
      </c>
      <c r="G1004" t="s">
        <v>298</v>
      </c>
      <c r="H1004" s="71">
        <v>42226</v>
      </c>
      <c r="I1004" t="s">
        <v>749</v>
      </c>
      <c r="J1004" t="s">
        <v>15</v>
      </c>
    </row>
    <row r="1005" spans="1:10" x14ac:dyDescent="0.2">
      <c r="A1005" t="s">
        <v>757</v>
      </c>
      <c r="B1005" s="31">
        <v>1</v>
      </c>
      <c r="C1005" s="71">
        <v>42233</v>
      </c>
      <c r="D1005" s="81">
        <v>4.79</v>
      </c>
      <c r="E1005">
        <f t="shared" si="10"/>
        <v>4.79</v>
      </c>
      <c r="F1005" t="s">
        <v>757</v>
      </c>
      <c r="G1005" t="s">
        <v>298</v>
      </c>
      <c r="H1005" s="71">
        <v>42226</v>
      </c>
      <c r="I1005" t="s">
        <v>749</v>
      </c>
      <c r="J1005" t="s">
        <v>15</v>
      </c>
    </row>
    <row r="1006" spans="1:10" x14ac:dyDescent="0.2">
      <c r="A1006" t="s">
        <v>215</v>
      </c>
      <c r="B1006" s="31">
        <v>2</v>
      </c>
      <c r="C1006" s="71">
        <v>42233</v>
      </c>
      <c r="D1006" s="81">
        <v>4.2300000000000004</v>
      </c>
      <c r="E1006">
        <f t="shared" si="10"/>
        <v>8.4600000000000009</v>
      </c>
      <c r="F1006" t="s">
        <v>215</v>
      </c>
      <c r="G1006" t="s">
        <v>298</v>
      </c>
      <c r="H1006" s="71">
        <v>42226</v>
      </c>
      <c r="I1006" t="s">
        <v>749</v>
      </c>
      <c r="J1006" t="s">
        <v>15</v>
      </c>
    </row>
    <row r="1007" spans="1:10" x14ac:dyDescent="0.2">
      <c r="A1007" t="s">
        <v>1013</v>
      </c>
      <c r="B1007" s="31">
        <v>0.46800000000000003</v>
      </c>
      <c r="C1007" s="71">
        <v>42234</v>
      </c>
      <c r="D1007" s="81">
        <v>14.99</v>
      </c>
      <c r="E1007">
        <f t="shared" ref="E1007:E1015" si="11">B1007*D1007</f>
        <v>7.0153200000000009</v>
      </c>
      <c r="F1007" t="s">
        <v>609</v>
      </c>
      <c r="G1007" t="s">
        <v>299</v>
      </c>
      <c r="H1007" s="71">
        <v>42226</v>
      </c>
      <c r="I1007" t="s">
        <v>750</v>
      </c>
      <c r="J1007" t="s">
        <v>15</v>
      </c>
    </row>
    <row r="1008" spans="1:10" x14ac:dyDescent="0.2">
      <c r="A1008" t="s">
        <v>1014</v>
      </c>
      <c r="B1008" s="31">
        <v>0.56399999999999995</v>
      </c>
      <c r="C1008" s="71">
        <v>42234</v>
      </c>
      <c r="D1008" s="81">
        <v>10.99</v>
      </c>
      <c r="E1008">
        <f t="shared" si="11"/>
        <v>6.1983599999999992</v>
      </c>
      <c r="F1008" t="s">
        <v>609</v>
      </c>
      <c r="G1008" t="s">
        <v>299</v>
      </c>
      <c r="H1008" s="71">
        <v>42226</v>
      </c>
      <c r="I1008" t="s">
        <v>750</v>
      </c>
      <c r="J1008" t="s">
        <v>15</v>
      </c>
    </row>
    <row r="1009" spans="1:10" x14ac:dyDescent="0.2">
      <c r="A1009" t="s">
        <v>1013</v>
      </c>
      <c r="B1009" s="31">
        <v>0.59199999999999997</v>
      </c>
      <c r="C1009" s="71">
        <v>42234</v>
      </c>
      <c r="D1009" s="81">
        <v>14.99</v>
      </c>
      <c r="E1009">
        <f t="shared" si="11"/>
        <v>8.8740799999999993</v>
      </c>
      <c r="F1009" t="s">
        <v>609</v>
      </c>
      <c r="G1009" t="s">
        <v>299</v>
      </c>
      <c r="H1009" s="71">
        <v>42226</v>
      </c>
      <c r="I1009" t="s">
        <v>750</v>
      </c>
      <c r="J1009" t="s">
        <v>15</v>
      </c>
    </row>
    <row r="1010" spans="1:10" x14ac:dyDescent="0.2">
      <c r="A1010" t="s">
        <v>237</v>
      </c>
      <c r="B1010" s="31">
        <v>1</v>
      </c>
      <c r="C1010" s="71">
        <v>42234</v>
      </c>
      <c r="D1010" s="81">
        <v>4.99</v>
      </c>
      <c r="E1010">
        <f t="shared" si="11"/>
        <v>4.99</v>
      </c>
      <c r="F1010" t="s">
        <v>653</v>
      </c>
      <c r="G1010" t="s">
        <v>298</v>
      </c>
      <c r="H1010" s="71">
        <v>42226</v>
      </c>
      <c r="I1010" t="s">
        <v>750</v>
      </c>
      <c r="J1010" t="s">
        <v>15</v>
      </c>
    </row>
    <row r="1011" spans="1:10" x14ac:dyDescent="0.2">
      <c r="A1011" t="s">
        <v>230</v>
      </c>
      <c r="B1011" s="31">
        <v>0.38500000000000001</v>
      </c>
      <c r="C1011" s="71">
        <v>42234</v>
      </c>
      <c r="D1011" s="81">
        <v>4.9800000000000004</v>
      </c>
      <c r="E1011">
        <f t="shared" si="11"/>
        <v>1.9173000000000002</v>
      </c>
      <c r="F1011" t="s">
        <v>280</v>
      </c>
      <c r="G1011" t="s">
        <v>299</v>
      </c>
      <c r="H1011" s="71">
        <v>42226</v>
      </c>
      <c r="I1011" t="s">
        <v>750</v>
      </c>
      <c r="J1011" t="s">
        <v>15</v>
      </c>
    </row>
    <row r="1012" spans="1:10" x14ac:dyDescent="0.2">
      <c r="A1012" t="s">
        <v>208</v>
      </c>
      <c r="B1012" s="31">
        <v>1</v>
      </c>
      <c r="C1012" s="71">
        <v>42234</v>
      </c>
      <c r="D1012" s="81">
        <v>3.99</v>
      </c>
      <c r="E1012">
        <f t="shared" si="11"/>
        <v>3.99</v>
      </c>
      <c r="F1012" t="s">
        <v>208</v>
      </c>
      <c r="G1012" t="s">
        <v>298</v>
      </c>
      <c r="H1012" s="71">
        <v>42226</v>
      </c>
      <c r="I1012" t="s">
        <v>750</v>
      </c>
      <c r="J1012" t="s">
        <v>15</v>
      </c>
    </row>
    <row r="1013" spans="1:10" x14ac:dyDescent="0.2">
      <c r="A1013" t="s">
        <v>1015</v>
      </c>
      <c r="B1013" s="31">
        <v>1</v>
      </c>
      <c r="C1013" s="71">
        <v>42234</v>
      </c>
      <c r="D1013" s="81">
        <v>3.39</v>
      </c>
      <c r="E1013">
        <f t="shared" si="11"/>
        <v>3.39</v>
      </c>
      <c r="F1013" t="s">
        <v>208</v>
      </c>
      <c r="G1013" t="s">
        <v>298</v>
      </c>
      <c r="H1013" s="71">
        <v>42226</v>
      </c>
      <c r="I1013" t="s">
        <v>750</v>
      </c>
      <c r="J1013" t="s">
        <v>15</v>
      </c>
    </row>
    <row r="1014" spans="1:10" x14ac:dyDescent="0.2">
      <c r="A1014" t="s">
        <v>218</v>
      </c>
      <c r="B1014" s="31">
        <v>1</v>
      </c>
      <c r="C1014" s="71">
        <v>42234</v>
      </c>
      <c r="D1014" s="81">
        <v>1.68</v>
      </c>
      <c r="E1014">
        <f t="shared" si="11"/>
        <v>1.68</v>
      </c>
      <c r="F1014" t="s">
        <v>280</v>
      </c>
      <c r="G1014" t="s">
        <v>298</v>
      </c>
      <c r="H1014" s="71">
        <v>42226</v>
      </c>
      <c r="I1014" t="s">
        <v>750</v>
      </c>
      <c r="J1014" t="s">
        <v>15</v>
      </c>
    </row>
    <row r="1015" spans="1:10" x14ac:dyDescent="0.2">
      <c r="A1015" t="s">
        <v>232</v>
      </c>
      <c r="B1015" s="31">
        <v>1.0249999999999999</v>
      </c>
      <c r="C1015" s="71">
        <v>42234</v>
      </c>
      <c r="D1015" s="81">
        <v>3.68</v>
      </c>
      <c r="E1015">
        <f t="shared" si="11"/>
        <v>3.7719999999999998</v>
      </c>
      <c r="F1015" t="s">
        <v>279</v>
      </c>
      <c r="G1015" t="s">
        <v>299</v>
      </c>
      <c r="H1015" s="71">
        <v>42226</v>
      </c>
      <c r="I1015" t="s">
        <v>750</v>
      </c>
      <c r="J1015" t="s">
        <v>15</v>
      </c>
    </row>
    <row r="1016" spans="1:10" x14ac:dyDescent="0.2">
      <c r="A1016" t="s">
        <v>983</v>
      </c>
      <c r="B1016" s="31">
        <v>1</v>
      </c>
      <c r="C1016" s="71">
        <v>42177</v>
      </c>
      <c r="D1016" s="81">
        <v>82.89</v>
      </c>
      <c r="E1016">
        <f t="shared" ref="E1016:E1032" si="12">B1016*D1016</f>
        <v>82.89</v>
      </c>
      <c r="F1016" t="s">
        <v>983</v>
      </c>
      <c r="G1016" t="s">
        <v>298</v>
      </c>
      <c r="H1016" s="71">
        <v>42165</v>
      </c>
      <c r="I1016" t="s">
        <v>749</v>
      </c>
      <c r="J1016" t="s">
        <v>15</v>
      </c>
    </row>
    <row r="1017" spans="1:10" x14ac:dyDescent="0.2">
      <c r="A1017" t="s">
        <v>465</v>
      </c>
      <c r="B1017" s="31">
        <v>1</v>
      </c>
      <c r="C1017" s="71">
        <v>42238</v>
      </c>
      <c r="D1017" s="81">
        <v>5.29</v>
      </c>
      <c r="E1017">
        <f t="shared" si="12"/>
        <v>5.29</v>
      </c>
      <c r="F1017" t="s">
        <v>465</v>
      </c>
      <c r="G1017" t="s">
        <v>298</v>
      </c>
      <c r="H1017" s="71">
        <v>42226</v>
      </c>
      <c r="I1017" t="s">
        <v>749</v>
      </c>
      <c r="J1017" t="s">
        <v>13</v>
      </c>
    </row>
    <row r="1018" spans="1:10" x14ac:dyDescent="0.2">
      <c r="A1018" t="s">
        <v>468</v>
      </c>
      <c r="B1018" s="31">
        <v>1</v>
      </c>
      <c r="C1018" s="71">
        <v>42238</v>
      </c>
      <c r="D1018" s="81">
        <v>3.99</v>
      </c>
      <c r="E1018">
        <f t="shared" si="12"/>
        <v>3.99</v>
      </c>
      <c r="F1018" t="s">
        <v>468</v>
      </c>
      <c r="G1018" t="s">
        <v>298</v>
      </c>
      <c r="H1018" s="71">
        <v>42226</v>
      </c>
      <c r="I1018" t="s">
        <v>749</v>
      </c>
      <c r="J1018" t="s">
        <v>13</v>
      </c>
    </row>
    <row r="1019" spans="1:10" x14ac:dyDescent="0.2">
      <c r="A1019" t="s">
        <v>248</v>
      </c>
      <c r="B1019" s="31">
        <v>1</v>
      </c>
      <c r="C1019" s="71">
        <v>42238</v>
      </c>
      <c r="D1019" s="81">
        <v>4.8899999999999997</v>
      </c>
      <c r="E1019">
        <f t="shared" si="12"/>
        <v>4.8899999999999997</v>
      </c>
      <c r="F1019" t="s">
        <v>287</v>
      </c>
      <c r="G1019" t="s">
        <v>298</v>
      </c>
      <c r="H1019" s="71">
        <v>42226</v>
      </c>
      <c r="I1019" t="s">
        <v>749</v>
      </c>
      <c r="J1019" t="s">
        <v>13</v>
      </c>
    </row>
    <row r="1020" spans="1:10" x14ac:dyDescent="0.2">
      <c r="A1020" t="s">
        <v>352</v>
      </c>
      <c r="B1020" s="31">
        <v>1</v>
      </c>
      <c r="C1020" s="71">
        <v>42238</v>
      </c>
      <c r="D1020" s="81">
        <v>8.19</v>
      </c>
      <c r="E1020">
        <f t="shared" si="12"/>
        <v>8.19</v>
      </c>
      <c r="F1020" t="s">
        <v>653</v>
      </c>
      <c r="G1020" t="s">
        <v>299</v>
      </c>
      <c r="H1020" s="71">
        <v>42226</v>
      </c>
      <c r="I1020" t="s">
        <v>749</v>
      </c>
      <c r="J1020" t="s">
        <v>13</v>
      </c>
    </row>
    <row r="1021" spans="1:10" x14ac:dyDescent="0.2">
      <c r="A1021" t="s">
        <v>1016</v>
      </c>
      <c r="B1021" s="31">
        <v>1</v>
      </c>
      <c r="C1021" s="71">
        <v>42238</v>
      </c>
      <c r="D1021" s="81">
        <v>2.95</v>
      </c>
      <c r="E1021">
        <f t="shared" si="12"/>
        <v>2.95</v>
      </c>
      <c r="F1021" t="s">
        <v>287</v>
      </c>
      <c r="G1021" t="s">
        <v>298</v>
      </c>
      <c r="H1021" s="71">
        <v>42226</v>
      </c>
      <c r="I1021" t="s">
        <v>749</v>
      </c>
      <c r="J1021" t="s">
        <v>13</v>
      </c>
    </row>
    <row r="1022" spans="1:10" x14ac:dyDescent="0.2">
      <c r="A1022" t="s">
        <v>657</v>
      </c>
      <c r="B1022" s="31">
        <v>1</v>
      </c>
      <c r="C1022" s="71">
        <v>42238</v>
      </c>
      <c r="D1022" s="81">
        <v>7.29</v>
      </c>
      <c r="E1022">
        <f t="shared" si="12"/>
        <v>7.29</v>
      </c>
      <c r="F1022" t="s">
        <v>657</v>
      </c>
      <c r="G1022" t="s">
        <v>298</v>
      </c>
      <c r="H1022" s="71">
        <v>42226</v>
      </c>
      <c r="I1022" t="s">
        <v>749</v>
      </c>
      <c r="J1022" t="s">
        <v>13</v>
      </c>
    </row>
    <row r="1023" spans="1:10" x14ac:dyDescent="0.2">
      <c r="A1023" t="s">
        <v>295</v>
      </c>
      <c r="B1023" s="31">
        <v>0.22800000000000001</v>
      </c>
      <c r="C1023" s="71">
        <v>42238</v>
      </c>
      <c r="D1023" s="81">
        <v>23.99</v>
      </c>
      <c r="E1023">
        <f t="shared" si="12"/>
        <v>5.4697199999999997</v>
      </c>
      <c r="F1023" t="s">
        <v>653</v>
      </c>
      <c r="G1023" t="s">
        <v>299</v>
      </c>
      <c r="H1023" s="71">
        <v>42226</v>
      </c>
      <c r="I1023" t="s">
        <v>749</v>
      </c>
      <c r="J1023" t="s">
        <v>13</v>
      </c>
    </row>
    <row r="1024" spans="1:10" x14ac:dyDescent="0.2">
      <c r="A1024" t="s">
        <v>284</v>
      </c>
      <c r="B1024" s="31">
        <v>0.216</v>
      </c>
      <c r="C1024" s="71">
        <v>42238</v>
      </c>
      <c r="D1024" s="81">
        <v>13.49</v>
      </c>
      <c r="E1024">
        <f t="shared" si="12"/>
        <v>2.91384</v>
      </c>
      <c r="F1024" t="s">
        <v>609</v>
      </c>
      <c r="G1024" t="s">
        <v>299</v>
      </c>
      <c r="H1024" s="71">
        <v>42226</v>
      </c>
      <c r="I1024" t="s">
        <v>749</v>
      </c>
      <c r="J1024" t="s">
        <v>13</v>
      </c>
    </row>
    <row r="1025" spans="1:10" x14ac:dyDescent="0.2">
      <c r="A1025" t="s">
        <v>614</v>
      </c>
      <c r="B1025" s="31">
        <v>1</v>
      </c>
      <c r="C1025" s="71">
        <v>42238</v>
      </c>
      <c r="D1025" s="81">
        <v>10.69</v>
      </c>
      <c r="E1025">
        <f t="shared" si="12"/>
        <v>10.69</v>
      </c>
      <c r="F1025" t="s">
        <v>614</v>
      </c>
      <c r="G1025" t="s">
        <v>298</v>
      </c>
      <c r="H1025" s="71">
        <v>42226</v>
      </c>
      <c r="I1025" t="s">
        <v>749</v>
      </c>
      <c r="J1025" t="s">
        <v>13</v>
      </c>
    </row>
    <row r="1026" spans="1:10" x14ac:dyDescent="0.2">
      <c r="A1026" t="s">
        <v>241</v>
      </c>
      <c r="B1026" s="31">
        <v>1</v>
      </c>
      <c r="C1026" s="71">
        <v>42238</v>
      </c>
      <c r="D1026" s="81">
        <v>4.1900000000000004</v>
      </c>
      <c r="E1026">
        <f t="shared" si="12"/>
        <v>4.1900000000000004</v>
      </c>
      <c r="F1026" t="s">
        <v>282</v>
      </c>
      <c r="G1026" t="s">
        <v>298</v>
      </c>
      <c r="H1026" s="71">
        <v>42226</v>
      </c>
      <c r="I1026" t="s">
        <v>749</v>
      </c>
      <c r="J1026" t="s">
        <v>13</v>
      </c>
    </row>
    <row r="1027" spans="1:10" x14ac:dyDescent="0.2">
      <c r="A1027" t="s">
        <v>215</v>
      </c>
      <c r="B1027" s="31">
        <v>2</v>
      </c>
      <c r="C1027" s="71">
        <v>42238</v>
      </c>
      <c r="D1027" s="81">
        <v>4.13</v>
      </c>
      <c r="E1027">
        <f t="shared" si="12"/>
        <v>8.26</v>
      </c>
      <c r="F1027" t="s">
        <v>215</v>
      </c>
      <c r="G1027" t="s">
        <v>298</v>
      </c>
      <c r="H1027" s="71">
        <v>42226</v>
      </c>
      <c r="I1027" t="s">
        <v>749</v>
      </c>
      <c r="J1027" t="s">
        <v>13</v>
      </c>
    </row>
    <row r="1028" spans="1:10" x14ac:dyDescent="0.2">
      <c r="A1028" t="s">
        <v>614</v>
      </c>
      <c r="B1028" s="31">
        <v>1</v>
      </c>
      <c r="C1028" s="71">
        <v>42238</v>
      </c>
      <c r="D1028" s="81">
        <v>3.69</v>
      </c>
      <c r="E1028">
        <f t="shared" si="12"/>
        <v>3.69</v>
      </c>
      <c r="F1028" t="s">
        <v>614</v>
      </c>
      <c r="G1028" t="s">
        <v>298</v>
      </c>
      <c r="H1028" s="71">
        <v>42226</v>
      </c>
      <c r="I1028" t="s">
        <v>749</v>
      </c>
      <c r="J1028" t="s">
        <v>13</v>
      </c>
    </row>
    <row r="1029" spans="1:10" x14ac:dyDescent="0.2">
      <c r="A1029" t="s">
        <v>465</v>
      </c>
      <c r="B1029" s="31">
        <v>1</v>
      </c>
      <c r="C1029" s="71">
        <v>42238</v>
      </c>
      <c r="D1029" s="81">
        <v>2.98</v>
      </c>
      <c r="E1029">
        <f t="shared" si="12"/>
        <v>2.98</v>
      </c>
      <c r="F1029" t="s">
        <v>465</v>
      </c>
      <c r="G1029" t="s">
        <v>298</v>
      </c>
      <c r="H1029" s="71">
        <v>42226</v>
      </c>
      <c r="I1029" t="s">
        <v>749</v>
      </c>
      <c r="J1029" t="s">
        <v>13</v>
      </c>
    </row>
    <row r="1030" spans="1:10" x14ac:dyDescent="0.2">
      <c r="A1030" t="s">
        <v>723</v>
      </c>
      <c r="B1030" s="31">
        <v>1</v>
      </c>
      <c r="C1030" s="71">
        <v>42241</v>
      </c>
      <c r="D1030" s="81">
        <v>3.89</v>
      </c>
      <c r="E1030">
        <f t="shared" si="12"/>
        <v>3.89</v>
      </c>
      <c r="F1030" t="s">
        <v>737</v>
      </c>
      <c r="G1030" t="s">
        <v>298</v>
      </c>
      <c r="H1030" s="71">
        <v>42226</v>
      </c>
      <c r="I1030" t="s">
        <v>749</v>
      </c>
      <c r="J1030" t="s">
        <v>15</v>
      </c>
    </row>
    <row r="1031" spans="1:10" x14ac:dyDescent="0.2">
      <c r="A1031" t="s">
        <v>295</v>
      </c>
      <c r="B1031" s="31">
        <v>0.20799999999999999</v>
      </c>
      <c r="C1031" s="71">
        <v>42241</v>
      </c>
      <c r="D1031" s="81">
        <v>23.99</v>
      </c>
      <c r="E1031">
        <f t="shared" si="12"/>
        <v>4.9899199999999997</v>
      </c>
      <c r="F1031" t="s">
        <v>653</v>
      </c>
      <c r="G1031" t="s">
        <v>299</v>
      </c>
      <c r="H1031" s="71">
        <v>42226</v>
      </c>
      <c r="I1031" t="s">
        <v>749</v>
      </c>
      <c r="J1031" t="s">
        <v>15</v>
      </c>
    </row>
    <row r="1032" spans="1:10" x14ac:dyDescent="0.2">
      <c r="A1032" t="s">
        <v>227</v>
      </c>
      <c r="B1032" s="31">
        <v>0.28799999999999998</v>
      </c>
      <c r="C1032" s="71">
        <v>42241</v>
      </c>
      <c r="D1032" s="81">
        <v>8.89</v>
      </c>
      <c r="E1032">
        <f t="shared" si="12"/>
        <v>2.5603199999999999</v>
      </c>
      <c r="F1032" t="s">
        <v>657</v>
      </c>
      <c r="G1032" t="s">
        <v>299</v>
      </c>
      <c r="H1032" s="71">
        <v>42226</v>
      </c>
      <c r="I1032" t="s">
        <v>749</v>
      </c>
      <c r="J1032" t="s">
        <v>15</v>
      </c>
    </row>
    <row r="1033" spans="1:10" x14ac:dyDescent="0.2">
      <c r="A1033" t="s">
        <v>352</v>
      </c>
      <c r="B1033" s="31">
        <v>1</v>
      </c>
      <c r="C1033" s="71">
        <v>42241</v>
      </c>
      <c r="D1033" s="81">
        <v>18.91</v>
      </c>
      <c r="E1033">
        <f t="shared" ref="E1033" si="13">B1033*D1033</f>
        <v>18.91</v>
      </c>
      <c r="F1033" t="s">
        <v>653</v>
      </c>
      <c r="G1033" t="s">
        <v>298</v>
      </c>
      <c r="H1033" s="71">
        <v>42226</v>
      </c>
      <c r="I1033" t="s">
        <v>749</v>
      </c>
      <c r="J1033" t="s">
        <v>15</v>
      </c>
    </row>
    <row r="1034" spans="1:10" x14ac:dyDescent="0.2">
      <c r="A1034" t="s">
        <v>983</v>
      </c>
      <c r="B1034" s="31">
        <v>1</v>
      </c>
      <c r="C1034" s="71">
        <v>42241</v>
      </c>
      <c r="D1034" s="81">
        <v>9.75</v>
      </c>
      <c r="E1034">
        <f t="shared" ref="E1034" si="14">B1034*D1034</f>
        <v>9.75</v>
      </c>
      <c r="F1034" t="s">
        <v>983</v>
      </c>
      <c r="G1034" t="s">
        <v>298</v>
      </c>
      <c r="H1034" s="71">
        <v>42226</v>
      </c>
      <c r="I1034" t="s">
        <v>749</v>
      </c>
      <c r="J1034" t="s">
        <v>15</v>
      </c>
    </row>
    <row r="1035" spans="1:10" x14ac:dyDescent="0.2">
      <c r="A1035" t="s">
        <v>983</v>
      </c>
      <c r="B1035" s="31">
        <v>1</v>
      </c>
      <c r="C1035" s="71">
        <v>42251</v>
      </c>
      <c r="D1035" s="81">
        <v>42.31</v>
      </c>
      <c r="E1035">
        <f t="shared" ref="E1035" si="15">B1035*D1035</f>
        <v>42.31</v>
      </c>
      <c r="F1035" t="s">
        <v>983</v>
      </c>
      <c r="G1035" t="s">
        <v>298</v>
      </c>
      <c r="H1035" s="71">
        <v>42226</v>
      </c>
      <c r="I1035" t="s">
        <v>749</v>
      </c>
      <c r="J1035" t="s">
        <v>15</v>
      </c>
    </row>
    <row r="1036" spans="1:10" x14ac:dyDescent="0.2">
      <c r="A1036" t="s">
        <v>983</v>
      </c>
      <c r="B1036" s="31">
        <v>1</v>
      </c>
      <c r="C1036" s="71">
        <v>42253</v>
      </c>
      <c r="D1036" s="81">
        <v>79.09</v>
      </c>
      <c r="E1036">
        <f t="shared" ref="E1036" si="16">B1036*D1036</f>
        <v>79.09</v>
      </c>
      <c r="F1036" t="s">
        <v>983</v>
      </c>
      <c r="G1036" t="s">
        <v>298</v>
      </c>
      <c r="H1036" s="71">
        <v>42226</v>
      </c>
      <c r="I1036" t="s">
        <v>748</v>
      </c>
      <c r="J1036" t="s">
        <v>15</v>
      </c>
    </row>
    <row r="1037" spans="1:10" x14ac:dyDescent="0.2">
      <c r="A1037" t="s">
        <v>983</v>
      </c>
      <c r="B1037" s="31">
        <v>1</v>
      </c>
      <c r="C1037" s="71">
        <v>42255</v>
      </c>
      <c r="D1037" s="81">
        <v>59.71</v>
      </c>
      <c r="E1037">
        <f t="shared" ref="E1037" si="17">B1037*D1037</f>
        <v>59.71</v>
      </c>
      <c r="F1037" t="s">
        <v>983</v>
      </c>
      <c r="G1037" t="s">
        <v>298</v>
      </c>
      <c r="H1037" s="71">
        <v>42226</v>
      </c>
      <c r="I1037" t="s">
        <v>749</v>
      </c>
      <c r="J1037" t="s">
        <v>15</v>
      </c>
    </row>
    <row r="1038" spans="1:10" x14ac:dyDescent="0.2">
      <c r="A1038" t="s">
        <v>983</v>
      </c>
      <c r="B1038" s="31">
        <v>1</v>
      </c>
      <c r="C1038" s="71">
        <v>42258</v>
      </c>
      <c r="D1038" s="81">
        <v>84.68</v>
      </c>
      <c r="E1038">
        <f t="shared" ref="E1038" si="18">B1038*D1038</f>
        <v>84.68</v>
      </c>
      <c r="F1038" t="s">
        <v>983</v>
      </c>
      <c r="G1038" t="s">
        <v>298</v>
      </c>
      <c r="H1038" s="71">
        <v>42257</v>
      </c>
      <c r="I1038" t="s">
        <v>749</v>
      </c>
      <c r="J1038" t="s">
        <v>15</v>
      </c>
    </row>
    <row r="1039" spans="1:10" x14ac:dyDescent="0.2">
      <c r="A1039" t="s">
        <v>983</v>
      </c>
      <c r="B1039" s="31">
        <v>1</v>
      </c>
      <c r="C1039" s="71">
        <v>42261</v>
      </c>
      <c r="D1039" s="81">
        <v>51.74</v>
      </c>
      <c r="E1039">
        <f t="shared" ref="E1039" si="19">B1039*D1039</f>
        <v>51.74</v>
      </c>
      <c r="F1039" t="s">
        <v>983</v>
      </c>
      <c r="G1039" t="s">
        <v>298</v>
      </c>
      <c r="H1039" s="71">
        <v>42257</v>
      </c>
      <c r="I1039" t="s">
        <v>749</v>
      </c>
      <c r="J1039" t="s">
        <v>15</v>
      </c>
    </row>
    <row r="1040" spans="1:10" x14ac:dyDescent="0.2">
      <c r="A1040" t="s">
        <v>983</v>
      </c>
      <c r="B1040" s="31">
        <v>1</v>
      </c>
      <c r="C1040" s="71">
        <v>42270</v>
      </c>
      <c r="D1040" s="81">
        <v>9.83</v>
      </c>
      <c r="E1040">
        <f t="shared" ref="E1040" si="20">B1040*D1040</f>
        <v>9.83</v>
      </c>
      <c r="F1040" t="s">
        <v>983</v>
      </c>
      <c r="G1040" t="s">
        <v>298</v>
      </c>
      <c r="H1040" s="71">
        <v>42257</v>
      </c>
      <c r="I1040" t="s">
        <v>1054</v>
      </c>
      <c r="J1040" t="s">
        <v>15</v>
      </c>
    </row>
    <row r="1041" spans="1:10" x14ac:dyDescent="0.2">
      <c r="A1041" t="s">
        <v>983</v>
      </c>
      <c r="B1041" s="31">
        <v>1</v>
      </c>
      <c r="C1041" s="71">
        <v>42273</v>
      </c>
      <c r="D1041" s="81">
        <v>61.19</v>
      </c>
      <c r="E1041">
        <f t="shared" ref="E1041" si="21">B1041*D1041</f>
        <v>61.19</v>
      </c>
      <c r="F1041" t="s">
        <v>983</v>
      </c>
      <c r="G1041" t="s">
        <v>298</v>
      </c>
      <c r="H1041" s="71">
        <v>42257</v>
      </c>
      <c r="I1041" t="s">
        <v>749</v>
      </c>
      <c r="J1041" t="s">
        <v>15</v>
      </c>
    </row>
    <row r="1042" spans="1:10" x14ac:dyDescent="0.2">
      <c r="A1042" t="s">
        <v>983</v>
      </c>
      <c r="B1042" s="31">
        <v>1</v>
      </c>
      <c r="C1042" s="71">
        <v>42275</v>
      </c>
      <c r="D1042" s="81">
        <v>161.09</v>
      </c>
      <c r="E1042">
        <f t="shared" ref="E1042" si="22">B1042*D1042</f>
        <v>161.09</v>
      </c>
      <c r="F1042" t="s">
        <v>983</v>
      </c>
      <c r="G1042" t="s">
        <v>298</v>
      </c>
      <c r="H1042" s="71">
        <v>42257</v>
      </c>
      <c r="I1042" t="s">
        <v>749</v>
      </c>
      <c r="J1042" t="s">
        <v>15</v>
      </c>
    </row>
    <row r="1043" spans="1:10" x14ac:dyDescent="0.2">
      <c r="A1043" t="s">
        <v>983</v>
      </c>
      <c r="B1043" s="31">
        <v>1</v>
      </c>
      <c r="C1043" s="71">
        <v>42276</v>
      </c>
      <c r="D1043" s="81">
        <v>28.9</v>
      </c>
      <c r="E1043">
        <f t="shared" ref="E1043" si="23">B1043*D1043</f>
        <v>28.9</v>
      </c>
      <c r="F1043" t="s">
        <v>983</v>
      </c>
      <c r="G1043" t="s">
        <v>298</v>
      </c>
      <c r="H1043" s="71">
        <v>42257</v>
      </c>
      <c r="I1043" t="s">
        <v>749</v>
      </c>
      <c r="J1043" t="s">
        <v>15</v>
      </c>
    </row>
    <row r="1044" spans="1:10" x14ac:dyDescent="0.2">
      <c r="A1044" t="s">
        <v>983</v>
      </c>
      <c r="B1044" s="31">
        <v>1</v>
      </c>
      <c r="C1044" s="71">
        <v>42279</v>
      </c>
      <c r="D1044" s="81">
        <v>94.38</v>
      </c>
      <c r="E1044">
        <f t="shared" ref="E1044" si="24">B1044*D1044</f>
        <v>94.38</v>
      </c>
      <c r="F1044" t="s">
        <v>983</v>
      </c>
      <c r="G1044" t="s">
        <v>298</v>
      </c>
      <c r="H1044" s="71">
        <v>42257</v>
      </c>
      <c r="I1044" t="s">
        <v>749</v>
      </c>
      <c r="J1044" t="s">
        <v>15</v>
      </c>
    </row>
    <row r="1045" spans="1:10" x14ac:dyDescent="0.2">
      <c r="A1045" t="s">
        <v>983</v>
      </c>
      <c r="B1045" s="31">
        <v>1</v>
      </c>
      <c r="C1045" s="71">
        <v>42280</v>
      </c>
      <c r="D1045" s="81">
        <v>21.33</v>
      </c>
      <c r="E1045">
        <f t="shared" ref="E1045" si="25">B1045*D1045</f>
        <v>21.33</v>
      </c>
      <c r="F1045" t="s">
        <v>983</v>
      </c>
      <c r="G1045" t="s">
        <v>298</v>
      </c>
      <c r="H1045" s="71">
        <v>42257</v>
      </c>
      <c r="I1045" t="s">
        <v>749</v>
      </c>
      <c r="J1045" t="s">
        <v>15</v>
      </c>
    </row>
    <row r="1046" spans="1:10" x14ac:dyDescent="0.2">
      <c r="A1046" t="s">
        <v>983</v>
      </c>
      <c r="B1046" s="31">
        <v>1</v>
      </c>
      <c r="C1046" s="71">
        <v>42285</v>
      </c>
      <c r="D1046" s="81">
        <v>36.33</v>
      </c>
      <c r="E1046">
        <f t="shared" ref="E1046" si="26">B1046*D1046</f>
        <v>36.33</v>
      </c>
      <c r="F1046" t="s">
        <v>983</v>
      </c>
      <c r="G1046" t="s">
        <v>298</v>
      </c>
      <c r="H1046" s="71">
        <v>42257</v>
      </c>
      <c r="I1046" t="s">
        <v>749</v>
      </c>
      <c r="J1046" t="s">
        <v>15</v>
      </c>
    </row>
    <row r="1047" spans="1:10" x14ac:dyDescent="0.2">
      <c r="A1047" t="s">
        <v>983</v>
      </c>
      <c r="B1047" s="31">
        <v>1</v>
      </c>
      <c r="C1047" s="71">
        <v>42287</v>
      </c>
      <c r="D1047" s="81">
        <v>39.75</v>
      </c>
      <c r="E1047">
        <f t="shared" ref="E1047" si="27">B1047*D1047</f>
        <v>39.75</v>
      </c>
      <c r="F1047" t="s">
        <v>983</v>
      </c>
      <c r="G1047" t="s">
        <v>298</v>
      </c>
      <c r="H1047" s="71">
        <v>42257</v>
      </c>
      <c r="I1047" t="s">
        <v>1076</v>
      </c>
      <c r="J1047" t="s">
        <v>13</v>
      </c>
    </row>
    <row r="1048" spans="1:10" x14ac:dyDescent="0.2">
      <c r="A1048" t="s">
        <v>983</v>
      </c>
      <c r="B1048" s="31">
        <v>1</v>
      </c>
      <c r="C1048" s="71">
        <v>42288</v>
      </c>
      <c r="D1048" s="81">
        <v>25.02</v>
      </c>
      <c r="E1048">
        <f t="shared" ref="E1048" si="28">B1048*D1048</f>
        <v>25.02</v>
      </c>
      <c r="F1048" t="s">
        <v>983</v>
      </c>
      <c r="G1048" t="s">
        <v>298</v>
      </c>
      <c r="H1048" s="71">
        <v>42257</v>
      </c>
      <c r="I1048" t="s">
        <v>749</v>
      </c>
      <c r="J1048" t="s">
        <v>13</v>
      </c>
    </row>
    <row r="1049" spans="1:10" x14ac:dyDescent="0.2">
      <c r="A1049" t="s">
        <v>1077</v>
      </c>
      <c r="B1049" s="31">
        <v>1</v>
      </c>
      <c r="C1049" s="71">
        <v>42245</v>
      </c>
      <c r="D1049" s="81">
        <v>18.989999999999998</v>
      </c>
      <c r="E1049">
        <f t="shared" ref="E1049:E1070" si="29">B1049*D1049</f>
        <v>18.989999999999998</v>
      </c>
      <c r="F1049" t="s">
        <v>322</v>
      </c>
      <c r="G1049" t="s">
        <v>298</v>
      </c>
      <c r="H1049" s="71">
        <v>42226</v>
      </c>
      <c r="I1049" t="s">
        <v>749</v>
      </c>
      <c r="J1049" t="s">
        <v>15</v>
      </c>
    </row>
    <row r="1050" spans="1:10" x14ac:dyDescent="0.2">
      <c r="A1050" t="s">
        <v>1078</v>
      </c>
      <c r="B1050" s="31">
        <v>1</v>
      </c>
      <c r="C1050" s="71">
        <v>42245</v>
      </c>
      <c r="D1050" s="81">
        <v>27.49</v>
      </c>
      <c r="E1050">
        <f t="shared" si="29"/>
        <v>27.49</v>
      </c>
      <c r="F1050" t="s">
        <v>322</v>
      </c>
      <c r="G1050" t="s">
        <v>298</v>
      </c>
      <c r="H1050" s="71">
        <v>42226</v>
      </c>
      <c r="I1050" t="s">
        <v>749</v>
      </c>
      <c r="J1050" t="s">
        <v>15</v>
      </c>
    </row>
    <row r="1051" spans="1:10" x14ac:dyDescent="0.2">
      <c r="A1051" t="s">
        <v>1079</v>
      </c>
      <c r="B1051" s="31">
        <v>1</v>
      </c>
      <c r="C1051" s="71">
        <v>42245</v>
      </c>
      <c r="D1051" s="81">
        <v>16.690000000000001</v>
      </c>
      <c r="E1051">
        <f t="shared" si="29"/>
        <v>16.690000000000001</v>
      </c>
      <c r="F1051" t="s">
        <v>322</v>
      </c>
      <c r="G1051" t="s">
        <v>298</v>
      </c>
      <c r="H1051" s="71">
        <v>42226</v>
      </c>
      <c r="I1051" t="s">
        <v>749</v>
      </c>
      <c r="J1051" t="s">
        <v>15</v>
      </c>
    </row>
    <row r="1052" spans="1:10" x14ac:dyDescent="0.2">
      <c r="A1052" t="s">
        <v>1080</v>
      </c>
      <c r="B1052" s="31">
        <v>1</v>
      </c>
      <c r="C1052" s="71">
        <v>42245</v>
      </c>
      <c r="D1052" s="81">
        <v>34.99</v>
      </c>
      <c r="E1052">
        <f t="shared" si="29"/>
        <v>34.99</v>
      </c>
      <c r="F1052" t="s">
        <v>322</v>
      </c>
      <c r="G1052" t="s">
        <v>298</v>
      </c>
      <c r="H1052" s="71">
        <v>42226</v>
      </c>
      <c r="I1052" t="s">
        <v>749</v>
      </c>
      <c r="J1052" t="s">
        <v>15</v>
      </c>
    </row>
    <row r="1053" spans="1:10" x14ac:dyDescent="0.2">
      <c r="A1053" t="s">
        <v>1081</v>
      </c>
      <c r="B1053" s="31">
        <v>2</v>
      </c>
      <c r="C1053" s="71">
        <v>42245</v>
      </c>
      <c r="D1053" s="81">
        <v>3.09</v>
      </c>
      <c r="E1053">
        <f t="shared" si="29"/>
        <v>6.18</v>
      </c>
      <c r="F1053" t="s">
        <v>322</v>
      </c>
      <c r="G1053" t="s">
        <v>298</v>
      </c>
      <c r="H1053" s="71">
        <v>42226</v>
      </c>
      <c r="I1053" t="s">
        <v>749</v>
      </c>
      <c r="J1053" t="s">
        <v>15</v>
      </c>
    </row>
    <row r="1054" spans="1:10" x14ac:dyDescent="0.2">
      <c r="A1054" t="s">
        <v>244</v>
      </c>
      <c r="B1054" s="31">
        <v>2</v>
      </c>
      <c r="C1054" s="71">
        <v>42245</v>
      </c>
      <c r="D1054" s="81">
        <v>1.39</v>
      </c>
      <c r="E1054">
        <f t="shared" si="29"/>
        <v>2.78</v>
      </c>
      <c r="F1054" t="s">
        <v>282</v>
      </c>
      <c r="G1054" t="s">
        <v>298</v>
      </c>
      <c r="H1054" s="71">
        <v>42226</v>
      </c>
      <c r="I1054" t="s">
        <v>749</v>
      </c>
      <c r="J1054" t="s">
        <v>15</v>
      </c>
    </row>
    <row r="1055" spans="1:10" x14ac:dyDescent="0.2">
      <c r="A1055" t="s">
        <v>442</v>
      </c>
      <c r="B1055" s="31">
        <v>3</v>
      </c>
      <c r="C1055" s="71">
        <v>42245</v>
      </c>
      <c r="D1055" s="81">
        <v>1.0900000000000001</v>
      </c>
      <c r="E1055">
        <f t="shared" si="29"/>
        <v>3.2700000000000005</v>
      </c>
      <c r="F1055" t="s">
        <v>322</v>
      </c>
      <c r="G1055" t="s">
        <v>298</v>
      </c>
      <c r="H1055" s="71">
        <v>42226</v>
      </c>
      <c r="I1055" t="s">
        <v>749</v>
      </c>
      <c r="J1055" t="s">
        <v>15</v>
      </c>
    </row>
    <row r="1056" spans="1:10" x14ac:dyDescent="0.2">
      <c r="A1056" t="s">
        <v>241</v>
      </c>
      <c r="B1056" s="31">
        <v>1</v>
      </c>
      <c r="C1056" s="71">
        <v>42245</v>
      </c>
      <c r="D1056" s="81">
        <v>4.1900000000000004</v>
      </c>
      <c r="E1056">
        <f t="shared" si="29"/>
        <v>4.1900000000000004</v>
      </c>
      <c r="F1056" t="s">
        <v>282</v>
      </c>
      <c r="G1056" t="s">
        <v>298</v>
      </c>
      <c r="H1056" s="71">
        <v>42226</v>
      </c>
      <c r="I1056" t="s">
        <v>749</v>
      </c>
      <c r="J1056" t="s">
        <v>15</v>
      </c>
    </row>
    <row r="1057" spans="1:10" x14ac:dyDescent="0.2">
      <c r="A1057" t="s">
        <v>215</v>
      </c>
      <c r="B1057" s="31">
        <v>3</v>
      </c>
      <c r="C1057" s="71">
        <v>42245</v>
      </c>
      <c r="D1057" s="81">
        <v>4.13</v>
      </c>
      <c r="E1057">
        <f t="shared" si="29"/>
        <v>12.39</v>
      </c>
      <c r="F1057" t="s">
        <v>215</v>
      </c>
      <c r="G1057" t="s">
        <v>298</v>
      </c>
      <c r="H1057" s="71">
        <v>42226</v>
      </c>
      <c r="I1057" t="s">
        <v>749</v>
      </c>
      <c r="J1057" t="s">
        <v>15</v>
      </c>
    </row>
    <row r="1058" spans="1:10" x14ac:dyDescent="0.2">
      <c r="A1058" t="s">
        <v>295</v>
      </c>
      <c r="B1058" s="31">
        <v>0.23</v>
      </c>
      <c r="C1058" s="71">
        <v>42245</v>
      </c>
      <c r="D1058" s="81">
        <v>28.49</v>
      </c>
      <c r="E1058">
        <f t="shared" si="29"/>
        <v>6.5526999999999997</v>
      </c>
      <c r="F1058" t="s">
        <v>653</v>
      </c>
      <c r="G1058" t="s">
        <v>299</v>
      </c>
      <c r="H1058" s="71">
        <v>42226</v>
      </c>
      <c r="I1058" t="s">
        <v>749</v>
      </c>
      <c r="J1058" t="s">
        <v>15</v>
      </c>
    </row>
    <row r="1059" spans="1:10" x14ac:dyDescent="0.2">
      <c r="A1059" t="s">
        <v>352</v>
      </c>
      <c r="B1059" s="31">
        <v>1</v>
      </c>
      <c r="C1059" s="71">
        <v>42245</v>
      </c>
      <c r="D1059" s="81">
        <v>7.39</v>
      </c>
      <c r="E1059">
        <f t="shared" si="29"/>
        <v>7.39</v>
      </c>
      <c r="F1059" t="s">
        <v>653</v>
      </c>
      <c r="G1059" t="s">
        <v>298</v>
      </c>
      <c r="H1059" s="71">
        <v>42226</v>
      </c>
      <c r="I1059" t="s">
        <v>749</v>
      </c>
      <c r="J1059" t="s">
        <v>15</v>
      </c>
    </row>
    <row r="1060" spans="1:10" x14ac:dyDescent="0.2">
      <c r="A1060" t="s">
        <v>676</v>
      </c>
      <c r="B1060" s="31">
        <v>1</v>
      </c>
      <c r="C1060" s="71">
        <v>42245</v>
      </c>
      <c r="D1060" s="81">
        <v>3.99</v>
      </c>
      <c r="E1060">
        <f t="shared" si="29"/>
        <v>3.99</v>
      </c>
      <c r="F1060" t="s">
        <v>468</v>
      </c>
      <c r="G1060" t="s">
        <v>298</v>
      </c>
      <c r="H1060" s="71">
        <v>42226</v>
      </c>
      <c r="I1060" t="s">
        <v>749</v>
      </c>
      <c r="J1060" t="s">
        <v>15</v>
      </c>
    </row>
    <row r="1061" spans="1:10" x14ac:dyDescent="0.2">
      <c r="A1061" t="s">
        <v>465</v>
      </c>
      <c r="B1061" s="31">
        <v>2</v>
      </c>
      <c r="C1061" s="71">
        <v>42245</v>
      </c>
      <c r="D1061" s="81">
        <v>2.99</v>
      </c>
      <c r="E1061">
        <f t="shared" si="29"/>
        <v>5.98</v>
      </c>
      <c r="F1061" t="s">
        <v>465</v>
      </c>
      <c r="G1061" t="s">
        <v>298</v>
      </c>
      <c r="H1061" s="71">
        <v>42226</v>
      </c>
      <c r="I1061" t="s">
        <v>749</v>
      </c>
      <c r="J1061" t="s">
        <v>15</v>
      </c>
    </row>
    <row r="1062" spans="1:10" x14ac:dyDescent="0.2">
      <c r="A1062" t="s">
        <v>798</v>
      </c>
      <c r="B1062" s="31">
        <v>1</v>
      </c>
      <c r="C1062" s="71">
        <v>42245</v>
      </c>
      <c r="D1062" s="81">
        <v>4.29</v>
      </c>
      <c r="E1062">
        <f t="shared" si="29"/>
        <v>4.29</v>
      </c>
      <c r="F1062" t="s">
        <v>653</v>
      </c>
      <c r="G1062" t="s">
        <v>298</v>
      </c>
      <c r="H1062" s="71">
        <v>42226</v>
      </c>
      <c r="I1062" t="s">
        <v>749</v>
      </c>
      <c r="J1062" t="s">
        <v>15</v>
      </c>
    </row>
    <row r="1063" spans="1:10" x14ac:dyDescent="0.2">
      <c r="A1063" t="s">
        <v>668</v>
      </c>
      <c r="B1063" s="31">
        <v>1</v>
      </c>
      <c r="C1063" s="71">
        <v>42245</v>
      </c>
      <c r="D1063" s="81">
        <v>4.29</v>
      </c>
      <c r="E1063">
        <f t="shared" si="29"/>
        <v>4.29</v>
      </c>
      <c r="F1063" t="s">
        <v>653</v>
      </c>
      <c r="G1063" t="s">
        <v>298</v>
      </c>
      <c r="H1063" s="71">
        <v>42226</v>
      </c>
      <c r="I1063" t="s">
        <v>749</v>
      </c>
      <c r="J1063" t="s">
        <v>15</v>
      </c>
    </row>
    <row r="1064" spans="1:10" x14ac:dyDescent="0.2">
      <c r="A1064" t="s">
        <v>1084</v>
      </c>
      <c r="B1064" s="31">
        <v>1</v>
      </c>
      <c r="C1064" s="71">
        <v>42245</v>
      </c>
      <c r="D1064" s="81">
        <v>4.3899999999999997</v>
      </c>
      <c r="E1064">
        <f t="shared" si="29"/>
        <v>4.3899999999999997</v>
      </c>
      <c r="F1064" t="s">
        <v>465</v>
      </c>
      <c r="G1064" t="s">
        <v>298</v>
      </c>
      <c r="H1064" s="71">
        <v>42226</v>
      </c>
      <c r="I1064" t="s">
        <v>749</v>
      </c>
      <c r="J1064" t="s">
        <v>15</v>
      </c>
    </row>
    <row r="1065" spans="1:10" x14ac:dyDescent="0.2">
      <c r="A1065" t="s">
        <v>1083</v>
      </c>
      <c r="B1065" s="31">
        <v>1</v>
      </c>
      <c r="C1065" s="71">
        <v>42245</v>
      </c>
      <c r="D1065" s="81">
        <v>3.79</v>
      </c>
      <c r="E1065">
        <f t="shared" si="29"/>
        <v>3.79</v>
      </c>
      <c r="F1065" t="s">
        <v>465</v>
      </c>
      <c r="G1065" t="s">
        <v>298</v>
      </c>
      <c r="H1065" s="71">
        <v>42226</v>
      </c>
      <c r="I1065" t="s">
        <v>749</v>
      </c>
      <c r="J1065" t="s">
        <v>15</v>
      </c>
    </row>
    <row r="1066" spans="1:10" x14ac:dyDescent="0.2">
      <c r="A1066" t="s">
        <v>657</v>
      </c>
      <c r="B1066" s="31">
        <v>0.34</v>
      </c>
      <c r="C1066" s="71">
        <v>42245</v>
      </c>
      <c r="D1066" s="81">
        <v>8.89</v>
      </c>
      <c r="E1066">
        <f t="shared" si="29"/>
        <v>3.0226000000000006</v>
      </c>
      <c r="F1066" t="s">
        <v>657</v>
      </c>
      <c r="G1066" t="s">
        <v>299</v>
      </c>
      <c r="H1066" s="71">
        <v>42226</v>
      </c>
      <c r="I1066" t="s">
        <v>749</v>
      </c>
      <c r="J1066" t="s">
        <v>15</v>
      </c>
    </row>
    <row r="1067" spans="1:10" x14ac:dyDescent="0.2">
      <c r="A1067" t="s">
        <v>737</v>
      </c>
      <c r="B1067" s="31">
        <v>1</v>
      </c>
      <c r="C1067" s="71">
        <v>42245</v>
      </c>
      <c r="D1067" s="81">
        <v>3.99</v>
      </c>
      <c r="E1067">
        <f t="shared" si="29"/>
        <v>3.99</v>
      </c>
      <c r="F1067" t="s">
        <v>737</v>
      </c>
      <c r="G1067" t="s">
        <v>298</v>
      </c>
      <c r="H1067" s="71">
        <v>42226</v>
      </c>
      <c r="I1067" t="s">
        <v>749</v>
      </c>
      <c r="J1067" t="s">
        <v>15</v>
      </c>
    </row>
    <row r="1068" spans="1:10" x14ac:dyDescent="0.2">
      <c r="A1068" t="s">
        <v>658</v>
      </c>
      <c r="B1068" s="31">
        <v>1</v>
      </c>
      <c r="C1068" s="71">
        <v>42245</v>
      </c>
      <c r="D1068" s="81">
        <v>2.65</v>
      </c>
      <c r="E1068">
        <f t="shared" si="29"/>
        <v>2.65</v>
      </c>
      <c r="F1068" t="s">
        <v>208</v>
      </c>
      <c r="G1068" t="s">
        <v>298</v>
      </c>
      <c r="H1068" s="71">
        <v>42226</v>
      </c>
      <c r="I1068" t="s">
        <v>749</v>
      </c>
      <c r="J1068" t="s">
        <v>15</v>
      </c>
    </row>
    <row r="1069" spans="1:10" x14ac:dyDescent="0.2">
      <c r="A1069" t="s">
        <v>1082</v>
      </c>
      <c r="B1069" s="31">
        <v>1</v>
      </c>
      <c r="C1069" s="71">
        <v>42245</v>
      </c>
      <c r="D1069" s="81">
        <v>2.59</v>
      </c>
      <c r="E1069">
        <f t="shared" si="29"/>
        <v>2.59</v>
      </c>
      <c r="F1069" t="s">
        <v>208</v>
      </c>
      <c r="G1069" t="s">
        <v>298</v>
      </c>
      <c r="H1069" s="71">
        <v>42226</v>
      </c>
      <c r="I1069" t="s">
        <v>749</v>
      </c>
      <c r="J1069" t="s">
        <v>15</v>
      </c>
    </row>
    <row r="1070" spans="1:10" x14ac:dyDescent="0.2">
      <c r="A1070" t="s">
        <v>940</v>
      </c>
      <c r="B1070" s="31">
        <v>1</v>
      </c>
      <c r="C1070" s="71">
        <v>42245</v>
      </c>
      <c r="D1070" s="81">
        <v>2.79</v>
      </c>
      <c r="E1070">
        <f t="shared" si="29"/>
        <v>2.79</v>
      </c>
      <c r="F1070" t="s">
        <v>940</v>
      </c>
      <c r="G1070" t="s">
        <v>298</v>
      </c>
      <c r="H1070" s="71">
        <v>42226</v>
      </c>
      <c r="I1070" t="s">
        <v>749</v>
      </c>
      <c r="J1070" t="s">
        <v>15</v>
      </c>
    </row>
    <row r="1071" spans="1:10" x14ac:dyDescent="0.2">
      <c r="A1071" t="s">
        <v>241</v>
      </c>
      <c r="B1071" s="31">
        <v>1</v>
      </c>
      <c r="C1071" s="71">
        <v>42269</v>
      </c>
      <c r="D1071" s="81">
        <v>4.1900000000000004</v>
      </c>
      <c r="E1071">
        <f t="shared" ref="E1071:E1252" si="30">B1071*D1071</f>
        <v>4.1900000000000004</v>
      </c>
      <c r="F1071" t="s">
        <v>282</v>
      </c>
      <c r="G1071" t="s">
        <v>298</v>
      </c>
      <c r="H1071" s="71">
        <v>42257</v>
      </c>
      <c r="I1071" t="s">
        <v>749</v>
      </c>
      <c r="J1071" t="s">
        <v>15</v>
      </c>
    </row>
    <row r="1072" spans="1:10" x14ac:dyDescent="0.2">
      <c r="A1072" t="s">
        <v>827</v>
      </c>
      <c r="B1072" s="31">
        <v>1</v>
      </c>
      <c r="C1072" s="71">
        <v>42269</v>
      </c>
      <c r="D1072" s="81">
        <v>6.39</v>
      </c>
      <c r="E1072">
        <f t="shared" si="30"/>
        <v>6.39</v>
      </c>
      <c r="F1072" t="s">
        <v>282</v>
      </c>
      <c r="G1072" t="s">
        <v>298</v>
      </c>
      <c r="H1072" s="71">
        <v>42257</v>
      </c>
      <c r="I1072" t="s">
        <v>749</v>
      </c>
      <c r="J1072" t="s">
        <v>15</v>
      </c>
    </row>
    <row r="1073" spans="1:10" x14ac:dyDescent="0.2">
      <c r="A1073" t="s">
        <v>741</v>
      </c>
      <c r="B1073" s="31">
        <v>1</v>
      </c>
      <c r="C1073" s="71">
        <v>42269</v>
      </c>
      <c r="D1073" s="81">
        <v>6.59</v>
      </c>
      <c r="E1073">
        <f t="shared" si="30"/>
        <v>6.59</v>
      </c>
      <c r="F1073" t="s">
        <v>282</v>
      </c>
      <c r="G1073" t="s">
        <v>298</v>
      </c>
      <c r="H1073" s="71">
        <v>42257</v>
      </c>
      <c r="I1073" t="s">
        <v>749</v>
      </c>
      <c r="J1073" t="s">
        <v>15</v>
      </c>
    </row>
    <row r="1074" spans="1:10" x14ac:dyDescent="0.2">
      <c r="A1074" t="s">
        <v>1085</v>
      </c>
      <c r="B1074" s="31">
        <v>1</v>
      </c>
      <c r="C1074" s="71">
        <v>42269</v>
      </c>
      <c r="D1074" s="81">
        <v>7.29</v>
      </c>
      <c r="E1074">
        <f t="shared" si="30"/>
        <v>7.29</v>
      </c>
      <c r="F1074" t="s">
        <v>282</v>
      </c>
      <c r="G1074" t="s">
        <v>298</v>
      </c>
      <c r="H1074" s="71">
        <v>42257</v>
      </c>
      <c r="I1074" t="s">
        <v>749</v>
      </c>
      <c r="J1074" t="s">
        <v>15</v>
      </c>
    </row>
    <row r="1075" spans="1:10" x14ac:dyDescent="0.2">
      <c r="A1075" t="s">
        <v>242</v>
      </c>
      <c r="B1075" s="31">
        <v>1</v>
      </c>
      <c r="C1075" s="71">
        <v>42269</v>
      </c>
      <c r="D1075" s="81">
        <v>7.99</v>
      </c>
      <c r="E1075">
        <f t="shared" si="30"/>
        <v>7.99</v>
      </c>
      <c r="F1075" t="s">
        <v>282</v>
      </c>
      <c r="G1075" t="s">
        <v>298</v>
      </c>
      <c r="H1075" s="71">
        <v>42257</v>
      </c>
      <c r="I1075" t="s">
        <v>749</v>
      </c>
      <c r="J1075" t="s">
        <v>15</v>
      </c>
    </row>
    <row r="1076" spans="1:10" x14ac:dyDescent="0.2">
      <c r="A1076" t="s">
        <v>244</v>
      </c>
      <c r="B1076" s="31">
        <v>2</v>
      </c>
      <c r="C1076" s="71">
        <v>42269</v>
      </c>
      <c r="D1076" s="81">
        <v>1.39</v>
      </c>
      <c r="E1076">
        <f t="shared" si="30"/>
        <v>2.78</v>
      </c>
      <c r="F1076" t="s">
        <v>282</v>
      </c>
      <c r="G1076" t="s">
        <v>298</v>
      </c>
      <c r="H1076" s="71">
        <v>42257</v>
      </c>
      <c r="I1076" t="s">
        <v>749</v>
      </c>
      <c r="J1076" t="s">
        <v>15</v>
      </c>
    </row>
    <row r="1077" spans="1:10" x14ac:dyDescent="0.2">
      <c r="A1077" t="s">
        <v>1086</v>
      </c>
      <c r="B1077" s="31">
        <v>1</v>
      </c>
      <c r="C1077" s="71">
        <v>42269</v>
      </c>
      <c r="D1077" s="81">
        <v>7.49</v>
      </c>
      <c r="E1077">
        <f t="shared" si="30"/>
        <v>7.49</v>
      </c>
      <c r="F1077" t="s">
        <v>282</v>
      </c>
      <c r="G1077" t="s">
        <v>298</v>
      </c>
      <c r="H1077" s="71">
        <v>42257</v>
      </c>
      <c r="I1077" t="s">
        <v>749</v>
      </c>
      <c r="J1077" t="s">
        <v>15</v>
      </c>
    </row>
    <row r="1078" spans="1:10" x14ac:dyDescent="0.2">
      <c r="A1078" t="s">
        <v>243</v>
      </c>
      <c r="B1078" s="31">
        <v>1</v>
      </c>
      <c r="C1078" s="71">
        <v>42269</v>
      </c>
      <c r="D1078" s="81">
        <v>14.87</v>
      </c>
      <c r="E1078">
        <f t="shared" si="30"/>
        <v>14.87</v>
      </c>
      <c r="F1078" t="s">
        <v>282</v>
      </c>
      <c r="G1078" t="s">
        <v>298</v>
      </c>
      <c r="H1078" s="71">
        <v>42257</v>
      </c>
      <c r="I1078" t="s">
        <v>749</v>
      </c>
      <c r="J1078" t="s">
        <v>15</v>
      </c>
    </row>
    <row r="1079" spans="1:10" x14ac:dyDescent="0.2">
      <c r="A1079" t="s">
        <v>976</v>
      </c>
      <c r="B1079" s="31">
        <v>1</v>
      </c>
      <c r="C1079" s="71">
        <v>42269</v>
      </c>
      <c r="D1079" s="81">
        <v>13.49</v>
      </c>
      <c r="E1079">
        <f t="shared" si="30"/>
        <v>13.49</v>
      </c>
      <c r="F1079" t="s">
        <v>282</v>
      </c>
      <c r="G1079" t="s">
        <v>298</v>
      </c>
      <c r="H1079" s="71">
        <v>42257</v>
      </c>
      <c r="I1079" t="s">
        <v>749</v>
      </c>
      <c r="J1079" t="s">
        <v>15</v>
      </c>
    </row>
    <row r="1080" spans="1:10" x14ac:dyDescent="0.2">
      <c r="A1080" t="s">
        <v>1087</v>
      </c>
      <c r="B1080" s="31">
        <v>0.48499999999999999</v>
      </c>
      <c r="C1080" s="71">
        <v>42271</v>
      </c>
      <c r="D1080" s="81">
        <v>4.99</v>
      </c>
      <c r="E1080">
        <f t="shared" si="30"/>
        <v>2.42015</v>
      </c>
      <c r="F1080" t="s">
        <v>279</v>
      </c>
      <c r="G1080" t="s">
        <v>299</v>
      </c>
      <c r="H1080" s="71">
        <v>42257</v>
      </c>
      <c r="I1080" s="18" t="s">
        <v>749</v>
      </c>
      <c r="J1080" t="s">
        <v>15</v>
      </c>
    </row>
    <row r="1081" spans="1:10" x14ac:dyDescent="0.2">
      <c r="A1081" t="s">
        <v>307</v>
      </c>
      <c r="B1081" s="31">
        <v>0.6</v>
      </c>
      <c r="C1081" s="71">
        <v>42271</v>
      </c>
      <c r="D1081" s="81">
        <v>3.99</v>
      </c>
      <c r="E1081">
        <f t="shared" si="30"/>
        <v>2.3940000000000001</v>
      </c>
      <c r="F1081" t="s">
        <v>280</v>
      </c>
      <c r="G1081" t="s">
        <v>299</v>
      </c>
      <c r="H1081" s="71">
        <v>42257</v>
      </c>
      <c r="I1081" s="18" t="s">
        <v>749</v>
      </c>
      <c r="J1081" t="s">
        <v>15</v>
      </c>
    </row>
    <row r="1082" spans="1:10" x14ac:dyDescent="0.2">
      <c r="A1082" t="s">
        <v>304</v>
      </c>
      <c r="B1082" s="31">
        <v>0.33</v>
      </c>
      <c r="C1082" s="71">
        <v>42271</v>
      </c>
      <c r="D1082" s="81">
        <v>2.79</v>
      </c>
      <c r="E1082">
        <f t="shared" si="30"/>
        <v>0.92070000000000007</v>
      </c>
      <c r="F1082" t="s">
        <v>280</v>
      </c>
      <c r="G1082" t="s">
        <v>299</v>
      </c>
      <c r="H1082" s="71">
        <v>42257</v>
      </c>
      <c r="I1082" s="18" t="s">
        <v>749</v>
      </c>
      <c r="J1082" t="s">
        <v>15</v>
      </c>
    </row>
    <row r="1083" spans="1:10" x14ac:dyDescent="0.2">
      <c r="A1083" t="s">
        <v>308</v>
      </c>
      <c r="B1083" s="31">
        <v>1.1399999999999999</v>
      </c>
      <c r="C1083" s="71">
        <v>42271</v>
      </c>
      <c r="D1083" s="81">
        <v>4.99</v>
      </c>
      <c r="E1083">
        <f t="shared" si="30"/>
        <v>5.6886000000000001</v>
      </c>
      <c r="F1083" t="s">
        <v>279</v>
      </c>
      <c r="G1083" t="s">
        <v>299</v>
      </c>
      <c r="H1083" s="71">
        <v>42257</v>
      </c>
      <c r="I1083" s="18" t="s">
        <v>749</v>
      </c>
      <c r="J1083" t="s">
        <v>15</v>
      </c>
    </row>
    <row r="1084" spans="1:10" x14ac:dyDescent="0.2">
      <c r="A1084" t="s">
        <v>438</v>
      </c>
      <c r="B1084" s="31">
        <v>0.44500000000000001</v>
      </c>
      <c r="C1084" s="71">
        <v>42271</v>
      </c>
      <c r="D1084" s="81">
        <v>13.39</v>
      </c>
      <c r="E1084">
        <f t="shared" si="30"/>
        <v>5.9585500000000007</v>
      </c>
      <c r="F1084" t="s">
        <v>280</v>
      </c>
      <c r="G1084" t="s">
        <v>299</v>
      </c>
      <c r="H1084" s="71">
        <v>42257</v>
      </c>
      <c r="I1084" s="18" t="s">
        <v>749</v>
      </c>
      <c r="J1084" t="s">
        <v>15</v>
      </c>
    </row>
    <row r="1085" spans="1:10" x14ac:dyDescent="0.2">
      <c r="A1085" t="s">
        <v>882</v>
      </c>
      <c r="B1085" s="31">
        <v>0.68500000000000005</v>
      </c>
      <c r="C1085" s="71">
        <v>42271</v>
      </c>
      <c r="D1085" s="81">
        <v>8.99</v>
      </c>
      <c r="E1085">
        <f t="shared" si="30"/>
        <v>6.1581500000000009</v>
      </c>
      <c r="F1085" t="s">
        <v>279</v>
      </c>
      <c r="G1085" t="s">
        <v>299</v>
      </c>
      <c r="H1085" s="71">
        <v>42257</v>
      </c>
      <c r="I1085" s="18" t="s">
        <v>749</v>
      </c>
      <c r="J1085" t="s">
        <v>15</v>
      </c>
    </row>
    <row r="1086" spans="1:10" x14ac:dyDescent="0.2">
      <c r="A1086" t="s">
        <v>567</v>
      </c>
      <c r="B1086" s="31">
        <v>0.53500000000000003</v>
      </c>
      <c r="C1086" s="71">
        <v>42271</v>
      </c>
      <c r="D1086" s="81">
        <v>3.98</v>
      </c>
      <c r="E1086">
        <f t="shared" si="30"/>
        <v>2.1293000000000002</v>
      </c>
      <c r="F1086" t="s">
        <v>279</v>
      </c>
      <c r="G1086" t="s">
        <v>299</v>
      </c>
      <c r="H1086" s="71">
        <v>42257</v>
      </c>
      <c r="I1086" s="18" t="s">
        <v>749</v>
      </c>
      <c r="J1086" t="s">
        <v>15</v>
      </c>
    </row>
    <row r="1087" spans="1:10" x14ac:dyDescent="0.2">
      <c r="A1087" t="s">
        <v>230</v>
      </c>
      <c r="B1087" s="31">
        <v>0.52500000000000002</v>
      </c>
      <c r="C1087" s="71">
        <v>42271</v>
      </c>
      <c r="D1087" s="81">
        <v>3.59</v>
      </c>
      <c r="E1087">
        <f t="shared" si="30"/>
        <v>1.8847499999999999</v>
      </c>
      <c r="F1087" t="s">
        <v>280</v>
      </c>
      <c r="G1087" t="s">
        <v>299</v>
      </c>
      <c r="H1087" s="71">
        <v>42257</v>
      </c>
      <c r="I1087" s="18" t="s">
        <v>749</v>
      </c>
      <c r="J1087" t="s">
        <v>15</v>
      </c>
    </row>
    <row r="1088" spans="1:10" x14ac:dyDescent="0.2">
      <c r="A1088" t="s">
        <v>793</v>
      </c>
      <c r="B1088" s="31">
        <v>0.73</v>
      </c>
      <c r="C1088" s="71">
        <v>42271</v>
      </c>
      <c r="D1088" s="81">
        <v>2.89</v>
      </c>
      <c r="E1088">
        <f t="shared" si="30"/>
        <v>2.1097000000000001</v>
      </c>
      <c r="F1088" t="s">
        <v>280</v>
      </c>
      <c r="G1088" t="s">
        <v>1089</v>
      </c>
      <c r="H1088" s="71">
        <v>42257</v>
      </c>
      <c r="I1088" s="18" t="s">
        <v>749</v>
      </c>
      <c r="J1088" t="s">
        <v>15</v>
      </c>
    </row>
    <row r="1089" spans="1:10" x14ac:dyDescent="0.2">
      <c r="A1089" t="s">
        <v>303</v>
      </c>
      <c r="B1089" s="31">
        <v>1</v>
      </c>
      <c r="C1089" s="71">
        <v>42271</v>
      </c>
      <c r="D1089" s="81">
        <v>6.89</v>
      </c>
      <c r="E1089">
        <f t="shared" si="30"/>
        <v>6.89</v>
      </c>
      <c r="F1089" t="s">
        <v>279</v>
      </c>
      <c r="G1089" t="s">
        <v>298</v>
      </c>
      <c r="H1089" s="71">
        <v>42257</v>
      </c>
      <c r="I1089" s="18" t="s">
        <v>749</v>
      </c>
      <c r="J1089" t="s">
        <v>15</v>
      </c>
    </row>
    <row r="1090" spans="1:10" x14ac:dyDescent="0.2">
      <c r="A1090" t="s">
        <v>218</v>
      </c>
      <c r="B1090" s="31">
        <v>1</v>
      </c>
      <c r="C1090" s="71">
        <v>42271</v>
      </c>
      <c r="D1090" s="81">
        <v>2.59</v>
      </c>
      <c r="E1090">
        <f t="shared" si="30"/>
        <v>2.59</v>
      </c>
      <c r="F1090" t="s">
        <v>280</v>
      </c>
      <c r="G1090" t="s">
        <v>298</v>
      </c>
      <c r="H1090" s="71">
        <v>42257</v>
      </c>
      <c r="I1090" s="18" t="s">
        <v>749</v>
      </c>
      <c r="J1090" t="s">
        <v>15</v>
      </c>
    </row>
    <row r="1091" spans="1:10" x14ac:dyDescent="0.2">
      <c r="A1091" t="s">
        <v>183</v>
      </c>
      <c r="B1091" s="31">
        <v>1</v>
      </c>
      <c r="C1091" s="71">
        <v>42271</v>
      </c>
      <c r="D1091" s="81">
        <v>18.989999999999998</v>
      </c>
      <c r="E1091">
        <f t="shared" si="30"/>
        <v>18.989999999999998</v>
      </c>
      <c r="F1091" t="s">
        <v>183</v>
      </c>
      <c r="G1091" t="s">
        <v>298</v>
      </c>
      <c r="H1091" s="71">
        <v>42257</v>
      </c>
      <c r="I1091" s="18" t="s">
        <v>749</v>
      </c>
      <c r="J1091" t="s">
        <v>15</v>
      </c>
    </row>
    <row r="1092" spans="1:10" x14ac:dyDescent="0.2">
      <c r="A1092" t="s">
        <v>277</v>
      </c>
      <c r="B1092" s="31">
        <v>1</v>
      </c>
      <c r="C1092" s="71">
        <v>42271</v>
      </c>
      <c r="D1092" s="81">
        <v>5.59</v>
      </c>
      <c r="E1092">
        <f t="shared" si="30"/>
        <v>5.59</v>
      </c>
      <c r="F1092" t="s">
        <v>234</v>
      </c>
      <c r="G1092" t="s">
        <v>298</v>
      </c>
      <c r="H1092" s="71">
        <v>42257</v>
      </c>
      <c r="I1092" s="18" t="s">
        <v>749</v>
      </c>
      <c r="J1092" t="s">
        <v>15</v>
      </c>
    </row>
    <row r="1093" spans="1:10" x14ac:dyDescent="0.2">
      <c r="A1093" t="s">
        <v>215</v>
      </c>
      <c r="B1093" s="31">
        <v>2</v>
      </c>
      <c r="C1093" s="71">
        <v>42271</v>
      </c>
      <c r="D1093" s="81">
        <v>3.99</v>
      </c>
      <c r="E1093">
        <f t="shared" si="30"/>
        <v>7.98</v>
      </c>
      <c r="F1093" t="s">
        <v>215</v>
      </c>
      <c r="G1093" t="s">
        <v>298</v>
      </c>
      <c r="H1093" s="71">
        <v>42257</v>
      </c>
      <c r="I1093" s="18" t="s">
        <v>749</v>
      </c>
      <c r="J1093" t="s">
        <v>15</v>
      </c>
    </row>
    <row r="1094" spans="1:10" x14ac:dyDescent="0.2">
      <c r="A1094" t="s">
        <v>757</v>
      </c>
      <c r="B1094" s="31">
        <v>1</v>
      </c>
      <c r="C1094" s="71">
        <v>42271</v>
      </c>
      <c r="D1094" s="81">
        <v>9.69</v>
      </c>
      <c r="E1094">
        <f t="shared" si="30"/>
        <v>9.69</v>
      </c>
      <c r="F1094" t="s">
        <v>757</v>
      </c>
      <c r="G1094" t="s">
        <v>298</v>
      </c>
      <c r="H1094" s="71">
        <v>42257</v>
      </c>
      <c r="I1094" s="18" t="s">
        <v>749</v>
      </c>
      <c r="J1094" t="s">
        <v>15</v>
      </c>
    </row>
    <row r="1095" spans="1:10" x14ac:dyDescent="0.2">
      <c r="A1095" t="s">
        <v>389</v>
      </c>
      <c r="B1095" s="31">
        <v>1</v>
      </c>
      <c r="C1095" s="71">
        <v>42271</v>
      </c>
      <c r="D1095" s="81">
        <v>5.99</v>
      </c>
      <c r="E1095">
        <f t="shared" si="30"/>
        <v>5.99</v>
      </c>
      <c r="F1095" t="s">
        <v>389</v>
      </c>
      <c r="G1095" t="s">
        <v>298</v>
      </c>
      <c r="H1095" s="71">
        <v>42257</v>
      </c>
      <c r="I1095" s="18" t="s">
        <v>749</v>
      </c>
      <c r="J1095" t="s">
        <v>15</v>
      </c>
    </row>
    <row r="1096" spans="1:10" x14ac:dyDescent="0.2">
      <c r="A1096" t="s">
        <v>657</v>
      </c>
      <c r="B1096" s="31">
        <v>1</v>
      </c>
      <c r="C1096" s="71">
        <v>42271</v>
      </c>
      <c r="D1096" s="81">
        <v>6.99</v>
      </c>
      <c r="E1096">
        <f t="shared" si="30"/>
        <v>6.99</v>
      </c>
      <c r="F1096" t="s">
        <v>657</v>
      </c>
      <c r="G1096" t="s">
        <v>298</v>
      </c>
      <c r="H1096" s="71">
        <v>42257</v>
      </c>
      <c r="I1096" s="18" t="s">
        <v>749</v>
      </c>
      <c r="J1096" t="s">
        <v>15</v>
      </c>
    </row>
    <row r="1097" spans="1:10" x14ac:dyDescent="0.2">
      <c r="A1097" t="s">
        <v>1088</v>
      </c>
      <c r="B1097" s="31">
        <v>0.35799999999999998</v>
      </c>
      <c r="C1097" s="71">
        <v>42271</v>
      </c>
      <c r="D1097" s="81">
        <v>19.79</v>
      </c>
      <c r="E1097">
        <f t="shared" si="30"/>
        <v>7.0848199999999997</v>
      </c>
      <c r="F1097" t="s">
        <v>267</v>
      </c>
      <c r="G1097" t="s">
        <v>299</v>
      </c>
      <c r="H1097" s="71">
        <v>42257</v>
      </c>
      <c r="I1097" s="18" t="s">
        <v>749</v>
      </c>
      <c r="J1097" t="s">
        <v>15</v>
      </c>
    </row>
    <row r="1098" spans="1:10" x14ac:dyDescent="0.2">
      <c r="A1098" t="s">
        <v>447</v>
      </c>
      <c r="B1098" s="31">
        <v>1</v>
      </c>
      <c r="C1098" s="71">
        <v>42289</v>
      </c>
      <c r="D1098" s="81">
        <v>1.99</v>
      </c>
      <c r="E1098">
        <f t="shared" si="30"/>
        <v>1.99</v>
      </c>
      <c r="F1098" t="s">
        <v>374</v>
      </c>
      <c r="G1098" t="s">
        <v>298</v>
      </c>
      <c r="H1098" s="71">
        <v>42287</v>
      </c>
      <c r="I1098" s="18" t="s">
        <v>749</v>
      </c>
      <c r="J1098" t="s">
        <v>13</v>
      </c>
    </row>
    <row r="1099" spans="1:10" x14ac:dyDescent="0.2">
      <c r="A1099" t="s">
        <v>237</v>
      </c>
      <c r="B1099" s="31">
        <v>1</v>
      </c>
      <c r="C1099" s="71">
        <v>42289</v>
      </c>
      <c r="D1099" s="81">
        <v>4.59</v>
      </c>
      <c r="E1099">
        <f t="shared" si="30"/>
        <v>4.59</v>
      </c>
      <c r="F1099" t="s">
        <v>653</v>
      </c>
      <c r="G1099" t="s">
        <v>298</v>
      </c>
      <c r="H1099" s="71">
        <v>42287</v>
      </c>
      <c r="I1099" s="18" t="s">
        <v>749</v>
      </c>
      <c r="J1099" t="s">
        <v>13</v>
      </c>
    </row>
    <row r="1100" spans="1:10" x14ac:dyDescent="0.2">
      <c r="A1100" t="s">
        <v>183</v>
      </c>
      <c r="B1100" s="31">
        <v>1</v>
      </c>
      <c r="C1100" s="71">
        <v>42289</v>
      </c>
      <c r="D1100" s="81">
        <v>19.89</v>
      </c>
      <c r="E1100">
        <f t="shared" si="30"/>
        <v>19.89</v>
      </c>
      <c r="F1100" t="s">
        <v>183</v>
      </c>
      <c r="G1100" t="s">
        <v>298</v>
      </c>
      <c r="H1100" s="71">
        <v>42287</v>
      </c>
      <c r="I1100" s="18" t="s">
        <v>749</v>
      </c>
      <c r="J1100" t="s">
        <v>13</v>
      </c>
    </row>
    <row r="1101" spans="1:10" x14ac:dyDescent="0.2">
      <c r="A1101" t="s">
        <v>389</v>
      </c>
      <c r="B1101" s="31">
        <v>1</v>
      </c>
      <c r="C1101" s="71">
        <v>42289</v>
      </c>
      <c r="D1101" s="81">
        <v>4.8899999999999997</v>
      </c>
      <c r="E1101">
        <f t="shared" si="30"/>
        <v>4.8899999999999997</v>
      </c>
      <c r="F1101" t="s">
        <v>389</v>
      </c>
      <c r="G1101" t="s">
        <v>298</v>
      </c>
      <c r="H1101" s="71">
        <v>42287</v>
      </c>
      <c r="I1101" s="18" t="s">
        <v>749</v>
      </c>
      <c r="J1101" t="s">
        <v>13</v>
      </c>
    </row>
    <row r="1102" spans="1:10" x14ac:dyDescent="0.2">
      <c r="A1102" t="s">
        <v>215</v>
      </c>
      <c r="B1102" s="31">
        <v>1</v>
      </c>
      <c r="C1102" s="71">
        <v>42289</v>
      </c>
      <c r="D1102" s="81">
        <v>4.13</v>
      </c>
      <c r="E1102">
        <f t="shared" si="30"/>
        <v>4.13</v>
      </c>
      <c r="F1102" t="s">
        <v>215</v>
      </c>
      <c r="G1102" t="s">
        <v>298</v>
      </c>
      <c r="H1102" s="71">
        <v>42287</v>
      </c>
      <c r="I1102" s="18" t="s">
        <v>749</v>
      </c>
      <c r="J1102" t="s">
        <v>13</v>
      </c>
    </row>
    <row r="1103" spans="1:10" x14ac:dyDescent="0.2">
      <c r="A1103" t="s">
        <v>277</v>
      </c>
      <c r="B1103" s="31">
        <v>1</v>
      </c>
      <c r="C1103" s="71">
        <v>42289</v>
      </c>
      <c r="D1103" s="81">
        <v>5.59</v>
      </c>
      <c r="E1103">
        <f t="shared" si="30"/>
        <v>5.59</v>
      </c>
      <c r="F1103" t="s">
        <v>234</v>
      </c>
      <c r="G1103" t="s">
        <v>298</v>
      </c>
      <c r="H1103" s="71">
        <v>42287</v>
      </c>
      <c r="I1103" s="18" t="s">
        <v>749</v>
      </c>
      <c r="J1103" t="s">
        <v>13</v>
      </c>
    </row>
    <row r="1104" spans="1:10" x14ac:dyDescent="0.2">
      <c r="A1104" t="s">
        <v>737</v>
      </c>
      <c r="B1104" s="31">
        <v>1</v>
      </c>
      <c r="C1104" s="71">
        <v>42289</v>
      </c>
      <c r="D1104" s="81">
        <v>3.09</v>
      </c>
      <c r="E1104">
        <f t="shared" si="30"/>
        <v>3.09</v>
      </c>
      <c r="F1104" t="s">
        <v>737</v>
      </c>
      <c r="G1104" t="s">
        <v>298</v>
      </c>
      <c r="H1104" s="71">
        <v>42287</v>
      </c>
      <c r="I1104" s="18" t="s">
        <v>749</v>
      </c>
      <c r="J1104" t="s">
        <v>13</v>
      </c>
    </row>
    <row r="1105" spans="1:10" x14ac:dyDescent="0.2">
      <c r="A1105" t="s">
        <v>465</v>
      </c>
      <c r="B1105" s="31">
        <v>2</v>
      </c>
      <c r="C1105" s="71">
        <v>42289</v>
      </c>
      <c r="D1105" s="81">
        <v>3.79</v>
      </c>
      <c r="E1105">
        <f t="shared" si="30"/>
        <v>7.58</v>
      </c>
      <c r="F1105" t="s">
        <v>465</v>
      </c>
      <c r="G1105" t="s">
        <v>298</v>
      </c>
      <c r="H1105" s="71">
        <v>42287</v>
      </c>
      <c r="I1105" s="18" t="s">
        <v>749</v>
      </c>
      <c r="J1105" t="s">
        <v>13</v>
      </c>
    </row>
    <row r="1106" spans="1:10" x14ac:dyDescent="0.2">
      <c r="A1106" t="s">
        <v>1090</v>
      </c>
      <c r="B1106" s="31">
        <v>3</v>
      </c>
      <c r="C1106" s="71">
        <v>42289</v>
      </c>
      <c r="D1106" s="81">
        <v>3.19</v>
      </c>
      <c r="E1106">
        <f t="shared" si="30"/>
        <v>9.57</v>
      </c>
      <c r="F1106" t="s">
        <v>1090</v>
      </c>
      <c r="G1106" t="s">
        <v>298</v>
      </c>
      <c r="H1106" s="71">
        <v>42287</v>
      </c>
      <c r="I1106" s="18" t="s">
        <v>749</v>
      </c>
      <c r="J1106" t="s">
        <v>13</v>
      </c>
    </row>
    <row r="1107" spans="1:10" x14ac:dyDescent="0.2">
      <c r="A1107" t="s">
        <v>717</v>
      </c>
      <c r="B1107" s="31">
        <v>3</v>
      </c>
      <c r="C1107" s="71">
        <v>42289</v>
      </c>
      <c r="D1107" s="81">
        <v>3.49</v>
      </c>
      <c r="E1107">
        <f t="shared" si="30"/>
        <v>10.47</v>
      </c>
      <c r="F1107" t="s">
        <v>717</v>
      </c>
      <c r="G1107" t="s">
        <v>298</v>
      </c>
      <c r="H1107" s="71">
        <v>42287</v>
      </c>
      <c r="I1107" s="18" t="s">
        <v>749</v>
      </c>
      <c r="J1107" t="s">
        <v>13</v>
      </c>
    </row>
    <row r="1108" spans="1:10" x14ac:dyDescent="0.2">
      <c r="A1108" t="s">
        <v>1091</v>
      </c>
      <c r="B1108" s="31">
        <v>4</v>
      </c>
      <c r="C1108" s="71">
        <v>42289</v>
      </c>
      <c r="D1108" s="81">
        <v>0.99</v>
      </c>
      <c r="E1108">
        <f t="shared" si="30"/>
        <v>3.96</v>
      </c>
      <c r="F1108" t="s">
        <v>234</v>
      </c>
      <c r="G1108" t="s">
        <v>298</v>
      </c>
      <c r="H1108" s="71">
        <v>42287</v>
      </c>
      <c r="I1108" s="18" t="s">
        <v>749</v>
      </c>
      <c r="J1108" t="s">
        <v>13</v>
      </c>
    </row>
    <row r="1109" spans="1:10" x14ac:dyDescent="0.2">
      <c r="A1109" t="s">
        <v>284</v>
      </c>
      <c r="B1109" s="31">
        <v>0.26800000000000002</v>
      </c>
      <c r="C1109" s="71">
        <v>42284</v>
      </c>
      <c r="D1109" s="81">
        <v>17.100000000000001</v>
      </c>
      <c r="E1109">
        <f t="shared" si="30"/>
        <v>4.5828000000000007</v>
      </c>
      <c r="F1109" t="s">
        <v>284</v>
      </c>
      <c r="G1109" t="s">
        <v>299</v>
      </c>
      <c r="H1109" s="71">
        <v>42257</v>
      </c>
      <c r="I1109" s="18" t="s">
        <v>749</v>
      </c>
      <c r="J1109" t="s">
        <v>15</v>
      </c>
    </row>
    <row r="1110" spans="1:10" x14ac:dyDescent="0.2">
      <c r="A1110" t="s">
        <v>308</v>
      </c>
      <c r="B1110" s="31">
        <v>0.78</v>
      </c>
      <c r="C1110" s="71">
        <v>42284</v>
      </c>
      <c r="D1110" s="81">
        <v>5.59</v>
      </c>
      <c r="E1110">
        <f t="shared" si="30"/>
        <v>4.3601999999999999</v>
      </c>
      <c r="F1110" t="s">
        <v>279</v>
      </c>
      <c r="G1110" t="s">
        <v>299</v>
      </c>
      <c r="H1110" s="71">
        <v>42257</v>
      </c>
      <c r="I1110" s="18" t="s">
        <v>749</v>
      </c>
      <c r="J1110" t="s">
        <v>15</v>
      </c>
    </row>
    <row r="1111" spans="1:10" x14ac:dyDescent="0.2">
      <c r="A1111" t="s">
        <v>303</v>
      </c>
      <c r="B1111" s="31">
        <v>1</v>
      </c>
      <c r="C1111" s="71">
        <v>42284</v>
      </c>
      <c r="D1111" s="81">
        <v>6.19</v>
      </c>
      <c r="E1111">
        <f t="shared" si="30"/>
        <v>6.19</v>
      </c>
      <c r="F1111" t="s">
        <v>279</v>
      </c>
      <c r="G1111" t="s">
        <v>298</v>
      </c>
      <c r="H1111" s="71">
        <v>42257</v>
      </c>
      <c r="I1111" s="18" t="s">
        <v>749</v>
      </c>
      <c r="J1111" t="s">
        <v>15</v>
      </c>
    </row>
    <row r="1112" spans="1:10" x14ac:dyDescent="0.2">
      <c r="A1112" t="s">
        <v>253</v>
      </c>
      <c r="B1112" s="31">
        <v>1.37</v>
      </c>
      <c r="C1112" s="71">
        <v>42284</v>
      </c>
      <c r="D1112" s="81">
        <v>2.99</v>
      </c>
      <c r="E1112">
        <f t="shared" si="30"/>
        <v>4.0963000000000003</v>
      </c>
      <c r="F1112" t="s">
        <v>279</v>
      </c>
      <c r="G1112" t="s">
        <v>299</v>
      </c>
      <c r="H1112" s="71">
        <v>42257</v>
      </c>
      <c r="I1112" s="18" t="s">
        <v>749</v>
      </c>
      <c r="J1112" t="s">
        <v>15</v>
      </c>
    </row>
    <row r="1113" spans="1:10" x14ac:dyDescent="0.2">
      <c r="A1113" t="s">
        <v>215</v>
      </c>
      <c r="B1113" s="31">
        <v>2</v>
      </c>
      <c r="C1113" s="71">
        <v>42284</v>
      </c>
      <c r="D1113" s="81">
        <v>2.69</v>
      </c>
      <c r="E1113">
        <f t="shared" si="30"/>
        <v>5.38</v>
      </c>
      <c r="F1113" t="s">
        <v>215</v>
      </c>
      <c r="G1113" t="s">
        <v>298</v>
      </c>
      <c r="H1113" s="71">
        <v>42257</v>
      </c>
      <c r="I1113" s="18" t="s">
        <v>749</v>
      </c>
      <c r="J1113" t="s">
        <v>15</v>
      </c>
    </row>
    <row r="1114" spans="1:10" x14ac:dyDescent="0.2">
      <c r="A1114" t="s">
        <v>243</v>
      </c>
      <c r="B1114" s="31">
        <v>1</v>
      </c>
      <c r="C1114" s="71">
        <v>42284</v>
      </c>
      <c r="D1114" s="81">
        <v>15.49</v>
      </c>
      <c r="E1114">
        <f t="shared" si="30"/>
        <v>15.49</v>
      </c>
      <c r="F1114" t="s">
        <v>282</v>
      </c>
      <c r="G1114" t="s">
        <v>298</v>
      </c>
      <c r="H1114" s="71">
        <v>42257</v>
      </c>
      <c r="I1114" s="18" t="s">
        <v>749</v>
      </c>
      <c r="J1114" t="s">
        <v>15</v>
      </c>
    </row>
    <row r="1115" spans="1:10" x14ac:dyDescent="0.2">
      <c r="A1115" t="s">
        <v>877</v>
      </c>
      <c r="B1115" s="31">
        <v>1</v>
      </c>
      <c r="C1115" s="71">
        <v>42284</v>
      </c>
      <c r="D1115" s="81">
        <v>4.79</v>
      </c>
      <c r="E1115">
        <f t="shared" si="30"/>
        <v>4.79</v>
      </c>
      <c r="F1115" t="s">
        <v>287</v>
      </c>
      <c r="G1115" t="s">
        <v>298</v>
      </c>
      <c r="H1115" s="71">
        <v>42257</v>
      </c>
      <c r="I1115" s="18" t="s">
        <v>749</v>
      </c>
      <c r="J1115" t="s">
        <v>15</v>
      </c>
    </row>
    <row r="1116" spans="1:10" x14ac:dyDescent="0.2">
      <c r="A1116" t="s">
        <v>733</v>
      </c>
      <c r="B1116" s="31">
        <v>1</v>
      </c>
      <c r="C1116" s="71">
        <v>42284</v>
      </c>
      <c r="D1116" s="81">
        <v>6.99</v>
      </c>
      <c r="E1116">
        <f t="shared" si="30"/>
        <v>6.99</v>
      </c>
      <c r="F1116" t="s">
        <v>657</v>
      </c>
      <c r="G1116" t="s">
        <v>298</v>
      </c>
      <c r="H1116" s="71">
        <v>42257</v>
      </c>
      <c r="I1116" s="18" t="s">
        <v>749</v>
      </c>
      <c r="J1116" t="s">
        <v>15</v>
      </c>
    </row>
    <row r="1117" spans="1:10" x14ac:dyDescent="0.2">
      <c r="A1117" t="s">
        <v>755</v>
      </c>
      <c r="B1117" s="31">
        <v>1</v>
      </c>
      <c r="C1117" s="71">
        <v>42284</v>
      </c>
      <c r="D1117" s="81">
        <v>4.49</v>
      </c>
      <c r="E1117">
        <f t="shared" si="30"/>
        <v>4.49</v>
      </c>
      <c r="F1117" t="s">
        <v>279</v>
      </c>
      <c r="G1117" t="s">
        <v>298</v>
      </c>
      <c r="H1117" s="71">
        <v>42257</v>
      </c>
      <c r="I1117" s="18" t="s">
        <v>749</v>
      </c>
      <c r="J1117" t="s">
        <v>15</v>
      </c>
    </row>
    <row r="1118" spans="1:10" x14ac:dyDescent="0.2">
      <c r="A1118" t="s">
        <v>465</v>
      </c>
      <c r="B1118" s="31">
        <v>1</v>
      </c>
      <c r="C1118" s="71">
        <v>42284</v>
      </c>
      <c r="D1118" s="81">
        <v>3.79</v>
      </c>
      <c r="E1118">
        <f t="shared" si="30"/>
        <v>3.79</v>
      </c>
      <c r="F1118" t="s">
        <v>465</v>
      </c>
      <c r="G1118" t="s">
        <v>298</v>
      </c>
      <c r="H1118" s="71">
        <v>42257</v>
      </c>
      <c r="I1118" s="18" t="s">
        <v>749</v>
      </c>
      <c r="J1118" t="s">
        <v>15</v>
      </c>
    </row>
    <row r="1119" spans="1:10" x14ac:dyDescent="0.2">
      <c r="A1119" t="s">
        <v>668</v>
      </c>
      <c r="B1119" s="31">
        <v>1</v>
      </c>
      <c r="C1119" s="71">
        <v>42279</v>
      </c>
      <c r="D1119" s="81">
        <v>3.48</v>
      </c>
      <c r="E1119">
        <f t="shared" si="30"/>
        <v>3.48</v>
      </c>
      <c r="F1119" t="s">
        <v>653</v>
      </c>
      <c r="G1119" t="s">
        <v>298</v>
      </c>
      <c r="H1119" s="71">
        <v>42257</v>
      </c>
      <c r="I1119" s="18" t="s">
        <v>749</v>
      </c>
      <c r="J1119" t="s">
        <v>15</v>
      </c>
    </row>
    <row r="1120" spans="1:10" x14ac:dyDescent="0.2">
      <c r="A1120" t="s">
        <v>215</v>
      </c>
      <c r="B1120" s="31">
        <v>2</v>
      </c>
      <c r="C1120" s="71">
        <v>42279</v>
      </c>
      <c r="D1120" s="81">
        <v>5.38</v>
      </c>
      <c r="E1120">
        <f t="shared" si="30"/>
        <v>10.76</v>
      </c>
      <c r="F1120" t="s">
        <v>215</v>
      </c>
      <c r="G1120" t="s">
        <v>298</v>
      </c>
      <c r="H1120" s="71">
        <v>42257</v>
      </c>
      <c r="I1120" s="18" t="s">
        <v>749</v>
      </c>
      <c r="J1120" t="s">
        <v>15</v>
      </c>
    </row>
    <row r="1121" spans="1:10" x14ac:dyDescent="0.2">
      <c r="A1121" t="s">
        <v>295</v>
      </c>
      <c r="B1121" s="31">
        <v>0.152</v>
      </c>
      <c r="C1121" s="71">
        <v>42279</v>
      </c>
      <c r="D1121" s="81">
        <v>21.9</v>
      </c>
      <c r="E1121">
        <f t="shared" si="30"/>
        <v>3.3287999999999998</v>
      </c>
      <c r="F1121" t="s">
        <v>653</v>
      </c>
      <c r="G1121" t="s">
        <v>299</v>
      </c>
      <c r="H1121" s="71">
        <v>42257</v>
      </c>
      <c r="I1121" s="18" t="s">
        <v>749</v>
      </c>
      <c r="J1121" t="s">
        <v>15</v>
      </c>
    </row>
    <row r="1122" spans="1:10" x14ac:dyDescent="0.2">
      <c r="A1122" t="s">
        <v>1146</v>
      </c>
      <c r="B1122" s="31">
        <v>0.158</v>
      </c>
      <c r="C1122" s="71">
        <v>42279</v>
      </c>
      <c r="D1122" s="81">
        <v>38.9</v>
      </c>
      <c r="E1122">
        <f t="shared" si="30"/>
        <v>6.1461999999999994</v>
      </c>
      <c r="F1122" t="s">
        <v>653</v>
      </c>
      <c r="G1122" t="s">
        <v>299</v>
      </c>
      <c r="H1122" s="71">
        <v>42257</v>
      </c>
      <c r="I1122" s="18" t="s">
        <v>749</v>
      </c>
      <c r="J1122" t="s">
        <v>15</v>
      </c>
    </row>
    <row r="1123" spans="1:10" x14ac:dyDescent="0.2">
      <c r="A1123" t="s">
        <v>1147</v>
      </c>
      <c r="B1123" s="31">
        <v>1</v>
      </c>
      <c r="C1123" s="71">
        <v>42279</v>
      </c>
      <c r="D1123" s="81">
        <v>4.99</v>
      </c>
      <c r="E1123">
        <f t="shared" si="30"/>
        <v>4.99</v>
      </c>
      <c r="F1123" t="s">
        <v>657</v>
      </c>
      <c r="G1123" t="s">
        <v>298</v>
      </c>
      <c r="H1123" s="71">
        <v>42257</v>
      </c>
      <c r="I1123" s="18" t="s">
        <v>749</v>
      </c>
      <c r="J1123" t="s">
        <v>15</v>
      </c>
    </row>
    <row r="1124" spans="1:10" x14ac:dyDescent="0.2">
      <c r="A1124" t="s">
        <v>227</v>
      </c>
      <c r="B1124" s="31">
        <v>0.218</v>
      </c>
      <c r="C1124" s="71">
        <v>42279</v>
      </c>
      <c r="D1124" s="81">
        <v>8.7899999999999991</v>
      </c>
      <c r="E1124">
        <f t="shared" si="30"/>
        <v>1.9162199999999998</v>
      </c>
      <c r="F1124" t="s">
        <v>657</v>
      </c>
      <c r="G1124" t="s">
        <v>299</v>
      </c>
      <c r="H1124" s="71">
        <v>42257</v>
      </c>
      <c r="I1124" s="18" t="s">
        <v>749</v>
      </c>
      <c r="J1124" t="s">
        <v>15</v>
      </c>
    </row>
    <row r="1125" spans="1:10" x14ac:dyDescent="0.2">
      <c r="A1125" t="s">
        <v>244</v>
      </c>
      <c r="B1125" s="31">
        <v>2</v>
      </c>
      <c r="C1125" s="71">
        <v>42279</v>
      </c>
      <c r="D1125" s="81">
        <v>1.39</v>
      </c>
      <c r="E1125">
        <f t="shared" si="30"/>
        <v>2.78</v>
      </c>
      <c r="F1125" t="s">
        <v>282</v>
      </c>
      <c r="G1125" t="s">
        <v>298</v>
      </c>
      <c r="H1125" s="71">
        <v>42257</v>
      </c>
      <c r="I1125" s="18" t="s">
        <v>749</v>
      </c>
      <c r="J1125" t="s">
        <v>15</v>
      </c>
    </row>
    <row r="1126" spans="1:10" x14ac:dyDescent="0.2">
      <c r="A1126" t="s">
        <v>242</v>
      </c>
      <c r="B1126" s="31">
        <v>1</v>
      </c>
      <c r="C1126" s="71">
        <v>42279</v>
      </c>
      <c r="D1126" s="81">
        <v>7.9</v>
      </c>
      <c r="E1126">
        <f t="shared" si="30"/>
        <v>7.9</v>
      </c>
      <c r="F1126" t="s">
        <v>282</v>
      </c>
      <c r="G1126" t="s">
        <v>298</v>
      </c>
      <c r="H1126" s="71">
        <v>42257</v>
      </c>
      <c r="I1126" s="18" t="s">
        <v>749</v>
      </c>
      <c r="J1126" t="s">
        <v>15</v>
      </c>
    </row>
    <row r="1127" spans="1:10" x14ac:dyDescent="0.2">
      <c r="A1127" t="s">
        <v>183</v>
      </c>
      <c r="B1127" s="31">
        <v>1</v>
      </c>
      <c r="C1127" s="71">
        <v>42279</v>
      </c>
      <c r="D1127" s="81">
        <v>18.98</v>
      </c>
      <c r="E1127">
        <f t="shared" si="30"/>
        <v>18.98</v>
      </c>
      <c r="F1127" t="s">
        <v>183</v>
      </c>
      <c r="G1127" t="s">
        <v>298</v>
      </c>
      <c r="H1127" s="71">
        <v>42257</v>
      </c>
      <c r="I1127" s="18" t="s">
        <v>749</v>
      </c>
      <c r="J1127" t="s">
        <v>15</v>
      </c>
    </row>
    <row r="1128" spans="1:10" x14ac:dyDescent="0.2">
      <c r="A1128" t="s">
        <v>292</v>
      </c>
      <c r="B1128" s="31">
        <v>1.214</v>
      </c>
      <c r="C1128" s="71">
        <v>42279</v>
      </c>
      <c r="D1128" s="81">
        <v>27.99</v>
      </c>
      <c r="E1128">
        <f t="shared" si="30"/>
        <v>33.979859999999995</v>
      </c>
      <c r="F1128" t="s">
        <v>609</v>
      </c>
      <c r="G1128" t="s">
        <v>299</v>
      </c>
      <c r="H1128" s="71">
        <v>42257</v>
      </c>
      <c r="I1128" s="18" t="s">
        <v>749</v>
      </c>
      <c r="J1128" t="s">
        <v>15</v>
      </c>
    </row>
    <row r="1129" spans="1:10" x14ac:dyDescent="0.2">
      <c r="A1129" t="s">
        <v>249</v>
      </c>
      <c r="B1129" s="31">
        <v>1</v>
      </c>
      <c r="C1129" s="71">
        <v>42279</v>
      </c>
      <c r="D1129" s="81">
        <v>5.49</v>
      </c>
      <c r="E1129">
        <f t="shared" si="30"/>
        <v>5.49</v>
      </c>
      <c r="F1129" t="s">
        <v>468</v>
      </c>
      <c r="G1129" t="s">
        <v>298</v>
      </c>
      <c r="H1129" s="71">
        <v>42257</v>
      </c>
      <c r="I1129" s="18" t="s">
        <v>749</v>
      </c>
      <c r="J1129" t="s">
        <v>15</v>
      </c>
    </row>
    <row r="1130" spans="1:10" x14ac:dyDescent="0.2">
      <c r="A1130" t="s">
        <v>819</v>
      </c>
      <c r="B1130" s="31">
        <v>0.77200000000000002</v>
      </c>
      <c r="C1130" s="71">
        <v>42291</v>
      </c>
      <c r="D1130" s="81">
        <v>10.79</v>
      </c>
      <c r="E1130">
        <f t="shared" si="30"/>
        <v>8.3298799999999993</v>
      </c>
      <c r="F1130" t="s">
        <v>614</v>
      </c>
      <c r="G1130" t="s">
        <v>299</v>
      </c>
      <c r="H1130" s="71">
        <v>42287</v>
      </c>
      <c r="I1130" s="18" t="s">
        <v>749</v>
      </c>
      <c r="J1130" t="s">
        <v>13</v>
      </c>
    </row>
    <row r="1131" spans="1:10" x14ac:dyDescent="0.2">
      <c r="A1131" t="s">
        <v>285</v>
      </c>
      <c r="B1131" s="31">
        <v>0.53800000000000003</v>
      </c>
      <c r="C1131" s="71">
        <v>42291</v>
      </c>
      <c r="D1131" s="81">
        <v>30.23</v>
      </c>
      <c r="E1131">
        <f t="shared" si="30"/>
        <v>16.263740000000002</v>
      </c>
      <c r="F1131" t="s">
        <v>609</v>
      </c>
      <c r="G1131" t="s">
        <v>299</v>
      </c>
      <c r="H1131" s="71">
        <v>42287</v>
      </c>
      <c r="I1131" s="18" t="s">
        <v>749</v>
      </c>
      <c r="J1131" t="s">
        <v>13</v>
      </c>
    </row>
    <row r="1132" spans="1:10" x14ac:dyDescent="0.2">
      <c r="A1132" t="s">
        <v>819</v>
      </c>
      <c r="B1132" s="31">
        <v>0.65800000000000003</v>
      </c>
      <c r="C1132" s="71">
        <v>42291</v>
      </c>
      <c r="D1132" s="81">
        <v>10.79</v>
      </c>
      <c r="E1132">
        <f t="shared" si="30"/>
        <v>7.0998199999999994</v>
      </c>
      <c r="F1132" t="s">
        <v>614</v>
      </c>
      <c r="G1132" t="s">
        <v>299</v>
      </c>
      <c r="H1132" s="71">
        <v>42287</v>
      </c>
      <c r="I1132" s="18" t="s">
        <v>749</v>
      </c>
      <c r="J1132" t="s">
        <v>13</v>
      </c>
    </row>
    <row r="1133" spans="1:10" x14ac:dyDescent="0.2">
      <c r="A1133" t="s">
        <v>1013</v>
      </c>
      <c r="B1133" s="31">
        <v>0.95</v>
      </c>
      <c r="C1133" s="71">
        <v>42291</v>
      </c>
      <c r="D1133" s="81">
        <v>19.690000000000001</v>
      </c>
      <c r="E1133">
        <f t="shared" si="30"/>
        <v>18.705500000000001</v>
      </c>
      <c r="F1133" t="s">
        <v>609</v>
      </c>
      <c r="G1133" t="s">
        <v>299</v>
      </c>
      <c r="H1133" s="71">
        <v>42287</v>
      </c>
      <c r="I1133" s="18" t="s">
        <v>749</v>
      </c>
      <c r="J1133" t="s">
        <v>13</v>
      </c>
    </row>
    <row r="1134" spans="1:10" x14ac:dyDescent="0.2">
      <c r="A1134" t="s">
        <v>668</v>
      </c>
      <c r="B1134" s="31">
        <v>1</v>
      </c>
      <c r="C1134" s="71">
        <v>42291</v>
      </c>
      <c r="D1134" s="81">
        <v>4.6900000000000004</v>
      </c>
      <c r="E1134">
        <f t="shared" si="30"/>
        <v>4.6900000000000004</v>
      </c>
      <c r="F1134" t="s">
        <v>653</v>
      </c>
      <c r="G1134" t="s">
        <v>298</v>
      </c>
      <c r="H1134" s="71">
        <v>42287</v>
      </c>
      <c r="I1134" s="18" t="s">
        <v>749</v>
      </c>
      <c r="J1134" t="s">
        <v>13</v>
      </c>
    </row>
    <row r="1135" spans="1:10" x14ac:dyDescent="0.2">
      <c r="A1135" t="s">
        <v>597</v>
      </c>
      <c r="B1135" s="31">
        <v>1</v>
      </c>
      <c r="C1135" s="71">
        <v>42291</v>
      </c>
      <c r="D1135" s="81">
        <v>5.99</v>
      </c>
      <c r="E1135">
        <f t="shared" si="30"/>
        <v>5.99</v>
      </c>
      <c r="F1135" t="s">
        <v>653</v>
      </c>
      <c r="G1135" t="s">
        <v>298</v>
      </c>
      <c r="H1135" s="71">
        <v>42287</v>
      </c>
      <c r="I1135" s="18" t="s">
        <v>749</v>
      </c>
      <c r="J1135" t="s">
        <v>13</v>
      </c>
    </row>
    <row r="1136" spans="1:10" x14ac:dyDescent="0.2">
      <c r="A1136" t="s">
        <v>614</v>
      </c>
      <c r="B1136" s="31">
        <v>2</v>
      </c>
      <c r="C1136" s="71">
        <v>42291</v>
      </c>
      <c r="D1136" s="81">
        <v>3.49</v>
      </c>
      <c r="E1136">
        <f t="shared" si="30"/>
        <v>6.98</v>
      </c>
      <c r="F1136" t="s">
        <v>614</v>
      </c>
      <c r="G1136" t="s">
        <v>298</v>
      </c>
      <c r="H1136" s="71">
        <v>42287</v>
      </c>
      <c r="I1136" s="18" t="s">
        <v>749</v>
      </c>
      <c r="J1136" t="s">
        <v>13</v>
      </c>
    </row>
    <row r="1137" spans="1:10" x14ac:dyDescent="0.2">
      <c r="A1137" t="s">
        <v>703</v>
      </c>
      <c r="B1137" s="31">
        <v>2</v>
      </c>
      <c r="C1137" s="71">
        <v>42291</v>
      </c>
      <c r="D1137" s="81">
        <v>8.09</v>
      </c>
      <c r="E1137">
        <f t="shared" si="30"/>
        <v>16.18</v>
      </c>
      <c r="F1137" t="s">
        <v>614</v>
      </c>
      <c r="G1137" t="s">
        <v>298</v>
      </c>
      <c r="H1137" s="71">
        <v>42287</v>
      </c>
      <c r="I1137" s="18" t="s">
        <v>749</v>
      </c>
      <c r="J1137" t="s">
        <v>13</v>
      </c>
    </row>
    <row r="1138" spans="1:10" x14ac:dyDescent="0.2">
      <c r="A1138" t="s">
        <v>244</v>
      </c>
      <c r="B1138" s="31">
        <v>2</v>
      </c>
      <c r="C1138" s="71">
        <v>42291</v>
      </c>
      <c r="D1138" s="81">
        <v>1.39</v>
      </c>
      <c r="E1138">
        <f t="shared" si="30"/>
        <v>2.78</v>
      </c>
      <c r="F1138" t="s">
        <v>282</v>
      </c>
      <c r="G1138" t="s">
        <v>298</v>
      </c>
      <c r="H1138" s="71">
        <v>42287</v>
      </c>
      <c r="I1138" s="18" t="s">
        <v>749</v>
      </c>
      <c r="J1138" t="s">
        <v>13</v>
      </c>
    </row>
    <row r="1139" spans="1:10" x14ac:dyDescent="0.2">
      <c r="A1139" t="s">
        <v>1148</v>
      </c>
      <c r="B1139" s="31">
        <v>2</v>
      </c>
      <c r="C1139" s="71">
        <v>42291</v>
      </c>
      <c r="D1139" s="81">
        <v>1.39</v>
      </c>
      <c r="E1139">
        <f t="shared" si="30"/>
        <v>2.78</v>
      </c>
      <c r="F1139" t="s">
        <v>282</v>
      </c>
      <c r="G1139" t="s">
        <v>298</v>
      </c>
      <c r="H1139" s="71">
        <v>42287</v>
      </c>
      <c r="I1139" s="18" t="s">
        <v>749</v>
      </c>
      <c r="J1139" t="s">
        <v>13</v>
      </c>
    </row>
    <row r="1140" spans="1:10" x14ac:dyDescent="0.2">
      <c r="A1140" t="s">
        <v>795</v>
      </c>
      <c r="B1140" s="31">
        <v>1</v>
      </c>
      <c r="C1140" s="71">
        <v>42291</v>
      </c>
      <c r="D1140" s="81">
        <v>3.29</v>
      </c>
      <c r="E1140">
        <f t="shared" si="30"/>
        <v>3.29</v>
      </c>
      <c r="F1140" t="s">
        <v>282</v>
      </c>
      <c r="G1140" t="s">
        <v>298</v>
      </c>
      <c r="H1140" s="71">
        <v>42287</v>
      </c>
      <c r="I1140" s="18" t="s">
        <v>749</v>
      </c>
      <c r="J1140" t="s">
        <v>13</v>
      </c>
    </row>
    <row r="1141" spans="1:10" x14ac:dyDescent="0.2">
      <c r="A1141" t="s">
        <v>241</v>
      </c>
      <c r="B1141" s="31">
        <v>1</v>
      </c>
      <c r="C1141" s="71">
        <v>42291</v>
      </c>
      <c r="D1141" s="81">
        <v>4.1900000000000004</v>
      </c>
      <c r="E1141">
        <f t="shared" si="30"/>
        <v>4.1900000000000004</v>
      </c>
      <c r="F1141" t="s">
        <v>282</v>
      </c>
      <c r="G1141" t="s">
        <v>298</v>
      </c>
      <c r="H1141" s="71">
        <v>42287</v>
      </c>
      <c r="I1141" s="18" t="s">
        <v>749</v>
      </c>
      <c r="J1141" t="s">
        <v>13</v>
      </c>
    </row>
    <row r="1142" spans="1:10" x14ac:dyDescent="0.2">
      <c r="A1142" t="s">
        <v>215</v>
      </c>
      <c r="B1142" s="31">
        <v>4</v>
      </c>
      <c r="C1142" s="71">
        <v>42291</v>
      </c>
      <c r="D1142" s="81">
        <v>2.79</v>
      </c>
      <c r="E1142">
        <f t="shared" si="30"/>
        <v>11.16</v>
      </c>
      <c r="F1142" t="s">
        <v>215</v>
      </c>
      <c r="G1142" t="s">
        <v>298</v>
      </c>
      <c r="H1142" s="71">
        <v>42287</v>
      </c>
      <c r="I1142" s="18" t="s">
        <v>749</v>
      </c>
      <c r="J1142" t="s">
        <v>13</v>
      </c>
    </row>
    <row r="1143" spans="1:10" x14ac:dyDescent="0.2">
      <c r="A1143" t="s">
        <v>183</v>
      </c>
      <c r="B1143" s="31">
        <v>1</v>
      </c>
      <c r="C1143" s="71">
        <v>42305</v>
      </c>
      <c r="D1143" s="81">
        <v>17.98</v>
      </c>
      <c r="E1143">
        <f t="shared" si="30"/>
        <v>17.98</v>
      </c>
      <c r="F1143" t="s">
        <v>183</v>
      </c>
      <c r="G1143" t="s">
        <v>298</v>
      </c>
      <c r="H1143" s="71">
        <v>42287</v>
      </c>
      <c r="I1143" s="18" t="s">
        <v>749</v>
      </c>
      <c r="J1143" t="s">
        <v>13</v>
      </c>
    </row>
    <row r="1144" spans="1:10" x14ac:dyDescent="0.2">
      <c r="A1144" t="s">
        <v>668</v>
      </c>
      <c r="B1144" s="31">
        <v>1</v>
      </c>
      <c r="C1144" s="71">
        <v>42305</v>
      </c>
      <c r="D1144" s="81">
        <v>4.6900000000000004</v>
      </c>
      <c r="E1144">
        <f t="shared" si="30"/>
        <v>4.6900000000000004</v>
      </c>
      <c r="F1144" t="s">
        <v>653</v>
      </c>
      <c r="G1144" t="s">
        <v>298</v>
      </c>
      <c r="H1144" s="71">
        <v>42287</v>
      </c>
      <c r="I1144" s="18" t="s">
        <v>749</v>
      </c>
      <c r="J1144" t="s">
        <v>13</v>
      </c>
    </row>
    <row r="1145" spans="1:10" x14ac:dyDescent="0.2">
      <c r="A1145" t="s">
        <v>215</v>
      </c>
      <c r="B1145" s="31">
        <v>1</v>
      </c>
      <c r="C1145" s="71">
        <v>42305</v>
      </c>
      <c r="D1145" s="81">
        <v>4.13</v>
      </c>
      <c r="E1145">
        <f t="shared" si="30"/>
        <v>4.13</v>
      </c>
      <c r="F1145" t="s">
        <v>215</v>
      </c>
      <c r="G1145" t="s">
        <v>298</v>
      </c>
      <c r="H1145" s="71">
        <v>42287</v>
      </c>
      <c r="I1145" s="18" t="s">
        <v>749</v>
      </c>
      <c r="J1145" t="s">
        <v>13</v>
      </c>
    </row>
    <row r="1146" spans="1:10" x14ac:dyDescent="0.2">
      <c r="A1146" t="s">
        <v>743</v>
      </c>
      <c r="B1146" s="31">
        <v>1</v>
      </c>
      <c r="C1146" s="71">
        <v>42305</v>
      </c>
      <c r="D1146" s="81">
        <v>6.49</v>
      </c>
      <c r="E1146">
        <f t="shared" si="30"/>
        <v>6.49</v>
      </c>
      <c r="F1146" t="s">
        <v>657</v>
      </c>
      <c r="G1146" t="s">
        <v>298</v>
      </c>
      <c r="H1146" s="71">
        <v>42287</v>
      </c>
      <c r="I1146" s="18" t="s">
        <v>749</v>
      </c>
      <c r="J1146" t="s">
        <v>13</v>
      </c>
    </row>
    <row r="1147" spans="1:10" x14ac:dyDescent="0.2">
      <c r="A1147" t="s">
        <v>1146</v>
      </c>
      <c r="B1147" s="31">
        <v>1.202</v>
      </c>
      <c r="C1147" s="71">
        <v>42305</v>
      </c>
      <c r="D1147" s="81">
        <v>12.15</v>
      </c>
      <c r="E1147">
        <f t="shared" si="30"/>
        <v>14.6043</v>
      </c>
      <c r="F1147" t="s">
        <v>653</v>
      </c>
      <c r="G1147" t="s">
        <v>299</v>
      </c>
      <c r="H1147" s="71">
        <v>42287</v>
      </c>
      <c r="I1147" s="18" t="s">
        <v>749</v>
      </c>
      <c r="J1147" t="s">
        <v>13</v>
      </c>
    </row>
    <row r="1148" spans="1:10" x14ac:dyDescent="0.2">
      <c r="A1148" t="s">
        <v>799</v>
      </c>
      <c r="B1148" s="31">
        <v>1</v>
      </c>
      <c r="C1148" s="71">
        <v>42305</v>
      </c>
      <c r="D1148" s="81">
        <v>2.69</v>
      </c>
      <c r="E1148">
        <f t="shared" si="30"/>
        <v>2.69</v>
      </c>
      <c r="F1148" t="s">
        <v>208</v>
      </c>
      <c r="G1148" t="s">
        <v>298</v>
      </c>
      <c r="H1148" s="71">
        <v>42287</v>
      </c>
      <c r="I1148" s="18" t="s">
        <v>749</v>
      </c>
      <c r="J1148" t="s">
        <v>13</v>
      </c>
    </row>
    <row r="1149" spans="1:10" x14ac:dyDescent="0.2">
      <c r="A1149" t="s">
        <v>1149</v>
      </c>
      <c r="B1149" s="31">
        <v>1</v>
      </c>
      <c r="C1149" s="71">
        <v>42305</v>
      </c>
      <c r="D1149" s="81">
        <v>9.69</v>
      </c>
      <c r="E1149">
        <f t="shared" si="30"/>
        <v>9.69</v>
      </c>
      <c r="F1149" t="s">
        <v>208</v>
      </c>
      <c r="G1149" t="s">
        <v>298</v>
      </c>
      <c r="H1149" s="71">
        <v>42287</v>
      </c>
      <c r="I1149" s="18" t="s">
        <v>749</v>
      </c>
      <c r="J1149" t="s">
        <v>13</v>
      </c>
    </row>
    <row r="1150" spans="1:10" x14ac:dyDescent="0.2">
      <c r="A1150" t="s">
        <v>1150</v>
      </c>
      <c r="B1150" s="31">
        <v>1</v>
      </c>
      <c r="C1150" s="71">
        <v>42305</v>
      </c>
      <c r="D1150" s="81">
        <v>2.79</v>
      </c>
      <c r="E1150">
        <f t="shared" si="30"/>
        <v>2.79</v>
      </c>
      <c r="F1150" t="s">
        <v>208</v>
      </c>
      <c r="G1150" t="s">
        <v>298</v>
      </c>
      <c r="H1150" s="71">
        <v>42287</v>
      </c>
      <c r="I1150" s="18" t="s">
        <v>749</v>
      </c>
      <c r="J1150" t="s">
        <v>13</v>
      </c>
    </row>
    <row r="1151" spans="1:10" x14ac:dyDescent="0.2">
      <c r="A1151" t="s">
        <v>1151</v>
      </c>
      <c r="B1151" s="31">
        <v>1</v>
      </c>
      <c r="C1151" s="71">
        <v>42305</v>
      </c>
      <c r="D1151" s="81">
        <v>3.89</v>
      </c>
      <c r="E1151">
        <f t="shared" si="30"/>
        <v>3.89</v>
      </c>
      <c r="F1151" t="s">
        <v>208</v>
      </c>
      <c r="G1151" t="s">
        <v>298</v>
      </c>
      <c r="H1151" s="71">
        <v>42287</v>
      </c>
      <c r="I1151" s="18" t="s">
        <v>749</v>
      </c>
      <c r="J1151" t="s">
        <v>13</v>
      </c>
    </row>
    <row r="1152" spans="1:10" x14ac:dyDescent="0.2">
      <c r="A1152" t="s">
        <v>1152</v>
      </c>
      <c r="B1152" s="31">
        <v>1</v>
      </c>
      <c r="C1152" s="71">
        <v>42305</v>
      </c>
      <c r="D1152" s="81">
        <v>2.29</v>
      </c>
      <c r="E1152">
        <f t="shared" si="30"/>
        <v>2.29</v>
      </c>
      <c r="F1152" t="s">
        <v>208</v>
      </c>
      <c r="G1152" t="s">
        <v>298</v>
      </c>
      <c r="H1152" s="71">
        <v>42287</v>
      </c>
      <c r="I1152" s="18" t="s">
        <v>749</v>
      </c>
      <c r="J1152" t="s">
        <v>13</v>
      </c>
    </row>
    <row r="1153" spans="1:10" x14ac:dyDescent="0.2">
      <c r="A1153" t="s">
        <v>249</v>
      </c>
      <c r="B1153" s="31">
        <v>1</v>
      </c>
      <c r="C1153" s="71">
        <v>42305</v>
      </c>
      <c r="D1153" s="81">
        <v>6.99</v>
      </c>
      <c r="E1153">
        <f t="shared" si="30"/>
        <v>6.99</v>
      </c>
      <c r="F1153" t="s">
        <v>468</v>
      </c>
      <c r="G1153" t="s">
        <v>298</v>
      </c>
      <c r="H1153" s="71">
        <v>42287</v>
      </c>
      <c r="I1153" s="18" t="s">
        <v>749</v>
      </c>
      <c r="J1153" t="s">
        <v>13</v>
      </c>
    </row>
    <row r="1154" spans="1:10" x14ac:dyDescent="0.2">
      <c r="A1154" t="s">
        <v>1012</v>
      </c>
      <c r="B1154" s="31">
        <v>1</v>
      </c>
      <c r="C1154" s="71">
        <v>42318</v>
      </c>
      <c r="D1154" s="81">
        <v>14.22</v>
      </c>
      <c r="E1154">
        <f t="shared" si="30"/>
        <v>14.22</v>
      </c>
      <c r="F1154" t="s">
        <v>282</v>
      </c>
      <c r="G1154" t="s">
        <v>298</v>
      </c>
      <c r="H1154" s="71">
        <v>42318</v>
      </c>
      <c r="I1154" s="18" t="s">
        <v>749</v>
      </c>
      <c r="J1154" t="s">
        <v>13</v>
      </c>
    </row>
    <row r="1155" spans="1:10" x14ac:dyDescent="0.2">
      <c r="A1155" t="s">
        <v>241</v>
      </c>
      <c r="B1155" s="31">
        <v>1</v>
      </c>
      <c r="C1155" s="71">
        <v>42318</v>
      </c>
      <c r="D1155" s="81">
        <v>4.1900000000000004</v>
      </c>
      <c r="E1155">
        <f t="shared" si="30"/>
        <v>4.1900000000000004</v>
      </c>
      <c r="F1155" t="s">
        <v>282</v>
      </c>
      <c r="G1155" t="s">
        <v>298</v>
      </c>
      <c r="H1155" s="71">
        <v>42318</v>
      </c>
      <c r="I1155" s="18" t="s">
        <v>749</v>
      </c>
      <c r="J1155" t="s">
        <v>13</v>
      </c>
    </row>
    <row r="1156" spans="1:10" x14ac:dyDescent="0.2">
      <c r="A1156" t="s">
        <v>243</v>
      </c>
      <c r="B1156" s="31">
        <v>1</v>
      </c>
      <c r="C1156" s="71">
        <v>42318</v>
      </c>
      <c r="D1156" s="81">
        <v>21.84</v>
      </c>
      <c r="E1156">
        <f t="shared" si="30"/>
        <v>21.84</v>
      </c>
      <c r="F1156" t="s">
        <v>282</v>
      </c>
      <c r="G1156" t="s">
        <v>298</v>
      </c>
      <c r="H1156" s="71">
        <v>42318</v>
      </c>
      <c r="I1156" s="18" t="s">
        <v>749</v>
      </c>
      <c r="J1156" t="s">
        <v>13</v>
      </c>
    </row>
    <row r="1157" spans="1:10" x14ac:dyDescent="0.2">
      <c r="A1157" t="s">
        <v>271</v>
      </c>
      <c r="B1157" s="31">
        <v>1</v>
      </c>
      <c r="C1157" s="71">
        <v>42318</v>
      </c>
      <c r="D1157" s="81">
        <v>4.09</v>
      </c>
      <c r="E1157">
        <f t="shared" si="30"/>
        <v>4.09</v>
      </c>
      <c r="F1157" t="s">
        <v>282</v>
      </c>
      <c r="G1157" t="s">
        <v>298</v>
      </c>
      <c r="H1157" s="71">
        <v>42318</v>
      </c>
      <c r="I1157" s="18" t="s">
        <v>749</v>
      </c>
      <c r="J1157" t="s">
        <v>13</v>
      </c>
    </row>
    <row r="1158" spans="1:10" x14ac:dyDescent="0.2">
      <c r="A1158" t="s">
        <v>1148</v>
      </c>
      <c r="B1158" s="31">
        <v>2</v>
      </c>
      <c r="C1158" s="71">
        <v>42318</v>
      </c>
      <c r="D1158" s="81">
        <v>1.49</v>
      </c>
      <c r="E1158">
        <f t="shared" si="30"/>
        <v>2.98</v>
      </c>
      <c r="F1158" t="s">
        <v>282</v>
      </c>
      <c r="G1158" t="s">
        <v>298</v>
      </c>
      <c r="H1158" s="71">
        <v>42318</v>
      </c>
      <c r="I1158" s="18" t="s">
        <v>749</v>
      </c>
      <c r="J1158" t="s">
        <v>13</v>
      </c>
    </row>
    <row r="1159" spans="1:10" x14ac:dyDescent="0.2">
      <c r="A1159" t="s">
        <v>1086</v>
      </c>
      <c r="B1159" s="31">
        <v>1</v>
      </c>
      <c r="C1159" s="71">
        <v>42318</v>
      </c>
      <c r="D1159" s="81">
        <v>7.49</v>
      </c>
      <c r="E1159">
        <f t="shared" si="30"/>
        <v>7.49</v>
      </c>
      <c r="F1159" t="s">
        <v>282</v>
      </c>
      <c r="G1159" t="s">
        <v>298</v>
      </c>
      <c r="H1159" s="71">
        <v>42318</v>
      </c>
      <c r="I1159" s="18" t="s">
        <v>749</v>
      </c>
      <c r="J1159" t="s">
        <v>13</v>
      </c>
    </row>
    <row r="1160" spans="1:10" x14ac:dyDescent="0.2">
      <c r="A1160" t="s">
        <v>308</v>
      </c>
      <c r="B1160" s="31">
        <v>0.94499999999999995</v>
      </c>
      <c r="C1160" s="71">
        <v>42318</v>
      </c>
      <c r="D1160" s="81">
        <v>3.99</v>
      </c>
      <c r="E1160">
        <f t="shared" si="30"/>
        <v>3.7705500000000001</v>
      </c>
      <c r="F1160" t="s">
        <v>279</v>
      </c>
      <c r="G1160" t="s">
        <v>299</v>
      </c>
      <c r="H1160" s="71">
        <v>42318</v>
      </c>
      <c r="I1160" s="18" t="s">
        <v>749</v>
      </c>
      <c r="J1160" t="s">
        <v>13</v>
      </c>
    </row>
    <row r="1161" spans="1:10" x14ac:dyDescent="0.2">
      <c r="A1161" t="s">
        <v>976</v>
      </c>
      <c r="B1161" s="31">
        <v>1</v>
      </c>
      <c r="C1161" s="71">
        <v>42318</v>
      </c>
      <c r="D1161" s="81">
        <v>21.49</v>
      </c>
      <c r="E1161">
        <f t="shared" si="30"/>
        <v>21.49</v>
      </c>
      <c r="F1161" t="s">
        <v>282</v>
      </c>
      <c r="G1161" t="s">
        <v>298</v>
      </c>
      <c r="H1161" s="71">
        <v>42318</v>
      </c>
      <c r="I1161" s="18" t="s">
        <v>749</v>
      </c>
      <c r="J1161" t="s">
        <v>13</v>
      </c>
    </row>
    <row r="1162" spans="1:10" x14ac:dyDescent="0.2">
      <c r="A1162" t="s">
        <v>876</v>
      </c>
      <c r="B1162" s="31">
        <v>1</v>
      </c>
      <c r="C1162" s="71">
        <v>42318</v>
      </c>
      <c r="D1162" s="81">
        <v>1.59</v>
      </c>
      <c r="E1162">
        <f t="shared" si="30"/>
        <v>1.59</v>
      </c>
      <c r="F1162" t="s">
        <v>282</v>
      </c>
      <c r="G1162" t="s">
        <v>298</v>
      </c>
      <c r="H1162" s="71">
        <v>42318</v>
      </c>
      <c r="I1162" s="18" t="s">
        <v>749</v>
      </c>
      <c r="J1162" t="s">
        <v>13</v>
      </c>
    </row>
    <row r="1163" spans="1:10" x14ac:dyDescent="0.2">
      <c r="A1163" t="s">
        <v>794</v>
      </c>
      <c r="B1163" s="31">
        <v>0.80500000000000005</v>
      </c>
      <c r="C1163" s="71">
        <v>42318</v>
      </c>
      <c r="D1163" s="81">
        <v>4.1900000000000004</v>
      </c>
      <c r="E1163">
        <f t="shared" si="30"/>
        <v>3.3729500000000003</v>
      </c>
      <c r="F1163" t="s">
        <v>280</v>
      </c>
      <c r="G1163" t="s">
        <v>299</v>
      </c>
      <c r="H1163" s="71">
        <v>42318</v>
      </c>
      <c r="I1163" s="18" t="s">
        <v>749</v>
      </c>
      <c r="J1163" t="s">
        <v>13</v>
      </c>
    </row>
    <row r="1164" spans="1:10" x14ac:dyDescent="0.2">
      <c r="A1164" t="s">
        <v>303</v>
      </c>
      <c r="B1164" s="31">
        <v>2.2999999999999998</v>
      </c>
      <c r="C1164" s="71">
        <v>42318</v>
      </c>
      <c r="D1164" s="81">
        <v>1.69</v>
      </c>
      <c r="E1164">
        <f t="shared" si="30"/>
        <v>3.8869999999999996</v>
      </c>
      <c r="F1164" t="s">
        <v>279</v>
      </c>
      <c r="G1164" t="s">
        <v>299</v>
      </c>
      <c r="H1164" s="71">
        <v>42318</v>
      </c>
      <c r="I1164" s="18" t="s">
        <v>749</v>
      </c>
      <c r="J1164" t="s">
        <v>13</v>
      </c>
    </row>
    <row r="1165" spans="1:10" x14ac:dyDescent="0.2">
      <c r="A1165" t="s">
        <v>1153</v>
      </c>
      <c r="B1165" s="31">
        <v>0.2</v>
      </c>
      <c r="C1165" s="71">
        <v>42318</v>
      </c>
      <c r="D1165" s="81">
        <v>4.99</v>
      </c>
      <c r="E1165">
        <f t="shared" si="30"/>
        <v>0.99800000000000011</v>
      </c>
      <c r="F1165" t="s">
        <v>280</v>
      </c>
      <c r="G1165" t="s">
        <v>299</v>
      </c>
      <c r="H1165" s="71">
        <v>42318</v>
      </c>
      <c r="I1165" s="18" t="s">
        <v>749</v>
      </c>
      <c r="J1165" t="s">
        <v>13</v>
      </c>
    </row>
    <row r="1166" spans="1:10" x14ac:dyDescent="0.2">
      <c r="A1166" t="s">
        <v>307</v>
      </c>
      <c r="B1166" s="31">
        <v>0.255</v>
      </c>
      <c r="C1166" s="71">
        <v>42318</v>
      </c>
      <c r="D1166" s="81">
        <v>2.29</v>
      </c>
      <c r="E1166">
        <f t="shared" si="30"/>
        <v>0.58394999999999997</v>
      </c>
      <c r="F1166" t="s">
        <v>280</v>
      </c>
      <c r="G1166" t="s">
        <v>299</v>
      </c>
      <c r="H1166" s="71">
        <v>42318</v>
      </c>
      <c r="I1166" s="18" t="s">
        <v>749</v>
      </c>
      <c r="J1166" t="s">
        <v>13</v>
      </c>
    </row>
    <row r="1167" spans="1:10" x14ac:dyDescent="0.2">
      <c r="A1167" t="s">
        <v>567</v>
      </c>
      <c r="B1167" s="31">
        <v>0.55000000000000004</v>
      </c>
      <c r="C1167" s="71">
        <v>42318</v>
      </c>
      <c r="D1167" s="81">
        <v>5.99</v>
      </c>
      <c r="E1167">
        <f t="shared" si="30"/>
        <v>3.2945000000000002</v>
      </c>
      <c r="F1167" t="s">
        <v>279</v>
      </c>
      <c r="G1167" t="s">
        <v>299</v>
      </c>
      <c r="H1167" s="71">
        <v>42318</v>
      </c>
      <c r="I1167" s="18" t="s">
        <v>749</v>
      </c>
      <c r="J1167" t="s">
        <v>13</v>
      </c>
    </row>
    <row r="1168" spans="1:10" x14ac:dyDescent="0.2">
      <c r="A1168" t="s">
        <v>793</v>
      </c>
      <c r="B1168" s="31">
        <v>0.875</v>
      </c>
      <c r="C1168" s="71">
        <v>42318</v>
      </c>
      <c r="D1168" s="81">
        <v>2.89</v>
      </c>
      <c r="E1168">
        <f t="shared" si="30"/>
        <v>2.5287500000000001</v>
      </c>
      <c r="F1168" t="s">
        <v>280</v>
      </c>
      <c r="G1168" t="s">
        <v>299</v>
      </c>
      <c r="H1168" s="71">
        <v>42318</v>
      </c>
      <c r="I1168" s="18" t="s">
        <v>749</v>
      </c>
      <c r="J1168" t="s">
        <v>13</v>
      </c>
    </row>
    <row r="1169" spans="1:10" x14ac:dyDescent="0.2">
      <c r="A1169" t="s">
        <v>304</v>
      </c>
      <c r="B1169" s="31">
        <v>1.645</v>
      </c>
      <c r="C1169" s="71">
        <v>42318</v>
      </c>
      <c r="D1169" s="81">
        <v>3.19</v>
      </c>
      <c r="E1169">
        <f t="shared" si="30"/>
        <v>5.2475500000000004</v>
      </c>
      <c r="F1169" t="s">
        <v>280</v>
      </c>
      <c r="G1169" t="s">
        <v>299</v>
      </c>
      <c r="H1169" s="71">
        <v>42318</v>
      </c>
      <c r="I1169" s="18" t="s">
        <v>749</v>
      </c>
      <c r="J1169" t="s">
        <v>13</v>
      </c>
    </row>
    <row r="1170" spans="1:10" x14ac:dyDescent="0.2">
      <c r="A1170" t="s">
        <v>757</v>
      </c>
      <c r="B1170" s="31">
        <v>1</v>
      </c>
      <c r="C1170" s="71">
        <v>42318</v>
      </c>
      <c r="D1170" s="81">
        <v>6.68</v>
      </c>
      <c r="E1170">
        <f t="shared" si="30"/>
        <v>6.68</v>
      </c>
      <c r="F1170" t="s">
        <v>757</v>
      </c>
      <c r="G1170" t="s">
        <v>298</v>
      </c>
      <c r="H1170" s="71">
        <v>42318</v>
      </c>
      <c r="I1170" s="18" t="s">
        <v>749</v>
      </c>
      <c r="J1170" t="s">
        <v>13</v>
      </c>
    </row>
    <row r="1171" spans="1:10" x14ac:dyDescent="0.2">
      <c r="A1171" t="s">
        <v>1091</v>
      </c>
      <c r="B1171" s="31">
        <v>4</v>
      </c>
      <c r="C1171" s="71">
        <v>42318</v>
      </c>
      <c r="D1171" s="81">
        <v>0.99</v>
      </c>
      <c r="E1171">
        <f t="shared" si="30"/>
        <v>3.96</v>
      </c>
      <c r="F1171" t="s">
        <v>234</v>
      </c>
      <c r="G1171" t="s">
        <v>298</v>
      </c>
      <c r="H1171" s="71">
        <v>42318</v>
      </c>
      <c r="I1171" s="18" t="s">
        <v>749</v>
      </c>
      <c r="J1171" t="s">
        <v>13</v>
      </c>
    </row>
    <row r="1172" spans="1:10" x14ac:dyDescent="0.2">
      <c r="A1172" t="s">
        <v>208</v>
      </c>
      <c r="B1172" s="31">
        <v>2</v>
      </c>
      <c r="C1172" s="71">
        <v>42318</v>
      </c>
      <c r="D1172" s="81">
        <v>4.09</v>
      </c>
      <c r="E1172">
        <f t="shared" si="30"/>
        <v>8.18</v>
      </c>
      <c r="F1172" t="s">
        <v>208</v>
      </c>
      <c r="G1172" t="s">
        <v>298</v>
      </c>
      <c r="H1172" s="71">
        <v>42318</v>
      </c>
      <c r="I1172" s="18" t="s">
        <v>749</v>
      </c>
      <c r="J1172" t="s">
        <v>13</v>
      </c>
    </row>
    <row r="1173" spans="1:10" x14ac:dyDescent="0.2">
      <c r="A1173" t="s">
        <v>658</v>
      </c>
      <c r="B1173" s="31">
        <v>1</v>
      </c>
      <c r="C1173" s="71">
        <v>42318</v>
      </c>
      <c r="D1173" s="81">
        <v>1.29</v>
      </c>
      <c r="E1173">
        <f t="shared" si="30"/>
        <v>1.29</v>
      </c>
      <c r="F1173" t="s">
        <v>208</v>
      </c>
      <c r="G1173" t="s">
        <v>298</v>
      </c>
      <c r="H1173" s="71">
        <v>42318</v>
      </c>
      <c r="I1173" s="18" t="s">
        <v>749</v>
      </c>
      <c r="J1173" t="s">
        <v>13</v>
      </c>
    </row>
    <row r="1174" spans="1:10" x14ac:dyDescent="0.2">
      <c r="A1174" t="s">
        <v>614</v>
      </c>
      <c r="B1174" s="31">
        <v>0.63400000000000001</v>
      </c>
      <c r="C1174" s="71">
        <v>42318</v>
      </c>
      <c r="D1174" s="81">
        <v>11.99</v>
      </c>
      <c r="E1174">
        <f t="shared" si="30"/>
        <v>7.6016599999999999</v>
      </c>
      <c r="F1174" t="s">
        <v>614</v>
      </c>
      <c r="G1174" t="s">
        <v>299</v>
      </c>
      <c r="H1174" s="71">
        <v>42318</v>
      </c>
      <c r="I1174" s="18" t="s">
        <v>749</v>
      </c>
      <c r="J1174" t="s">
        <v>13</v>
      </c>
    </row>
    <row r="1175" spans="1:10" x14ac:dyDescent="0.2">
      <c r="A1175" t="s">
        <v>614</v>
      </c>
      <c r="B1175" s="31">
        <v>0.70799999999999996</v>
      </c>
      <c r="C1175" s="71">
        <v>42318</v>
      </c>
      <c r="D1175" s="81">
        <v>11.99</v>
      </c>
      <c r="E1175">
        <f t="shared" si="30"/>
        <v>8.4889200000000002</v>
      </c>
      <c r="F1175" t="s">
        <v>614</v>
      </c>
      <c r="G1175" t="s">
        <v>299</v>
      </c>
      <c r="H1175" s="71">
        <v>42318</v>
      </c>
      <c r="I1175" s="18" t="s">
        <v>749</v>
      </c>
      <c r="J1175" t="s">
        <v>13</v>
      </c>
    </row>
    <row r="1176" spans="1:10" x14ac:dyDescent="0.2">
      <c r="A1176" t="s">
        <v>237</v>
      </c>
      <c r="B1176" s="31">
        <v>2</v>
      </c>
      <c r="C1176" s="71">
        <v>42318</v>
      </c>
      <c r="D1176" s="81">
        <v>4.59</v>
      </c>
      <c r="E1176">
        <f t="shared" si="30"/>
        <v>9.18</v>
      </c>
      <c r="F1176" t="s">
        <v>653</v>
      </c>
      <c r="G1176" t="s">
        <v>298</v>
      </c>
      <c r="H1176" s="71">
        <v>42318</v>
      </c>
      <c r="I1176" s="18" t="s">
        <v>749</v>
      </c>
      <c r="J1176" t="s">
        <v>13</v>
      </c>
    </row>
    <row r="1177" spans="1:10" x14ac:dyDescent="0.2">
      <c r="A1177" t="s">
        <v>1154</v>
      </c>
      <c r="B1177" s="31">
        <v>1</v>
      </c>
      <c r="C1177" s="71">
        <v>42318</v>
      </c>
      <c r="D1177" s="81">
        <v>7.89</v>
      </c>
      <c r="E1177">
        <f t="shared" si="30"/>
        <v>7.89</v>
      </c>
      <c r="F1177" t="s">
        <v>280</v>
      </c>
      <c r="G1177" t="s">
        <v>298</v>
      </c>
      <c r="H1177" s="71">
        <v>42318</v>
      </c>
      <c r="I1177" s="18" t="s">
        <v>749</v>
      </c>
      <c r="J1177" t="s">
        <v>13</v>
      </c>
    </row>
    <row r="1178" spans="1:10" x14ac:dyDescent="0.2">
      <c r="A1178" t="s">
        <v>614</v>
      </c>
      <c r="B1178" s="31">
        <v>1</v>
      </c>
      <c r="C1178" s="71">
        <v>42318</v>
      </c>
      <c r="D1178" s="81">
        <v>4.1900000000000004</v>
      </c>
      <c r="E1178">
        <f t="shared" si="30"/>
        <v>4.1900000000000004</v>
      </c>
      <c r="F1178" t="s">
        <v>614</v>
      </c>
      <c r="G1178" t="s">
        <v>298</v>
      </c>
      <c r="H1178" s="71">
        <v>42318</v>
      </c>
      <c r="I1178" s="18" t="s">
        <v>749</v>
      </c>
      <c r="J1178" t="s">
        <v>13</v>
      </c>
    </row>
    <row r="1179" spans="1:10" x14ac:dyDescent="0.2">
      <c r="A1179" t="s">
        <v>312</v>
      </c>
      <c r="B1179" s="31">
        <v>1</v>
      </c>
      <c r="C1179" s="71">
        <v>42318</v>
      </c>
      <c r="D1179" s="81">
        <v>4.6900000000000004</v>
      </c>
      <c r="E1179">
        <f t="shared" si="30"/>
        <v>4.6900000000000004</v>
      </c>
      <c r="F1179" t="s">
        <v>280</v>
      </c>
      <c r="G1179" t="s">
        <v>298</v>
      </c>
      <c r="H1179" s="71">
        <v>42318</v>
      </c>
      <c r="I1179" s="18" t="s">
        <v>749</v>
      </c>
      <c r="J1179" t="s">
        <v>13</v>
      </c>
    </row>
    <row r="1180" spans="1:10" x14ac:dyDescent="0.2">
      <c r="A1180" t="s">
        <v>1155</v>
      </c>
      <c r="B1180" s="31">
        <v>1</v>
      </c>
      <c r="C1180" s="71">
        <v>42318</v>
      </c>
      <c r="D1180" s="81">
        <v>19.59</v>
      </c>
      <c r="E1180">
        <f t="shared" si="30"/>
        <v>19.59</v>
      </c>
      <c r="F1180" t="s">
        <v>282</v>
      </c>
      <c r="G1180" t="s">
        <v>298</v>
      </c>
      <c r="H1180" s="71">
        <v>42318</v>
      </c>
      <c r="I1180" s="18" t="s">
        <v>749</v>
      </c>
      <c r="J1180" t="s">
        <v>13</v>
      </c>
    </row>
    <row r="1181" spans="1:10" x14ac:dyDescent="0.2">
      <c r="A1181" t="s">
        <v>755</v>
      </c>
      <c r="B1181" s="31">
        <v>1</v>
      </c>
      <c r="C1181" s="71">
        <v>42318</v>
      </c>
      <c r="D1181" s="81">
        <v>5.89</v>
      </c>
      <c r="E1181">
        <f t="shared" si="30"/>
        <v>5.89</v>
      </c>
      <c r="F1181" t="s">
        <v>279</v>
      </c>
      <c r="G1181" t="s">
        <v>298</v>
      </c>
      <c r="H1181" s="71">
        <v>42318</v>
      </c>
      <c r="I1181" s="18" t="s">
        <v>749</v>
      </c>
      <c r="J1181" t="s">
        <v>13</v>
      </c>
    </row>
    <row r="1182" spans="1:10" x14ac:dyDescent="0.2">
      <c r="A1182" t="s">
        <v>231</v>
      </c>
      <c r="B1182" s="31">
        <v>2.1749999999999998</v>
      </c>
      <c r="C1182" s="71">
        <v>42318</v>
      </c>
      <c r="D1182" s="81">
        <v>3.79</v>
      </c>
      <c r="E1182">
        <f t="shared" si="30"/>
        <v>8.2432499999999997</v>
      </c>
      <c r="F1182" t="s">
        <v>279</v>
      </c>
      <c r="G1182" t="s">
        <v>299</v>
      </c>
      <c r="H1182" s="71">
        <v>42318</v>
      </c>
      <c r="I1182" s="18" t="s">
        <v>749</v>
      </c>
      <c r="J1182" t="s">
        <v>13</v>
      </c>
    </row>
    <row r="1183" spans="1:10" x14ac:dyDescent="0.2">
      <c r="A1183" t="s">
        <v>232</v>
      </c>
      <c r="B1183" s="31">
        <v>1.7050000000000001</v>
      </c>
      <c r="C1183" s="71">
        <v>42318</v>
      </c>
      <c r="D1183" s="81">
        <v>4.29</v>
      </c>
      <c r="E1183">
        <f t="shared" si="30"/>
        <v>7.3144500000000008</v>
      </c>
      <c r="F1183" t="s">
        <v>279</v>
      </c>
      <c r="G1183" t="s">
        <v>299</v>
      </c>
      <c r="H1183" s="71">
        <v>42318</v>
      </c>
      <c r="I1183" s="18" t="s">
        <v>749</v>
      </c>
      <c r="J1183" t="s">
        <v>13</v>
      </c>
    </row>
    <row r="1184" spans="1:10" x14ac:dyDescent="0.2">
      <c r="A1184" t="s">
        <v>668</v>
      </c>
      <c r="B1184" s="31">
        <v>1</v>
      </c>
      <c r="C1184" s="71">
        <v>42318</v>
      </c>
      <c r="D1184" s="81">
        <v>4.6900000000000004</v>
      </c>
      <c r="E1184">
        <f t="shared" si="30"/>
        <v>4.6900000000000004</v>
      </c>
      <c r="F1184" t="s">
        <v>653</v>
      </c>
      <c r="G1184" t="s">
        <v>298</v>
      </c>
      <c r="H1184" s="71">
        <v>42318</v>
      </c>
      <c r="I1184" s="18" t="s">
        <v>749</v>
      </c>
      <c r="J1184" t="s">
        <v>13</v>
      </c>
    </row>
    <row r="1185" spans="1:10" x14ac:dyDescent="0.2">
      <c r="A1185" t="s">
        <v>253</v>
      </c>
      <c r="B1185" s="31">
        <v>1.5149999999999999</v>
      </c>
      <c r="C1185" s="71">
        <v>42318</v>
      </c>
      <c r="D1185" s="81">
        <v>2.89</v>
      </c>
      <c r="E1185">
        <f t="shared" si="30"/>
        <v>4.3783500000000002</v>
      </c>
      <c r="F1185" t="s">
        <v>279</v>
      </c>
      <c r="G1185" t="s">
        <v>299</v>
      </c>
      <c r="H1185" s="71">
        <v>42318</v>
      </c>
      <c r="I1185" s="18" t="s">
        <v>749</v>
      </c>
      <c r="J1185" t="s">
        <v>13</v>
      </c>
    </row>
    <row r="1186" spans="1:10" x14ac:dyDescent="0.2">
      <c r="A1186" t="s">
        <v>249</v>
      </c>
      <c r="B1186" s="31">
        <v>1</v>
      </c>
      <c r="C1186" s="71">
        <v>42318</v>
      </c>
      <c r="D1186" s="81">
        <v>7.19</v>
      </c>
      <c r="E1186">
        <f t="shared" si="30"/>
        <v>7.19</v>
      </c>
      <c r="F1186" t="s">
        <v>468</v>
      </c>
      <c r="G1186" t="s">
        <v>298</v>
      </c>
      <c r="H1186" s="71">
        <v>42318</v>
      </c>
      <c r="I1186" s="18" t="s">
        <v>749</v>
      </c>
      <c r="J1186" t="s">
        <v>13</v>
      </c>
    </row>
    <row r="1187" spans="1:10" x14ac:dyDescent="0.2">
      <c r="A1187" t="s">
        <v>389</v>
      </c>
      <c r="B1187" s="31">
        <v>1</v>
      </c>
      <c r="C1187" s="71">
        <v>42318</v>
      </c>
      <c r="D1187" s="81">
        <v>5.99</v>
      </c>
      <c r="E1187">
        <f t="shared" si="30"/>
        <v>5.99</v>
      </c>
      <c r="F1187" t="s">
        <v>657</v>
      </c>
      <c r="G1187" t="s">
        <v>298</v>
      </c>
      <c r="H1187" s="71">
        <v>42318</v>
      </c>
      <c r="I1187" s="18" t="s">
        <v>749</v>
      </c>
      <c r="J1187" t="s">
        <v>13</v>
      </c>
    </row>
    <row r="1188" spans="1:10" x14ac:dyDescent="0.2">
      <c r="A1188" t="s">
        <v>218</v>
      </c>
      <c r="B1188" s="31">
        <v>1</v>
      </c>
      <c r="C1188" s="71">
        <v>42318</v>
      </c>
      <c r="D1188" s="81">
        <v>2.59</v>
      </c>
      <c r="E1188">
        <f t="shared" si="30"/>
        <v>2.59</v>
      </c>
      <c r="F1188" t="s">
        <v>280</v>
      </c>
      <c r="G1188" t="s">
        <v>298</v>
      </c>
      <c r="H1188" s="71">
        <v>42318</v>
      </c>
      <c r="I1188" s="18" t="s">
        <v>749</v>
      </c>
      <c r="J1188" t="s">
        <v>13</v>
      </c>
    </row>
    <row r="1189" spans="1:10" x14ac:dyDescent="0.2">
      <c r="A1189" t="s">
        <v>573</v>
      </c>
      <c r="B1189" s="31">
        <v>1</v>
      </c>
      <c r="C1189" s="71">
        <v>42318</v>
      </c>
      <c r="D1189" s="81">
        <v>6.59</v>
      </c>
      <c r="E1189">
        <f t="shared" si="30"/>
        <v>6.59</v>
      </c>
      <c r="F1189" t="s">
        <v>657</v>
      </c>
      <c r="G1189" t="s">
        <v>298</v>
      </c>
      <c r="H1189" s="71">
        <v>42318</v>
      </c>
      <c r="I1189" s="18" t="s">
        <v>749</v>
      </c>
      <c r="J1189" t="s">
        <v>13</v>
      </c>
    </row>
    <row r="1190" spans="1:10" x14ac:dyDescent="0.2">
      <c r="A1190" t="s">
        <v>215</v>
      </c>
      <c r="B1190" s="31">
        <v>8</v>
      </c>
      <c r="C1190" s="71">
        <v>42318</v>
      </c>
      <c r="D1190" s="81">
        <v>4.13</v>
      </c>
      <c r="E1190">
        <f t="shared" si="30"/>
        <v>33.04</v>
      </c>
      <c r="F1190" t="s">
        <v>215</v>
      </c>
      <c r="G1190" t="s">
        <v>298</v>
      </c>
      <c r="H1190" s="71">
        <v>42318</v>
      </c>
      <c r="I1190" s="18" t="s">
        <v>749</v>
      </c>
      <c r="J1190" t="s">
        <v>13</v>
      </c>
    </row>
    <row r="1191" spans="1:10" x14ac:dyDescent="0.2">
      <c r="A1191" t="s">
        <v>292</v>
      </c>
      <c r="B1191" s="31">
        <v>1.1739999999999999</v>
      </c>
      <c r="C1191" s="71">
        <v>42318</v>
      </c>
      <c r="D1191" s="81">
        <v>29.99</v>
      </c>
      <c r="E1191">
        <f t="shared" si="30"/>
        <v>35.208259999999996</v>
      </c>
      <c r="F1191" t="s">
        <v>609</v>
      </c>
      <c r="G1191" t="s">
        <v>299</v>
      </c>
      <c r="H1191" s="71">
        <v>42318</v>
      </c>
      <c r="I1191" s="18" t="s">
        <v>749</v>
      </c>
      <c r="J1191" t="s">
        <v>13</v>
      </c>
    </row>
    <row r="1192" spans="1:10" x14ac:dyDescent="0.2">
      <c r="A1192" t="s">
        <v>289</v>
      </c>
      <c r="B1192" s="31">
        <v>1.1739999999999999</v>
      </c>
      <c r="C1192" s="71">
        <v>42318</v>
      </c>
      <c r="D1192" s="81">
        <v>11.55</v>
      </c>
      <c r="E1192">
        <f t="shared" si="30"/>
        <v>13.559699999999999</v>
      </c>
      <c r="F1192" t="s">
        <v>615</v>
      </c>
      <c r="G1192" t="s">
        <v>299</v>
      </c>
      <c r="H1192" s="71">
        <v>42318</v>
      </c>
      <c r="I1192" s="18" t="s">
        <v>749</v>
      </c>
      <c r="J1192" t="s">
        <v>13</v>
      </c>
    </row>
    <row r="1193" spans="1:10" x14ac:dyDescent="0.2">
      <c r="A1193" t="s">
        <v>1156</v>
      </c>
      <c r="B1193" s="31">
        <v>0.996</v>
      </c>
      <c r="C1193" s="71">
        <v>42318</v>
      </c>
      <c r="D1193" s="81">
        <v>19.510000000000002</v>
      </c>
      <c r="E1193">
        <f t="shared" si="30"/>
        <v>19.43196</v>
      </c>
      <c r="F1193" t="s">
        <v>609</v>
      </c>
      <c r="G1193" t="s">
        <v>299</v>
      </c>
      <c r="H1193" s="71">
        <v>42318</v>
      </c>
      <c r="I1193" s="18" t="s">
        <v>749</v>
      </c>
      <c r="J1193" t="s">
        <v>13</v>
      </c>
    </row>
    <row r="1194" spans="1:10" x14ac:dyDescent="0.2">
      <c r="A1194" t="s">
        <v>1157</v>
      </c>
      <c r="B1194" s="31">
        <v>1.0740000000000001</v>
      </c>
      <c r="C1194" s="71">
        <v>42318</v>
      </c>
      <c r="D1194" s="81">
        <v>19.690000000000001</v>
      </c>
      <c r="E1194">
        <f t="shared" si="30"/>
        <v>21.147060000000003</v>
      </c>
      <c r="F1194" t="s">
        <v>609</v>
      </c>
      <c r="G1194" t="s">
        <v>299</v>
      </c>
      <c r="H1194" s="71">
        <v>42318</v>
      </c>
      <c r="I1194" s="18" t="s">
        <v>749</v>
      </c>
      <c r="J1194" t="s">
        <v>13</v>
      </c>
    </row>
    <row r="1195" spans="1:10" x14ac:dyDescent="0.2">
      <c r="A1195" t="s">
        <v>723</v>
      </c>
      <c r="B1195" s="31">
        <v>1</v>
      </c>
      <c r="C1195" s="71">
        <v>42332</v>
      </c>
      <c r="D1195" s="81">
        <v>3.89</v>
      </c>
      <c r="E1195">
        <f t="shared" si="30"/>
        <v>3.89</v>
      </c>
      <c r="F1195" t="s">
        <v>737</v>
      </c>
      <c r="G1195" t="s">
        <v>298</v>
      </c>
      <c r="H1195" s="71">
        <v>42318</v>
      </c>
      <c r="I1195" s="18" t="s">
        <v>749</v>
      </c>
      <c r="J1195" t="s">
        <v>13</v>
      </c>
    </row>
    <row r="1196" spans="1:10" x14ac:dyDescent="0.2">
      <c r="A1196" t="s">
        <v>1147</v>
      </c>
      <c r="B1196" s="31">
        <v>1</v>
      </c>
      <c r="C1196" s="71">
        <v>42332</v>
      </c>
      <c r="D1196" s="81">
        <v>5.99</v>
      </c>
      <c r="E1196">
        <f t="shared" si="30"/>
        <v>5.99</v>
      </c>
      <c r="F1196" t="s">
        <v>657</v>
      </c>
      <c r="G1196" t="s">
        <v>298</v>
      </c>
      <c r="H1196" s="71">
        <v>42318</v>
      </c>
      <c r="I1196" s="18" t="s">
        <v>749</v>
      </c>
      <c r="J1196" t="s">
        <v>13</v>
      </c>
    </row>
    <row r="1197" spans="1:10" x14ac:dyDescent="0.2">
      <c r="A1197" t="s">
        <v>230</v>
      </c>
      <c r="B1197" s="31">
        <v>0.47599999999999998</v>
      </c>
      <c r="C1197" s="71">
        <v>42332</v>
      </c>
      <c r="D1197" s="81">
        <v>3.6</v>
      </c>
      <c r="E1197">
        <f t="shared" si="30"/>
        <v>1.7136</v>
      </c>
      <c r="F1197" t="s">
        <v>280</v>
      </c>
      <c r="G1197" t="s">
        <v>299</v>
      </c>
      <c r="H1197" s="71">
        <v>42318</v>
      </c>
      <c r="I1197" s="18" t="s">
        <v>749</v>
      </c>
      <c r="J1197" t="s">
        <v>13</v>
      </c>
    </row>
    <row r="1198" spans="1:10" x14ac:dyDescent="0.2">
      <c r="A1198" t="s">
        <v>658</v>
      </c>
      <c r="B1198" s="31">
        <v>1</v>
      </c>
      <c r="C1198" s="71">
        <v>42332</v>
      </c>
      <c r="D1198" s="81">
        <v>1.29</v>
      </c>
      <c r="E1198">
        <f t="shared" si="30"/>
        <v>1.29</v>
      </c>
      <c r="F1198" t="s">
        <v>208</v>
      </c>
      <c r="G1198" t="s">
        <v>298</v>
      </c>
      <c r="H1198" s="71">
        <v>42318</v>
      </c>
      <c r="I1198" s="18" t="s">
        <v>749</v>
      </c>
      <c r="J1198" t="s">
        <v>13</v>
      </c>
    </row>
    <row r="1199" spans="1:10" x14ac:dyDescent="0.2">
      <c r="A1199" t="s">
        <v>208</v>
      </c>
      <c r="B1199" s="31">
        <v>3</v>
      </c>
      <c r="C1199" s="71">
        <v>42332</v>
      </c>
      <c r="D1199" s="81">
        <v>3.49</v>
      </c>
      <c r="E1199">
        <f t="shared" si="30"/>
        <v>10.47</v>
      </c>
      <c r="F1199" t="s">
        <v>208</v>
      </c>
      <c r="G1199" t="s">
        <v>298</v>
      </c>
      <c r="H1199" s="71">
        <v>42318</v>
      </c>
      <c r="I1199" s="18" t="s">
        <v>749</v>
      </c>
      <c r="J1199" t="s">
        <v>13</v>
      </c>
    </row>
    <row r="1200" spans="1:10" x14ac:dyDescent="0.2">
      <c r="A1200" t="s">
        <v>226</v>
      </c>
      <c r="B1200" s="31">
        <v>1</v>
      </c>
      <c r="C1200" s="71">
        <v>42332</v>
      </c>
      <c r="D1200" s="81">
        <v>2.69</v>
      </c>
      <c r="E1200">
        <f t="shared" si="30"/>
        <v>2.69</v>
      </c>
      <c r="F1200" t="s">
        <v>226</v>
      </c>
      <c r="G1200" t="s">
        <v>298</v>
      </c>
      <c r="H1200" s="71">
        <v>42318</v>
      </c>
      <c r="I1200" s="18" t="s">
        <v>749</v>
      </c>
      <c r="J1200" t="s">
        <v>13</v>
      </c>
    </row>
    <row r="1201" spans="1:10" x14ac:dyDescent="0.2">
      <c r="A1201" t="s">
        <v>1159</v>
      </c>
      <c r="B1201" s="31">
        <v>1</v>
      </c>
      <c r="C1201" s="71">
        <v>42332</v>
      </c>
      <c r="D1201" s="81">
        <v>2.99</v>
      </c>
      <c r="E1201">
        <f t="shared" si="30"/>
        <v>2.99</v>
      </c>
      <c r="F1201" t="s">
        <v>465</v>
      </c>
      <c r="G1201" t="s">
        <v>298</v>
      </c>
      <c r="H1201" s="71">
        <v>42318</v>
      </c>
      <c r="I1201" s="18" t="s">
        <v>749</v>
      </c>
      <c r="J1201" t="s">
        <v>13</v>
      </c>
    </row>
    <row r="1202" spans="1:10" x14ac:dyDescent="0.2">
      <c r="A1202" t="s">
        <v>668</v>
      </c>
      <c r="B1202" s="31">
        <v>1</v>
      </c>
      <c r="C1202" s="71">
        <v>42332</v>
      </c>
      <c r="D1202" s="81">
        <v>4.6900000000000004</v>
      </c>
      <c r="E1202">
        <f t="shared" si="30"/>
        <v>4.6900000000000004</v>
      </c>
      <c r="F1202" t="s">
        <v>653</v>
      </c>
      <c r="G1202" t="s">
        <v>298</v>
      </c>
      <c r="H1202" s="71">
        <v>42318</v>
      </c>
      <c r="I1202" s="18" t="s">
        <v>749</v>
      </c>
      <c r="J1202" t="s">
        <v>13</v>
      </c>
    </row>
    <row r="1203" spans="1:10" x14ac:dyDescent="0.2">
      <c r="A1203" t="s">
        <v>302</v>
      </c>
      <c r="B1203" s="31">
        <v>0.495</v>
      </c>
      <c r="C1203" s="71">
        <v>42332</v>
      </c>
      <c r="D1203" s="81">
        <v>4.99</v>
      </c>
      <c r="E1203">
        <f t="shared" si="30"/>
        <v>2.4700500000000001</v>
      </c>
      <c r="F1203" t="s">
        <v>279</v>
      </c>
      <c r="G1203" t="s">
        <v>299</v>
      </c>
      <c r="H1203" s="71">
        <v>42318</v>
      </c>
      <c r="I1203" s="18" t="s">
        <v>749</v>
      </c>
      <c r="J1203" t="s">
        <v>13</v>
      </c>
    </row>
    <row r="1204" spans="1:10" x14ac:dyDescent="0.2">
      <c r="A1204" t="s">
        <v>1153</v>
      </c>
      <c r="B1204" s="31">
        <v>0.41</v>
      </c>
      <c r="C1204" s="71">
        <v>42332</v>
      </c>
      <c r="D1204" s="81">
        <v>4.99</v>
      </c>
      <c r="E1204">
        <f t="shared" si="30"/>
        <v>2.0459000000000001</v>
      </c>
      <c r="F1204" t="s">
        <v>280</v>
      </c>
      <c r="G1204" t="s">
        <v>299</v>
      </c>
      <c r="H1204" s="71">
        <v>42318</v>
      </c>
      <c r="I1204" s="18" t="s">
        <v>749</v>
      </c>
      <c r="J1204" t="s">
        <v>13</v>
      </c>
    </row>
    <row r="1205" spans="1:10" x14ac:dyDescent="0.2">
      <c r="A1205" t="s">
        <v>409</v>
      </c>
      <c r="B1205" s="31">
        <v>9.4E-2</v>
      </c>
      <c r="C1205" s="71">
        <v>42332</v>
      </c>
      <c r="D1205" s="81">
        <v>12.79</v>
      </c>
      <c r="E1205">
        <f t="shared" si="30"/>
        <v>1.2022599999999999</v>
      </c>
      <c r="F1205" t="s">
        <v>653</v>
      </c>
      <c r="G1205" t="s">
        <v>299</v>
      </c>
      <c r="H1205" s="71">
        <v>42318</v>
      </c>
      <c r="I1205" s="18" t="s">
        <v>749</v>
      </c>
      <c r="J1205" t="s">
        <v>13</v>
      </c>
    </row>
    <row r="1206" spans="1:10" x14ac:dyDescent="0.2">
      <c r="A1206" t="s">
        <v>295</v>
      </c>
      <c r="B1206" s="31">
        <v>0.11</v>
      </c>
      <c r="C1206" s="71">
        <v>42332</v>
      </c>
      <c r="D1206" s="81">
        <v>26.99</v>
      </c>
      <c r="E1206">
        <f t="shared" si="30"/>
        <v>2.9688999999999997</v>
      </c>
      <c r="F1206" t="s">
        <v>653</v>
      </c>
      <c r="G1206" t="s">
        <v>299</v>
      </c>
      <c r="H1206" s="71">
        <v>42318</v>
      </c>
      <c r="I1206" s="18" t="s">
        <v>749</v>
      </c>
      <c r="J1206" t="s">
        <v>13</v>
      </c>
    </row>
    <row r="1207" spans="1:10" x14ac:dyDescent="0.2">
      <c r="A1207" t="s">
        <v>614</v>
      </c>
      <c r="B1207" s="31">
        <v>1</v>
      </c>
      <c r="C1207" s="71">
        <v>42332</v>
      </c>
      <c r="D1207" s="81">
        <v>10.69</v>
      </c>
      <c r="E1207">
        <f t="shared" si="30"/>
        <v>10.69</v>
      </c>
      <c r="F1207" t="s">
        <v>614</v>
      </c>
      <c r="G1207" t="s">
        <v>298</v>
      </c>
      <c r="H1207" s="71">
        <v>42318</v>
      </c>
      <c r="I1207" s="18" t="s">
        <v>749</v>
      </c>
      <c r="J1207" t="s">
        <v>13</v>
      </c>
    </row>
    <row r="1208" spans="1:10" x14ac:dyDescent="0.2">
      <c r="A1208" t="s">
        <v>465</v>
      </c>
      <c r="B1208" s="31">
        <v>1</v>
      </c>
      <c r="C1208" s="71">
        <v>42332</v>
      </c>
      <c r="D1208" s="81">
        <v>3.19</v>
      </c>
      <c r="E1208">
        <f t="shared" si="30"/>
        <v>3.19</v>
      </c>
      <c r="F1208" t="s">
        <v>465</v>
      </c>
      <c r="G1208" t="s">
        <v>298</v>
      </c>
      <c r="H1208" s="71">
        <v>42318</v>
      </c>
      <c r="I1208" s="18" t="s">
        <v>749</v>
      </c>
      <c r="J1208" t="s">
        <v>13</v>
      </c>
    </row>
    <row r="1209" spans="1:10" x14ac:dyDescent="0.2">
      <c r="A1209" t="s">
        <v>352</v>
      </c>
      <c r="B1209" s="31">
        <v>1</v>
      </c>
      <c r="C1209" s="71">
        <v>42332</v>
      </c>
      <c r="D1209" s="81">
        <v>7.59</v>
      </c>
      <c r="E1209">
        <f t="shared" si="30"/>
        <v>7.59</v>
      </c>
      <c r="F1209" t="s">
        <v>653</v>
      </c>
      <c r="G1209" t="s">
        <v>298</v>
      </c>
      <c r="H1209" s="71">
        <v>42318</v>
      </c>
      <c r="I1209" s="18" t="s">
        <v>749</v>
      </c>
      <c r="J1209" t="s">
        <v>13</v>
      </c>
    </row>
    <row r="1210" spans="1:10" x14ac:dyDescent="0.2">
      <c r="A1210" t="s">
        <v>1158</v>
      </c>
      <c r="B1210" s="31">
        <v>1</v>
      </c>
      <c r="C1210" s="71">
        <v>42332</v>
      </c>
      <c r="D1210" s="81">
        <v>3.69</v>
      </c>
      <c r="E1210">
        <f t="shared" si="30"/>
        <v>3.69</v>
      </c>
      <c r="F1210" t="s">
        <v>280</v>
      </c>
      <c r="G1210" t="s">
        <v>298</v>
      </c>
      <c r="H1210" s="71">
        <v>42318</v>
      </c>
      <c r="I1210" s="18" t="s">
        <v>749</v>
      </c>
      <c r="J1210" t="s">
        <v>13</v>
      </c>
    </row>
    <row r="1211" spans="1:10" x14ac:dyDescent="0.2">
      <c r="A1211" t="s">
        <v>215</v>
      </c>
      <c r="B1211" s="31">
        <v>12</v>
      </c>
      <c r="C1211" s="71">
        <v>42332</v>
      </c>
      <c r="D1211" s="81">
        <v>2.79</v>
      </c>
      <c r="E1211">
        <f t="shared" si="30"/>
        <v>33.480000000000004</v>
      </c>
      <c r="F1211" t="s">
        <v>215</v>
      </c>
      <c r="G1211" t="s">
        <v>298</v>
      </c>
      <c r="H1211" s="71">
        <v>42318</v>
      </c>
      <c r="I1211" s="18" t="s">
        <v>749</v>
      </c>
      <c r="J1211" t="s">
        <v>13</v>
      </c>
    </row>
    <row r="1212" spans="1:10" x14ac:dyDescent="0.2">
      <c r="A1212" t="s">
        <v>237</v>
      </c>
      <c r="B1212" s="31">
        <v>2</v>
      </c>
      <c r="C1212" s="71">
        <v>42332</v>
      </c>
      <c r="D1212" s="81">
        <v>5.29</v>
      </c>
      <c r="E1212">
        <f t="shared" si="30"/>
        <v>10.58</v>
      </c>
      <c r="F1212" t="s">
        <v>653</v>
      </c>
      <c r="G1212" t="s">
        <v>298</v>
      </c>
      <c r="H1212" s="71">
        <v>42318</v>
      </c>
      <c r="I1212" s="18" t="s">
        <v>749</v>
      </c>
      <c r="J1212" t="s">
        <v>13</v>
      </c>
    </row>
    <row r="1213" spans="1:10" x14ac:dyDescent="0.2">
      <c r="A1213" t="s">
        <v>249</v>
      </c>
      <c r="B1213" s="31">
        <v>1</v>
      </c>
      <c r="C1213" s="71">
        <v>42332</v>
      </c>
      <c r="D1213" s="81">
        <v>7.19</v>
      </c>
      <c r="E1213">
        <f t="shared" si="30"/>
        <v>7.19</v>
      </c>
      <c r="F1213" t="s">
        <v>468</v>
      </c>
      <c r="G1213" t="s">
        <v>298</v>
      </c>
      <c r="H1213" s="71">
        <v>42318</v>
      </c>
      <c r="I1213" s="18" t="s">
        <v>749</v>
      </c>
      <c r="J1213" t="s">
        <v>13</v>
      </c>
    </row>
    <row r="1214" spans="1:10" x14ac:dyDescent="0.2">
      <c r="A1214" t="s">
        <v>567</v>
      </c>
      <c r="B1214" s="31">
        <v>0.66</v>
      </c>
      <c r="C1214" s="71">
        <v>42332</v>
      </c>
      <c r="D1214" s="81">
        <v>5.59</v>
      </c>
      <c r="E1214">
        <f t="shared" si="30"/>
        <v>3.6894</v>
      </c>
      <c r="F1214" t="s">
        <v>279</v>
      </c>
      <c r="G1214" t="s">
        <v>299</v>
      </c>
      <c r="H1214" s="71">
        <v>42318</v>
      </c>
      <c r="I1214" s="18" t="s">
        <v>749</v>
      </c>
      <c r="J1214" t="s">
        <v>13</v>
      </c>
    </row>
    <row r="1215" spans="1:10" x14ac:dyDescent="0.2">
      <c r="A1215" t="s">
        <v>285</v>
      </c>
      <c r="B1215" s="31">
        <v>1.5580000000000001</v>
      </c>
      <c r="C1215" s="71">
        <v>42332</v>
      </c>
      <c r="D1215" s="81">
        <v>39.090000000000003</v>
      </c>
      <c r="E1215">
        <f t="shared" si="30"/>
        <v>60.902220000000007</v>
      </c>
      <c r="F1215" t="s">
        <v>609</v>
      </c>
      <c r="G1215" t="s">
        <v>299</v>
      </c>
      <c r="H1215" s="71">
        <v>42318</v>
      </c>
      <c r="I1215" s="18" t="s">
        <v>749</v>
      </c>
      <c r="J1215" t="s">
        <v>13</v>
      </c>
    </row>
    <row r="1216" spans="1:10" x14ac:dyDescent="0.2">
      <c r="A1216" t="s">
        <v>1156</v>
      </c>
      <c r="B1216" s="31">
        <v>1.0740000000000001</v>
      </c>
      <c r="C1216" s="71">
        <v>42332</v>
      </c>
      <c r="D1216" s="81">
        <v>19.510000000000002</v>
      </c>
      <c r="E1216">
        <f t="shared" si="30"/>
        <v>20.953740000000003</v>
      </c>
      <c r="F1216" t="s">
        <v>609</v>
      </c>
      <c r="G1216" t="s">
        <v>299</v>
      </c>
      <c r="H1216" s="71">
        <v>42318</v>
      </c>
      <c r="I1216" s="18" t="s">
        <v>749</v>
      </c>
      <c r="J1216" t="s">
        <v>13</v>
      </c>
    </row>
    <row r="1217" spans="1:10" x14ac:dyDescent="0.2">
      <c r="A1217" t="s">
        <v>442</v>
      </c>
      <c r="B1217" s="31">
        <v>4</v>
      </c>
      <c r="C1217" s="71">
        <v>42332</v>
      </c>
      <c r="D1217" s="81">
        <v>1.99</v>
      </c>
      <c r="E1217">
        <f t="shared" si="30"/>
        <v>7.96</v>
      </c>
      <c r="F1217" t="s">
        <v>322</v>
      </c>
      <c r="G1217" t="s">
        <v>298</v>
      </c>
      <c r="H1217" s="71">
        <v>42318</v>
      </c>
      <c r="I1217" s="18" t="s">
        <v>749</v>
      </c>
      <c r="J1217" t="s">
        <v>13</v>
      </c>
    </row>
    <row r="1218" spans="1:10" x14ac:dyDescent="0.2">
      <c r="A1218" t="s">
        <v>244</v>
      </c>
      <c r="B1218" s="31">
        <v>3</v>
      </c>
      <c r="C1218" s="71">
        <v>42332</v>
      </c>
      <c r="D1218" s="81">
        <v>1.49</v>
      </c>
      <c r="E1218">
        <f t="shared" si="30"/>
        <v>4.47</v>
      </c>
      <c r="F1218" t="s">
        <v>282</v>
      </c>
      <c r="G1218" t="s">
        <v>298</v>
      </c>
      <c r="H1218" s="71">
        <v>42318</v>
      </c>
      <c r="I1218" s="18" t="s">
        <v>749</v>
      </c>
      <c r="J1218" t="s">
        <v>13</v>
      </c>
    </row>
    <row r="1219" spans="1:10" x14ac:dyDescent="0.2">
      <c r="A1219" t="s">
        <v>320</v>
      </c>
      <c r="B1219" s="31">
        <v>1</v>
      </c>
      <c r="C1219" s="71">
        <v>42332</v>
      </c>
      <c r="D1219" s="81">
        <v>14.43</v>
      </c>
      <c r="E1219">
        <f t="shared" si="30"/>
        <v>14.43</v>
      </c>
      <c r="F1219" t="s">
        <v>322</v>
      </c>
      <c r="G1219" t="s">
        <v>298</v>
      </c>
      <c r="H1219" s="71">
        <v>42318</v>
      </c>
      <c r="I1219" s="18" t="s">
        <v>749</v>
      </c>
      <c r="J1219" t="s">
        <v>13</v>
      </c>
    </row>
    <row r="1220" spans="1:10" x14ac:dyDescent="0.2">
      <c r="A1220" t="s">
        <v>786</v>
      </c>
      <c r="B1220" s="31">
        <v>1</v>
      </c>
      <c r="C1220" s="71">
        <v>42332</v>
      </c>
      <c r="D1220" s="81">
        <v>2.09</v>
      </c>
      <c r="E1220">
        <f t="shared" si="30"/>
        <v>2.09</v>
      </c>
      <c r="F1220" t="s">
        <v>322</v>
      </c>
      <c r="G1220" t="s">
        <v>298</v>
      </c>
      <c r="H1220" s="71">
        <v>42318</v>
      </c>
      <c r="I1220" s="18" t="s">
        <v>749</v>
      </c>
      <c r="J1220" t="s">
        <v>13</v>
      </c>
    </row>
    <row r="1221" spans="1:10" x14ac:dyDescent="0.2">
      <c r="A1221" t="s">
        <v>242</v>
      </c>
      <c r="B1221" s="31">
        <v>1</v>
      </c>
      <c r="C1221" s="71">
        <v>42332</v>
      </c>
      <c r="D1221" s="81">
        <v>10.49</v>
      </c>
      <c r="E1221">
        <f t="shared" si="30"/>
        <v>10.49</v>
      </c>
      <c r="F1221" t="s">
        <v>282</v>
      </c>
      <c r="G1221" t="s">
        <v>298</v>
      </c>
      <c r="H1221" s="71">
        <v>42318</v>
      </c>
      <c r="I1221" s="18" t="s">
        <v>749</v>
      </c>
      <c r="J1221" t="s">
        <v>13</v>
      </c>
    </row>
    <row r="1222" spans="1:10" x14ac:dyDescent="0.2">
      <c r="A1222" t="s">
        <v>243</v>
      </c>
      <c r="B1222" s="31">
        <v>1</v>
      </c>
      <c r="C1222" s="71">
        <v>42332</v>
      </c>
      <c r="D1222" s="81">
        <v>21.98</v>
      </c>
      <c r="E1222">
        <f t="shared" si="30"/>
        <v>21.98</v>
      </c>
      <c r="F1222" t="s">
        <v>282</v>
      </c>
      <c r="G1222" t="s">
        <v>298</v>
      </c>
      <c r="H1222" s="71">
        <v>42318</v>
      </c>
      <c r="I1222" s="18" t="s">
        <v>749</v>
      </c>
      <c r="J1222" t="s">
        <v>13</v>
      </c>
    </row>
    <row r="1223" spans="1:10" x14ac:dyDescent="0.2">
      <c r="A1223" t="s">
        <v>248</v>
      </c>
      <c r="B1223" s="31">
        <v>1</v>
      </c>
      <c r="C1223" s="71">
        <v>42332</v>
      </c>
      <c r="D1223" s="81">
        <v>9.99</v>
      </c>
      <c r="E1223">
        <f t="shared" si="30"/>
        <v>9.99</v>
      </c>
      <c r="F1223" t="s">
        <v>282</v>
      </c>
      <c r="G1223" t="s">
        <v>298</v>
      </c>
      <c r="H1223" s="71">
        <v>42318</v>
      </c>
      <c r="I1223" s="18" t="s">
        <v>749</v>
      </c>
      <c r="J1223" t="s">
        <v>13</v>
      </c>
    </row>
    <row r="1224" spans="1:10" x14ac:dyDescent="0.2">
      <c r="A1224" t="s">
        <v>241</v>
      </c>
      <c r="B1224" s="31">
        <v>1</v>
      </c>
      <c r="C1224" s="71">
        <v>42332</v>
      </c>
      <c r="D1224" s="81">
        <v>4.1900000000000004</v>
      </c>
      <c r="E1224">
        <f t="shared" si="30"/>
        <v>4.1900000000000004</v>
      </c>
      <c r="F1224" t="s">
        <v>282</v>
      </c>
      <c r="G1224" t="s">
        <v>298</v>
      </c>
      <c r="H1224" s="71">
        <v>42318</v>
      </c>
      <c r="I1224" s="18" t="s">
        <v>749</v>
      </c>
      <c r="J1224" t="s">
        <v>13</v>
      </c>
    </row>
    <row r="1225" spans="1:10" x14ac:dyDescent="0.2">
      <c r="A1225" t="s">
        <v>786</v>
      </c>
      <c r="B1225" s="31">
        <v>2</v>
      </c>
      <c r="C1225" s="71">
        <v>42332</v>
      </c>
      <c r="D1225">
        <v>3.79</v>
      </c>
      <c r="E1225">
        <f t="shared" si="30"/>
        <v>7.58</v>
      </c>
      <c r="F1225" t="s">
        <v>322</v>
      </c>
      <c r="G1225" t="s">
        <v>298</v>
      </c>
      <c r="H1225" s="71">
        <v>42318</v>
      </c>
      <c r="I1225" s="18" t="s">
        <v>749</v>
      </c>
      <c r="J1225" t="s">
        <v>13</v>
      </c>
    </row>
    <row r="1226" spans="1:10" x14ac:dyDescent="0.2">
      <c r="A1226" t="s">
        <v>312</v>
      </c>
      <c r="B1226" s="31">
        <v>1</v>
      </c>
      <c r="C1226" s="71">
        <v>42338</v>
      </c>
      <c r="D1226" s="81">
        <v>4.6900000000000004</v>
      </c>
      <c r="E1226">
        <f t="shared" si="30"/>
        <v>4.6900000000000004</v>
      </c>
      <c r="F1226" t="s">
        <v>280</v>
      </c>
      <c r="G1226" t="s">
        <v>298</v>
      </c>
      <c r="H1226" s="71">
        <v>42318</v>
      </c>
      <c r="I1226" s="18" t="s">
        <v>749</v>
      </c>
      <c r="J1226" t="s">
        <v>13</v>
      </c>
    </row>
    <row r="1227" spans="1:10" x14ac:dyDescent="0.2">
      <c r="A1227" t="s">
        <v>614</v>
      </c>
      <c r="B1227" s="31">
        <v>1</v>
      </c>
      <c r="C1227" s="71">
        <v>42338</v>
      </c>
      <c r="D1227" s="81">
        <v>10.69</v>
      </c>
      <c r="E1227">
        <f t="shared" si="30"/>
        <v>10.69</v>
      </c>
      <c r="F1227" t="s">
        <v>614</v>
      </c>
      <c r="G1227" t="s">
        <v>298</v>
      </c>
      <c r="H1227" s="71">
        <v>42318</v>
      </c>
      <c r="I1227" s="18" t="s">
        <v>749</v>
      </c>
      <c r="J1227" t="s">
        <v>13</v>
      </c>
    </row>
    <row r="1228" spans="1:10" x14ac:dyDescent="0.2">
      <c r="A1228" t="s">
        <v>1160</v>
      </c>
      <c r="B1228" s="31">
        <v>0.184</v>
      </c>
      <c r="C1228" s="71">
        <v>42338</v>
      </c>
      <c r="D1228" s="81">
        <v>69.489999999999995</v>
      </c>
      <c r="E1228">
        <f t="shared" si="30"/>
        <v>12.786159999999999</v>
      </c>
      <c r="F1228" t="s">
        <v>653</v>
      </c>
      <c r="G1228" t="s">
        <v>299</v>
      </c>
      <c r="H1228" s="71">
        <v>42318</v>
      </c>
      <c r="I1228" s="18" t="s">
        <v>749</v>
      </c>
      <c r="J1228" t="s">
        <v>13</v>
      </c>
    </row>
    <row r="1229" spans="1:10" x14ac:dyDescent="0.2">
      <c r="A1229" t="s">
        <v>1161</v>
      </c>
      <c r="B1229" s="31">
        <v>0.17499999999999999</v>
      </c>
      <c r="C1229" s="71">
        <v>42338</v>
      </c>
      <c r="D1229" s="81">
        <v>77.989999999999995</v>
      </c>
      <c r="E1229">
        <f t="shared" si="30"/>
        <v>13.648249999999999</v>
      </c>
      <c r="F1229" t="s">
        <v>653</v>
      </c>
      <c r="G1229" t="s">
        <v>299</v>
      </c>
      <c r="H1229" s="71">
        <v>42318</v>
      </c>
      <c r="I1229" s="18" t="s">
        <v>749</v>
      </c>
      <c r="J1229" t="s">
        <v>13</v>
      </c>
    </row>
    <row r="1230" spans="1:10" x14ac:dyDescent="0.2">
      <c r="A1230" t="s">
        <v>468</v>
      </c>
      <c r="B1230" s="31">
        <v>1</v>
      </c>
      <c r="C1230" s="71">
        <v>42338</v>
      </c>
      <c r="D1230" s="81">
        <v>7.19</v>
      </c>
      <c r="E1230">
        <f t="shared" si="30"/>
        <v>7.19</v>
      </c>
      <c r="F1230" t="s">
        <v>468</v>
      </c>
      <c r="G1230" t="s">
        <v>298</v>
      </c>
      <c r="H1230" s="71">
        <v>42318</v>
      </c>
      <c r="I1230" s="18" t="s">
        <v>749</v>
      </c>
      <c r="J1230" t="s">
        <v>13</v>
      </c>
    </row>
    <row r="1231" spans="1:10" x14ac:dyDescent="0.2">
      <c r="A1231" t="s">
        <v>303</v>
      </c>
      <c r="B1231" s="31">
        <v>1.9350000000000001</v>
      </c>
      <c r="C1231" s="71">
        <v>42338</v>
      </c>
      <c r="D1231" s="81">
        <v>2.59</v>
      </c>
      <c r="E1231">
        <f t="shared" si="30"/>
        <v>5.0116499999999995</v>
      </c>
      <c r="F1231" t="s">
        <v>279</v>
      </c>
      <c r="G1231" t="s">
        <v>299</v>
      </c>
      <c r="H1231" s="71">
        <v>42318</v>
      </c>
      <c r="I1231" s="18" t="s">
        <v>749</v>
      </c>
      <c r="J1231" t="s">
        <v>13</v>
      </c>
    </row>
    <row r="1232" spans="1:10" x14ac:dyDescent="0.2">
      <c r="A1232" t="s">
        <v>1162</v>
      </c>
      <c r="B1232" s="31">
        <v>0.15</v>
      </c>
      <c r="C1232" s="71">
        <v>42338</v>
      </c>
      <c r="D1232" s="81">
        <v>16.489999999999998</v>
      </c>
      <c r="E1232">
        <f t="shared" si="30"/>
        <v>2.4734999999999996</v>
      </c>
      <c r="F1232" t="s">
        <v>279</v>
      </c>
      <c r="G1232" t="s">
        <v>299</v>
      </c>
      <c r="H1232" s="71">
        <v>42318</v>
      </c>
      <c r="I1232" s="18" t="s">
        <v>749</v>
      </c>
      <c r="J1232" t="s">
        <v>13</v>
      </c>
    </row>
    <row r="1233" spans="1:10" x14ac:dyDescent="0.2">
      <c r="A1233" t="s">
        <v>1163</v>
      </c>
      <c r="B1233" s="31">
        <v>0.185</v>
      </c>
      <c r="C1233" s="71">
        <v>42338</v>
      </c>
      <c r="D1233" s="81">
        <v>23.99</v>
      </c>
      <c r="E1233">
        <f t="shared" si="30"/>
        <v>4.4381499999999994</v>
      </c>
      <c r="F1233" t="s">
        <v>1166</v>
      </c>
      <c r="G1233" t="s">
        <v>299</v>
      </c>
      <c r="H1233" s="71">
        <v>42318</v>
      </c>
      <c r="I1233" s="18" t="s">
        <v>749</v>
      </c>
      <c r="J1233" t="s">
        <v>13</v>
      </c>
    </row>
    <row r="1234" spans="1:10" x14ac:dyDescent="0.2">
      <c r="A1234" t="s">
        <v>230</v>
      </c>
      <c r="B1234" s="31">
        <v>0.315</v>
      </c>
      <c r="C1234" s="71">
        <v>42338</v>
      </c>
      <c r="D1234" s="81">
        <v>7.59</v>
      </c>
      <c r="E1234">
        <f t="shared" si="30"/>
        <v>2.3908499999999999</v>
      </c>
      <c r="F1234" t="s">
        <v>280</v>
      </c>
      <c r="G1234" t="s">
        <v>299</v>
      </c>
      <c r="H1234" s="71">
        <v>42318</v>
      </c>
      <c r="I1234" s="18" t="s">
        <v>749</v>
      </c>
      <c r="J1234" t="s">
        <v>13</v>
      </c>
    </row>
    <row r="1235" spans="1:10" x14ac:dyDescent="0.2">
      <c r="A1235" t="s">
        <v>307</v>
      </c>
      <c r="B1235" s="31">
        <v>0.66500000000000004</v>
      </c>
      <c r="C1235" s="71">
        <v>42338</v>
      </c>
      <c r="D1235" s="81">
        <v>3.99</v>
      </c>
      <c r="E1235">
        <f t="shared" si="30"/>
        <v>2.6533500000000001</v>
      </c>
      <c r="F1235" t="s">
        <v>280</v>
      </c>
      <c r="G1235" t="s">
        <v>299</v>
      </c>
      <c r="H1235" s="71">
        <v>42318</v>
      </c>
      <c r="I1235" s="18" t="s">
        <v>749</v>
      </c>
      <c r="J1235" t="s">
        <v>13</v>
      </c>
    </row>
    <row r="1236" spans="1:10" x14ac:dyDescent="0.2">
      <c r="A1236" t="s">
        <v>301</v>
      </c>
      <c r="B1236" s="31">
        <v>0.29499999999999998</v>
      </c>
      <c r="C1236" s="71">
        <v>42338</v>
      </c>
      <c r="D1236" s="81">
        <v>7.59</v>
      </c>
      <c r="E1236">
        <f t="shared" si="30"/>
        <v>2.2390499999999998</v>
      </c>
      <c r="F1236" t="s">
        <v>280</v>
      </c>
      <c r="G1236" t="s">
        <v>299</v>
      </c>
      <c r="H1236" s="71">
        <v>42318</v>
      </c>
      <c r="I1236" s="18" t="s">
        <v>749</v>
      </c>
      <c r="J1236" t="s">
        <v>13</v>
      </c>
    </row>
    <row r="1237" spans="1:10" x14ac:dyDescent="0.2">
      <c r="A1237" t="s">
        <v>300</v>
      </c>
      <c r="B1237" s="31">
        <v>0.245</v>
      </c>
      <c r="C1237" s="71">
        <v>42338</v>
      </c>
      <c r="D1237" s="81">
        <v>6.39</v>
      </c>
      <c r="E1237">
        <f t="shared" si="30"/>
        <v>1.56555</v>
      </c>
      <c r="F1237" t="s">
        <v>280</v>
      </c>
      <c r="G1237" t="s">
        <v>299</v>
      </c>
      <c r="H1237" s="71">
        <v>42318</v>
      </c>
      <c r="I1237" s="18" t="s">
        <v>749</v>
      </c>
      <c r="J1237" t="s">
        <v>13</v>
      </c>
    </row>
    <row r="1238" spans="1:10" x14ac:dyDescent="0.2">
      <c r="A1238" t="s">
        <v>1164</v>
      </c>
      <c r="B1238" s="31">
        <v>0.23499999999999999</v>
      </c>
      <c r="C1238" s="71">
        <v>42338</v>
      </c>
      <c r="D1238" s="81">
        <v>49.99</v>
      </c>
      <c r="E1238">
        <f t="shared" si="30"/>
        <v>11.74765</v>
      </c>
      <c r="F1238" t="s">
        <v>1166</v>
      </c>
      <c r="G1238" t="s">
        <v>299</v>
      </c>
      <c r="H1238" s="71">
        <v>42318</v>
      </c>
      <c r="I1238" s="18" t="s">
        <v>749</v>
      </c>
      <c r="J1238" t="s">
        <v>13</v>
      </c>
    </row>
    <row r="1239" spans="1:10" x14ac:dyDescent="0.2">
      <c r="A1239" t="s">
        <v>794</v>
      </c>
      <c r="B1239" s="31">
        <v>0.7</v>
      </c>
      <c r="C1239" s="71">
        <v>42338</v>
      </c>
      <c r="D1239" s="81">
        <v>3.99</v>
      </c>
      <c r="E1239">
        <f t="shared" si="30"/>
        <v>2.7930000000000001</v>
      </c>
      <c r="F1239" t="s">
        <v>280</v>
      </c>
      <c r="G1239" t="s">
        <v>299</v>
      </c>
      <c r="H1239" s="71">
        <v>42318</v>
      </c>
      <c r="I1239" s="18" t="s">
        <v>749</v>
      </c>
      <c r="J1239" t="s">
        <v>13</v>
      </c>
    </row>
    <row r="1240" spans="1:10" x14ac:dyDescent="0.2">
      <c r="A1240" t="s">
        <v>304</v>
      </c>
      <c r="B1240" s="31">
        <v>1</v>
      </c>
      <c r="C1240" s="71">
        <v>42338</v>
      </c>
      <c r="D1240" s="81">
        <v>4.79</v>
      </c>
      <c r="E1240">
        <f t="shared" si="30"/>
        <v>4.79</v>
      </c>
      <c r="F1240" t="s">
        <v>280</v>
      </c>
      <c r="G1240" t="s">
        <v>299</v>
      </c>
      <c r="H1240" s="71">
        <v>42318</v>
      </c>
      <c r="I1240" s="18" t="s">
        <v>749</v>
      </c>
      <c r="J1240" t="s">
        <v>13</v>
      </c>
    </row>
    <row r="1241" spans="1:10" x14ac:dyDescent="0.2">
      <c r="A1241" t="s">
        <v>567</v>
      </c>
      <c r="B1241" s="31">
        <v>0.47499999999999998</v>
      </c>
      <c r="C1241" s="71">
        <v>42338</v>
      </c>
      <c r="D1241" s="81">
        <v>6.69</v>
      </c>
      <c r="E1241">
        <f t="shared" si="30"/>
        <v>3.1777500000000001</v>
      </c>
      <c r="F1241" t="s">
        <v>279</v>
      </c>
      <c r="G1241" t="s">
        <v>299</v>
      </c>
      <c r="H1241" s="71">
        <v>42318</v>
      </c>
      <c r="I1241" s="18" t="s">
        <v>749</v>
      </c>
      <c r="J1241" t="s">
        <v>13</v>
      </c>
    </row>
    <row r="1242" spans="1:10" x14ac:dyDescent="0.2">
      <c r="A1242" t="s">
        <v>308</v>
      </c>
      <c r="B1242" s="31">
        <v>1.18</v>
      </c>
      <c r="C1242" s="71">
        <v>42338</v>
      </c>
      <c r="D1242" s="81">
        <v>8.99</v>
      </c>
      <c r="E1242">
        <f t="shared" si="30"/>
        <v>10.6082</v>
      </c>
      <c r="F1242" t="s">
        <v>279</v>
      </c>
      <c r="G1242" t="s">
        <v>299</v>
      </c>
      <c r="H1242" s="71">
        <v>42318</v>
      </c>
      <c r="I1242" s="18" t="s">
        <v>749</v>
      </c>
      <c r="J1242" t="s">
        <v>13</v>
      </c>
    </row>
    <row r="1243" spans="1:10" x14ac:dyDescent="0.2">
      <c r="A1243" t="s">
        <v>253</v>
      </c>
      <c r="B1243" s="31">
        <v>1.405</v>
      </c>
      <c r="C1243" s="71">
        <v>42338</v>
      </c>
      <c r="D1243" s="81">
        <v>3.79</v>
      </c>
      <c r="E1243">
        <f t="shared" si="30"/>
        <v>5.3249500000000003</v>
      </c>
      <c r="F1243" t="s">
        <v>279</v>
      </c>
      <c r="G1243" t="s">
        <v>299</v>
      </c>
      <c r="H1243" s="71">
        <v>42318</v>
      </c>
      <c r="I1243" s="18" t="s">
        <v>749</v>
      </c>
      <c r="J1243" t="s">
        <v>13</v>
      </c>
    </row>
    <row r="1244" spans="1:10" x14ac:dyDescent="0.2">
      <c r="A1244" t="s">
        <v>1165</v>
      </c>
      <c r="B1244" s="31">
        <v>1</v>
      </c>
      <c r="C1244" s="71">
        <v>42338</v>
      </c>
      <c r="D1244" s="81">
        <v>4.6900000000000004</v>
      </c>
      <c r="E1244">
        <f t="shared" si="30"/>
        <v>4.6900000000000004</v>
      </c>
      <c r="F1244" t="s">
        <v>280</v>
      </c>
      <c r="G1244" t="s">
        <v>298</v>
      </c>
      <c r="H1244" s="71">
        <v>42318</v>
      </c>
      <c r="I1244" s="18" t="s">
        <v>749</v>
      </c>
      <c r="J1244" t="s">
        <v>13</v>
      </c>
    </row>
    <row r="1245" spans="1:10" x14ac:dyDescent="0.2">
      <c r="A1245" t="s">
        <v>218</v>
      </c>
      <c r="B1245" s="31">
        <v>1</v>
      </c>
      <c r="C1245" s="71">
        <v>42338</v>
      </c>
      <c r="D1245" s="81">
        <v>4.6900000000000004</v>
      </c>
      <c r="E1245">
        <f t="shared" si="30"/>
        <v>4.6900000000000004</v>
      </c>
      <c r="F1245" t="s">
        <v>280</v>
      </c>
      <c r="G1245" t="s">
        <v>298</v>
      </c>
      <c r="H1245" s="71">
        <v>42318</v>
      </c>
      <c r="I1245" s="18" t="s">
        <v>749</v>
      </c>
      <c r="J1245" t="s">
        <v>13</v>
      </c>
    </row>
    <row r="1246" spans="1:10" x14ac:dyDescent="0.2">
      <c r="A1246" t="s">
        <v>313</v>
      </c>
      <c r="B1246" s="31">
        <v>1</v>
      </c>
      <c r="C1246" s="71">
        <v>42338</v>
      </c>
      <c r="D1246" s="81">
        <v>4.6900000000000004</v>
      </c>
      <c r="E1246">
        <f t="shared" si="30"/>
        <v>4.6900000000000004</v>
      </c>
      <c r="F1246" t="s">
        <v>280</v>
      </c>
      <c r="G1246" t="s">
        <v>298</v>
      </c>
      <c r="H1246" s="71">
        <v>42318</v>
      </c>
      <c r="I1246" s="18" t="s">
        <v>749</v>
      </c>
      <c r="J1246" t="s">
        <v>13</v>
      </c>
    </row>
    <row r="1247" spans="1:10" x14ac:dyDescent="0.2">
      <c r="A1247" t="s">
        <v>1147</v>
      </c>
      <c r="B1247" s="31">
        <v>1</v>
      </c>
      <c r="C1247" s="71">
        <v>42338</v>
      </c>
      <c r="D1247" s="81">
        <v>5.99</v>
      </c>
      <c r="E1247">
        <f t="shared" si="30"/>
        <v>5.99</v>
      </c>
      <c r="F1247" t="s">
        <v>657</v>
      </c>
      <c r="G1247" t="s">
        <v>298</v>
      </c>
      <c r="H1247" s="71">
        <v>42318</v>
      </c>
      <c r="I1247" s="18" t="s">
        <v>749</v>
      </c>
      <c r="J1247" t="s">
        <v>13</v>
      </c>
    </row>
    <row r="1248" spans="1:10" x14ac:dyDescent="0.2">
      <c r="A1248" t="s">
        <v>1086</v>
      </c>
      <c r="B1248" s="31">
        <v>1</v>
      </c>
      <c r="C1248" s="71">
        <v>42338</v>
      </c>
      <c r="D1248" s="81">
        <v>7.49</v>
      </c>
      <c r="E1248">
        <f t="shared" si="30"/>
        <v>7.49</v>
      </c>
      <c r="F1248" t="s">
        <v>282</v>
      </c>
      <c r="G1248" t="s">
        <v>298</v>
      </c>
      <c r="H1248" s="71">
        <v>42318</v>
      </c>
      <c r="I1248" s="18" t="s">
        <v>749</v>
      </c>
      <c r="J1248" t="s">
        <v>13</v>
      </c>
    </row>
    <row r="1249" spans="1:10" x14ac:dyDescent="0.2">
      <c r="A1249" t="s">
        <v>827</v>
      </c>
      <c r="B1249" s="31">
        <v>1</v>
      </c>
      <c r="C1249" s="71">
        <v>42338</v>
      </c>
      <c r="D1249" s="81">
        <v>6.59</v>
      </c>
      <c r="E1249">
        <f t="shared" si="30"/>
        <v>6.59</v>
      </c>
      <c r="F1249" t="s">
        <v>282</v>
      </c>
      <c r="G1249" t="s">
        <v>298</v>
      </c>
      <c r="H1249" s="71">
        <v>42318</v>
      </c>
      <c r="I1249" s="18" t="s">
        <v>749</v>
      </c>
      <c r="J1249" t="s">
        <v>13</v>
      </c>
    </row>
    <row r="1250" spans="1:10" x14ac:dyDescent="0.2">
      <c r="A1250" t="s">
        <v>1168</v>
      </c>
      <c r="B1250" s="31">
        <v>1</v>
      </c>
      <c r="C1250" s="71">
        <v>42344</v>
      </c>
      <c r="D1250" s="81">
        <v>11.7</v>
      </c>
      <c r="E1250">
        <f t="shared" si="30"/>
        <v>11.7</v>
      </c>
      <c r="F1250" t="s">
        <v>609</v>
      </c>
      <c r="G1250" t="s">
        <v>299</v>
      </c>
      <c r="H1250" s="71">
        <v>42318</v>
      </c>
      <c r="I1250" s="18" t="s">
        <v>646</v>
      </c>
      <c r="J1250" t="s">
        <v>13</v>
      </c>
    </row>
    <row r="1251" spans="1:10" x14ac:dyDescent="0.2">
      <c r="A1251" t="s">
        <v>615</v>
      </c>
      <c r="B1251" s="31">
        <v>1.5</v>
      </c>
      <c r="C1251" s="71">
        <v>42344</v>
      </c>
      <c r="D1251" s="81">
        <v>12.99</v>
      </c>
      <c r="E1251">
        <f t="shared" si="30"/>
        <v>19.484999999999999</v>
      </c>
      <c r="F1251" t="s">
        <v>615</v>
      </c>
      <c r="G1251" t="s">
        <v>299</v>
      </c>
      <c r="H1251" s="71">
        <v>42318</v>
      </c>
      <c r="I1251" s="18" t="s">
        <v>646</v>
      </c>
      <c r="J1251" t="s">
        <v>13</v>
      </c>
    </row>
    <row r="1252" spans="1:10" x14ac:dyDescent="0.2">
      <c r="A1252" t="s">
        <v>284</v>
      </c>
      <c r="B1252" s="31">
        <v>0.5</v>
      </c>
      <c r="C1252" s="71">
        <v>42344</v>
      </c>
      <c r="D1252" s="81">
        <v>10</v>
      </c>
      <c r="E1252">
        <f t="shared" si="30"/>
        <v>5</v>
      </c>
      <c r="F1252" t="s">
        <v>609</v>
      </c>
      <c r="G1252" t="s">
        <v>299</v>
      </c>
      <c r="H1252" s="71">
        <v>42318</v>
      </c>
      <c r="I1252" s="18" t="s">
        <v>646</v>
      </c>
      <c r="J1252" t="s">
        <v>13</v>
      </c>
    </row>
    <row r="1253" spans="1:10" x14ac:dyDescent="0.2">
      <c r="A1253" t="s">
        <v>1014</v>
      </c>
      <c r="B1253" s="31">
        <v>1</v>
      </c>
      <c r="C1253" s="71">
        <v>42344</v>
      </c>
      <c r="D1253" s="81">
        <v>11.4</v>
      </c>
      <c r="E1253">
        <f t="shared" ref="E1253:E1256" si="31">B1253*D1253</f>
        <v>11.4</v>
      </c>
      <c r="F1253" t="s">
        <v>609</v>
      </c>
      <c r="G1253" t="s">
        <v>299</v>
      </c>
      <c r="H1253" s="71">
        <v>42318</v>
      </c>
      <c r="I1253" s="18" t="s">
        <v>646</v>
      </c>
      <c r="J1253" t="s">
        <v>13</v>
      </c>
    </row>
    <row r="1254" spans="1:10" x14ac:dyDescent="0.2">
      <c r="A1254" t="s">
        <v>285</v>
      </c>
      <c r="B1254" s="31">
        <v>1.026</v>
      </c>
      <c r="C1254" s="71">
        <v>42344</v>
      </c>
      <c r="D1254" s="81">
        <v>28.59</v>
      </c>
      <c r="E1254">
        <f t="shared" si="31"/>
        <v>29.33334</v>
      </c>
      <c r="F1254" t="s">
        <v>609</v>
      </c>
      <c r="G1254" t="s">
        <v>299</v>
      </c>
      <c r="H1254" s="71">
        <v>42318</v>
      </c>
      <c r="I1254" s="18" t="s">
        <v>646</v>
      </c>
      <c r="J1254" t="s">
        <v>13</v>
      </c>
    </row>
    <row r="1255" spans="1:10" x14ac:dyDescent="0.2">
      <c r="A1255" t="s">
        <v>1170</v>
      </c>
      <c r="B1255" s="31">
        <v>1.03</v>
      </c>
      <c r="C1255" s="71">
        <v>42344</v>
      </c>
      <c r="D1255" s="81">
        <v>14.67</v>
      </c>
      <c r="E1255">
        <f t="shared" si="31"/>
        <v>15.110100000000001</v>
      </c>
      <c r="F1255" t="s">
        <v>615</v>
      </c>
      <c r="G1255" t="s">
        <v>299</v>
      </c>
      <c r="H1255" s="71">
        <v>42318</v>
      </c>
      <c r="I1255" s="18" t="s">
        <v>646</v>
      </c>
      <c r="J1255" t="s">
        <v>13</v>
      </c>
    </row>
    <row r="1256" spans="1:10" x14ac:dyDescent="0.2">
      <c r="A1256" t="s">
        <v>1171</v>
      </c>
      <c r="B1256" s="31">
        <v>1.03</v>
      </c>
      <c r="C1256" s="71">
        <v>42344</v>
      </c>
      <c r="D1256" s="81">
        <v>12.99</v>
      </c>
      <c r="E1256">
        <f t="shared" si="31"/>
        <v>13.3797</v>
      </c>
      <c r="F1256" t="s">
        <v>609</v>
      </c>
      <c r="G1256" t="s">
        <v>299</v>
      </c>
      <c r="H1256" s="71">
        <v>42318</v>
      </c>
      <c r="I1256" s="18" t="s">
        <v>646</v>
      </c>
      <c r="J1256" t="s">
        <v>13</v>
      </c>
    </row>
    <row r="1257" spans="1:10" x14ac:dyDescent="0.2">
      <c r="D1257" s="81"/>
      <c r="H1257" s="71"/>
      <c r="I1257" s="1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P19"/>
  <sheetViews>
    <sheetView workbookViewId="0">
      <selection activeCell="G17" sqref="G17"/>
    </sheetView>
  </sheetViews>
  <sheetFormatPr defaultRowHeight="12.75" x14ac:dyDescent="0.2"/>
  <cols>
    <col min="1" max="1" width="17.42578125" bestFit="1" customWidth="1"/>
    <col min="2" max="2" width="15.42578125" bestFit="1" customWidth="1"/>
    <col min="3" max="3" width="15.7109375" bestFit="1" customWidth="1"/>
    <col min="4" max="4" width="13.28515625" bestFit="1" customWidth="1"/>
    <col min="5" max="5" width="14.42578125" bestFit="1" customWidth="1"/>
    <col min="6" max="6" width="14.42578125" customWidth="1"/>
    <col min="7" max="7" width="13.85546875" bestFit="1" customWidth="1"/>
    <col min="8" max="8" width="13.7109375" bestFit="1" customWidth="1"/>
    <col min="9" max="9" width="16.42578125" bestFit="1" customWidth="1"/>
    <col min="10" max="10" width="13.28515625" bestFit="1" customWidth="1"/>
    <col min="11" max="11" width="13.5703125" bestFit="1" customWidth="1"/>
    <col min="12" max="12" width="12.28515625" customWidth="1"/>
    <col min="13" max="13" width="12" bestFit="1" customWidth="1"/>
    <col min="14" max="14" width="12.7109375" bestFit="1" customWidth="1"/>
    <col min="15" max="17" width="12.140625" bestFit="1" customWidth="1"/>
  </cols>
  <sheetData>
    <row r="1" spans="1:16" x14ac:dyDescent="0.2">
      <c r="A1" t="s">
        <v>14</v>
      </c>
      <c r="B1" t="s">
        <v>20</v>
      </c>
      <c r="C1" s="9" t="s">
        <v>159</v>
      </c>
      <c r="D1" s="10" t="s">
        <v>61</v>
      </c>
      <c r="E1" s="10" t="s">
        <v>160</v>
      </c>
      <c r="F1" s="10" t="s">
        <v>117</v>
      </c>
      <c r="G1" s="10" t="s">
        <v>162</v>
      </c>
      <c r="H1" s="9" t="s">
        <v>161</v>
      </c>
      <c r="I1" s="10" t="s">
        <v>195</v>
      </c>
      <c r="J1" s="10"/>
      <c r="K1" s="9"/>
      <c r="L1" s="9"/>
      <c r="M1" s="9"/>
      <c r="N1" s="1"/>
      <c r="O1" s="1"/>
      <c r="P1" s="1"/>
    </row>
    <row r="2" spans="1:16" x14ac:dyDescent="0.2">
      <c r="A2" s="103">
        <v>41892</v>
      </c>
      <c r="B2" s="75">
        <v>7100</v>
      </c>
      <c r="C2" s="8">
        <v>6226.27</v>
      </c>
      <c r="D2" s="73">
        <v>213</v>
      </c>
      <c r="E2" s="145">
        <v>0</v>
      </c>
      <c r="F2" s="145">
        <v>436.65</v>
      </c>
      <c r="G2" s="74">
        <f>C2+D2+E2+F2</f>
        <v>6875.92</v>
      </c>
      <c r="H2" s="8">
        <f t="shared" ref="H2:H7" si="0">B2-G2</f>
        <v>224.07999999999993</v>
      </c>
      <c r="I2" s="76">
        <v>0</v>
      </c>
      <c r="J2" s="75"/>
      <c r="K2" s="77"/>
      <c r="L2" s="22"/>
      <c r="M2" s="7"/>
      <c r="N2" s="6"/>
      <c r="O2" s="6"/>
      <c r="P2" s="6"/>
    </row>
    <row r="3" spans="1:16" x14ac:dyDescent="0.2">
      <c r="A3" s="103">
        <v>41922</v>
      </c>
      <c r="B3" s="75">
        <v>7100</v>
      </c>
      <c r="C3" s="145">
        <v>3783.63</v>
      </c>
      <c r="D3" s="145">
        <v>1989.5600000000002</v>
      </c>
      <c r="E3" s="145">
        <v>0</v>
      </c>
      <c r="F3" s="145">
        <v>436.65</v>
      </c>
      <c r="G3" s="74">
        <f t="shared" ref="G3:G17" si="1">C3+D3+E3+F3</f>
        <v>6209.84</v>
      </c>
      <c r="H3" s="8">
        <f t="shared" si="0"/>
        <v>890.15999999999985</v>
      </c>
      <c r="I3" s="74">
        <f>H3+H2-J3</f>
        <v>1114.2399999999998</v>
      </c>
      <c r="J3" s="100"/>
      <c r="K3" s="100"/>
      <c r="L3" s="100"/>
    </row>
    <row r="4" spans="1:16" x14ac:dyDescent="0.2">
      <c r="A4" s="103">
        <v>41953</v>
      </c>
      <c r="B4" s="75">
        <v>7381</v>
      </c>
      <c r="C4" s="145">
        <v>4858.93</v>
      </c>
      <c r="D4" s="145">
        <v>1973.4900000000005</v>
      </c>
      <c r="E4" s="8">
        <v>0</v>
      </c>
      <c r="F4" s="8">
        <v>436.65</v>
      </c>
      <c r="G4" s="74">
        <f t="shared" si="1"/>
        <v>7269.0700000000006</v>
      </c>
      <c r="H4" s="8">
        <f>((281+B4)-G4)</f>
        <v>392.92999999999938</v>
      </c>
      <c r="I4" s="74">
        <f>H4+I3</f>
        <v>1507.1699999999992</v>
      </c>
      <c r="J4" s="76"/>
      <c r="K4" s="100"/>
      <c r="L4" s="100"/>
    </row>
    <row r="5" spans="1:16" x14ac:dyDescent="0.2">
      <c r="A5" s="103">
        <v>41983</v>
      </c>
      <c r="B5" s="75">
        <v>7250</v>
      </c>
      <c r="C5" s="145">
        <v>5874.63</v>
      </c>
      <c r="D5" s="145">
        <v>1820.6200000000001</v>
      </c>
      <c r="E5" s="145">
        <v>0</v>
      </c>
      <c r="F5" s="145">
        <v>436.65</v>
      </c>
      <c r="G5" s="74">
        <f t="shared" si="1"/>
        <v>8131.9</v>
      </c>
      <c r="H5" s="8">
        <f>(J5+B5)-G5</f>
        <v>-881.89999999999964</v>
      </c>
      <c r="I5" s="74">
        <f>H5+I4</f>
        <v>625.26999999999953</v>
      </c>
      <c r="J5" s="145"/>
      <c r="K5" s="100"/>
      <c r="L5" s="100"/>
    </row>
    <row r="6" spans="1:16" x14ac:dyDescent="0.2">
      <c r="A6" s="103">
        <v>42014</v>
      </c>
      <c r="B6" s="75">
        <v>7400.48</v>
      </c>
      <c r="C6" s="145">
        <v>5861.24</v>
      </c>
      <c r="D6" s="145">
        <v>1109.02</v>
      </c>
      <c r="E6" s="145">
        <v>0</v>
      </c>
      <c r="F6" s="145">
        <v>455.12</v>
      </c>
      <c r="G6" s="74">
        <f t="shared" si="1"/>
        <v>7425.38</v>
      </c>
      <c r="H6" s="8">
        <f>B6-G6</f>
        <v>-24.900000000000546</v>
      </c>
      <c r="I6" s="74">
        <f>(I5+H6)-K6</f>
        <v>600.36999999999898</v>
      </c>
      <c r="J6" s="145"/>
      <c r="K6" s="76"/>
      <c r="L6" s="145"/>
    </row>
    <row r="7" spans="1:16" x14ac:dyDescent="0.2">
      <c r="A7" s="103">
        <v>42045</v>
      </c>
      <c r="B7" s="75">
        <v>7400.48</v>
      </c>
      <c r="C7" s="145">
        <v>4410.1100000000006</v>
      </c>
      <c r="D7" s="145">
        <v>1472.1100000000001</v>
      </c>
      <c r="E7" s="145">
        <v>0</v>
      </c>
      <c r="F7" s="145">
        <v>455.12</v>
      </c>
      <c r="G7" s="74">
        <f t="shared" si="1"/>
        <v>6337.3400000000011</v>
      </c>
      <c r="H7" s="8">
        <f t="shared" si="0"/>
        <v>1063.1399999999985</v>
      </c>
      <c r="I7" s="74">
        <f>(I6+H7)-K7</f>
        <v>1663.5099999999975</v>
      </c>
      <c r="J7" s="100"/>
      <c r="K7" s="145"/>
      <c r="L7" s="100"/>
    </row>
    <row r="8" spans="1:16" x14ac:dyDescent="0.2">
      <c r="A8" s="103">
        <v>42073</v>
      </c>
      <c r="B8" s="75">
        <v>7400.48</v>
      </c>
      <c r="C8" s="145">
        <v>5327.4866666666667</v>
      </c>
      <c r="D8" s="145">
        <v>2081.6700000000005</v>
      </c>
      <c r="E8" s="145">
        <v>0</v>
      </c>
      <c r="F8" s="145">
        <v>455.12</v>
      </c>
      <c r="G8" s="74">
        <f t="shared" si="1"/>
        <v>7864.2766666666676</v>
      </c>
      <c r="H8" s="8">
        <f t="shared" ref="H8:H17" si="2">B8-G8</f>
        <v>-463.79666666666799</v>
      </c>
      <c r="I8" s="74">
        <f>(I7+H8)-K8</f>
        <v>1199.7133333333295</v>
      </c>
      <c r="J8" s="100"/>
      <c r="K8" s="145"/>
      <c r="L8" s="100"/>
    </row>
    <row r="9" spans="1:16" x14ac:dyDescent="0.2">
      <c r="A9" s="103">
        <v>42104</v>
      </c>
      <c r="B9" s="75">
        <v>8905.02</v>
      </c>
      <c r="C9" s="145">
        <v>6319.4466666666667</v>
      </c>
      <c r="D9" s="145">
        <v>2062.1800000000003</v>
      </c>
      <c r="E9" s="145">
        <v>0</v>
      </c>
      <c r="F9" s="145">
        <v>455.12</v>
      </c>
      <c r="G9" s="74">
        <f t="shared" si="1"/>
        <v>8836.7466666666678</v>
      </c>
      <c r="H9" s="8">
        <f>B9-G9</f>
        <v>68.27333333333263</v>
      </c>
      <c r="I9" s="74">
        <f>H9+I8+J9</f>
        <v>1267.9866666666621</v>
      </c>
      <c r="J9" s="100"/>
      <c r="K9" s="145"/>
      <c r="L9" s="100"/>
      <c r="N9" s="7"/>
    </row>
    <row r="10" spans="1:16" x14ac:dyDescent="0.2">
      <c r="A10" s="103">
        <v>42134</v>
      </c>
      <c r="B10" s="75">
        <v>8300.48</v>
      </c>
      <c r="C10" s="145">
        <v>5811.4866666666667</v>
      </c>
      <c r="D10" s="145">
        <v>1501.7300000000002</v>
      </c>
      <c r="E10" s="145">
        <v>0</v>
      </c>
      <c r="F10" s="145">
        <v>455.12</v>
      </c>
      <c r="G10" s="74">
        <f t="shared" si="1"/>
        <v>7768.336666666667</v>
      </c>
      <c r="H10" s="8">
        <f>B10-G10</f>
        <v>532.14333333333252</v>
      </c>
      <c r="I10" s="74">
        <f>H10+I9+J10</f>
        <v>1800.1299999999947</v>
      </c>
      <c r="J10" s="100"/>
      <c r="K10" s="145"/>
      <c r="L10" s="100"/>
    </row>
    <row r="11" spans="1:16" x14ac:dyDescent="0.2">
      <c r="A11" s="103">
        <v>42165</v>
      </c>
      <c r="B11" s="75">
        <v>7400.48</v>
      </c>
      <c r="C11" s="145">
        <v>5898.08</v>
      </c>
      <c r="D11" s="145">
        <v>1497.3400000000004</v>
      </c>
      <c r="E11" s="145">
        <v>0</v>
      </c>
      <c r="F11" s="145">
        <v>455.12</v>
      </c>
      <c r="G11" s="74">
        <f t="shared" si="1"/>
        <v>7850.54</v>
      </c>
      <c r="H11" s="8">
        <f>B11-G11</f>
        <v>-450.0600000000004</v>
      </c>
      <c r="I11" s="74">
        <f>H11+I10</f>
        <v>1350.0699999999943</v>
      </c>
      <c r="J11" s="100"/>
      <c r="K11" s="145"/>
      <c r="L11" s="100"/>
    </row>
    <row r="12" spans="1:16" x14ac:dyDescent="0.2">
      <c r="A12" s="103">
        <v>42195</v>
      </c>
      <c r="B12" s="75">
        <v>24245.66</v>
      </c>
      <c r="C12" s="145">
        <v>16217.849999999999</v>
      </c>
      <c r="D12" s="145">
        <v>1065.9299999999998</v>
      </c>
      <c r="E12" s="145">
        <v>0</v>
      </c>
      <c r="F12" s="145">
        <v>455.12</v>
      </c>
      <c r="G12" s="74">
        <f t="shared" si="1"/>
        <v>17738.899999999998</v>
      </c>
      <c r="H12" s="8">
        <f t="shared" si="2"/>
        <v>6506.760000000002</v>
      </c>
      <c r="I12" s="74">
        <f>H12+I11</f>
        <v>7856.8299999999963</v>
      </c>
      <c r="J12" s="100"/>
      <c r="K12" s="145"/>
      <c r="L12" s="147"/>
    </row>
    <row r="13" spans="1:16" x14ac:dyDescent="0.2">
      <c r="A13" s="103">
        <v>42226</v>
      </c>
      <c r="B13" s="75">
        <v>7400.48</v>
      </c>
      <c r="C13" s="145">
        <v>6895.1250000000009</v>
      </c>
      <c r="D13" s="145">
        <v>1371.6400000000003</v>
      </c>
      <c r="E13" s="145">
        <v>0</v>
      </c>
      <c r="F13" s="145">
        <v>455.12</v>
      </c>
      <c r="G13" s="74">
        <f t="shared" si="1"/>
        <v>8721.885000000002</v>
      </c>
      <c r="H13" s="8">
        <f t="shared" si="2"/>
        <v>-1321.4050000000025</v>
      </c>
      <c r="I13" s="8">
        <f>(H13+I12)+J12</f>
        <v>6535.4249999999938</v>
      </c>
      <c r="J13" s="9"/>
      <c r="K13" s="8"/>
      <c r="L13" s="9"/>
    </row>
    <row r="14" spans="1:16" x14ac:dyDescent="0.2">
      <c r="A14" s="103">
        <v>42257</v>
      </c>
      <c r="B14" s="75">
        <v>8489.26</v>
      </c>
      <c r="C14" s="145">
        <v>9446.7749999999996</v>
      </c>
      <c r="D14" s="145">
        <v>849.83999999999992</v>
      </c>
      <c r="E14" s="145">
        <v>0</v>
      </c>
      <c r="F14" s="145">
        <v>455.12</v>
      </c>
      <c r="G14" s="74">
        <f t="shared" si="1"/>
        <v>10751.735000000001</v>
      </c>
      <c r="H14" s="8">
        <f>B14-G14</f>
        <v>-2262.4750000000004</v>
      </c>
      <c r="I14" s="74">
        <f>(H14+I13)+J13</f>
        <v>4272.9499999999935</v>
      </c>
      <c r="J14" s="100"/>
      <c r="K14" s="145"/>
      <c r="L14" s="100"/>
    </row>
    <row r="15" spans="1:16" x14ac:dyDescent="0.2">
      <c r="A15" s="103">
        <v>42287</v>
      </c>
      <c r="B15" s="75">
        <v>7410.48</v>
      </c>
      <c r="C15" s="145">
        <v>7045.42</v>
      </c>
      <c r="D15" s="145">
        <v>2182.91</v>
      </c>
      <c r="E15" s="145">
        <v>0</v>
      </c>
      <c r="F15" s="145">
        <v>455.12</v>
      </c>
      <c r="G15" s="74">
        <f t="shared" si="1"/>
        <v>9683.4500000000007</v>
      </c>
      <c r="H15" s="8">
        <f t="shared" si="2"/>
        <v>-2272.9700000000012</v>
      </c>
      <c r="I15" s="74">
        <f>H15+I14-J14</f>
        <v>1999.9799999999923</v>
      </c>
      <c r="J15" s="100"/>
      <c r="K15" s="145"/>
      <c r="L15" s="100"/>
    </row>
    <row r="16" spans="1:16" x14ac:dyDescent="0.2">
      <c r="A16" s="103">
        <v>42318</v>
      </c>
      <c r="B16" s="75">
        <v>7402.97</v>
      </c>
      <c r="C16" s="145">
        <v>3423.27</v>
      </c>
      <c r="D16" s="145">
        <v>3139.1600000000008</v>
      </c>
      <c r="E16" s="145">
        <v>0</v>
      </c>
      <c r="F16" s="145">
        <v>455.12</v>
      </c>
      <c r="G16" s="74">
        <f t="shared" si="1"/>
        <v>7017.55</v>
      </c>
      <c r="H16" s="8">
        <f t="shared" si="2"/>
        <v>385.42000000000007</v>
      </c>
      <c r="I16" s="74">
        <f t="shared" ref="I16:I17" si="3">H16+I15</f>
        <v>2385.3999999999924</v>
      </c>
      <c r="J16" s="100"/>
      <c r="K16" s="145"/>
      <c r="L16" s="100"/>
    </row>
    <row r="17" spans="1:12" x14ac:dyDescent="0.2">
      <c r="A17" s="103">
        <v>42348</v>
      </c>
      <c r="B17" s="75">
        <v>7402.45</v>
      </c>
      <c r="C17" s="145">
        <v>4210.8500000000004</v>
      </c>
      <c r="D17" s="145">
        <v>2121.88</v>
      </c>
      <c r="E17" s="145">
        <v>0</v>
      </c>
      <c r="F17" s="145">
        <v>455.12</v>
      </c>
      <c r="G17" s="74">
        <f t="shared" si="1"/>
        <v>6787.85</v>
      </c>
      <c r="H17" s="8">
        <f t="shared" si="2"/>
        <v>614.59999999999945</v>
      </c>
      <c r="I17" s="74">
        <f t="shared" si="3"/>
        <v>2999.9999999999918</v>
      </c>
      <c r="J17" s="100"/>
      <c r="K17" s="145"/>
      <c r="L17" s="100"/>
    </row>
    <row r="18" spans="1:12" x14ac:dyDescent="0.2">
      <c r="E18" s="1"/>
      <c r="F18" s="1"/>
    </row>
    <row r="19" spans="1:12" x14ac:dyDescent="0.2">
      <c r="E19" s="1"/>
      <c r="F19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10"/>
  <sheetViews>
    <sheetView workbookViewId="0">
      <selection activeCell="A7" sqref="A7"/>
    </sheetView>
  </sheetViews>
  <sheetFormatPr defaultRowHeight="12.75" x14ac:dyDescent="0.2"/>
  <cols>
    <col min="1" max="1" width="15.140625" bestFit="1" customWidth="1"/>
    <col min="2" max="2" width="10.85546875" bestFit="1" customWidth="1"/>
    <col min="3" max="3" width="10.28515625" bestFit="1" customWidth="1"/>
    <col min="4" max="4" width="7.140625" bestFit="1" customWidth="1"/>
    <col min="5" max="5" width="11.7109375" bestFit="1" customWidth="1"/>
  </cols>
  <sheetData>
    <row r="1" spans="1:5" x14ac:dyDescent="0.2">
      <c r="A1" s="161" t="s">
        <v>1115</v>
      </c>
      <c r="B1" s="161" t="s">
        <v>1114</v>
      </c>
      <c r="C1" s="161" t="s">
        <v>1113</v>
      </c>
      <c r="D1" s="161" t="s">
        <v>5</v>
      </c>
      <c r="E1" s="161" t="s">
        <v>1110</v>
      </c>
    </row>
    <row r="2" spans="1:5" x14ac:dyDescent="0.2">
      <c r="A2" s="162" t="s">
        <v>1065</v>
      </c>
      <c r="B2" s="162">
        <v>0</v>
      </c>
      <c r="C2" s="162" t="s">
        <v>1065</v>
      </c>
      <c r="D2" s="162">
        <v>1140</v>
      </c>
      <c r="E2" s="163">
        <v>42317</v>
      </c>
    </row>
    <row r="3" spans="1:5" x14ac:dyDescent="0.2">
      <c r="A3" s="164" t="s">
        <v>765</v>
      </c>
      <c r="B3" s="165">
        <v>130</v>
      </c>
      <c r="C3" s="163">
        <v>42317</v>
      </c>
      <c r="D3" s="162"/>
      <c r="E3" s="162"/>
    </row>
    <row r="4" spans="1:5" x14ac:dyDescent="0.2">
      <c r="A4" s="164" t="s">
        <v>1111</v>
      </c>
      <c r="B4" s="165">
        <v>120</v>
      </c>
      <c r="C4" s="163">
        <v>42317</v>
      </c>
      <c r="D4" s="162"/>
      <c r="E4" s="163"/>
    </row>
    <row r="5" spans="1:5" x14ac:dyDescent="0.2">
      <c r="A5" s="162" t="s">
        <v>1112</v>
      </c>
      <c r="B5" s="162">
        <v>10</v>
      </c>
      <c r="C5" s="163">
        <v>42317</v>
      </c>
      <c r="D5" s="162"/>
      <c r="E5" s="162"/>
    </row>
    <row r="6" spans="1:5" x14ac:dyDescent="0.2">
      <c r="A6" s="162" t="s">
        <v>1065</v>
      </c>
      <c r="B6" s="162">
        <v>0</v>
      </c>
      <c r="C6" s="162" t="s">
        <v>1065</v>
      </c>
      <c r="D6" s="162">
        <f>D2-SUM(B2:B5)</f>
        <v>880</v>
      </c>
      <c r="E6" s="163">
        <v>42319</v>
      </c>
    </row>
    <row r="10" spans="1:5" x14ac:dyDescent="0.2">
      <c r="C10" s="160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I46"/>
  <sheetViews>
    <sheetView topLeftCell="A26" workbookViewId="0">
      <selection activeCell="A36" sqref="A36"/>
    </sheetView>
  </sheetViews>
  <sheetFormatPr defaultRowHeight="12.75" x14ac:dyDescent="0.2"/>
  <cols>
    <col min="1" max="1" width="23.7109375" bestFit="1" customWidth="1"/>
    <col min="2" max="2" width="10.28515625" bestFit="1" customWidth="1"/>
    <col min="4" max="4" width="12" bestFit="1" customWidth="1"/>
    <col min="6" max="6" width="12.140625" bestFit="1" customWidth="1"/>
    <col min="7" max="7" width="10.5703125" bestFit="1" customWidth="1"/>
    <col min="8" max="8" width="10.7109375" bestFit="1" customWidth="1"/>
  </cols>
  <sheetData>
    <row r="1" spans="1:9" ht="13.5" thickBot="1" x14ac:dyDescent="0.25">
      <c r="A1" t="s">
        <v>57</v>
      </c>
      <c r="B1" t="s">
        <v>108</v>
      </c>
      <c r="C1" t="s">
        <v>72</v>
      </c>
      <c r="D1" t="s">
        <v>61</v>
      </c>
      <c r="E1" t="s">
        <v>19</v>
      </c>
    </row>
    <row r="2" spans="1:9" ht="13.5" thickBot="1" x14ac:dyDescent="0.25">
      <c r="A2" t="s">
        <v>118</v>
      </c>
      <c r="B2">
        <v>183.9</v>
      </c>
      <c r="C2">
        <v>1</v>
      </c>
      <c r="D2">
        <v>0</v>
      </c>
      <c r="E2" s="1" t="s">
        <v>117</v>
      </c>
      <c r="F2" s="93" t="s">
        <v>5</v>
      </c>
      <c r="G2" s="94" t="s">
        <v>117</v>
      </c>
      <c r="H2" s="95" t="s">
        <v>478</v>
      </c>
    </row>
    <row r="3" spans="1:9" x14ac:dyDescent="0.2">
      <c r="A3" t="s">
        <v>119</v>
      </c>
      <c r="B3">
        <v>183.9</v>
      </c>
      <c r="C3">
        <v>1</v>
      </c>
      <c r="D3">
        <v>0</v>
      </c>
      <c r="E3" s="1" t="s">
        <v>117</v>
      </c>
      <c r="F3" s="172">
        <v>7400.48</v>
      </c>
      <c r="G3" s="96">
        <v>148</v>
      </c>
      <c r="H3" s="92">
        <f t="shared" ref="H3:H10" si="0">(G3/$F$3)*100</f>
        <v>1.9998702786846259</v>
      </c>
      <c r="I3" s="1" t="s">
        <v>479</v>
      </c>
    </row>
    <row r="4" spans="1:9" x14ac:dyDescent="0.2">
      <c r="A4" t="s">
        <v>120</v>
      </c>
      <c r="B4">
        <v>191.7</v>
      </c>
      <c r="C4">
        <v>1</v>
      </c>
      <c r="D4">
        <v>0</v>
      </c>
      <c r="E4" s="1" t="s">
        <v>117</v>
      </c>
      <c r="F4" s="173"/>
      <c r="G4" s="97">
        <v>66.599999999999994</v>
      </c>
      <c r="H4" s="90">
        <f t="shared" si="0"/>
        <v>0.89994162540808165</v>
      </c>
      <c r="I4" s="1" t="s">
        <v>480</v>
      </c>
    </row>
    <row r="5" spans="1:9" x14ac:dyDescent="0.2">
      <c r="A5" t="s">
        <v>121</v>
      </c>
      <c r="B5">
        <v>383.67</v>
      </c>
      <c r="C5">
        <v>1</v>
      </c>
      <c r="D5">
        <v>0</v>
      </c>
      <c r="E5" s="1" t="s">
        <v>117</v>
      </c>
      <c r="F5" s="173"/>
      <c r="G5" s="97">
        <v>138.30000000000001</v>
      </c>
      <c r="H5" s="90">
        <f t="shared" si="0"/>
        <v>1.8687976996086744</v>
      </c>
      <c r="I5" s="1" t="s">
        <v>481</v>
      </c>
    </row>
    <row r="6" spans="1:9" x14ac:dyDescent="0.2">
      <c r="A6" t="s">
        <v>122</v>
      </c>
      <c r="B6">
        <v>383.67</v>
      </c>
      <c r="C6">
        <v>1</v>
      </c>
      <c r="D6">
        <v>0</v>
      </c>
      <c r="E6" s="1" t="s">
        <v>117</v>
      </c>
      <c r="F6" s="173"/>
      <c r="G6" s="97">
        <v>148.01</v>
      </c>
      <c r="H6" s="90">
        <f t="shared" si="0"/>
        <v>2.0000054050548073</v>
      </c>
      <c r="I6" s="99" t="s">
        <v>482</v>
      </c>
    </row>
    <row r="7" spans="1:9" x14ac:dyDescent="0.2">
      <c r="A7" t="s">
        <v>123</v>
      </c>
      <c r="B7">
        <v>400.44</v>
      </c>
      <c r="C7">
        <v>1</v>
      </c>
      <c r="D7">
        <v>0</v>
      </c>
      <c r="E7" s="1" t="s">
        <v>117</v>
      </c>
      <c r="F7" s="173"/>
      <c r="G7" s="97">
        <v>48.1</v>
      </c>
      <c r="H7" s="90">
        <f t="shared" si="0"/>
        <v>0.6499578405725035</v>
      </c>
      <c r="I7" s="99" t="s">
        <v>483</v>
      </c>
    </row>
    <row r="8" spans="1:9" x14ac:dyDescent="0.2">
      <c r="A8" t="s">
        <v>124</v>
      </c>
      <c r="B8">
        <v>136.44999999999999</v>
      </c>
      <c r="C8">
        <v>1</v>
      </c>
      <c r="D8">
        <v>0</v>
      </c>
      <c r="E8" s="1" t="s">
        <v>117</v>
      </c>
      <c r="F8" s="173"/>
      <c r="G8" s="97">
        <v>222.01</v>
      </c>
      <c r="H8" s="90">
        <f t="shared" si="0"/>
        <v>2.9999405443971203</v>
      </c>
      <c r="I8" s="99" t="s">
        <v>484</v>
      </c>
    </row>
    <row r="9" spans="1:9" x14ac:dyDescent="0.2">
      <c r="A9" t="s">
        <v>125</v>
      </c>
      <c r="B9">
        <v>136.44999999999999</v>
      </c>
      <c r="C9">
        <v>1</v>
      </c>
      <c r="D9">
        <v>0</v>
      </c>
      <c r="E9" s="1" t="s">
        <v>117</v>
      </c>
      <c r="F9" s="173"/>
      <c r="G9" s="97">
        <v>111.01</v>
      </c>
      <c r="H9" s="90">
        <f t="shared" si="0"/>
        <v>1.5000378353836508</v>
      </c>
      <c r="I9" s="99" t="s">
        <v>485</v>
      </c>
    </row>
    <row r="10" spans="1:9" ht="13.5" thickBot="1" x14ac:dyDescent="0.25">
      <c r="A10" t="s">
        <v>126</v>
      </c>
      <c r="B10">
        <v>142</v>
      </c>
      <c r="C10">
        <v>1</v>
      </c>
      <c r="D10">
        <v>0</v>
      </c>
      <c r="E10" s="1" t="s">
        <v>117</v>
      </c>
      <c r="F10" s="174"/>
      <c r="G10" s="98">
        <v>74</v>
      </c>
      <c r="H10" s="91">
        <f t="shared" si="0"/>
        <v>0.99993513934231293</v>
      </c>
      <c r="I10" s="99" t="s">
        <v>479</v>
      </c>
    </row>
    <row r="11" spans="1:9" x14ac:dyDescent="0.2">
      <c r="A11" t="s">
        <v>127</v>
      </c>
      <c r="B11">
        <v>142</v>
      </c>
      <c r="C11">
        <v>1</v>
      </c>
      <c r="D11">
        <v>0</v>
      </c>
      <c r="E11" s="1" t="s">
        <v>117</v>
      </c>
    </row>
    <row r="12" spans="1:9" x14ac:dyDescent="0.2">
      <c r="A12" t="s">
        <v>132</v>
      </c>
      <c r="B12">
        <v>142</v>
      </c>
      <c r="C12">
        <v>1</v>
      </c>
      <c r="D12">
        <v>0</v>
      </c>
      <c r="E12" s="1" t="s">
        <v>117</v>
      </c>
    </row>
    <row r="13" spans="1:9" x14ac:dyDescent="0.2">
      <c r="A13" t="s">
        <v>133</v>
      </c>
      <c r="B13">
        <v>133.47999999999999</v>
      </c>
      <c r="C13">
        <v>1</v>
      </c>
      <c r="D13">
        <v>0</v>
      </c>
      <c r="E13" s="1" t="s">
        <v>117</v>
      </c>
    </row>
    <row r="14" spans="1:9" x14ac:dyDescent="0.2">
      <c r="A14" t="s">
        <v>134</v>
      </c>
      <c r="B14">
        <v>63.9</v>
      </c>
      <c r="C14">
        <v>1</v>
      </c>
      <c r="D14">
        <v>0</v>
      </c>
      <c r="E14" s="1" t="s">
        <v>117</v>
      </c>
    </row>
    <row r="15" spans="1:9" x14ac:dyDescent="0.2">
      <c r="A15" t="s">
        <v>135</v>
      </c>
      <c r="B15">
        <v>142</v>
      </c>
      <c r="C15">
        <v>1</v>
      </c>
      <c r="D15">
        <v>0</v>
      </c>
      <c r="E15" s="1" t="s">
        <v>117</v>
      </c>
    </row>
    <row r="16" spans="1:9" x14ac:dyDescent="0.2">
      <c r="A16" t="s">
        <v>136</v>
      </c>
      <c r="B16">
        <v>133.47999999999999</v>
      </c>
      <c r="C16">
        <v>1</v>
      </c>
      <c r="D16">
        <v>0</v>
      </c>
      <c r="E16" s="1" t="s">
        <v>117</v>
      </c>
    </row>
    <row r="17" spans="1:5" x14ac:dyDescent="0.2">
      <c r="A17" t="s">
        <v>137</v>
      </c>
      <c r="B17">
        <v>63.9</v>
      </c>
      <c r="C17">
        <v>1</v>
      </c>
      <c r="D17">
        <v>0</v>
      </c>
      <c r="E17" s="1" t="s">
        <v>117</v>
      </c>
    </row>
    <row r="18" spans="1:5" x14ac:dyDescent="0.2">
      <c r="A18" t="s">
        <v>138</v>
      </c>
      <c r="B18">
        <v>142</v>
      </c>
      <c r="C18">
        <v>1</v>
      </c>
      <c r="D18">
        <v>0</v>
      </c>
      <c r="E18" s="1" t="s">
        <v>117</v>
      </c>
    </row>
    <row r="19" spans="1:5" x14ac:dyDescent="0.2">
      <c r="A19" t="s">
        <v>139</v>
      </c>
      <c r="B19">
        <v>133.47999999999999</v>
      </c>
      <c r="C19">
        <v>1</v>
      </c>
      <c r="D19">
        <v>0</v>
      </c>
      <c r="E19" s="1" t="s">
        <v>117</v>
      </c>
    </row>
    <row r="20" spans="1:5" x14ac:dyDescent="0.2">
      <c r="A20" t="s">
        <v>140</v>
      </c>
      <c r="B20">
        <v>63.9</v>
      </c>
      <c r="C20">
        <v>1</v>
      </c>
      <c r="D20">
        <v>0</v>
      </c>
      <c r="E20" s="1" t="s">
        <v>117</v>
      </c>
    </row>
    <row r="21" spans="1:5" x14ac:dyDescent="0.2">
      <c r="A21" t="s">
        <v>141</v>
      </c>
      <c r="B21">
        <v>142</v>
      </c>
      <c r="C21">
        <v>1</v>
      </c>
      <c r="D21">
        <v>0</v>
      </c>
      <c r="E21" s="1" t="s">
        <v>117</v>
      </c>
    </row>
    <row r="22" spans="1:5" x14ac:dyDescent="0.2">
      <c r="A22" t="s">
        <v>142</v>
      </c>
      <c r="B22">
        <v>133.47999999999999</v>
      </c>
      <c r="C22">
        <v>1</v>
      </c>
      <c r="D22">
        <v>0</v>
      </c>
      <c r="E22" s="1" t="s">
        <v>117</v>
      </c>
    </row>
    <row r="23" spans="1:5" x14ac:dyDescent="0.2">
      <c r="A23" t="s">
        <v>143</v>
      </c>
      <c r="B23">
        <v>63.9</v>
      </c>
      <c r="C23">
        <v>1</v>
      </c>
      <c r="D23">
        <v>0</v>
      </c>
      <c r="E23" s="1" t="s">
        <v>117</v>
      </c>
    </row>
    <row r="24" spans="1:5" x14ac:dyDescent="0.2">
      <c r="A24" t="s">
        <v>144</v>
      </c>
      <c r="B24">
        <v>142</v>
      </c>
      <c r="C24">
        <v>1</v>
      </c>
      <c r="D24">
        <v>0</v>
      </c>
      <c r="E24" s="1" t="s">
        <v>117</v>
      </c>
    </row>
    <row r="25" spans="1:5" x14ac:dyDescent="0.2">
      <c r="A25" t="s">
        <v>145</v>
      </c>
      <c r="B25">
        <v>133.47999999999999</v>
      </c>
      <c r="C25">
        <v>1</v>
      </c>
      <c r="D25">
        <v>0</v>
      </c>
      <c r="E25" s="1" t="s">
        <v>117</v>
      </c>
    </row>
    <row r="26" spans="1:5" x14ac:dyDescent="0.2">
      <c r="A26" t="s">
        <v>146</v>
      </c>
      <c r="B26">
        <v>63.9</v>
      </c>
      <c r="C26">
        <v>1</v>
      </c>
      <c r="D26">
        <v>0</v>
      </c>
      <c r="E26" s="1" t="s">
        <v>117</v>
      </c>
    </row>
    <row r="27" spans="1:5" x14ac:dyDescent="0.2">
      <c r="A27" t="s">
        <v>147</v>
      </c>
      <c r="B27">
        <v>142</v>
      </c>
      <c r="C27">
        <v>1</v>
      </c>
      <c r="D27">
        <v>0</v>
      </c>
      <c r="E27" s="1" t="s">
        <v>117</v>
      </c>
    </row>
    <row r="28" spans="1:5" x14ac:dyDescent="0.2">
      <c r="A28" t="s">
        <v>148</v>
      </c>
      <c r="B28">
        <v>133.47999999999999</v>
      </c>
      <c r="C28">
        <v>1</v>
      </c>
      <c r="D28">
        <v>0</v>
      </c>
      <c r="E28" s="1" t="s">
        <v>117</v>
      </c>
    </row>
    <row r="29" spans="1:5" x14ac:dyDescent="0.2">
      <c r="A29" t="s">
        <v>149</v>
      </c>
      <c r="B29">
        <v>63.9</v>
      </c>
      <c r="C29">
        <v>1</v>
      </c>
      <c r="D29">
        <v>0</v>
      </c>
      <c r="E29" s="1" t="s">
        <v>117</v>
      </c>
    </row>
    <row r="30" spans="1:5" x14ac:dyDescent="0.2">
      <c r="A30" t="s">
        <v>150</v>
      </c>
      <c r="B30">
        <v>142</v>
      </c>
      <c r="C30">
        <v>1</v>
      </c>
      <c r="D30">
        <v>0</v>
      </c>
      <c r="E30" s="1" t="s">
        <v>117</v>
      </c>
    </row>
    <row r="31" spans="1:5" x14ac:dyDescent="0.2">
      <c r="A31" t="s">
        <v>151</v>
      </c>
      <c r="B31">
        <v>133.47999999999999</v>
      </c>
      <c r="C31">
        <v>1</v>
      </c>
      <c r="D31">
        <v>0</v>
      </c>
      <c r="E31" s="1" t="s">
        <v>117</v>
      </c>
    </row>
    <row r="32" spans="1:5" x14ac:dyDescent="0.2">
      <c r="A32" t="s">
        <v>152</v>
      </c>
      <c r="B32">
        <v>63.9</v>
      </c>
      <c r="C32">
        <v>1</v>
      </c>
      <c r="D32">
        <v>0</v>
      </c>
      <c r="E32" s="1" t="s">
        <v>117</v>
      </c>
    </row>
    <row r="33" spans="1:5" x14ac:dyDescent="0.2">
      <c r="A33" t="s">
        <v>196</v>
      </c>
      <c r="B33">
        <v>142</v>
      </c>
      <c r="C33">
        <v>1</v>
      </c>
      <c r="D33">
        <v>0</v>
      </c>
      <c r="E33" s="1" t="s">
        <v>117</v>
      </c>
    </row>
    <row r="34" spans="1:5" x14ac:dyDescent="0.2">
      <c r="A34" t="s">
        <v>197</v>
      </c>
      <c r="B34">
        <v>133.47999999999999</v>
      </c>
      <c r="C34">
        <v>1</v>
      </c>
      <c r="D34">
        <v>0</v>
      </c>
      <c r="E34" s="1" t="s">
        <v>117</v>
      </c>
    </row>
    <row r="35" spans="1:5" x14ac:dyDescent="0.2">
      <c r="A35" t="s">
        <v>198</v>
      </c>
      <c r="B35">
        <v>63.9</v>
      </c>
      <c r="C35">
        <v>1</v>
      </c>
      <c r="D35">
        <v>0</v>
      </c>
      <c r="E35" s="1" t="s">
        <v>117</v>
      </c>
    </row>
    <row r="36" spans="1:5" x14ac:dyDescent="0.2">
      <c r="A36" t="s">
        <v>82</v>
      </c>
      <c r="B36">
        <v>1174.68</v>
      </c>
      <c r="C36">
        <v>1</v>
      </c>
      <c r="D36">
        <v>0</v>
      </c>
      <c r="E36" s="1" t="s">
        <v>153</v>
      </c>
    </row>
    <row r="37" spans="1:5" x14ac:dyDescent="0.2">
      <c r="A37" t="s">
        <v>83</v>
      </c>
      <c r="B37">
        <v>127.69</v>
      </c>
      <c r="C37">
        <v>1</v>
      </c>
      <c r="D37">
        <v>0</v>
      </c>
      <c r="E37" s="1" t="s">
        <v>153</v>
      </c>
    </row>
    <row r="38" spans="1:5" x14ac:dyDescent="0.2">
      <c r="A38" t="s">
        <v>84</v>
      </c>
      <c r="B38">
        <v>297.93</v>
      </c>
      <c r="C38">
        <v>1</v>
      </c>
      <c r="D38">
        <v>0</v>
      </c>
      <c r="E38" s="1" t="s">
        <v>153</v>
      </c>
    </row>
    <row r="39" spans="1:5" x14ac:dyDescent="0.2">
      <c r="A39" t="s">
        <v>85</v>
      </c>
      <c r="B39">
        <v>68.48</v>
      </c>
      <c r="C39">
        <v>1</v>
      </c>
      <c r="D39">
        <v>0</v>
      </c>
      <c r="E39" s="1" t="s">
        <v>153</v>
      </c>
    </row>
    <row r="40" spans="1:5" x14ac:dyDescent="0.2">
      <c r="A40" t="s">
        <v>36</v>
      </c>
      <c r="B40">
        <v>434.94</v>
      </c>
      <c r="C40">
        <v>1</v>
      </c>
      <c r="D40">
        <v>0</v>
      </c>
      <c r="E40" s="1" t="s">
        <v>37</v>
      </c>
    </row>
    <row r="41" spans="1:5" x14ac:dyDescent="0.2">
      <c r="A41" t="s">
        <v>35</v>
      </c>
      <c r="B41">
        <v>379.42</v>
      </c>
      <c r="C41">
        <v>1</v>
      </c>
      <c r="D41">
        <v>0</v>
      </c>
      <c r="E41" s="1" t="s">
        <v>37</v>
      </c>
    </row>
    <row r="42" spans="1:5" x14ac:dyDescent="0.2">
      <c r="A42" t="s">
        <v>34</v>
      </c>
      <c r="B42">
        <v>195.73</v>
      </c>
      <c r="C42">
        <v>1</v>
      </c>
      <c r="D42">
        <v>0</v>
      </c>
      <c r="E42" s="1" t="s">
        <v>37</v>
      </c>
    </row>
    <row r="43" spans="1:5" x14ac:dyDescent="0.2">
      <c r="A43" t="s">
        <v>33</v>
      </c>
      <c r="B43">
        <v>186.62</v>
      </c>
      <c r="C43">
        <v>1</v>
      </c>
      <c r="D43">
        <v>0</v>
      </c>
      <c r="E43" s="1" t="s">
        <v>37</v>
      </c>
    </row>
    <row r="44" spans="1:5" x14ac:dyDescent="0.2">
      <c r="A44" t="s">
        <v>32</v>
      </c>
      <c r="B44">
        <v>153.63</v>
      </c>
      <c r="C44">
        <v>1</v>
      </c>
      <c r="D44">
        <v>0</v>
      </c>
      <c r="E44" s="1" t="s">
        <v>37</v>
      </c>
    </row>
    <row r="45" spans="1:5" x14ac:dyDescent="0.2">
      <c r="A45" t="s">
        <v>30</v>
      </c>
      <c r="B45">
        <v>292.01</v>
      </c>
      <c r="C45">
        <v>1</v>
      </c>
      <c r="D45">
        <v>0</v>
      </c>
      <c r="E45" s="1" t="s">
        <v>37</v>
      </c>
    </row>
    <row r="46" spans="1:5" x14ac:dyDescent="0.2">
      <c r="A46" t="s">
        <v>31</v>
      </c>
      <c r="B46">
        <v>292.01</v>
      </c>
      <c r="C46">
        <v>1</v>
      </c>
      <c r="D46">
        <v>0</v>
      </c>
      <c r="E46" s="1" t="s">
        <v>37</v>
      </c>
    </row>
  </sheetData>
  <mergeCells count="1">
    <mergeCell ref="F3:F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filterMode="1"/>
  <dimension ref="A1:K122"/>
  <sheetViews>
    <sheetView workbookViewId="0">
      <pane ySplit="1" topLeftCell="A94" activePane="bottomLeft" state="frozen"/>
      <selection pane="bottomLeft" activeCell="A78" sqref="A78:B111"/>
    </sheetView>
  </sheetViews>
  <sheetFormatPr defaultRowHeight="12.75" x14ac:dyDescent="0.2"/>
  <cols>
    <col min="1" max="1" width="23.7109375" bestFit="1" customWidth="1"/>
    <col min="2" max="2" width="12.140625" style="63" bestFit="1" customWidth="1"/>
    <col min="3" max="3" width="12.140625" style="54" customWidth="1"/>
    <col min="4" max="4" width="12.140625" style="55" customWidth="1"/>
    <col min="5" max="5" width="12.85546875" style="56" bestFit="1" customWidth="1"/>
    <col min="6" max="6" width="9.140625" style="57"/>
    <col min="7" max="7" width="12" style="58" bestFit="1" customWidth="1"/>
    <col min="8" max="8" width="12" style="36" customWidth="1"/>
    <col min="9" max="9" width="13.28515625" style="34" bestFit="1" customWidth="1"/>
    <col min="10" max="10" width="14.42578125" style="34" bestFit="1" customWidth="1"/>
    <col min="11" max="11" width="11" style="34" bestFit="1" customWidth="1"/>
  </cols>
  <sheetData>
    <row r="1" spans="1:11" x14ac:dyDescent="0.2">
      <c r="A1" s="20" t="s">
        <v>57</v>
      </c>
      <c r="B1" s="30" t="s">
        <v>108</v>
      </c>
      <c r="C1" s="11" t="s">
        <v>72</v>
      </c>
      <c r="D1" s="11" t="s">
        <v>61</v>
      </c>
      <c r="E1" s="30" t="s">
        <v>18</v>
      </c>
      <c r="F1" s="32" t="s">
        <v>15</v>
      </c>
      <c r="G1" s="35" t="s">
        <v>13</v>
      </c>
      <c r="H1" s="35" t="s">
        <v>111</v>
      </c>
      <c r="I1" s="30" t="s">
        <v>17</v>
      </c>
      <c r="J1" s="30" t="s">
        <v>42</v>
      </c>
      <c r="K1" s="30" t="s">
        <v>19</v>
      </c>
    </row>
    <row r="2" spans="1:11" x14ac:dyDescent="0.2">
      <c r="A2" s="15" t="s">
        <v>53</v>
      </c>
      <c r="B2" s="59">
        <v>6.5</v>
      </c>
      <c r="C2" s="48">
        <v>0</v>
      </c>
      <c r="D2" s="49">
        <v>1</v>
      </c>
      <c r="E2" s="50">
        <v>0</v>
      </c>
      <c r="F2" s="51">
        <v>0</v>
      </c>
      <c r="G2" s="50">
        <v>1</v>
      </c>
      <c r="H2" s="19">
        <v>41861</v>
      </c>
      <c r="I2" s="21" t="s">
        <v>47</v>
      </c>
      <c r="J2" s="19">
        <v>41883</v>
      </c>
      <c r="K2" s="21" t="s">
        <v>50</v>
      </c>
    </row>
    <row r="3" spans="1:11" x14ac:dyDescent="0.2">
      <c r="A3" s="15" t="s">
        <v>46</v>
      </c>
      <c r="B3" s="59">
        <v>18</v>
      </c>
      <c r="C3" s="48">
        <v>0</v>
      </c>
      <c r="D3" s="49">
        <v>1</v>
      </c>
      <c r="E3" s="50">
        <v>0</v>
      </c>
      <c r="F3" s="51">
        <v>0</v>
      </c>
      <c r="G3" s="50">
        <v>1</v>
      </c>
      <c r="H3" s="19">
        <v>41861</v>
      </c>
      <c r="I3" s="21" t="s">
        <v>47</v>
      </c>
      <c r="J3" s="19">
        <v>41883</v>
      </c>
      <c r="K3" s="21" t="s">
        <v>22</v>
      </c>
    </row>
    <row r="4" spans="1:11" x14ac:dyDescent="0.2">
      <c r="A4" s="15" t="s">
        <v>87</v>
      </c>
      <c r="B4" s="59">
        <v>1.94</v>
      </c>
      <c r="C4" s="48">
        <v>0</v>
      </c>
      <c r="D4" s="49">
        <v>1</v>
      </c>
      <c r="E4" s="50">
        <v>0</v>
      </c>
      <c r="F4" s="51">
        <v>0</v>
      </c>
      <c r="G4" s="50">
        <v>1</v>
      </c>
      <c r="H4" s="19">
        <v>41861</v>
      </c>
      <c r="I4" s="21" t="s">
        <v>47</v>
      </c>
      <c r="J4" s="19">
        <v>41883</v>
      </c>
      <c r="K4" s="21" t="s">
        <v>22</v>
      </c>
    </row>
    <row r="5" spans="1:11" x14ac:dyDescent="0.2">
      <c r="A5" s="15" t="s">
        <v>88</v>
      </c>
      <c r="B5" s="59">
        <v>30</v>
      </c>
      <c r="C5" s="48">
        <v>1</v>
      </c>
      <c r="D5" s="49">
        <v>0</v>
      </c>
      <c r="E5" s="50">
        <v>0</v>
      </c>
      <c r="F5" s="51">
        <v>0</v>
      </c>
      <c r="G5" s="50">
        <v>1</v>
      </c>
      <c r="H5" s="19">
        <v>41861</v>
      </c>
      <c r="I5" s="21" t="s">
        <v>47</v>
      </c>
      <c r="J5" s="19">
        <v>41884</v>
      </c>
      <c r="K5" s="21" t="s">
        <v>60</v>
      </c>
    </row>
    <row r="6" spans="1:11" x14ac:dyDescent="0.2">
      <c r="A6" s="15" t="s">
        <v>89</v>
      </c>
      <c r="B6" s="59">
        <v>41</v>
      </c>
      <c r="C6" s="48">
        <v>1</v>
      </c>
      <c r="D6" s="49">
        <v>0</v>
      </c>
      <c r="E6" s="50">
        <v>0</v>
      </c>
      <c r="F6" s="51">
        <v>0</v>
      </c>
      <c r="G6" s="50">
        <v>1</v>
      </c>
      <c r="H6" s="19">
        <v>41861</v>
      </c>
      <c r="I6" s="21" t="s">
        <v>47</v>
      </c>
      <c r="J6" s="19">
        <v>41883</v>
      </c>
      <c r="K6" s="21" t="s">
        <v>22</v>
      </c>
    </row>
    <row r="7" spans="1:11" x14ac:dyDescent="0.2">
      <c r="A7" s="15" t="s">
        <v>87</v>
      </c>
      <c r="B7" s="59">
        <v>9.06</v>
      </c>
      <c r="C7" s="48">
        <v>0</v>
      </c>
      <c r="D7" s="49">
        <v>1</v>
      </c>
      <c r="E7" s="50">
        <v>0</v>
      </c>
      <c r="F7" s="51">
        <v>0</v>
      </c>
      <c r="G7" s="50">
        <v>1</v>
      </c>
      <c r="H7" s="19">
        <v>41861</v>
      </c>
      <c r="I7" s="21" t="s">
        <v>47</v>
      </c>
      <c r="J7" s="19">
        <v>41883</v>
      </c>
      <c r="K7" s="21" t="s">
        <v>22</v>
      </c>
    </row>
    <row r="8" spans="1:11" x14ac:dyDescent="0.2">
      <c r="A8" s="15" t="s">
        <v>94</v>
      </c>
      <c r="B8" s="59">
        <v>2</v>
      </c>
      <c r="C8" s="48">
        <v>0</v>
      </c>
      <c r="D8" s="49">
        <v>1</v>
      </c>
      <c r="E8" s="50">
        <v>0</v>
      </c>
      <c r="F8" s="51">
        <v>0</v>
      </c>
      <c r="G8" s="50">
        <v>1</v>
      </c>
      <c r="H8" s="19">
        <v>41861</v>
      </c>
      <c r="I8" s="21" t="s">
        <v>47</v>
      </c>
      <c r="J8" s="19">
        <v>41887</v>
      </c>
      <c r="K8" s="21" t="s">
        <v>50</v>
      </c>
    </row>
    <row r="9" spans="1:11" x14ac:dyDescent="0.2">
      <c r="A9" s="15" t="s">
        <v>44</v>
      </c>
      <c r="B9" s="59">
        <v>30</v>
      </c>
      <c r="C9" s="48">
        <v>0</v>
      </c>
      <c r="D9" s="49">
        <v>1</v>
      </c>
      <c r="E9" s="50">
        <v>0</v>
      </c>
      <c r="F9" s="51">
        <v>0</v>
      </c>
      <c r="G9" s="50">
        <v>1</v>
      </c>
      <c r="H9" s="19">
        <v>41861</v>
      </c>
      <c r="I9" s="21" t="s">
        <v>47</v>
      </c>
      <c r="J9" s="19">
        <v>41887</v>
      </c>
      <c r="K9" s="21" t="s">
        <v>60</v>
      </c>
    </row>
    <row r="10" spans="1:11" hidden="1" x14ac:dyDescent="0.2">
      <c r="A10" s="15" t="s">
        <v>90</v>
      </c>
      <c r="B10" s="59">
        <v>9.1999999999999993</v>
      </c>
      <c r="C10" s="48">
        <v>0</v>
      </c>
      <c r="D10" s="49">
        <v>1</v>
      </c>
      <c r="E10" s="50">
        <v>0</v>
      </c>
      <c r="F10" s="51">
        <v>1</v>
      </c>
      <c r="G10" s="49">
        <v>0</v>
      </c>
      <c r="H10" s="19">
        <v>41861</v>
      </c>
      <c r="I10" s="21" t="s">
        <v>47</v>
      </c>
      <c r="J10" s="19">
        <v>41883</v>
      </c>
      <c r="K10" s="21" t="s">
        <v>50</v>
      </c>
    </row>
    <row r="11" spans="1:11" hidden="1" x14ac:dyDescent="0.2">
      <c r="A11" s="15" t="s">
        <v>91</v>
      </c>
      <c r="B11" s="59">
        <v>19.95</v>
      </c>
      <c r="C11" s="48">
        <v>0</v>
      </c>
      <c r="D11" s="49">
        <v>1</v>
      </c>
      <c r="E11" s="50">
        <v>0</v>
      </c>
      <c r="F11" s="51">
        <v>1</v>
      </c>
      <c r="G11" s="49">
        <v>0</v>
      </c>
      <c r="H11" s="19">
        <v>41861</v>
      </c>
      <c r="I11" s="21" t="s">
        <v>47</v>
      </c>
      <c r="J11" s="19">
        <v>41887</v>
      </c>
      <c r="K11" s="21" t="s">
        <v>50</v>
      </c>
    </row>
    <row r="12" spans="1:11" hidden="1" x14ac:dyDescent="0.2">
      <c r="A12" s="15" t="s">
        <v>92</v>
      </c>
      <c r="B12" s="59">
        <v>8</v>
      </c>
      <c r="C12" s="48">
        <v>0</v>
      </c>
      <c r="D12" s="49">
        <v>1</v>
      </c>
      <c r="E12" s="50">
        <v>0</v>
      </c>
      <c r="F12" s="51">
        <v>1</v>
      </c>
      <c r="G12" s="49">
        <v>0</v>
      </c>
      <c r="H12" s="19">
        <v>41861</v>
      </c>
      <c r="I12" s="21" t="s">
        <v>47</v>
      </c>
      <c r="J12" s="19">
        <v>41887</v>
      </c>
      <c r="K12" s="21" t="s">
        <v>50</v>
      </c>
    </row>
    <row r="13" spans="1:11" hidden="1" x14ac:dyDescent="0.2">
      <c r="A13" s="15" t="s">
        <v>53</v>
      </c>
      <c r="B13" s="59">
        <v>4.8</v>
      </c>
      <c r="C13" s="48">
        <v>0</v>
      </c>
      <c r="D13" s="49">
        <v>1</v>
      </c>
      <c r="E13" s="50">
        <v>0</v>
      </c>
      <c r="F13" s="51">
        <v>1</v>
      </c>
      <c r="G13" s="49">
        <v>0</v>
      </c>
      <c r="H13" s="19">
        <v>41861</v>
      </c>
      <c r="I13" s="21" t="s">
        <v>47</v>
      </c>
      <c r="J13" s="19">
        <v>41886</v>
      </c>
      <c r="K13" s="21" t="s">
        <v>50</v>
      </c>
    </row>
    <row r="14" spans="1:11" hidden="1" x14ac:dyDescent="0.2">
      <c r="A14" s="15" t="s">
        <v>93</v>
      </c>
      <c r="B14" s="59">
        <v>20</v>
      </c>
      <c r="C14" s="48">
        <v>0</v>
      </c>
      <c r="D14" s="49">
        <v>1</v>
      </c>
      <c r="E14" s="50">
        <v>0</v>
      </c>
      <c r="F14" s="51">
        <v>1</v>
      </c>
      <c r="G14" s="49">
        <v>0</v>
      </c>
      <c r="H14" s="19">
        <v>41861</v>
      </c>
      <c r="I14" s="21" t="s">
        <v>47</v>
      </c>
      <c r="J14" s="19">
        <v>41886</v>
      </c>
      <c r="K14" s="21" t="s">
        <v>50</v>
      </c>
    </row>
    <row r="15" spans="1:11" hidden="1" x14ac:dyDescent="0.2">
      <c r="A15" s="15" t="s">
        <v>81</v>
      </c>
      <c r="B15" s="59">
        <v>21.92</v>
      </c>
      <c r="C15" s="48">
        <v>0</v>
      </c>
      <c r="D15" s="49">
        <v>1</v>
      </c>
      <c r="E15" s="50">
        <v>0</v>
      </c>
      <c r="F15" s="51">
        <v>1</v>
      </c>
      <c r="G15" s="49">
        <v>0</v>
      </c>
      <c r="H15" s="19">
        <v>41861</v>
      </c>
      <c r="I15" s="21" t="s">
        <v>47</v>
      </c>
      <c r="J15" s="19">
        <v>41887</v>
      </c>
      <c r="K15" s="21" t="s">
        <v>50</v>
      </c>
    </row>
    <row r="16" spans="1:11" hidden="1" x14ac:dyDescent="0.2">
      <c r="A16" s="15" t="s">
        <v>52</v>
      </c>
      <c r="B16" s="59">
        <v>26.41</v>
      </c>
      <c r="C16" s="48">
        <v>0</v>
      </c>
      <c r="D16" s="49">
        <v>1</v>
      </c>
      <c r="E16" s="50">
        <v>0</v>
      </c>
      <c r="F16" s="51">
        <v>1</v>
      </c>
      <c r="G16" s="49">
        <v>0</v>
      </c>
      <c r="H16" s="19">
        <v>41861</v>
      </c>
      <c r="I16" s="17" t="s">
        <v>49</v>
      </c>
      <c r="J16" s="19">
        <v>41888</v>
      </c>
      <c r="K16" s="21" t="s">
        <v>50</v>
      </c>
    </row>
    <row r="17" spans="1:11" hidden="1" x14ac:dyDescent="0.2">
      <c r="A17" s="15" t="s">
        <v>43</v>
      </c>
      <c r="B17" s="59">
        <v>60</v>
      </c>
      <c r="C17" s="48">
        <v>1</v>
      </c>
      <c r="D17" s="49">
        <v>0</v>
      </c>
      <c r="E17" s="50">
        <v>0</v>
      </c>
      <c r="F17" s="51">
        <v>1</v>
      </c>
      <c r="G17" s="49">
        <v>0</v>
      </c>
      <c r="H17" s="19">
        <v>41861</v>
      </c>
      <c r="I17" s="17" t="s">
        <v>49</v>
      </c>
      <c r="J17" s="19">
        <v>41888</v>
      </c>
      <c r="K17" s="21" t="s">
        <v>60</v>
      </c>
    </row>
    <row r="18" spans="1:11" hidden="1" x14ac:dyDescent="0.2">
      <c r="A18" s="15" t="s">
        <v>95</v>
      </c>
      <c r="B18" s="59">
        <v>6.9</v>
      </c>
      <c r="C18" s="48">
        <v>0</v>
      </c>
      <c r="D18" s="49">
        <v>1</v>
      </c>
      <c r="E18" s="50">
        <v>0</v>
      </c>
      <c r="F18" s="51">
        <v>1</v>
      </c>
      <c r="G18" s="49">
        <v>0</v>
      </c>
      <c r="H18" s="19">
        <v>41861</v>
      </c>
      <c r="I18" s="17" t="s">
        <v>49</v>
      </c>
      <c r="J18" s="19">
        <v>41888</v>
      </c>
      <c r="K18" s="21" t="s">
        <v>50</v>
      </c>
    </row>
    <row r="19" spans="1:11" hidden="1" x14ac:dyDescent="0.2">
      <c r="A19" s="15" t="s">
        <v>95</v>
      </c>
      <c r="B19" s="60">
        <v>8.9</v>
      </c>
      <c r="C19" s="48">
        <v>0</v>
      </c>
      <c r="D19" s="49">
        <v>1</v>
      </c>
      <c r="E19" s="50">
        <v>0</v>
      </c>
      <c r="F19" s="51">
        <v>1</v>
      </c>
      <c r="G19" s="52">
        <v>0</v>
      </c>
      <c r="H19" s="19">
        <v>41861</v>
      </c>
      <c r="I19" s="17" t="s">
        <v>49</v>
      </c>
      <c r="J19" s="19">
        <v>41888</v>
      </c>
      <c r="K19" s="21" t="s">
        <v>50</v>
      </c>
    </row>
    <row r="20" spans="1:11" hidden="1" x14ac:dyDescent="0.2">
      <c r="A20" s="2" t="s">
        <v>86</v>
      </c>
      <c r="B20" s="59">
        <v>26.53</v>
      </c>
      <c r="C20" s="48">
        <v>0</v>
      </c>
      <c r="D20" s="49">
        <v>1</v>
      </c>
      <c r="E20" s="50">
        <v>0</v>
      </c>
      <c r="F20" s="51">
        <v>1</v>
      </c>
      <c r="G20" s="49">
        <v>0</v>
      </c>
      <c r="H20" s="19">
        <v>41861</v>
      </c>
      <c r="I20" s="17" t="s">
        <v>49</v>
      </c>
      <c r="J20" s="19">
        <v>41889</v>
      </c>
      <c r="K20" s="21" t="s">
        <v>50</v>
      </c>
    </row>
    <row r="21" spans="1:11" hidden="1" x14ac:dyDescent="0.2">
      <c r="A21" s="15" t="s">
        <v>96</v>
      </c>
      <c r="B21" s="59">
        <v>24.7</v>
      </c>
      <c r="C21" s="48">
        <v>0</v>
      </c>
      <c r="D21" s="49">
        <v>1</v>
      </c>
      <c r="E21" s="50">
        <v>0</v>
      </c>
      <c r="F21" s="51">
        <v>1</v>
      </c>
      <c r="G21" s="49">
        <v>0</v>
      </c>
      <c r="H21" s="19">
        <v>41861</v>
      </c>
      <c r="I21" s="17" t="s">
        <v>51</v>
      </c>
      <c r="J21" s="19">
        <v>41890</v>
      </c>
      <c r="K21" s="21" t="s">
        <v>50</v>
      </c>
    </row>
    <row r="22" spans="1:11" hidden="1" x14ac:dyDescent="0.2">
      <c r="A22" s="15" t="s">
        <v>97</v>
      </c>
      <c r="B22" s="59">
        <v>7.2</v>
      </c>
      <c r="C22" s="48">
        <v>0</v>
      </c>
      <c r="D22" s="49">
        <v>1</v>
      </c>
      <c r="E22" s="50">
        <v>0</v>
      </c>
      <c r="F22" s="51">
        <v>1</v>
      </c>
      <c r="G22" s="49">
        <v>0</v>
      </c>
      <c r="H22" s="19">
        <v>41861</v>
      </c>
      <c r="I22" s="17" t="s">
        <v>51</v>
      </c>
      <c r="J22" s="19">
        <v>41891</v>
      </c>
      <c r="K22" s="21" t="s">
        <v>50</v>
      </c>
    </row>
    <row r="23" spans="1:11" hidden="1" x14ac:dyDescent="0.2">
      <c r="A23" s="15" t="s">
        <v>98</v>
      </c>
      <c r="B23" s="59">
        <v>35.200000000000003</v>
      </c>
      <c r="C23" s="48">
        <v>0</v>
      </c>
      <c r="D23" s="49">
        <v>1</v>
      </c>
      <c r="E23" s="50">
        <v>0</v>
      </c>
      <c r="F23" s="51">
        <v>1</v>
      </c>
      <c r="G23" s="49">
        <v>0</v>
      </c>
      <c r="H23" s="19">
        <v>41861</v>
      </c>
      <c r="I23" s="17" t="s">
        <v>51</v>
      </c>
      <c r="J23" s="19">
        <v>41891</v>
      </c>
      <c r="K23" s="21" t="s">
        <v>50</v>
      </c>
    </row>
    <row r="24" spans="1:11" x14ac:dyDescent="0.2">
      <c r="A24" s="15" t="s">
        <v>44</v>
      </c>
      <c r="B24" s="59">
        <v>10</v>
      </c>
      <c r="C24" s="48">
        <v>1</v>
      </c>
      <c r="D24" s="49">
        <v>0</v>
      </c>
      <c r="E24" s="50">
        <v>0</v>
      </c>
      <c r="F24" s="51">
        <v>0</v>
      </c>
      <c r="G24" s="50">
        <v>1</v>
      </c>
      <c r="H24" s="19">
        <v>41892</v>
      </c>
      <c r="I24" s="17" t="s">
        <v>51</v>
      </c>
      <c r="J24" s="19">
        <v>41892</v>
      </c>
      <c r="K24" s="21" t="s">
        <v>60</v>
      </c>
    </row>
    <row r="25" spans="1:11" hidden="1" x14ac:dyDescent="0.2">
      <c r="A25" s="15" t="s">
        <v>96</v>
      </c>
      <c r="B25" s="59">
        <v>26.9</v>
      </c>
      <c r="C25" s="48">
        <v>0</v>
      </c>
      <c r="D25" s="49">
        <v>1</v>
      </c>
      <c r="E25" s="50">
        <v>0</v>
      </c>
      <c r="F25" s="51">
        <v>1</v>
      </c>
      <c r="G25" s="49">
        <v>0</v>
      </c>
      <c r="H25" s="19">
        <v>41892</v>
      </c>
      <c r="I25" s="17" t="s">
        <v>51</v>
      </c>
      <c r="J25" s="19">
        <v>41892</v>
      </c>
      <c r="K25" s="21" t="s">
        <v>50</v>
      </c>
    </row>
    <row r="26" spans="1:11" hidden="1" x14ac:dyDescent="0.2">
      <c r="A26" s="15" t="s">
        <v>99</v>
      </c>
      <c r="B26" s="59">
        <v>12.52</v>
      </c>
      <c r="C26" s="48">
        <v>0</v>
      </c>
      <c r="D26" s="49">
        <v>1</v>
      </c>
      <c r="E26" s="50">
        <v>0</v>
      </c>
      <c r="F26" s="51">
        <v>1</v>
      </c>
      <c r="G26" s="49">
        <v>0</v>
      </c>
      <c r="H26" s="19">
        <v>41892</v>
      </c>
      <c r="I26" s="17" t="s">
        <v>51</v>
      </c>
      <c r="J26" s="19">
        <v>41892</v>
      </c>
      <c r="K26" s="21" t="s">
        <v>107</v>
      </c>
    </row>
    <row r="27" spans="1:11" hidden="1" x14ac:dyDescent="0.2">
      <c r="A27" s="15" t="s">
        <v>100</v>
      </c>
      <c r="B27" s="59">
        <v>12.66</v>
      </c>
      <c r="C27" s="48">
        <v>0</v>
      </c>
      <c r="D27" s="49">
        <v>1</v>
      </c>
      <c r="E27" s="50">
        <v>0</v>
      </c>
      <c r="F27" s="51">
        <v>1</v>
      </c>
      <c r="G27" s="49">
        <v>0</v>
      </c>
      <c r="H27" s="19">
        <v>41892</v>
      </c>
      <c r="I27" s="17" t="s">
        <v>51</v>
      </c>
      <c r="J27" s="19">
        <v>41893</v>
      </c>
      <c r="K27" s="21" t="s">
        <v>50</v>
      </c>
    </row>
    <row r="28" spans="1:11" hidden="1" x14ac:dyDescent="0.2">
      <c r="A28" s="15" t="s">
        <v>74</v>
      </c>
      <c r="B28" s="59">
        <v>21.5</v>
      </c>
      <c r="C28" s="48">
        <v>0</v>
      </c>
      <c r="D28" s="49">
        <v>1</v>
      </c>
      <c r="E28" s="50">
        <v>0</v>
      </c>
      <c r="F28" s="51">
        <v>1</v>
      </c>
      <c r="G28" s="49">
        <v>0</v>
      </c>
      <c r="H28" s="19">
        <v>41892</v>
      </c>
      <c r="I28" s="17" t="s">
        <v>51</v>
      </c>
      <c r="J28" s="19">
        <v>41893</v>
      </c>
      <c r="K28" s="21" t="s">
        <v>50</v>
      </c>
    </row>
    <row r="29" spans="1:11" hidden="1" x14ac:dyDescent="0.2">
      <c r="A29" s="15" t="s">
        <v>101</v>
      </c>
      <c r="B29" s="59">
        <v>6.69</v>
      </c>
      <c r="C29" s="48">
        <v>0</v>
      </c>
      <c r="D29" s="49">
        <v>1</v>
      </c>
      <c r="E29" s="50">
        <v>0</v>
      </c>
      <c r="F29" s="51">
        <v>1</v>
      </c>
      <c r="G29" s="49">
        <v>0</v>
      </c>
      <c r="H29" s="19">
        <v>41892</v>
      </c>
      <c r="I29" s="17" t="s">
        <v>51</v>
      </c>
      <c r="J29" s="19">
        <v>41894</v>
      </c>
      <c r="K29" s="21" t="s">
        <v>50</v>
      </c>
    </row>
    <row r="30" spans="1:11" hidden="1" x14ac:dyDescent="0.2">
      <c r="A30" s="15" t="s">
        <v>102</v>
      </c>
      <c r="B30" s="59">
        <v>9.74</v>
      </c>
      <c r="C30" s="48">
        <v>0</v>
      </c>
      <c r="D30" s="49">
        <v>1</v>
      </c>
      <c r="E30" s="50">
        <v>0</v>
      </c>
      <c r="F30" s="51">
        <v>1</v>
      </c>
      <c r="G30" s="49">
        <v>0</v>
      </c>
      <c r="H30" s="19">
        <v>41892</v>
      </c>
      <c r="I30" s="17" t="s">
        <v>51</v>
      </c>
      <c r="J30" s="19">
        <v>41893</v>
      </c>
      <c r="K30" s="21" t="s">
        <v>107</v>
      </c>
    </row>
    <row r="31" spans="1:11" hidden="1" x14ac:dyDescent="0.2">
      <c r="A31" s="38" t="s">
        <v>103</v>
      </c>
      <c r="B31" s="41">
        <v>8.98</v>
      </c>
      <c r="C31" s="48">
        <v>0</v>
      </c>
      <c r="D31" s="48">
        <v>1</v>
      </c>
      <c r="E31" s="53">
        <v>0</v>
      </c>
      <c r="F31" s="53">
        <v>1</v>
      </c>
      <c r="G31" s="48">
        <v>0</v>
      </c>
      <c r="H31" s="43">
        <v>41892</v>
      </c>
      <c r="I31" s="43" t="s">
        <v>51</v>
      </c>
      <c r="J31" s="43">
        <v>41893</v>
      </c>
      <c r="K31" s="44" t="s">
        <v>107</v>
      </c>
    </row>
    <row r="32" spans="1:11" x14ac:dyDescent="0.2">
      <c r="A32" s="38" t="s">
        <v>44</v>
      </c>
      <c r="B32" s="41">
        <v>100</v>
      </c>
      <c r="C32" s="48">
        <v>1</v>
      </c>
      <c r="D32" s="48">
        <v>0</v>
      </c>
      <c r="E32" s="53">
        <v>0</v>
      </c>
      <c r="F32" s="53">
        <v>0</v>
      </c>
      <c r="G32" s="53">
        <v>1</v>
      </c>
      <c r="H32" s="43">
        <v>41892</v>
      </c>
      <c r="I32" s="43" t="s">
        <v>51</v>
      </c>
      <c r="J32" s="43">
        <v>41894</v>
      </c>
      <c r="K32" s="44" t="s">
        <v>60</v>
      </c>
    </row>
    <row r="33" spans="1:11" x14ac:dyDescent="0.2">
      <c r="A33" s="38" t="s">
        <v>104</v>
      </c>
      <c r="B33" s="41">
        <v>10</v>
      </c>
      <c r="C33" s="48">
        <v>0</v>
      </c>
      <c r="D33" s="48">
        <v>1</v>
      </c>
      <c r="E33" s="53">
        <v>0</v>
      </c>
      <c r="F33" s="53">
        <v>0</v>
      </c>
      <c r="G33" s="53">
        <v>1</v>
      </c>
      <c r="H33" s="43">
        <v>41892</v>
      </c>
      <c r="I33" s="43" t="s">
        <v>51</v>
      </c>
      <c r="J33" s="43">
        <v>41894</v>
      </c>
      <c r="K33" s="44" t="s">
        <v>107</v>
      </c>
    </row>
    <row r="34" spans="1:11" hidden="1" x14ac:dyDescent="0.2">
      <c r="A34" s="38" t="s">
        <v>43</v>
      </c>
      <c r="B34" s="41">
        <v>60</v>
      </c>
      <c r="C34" s="48">
        <v>1</v>
      </c>
      <c r="D34" s="48">
        <v>0</v>
      </c>
      <c r="E34" s="53">
        <v>0</v>
      </c>
      <c r="F34" s="53">
        <v>1</v>
      </c>
      <c r="G34" s="48">
        <v>0</v>
      </c>
      <c r="H34" s="43">
        <v>41892</v>
      </c>
      <c r="I34" s="43" t="s">
        <v>49</v>
      </c>
      <c r="J34" s="43">
        <v>41895</v>
      </c>
      <c r="K34" s="44" t="s">
        <v>60</v>
      </c>
    </row>
    <row r="35" spans="1:11" hidden="1" x14ac:dyDescent="0.2">
      <c r="A35" s="38" t="s">
        <v>96</v>
      </c>
      <c r="B35" s="41">
        <v>24.7</v>
      </c>
      <c r="C35" s="48">
        <v>0</v>
      </c>
      <c r="D35" s="48">
        <v>1</v>
      </c>
      <c r="E35" s="53">
        <v>0</v>
      </c>
      <c r="F35" s="53">
        <v>1</v>
      </c>
      <c r="G35" s="48">
        <v>0</v>
      </c>
      <c r="H35" s="43">
        <v>41892</v>
      </c>
      <c r="I35" s="43" t="s">
        <v>51</v>
      </c>
      <c r="J35" s="43">
        <v>41894</v>
      </c>
      <c r="K35" s="44" t="s">
        <v>50</v>
      </c>
    </row>
    <row r="36" spans="1:11" hidden="1" x14ac:dyDescent="0.2">
      <c r="A36" s="38" t="s">
        <v>105</v>
      </c>
      <c r="B36" s="39">
        <v>117.92</v>
      </c>
      <c r="C36" s="48">
        <v>0</v>
      </c>
      <c r="D36" s="48">
        <v>1</v>
      </c>
      <c r="E36" s="53">
        <v>0</v>
      </c>
      <c r="F36" s="53">
        <v>1</v>
      </c>
      <c r="G36" s="48">
        <v>0</v>
      </c>
      <c r="H36" s="43">
        <v>41892</v>
      </c>
      <c r="I36" s="43" t="s">
        <v>49</v>
      </c>
      <c r="J36" s="43">
        <v>41895</v>
      </c>
      <c r="K36" s="44" t="s">
        <v>50</v>
      </c>
    </row>
    <row r="37" spans="1:11" hidden="1" x14ac:dyDescent="0.2">
      <c r="A37" s="38" t="s">
        <v>106</v>
      </c>
      <c r="B37" s="41">
        <v>41.5</v>
      </c>
      <c r="C37" s="48">
        <v>0</v>
      </c>
      <c r="D37" s="48">
        <v>1</v>
      </c>
      <c r="E37" s="53">
        <v>0</v>
      </c>
      <c r="F37" s="53">
        <v>1</v>
      </c>
      <c r="G37" s="48">
        <v>0</v>
      </c>
      <c r="H37" s="43">
        <v>41892</v>
      </c>
      <c r="I37" s="43" t="s">
        <v>49</v>
      </c>
      <c r="J37" s="43">
        <v>41895</v>
      </c>
      <c r="K37" s="44" t="s">
        <v>50</v>
      </c>
    </row>
    <row r="38" spans="1:11" hidden="1" x14ac:dyDescent="0.2">
      <c r="A38" s="38" t="s">
        <v>52</v>
      </c>
      <c r="B38" s="41">
        <v>300</v>
      </c>
      <c r="C38" s="48">
        <v>0</v>
      </c>
      <c r="D38" s="48">
        <v>1</v>
      </c>
      <c r="E38" s="53">
        <v>0</v>
      </c>
      <c r="F38" s="53">
        <v>1</v>
      </c>
      <c r="G38" s="48">
        <v>0</v>
      </c>
      <c r="H38" s="43">
        <v>41892</v>
      </c>
      <c r="I38" s="43" t="s">
        <v>49</v>
      </c>
      <c r="J38" s="43">
        <v>41895</v>
      </c>
      <c r="K38" s="44" t="s">
        <v>50</v>
      </c>
    </row>
    <row r="39" spans="1:11" hidden="1" x14ac:dyDescent="0.2">
      <c r="A39" s="38" t="s">
        <v>107</v>
      </c>
      <c r="B39" s="41">
        <v>13.45</v>
      </c>
      <c r="C39" s="48">
        <v>0</v>
      </c>
      <c r="D39" s="48">
        <v>1</v>
      </c>
      <c r="E39" s="53">
        <v>0</v>
      </c>
      <c r="F39" s="53">
        <v>1</v>
      </c>
      <c r="G39" s="48">
        <v>0</v>
      </c>
      <c r="H39" s="43">
        <v>41892</v>
      </c>
      <c r="I39" s="43" t="s">
        <v>49</v>
      </c>
      <c r="J39" s="43">
        <v>41895</v>
      </c>
      <c r="K39" s="44" t="s">
        <v>107</v>
      </c>
    </row>
    <row r="40" spans="1:11" x14ac:dyDescent="0.2">
      <c r="A40" s="38" t="s">
        <v>109</v>
      </c>
      <c r="B40" s="41">
        <v>14</v>
      </c>
      <c r="C40" s="48">
        <v>0</v>
      </c>
      <c r="D40" s="48">
        <v>1</v>
      </c>
      <c r="E40" s="53">
        <v>0</v>
      </c>
      <c r="F40" s="53">
        <v>0</v>
      </c>
      <c r="G40" s="48">
        <v>1</v>
      </c>
      <c r="H40" s="43">
        <v>41892</v>
      </c>
      <c r="I40" s="43" t="s">
        <v>49</v>
      </c>
      <c r="J40" s="43">
        <v>41896</v>
      </c>
      <c r="K40" s="44" t="s">
        <v>22</v>
      </c>
    </row>
    <row r="41" spans="1:11" x14ac:dyDescent="0.2">
      <c r="A41" s="38" t="s">
        <v>110</v>
      </c>
      <c r="B41" s="41">
        <v>5</v>
      </c>
      <c r="C41" s="48">
        <v>0</v>
      </c>
      <c r="D41" s="48">
        <v>1</v>
      </c>
      <c r="E41" s="53">
        <v>0</v>
      </c>
      <c r="F41" s="53">
        <v>0</v>
      </c>
      <c r="G41" s="48">
        <v>1</v>
      </c>
      <c r="H41" s="43">
        <v>41892</v>
      </c>
      <c r="I41" s="43" t="s">
        <v>54</v>
      </c>
      <c r="J41" s="43">
        <v>41898</v>
      </c>
      <c r="K41" s="44" t="s">
        <v>50</v>
      </c>
    </row>
    <row r="42" spans="1:11" x14ac:dyDescent="0.2">
      <c r="A42" s="38" t="s">
        <v>48</v>
      </c>
      <c r="B42" s="41">
        <v>10</v>
      </c>
      <c r="C42" s="48">
        <v>0</v>
      </c>
      <c r="D42" s="48">
        <v>1</v>
      </c>
      <c r="E42" s="53">
        <v>0</v>
      </c>
      <c r="F42" s="53">
        <v>0</v>
      </c>
      <c r="G42" s="48">
        <v>1</v>
      </c>
      <c r="H42" s="43">
        <v>41892</v>
      </c>
      <c r="I42" s="43" t="s">
        <v>54</v>
      </c>
      <c r="J42" s="43">
        <v>41899</v>
      </c>
      <c r="K42" s="44" t="s">
        <v>22</v>
      </c>
    </row>
    <row r="43" spans="1:11" x14ac:dyDescent="0.2">
      <c r="A43" s="37" t="s">
        <v>23</v>
      </c>
      <c r="B43" s="41">
        <v>347.25</v>
      </c>
      <c r="C43" s="48">
        <v>1</v>
      </c>
      <c r="D43" s="48">
        <v>0</v>
      </c>
      <c r="E43" s="53">
        <v>0</v>
      </c>
      <c r="F43" s="53">
        <v>0</v>
      </c>
      <c r="G43" s="48">
        <v>1</v>
      </c>
      <c r="H43" s="43">
        <v>41892</v>
      </c>
      <c r="I43" s="21" t="s">
        <v>47</v>
      </c>
      <c r="J43" s="43">
        <v>41892</v>
      </c>
      <c r="K43" s="44" t="s">
        <v>41</v>
      </c>
    </row>
    <row r="44" spans="1:11" x14ac:dyDescent="0.2">
      <c r="A44" s="37" t="s">
        <v>3</v>
      </c>
      <c r="B44" s="41">
        <v>88.94</v>
      </c>
      <c r="C44" s="48">
        <v>1</v>
      </c>
      <c r="D44" s="48">
        <v>0</v>
      </c>
      <c r="E44" s="53">
        <v>0</v>
      </c>
      <c r="F44" s="53">
        <v>0</v>
      </c>
      <c r="G44" s="48">
        <v>1</v>
      </c>
      <c r="H44" s="43">
        <v>41892</v>
      </c>
      <c r="I44" s="21" t="s">
        <v>47</v>
      </c>
      <c r="J44" s="43">
        <v>41892</v>
      </c>
      <c r="K44" s="44" t="s">
        <v>41</v>
      </c>
    </row>
    <row r="45" spans="1:11" x14ac:dyDescent="0.2">
      <c r="A45" s="38" t="s">
        <v>1</v>
      </c>
      <c r="B45" s="41">
        <v>237.49</v>
      </c>
      <c r="C45" s="48">
        <v>1</v>
      </c>
      <c r="D45" s="48">
        <v>0</v>
      </c>
      <c r="E45" s="53">
        <v>0</v>
      </c>
      <c r="F45" s="53">
        <v>0</v>
      </c>
      <c r="G45" s="48">
        <v>1</v>
      </c>
      <c r="H45" s="43">
        <v>41892</v>
      </c>
      <c r="I45" s="21" t="s">
        <v>47</v>
      </c>
      <c r="J45" s="43">
        <v>41892</v>
      </c>
      <c r="K45" s="44" t="s">
        <v>41</v>
      </c>
    </row>
    <row r="46" spans="1:11" x14ac:dyDescent="0.2">
      <c r="A46" s="37" t="s">
        <v>58</v>
      </c>
      <c r="B46" s="40">
        <v>80</v>
      </c>
      <c r="C46" s="48">
        <v>1</v>
      </c>
      <c r="D46" s="48">
        <v>0</v>
      </c>
      <c r="E46" s="53">
        <v>0</v>
      </c>
      <c r="F46" s="53">
        <v>0</v>
      </c>
      <c r="G46" s="48">
        <v>1</v>
      </c>
      <c r="H46" s="43">
        <v>41892</v>
      </c>
      <c r="I46" s="21" t="s">
        <v>47</v>
      </c>
      <c r="J46" s="43">
        <v>41892</v>
      </c>
      <c r="K46" s="44" t="s">
        <v>41</v>
      </c>
    </row>
    <row r="47" spans="1:11" x14ac:dyDescent="0.2">
      <c r="A47" s="37" t="s">
        <v>1</v>
      </c>
      <c r="B47" s="41">
        <v>164.8</v>
      </c>
      <c r="C47" s="48">
        <v>1</v>
      </c>
      <c r="D47" s="48">
        <v>0</v>
      </c>
      <c r="E47" s="53">
        <v>0</v>
      </c>
      <c r="F47" s="53">
        <v>0</v>
      </c>
      <c r="G47" s="48">
        <v>1</v>
      </c>
      <c r="H47" s="43">
        <v>41892</v>
      </c>
      <c r="I47" s="21" t="s">
        <v>47</v>
      </c>
      <c r="J47" s="43">
        <v>41892</v>
      </c>
      <c r="K47" s="44" t="s">
        <v>41</v>
      </c>
    </row>
    <row r="48" spans="1:11" x14ac:dyDescent="0.2">
      <c r="A48" s="37" t="s">
        <v>26</v>
      </c>
      <c r="B48" s="61">
        <v>501.76</v>
      </c>
      <c r="C48" s="48">
        <v>1</v>
      </c>
      <c r="D48" s="48">
        <v>0</v>
      </c>
      <c r="E48" s="53">
        <v>0</v>
      </c>
      <c r="F48" s="53">
        <v>0</v>
      </c>
      <c r="G48" s="48">
        <v>1</v>
      </c>
      <c r="H48" s="43">
        <v>41892</v>
      </c>
      <c r="I48" s="21" t="s">
        <v>47</v>
      </c>
      <c r="J48" s="43">
        <v>41892</v>
      </c>
      <c r="K48" s="44" t="s">
        <v>41</v>
      </c>
    </row>
    <row r="49" spans="1:11" x14ac:dyDescent="0.2">
      <c r="A49" s="37" t="s">
        <v>28</v>
      </c>
      <c r="B49" s="61">
        <v>38.5</v>
      </c>
      <c r="C49" s="48">
        <v>1</v>
      </c>
      <c r="D49" s="48">
        <v>0</v>
      </c>
      <c r="E49" s="53">
        <v>0</v>
      </c>
      <c r="F49" s="53">
        <v>0</v>
      </c>
      <c r="G49" s="48">
        <v>1</v>
      </c>
      <c r="H49" s="43">
        <v>41892</v>
      </c>
      <c r="I49" s="21" t="s">
        <v>47</v>
      </c>
      <c r="J49" s="43">
        <v>41892</v>
      </c>
      <c r="K49" s="44" t="s">
        <v>41</v>
      </c>
    </row>
    <row r="50" spans="1:11" x14ac:dyDescent="0.2">
      <c r="A50" s="37" t="s">
        <v>27</v>
      </c>
      <c r="B50" s="61">
        <v>282.25</v>
      </c>
      <c r="C50" s="48">
        <v>1</v>
      </c>
      <c r="D50" s="48">
        <v>0</v>
      </c>
      <c r="E50" s="53">
        <v>0</v>
      </c>
      <c r="F50" s="53">
        <v>0</v>
      </c>
      <c r="G50" s="48">
        <v>1</v>
      </c>
      <c r="H50" s="43">
        <v>41892</v>
      </c>
      <c r="I50" s="21" t="s">
        <v>47</v>
      </c>
      <c r="J50" s="43">
        <v>41892</v>
      </c>
      <c r="K50" s="44" t="s">
        <v>41</v>
      </c>
    </row>
    <row r="51" spans="1:11" x14ac:dyDescent="0.2">
      <c r="A51" s="37" t="s">
        <v>29</v>
      </c>
      <c r="B51" s="62">
        <v>40.78</v>
      </c>
      <c r="C51" s="48">
        <v>1</v>
      </c>
      <c r="D51" s="48">
        <v>0</v>
      </c>
      <c r="E51" s="53">
        <v>0</v>
      </c>
      <c r="F51" s="53">
        <v>0</v>
      </c>
      <c r="G51" s="48">
        <v>1</v>
      </c>
      <c r="H51" s="43">
        <v>41892</v>
      </c>
      <c r="I51" s="21" t="s">
        <v>47</v>
      </c>
      <c r="J51" s="43">
        <v>41892</v>
      </c>
      <c r="K51" s="44" t="s">
        <v>41</v>
      </c>
    </row>
    <row r="52" spans="1:11" x14ac:dyDescent="0.2">
      <c r="A52" s="38" t="s">
        <v>2</v>
      </c>
      <c r="B52" s="40">
        <v>50</v>
      </c>
      <c r="C52" s="48">
        <v>1</v>
      </c>
      <c r="D52" s="48">
        <v>0</v>
      </c>
      <c r="E52" s="53">
        <v>0</v>
      </c>
      <c r="F52" s="53">
        <v>0</v>
      </c>
      <c r="G52" s="48">
        <v>1</v>
      </c>
      <c r="H52" s="43">
        <v>41892</v>
      </c>
      <c r="I52" s="21" t="s">
        <v>47</v>
      </c>
      <c r="J52" s="43">
        <v>41892</v>
      </c>
      <c r="K52" s="44" t="s">
        <v>41</v>
      </c>
    </row>
    <row r="53" spans="1:11" x14ac:dyDescent="0.2">
      <c r="A53" s="45" t="s">
        <v>38</v>
      </c>
      <c r="B53" s="62">
        <v>51.9</v>
      </c>
      <c r="C53" s="48">
        <v>1</v>
      </c>
      <c r="D53" s="48">
        <v>0</v>
      </c>
      <c r="E53" s="53">
        <v>0</v>
      </c>
      <c r="F53" s="53">
        <v>0</v>
      </c>
      <c r="G53" s="48">
        <v>1</v>
      </c>
      <c r="H53" s="43">
        <v>41892</v>
      </c>
      <c r="I53" s="21" t="s">
        <v>47</v>
      </c>
      <c r="J53" s="43">
        <v>41892</v>
      </c>
      <c r="K53" s="44" t="s">
        <v>41</v>
      </c>
    </row>
    <row r="54" spans="1:11" x14ac:dyDescent="0.2">
      <c r="A54" s="45" t="s">
        <v>39</v>
      </c>
      <c r="B54" s="62">
        <v>41</v>
      </c>
      <c r="C54" s="48">
        <v>1</v>
      </c>
      <c r="D54" s="48">
        <v>0</v>
      </c>
      <c r="E54" s="53">
        <v>0</v>
      </c>
      <c r="F54" s="53">
        <v>0</v>
      </c>
      <c r="G54" s="48">
        <v>1</v>
      </c>
      <c r="H54" s="43">
        <v>41892</v>
      </c>
      <c r="I54" s="21" t="s">
        <v>47</v>
      </c>
      <c r="J54" s="43">
        <v>41892</v>
      </c>
      <c r="K54" s="44" t="s">
        <v>41</v>
      </c>
    </row>
    <row r="55" spans="1:11" x14ac:dyDescent="0.2">
      <c r="A55" s="37" t="s">
        <v>40</v>
      </c>
      <c r="B55" s="62">
        <v>4.99</v>
      </c>
      <c r="C55" s="48">
        <v>1</v>
      </c>
      <c r="D55" s="48">
        <v>0</v>
      </c>
      <c r="E55" s="53">
        <v>0</v>
      </c>
      <c r="F55" s="53">
        <v>0</v>
      </c>
      <c r="G55" s="48">
        <v>1</v>
      </c>
      <c r="H55" s="43">
        <v>41892</v>
      </c>
      <c r="I55" s="21" t="s">
        <v>47</v>
      </c>
      <c r="J55" s="43">
        <v>41892</v>
      </c>
      <c r="K55" s="44" t="s">
        <v>41</v>
      </c>
    </row>
    <row r="56" spans="1:11" x14ac:dyDescent="0.2">
      <c r="A56" s="37" t="s">
        <v>24</v>
      </c>
      <c r="B56" s="40">
        <v>400</v>
      </c>
      <c r="C56" s="48">
        <v>1</v>
      </c>
      <c r="D56" s="48">
        <v>0</v>
      </c>
      <c r="E56" s="53">
        <v>1</v>
      </c>
      <c r="F56" s="53">
        <v>0</v>
      </c>
      <c r="G56" s="48">
        <v>1</v>
      </c>
      <c r="H56" s="43">
        <v>41922</v>
      </c>
      <c r="I56" s="21" t="s">
        <v>47</v>
      </c>
      <c r="J56" s="43">
        <v>41922</v>
      </c>
      <c r="K56" s="44" t="s">
        <v>41</v>
      </c>
    </row>
    <row r="57" spans="1:11" x14ac:dyDescent="0.2">
      <c r="A57" s="37" t="s">
        <v>25</v>
      </c>
      <c r="B57" s="41">
        <v>120</v>
      </c>
      <c r="C57" s="48">
        <v>1</v>
      </c>
      <c r="D57" s="48">
        <v>0</v>
      </c>
      <c r="E57" s="53">
        <v>0</v>
      </c>
      <c r="F57" s="53">
        <v>0</v>
      </c>
      <c r="G57" s="48">
        <v>1</v>
      </c>
      <c r="H57" s="43">
        <v>41892</v>
      </c>
      <c r="I57" s="21" t="s">
        <v>47</v>
      </c>
      <c r="J57" s="43">
        <v>41892</v>
      </c>
      <c r="K57" s="44" t="s">
        <v>41</v>
      </c>
    </row>
    <row r="58" spans="1:11" x14ac:dyDescent="0.2">
      <c r="A58" s="37" t="s">
        <v>12</v>
      </c>
      <c r="B58" s="42">
        <v>536.46</v>
      </c>
      <c r="C58" s="48">
        <v>1</v>
      </c>
      <c r="D58" s="48">
        <v>0</v>
      </c>
      <c r="E58" s="53">
        <v>0</v>
      </c>
      <c r="F58" s="53">
        <v>0</v>
      </c>
      <c r="G58" s="48">
        <v>1</v>
      </c>
      <c r="H58" s="43">
        <v>41892</v>
      </c>
      <c r="I58" s="21" t="s">
        <v>47</v>
      </c>
      <c r="J58" s="43">
        <v>41892</v>
      </c>
      <c r="K58" s="44" t="s">
        <v>41</v>
      </c>
    </row>
    <row r="59" spans="1:11" x14ac:dyDescent="0.2">
      <c r="A59" s="37" t="s">
        <v>21</v>
      </c>
      <c r="B59" s="40">
        <v>2445.1999999999998</v>
      </c>
      <c r="C59" s="48">
        <v>1</v>
      </c>
      <c r="D59" s="48">
        <v>0</v>
      </c>
      <c r="E59" s="47">
        <v>0</v>
      </c>
      <c r="F59" s="53">
        <v>0</v>
      </c>
      <c r="G59" s="48">
        <v>1</v>
      </c>
      <c r="H59" s="43">
        <v>41892</v>
      </c>
      <c r="I59" s="21" t="s">
        <v>47</v>
      </c>
      <c r="J59" s="43">
        <v>41892</v>
      </c>
      <c r="K59" s="44" t="s">
        <v>41</v>
      </c>
    </row>
    <row r="60" spans="1:11" x14ac:dyDescent="0.2">
      <c r="A60" s="37" t="s">
        <v>24</v>
      </c>
      <c r="B60" s="40">
        <v>400</v>
      </c>
      <c r="C60" s="47">
        <v>1</v>
      </c>
      <c r="D60" s="47">
        <v>0</v>
      </c>
      <c r="E60" s="47">
        <v>0</v>
      </c>
      <c r="F60" s="53">
        <v>0</v>
      </c>
      <c r="G60" s="53">
        <v>1</v>
      </c>
      <c r="H60" s="43">
        <v>41892</v>
      </c>
      <c r="I60" s="21" t="s">
        <v>47</v>
      </c>
      <c r="J60" s="43">
        <v>41892</v>
      </c>
      <c r="K60" s="44" t="s">
        <v>41</v>
      </c>
    </row>
    <row r="61" spans="1:11" x14ac:dyDescent="0.2">
      <c r="A61" s="37" t="s">
        <v>23</v>
      </c>
      <c r="B61" s="59">
        <v>365.57</v>
      </c>
      <c r="C61" s="47">
        <v>1</v>
      </c>
      <c r="D61" s="65">
        <v>0</v>
      </c>
      <c r="E61" s="65">
        <v>1</v>
      </c>
      <c r="F61" s="50">
        <v>0</v>
      </c>
      <c r="G61" s="50" t="e">
        <f>#N/A</f>
        <v>#N/A</v>
      </c>
      <c r="H61" s="43">
        <v>41922</v>
      </c>
      <c r="I61" s="21" t="s">
        <v>47</v>
      </c>
      <c r="J61" s="43">
        <v>41922</v>
      </c>
      <c r="K61" s="44" t="s">
        <v>41</v>
      </c>
    </row>
    <row r="62" spans="1:11" hidden="1" x14ac:dyDescent="0.2">
      <c r="A62" s="37" t="s">
        <v>43</v>
      </c>
      <c r="B62" s="60">
        <v>60</v>
      </c>
      <c r="C62" s="47">
        <v>1</v>
      </c>
      <c r="D62" s="65">
        <v>0</v>
      </c>
      <c r="E62" s="65">
        <v>0</v>
      </c>
      <c r="F62" s="50">
        <v>1</v>
      </c>
      <c r="G62" s="50" t="e">
        <f>#N/A</f>
        <v>#N/A</v>
      </c>
      <c r="H62" s="19">
        <v>41892</v>
      </c>
      <c r="I62" s="66" t="s">
        <v>49</v>
      </c>
      <c r="J62" s="19">
        <v>41902</v>
      </c>
      <c r="K62" s="66" t="s">
        <v>60</v>
      </c>
    </row>
    <row r="63" spans="1:11" hidden="1" x14ac:dyDescent="0.2">
      <c r="A63" s="37" t="s">
        <v>112</v>
      </c>
      <c r="B63" s="60">
        <v>6</v>
      </c>
      <c r="C63" s="47">
        <v>0</v>
      </c>
      <c r="D63" s="65">
        <v>1</v>
      </c>
      <c r="E63" s="65">
        <v>0</v>
      </c>
      <c r="F63" s="50">
        <v>1</v>
      </c>
      <c r="G63" s="50" t="e">
        <f>#N/A</f>
        <v>#N/A</v>
      </c>
      <c r="H63" s="19">
        <v>41892</v>
      </c>
      <c r="I63" s="43" t="s">
        <v>54</v>
      </c>
      <c r="J63" s="19">
        <v>41901</v>
      </c>
      <c r="K63" s="66" t="s">
        <v>50</v>
      </c>
    </row>
    <row r="64" spans="1:11" hidden="1" x14ac:dyDescent="0.2">
      <c r="A64" s="37" t="s">
        <v>113</v>
      </c>
      <c r="B64" s="60">
        <v>190</v>
      </c>
      <c r="C64" s="47">
        <v>0</v>
      </c>
      <c r="D64" s="65">
        <v>1</v>
      </c>
      <c r="E64" s="65">
        <v>0</v>
      </c>
      <c r="F64" s="50">
        <v>1</v>
      </c>
      <c r="G64" s="50" t="e">
        <f>#N/A</f>
        <v>#N/A</v>
      </c>
      <c r="H64" s="19">
        <v>41892</v>
      </c>
      <c r="I64" s="66" t="s">
        <v>49</v>
      </c>
      <c r="J64" s="19">
        <v>41902</v>
      </c>
      <c r="K64" s="66" t="s">
        <v>22</v>
      </c>
    </row>
    <row r="65" spans="1:11" hidden="1" x14ac:dyDescent="0.2">
      <c r="A65" s="37" t="s">
        <v>113</v>
      </c>
      <c r="B65" s="60">
        <v>190</v>
      </c>
      <c r="C65" s="47">
        <v>0</v>
      </c>
      <c r="D65" s="65">
        <v>1</v>
      </c>
      <c r="E65" s="65">
        <v>0</v>
      </c>
      <c r="F65" s="50">
        <v>1</v>
      </c>
      <c r="G65" s="50" t="e">
        <f>#N/A</f>
        <v>#N/A</v>
      </c>
      <c r="H65" s="19">
        <v>41922</v>
      </c>
      <c r="I65" s="66" t="s">
        <v>49</v>
      </c>
      <c r="J65" s="19">
        <v>41902</v>
      </c>
      <c r="K65" s="66" t="s">
        <v>22</v>
      </c>
    </row>
    <row r="66" spans="1:11" hidden="1" x14ac:dyDescent="0.2">
      <c r="A66" s="37" t="s">
        <v>56</v>
      </c>
      <c r="B66" s="60">
        <v>4.1100000000000003</v>
      </c>
      <c r="C66" s="47">
        <v>0</v>
      </c>
      <c r="D66" s="65">
        <v>1</v>
      </c>
      <c r="E66" s="65">
        <v>0</v>
      </c>
      <c r="F66" s="65">
        <v>1</v>
      </c>
      <c r="G66" s="50" t="e">
        <f>#N/A</f>
        <v>#N/A</v>
      </c>
      <c r="H66" s="19">
        <v>41892</v>
      </c>
      <c r="I66" s="66" t="s">
        <v>49</v>
      </c>
      <c r="J66" s="19">
        <v>41902</v>
      </c>
      <c r="K66" s="66" t="s">
        <v>50</v>
      </c>
    </row>
    <row r="67" spans="1:11" hidden="1" x14ac:dyDescent="0.2">
      <c r="A67" s="37" t="s">
        <v>114</v>
      </c>
      <c r="B67" s="60">
        <v>10.26</v>
      </c>
      <c r="C67" s="47">
        <v>0</v>
      </c>
      <c r="D67" s="65">
        <v>1</v>
      </c>
      <c r="E67" s="65">
        <v>0</v>
      </c>
      <c r="F67" s="65">
        <v>1</v>
      </c>
      <c r="G67" s="50" t="e">
        <f>#N/A</f>
        <v>#N/A</v>
      </c>
      <c r="H67" s="19">
        <v>41892</v>
      </c>
      <c r="I67" s="66" t="s">
        <v>49</v>
      </c>
      <c r="J67" s="19">
        <v>41902</v>
      </c>
      <c r="K67" s="66" t="s">
        <v>50</v>
      </c>
    </row>
    <row r="68" spans="1:11" hidden="1" x14ac:dyDescent="0.2">
      <c r="A68" s="37" t="s">
        <v>115</v>
      </c>
      <c r="B68" s="60">
        <v>2.2000000000000002</v>
      </c>
      <c r="C68" s="47">
        <v>0</v>
      </c>
      <c r="D68" s="65">
        <v>1</v>
      </c>
      <c r="E68" s="65">
        <v>0</v>
      </c>
      <c r="F68" s="65">
        <v>1</v>
      </c>
      <c r="G68" s="50" t="e">
        <f>#N/A</f>
        <v>#N/A</v>
      </c>
      <c r="H68" s="19">
        <v>41892</v>
      </c>
      <c r="I68" s="66" t="s">
        <v>49</v>
      </c>
      <c r="J68" s="19">
        <v>41902</v>
      </c>
      <c r="K68" s="66" t="s">
        <v>50</v>
      </c>
    </row>
    <row r="69" spans="1:11" x14ac:dyDescent="0.2">
      <c r="A69" s="37" t="s">
        <v>116</v>
      </c>
      <c r="B69" s="60">
        <v>30</v>
      </c>
      <c r="C69" s="47">
        <v>0</v>
      </c>
      <c r="D69" s="65">
        <v>1</v>
      </c>
      <c r="E69" s="65">
        <v>0</v>
      </c>
      <c r="F69" s="65">
        <v>0</v>
      </c>
      <c r="G69" s="50" t="e">
        <f>#N/A</f>
        <v>#N/A</v>
      </c>
      <c r="H69" s="19">
        <v>41892</v>
      </c>
      <c r="I69" s="66" t="s">
        <v>49</v>
      </c>
      <c r="J69" s="19">
        <v>41902</v>
      </c>
      <c r="K69" s="66" t="s">
        <v>22</v>
      </c>
    </row>
    <row r="70" spans="1:11" x14ac:dyDescent="0.2">
      <c r="A70" s="37" t="s">
        <v>21</v>
      </c>
      <c r="B70" s="60">
        <v>1473.69</v>
      </c>
      <c r="C70" s="46">
        <v>1</v>
      </c>
      <c r="D70" s="64">
        <f>IF(C70=0,1,0)</f>
        <v>0</v>
      </c>
      <c r="E70" s="65">
        <v>1</v>
      </c>
      <c r="F70" s="65">
        <v>0</v>
      </c>
      <c r="G70" s="50" t="e">
        <f>#N/A</f>
        <v>#N/A</v>
      </c>
      <c r="H70" s="33"/>
      <c r="I70" s="21"/>
      <c r="J70" s="21"/>
      <c r="K70" s="21"/>
    </row>
    <row r="71" spans="1:11" hidden="1" x14ac:dyDescent="0.2">
      <c r="A71" s="68" t="s">
        <v>128</v>
      </c>
      <c r="B71" s="70">
        <v>66.5</v>
      </c>
      <c r="C71" s="46">
        <v>0</v>
      </c>
      <c r="D71" s="64">
        <f>IF(C71=0,1,0)</f>
        <v>1</v>
      </c>
      <c r="E71" s="65">
        <v>0</v>
      </c>
      <c r="F71" s="67">
        <v>1</v>
      </c>
      <c r="G71" s="50" t="e">
        <f>#N/A</f>
        <v>#N/A</v>
      </c>
      <c r="H71" s="33"/>
      <c r="I71" s="21"/>
      <c r="J71" s="21"/>
      <c r="K71" s="21"/>
    </row>
    <row r="72" spans="1:11" hidden="1" x14ac:dyDescent="0.2">
      <c r="A72" s="69" t="s">
        <v>129</v>
      </c>
      <c r="B72" s="70">
        <v>134.99</v>
      </c>
      <c r="C72" s="46">
        <v>0</v>
      </c>
      <c r="D72" s="64">
        <f>IF(C72=0,1,0)</f>
        <v>1</v>
      </c>
      <c r="E72" s="65">
        <v>0</v>
      </c>
      <c r="F72" s="67">
        <v>1</v>
      </c>
      <c r="G72" s="50" t="e">
        <f>#N/A</f>
        <v>#N/A</v>
      </c>
      <c r="H72" s="33"/>
      <c r="I72" s="21"/>
      <c r="J72" s="21"/>
      <c r="K72" s="21"/>
    </row>
    <row r="73" spans="1:11" hidden="1" x14ac:dyDescent="0.2">
      <c r="A73" s="69" t="s">
        <v>130</v>
      </c>
      <c r="B73" s="70">
        <v>195</v>
      </c>
      <c r="C73" s="46">
        <v>0</v>
      </c>
      <c r="D73" s="64">
        <f>IF(C73=0,1,0)</f>
        <v>1</v>
      </c>
      <c r="E73" s="65">
        <v>0</v>
      </c>
      <c r="F73" s="67">
        <v>1</v>
      </c>
      <c r="G73" s="50" t="e">
        <f>#N/A</f>
        <v>#N/A</v>
      </c>
      <c r="H73" s="33"/>
      <c r="I73" s="21"/>
      <c r="J73" s="21"/>
      <c r="K73" s="21"/>
    </row>
    <row r="74" spans="1:11" hidden="1" x14ac:dyDescent="0.2">
      <c r="A74" s="69" t="s">
        <v>131</v>
      </c>
      <c r="B74" s="70">
        <v>143.4</v>
      </c>
      <c r="C74" s="46">
        <v>0</v>
      </c>
      <c r="D74" s="64">
        <f>IF(C74=0,1,0)</f>
        <v>1</v>
      </c>
      <c r="E74" s="65">
        <v>0</v>
      </c>
      <c r="F74" s="67">
        <v>1</v>
      </c>
      <c r="G74" s="50" t="e">
        <f>#N/A</f>
        <v>#N/A</v>
      </c>
      <c r="H74" s="33"/>
      <c r="I74" s="21"/>
      <c r="J74" s="21"/>
      <c r="K74" s="21"/>
    </row>
    <row r="75" spans="1:11" x14ac:dyDescent="0.2">
      <c r="A75" s="37"/>
      <c r="B75" s="60"/>
      <c r="C75" s="47"/>
      <c r="D75" s="65"/>
      <c r="E75" s="65"/>
      <c r="F75" s="65"/>
      <c r="G75" s="50"/>
      <c r="H75" s="19"/>
      <c r="I75" s="66"/>
      <c r="J75" s="19"/>
      <c r="K75" s="66"/>
    </row>
    <row r="76" spans="1:11" x14ac:dyDescent="0.2">
      <c r="A76" s="37"/>
      <c r="B76" s="60"/>
      <c r="C76" s="47"/>
      <c r="D76" s="65"/>
      <c r="E76" s="65"/>
      <c r="F76" s="65"/>
      <c r="G76" s="50"/>
      <c r="H76" s="19"/>
      <c r="I76" s="66"/>
      <c r="J76" s="19"/>
      <c r="K76" s="66"/>
    </row>
    <row r="77" spans="1:11" x14ac:dyDescent="0.2">
      <c r="A77" s="37"/>
      <c r="B77" s="60"/>
      <c r="C77" s="47"/>
      <c r="D77" s="65"/>
      <c r="E77" s="65"/>
      <c r="F77" s="65"/>
      <c r="G77" s="50"/>
      <c r="H77" s="19"/>
      <c r="I77" s="66"/>
      <c r="J77" s="19"/>
      <c r="K77" s="66"/>
    </row>
    <row r="78" spans="1:11" x14ac:dyDescent="0.2">
      <c r="A78" s="37" t="s">
        <v>118</v>
      </c>
      <c r="B78" s="60">
        <v>183.9</v>
      </c>
      <c r="C78" s="46">
        <v>0</v>
      </c>
      <c r="D78" s="50" t="e">
        <f>#N/A</f>
        <v>#N/A</v>
      </c>
      <c r="E78" s="65">
        <v>1</v>
      </c>
      <c r="F78" s="65">
        <v>0</v>
      </c>
      <c r="G78" s="50" t="e">
        <f>#N/A</f>
        <v>#N/A</v>
      </c>
      <c r="H78" s="33"/>
      <c r="I78" s="21"/>
      <c r="J78" s="21"/>
      <c r="K78" s="21"/>
    </row>
    <row r="79" spans="1:11" x14ac:dyDescent="0.2">
      <c r="A79" s="37" t="s">
        <v>119</v>
      </c>
      <c r="B79" s="60">
        <v>183.9</v>
      </c>
      <c r="C79" s="46">
        <v>0</v>
      </c>
      <c r="D79" s="50" t="e">
        <f>#N/A</f>
        <v>#N/A</v>
      </c>
      <c r="E79" s="65">
        <v>1</v>
      </c>
      <c r="F79" s="65">
        <v>0</v>
      </c>
      <c r="G79" s="50" t="e">
        <f>#N/A</f>
        <v>#N/A</v>
      </c>
      <c r="H79" s="33"/>
      <c r="I79" s="21"/>
      <c r="J79" s="21"/>
      <c r="K79" s="21"/>
    </row>
    <row r="80" spans="1:11" x14ac:dyDescent="0.2">
      <c r="A80" s="37" t="s">
        <v>120</v>
      </c>
      <c r="B80" s="60">
        <v>191.7</v>
      </c>
      <c r="C80" s="46">
        <v>0</v>
      </c>
      <c r="D80" s="50" t="e">
        <f>#N/A</f>
        <v>#N/A</v>
      </c>
      <c r="E80" s="65">
        <v>1</v>
      </c>
      <c r="F80" s="65">
        <v>0</v>
      </c>
      <c r="G80" s="50" t="e">
        <f>#N/A</f>
        <v>#N/A</v>
      </c>
      <c r="H80" s="33"/>
      <c r="I80" s="21"/>
      <c r="J80" s="21"/>
      <c r="K80" s="21"/>
    </row>
    <row r="81" spans="1:11" x14ac:dyDescent="0.2">
      <c r="A81" s="37" t="s">
        <v>121</v>
      </c>
      <c r="B81" s="60">
        <v>383.67</v>
      </c>
      <c r="C81" s="46">
        <v>0</v>
      </c>
      <c r="D81" s="50" t="e">
        <f>#N/A</f>
        <v>#N/A</v>
      </c>
      <c r="E81" s="65">
        <v>1</v>
      </c>
      <c r="F81" s="65">
        <v>0</v>
      </c>
      <c r="G81" s="50" t="e">
        <f>#N/A</f>
        <v>#N/A</v>
      </c>
      <c r="H81" s="33"/>
      <c r="I81" s="21"/>
      <c r="J81" s="21"/>
      <c r="K81" s="21"/>
    </row>
    <row r="82" spans="1:11" x14ac:dyDescent="0.2">
      <c r="A82" s="37" t="s">
        <v>122</v>
      </c>
      <c r="B82" s="60">
        <v>383.67</v>
      </c>
      <c r="C82" s="46">
        <v>0</v>
      </c>
      <c r="D82" s="50" t="e">
        <f>#N/A</f>
        <v>#N/A</v>
      </c>
      <c r="E82" s="65">
        <v>1</v>
      </c>
      <c r="F82" s="65">
        <v>0</v>
      </c>
      <c r="G82" s="50" t="e">
        <f>#N/A</f>
        <v>#N/A</v>
      </c>
      <c r="H82" s="33"/>
      <c r="I82" s="21"/>
      <c r="J82" s="21"/>
      <c r="K82" s="21"/>
    </row>
    <row r="83" spans="1:11" x14ac:dyDescent="0.2">
      <c r="A83" s="37" t="s">
        <v>123</v>
      </c>
      <c r="B83" s="60">
        <v>400.44</v>
      </c>
      <c r="C83" s="46">
        <v>0</v>
      </c>
      <c r="D83" s="50" t="e">
        <f>#N/A</f>
        <v>#N/A</v>
      </c>
      <c r="E83" s="65">
        <v>1</v>
      </c>
      <c r="F83" s="65">
        <v>0</v>
      </c>
      <c r="G83" s="50" t="e">
        <f>#N/A</f>
        <v>#N/A</v>
      </c>
      <c r="H83" s="33"/>
      <c r="I83" s="21"/>
      <c r="J83" s="21"/>
      <c r="K83" s="21"/>
    </row>
    <row r="84" spans="1:11" x14ac:dyDescent="0.2">
      <c r="A84" s="37" t="s">
        <v>124</v>
      </c>
      <c r="B84" s="60">
        <v>136.44999999999999</v>
      </c>
      <c r="C84" s="46">
        <v>0</v>
      </c>
      <c r="D84" s="50" t="e">
        <f>#N/A</f>
        <v>#N/A</v>
      </c>
      <c r="E84" s="65">
        <v>1</v>
      </c>
      <c r="F84" s="65">
        <v>0</v>
      </c>
      <c r="G84" s="50" t="e">
        <f>#N/A</f>
        <v>#N/A</v>
      </c>
      <c r="H84" s="33"/>
      <c r="I84" s="21"/>
      <c r="J84" s="21"/>
      <c r="K84" s="21"/>
    </row>
    <row r="85" spans="1:11" x14ac:dyDescent="0.2">
      <c r="A85" s="37" t="s">
        <v>125</v>
      </c>
      <c r="B85" s="60">
        <v>136.44999999999999</v>
      </c>
      <c r="C85" s="46">
        <v>0</v>
      </c>
      <c r="D85" s="50" t="e">
        <f>#N/A</f>
        <v>#N/A</v>
      </c>
      <c r="E85" s="65">
        <v>1</v>
      </c>
      <c r="F85" s="65">
        <v>0</v>
      </c>
      <c r="G85" s="50" t="e">
        <f>#N/A</f>
        <v>#N/A</v>
      </c>
      <c r="H85" s="33"/>
      <c r="I85" s="21"/>
      <c r="J85" s="21"/>
      <c r="K85" s="21"/>
    </row>
    <row r="86" spans="1:11" x14ac:dyDescent="0.2">
      <c r="A86" s="37" t="s">
        <v>126</v>
      </c>
      <c r="B86" s="60">
        <v>142</v>
      </c>
      <c r="C86" s="46">
        <v>0</v>
      </c>
      <c r="D86" s="50" t="e">
        <f>#N/A</f>
        <v>#N/A</v>
      </c>
      <c r="E86" s="65">
        <v>1</v>
      </c>
      <c r="F86" s="65">
        <v>0</v>
      </c>
      <c r="G86" s="50" t="e">
        <f>#N/A</f>
        <v>#N/A</v>
      </c>
      <c r="H86" s="33"/>
      <c r="I86" s="21"/>
      <c r="J86" s="21"/>
      <c r="K86" s="21"/>
    </row>
    <row r="87" spans="1:11" x14ac:dyDescent="0.2">
      <c r="A87" s="37" t="s">
        <v>127</v>
      </c>
      <c r="B87" s="60">
        <v>142</v>
      </c>
      <c r="C87" s="46">
        <v>0</v>
      </c>
      <c r="D87" s="50" t="e">
        <f>#N/A</f>
        <v>#N/A</v>
      </c>
      <c r="E87" s="65">
        <v>1</v>
      </c>
      <c r="F87" s="65">
        <v>0</v>
      </c>
      <c r="G87" s="50" t="e">
        <f>#N/A</f>
        <v>#N/A</v>
      </c>
      <c r="H87" s="33"/>
      <c r="I87" s="21"/>
      <c r="J87" s="21"/>
      <c r="K87" s="21"/>
    </row>
    <row r="88" spans="1:11" x14ac:dyDescent="0.2">
      <c r="A88" s="4" t="s">
        <v>132</v>
      </c>
      <c r="B88" s="5">
        <v>142</v>
      </c>
      <c r="C88" s="46">
        <v>1</v>
      </c>
      <c r="D88" s="64" t="e">
        <f>#N/A</f>
        <v>#N/A</v>
      </c>
      <c r="E88" s="65">
        <v>1</v>
      </c>
      <c r="F88" s="67">
        <v>0</v>
      </c>
      <c r="G88" s="50" t="e">
        <f>#N/A</f>
        <v>#N/A</v>
      </c>
      <c r="H88" s="33"/>
      <c r="I88" s="21"/>
      <c r="J88" s="21"/>
      <c r="K88" s="21"/>
    </row>
    <row r="89" spans="1:11" x14ac:dyDescent="0.2">
      <c r="A89" s="4" t="s">
        <v>133</v>
      </c>
      <c r="B89" s="5">
        <v>133.47999999999999</v>
      </c>
      <c r="C89" s="46">
        <v>1</v>
      </c>
      <c r="D89" s="64" t="e">
        <f>#N/A</f>
        <v>#N/A</v>
      </c>
      <c r="E89" s="65">
        <v>1</v>
      </c>
      <c r="F89" s="67">
        <v>0</v>
      </c>
      <c r="G89" s="50" t="e">
        <f>#N/A</f>
        <v>#N/A</v>
      </c>
      <c r="H89" s="33"/>
      <c r="I89" s="21"/>
      <c r="J89" s="21"/>
      <c r="K89" s="21"/>
    </row>
    <row r="90" spans="1:11" x14ac:dyDescent="0.2">
      <c r="A90" s="4" t="s">
        <v>134</v>
      </c>
      <c r="B90" s="5">
        <v>63.9</v>
      </c>
      <c r="C90" s="46">
        <v>1</v>
      </c>
      <c r="D90" s="64" t="e">
        <f>#N/A</f>
        <v>#N/A</v>
      </c>
      <c r="E90" s="65">
        <v>1</v>
      </c>
      <c r="F90" s="67">
        <v>0</v>
      </c>
      <c r="G90" s="50" t="e">
        <f>#N/A</f>
        <v>#N/A</v>
      </c>
      <c r="H90" s="33"/>
      <c r="I90" s="21"/>
      <c r="J90" s="21"/>
      <c r="K90" s="21"/>
    </row>
    <row r="91" spans="1:11" x14ac:dyDescent="0.2">
      <c r="A91" s="4" t="s">
        <v>135</v>
      </c>
      <c r="B91" s="5">
        <v>142</v>
      </c>
      <c r="C91" s="46">
        <v>1</v>
      </c>
      <c r="D91" s="64" t="e">
        <f>#N/A</f>
        <v>#N/A</v>
      </c>
      <c r="E91" s="65">
        <v>1</v>
      </c>
      <c r="F91" s="67">
        <v>0</v>
      </c>
      <c r="G91" s="50" t="e">
        <f>#N/A</f>
        <v>#N/A</v>
      </c>
      <c r="H91" s="33"/>
      <c r="I91" s="21"/>
      <c r="J91" s="21"/>
      <c r="K91" s="21"/>
    </row>
    <row r="92" spans="1:11" x14ac:dyDescent="0.2">
      <c r="A92" s="4" t="s">
        <v>136</v>
      </c>
      <c r="B92" s="5">
        <v>133.47999999999999</v>
      </c>
      <c r="C92" s="46">
        <v>1</v>
      </c>
      <c r="D92" s="64" t="e">
        <f>#N/A</f>
        <v>#N/A</v>
      </c>
      <c r="E92" s="65">
        <v>1</v>
      </c>
      <c r="F92" s="67">
        <v>0</v>
      </c>
      <c r="G92" s="50" t="e">
        <f>#N/A</f>
        <v>#N/A</v>
      </c>
      <c r="H92" s="33"/>
      <c r="I92" s="21"/>
      <c r="J92" s="21"/>
      <c r="K92" s="21"/>
    </row>
    <row r="93" spans="1:11" x14ac:dyDescent="0.2">
      <c r="A93" s="4" t="s">
        <v>137</v>
      </c>
      <c r="B93" s="5">
        <v>63.9</v>
      </c>
      <c r="C93" s="46">
        <v>1</v>
      </c>
      <c r="D93" s="64" t="e">
        <f>#N/A</f>
        <v>#N/A</v>
      </c>
      <c r="E93" s="65">
        <v>1</v>
      </c>
      <c r="F93" s="67">
        <v>0</v>
      </c>
      <c r="G93" s="50" t="e">
        <f>#N/A</f>
        <v>#N/A</v>
      </c>
      <c r="H93" s="33"/>
      <c r="I93" s="21"/>
      <c r="J93" s="21"/>
      <c r="K93" s="21"/>
    </row>
    <row r="94" spans="1:11" x14ac:dyDescent="0.2">
      <c r="A94" s="4" t="s">
        <v>138</v>
      </c>
      <c r="B94" s="5">
        <v>142</v>
      </c>
      <c r="C94" s="46">
        <v>1</v>
      </c>
      <c r="D94" s="64" t="e">
        <f>#N/A</f>
        <v>#N/A</v>
      </c>
      <c r="E94" s="65">
        <v>1</v>
      </c>
      <c r="F94" s="67">
        <v>0</v>
      </c>
      <c r="G94" s="50" t="e">
        <f>#N/A</f>
        <v>#N/A</v>
      </c>
      <c r="H94" s="33"/>
      <c r="I94" s="21"/>
      <c r="J94" s="21"/>
      <c r="K94" s="21"/>
    </row>
    <row r="95" spans="1:11" x14ac:dyDescent="0.2">
      <c r="A95" s="4" t="s">
        <v>139</v>
      </c>
      <c r="B95" s="5">
        <v>133.47999999999999</v>
      </c>
      <c r="C95" s="46">
        <v>1</v>
      </c>
      <c r="D95" s="64" t="e">
        <f>#N/A</f>
        <v>#N/A</v>
      </c>
      <c r="E95" s="65">
        <v>1</v>
      </c>
      <c r="F95" s="67">
        <v>0</v>
      </c>
      <c r="G95" s="50" t="e">
        <f>#N/A</f>
        <v>#N/A</v>
      </c>
      <c r="H95" s="33"/>
      <c r="I95" s="21"/>
      <c r="J95" s="21"/>
      <c r="K95" s="21"/>
    </row>
    <row r="96" spans="1:11" x14ac:dyDescent="0.2">
      <c r="A96" s="4" t="s">
        <v>140</v>
      </c>
      <c r="B96" s="5">
        <v>63.9</v>
      </c>
      <c r="C96" s="46">
        <v>1</v>
      </c>
      <c r="D96" s="64" t="e">
        <f>#N/A</f>
        <v>#N/A</v>
      </c>
      <c r="E96" s="65">
        <v>1</v>
      </c>
      <c r="F96" s="67">
        <v>0</v>
      </c>
      <c r="G96" s="50" t="e">
        <f>#N/A</f>
        <v>#N/A</v>
      </c>
      <c r="H96" s="33"/>
      <c r="I96" s="21"/>
      <c r="J96" s="21"/>
      <c r="K96" s="21"/>
    </row>
    <row r="97" spans="1:11" x14ac:dyDescent="0.2">
      <c r="A97" s="4" t="s">
        <v>141</v>
      </c>
      <c r="B97" s="5">
        <v>142</v>
      </c>
      <c r="C97" s="46">
        <v>1</v>
      </c>
      <c r="D97" s="64" t="e">
        <f>#N/A</f>
        <v>#N/A</v>
      </c>
      <c r="E97" s="65">
        <v>1</v>
      </c>
      <c r="F97" s="67">
        <v>0</v>
      </c>
      <c r="G97" s="50" t="e">
        <f>#N/A</f>
        <v>#N/A</v>
      </c>
      <c r="H97" s="33"/>
      <c r="I97" s="21"/>
      <c r="J97" s="21"/>
      <c r="K97" s="21"/>
    </row>
    <row r="98" spans="1:11" x14ac:dyDescent="0.2">
      <c r="A98" s="4" t="s">
        <v>142</v>
      </c>
      <c r="B98" s="5">
        <v>133.47999999999999</v>
      </c>
      <c r="C98" s="46">
        <v>1</v>
      </c>
      <c r="D98" s="64" t="e">
        <f>#N/A</f>
        <v>#N/A</v>
      </c>
      <c r="E98" s="65">
        <v>1</v>
      </c>
      <c r="F98" s="67">
        <v>0</v>
      </c>
      <c r="G98" s="50" t="e">
        <f>#N/A</f>
        <v>#N/A</v>
      </c>
      <c r="H98" s="33"/>
      <c r="I98" s="21"/>
      <c r="J98" s="21"/>
      <c r="K98" s="21"/>
    </row>
    <row r="99" spans="1:11" x14ac:dyDescent="0.2">
      <c r="A99" s="4" t="s">
        <v>143</v>
      </c>
      <c r="B99" s="5">
        <v>63.9</v>
      </c>
      <c r="C99" s="46">
        <v>1</v>
      </c>
      <c r="D99" s="64" t="e">
        <f>#N/A</f>
        <v>#N/A</v>
      </c>
      <c r="E99" s="65">
        <v>1</v>
      </c>
      <c r="F99" s="67">
        <v>0</v>
      </c>
      <c r="G99" s="50" t="e">
        <f>#N/A</f>
        <v>#N/A</v>
      </c>
      <c r="H99" s="33"/>
      <c r="I99" s="21"/>
      <c r="J99" s="21"/>
      <c r="K99" s="21"/>
    </row>
    <row r="100" spans="1:11" x14ac:dyDescent="0.2">
      <c r="A100" s="4" t="s">
        <v>144</v>
      </c>
      <c r="B100" s="5">
        <v>142</v>
      </c>
      <c r="C100" s="46">
        <v>1</v>
      </c>
      <c r="D100" s="64" t="e">
        <f>#N/A</f>
        <v>#N/A</v>
      </c>
      <c r="E100" s="65">
        <v>1</v>
      </c>
      <c r="F100" s="67">
        <v>0</v>
      </c>
      <c r="G100" s="50" t="e">
        <f>#N/A</f>
        <v>#N/A</v>
      </c>
      <c r="H100" s="33"/>
      <c r="I100" s="21"/>
      <c r="J100" s="21"/>
      <c r="K100" s="21"/>
    </row>
    <row r="101" spans="1:11" x14ac:dyDescent="0.2">
      <c r="A101" s="4" t="s">
        <v>145</v>
      </c>
      <c r="B101" s="5">
        <v>133.47999999999999</v>
      </c>
      <c r="C101" s="46">
        <v>1</v>
      </c>
      <c r="D101" s="64" t="e">
        <f>#N/A</f>
        <v>#N/A</v>
      </c>
      <c r="E101" s="65">
        <v>1</v>
      </c>
      <c r="F101" s="67">
        <v>0</v>
      </c>
      <c r="G101" s="50" t="e">
        <f>#N/A</f>
        <v>#N/A</v>
      </c>
      <c r="H101" s="33"/>
      <c r="I101" s="21"/>
      <c r="J101" s="21"/>
      <c r="K101" s="21"/>
    </row>
    <row r="102" spans="1:11" x14ac:dyDescent="0.2">
      <c r="A102" s="4" t="s">
        <v>146</v>
      </c>
      <c r="B102" s="5">
        <v>63.9</v>
      </c>
      <c r="C102" s="46">
        <v>1</v>
      </c>
      <c r="D102" s="64" t="e">
        <f>#N/A</f>
        <v>#N/A</v>
      </c>
      <c r="E102" s="65">
        <v>1</v>
      </c>
      <c r="F102" s="67">
        <v>0</v>
      </c>
      <c r="G102" s="50" t="e">
        <f>#N/A</f>
        <v>#N/A</v>
      </c>
      <c r="H102" s="33"/>
      <c r="I102" s="21"/>
      <c r="J102" s="21"/>
      <c r="K102" s="21"/>
    </row>
    <row r="103" spans="1:11" x14ac:dyDescent="0.2">
      <c r="A103" s="4" t="s">
        <v>147</v>
      </c>
      <c r="B103" s="5">
        <v>142</v>
      </c>
      <c r="C103" s="46">
        <v>1</v>
      </c>
      <c r="D103" s="64" t="e">
        <f>#N/A</f>
        <v>#N/A</v>
      </c>
      <c r="E103" s="65">
        <v>1</v>
      </c>
      <c r="F103" s="67">
        <v>0</v>
      </c>
      <c r="G103" s="50" t="e">
        <f>#N/A</f>
        <v>#N/A</v>
      </c>
      <c r="H103" s="33"/>
      <c r="I103" s="21"/>
      <c r="J103" s="21"/>
      <c r="K103" s="21"/>
    </row>
    <row r="104" spans="1:11" x14ac:dyDescent="0.2">
      <c r="A104" s="4" t="s">
        <v>148</v>
      </c>
      <c r="B104" s="5">
        <v>133.47999999999999</v>
      </c>
      <c r="C104" s="46">
        <v>1</v>
      </c>
      <c r="D104" s="64" t="e">
        <f>#N/A</f>
        <v>#N/A</v>
      </c>
      <c r="E104" s="65">
        <v>1</v>
      </c>
      <c r="F104" s="67">
        <v>0</v>
      </c>
      <c r="G104" s="50" t="e">
        <f>#N/A</f>
        <v>#N/A</v>
      </c>
      <c r="H104" s="33"/>
      <c r="I104" s="21"/>
      <c r="J104" s="21"/>
      <c r="K104" s="21"/>
    </row>
    <row r="105" spans="1:11" x14ac:dyDescent="0.2">
      <c r="A105" s="4" t="s">
        <v>149</v>
      </c>
      <c r="B105" s="5">
        <v>63.9</v>
      </c>
      <c r="C105" s="46">
        <v>1</v>
      </c>
      <c r="D105" s="64" t="e">
        <f>#N/A</f>
        <v>#N/A</v>
      </c>
      <c r="E105" s="65">
        <v>1</v>
      </c>
      <c r="F105" s="67">
        <v>0</v>
      </c>
      <c r="G105" s="50" t="e">
        <f>#N/A</f>
        <v>#N/A</v>
      </c>
      <c r="H105" s="33"/>
      <c r="I105" s="21"/>
      <c r="J105" s="21"/>
      <c r="K105" s="21"/>
    </row>
    <row r="106" spans="1:11" x14ac:dyDescent="0.2">
      <c r="A106" s="4" t="s">
        <v>150</v>
      </c>
      <c r="B106" s="5">
        <v>142</v>
      </c>
      <c r="C106" s="46">
        <v>1</v>
      </c>
      <c r="D106" s="64" t="e">
        <f>#N/A</f>
        <v>#N/A</v>
      </c>
      <c r="E106" s="65">
        <v>1</v>
      </c>
      <c r="F106" s="67">
        <v>0</v>
      </c>
      <c r="G106" s="50" t="e">
        <f>#N/A</f>
        <v>#N/A</v>
      </c>
      <c r="H106" s="33"/>
      <c r="I106" s="21"/>
      <c r="J106" s="21"/>
      <c r="K106" s="21"/>
    </row>
    <row r="107" spans="1:11" x14ac:dyDescent="0.2">
      <c r="A107" s="4" t="s">
        <v>151</v>
      </c>
      <c r="B107" s="5">
        <v>133.47999999999999</v>
      </c>
      <c r="C107" s="46">
        <v>1</v>
      </c>
      <c r="D107" s="64" t="e">
        <f>#N/A</f>
        <v>#N/A</v>
      </c>
      <c r="E107" s="65">
        <v>1</v>
      </c>
      <c r="F107" s="67">
        <v>0</v>
      </c>
      <c r="G107" s="50" t="e">
        <f>#N/A</f>
        <v>#N/A</v>
      </c>
      <c r="H107" s="33"/>
      <c r="I107" s="21"/>
      <c r="J107" s="21"/>
      <c r="K107" s="21"/>
    </row>
    <row r="108" spans="1:11" x14ac:dyDescent="0.2">
      <c r="A108" s="4" t="s">
        <v>152</v>
      </c>
      <c r="B108" s="5">
        <v>63.9</v>
      </c>
      <c r="C108" s="46">
        <v>1</v>
      </c>
      <c r="D108" s="64" t="e">
        <f>#N/A</f>
        <v>#N/A</v>
      </c>
      <c r="E108" s="65">
        <v>1</v>
      </c>
      <c r="F108" s="67">
        <v>0</v>
      </c>
      <c r="G108" s="50" t="e">
        <f>#N/A</f>
        <v>#N/A</v>
      </c>
      <c r="H108" s="33"/>
      <c r="I108" s="21"/>
      <c r="J108" s="21"/>
      <c r="K108" s="21"/>
    </row>
    <row r="109" spans="1:11" x14ac:dyDescent="0.2">
      <c r="A109" s="4" t="s">
        <v>196</v>
      </c>
      <c r="B109" s="5">
        <v>142</v>
      </c>
      <c r="C109" s="46">
        <v>1</v>
      </c>
      <c r="D109" s="64" t="e">
        <f>#N/A</f>
        <v>#N/A</v>
      </c>
      <c r="E109" s="65">
        <v>1</v>
      </c>
      <c r="F109" s="67">
        <v>0</v>
      </c>
      <c r="G109" s="50" t="e">
        <f>#N/A</f>
        <v>#N/A</v>
      </c>
      <c r="H109" s="33"/>
      <c r="I109" s="21"/>
      <c r="J109" s="21"/>
      <c r="K109" s="21"/>
    </row>
    <row r="110" spans="1:11" x14ac:dyDescent="0.2">
      <c r="A110" s="4" t="s">
        <v>197</v>
      </c>
      <c r="B110" s="5">
        <v>133.47999999999999</v>
      </c>
      <c r="C110" s="46">
        <v>1</v>
      </c>
      <c r="D110" s="64" t="e">
        <f>#N/A</f>
        <v>#N/A</v>
      </c>
      <c r="E110" s="65">
        <v>1</v>
      </c>
      <c r="F110" s="67">
        <v>0</v>
      </c>
      <c r="G110" s="50" t="e">
        <f>#N/A</f>
        <v>#N/A</v>
      </c>
      <c r="H110" s="33"/>
      <c r="I110" s="21"/>
      <c r="J110" s="21"/>
      <c r="K110" s="21"/>
    </row>
    <row r="111" spans="1:11" x14ac:dyDescent="0.2">
      <c r="A111" s="4" t="s">
        <v>198</v>
      </c>
      <c r="B111" s="5">
        <v>63.9</v>
      </c>
      <c r="C111" s="46">
        <v>1</v>
      </c>
      <c r="D111" s="64" t="e">
        <f>#N/A</f>
        <v>#N/A</v>
      </c>
      <c r="E111" s="65">
        <v>1</v>
      </c>
      <c r="F111" s="67">
        <v>0</v>
      </c>
      <c r="G111" s="50" t="e">
        <f>#N/A</f>
        <v>#N/A</v>
      </c>
      <c r="H111" s="33"/>
      <c r="I111" s="21"/>
      <c r="J111" s="21"/>
      <c r="K111" s="21"/>
    </row>
    <row r="112" spans="1:11" x14ac:dyDescent="0.2">
      <c r="A112" s="2" t="s">
        <v>82</v>
      </c>
      <c r="B112" s="2">
        <v>1174.68</v>
      </c>
      <c r="C112" s="46">
        <v>1</v>
      </c>
      <c r="D112" s="64" t="e">
        <f>#N/A</f>
        <v>#N/A</v>
      </c>
      <c r="E112" s="65">
        <v>1</v>
      </c>
      <c r="F112" s="67">
        <v>0</v>
      </c>
      <c r="G112" s="50" t="e">
        <f>#N/A</f>
        <v>#N/A</v>
      </c>
      <c r="H112" s="33"/>
      <c r="I112" s="21"/>
      <c r="J112" s="21"/>
      <c r="K112" s="21"/>
    </row>
    <row r="113" spans="1:11" x14ac:dyDescent="0.2">
      <c r="A113" s="2" t="s">
        <v>83</v>
      </c>
      <c r="B113" s="2">
        <v>127.69</v>
      </c>
      <c r="C113" s="46">
        <v>1</v>
      </c>
      <c r="D113" s="64" t="e">
        <f>#N/A</f>
        <v>#N/A</v>
      </c>
      <c r="E113" s="65">
        <v>1</v>
      </c>
      <c r="F113" s="67">
        <v>0</v>
      </c>
      <c r="G113" s="50" t="e">
        <f>#N/A</f>
        <v>#N/A</v>
      </c>
      <c r="H113" s="33"/>
      <c r="I113" s="21"/>
      <c r="J113" s="21"/>
      <c r="K113" s="21"/>
    </row>
    <row r="114" spans="1:11" x14ac:dyDescent="0.2">
      <c r="A114" s="2" t="s">
        <v>84</v>
      </c>
      <c r="B114" s="2">
        <v>297.93</v>
      </c>
      <c r="C114" s="46">
        <v>1</v>
      </c>
      <c r="D114" s="64" t="e">
        <f>#N/A</f>
        <v>#N/A</v>
      </c>
      <c r="E114" s="65">
        <v>1</v>
      </c>
      <c r="F114" s="67">
        <v>0</v>
      </c>
      <c r="G114" s="50" t="e">
        <f>#N/A</f>
        <v>#N/A</v>
      </c>
      <c r="H114" s="33"/>
      <c r="I114" s="21"/>
      <c r="J114" s="21"/>
      <c r="K114" s="21"/>
    </row>
    <row r="115" spans="1:11" x14ac:dyDescent="0.2">
      <c r="A115" s="2" t="s">
        <v>85</v>
      </c>
      <c r="B115" s="2">
        <v>68.48</v>
      </c>
      <c r="C115" s="46">
        <v>1</v>
      </c>
      <c r="D115" s="64" t="e">
        <f>#N/A</f>
        <v>#N/A</v>
      </c>
      <c r="E115" s="65">
        <v>1</v>
      </c>
      <c r="F115" s="67">
        <v>0</v>
      </c>
      <c r="G115" s="50" t="e">
        <f>#N/A</f>
        <v>#N/A</v>
      </c>
      <c r="H115" s="33"/>
      <c r="I115" s="21"/>
      <c r="J115" s="21"/>
      <c r="K115" s="21"/>
    </row>
    <row r="116" spans="1:11" x14ac:dyDescent="0.2">
      <c r="A116" s="2" t="s">
        <v>36</v>
      </c>
      <c r="B116" s="2">
        <v>434.94</v>
      </c>
      <c r="C116" s="46">
        <v>1</v>
      </c>
      <c r="D116" s="64" t="e">
        <f>#N/A</f>
        <v>#N/A</v>
      </c>
      <c r="E116" s="65">
        <v>1</v>
      </c>
      <c r="F116" s="67">
        <v>0</v>
      </c>
      <c r="G116" s="50" t="e">
        <f>#N/A</f>
        <v>#N/A</v>
      </c>
      <c r="H116" s="33"/>
      <c r="I116" s="21"/>
      <c r="J116" s="21"/>
      <c r="K116" s="21"/>
    </row>
    <row r="117" spans="1:11" x14ac:dyDescent="0.2">
      <c r="A117" s="2" t="s">
        <v>35</v>
      </c>
      <c r="B117" s="2">
        <v>379.42</v>
      </c>
      <c r="C117" s="46">
        <v>1</v>
      </c>
      <c r="D117" s="64" t="e">
        <f>#N/A</f>
        <v>#N/A</v>
      </c>
      <c r="E117" s="65">
        <v>1</v>
      </c>
      <c r="F117" s="67">
        <v>0</v>
      </c>
      <c r="G117" s="50" t="e">
        <f>#N/A</f>
        <v>#N/A</v>
      </c>
      <c r="H117" s="33"/>
      <c r="I117" s="21"/>
      <c r="J117" s="21"/>
      <c r="K117" s="21"/>
    </row>
    <row r="118" spans="1:11" x14ac:dyDescent="0.2">
      <c r="A118" s="2" t="s">
        <v>34</v>
      </c>
      <c r="B118" s="2">
        <v>195.73</v>
      </c>
      <c r="C118" s="46">
        <v>1</v>
      </c>
      <c r="D118" s="64" t="e">
        <f>#N/A</f>
        <v>#N/A</v>
      </c>
      <c r="E118" s="65">
        <v>1</v>
      </c>
      <c r="F118" s="67">
        <v>0</v>
      </c>
      <c r="G118" s="50" t="e">
        <f>#N/A</f>
        <v>#N/A</v>
      </c>
      <c r="H118" s="33"/>
      <c r="I118" s="21"/>
      <c r="J118" s="21"/>
      <c r="K118" s="21"/>
    </row>
    <row r="119" spans="1:11" x14ac:dyDescent="0.2">
      <c r="A119" s="2" t="s">
        <v>33</v>
      </c>
      <c r="B119" s="2">
        <v>186.62</v>
      </c>
      <c r="C119" s="46">
        <v>1</v>
      </c>
      <c r="D119" s="64" t="e">
        <f>#N/A</f>
        <v>#N/A</v>
      </c>
      <c r="E119" s="65">
        <v>1</v>
      </c>
      <c r="F119" s="67">
        <v>0</v>
      </c>
      <c r="G119" s="50" t="e">
        <f>#N/A</f>
        <v>#N/A</v>
      </c>
      <c r="H119" s="33"/>
      <c r="I119" s="21"/>
      <c r="J119" s="21"/>
      <c r="K119" s="21"/>
    </row>
    <row r="120" spans="1:11" x14ac:dyDescent="0.2">
      <c r="A120" s="2" t="s">
        <v>32</v>
      </c>
      <c r="B120" s="2">
        <v>153.63</v>
      </c>
    </row>
    <row r="121" spans="1:11" x14ac:dyDescent="0.2">
      <c r="A121" s="2" t="s">
        <v>30</v>
      </c>
      <c r="B121" s="2">
        <v>292.01</v>
      </c>
    </row>
    <row r="122" spans="1:11" x14ac:dyDescent="0.2">
      <c r="A122" s="2" t="s">
        <v>31</v>
      </c>
      <c r="B122" s="2">
        <v>292.01</v>
      </c>
    </row>
  </sheetData>
  <autoFilter ref="A1:K74">
    <filterColumn colId="5">
      <filters>
        <filter val="0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K41"/>
  <sheetViews>
    <sheetView workbookViewId="0"/>
  </sheetViews>
  <sheetFormatPr defaultRowHeight="12.75" x14ac:dyDescent="0.2"/>
  <cols>
    <col min="1" max="1" width="24.5703125" bestFit="1" customWidth="1"/>
    <col min="2" max="2" width="10.5703125" bestFit="1" customWidth="1"/>
    <col min="4" max="5" width="9.5703125" bestFit="1" customWidth="1"/>
    <col min="14" max="14" width="10.5703125" bestFit="1" customWidth="1"/>
  </cols>
  <sheetData>
    <row r="1" spans="1:11" x14ac:dyDescent="0.2">
      <c r="C1" t="s">
        <v>62</v>
      </c>
      <c r="D1" t="s">
        <v>59</v>
      </c>
      <c r="E1" t="s">
        <v>63</v>
      </c>
      <c r="F1" t="s">
        <v>65</v>
      </c>
      <c r="G1" t="s">
        <v>64</v>
      </c>
      <c r="H1" t="s">
        <v>4</v>
      </c>
      <c r="I1" t="s">
        <v>79</v>
      </c>
      <c r="J1" t="s">
        <v>77</v>
      </c>
      <c r="K1" t="s">
        <v>80</v>
      </c>
    </row>
    <row r="2" spans="1:11" x14ac:dyDescent="0.2">
      <c r="A2" s="28" t="s">
        <v>43</v>
      </c>
      <c r="B2" s="29">
        <v>60</v>
      </c>
      <c r="C2">
        <v>7619</v>
      </c>
      <c r="D2" s="7">
        <f t="shared" ref="D2:D7" si="0">F2</f>
        <v>23.085802231627547</v>
      </c>
      <c r="E2">
        <v>2.5990000000000002</v>
      </c>
      <c r="F2" s="7">
        <f t="shared" ref="F2:F7" si="1">B2/E2</f>
        <v>23.085802231627547</v>
      </c>
      <c r="G2">
        <f t="shared" ref="G2:G8" si="2">C3-C2</f>
        <v>220</v>
      </c>
      <c r="H2" s="18">
        <v>41867</v>
      </c>
      <c r="I2">
        <v>1</v>
      </c>
      <c r="J2" t="s">
        <v>78</v>
      </c>
      <c r="K2" s="7">
        <f t="shared" ref="K2:K8" si="3">E2-$B$22</f>
        <v>-0.97127027027027024</v>
      </c>
    </row>
    <row r="3" spans="1:11" x14ac:dyDescent="0.2">
      <c r="A3" s="28" t="s">
        <v>43</v>
      </c>
      <c r="B3" s="29">
        <v>60</v>
      </c>
      <c r="C3">
        <v>7839</v>
      </c>
      <c r="D3" s="7">
        <f t="shared" si="0"/>
        <v>22.230455724342349</v>
      </c>
      <c r="E3">
        <v>2.6989999999999998</v>
      </c>
      <c r="F3" s="7">
        <f t="shared" si="1"/>
        <v>22.230455724342349</v>
      </c>
      <c r="G3">
        <f t="shared" si="2"/>
        <v>190</v>
      </c>
      <c r="H3" s="18">
        <v>41870</v>
      </c>
      <c r="I3">
        <v>1</v>
      </c>
      <c r="J3" t="s">
        <v>78</v>
      </c>
      <c r="K3" s="7">
        <f t="shared" si="3"/>
        <v>-0.8712702702702706</v>
      </c>
    </row>
    <row r="4" spans="1:11" x14ac:dyDescent="0.2">
      <c r="A4" s="28" t="s">
        <v>43</v>
      </c>
      <c r="B4" s="29">
        <v>60</v>
      </c>
      <c r="C4">
        <v>8029</v>
      </c>
      <c r="D4" s="7">
        <f t="shared" si="0"/>
        <v>23.085802231627547</v>
      </c>
      <c r="E4">
        <v>2.5990000000000002</v>
      </c>
      <c r="F4" s="7">
        <f t="shared" si="1"/>
        <v>23.085802231627547</v>
      </c>
      <c r="G4">
        <f t="shared" si="2"/>
        <v>331</v>
      </c>
      <c r="H4" s="18">
        <v>41908</v>
      </c>
      <c r="I4">
        <v>1</v>
      </c>
      <c r="J4" t="s">
        <v>78</v>
      </c>
      <c r="K4" s="7">
        <f t="shared" si="3"/>
        <v>-0.97127027027027024</v>
      </c>
    </row>
    <row r="5" spans="1:11" x14ac:dyDescent="0.2">
      <c r="A5" s="28" t="s">
        <v>43</v>
      </c>
      <c r="B5" s="16">
        <v>60</v>
      </c>
      <c r="C5">
        <v>8360</v>
      </c>
      <c r="D5" s="7">
        <f t="shared" si="0"/>
        <v>22.230455724342349</v>
      </c>
      <c r="E5">
        <v>2.6989999999999998</v>
      </c>
      <c r="F5" s="7">
        <f t="shared" si="1"/>
        <v>22.230455724342349</v>
      </c>
      <c r="G5">
        <f t="shared" si="2"/>
        <v>183</v>
      </c>
      <c r="H5" s="18"/>
      <c r="I5">
        <v>1</v>
      </c>
      <c r="J5" s="1" t="s">
        <v>78</v>
      </c>
      <c r="K5" s="7">
        <f t="shared" si="3"/>
        <v>-0.8712702702702706</v>
      </c>
    </row>
    <row r="6" spans="1:11" x14ac:dyDescent="0.2">
      <c r="A6" s="28" t="s">
        <v>43</v>
      </c>
      <c r="B6" s="29">
        <v>10</v>
      </c>
      <c r="C6">
        <v>8543</v>
      </c>
      <c r="D6" s="7">
        <f t="shared" si="0"/>
        <v>3.4602076124567471</v>
      </c>
      <c r="E6">
        <v>2.89</v>
      </c>
      <c r="F6" s="7">
        <f t="shared" si="1"/>
        <v>3.4602076124567471</v>
      </c>
      <c r="G6">
        <f t="shared" si="2"/>
        <v>48</v>
      </c>
      <c r="H6" s="18">
        <v>41914</v>
      </c>
      <c r="I6">
        <v>1</v>
      </c>
      <c r="J6" s="1" t="s">
        <v>78</v>
      </c>
      <c r="K6" s="7">
        <f t="shared" si="3"/>
        <v>-0.68027027027027032</v>
      </c>
    </row>
    <row r="7" spans="1:11" x14ac:dyDescent="0.2">
      <c r="A7" s="28" t="s">
        <v>43</v>
      </c>
      <c r="B7" s="29">
        <v>60</v>
      </c>
      <c r="C7">
        <v>8591</v>
      </c>
      <c r="D7" s="7">
        <f t="shared" si="0"/>
        <v>21.826118588577664</v>
      </c>
      <c r="E7">
        <v>2.7490000000000001</v>
      </c>
      <c r="F7" s="7">
        <f t="shared" si="1"/>
        <v>21.826118588577664</v>
      </c>
      <c r="G7">
        <f t="shared" si="2"/>
        <v>150</v>
      </c>
      <c r="H7" s="18">
        <v>41916</v>
      </c>
      <c r="I7">
        <v>1</v>
      </c>
      <c r="J7" s="1" t="s">
        <v>78</v>
      </c>
      <c r="K7" s="7">
        <f t="shared" si="3"/>
        <v>-0.82127027027027033</v>
      </c>
    </row>
    <row r="8" spans="1:11" x14ac:dyDescent="0.2">
      <c r="A8" s="28" t="s">
        <v>43</v>
      </c>
      <c r="B8" s="29">
        <v>60</v>
      </c>
      <c r="C8">
        <v>8741</v>
      </c>
      <c r="D8" s="7">
        <f>F8</f>
        <v>22.230455724342349</v>
      </c>
      <c r="E8">
        <v>2.6989999999999998</v>
      </c>
      <c r="F8" s="7">
        <f>B8/E8</f>
        <v>22.230455724342349</v>
      </c>
      <c r="G8">
        <f t="shared" si="2"/>
        <v>199</v>
      </c>
      <c r="H8" s="18">
        <v>41922</v>
      </c>
      <c r="I8">
        <v>1</v>
      </c>
      <c r="J8" s="1" t="s">
        <v>78</v>
      </c>
      <c r="K8" s="7">
        <f t="shared" si="3"/>
        <v>-0.8712702702702706</v>
      </c>
    </row>
    <row r="9" spans="1:11" x14ac:dyDescent="0.2">
      <c r="A9" s="28" t="s">
        <v>43</v>
      </c>
      <c r="B9" s="29">
        <v>60</v>
      </c>
      <c r="C9">
        <v>8940</v>
      </c>
      <c r="D9" s="7">
        <f>F9</f>
        <v>22.230455724342349</v>
      </c>
      <c r="E9">
        <v>2.6989999999999998</v>
      </c>
      <c r="F9" s="7">
        <f>B9/E9</f>
        <v>22.230455724342349</v>
      </c>
      <c r="G9">
        <v>0</v>
      </c>
      <c r="H9" s="18">
        <v>41924</v>
      </c>
      <c r="I9">
        <v>1</v>
      </c>
      <c r="J9" s="1"/>
      <c r="K9" s="7"/>
    </row>
    <row r="10" spans="1:11" x14ac:dyDescent="0.2">
      <c r="K10" s="7"/>
    </row>
    <row r="11" spans="1:11" x14ac:dyDescent="0.2">
      <c r="K11" s="7"/>
    </row>
    <row r="12" spans="1:11" x14ac:dyDescent="0.2">
      <c r="K12" s="7"/>
    </row>
    <row r="13" spans="1:11" x14ac:dyDescent="0.2">
      <c r="K13" s="7"/>
    </row>
    <row r="14" spans="1:11" x14ac:dyDescent="0.2">
      <c r="K14" s="7"/>
    </row>
    <row r="15" spans="1:11" x14ac:dyDescent="0.2">
      <c r="K15" s="7"/>
    </row>
    <row r="16" spans="1:11" x14ac:dyDescent="0.2">
      <c r="A16" s="12" t="s">
        <v>16</v>
      </c>
      <c r="B16" s="13">
        <f>SUMIF($J$2:$J$15,"s",$B$2:$B$15)</f>
        <v>370</v>
      </c>
      <c r="C16" s="24"/>
      <c r="D16" s="23">
        <f>SUMIF($J$2:$J$15,"s",D2:D15)</f>
        <v>138.14929783731657</v>
      </c>
      <c r="E16" s="13">
        <f>SUMIF($J$2:$J$15,"s",$E$2:$E$15)</f>
        <v>18.933999999999997</v>
      </c>
      <c r="F16" s="23">
        <f>SUMIF($J$2:$J$15,"s",$F$2:$F$15)</f>
        <v>138.14929783731657</v>
      </c>
      <c r="G16" s="23">
        <f>SUMIF($J$2:$J$15,"s",$G$2:$G$15)</f>
        <v>1321</v>
      </c>
      <c r="H16" s="26"/>
      <c r="I16" s="27">
        <f>SUMIF($J$2:$J$15,"s",$I$2:$I$15)</f>
        <v>7</v>
      </c>
      <c r="K16" s="7"/>
    </row>
    <row r="17" spans="1:11" x14ac:dyDescent="0.2">
      <c r="A17" s="12" t="s">
        <v>67</v>
      </c>
      <c r="B17" s="14">
        <f>B16/I16</f>
        <v>52.857142857142854</v>
      </c>
      <c r="C17" s="24"/>
      <c r="D17" s="12"/>
      <c r="E17" s="12"/>
      <c r="F17" s="12"/>
      <c r="G17" s="12"/>
      <c r="H17" s="26"/>
      <c r="I17" s="27"/>
      <c r="K17" s="7"/>
    </row>
    <row r="18" spans="1:11" x14ac:dyDescent="0.2">
      <c r="A18" s="12" t="s">
        <v>66</v>
      </c>
      <c r="B18" s="12">
        <f>D16/I16</f>
        <v>19.73561397675951</v>
      </c>
      <c r="C18" s="25"/>
      <c r="D18" s="12"/>
      <c r="E18" s="12"/>
      <c r="F18" s="12"/>
      <c r="G18" s="12"/>
      <c r="H18" s="26"/>
      <c r="I18" s="27"/>
      <c r="K18" s="7"/>
    </row>
    <row r="19" spans="1:11" x14ac:dyDescent="0.2">
      <c r="A19" s="12" t="s">
        <v>68</v>
      </c>
      <c r="B19" s="14">
        <f>E16/I16</f>
        <v>2.7048571428571426</v>
      </c>
      <c r="C19" s="26"/>
      <c r="D19" s="14"/>
      <c r="E19" s="12"/>
      <c r="F19" s="12"/>
      <c r="G19" s="12"/>
      <c r="H19" s="26"/>
      <c r="I19" s="27"/>
    </row>
    <row r="20" spans="1:11" x14ac:dyDescent="0.2">
      <c r="A20" s="12" t="s">
        <v>69</v>
      </c>
      <c r="B20" s="12">
        <f>G16/I16</f>
        <v>188.71428571428572</v>
      </c>
      <c r="C20" s="26"/>
      <c r="D20" s="12"/>
      <c r="E20" s="12"/>
      <c r="F20" s="12"/>
      <c r="G20" s="12"/>
      <c r="H20" s="26"/>
      <c r="I20" s="27"/>
    </row>
    <row r="21" spans="1:11" x14ac:dyDescent="0.2">
      <c r="A21" s="9" t="s">
        <v>70</v>
      </c>
      <c r="B21" s="9">
        <f>G16/D16</f>
        <v>9.5621188140644655</v>
      </c>
      <c r="C21" s="24"/>
      <c r="D21" s="12"/>
      <c r="E21" s="12"/>
      <c r="F21" s="12"/>
      <c r="G21" s="12"/>
      <c r="H21" s="26"/>
      <c r="I21" s="27"/>
    </row>
    <row r="22" spans="1:11" x14ac:dyDescent="0.2">
      <c r="A22" s="9" t="s">
        <v>71</v>
      </c>
      <c r="B22" s="22">
        <f>G16/B16</f>
        <v>3.5702702702702704</v>
      </c>
      <c r="C22" s="24"/>
      <c r="D22" s="12"/>
      <c r="E22" s="12"/>
      <c r="F22" s="12"/>
      <c r="G22" s="12"/>
      <c r="H22" s="26"/>
      <c r="I22" s="27"/>
    </row>
    <row r="23" spans="1:11" x14ac:dyDescent="0.2">
      <c r="A23" s="12" t="s">
        <v>75</v>
      </c>
      <c r="B23" s="14">
        <f>B18*B19</f>
        <v>53.382016433709218</v>
      </c>
      <c r="C23" s="26"/>
      <c r="D23" s="27"/>
      <c r="E23" s="27"/>
      <c r="F23" s="27"/>
      <c r="G23" s="27"/>
      <c r="H23" s="26"/>
      <c r="I23" s="27"/>
    </row>
    <row r="24" spans="1:11" x14ac:dyDescent="0.2">
      <c r="A24" s="12" t="s">
        <v>76</v>
      </c>
      <c r="B24" s="14">
        <f>B20/B21</f>
        <v>19.73561397675951</v>
      </c>
      <c r="C24" s="26"/>
      <c r="D24" s="27"/>
      <c r="E24" s="27"/>
      <c r="F24" s="27"/>
      <c r="G24" s="27"/>
      <c r="H24" s="26"/>
      <c r="I24" s="27"/>
    </row>
    <row r="26" spans="1:11" x14ac:dyDescent="0.2">
      <c r="A26" t="s">
        <v>59</v>
      </c>
      <c r="B26" t="s">
        <v>525</v>
      </c>
      <c r="C26" t="s">
        <v>526</v>
      </c>
      <c r="D26" t="s">
        <v>212</v>
      </c>
    </row>
    <row r="27" spans="1:11" x14ac:dyDescent="0.2">
      <c r="A27">
        <v>23.849</v>
      </c>
      <c r="B27">
        <v>22532</v>
      </c>
      <c r="C27">
        <v>22791</v>
      </c>
      <c r="D27">
        <v>50.75</v>
      </c>
      <c r="E27">
        <f>C27-B27</f>
        <v>259</v>
      </c>
      <c r="F27">
        <f>E27/A27</f>
        <v>10.859994129732902</v>
      </c>
    </row>
    <row r="28" spans="1:11" x14ac:dyDescent="0.2">
      <c r="A28">
        <v>34.1</v>
      </c>
      <c r="B28">
        <v>22791</v>
      </c>
      <c r="C28">
        <v>23086</v>
      </c>
      <c r="D28">
        <v>76.010000000000005</v>
      </c>
      <c r="E28">
        <f>C28-B28</f>
        <v>295</v>
      </c>
      <c r="F28">
        <f>E28/A28</f>
        <v>8.6510263929618763</v>
      </c>
    </row>
    <row r="29" spans="1:11" x14ac:dyDescent="0.2">
      <c r="A29">
        <v>34.24</v>
      </c>
      <c r="B29">
        <v>23086</v>
      </c>
      <c r="C29">
        <v>23404</v>
      </c>
      <c r="D29">
        <v>70.19</v>
      </c>
      <c r="E29">
        <f>C29-B29</f>
        <v>318</v>
      </c>
      <c r="F29">
        <f>E29/A29</f>
        <v>9.2873831775700921</v>
      </c>
    </row>
    <row r="30" spans="1:11" x14ac:dyDescent="0.2">
      <c r="A30">
        <v>13.66</v>
      </c>
      <c r="B30">
        <v>23404</v>
      </c>
      <c r="C30">
        <v>23502</v>
      </c>
      <c r="D30">
        <v>27.03</v>
      </c>
      <c r="E30">
        <f>C30-B30</f>
        <v>98</v>
      </c>
      <c r="F30">
        <f>E30/A30</f>
        <v>7.1742313323572473</v>
      </c>
    </row>
    <row r="31" spans="1:11" x14ac:dyDescent="0.2">
      <c r="A31">
        <f>SUM(A27:A30)</f>
        <v>105.84899999999999</v>
      </c>
      <c r="D31">
        <f>SUM(D27:D30)</f>
        <v>223.98</v>
      </c>
      <c r="E31">
        <f>SUM(E27:E30)</f>
        <v>970</v>
      </c>
      <c r="F31" t="s">
        <v>16</v>
      </c>
    </row>
    <row r="32" spans="1:11" x14ac:dyDescent="0.2">
      <c r="E32">
        <f>E31/A31</f>
        <v>9.1639977704087912</v>
      </c>
    </row>
    <row r="33" spans="1:2" x14ac:dyDescent="0.2">
      <c r="A33" t="s">
        <v>527</v>
      </c>
      <c r="B33" t="s">
        <v>528</v>
      </c>
    </row>
    <row r="34" spans="1:2" x14ac:dyDescent="0.2">
      <c r="A34">
        <v>13.6</v>
      </c>
      <c r="B34">
        <v>7.7</v>
      </c>
    </row>
    <row r="35" spans="1:2" x14ac:dyDescent="0.2">
      <c r="A35">
        <v>4.4000000000000004</v>
      </c>
      <c r="B35">
        <v>5.0999999999999996</v>
      </c>
    </row>
    <row r="36" spans="1:2" x14ac:dyDescent="0.2">
      <c r="A36">
        <v>5.0999999999999996</v>
      </c>
      <c r="B36">
        <v>7.4</v>
      </c>
    </row>
    <row r="37" spans="1:2" x14ac:dyDescent="0.2">
      <c r="A37">
        <v>7.4</v>
      </c>
      <c r="B37">
        <v>4.4000000000000004</v>
      </c>
    </row>
    <row r="38" spans="1:2" x14ac:dyDescent="0.2">
      <c r="A38">
        <v>6.8</v>
      </c>
      <c r="B38">
        <v>13.6</v>
      </c>
    </row>
    <row r="39" spans="1:2" x14ac:dyDescent="0.2">
      <c r="A39">
        <v>7.6</v>
      </c>
      <c r="B39">
        <v>6.3</v>
      </c>
    </row>
    <row r="40" spans="1:2" x14ac:dyDescent="0.2">
      <c r="A40">
        <v>7.7</v>
      </c>
      <c r="B40">
        <v>6.5</v>
      </c>
    </row>
    <row r="41" spans="1:2" x14ac:dyDescent="0.2">
      <c r="A41">
        <f>SUM(A34:A40)</f>
        <v>52.6</v>
      </c>
      <c r="B41">
        <f>SUM(B34:B40)</f>
        <v>51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F6"/>
  <sheetViews>
    <sheetView workbookViewId="0">
      <selection activeCell="D22" sqref="C22:D29"/>
    </sheetView>
  </sheetViews>
  <sheetFormatPr defaultRowHeight="12.75" x14ac:dyDescent="0.2"/>
  <cols>
    <col min="4" max="4" width="12.85546875" bestFit="1" customWidth="1"/>
    <col min="5" max="5" width="10.5703125" bestFit="1" customWidth="1"/>
    <col min="6" max="6" width="13.42578125" bestFit="1" customWidth="1"/>
  </cols>
  <sheetData>
    <row r="1" spans="1:6" x14ac:dyDescent="0.2">
      <c r="A1" t="s">
        <v>6</v>
      </c>
      <c r="B1" t="s">
        <v>7</v>
      </c>
      <c r="C1" s="1" t="s">
        <v>9</v>
      </c>
      <c r="D1" s="1" t="s">
        <v>11</v>
      </c>
      <c r="E1" s="1" t="s">
        <v>10</v>
      </c>
      <c r="F1" s="1" t="s">
        <v>8</v>
      </c>
    </row>
    <row r="2" spans="1:6" x14ac:dyDescent="0.2">
      <c r="A2" t="s">
        <v>5</v>
      </c>
      <c r="B2">
        <v>10</v>
      </c>
      <c r="C2">
        <v>7400.48</v>
      </c>
      <c r="D2">
        <f>SUM(D3:D6)</f>
        <v>455.12</v>
      </c>
      <c r="E2">
        <f>C2-D2</f>
        <v>6945.36</v>
      </c>
      <c r="F2">
        <f>E2</f>
        <v>6945.36</v>
      </c>
    </row>
    <row r="3" spans="1:6" x14ac:dyDescent="0.2">
      <c r="D3">
        <v>111.01</v>
      </c>
    </row>
    <row r="4" spans="1:6" x14ac:dyDescent="0.2">
      <c r="D4">
        <v>48.1</v>
      </c>
    </row>
    <row r="5" spans="1:6" x14ac:dyDescent="0.2">
      <c r="D5">
        <v>222.01</v>
      </c>
    </row>
    <row r="6" spans="1:6" x14ac:dyDescent="0.2">
      <c r="D6">
        <v>74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4"/>
  <sheetViews>
    <sheetView workbookViewId="0">
      <selection activeCell="D24" sqref="D24"/>
    </sheetView>
  </sheetViews>
  <sheetFormatPr defaultRowHeight="12.75" x14ac:dyDescent="0.2"/>
  <cols>
    <col min="1" max="1" width="23.7109375" bestFit="1" customWidth="1"/>
    <col min="2" max="2" width="10.5703125" bestFit="1" customWidth="1"/>
    <col min="5" max="5" width="10.140625" bestFit="1" customWidth="1"/>
  </cols>
  <sheetData>
    <row r="1" spans="1:5" x14ac:dyDescent="0.2">
      <c r="A1" s="37" t="s">
        <v>118</v>
      </c>
      <c r="B1" s="60">
        <v>183.9</v>
      </c>
      <c r="C1">
        <v>2089</v>
      </c>
      <c r="D1">
        <v>183.69</v>
      </c>
      <c r="E1" s="71">
        <v>41578</v>
      </c>
    </row>
    <row r="2" spans="1:5" x14ac:dyDescent="0.2">
      <c r="A2" s="37" t="s">
        <v>119</v>
      </c>
      <c r="B2" s="60">
        <v>183.9</v>
      </c>
      <c r="C2">
        <v>2089</v>
      </c>
      <c r="D2">
        <v>183.69</v>
      </c>
      <c r="E2" s="71">
        <v>41670</v>
      </c>
    </row>
    <row r="3" spans="1:5" x14ac:dyDescent="0.2">
      <c r="A3" s="37" t="s">
        <v>120</v>
      </c>
      <c r="B3" s="60">
        <v>191.7</v>
      </c>
      <c r="C3">
        <v>2089</v>
      </c>
      <c r="D3">
        <v>191.7</v>
      </c>
    </row>
    <row r="4" spans="1:5" x14ac:dyDescent="0.2">
      <c r="A4" s="37" t="s">
        <v>121</v>
      </c>
      <c r="B4" s="60">
        <v>383.67</v>
      </c>
      <c r="D4">
        <v>191.7</v>
      </c>
    </row>
    <row r="5" spans="1:5" x14ac:dyDescent="0.2">
      <c r="A5" s="37" t="s">
        <v>122</v>
      </c>
      <c r="B5" s="60">
        <v>383.67</v>
      </c>
      <c r="D5">
        <v>191.7</v>
      </c>
    </row>
    <row r="6" spans="1:5" x14ac:dyDescent="0.2">
      <c r="A6" s="37" t="s">
        <v>123</v>
      </c>
      <c r="B6" s="60">
        <v>400.44</v>
      </c>
      <c r="D6">
        <v>191.7</v>
      </c>
    </row>
    <row r="7" spans="1:5" x14ac:dyDescent="0.2">
      <c r="A7" s="37" t="s">
        <v>124</v>
      </c>
      <c r="B7" s="60">
        <v>136.44999999999999</v>
      </c>
      <c r="D7">
        <v>383.67</v>
      </c>
    </row>
    <row r="8" spans="1:5" x14ac:dyDescent="0.2">
      <c r="A8" s="37" t="s">
        <v>125</v>
      </c>
      <c r="B8" s="60">
        <v>136.44999999999999</v>
      </c>
      <c r="D8">
        <v>383.67</v>
      </c>
    </row>
    <row r="9" spans="1:5" x14ac:dyDescent="0.2">
      <c r="A9" s="37" t="s">
        <v>126</v>
      </c>
      <c r="B9" s="60">
        <v>142</v>
      </c>
      <c r="D9">
        <v>400.44</v>
      </c>
    </row>
    <row r="10" spans="1:5" x14ac:dyDescent="0.2">
      <c r="A10" s="37" t="s">
        <v>127</v>
      </c>
      <c r="B10" s="60">
        <v>142</v>
      </c>
      <c r="D10">
        <v>400.44</v>
      </c>
    </row>
    <row r="11" spans="1:5" x14ac:dyDescent="0.2">
      <c r="A11" s="4" t="s">
        <v>132</v>
      </c>
      <c r="B11" s="5">
        <v>142</v>
      </c>
      <c r="D11">
        <v>400.44</v>
      </c>
    </row>
    <row r="12" spans="1:5" x14ac:dyDescent="0.2">
      <c r="A12" s="4" t="s">
        <v>133</v>
      </c>
      <c r="B12" s="5">
        <v>133.47999999999999</v>
      </c>
      <c r="D12">
        <v>400.44</v>
      </c>
    </row>
    <row r="13" spans="1:5" x14ac:dyDescent="0.2">
      <c r="A13" s="4" t="s">
        <v>134</v>
      </c>
      <c r="B13" s="5">
        <v>63.9</v>
      </c>
      <c r="C13">
        <v>2985</v>
      </c>
      <c r="D13">
        <v>136.05000000000001</v>
      </c>
      <c r="E13" s="71">
        <v>41565</v>
      </c>
    </row>
    <row r="14" spans="1:5" x14ac:dyDescent="0.2">
      <c r="A14" s="4" t="s">
        <v>135</v>
      </c>
      <c r="B14" s="5">
        <v>142</v>
      </c>
      <c r="C14">
        <v>2985</v>
      </c>
      <c r="D14">
        <v>136.05000000000001</v>
      </c>
      <c r="E14" s="71">
        <v>41628</v>
      </c>
    </row>
    <row r="15" spans="1:5" x14ac:dyDescent="0.2">
      <c r="A15" s="4" t="s">
        <v>136</v>
      </c>
      <c r="B15" s="5">
        <v>133.47999999999999</v>
      </c>
      <c r="C15">
        <v>2985</v>
      </c>
      <c r="D15">
        <v>142</v>
      </c>
      <c r="E15" s="71">
        <v>41746</v>
      </c>
    </row>
    <row r="16" spans="1:5" x14ac:dyDescent="0.2">
      <c r="A16" s="4" t="s">
        <v>137</v>
      </c>
      <c r="B16" s="5">
        <v>63.9</v>
      </c>
      <c r="C16">
        <v>2985</v>
      </c>
      <c r="D16">
        <v>142</v>
      </c>
      <c r="E16" s="71">
        <v>41779</v>
      </c>
    </row>
    <row r="17" spans="1:5" x14ac:dyDescent="0.2">
      <c r="A17" s="4" t="s">
        <v>138</v>
      </c>
      <c r="B17" s="5">
        <v>142</v>
      </c>
      <c r="C17">
        <v>2985</v>
      </c>
      <c r="D17">
        <v>142</v>
      </c>
      <c r="E17" s="71">
        <v>41810</v>
      </c>
    </row>
    <row r="18" spans="1:5" x14ac:dyDescent="0.2">
      <c r="A18" s="4" t="s">
        <v>139</v>
      </c>
      <c r="B18" s="5">
        <v>133.47999999999999</v>
      </c>
      <c r="C18">
        <v>2985</v>
      </c>
      <c r="D18">
        <v>142</v>
      </c>
      <c r="E18" s="71">
        <v>41838</v>
      </c>
    </row>
    <row r="19" spans="1:5" x14ac:dyDescent="0.2">
      <c r="A19" s="4" t="s">
        <v>140</v>
      </c>
      <c r="B19" s="5">
        <v>63.9</v>
      </c>
      <c r="C19">
        <v>2985</v>
      </c>
      <c r="D19">
        <v>142</v>
      </c>
      <c r="E19" s="71">
        <v>41871</v>
      </c>
    </row>
    <row r="20" spans="1:5" x14ac:dyDescent="0.2">
      <c r="A20" s="4" t="s">
        <v>141</v>
      </c>
      <c r="B20" s="5">
        <v>142</v>
      </c>
      <c r="C20">
        <v>2985</v>
      </c>
      <c r="D20">
        <v>142</v>
      </c>
      <c r="E20" s="71">
        <v>41901</v>
      </c>
    </row>
    <row r="21" spans="1:5" x14ac:dyDescent="0.2">
      <c r="A21" s="4" t="s">
        <v>142</v>
      </c>
      <c r="B21" s="5">
        <v>133.47999999999999</v>
      </c>
      <c r="C21">
        <v>2985</v>
      </c>
      <c r="D21">
        <v>142</v>
      </c>
      <c r="E21" s="71">
        <v>41932</v>
      </c>
    </row>
    <row r="22" spans="1:5" x14ac:dyDescent="0.2">
      <c r="A22" s="4" t="s">
        <v>143</v>
      </c>
      <c r="B22" s="5">
        <v>63.9</v>
      </c>
      <c r="C22">
        <v>2985</v>
      </c>
      <c r="D22">
        <v>142</v>
      </c>
      <c r="E22" s="71">
        <v>41963</v>
      </c>
    </row>
    <row r="23" spans="1:5" x14ac:dyDescent="0.2">
      <c r="A23" s="4" t="s">
        <v>144</v>
      </c>
      <c r="B23" s="5">
        <v>142</v>
      </c>
      <c r="D23">
        <f>SUM(D1:D22)</f>
        <v>4911.380000000001</v>
      </c>
    </row>
    <row r="24" spans="1:5" x14ac:dyDescent="0.2">
      <c r="A24" s="4" t="s">
        <v>145</v>
      </c>
      <c r="B24" s="5">
        <v>133.47999999999999</v>
      </c>
    </row>
    <row r="25" spans="1:5" x14ac:dyDescent="0.2">
      <c r="A25" s="4" t="s">
        <v>146</v>
      </c>
      <c r="B25" s="5">
        <v>63.9</v>
      </c>
    </row>
    <row r="26" spans="1:5" x14ac:dyDescent="0.2">
      <c r="A26" s="4" t="s">
        <v>147</v>
      </c>
      <c r="B26" s="5">
        <v>142</v>
      </c>
    </row>
    <row r="27" spans="1:5" x14ac:dyDescent="0.2">
      <c r="A27" s="4" t="s">
        <v>148</v>
      </c>
      <c r="B27" s="5">
        <v>133.47999999999999</v>
      </c>
    </row>
    <row r="28" spans="1:5" x14ac:dyDescent="0.2">
      <c r="A28" s="4" t="s">
        <v>149</v>
      </c>
      <c r="B28" s="5">
        <v>63.9</v>
      </c>
    </row>
    <row r="29" spans="1:5" x14ac:dyDescent="0.2">
      <c r="A29" s="4" t="s">
        <v>150</v>
      </c>
      <c r="B29" s="5">
        <v>142</v>
      </c>
    </row>
    <row r="30" spans="1:5" x14ac:dyDescent="0.2">
      <c r="A30" s="4" t="s">
        <v>151</v>
      </c>
      <c r="B30" s="5">
        <v>133.47999999999999</v>
      </c>
    </row>
    <row r="31" spans="1:5" x14ac:dyDescent="0.2">
      <c r="A31" s="4" t="s">
        <v>152</v>
      </c>
      <c r="B31" s="5">
        <v>63.9</v>
      </c>
    </row>
    <row r="32" spans="1:5" x14ac:dyDescent="0.2">
      <c r="A32" s="4" t="s">
        <v>196</v>
      </c>
      <c r="B32" s="5">
        <v>142</v>
      </c>
    </row>
    <row r="33" spans="1:2" x14ac:dyDescent="0.2">
      <c r="A33" s="4" t="s">
        <v>197</v>
      </c>
      <c r="B33" s="5">
        <v>133.47999999999999</v>
      </c>
    </row>
    <row r="34" spans="1:2" x14ac:dyDescent="0.2">
      <c r="A34" s="4" t="s">
        <v>198</v>
      </c>
      <c r="B34" s="5">
        <v>63.9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F15"/>
  <sheetViews>
    <sheetView workbookViewId="0">
      <selection activeCell="B9" sqref="B9"/>
    </sheetView>
  </sheetViews>
  <sheetFormatPr defaultRowHeight="12.75" x14ac:dyDescent="0.2"/>
  <cols>
    <col min="1" max="1" width="12.7109375" bestFit="1" customWidth="1"/>
    <col min="2" max="2" width="14.140625" bestFit="1" customWidth="1"/>
    <col min="3" max="3" width="18.85546875" bestFit="1" customWidth="1"/>
    <col min="4" max="4" width="16.85546875" bestFit="1" customWidth="1"/>
    <col min="5" max="5" width="22.28515625" bestFit="1" customWidth="1"/>
  </cols>
  <sheetData>
    <row r="1" spans="1:6" x14ac:dyDescent="0.2">
      <c r="A1" s="1" t="s">
        <v>908</v>
      </c>
      <c r="B1" s="1">
        <v>769536824</v>
      </c>
      <c r="C1" s="124">
        <v>17298092000130</v>
      </c>
      <c r="D1" s="1"/>
      <c r="E1" s="3"/>
      <c r="F1" s="1"/>
    </row>
    <row r="2" spans="1:6" x14ac:dyDescent="0.2">
      <c r="A2" t="s">
        <v>912</v>
      </c>
    </row>
    <row r="3" spans="1:6" x14ac:dyDescent="0.2">
      <c r="A3" s="123" t="s">
        <v>909</v>
      </c>
      <c r="B3" s="123">
        <v>627.92999999999995</v>
      </c>
      <c r="C3">
        <f>SUM(B3:B4)</f>
        <v>2425.11</v>
      </c>
    </row>
    <row r="4" spans="1:6" x14ac:dyDescent="0.2">
      <c r="A4" s="123" t="s">
        <v>910</v>
      </c>
      <c r="B4" s="123">
        <v>1797.18</v>
      </c>
    </row>
    <row r="5" spans="1:6" x14ac:dyDescent="0.2">
      <c r="A5" t="s">
        <v>913</v>
      </c>
    </row>
    <row r="6" spans="1:6" x14ac:dyDescent="0.2">
      <c r="A6" t="s">
        <v>919</v>
      </c>
      <c r="B6">
        <v>72.25</v>
      </c>
      <c r="C6">
        <f>SUM(B6:B12)</f>
        <v>2676.27</v>
      </c>
    </row>
    <row r="7" spans="1:6" x14ac:dyDescent="0.2">
      <c r="A7" t="s">
        <v>920</v>
      </c>
      <c r="B7">
        <v>72.25</v>
      </c>
    </row>
    <row r="8" spans="1:6" x14ac:dyDescent="0.2">
      <c r="A8" t="s">
        <v>909</v>
      </c>
      <c r="B8">
        <v>627.92999999999995</v>
      </c>
    </row>
    <row r="9" spans="1:6" x14ac:dyDescent="0.2">
      <c r="A9" t="s">
        <v>914</v>
      </c>
      <c r="B9">
        <v>105.65</v>
      </c>
    </row>
    <row r="10" spans="1:6" x14ac:dyDescent="0.2">
      <c r="A10" t="s">
        <v>916</v>
      </c>
      <c r="B10">
        <v>1617.3</v>
      </c>
    </row>
    <row r="11" spans="1:6" x14ac:dyDescent="0.2">
      <c r="A11" t="s">
        <v>917</v>
      </c>
      <c r="B11">
        <v>127.69</v>
      </c>
    </row>
    <row r="12" spans="1:6" x14ac:dyDescent="0.2">
      <c r="A12" t="s">
        <v>918</v>
      </c>
      <c r="B12">
        <v>53.2</v>
      </c>
    </row>
    <row r="13" spans="1:6" x14ac:dyDescent="0.2">
      <c r="A13" t="s">
        <v>915</v>
      </c>
    </row>
    <row r="14" spans="1:6" x14ac:dyDescent="0.2">
      <c r="A14" t="s">
        <v>910</v>
      </c>
      <c r="B14">
        <v>1532.18</v>
      </c>
      <c r="C14">
        <f>SUM(B14:B15)</f>
        <v>2401.02</v>
      </c>
    </row>
    <row r="15" spans="1:6" x14ac:dyDescent="0.2">
      <c r="A15" t="s">
        <v>910</v>
      </c>
      <c r="B15">
        <v>868.84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E11"/>
  <sheetViews>
    <sheetView workbookViewId="0">
      <selection activeCell="C12" sqref="C12"/>
    </sheetView>
  </sheetViews>
  <sheetFormatPr defaultRowHeight="12.75" x14ac:dyDescent="0.2"/>
  <cols>
    <col min="1" max="1" width="9.85546875" bestFit="1" customWidth="1"/>
    <col min="2" max="2" width="10.140625" bestFit="1" customWidth="1"/>
    <col min="3" max="3" width="7" bestFit="1" customWidth="1"/>
    <col min="4" max="4" width="5" bestFit="1" customWidth="1"/>
    <col min="5" max="7" width="10.140625" bestFit="1" customWidth="1"/>
  </cols>
  <sheetData>
    <row r="1" spans="1:5" x14ac:dyDescent="0.2">
      <c r="A1" t="s">
        <v>903</v>
      </c>
      <c r="B1">
        <v>903435357</v>
      </c>
    </row>
    <row r="2" spans="1:5" x14ac:dyDescent="0.2">
      <c r="A2" s="1" t="s">
        <v>904</v>
      </c>
      <c r="B2" s="18">
        <v>42119</v>
      </c>
      <c r="C2">
        <v>356.64</v>
      </c>
      <c r="D2" s="31">
        <v>2012</v>
      </c>
      <c r="E2" s="71">
        <v>40968</v>
      </c>
    </row>
    <row r="3" spans="1:5" x14ac:dyDescent="0.2">
      <c r="A3" s="1" t="s">
        <v>904</v>
      </c>
      <c r="B3" s="71">
        <v>41627</v>
      </c>
      <c r="C3">
        <v>408.88</v>
      </c>
      <c r="D3">
        <v>2011</v>
      </c>
      <c r="E3" s="71">
        <v>40598</v>
      </c>
    </row>
    <row r="4" spans="1:5" x14ac:dyDescent="0.2">
      <c r="A4" s="1" t="s">
        <v>904</v>
      </c>
      <c r="B4" s="18">
        <v>42119</v>
      </c>
      <c r="C4">
        <v>340.1</v>
      </c>
      <c r="D4">
        <v>2013</v>
      </c>
      <c r="E4" s="71">
        <v>41332</v>
      </c>
    </row>
    <row r="5" spans="1:5" x14ac:dyDescent="0.2">
      <c r="A5" s="1" t="s">
        <v>905</v>
      </c>
      <c r="B5" s="71">
        <v>42062</v>
      </c>
      <c r="C5">
        <v>150.41</v>
      </c>
      <c r="D5">
        <v>2015</v>
      </c>
      <c r="E5" s="71">
        <v>42062</v>
      </c>
    </row>
    <row r="6" spans="1:5" x14ac:dyDescent="0.2">
      <c r="A6" s="1" t="s">
        <v>905</v>
      </c>
      <c r="B6" s="71">
        <v>42062</v>
      </c>
      <c r="C6">
        <v>169.58</v>
      </c>
      <c r="D6">
        <v>2014</v>
      </c>
      <c r="E6" s="71">
        <v>42062</v>
      </c>
    </row>
    <row r="7" spans="1:5" x14ac:dyDescent="0.2">
      <c r="A7" s="1" t="s">
        <v>906</v>
      </c>
      <c r="B7" s="71">
        <v>42062</v>
      </c>
      <c r="C7">
        <v>292.01</v>
      </c>
      <c r="D7">
        <v>2015</v>
      </c>
      <c r="E7" s="71">
        <v>42062</v>
      </c>
    </row>
    <row r="8" spans="1:5" x14ac:dyDescent="0.2">
      <c r="A8" s="1" t="s">
        <v>906</v>
      </c>
      <c r="B8" s="71">
        <v>42062</v>
      </c>
      <c r="C8">
        <v>292.01</v>
      </c>
      <c r="D8">
        <v>2014</v>
      </c>
      <c r="E8" s="71">
        <v>42062</v>
      </c>
    </row>
    <row r="9" spans="1:5" x14ac:dyDescent="0.2">
      <c r="A9" s="1" t="s">
        <v>907</v>
      </c>
      <c r="B9" s="71">
        <v>42062</v>
      </c>
      <c r="C9">
        <v>72.25</v>
      </c>
      <c r="D9">
        <v>2015</v>
      </c>
      <c r="E9" s="71">
        <v>42062</v>
      </c>
    </row>
    <row r="10" spans="1:5" x14ac:dyDescent="0.2">
      <c r="A10" s="1" t="s">
        <v>907</v>
      </c>
      <c r="B10" s="71">
        <v>42062</v>
      </c>
      <c r="C10">
        <v>72.25</v>
      </c>
      <c r="D10">
        <v>2014</v>
      </c>
      <c r="E10" s="71">
        <v>42062</v>
      </c>
    </row>
    <row r="11" spans="1:5" x14ac:dyDescent="0.2">
      <c r="C11">
        <f>SUM(C2:C10)</f>
        <v>2154.13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3"/>
  <sheetViews>
    <sheetView workbookViewId="0">
      <selection activeCell="B4" sqref="B4"/>
    </sheetView>
  </sheetViews>
  <sheetFormatPr defaultRowHeight="12.75" x14ac:dyDescent="0.2"/>
  <sheetData>
    <row r="1" spans="1:2" x14ac:dyDescent="0.2">
      <c r="A1" t="s">
        <v>347</v>
      </c>
      <c r="B1">
        <f>'divida empresa'!D23</f>
        <v>4911.380000000001</v>
      </c>
    </row>
    <row r="2" spans="1:2" x14ac:dyDescent="0.2">
      <c r="A2" t="s">
        <v>153</v>
      </c>
      <c r="B2">
        <f>'divida carro'!C6</f>
        <v>2676.27</v>
      </c>
    </row>
    <row r="3" spans="1:2" x14ac:dyDescent="0.2">
      <c r="A3" t="s">
        <v>37</v>
      </c>
      <c r="B3">
        <f>'divida moto'!C11</f>
        <v>2154.13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G54"/>
  <sheetViews>
    <sheetView workbookViewId="0">
      <selection activeCell="D5" sqref="D5"/>
    </sheetView>
  </sheetViews>
  <sheetFormatPr defaultRowHeight="12.75" x14ac:dyDescent="0.2"/>
  <cols>
    <col min="2" max="2" width="27" bestFit="1" customWidth="1"/>
    <col min="4" max="4" width="27" bestFit="1" customWidth="1"/>
  </cols>
  <sheetData>
    <row r="1" spans="1:5" x14ac:dyDescent="0.2">
      <c r="A1" s="139">
        <v>42248</v>
      </c>
      <c r="B1" s="140" t="s">
        <v>1017</v>
      </c>
      <c r="C1" s="141">
        <v>74.900000000000006</v>
      </c>
      <c r="D1" s="128" t="s">
        <v>972</v>
      </c>
      <c r="E1" s="137">
        <v>207.55</v>
      </c>
    </row>
    <row r="2" spans="1:5" x14ac:dyDescent="0.2">
      <c r="A2" s="139">
        <v>42251</v>
      </c>
      <c r="B2" s="141" t="s">
        <v>988</v>
      </c>
      <c r="C2" s="141">
        <v>42.31</v>
      </c>
      <c r="D2" s="128" t="s">
        <v>1001</v>
      </c>
      <c r="E2" s="137">
        <v>85.75</v>
      </c>
    </row>
    <row r="3" spans="1:5" x14ac:dyDescent="0.2">
      <c r="A3" s="139">
        <v>42252</v>
      </c>
      <c r="B3" s="141" t="s">
        <v>1018</v>
      </c>
      <c r="C3" s="141">
        <v>112</v>
      </c>
      <c r="D3" s="128" t="s">
        <v>1002</v>
      </c>
      <c r="E3" s="137">
        <v>55.1</v>
      </c>
    </row>
    <row r="4" spans="1:5" x14ac:dyDescent="0.2">
      <c r="A4" s="139">
        <v>42252</v>
      </c>
      <c r="B4" s="141" t="s">
        <v>1019</v>
      </c>
      <c r="C4" s="141">
        <v>71.8</v>
      </c>
      <c r="D4" s="128" t="s">
        <v>1003</v>
      </c>
      <c r="E4" s="137">
        <v>70.5</v>
      </c>
    </row>
    <row r="5" spans="1:5" x14ac:dyDescent="0.2">
      <c r="A5" s="139">
        <v>42253</v>
      </c>
      <c r="B5" s="141" t="s">
        <v>1020</v>
      </c>
      <c r="C5" s="141">
        <v>78.97</v>
      </c>
      <c r="D5" s="128" t="s">
        <v>1005</v>
      </c>
      <c r="E5" s="137">
        <v>41.42</v>
      </c>
    </row>
    <row r="6" spans="1:5" x14ac:dyDescent="0.2">
      <c r="A6" s="139">
        <v>42255</v>
      </c>
      <c r="B6" s="141" t="s">
        <v>1021</v>
      </c>
      <c r="C6" s="141">
        <v>11.89</v>
      </c>
      <c r="D6" s="128" t="s">
        <v>52</v>
      </c>
      <c r="E6" s="137">
        <v>42.31</v>
      </c>
    </row>
    <row r="7" spans="1:5" x14ac:dyDescent="0.2">
      <c r="A7" s="139">
        <v>42255</v>
      </c>
      <c r="B7" s="141" t="s">
        <v>988</v>
      </c>
      <c r="C7" s="141">
        <v>59.71</v>
      </c>
      <c r="D7" s="128" t="s">
        <v>1009</v>
      </c>
      <c r="E7" s="137">
        <v>112</v>
      </c>
    </row>
    <row r="8" spans="1:5" x14ac:dyDescent="0.2">
      <c r="A8" s="139">
        <v>42256</v>
      </c>
      <c r="B8" s="141" t="s">
        <v>1022</v>
      </c>
      <c r="C8" s="141">
        <v>70</v>
      </c>
      <c r="D8" s="128" t="s">
        <v>96</v>
      </c>
      <c r="E8" s="137">
        <v>71.8</v>
      </c>
    </row>
    <row r="9" spans="1:5" x14ac:dyDescent="0.2">
      <c r="A9" s="139">
        <v>42256</v>
      </c>
      <c r="B9" s="141" t="s">
        <v>1023</v>
      </c>
      <c r="C9" s="141">
        <v>23.55</v>
      </c>
      <c r="D9" s="140" t="s">
        <v>1017</v>
      </c>
      <c r="E9" s="141">
        <v>74.900000000000006</v>
      </c>
    </row>
    <row r="10" spans="1:5" x14ac:dyDescent="0.2">
      <c r="A10" s="139">
        <v>42256</v>
      </c>
      <c r="B10" s="141" t="s">
        <v>1024</v>
      </c>
      <c r="C10" s="141">
        <v>46.67</v>
      </c>
      <c r="D10" s="141" t="s">
        <v>1020</v>
      </c>
      <c r="E10" s="141">
        <v>78.97</v>
      </c>
    </row>
    <row r="11" spans="1:5" ht="25.5" x14ac:dyDescent="0.2">
      <c r="A11" s="139">
        <v>42258</v>
      </c>
      <c r="B11" s="141" t="s">
        <v>1025</v>
      </c>
      <c r="C11" s="141">
        <v>22.55</v>
      </c>
      <c r="D11" s="141" t="s">
        <v>1021</v>
      </c>
      <c r="E11" s="141">
        <v>11.89</v>
      </c>
    </row>
    <row r="12" spans="1:5" x14ac:dyDescent="0.2">
      <c r="A12" s="139">
        <v>42258</v>
      </c>
      <c r="B12" s="141" t="s">
        <v>988</v>
      </c>
      <c r="C12" s="141">
        <v>84.68</v>
      </c>
      <c r="D12" s="141" t="s">
        <v>988</v>
      </c>
      <c r="E12" s="141">
        <v>59.71</v>
      </c>
    </row>
    <row r="13" spans="1:5" x14ac:dyDescent="0.2">
      <c r="A13" s="128"/>
      <c r="B13" s="137"/>
      <c r="C13" s="139"/>
      <c r="D13" s="141" t="s">
        <v>1023</v>
      </c>
      <c r="E13" s="141">
        <v>23.55</v>
      </c>
    </row>
    <row r="14" spans="1:5" x14ac:dyDescent="0.2">
      <c r="A14" s="128"/>
      <c r="B14" s="137"/>
      <c r="C14" s="139"/>
      <c r="D14" s="141" t="s">
        <v>1024</v>
      </c>
      <c r="E14" s="141">
        <v>46.67</v>
      </c>
    </row>
    <row r="15" spans="1:5" ht="25.5" x14ac:dyDescent="0.2">
      <c r="A15" s="128"/>
      <c r="B15" s="137"/>
      <c r="C15" s="139"/>
      <c r="D15" s="141" t="s">
        <v>1025</v>
      </c>
      <c r="E15" s="141">
        <v>22.55</v>
      </c>
    </row>
    <row r="16" spans="1:5" x14ac:dyDescent="0.2">
      <c r="A16" s="128"/>
      <c r="B16" s="137"/>
      <c r="C16" s="139"/>
      <c r="D16" s="141" t="s">
        <v>988</v>
      </c>
      <c r="E16" s="141">
        <v>84.68</v>
      </c>
    </row>
    <row r="17" spans="1:5" x14ac:dyDescent="0.2">
      <c r="A17" s="128"/>
      <c r="B17" s="137"/>
      <c r="C17" s="139"/>
      <c r="D17" s="141"/>
      <c r="E17" s="141"/>
    </row>
    <row r="18" spans="1:5" x14ac:dyDescent="0.2">
      <c r="A18" s="128"/>
      <c r="B18" s="137"/>
      <c r="C18" s="139"/>
      <c r="D18" s="141"/>
      <c r="E18" s="141"/>
    </row>
    <row r="19" spans="1:5" x14ac:dyDescent="0.2">
      <c r="A19" s="128"/>
      <c r="B19" s="137"/>
      <c r="C19" s="139"/>
      <c r="D19" s="141"/>
      <c r="E19" s="141"/>
    </row>
    <row r="20" spans="1:5" x14ac:dyDescent="0.2">
      <c r="A20" s="128"/>
      <c r="B20" s="137"/>
      <c r="C20" s="139"/>
      <c r="D20" s="141"/>
      <c r="E20" s="141"/>
    </row>
    <row r="21" spans="1:5" x14ac:dyDescent="0.2">
      <c r="A21" s="128"/>
      <c r="B21" s="137"/>
      <c r="C21" s="139"/>
      <c r="D21" s="141"/>
      <c r="E21" s="141"/>
    </row>
    <row r="22" spans="1:5" x14ac:dyDescent="0.2">
      <c r="A22" s="128"/>
      <c r="B22" s="137"/>
      <c r="C22" s="139"/>
      <c r="D22" s="141"/>
      <c r="E22" s="141"/>
    </row>
    <row r="23" spans="1:5" x14ac:dyDescent="0.2">
      <c r="C23" s="139"/>
      <c r="D23" s="141"/>
      <c r="E23" s="141"/>
    </row>
    <row r="24" spans="1:5" x14ac:dyDescent="0.2">
      <c r="A24" s="128"/>
      <c r="B24" s="137"/>
      <c r="C24" s="139"/>
      <c r="D24" s="141"/>
      <c r="E24" s="141"/>
    </row>
    <row r="25" spans="1:5" x14ac:dyDescent="0.2">
      <c r="A25" s="128"/>
      <c r="B25" s="137"/>
      <c r="C25" s="139"/>
      <c r="D25" s="141"/>
      <c r="E25" s="141"/>
    </row>
    <row r="26" spans="1:5" x14ac:dyDescent="0.2">
      <c r="A26" s="128"/>
      <c r="B26" s="137"/>
      <c r="C26" s="139"/>
      <c r="D26" s="141"/>
      <c r="E26" s="141"/>
    </row>
    <row r="27" spans="1:5" x14ac:dyDescent="0.2">
      <c r="A27" s="128"/>
      <c r="B27" s="137"/>
      <c r="C27" s="139"/>
      <c r="D27" s="141"/>
      <c r="E27" s="141"/>
    </row>
    <row r="28" spans="1:5" x14ac:dyDescent="0.2">
      <c r="A28" s="10"/>
      <c r="B28" s="102"/>
      <c r="C28" s="139"/>
      <c r="D28" s="141"/>
      <c r="E28" s="141"/>
    </row>
    <row r="29" spans="1:5" x14ac:dyDescent="0.2">
      <c r="A29" s="128"/>
      <c r="B29" s="137"/>
      <c r="C29" s="139"/>
      <c r="D29" s="141"/>
      <c r="E29" s="141"/>
    </row>
    <row r="30" spans="1:5" x14ac:dyDescent="0.2">
      <c r="A30" s="128"/>
      <c r="B30" s="137"/>
      <c r="C30" s="139"/>
      <c r="D30" s="141"/>
      <c r="E30" s="141"/>
    </row>
    <row r="31" spans="1:5" x14ac:dyDescent="0.2">
      <c r="A31" s="128"/>
      <c r="B31" s="137"/>
      <c r="C31" s="139"/>
      <c r="D31" s="141"/>
      <c r="E31" s="141"/>
    </row>
    <row r="32" spans="1:5" x14ac:dyDescent="0.2">
      <c r="A32" s="128"/>
      <c r="B32" s="137"/>
      <c r="C32" s="139"/>
      <c r="D32" s="141"/>
      <c r="E32" s="141"/>
    </row>
    <row r="33" spans="1:7" x14ac:dyDescent="0.2">
      <c r="A33" s="128"/>
      <c r="B33" s="137"/>
      <c r="C33" s="139"/>
      <c r="D33" s="141"/>
      <c r="E33" s="141"/>
    </row>
    <row r="34" spans="1:7" x14ac:dyDescent="0.2">
      <c r="A34" s="128"/>
      <c r="B34" s="137"/>
      <c r="C34" s="139"/>
      <c r="D34" s="141"/>
      <c r="E34" s="141"/>
    </row>
    <row r="35" spans="1:7" x14ac:dyDescent="0.2">
      <c r="A35" s="128"/>
      <c r="B35" s="137"/>
      <c r="C35" s="139"/>
      <c r="D35" s="141"/>
      <c r="E35" s="141"/>
    </row>
    <row r="36" spans="1:7" x14ac:dyDescent="0.2">
      <c r="A36" s="128"/>
      <c r="B36" s="137"/>
      <c r="C36" s="139"/>
      <c r="D36" s="141"/>
      <c r="E36" s="141"/>
    </row>
    <row r="37" spans="1:7" x14ac:dyDescent="0.2">
      <c r="A37" s="128"/>
      <c r="B37" s="137"/>
      <c r="C37" s="139"/>
      <c r="D37" s="141"/>
      <c r="E37" s="141"/>
    </row>
    <row r="38" spans="1:7" x14ac:dyDescent="0.2">
      <c r="A38" s="128"/>
      <c r="B38" s="137"/>
      <c r="C38" s="139"/>
      <c r="D38" s="141"/>
      <c r="E38" s="141"/>
    </row>
    <row r="39" spans="1:7" x14ac:dyDescent="0.2">
      <c r="A39" s="128"/>
      <c r="C39" s="139"/>
      <c r="D39" s="141"/>
      <c r="E39" s="141"/>
    </row>
    <row r="40" spans="1:7" x14ac:dyDescent="0.2">
      <c r="A40" s="128"/>
      <c r="B40" s="137"/>
      <c r="C40" s="139"/>
      <c r="D40" s="141"/>
      <c r="E40" s="141"/>
    </row>
    <row r="41" spans="1:7" x14ac:dyDescent="0.2">
      <c r="A41" s="128"/>
      <c r="B41" s="137"/>
      <c r="C41" s="139"/>
      <c r="D41" s="141"/>
      <c r="E41" s="141"/>
    </row>
    <row r="42" spans="1:7" x14ac:dyDescent="0.2">
      <c r="A42" s="128"/>
      <c r="B42" s="137"/>
      <c r="C42" s="139"/>
      <c r="D42" s="141"/>
      <c r="E42" s="141"/>
    </row>
    <row r="43" spans="1:7" x14ac:dyDescent="0.2">
      <c r="A43" s="128"/>
      <c r="B43" s="137"/>
      <c r="C43" s="139"/>
      <c r="D43" s="141"/>
      <c r="E43" s="141"/>
    </row>
    <row r="44" spans="1:7" x14ac:dyDescent="0.2">
      <c r="A44" s="128"/>
      <c r="B44" s="137"/>
      <c r="C44" s="139"/>
      <c r="D44" s="141"/>
      <c r="E44" s="141"/>
      <c r="F44" s="128"/>
      <c r="G44" s="137"/>
    </row>
    <row r="45" spans="1:7" x14ac:dyDescent="0.2">
      <c r="A45" s="128"/>
      <c r="B45" s="137"/>
      <c r="C45" s="139"/>
      <c r="D45" s="141"/>
      <c r="E45" s="141"/>
      <c r="F45" s="128"/>
      <c r="G45" s="137"/>
    </row>
    <row r="46" spans="1:7" x14ac:dyDescent="0.2">
      <c r="A46" s="128"/>
      <c r="B46" s="137"/>
      <c r="C46" s="139"/>
      <c r="D46" s="141"/>
      <c r="E46" s="141"/>
    </row>
    <row r="47" spans="1:7" x14ac:dyDescent="0.2">
      <c r="A47" s="128"/>
      <c r="B47" s="137"/>
      <c r="C47" s="139"/>
      <c r="D47" s="141"/>
      <c r="E47" s="141"/>
    </row>
    <row r="48" spans="1:7" x14ac:dyDescent="0.2">
      <c r="A48" s="128"/>
      <c r="B48" s="137"/>
      <c r="C48" s="139"/>
      <c r="D48" s="141"/>
      <c r="E48" s="141"/>
    </row>
    <row r="49" spans="1:5" x14ac:dyDescent="0.2">
      <c r="A49" s="128"/>
      <c r="B49" s="137"/>
      <c r="C49" s="139"/>
      <c r="D49" s="141"/>
      <c r="E49" s="141"/>
    </row>
    <row r="50" spans="1:5" x14ac:dyDescent="0.2">
      <c r="A50" s="128"/>
      <c r="B50" s="137"/>
    </row>
    <row r="51" spans="1:5" x14ac:dyDescent="0.2">
      <c r="A51" s="128"/>
      <c r="B51" s="137"/>
    </row>
    <row r="52" spans="1:5" x14ac:dyDescent="0.2">
      <c r="A52" s="128"/>
      <c r="B52" s="137"/>
    </row>
    <row r="53" spans="1:5" x14ac:dyDescent="0.2">
      <c r="A53" s="128"/>
      <c r="B53" s="137"/>
    </row>
    <row r="54" spans="1:5" x14ac:dyDescent="0.2">
      <c r="A54" s="128"/>
      <c r="B54" s="137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B23"/>
  <sheetViews>
    <sheetView workbookViewId="0">
      <selection activeCell="B1" sqref="B1:B21"/>
    </sheetView>
  </sheetViews>
  <sheetFormatPr defaultRowHeight="12.75" x14ac:dyDescent="0.2"/>
  <cols>
    <col min="1" max="1" width="27" bestFit="1" customWidth="1"/>
  </cols>
  <sheetData>
    <row r="1" spans="1:2" x14ac:dyDescent="0.2">
      <c r="A1" s="100" t="s">
        <v>40</v>
      </c>
      <c r="B1" s="101">
        <v>5.32</v>
      </c>
    </row>
    <row r="2" spans="1:2" x14ac:dyDescent="0.2">
      <c r="A2" s="100" t="s">
        <v>2</v>
      </c>
      <c r="B2" s="101">
        <v>50</v>
      </c>
    </row>
    <row r="3" spans="1:2" x14ac:dyDescent="0.2">
      <c r="A3" s="100" t="s">
        <v>982</v>
      </c>
      <c r="B3" s="101">
        <v>45.74</v>
      </c>
    </row>
    <row r="4" spans="1:2" x14ac:dyDescent="0.2">
      <c r="A4" s="100" t="s">
        <v>3</v>
      </c>
      <c r="B4" s="101">
        <v>61.61</v>
      </c>
    </row>
    <row r="5" spans="1:2" x14ac:dyDescent="0.2">
      <c r="A5" s="100" t="s">
        <v>1</v>
      </c>
      <c r="B5" s="100">
        <v>236.24</v>
      </c>
    </row>
    <row r="6" spans="1:2" x14ac:dyDescent="0.2">
      <c r="A6" s="100" t="s">
        <v>12</v>
      </c>
      <c r="B6" s="101">
        <v>536.46</v>
      </c>
    </row>
    <row r="7" spans="1:2" x14ac:dyDescent="0.2">
      <c r="A7" s="100" t="s">
        <v>25</v>
      </c>
      <c r="B7" s="101">
        <v>130</v>
      </c>
    </row>
    <row r="8" spans="1:2" x14ac:dyDescent="0.2">
      <c r="A8" s="100" t="s">
        <v>1041</v>
      </c>
      <c r="B8" s="101">
        <v>148.01</v>
      </c>
    </row>
    <row r="9" spans="1:2" x14ac:dyDescent="0.2">
      <c r="A9" s="100" t="s">
        <v>1042</v>
      </c>
      <c r="B9" s="101">
        <v>139.13</v>
      </c>
    </row>
    <row r="10" spans="1:2" x14ac:dyDescent="0.2">
      <c r="A10" s="100" t="s">
        <v>1043</v>
      </c>
      <c r="B10" s="101">
        <v>66.61</v>
      </c>
    </row>
    <row r="11" spans="1:2" x14ac:dyDescent="0.2">
      <c r="A11" s="100" t="s">
        <v>582</v>
      </c>
      <c r="B11" s="101">
        <v>1314.42</v>
      </c>
    </row>
    <row r="12" spans="1:2" x14ac:dyDescent="0.2">
      <c r="A12" s="12" t="s">
        <v>21</v>
      </c>
      <c r="B12" s="88">
        <v>3076.39</v>
      </c>
    </row>
    <row r="13" spans="1:2" x14ac:dyDescent="0.2">
      <c r="A13" s="100" t="s">
        <v>48</v>
      </c>
      <c r="B13" s="101">
        <v>400</v>
      </c>
    </row>
    <row r="14" spans="1:2" x14ac:dyDescent="0.2">
      <c r="A14" s="100" t="s">
        <v>1026</v>
      </c>
      <c r="B14" s="101">
        <v>102.05</v>
      </c>
    </row>
    <row r="15" spans="1:2" x14ac:dyDescent="0.2">
      <c r="A15" s="100" t="s">
        <v>1027</v>
      </c>
      <c r="B15" s="101">
        <v>169.78</v>
      </c>
    </row>
    <row r="16" spans="1:2" x14ac:dyDescent="0.2">
      <c r="A16" s="100" t="s">
        <v>1028</v>
      </c>
      <c r="B16" s="101">
        <v>172.67</v>
      </c>
    </row>
    <row r="17" spans="1:2" x14ac:dyDescent="0.2">
      <c r="A17" s="100" t="s">
        <v>1029</v>
      </c>
      <c r="B17" s="101">
        <v>180.32</v>
      </c>
    </row>
    <row r="18" spans="1:2" x14ac:dyDescent="0.2">
      <c r="A18" s="100" t="s">
        <v>1030</v>
      </c>
      <c r="B18" s="101">
        <v>354.63</v>
      </c>
    </row>
    <row r="19" spans="1:2" x14ac:dyDescent="0.2">
      <c r="A19" s="100" t="s">
        <v>1031</v>
      </c>
      <c r="B19" s="101">
        <v>189.78</v>
      </c>
    </row>
    <row r="20" spans="1:2" x14ac:dyDescent="0.2">
      <c r="A20" s="100" t="s">
        <v>1032</v>
      </c>
      <c r="B20" s="101">
        <v>191.84</v>
      </c>
    </row>
    <row r="21" spans="1:2" x14ac:dyDescent="0.2">
      <c r="A21" s="100" t="s">
        <v>1034</v>
      </c>
      <c r="B21" s="101">
        <v>50</v>
      </c>
    </row>
    <row r="22" spans="1:2" x14ac:dyDescent="0.2">
      <c r="A22" s="100"/>
      <c r="B22" s="101"/>
    </row>
    <row r="23" spans="1:2" x14ac:dyDescent="0.2">
      <c r="A23" s="100"/>
      <c r="B23" s="101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E6"/>
  <sheetViews>
    <sheetView workbookViewId="0">
      <selection activeCell="B4" sqref="B4"/>
    </sheetView>
  </sheetViews>
  <sheetFormatPr defaultRowHeight="12.75" x14ac:dyDescent="0.2"/>
  <cols>
    <col min="1" max="1" width="14.42578125" customWidth="1"/>
    <col min="2" max="2" width="8" bestFit="1" customWidth="1"/>
    <col min="3" max="3" width="12.28515625" bestFit="1" customWidth="1"/>
    <col min="4" max="4" width="14.7109375" bestFit="1" customWidth="1"/>
    <col min="5" max="5" width="11" bestFit="1" customWidth="1"/>
  </cols>
  <sheetData>
    <row r="1" spans="1:5" ht="15.75" thickBot="1" x14ac:dyDescent="0.3">
      <c r="A1" s="155" t="s">
        <v>1060</v>
      </c>
      <c r="B1" s="155" t="s">
        <v>1061</v>
      </c>
      <c r="C1" s="155" t="s">
        <v>1062</v>
      </c>
      <c r="D1" s="155" t="s">
        <v>1063</v>
      </c>
    </row>
    <row r="2" spans="1:5" ht="15.75" thickTop="1" thickBot="1" x14ac:dyDescent="0.25">
      <c r="A2" s="151" t="s">
        <v>1064</v>
      </c>
      <c r="B2" s="152" t="s">
        <v>1065</v>
      </c>
      <c r="C2" s="153">
        <v>7400</v>
      </c>
      <c r="D2" s="154" t="s">
        <v>1065</v>
      </c>
    </row>
    <row r="3" spans="1:5" ht="15" thickBot="1" x14ac:dyDescent="0.25">
      <c r="A3" s="151" t="s">
        <v>1066</v>
      </c>
      <c r="B3" s="158">
        <v>11</v>
      </c>
      <c r="C3" s="154">
        <v>4390.24</v>
      </c>
      <c r="D3" s="153">
        <f>(C3*11)/100</f>
        <v>482.9264</v>
      </c>
    </row>
    <row r="4" spans="1:5" ht="15" thickBot="1" x14ac:dyDescent="0.25">
      <c r="A4" s="151" t="s">
        <v>1069</v>
      </c>
      <c r="B4" s="158">
        <v>1</v>
      </c>
      <c r="C4" s="157">
        <f>179.71*B4</f>
        <v>179.71</v>
      </c>
      <c r="D4" s="157">
        <f>C4</f>
        <v>179.71</v>
      </c>
    </row>
    <row r="5" spans="1:5" ht="15" thickBot="1" x14ac:dyDescent="0.25">
      <c r="A5" s="151" t="s">
        <v>1067</v>
      </c>
      <c r="B5" s="158">
        <v>27.5</v>
      </c>
      <c r="C5" s="153">
        <f>C2-D3-D4</f>
        <v>6737.3635999999997</v>
      </c>
      <c r="D5" s="153">
        <f>((C5*B5)/100)-826.15</f>
        <v>1026.6249899999998</v>
      </c>
    </row>
    <row r="6" spans="1:5" ht="15" thickBot="1" x14ac:dyDescent="0.25">
      <c r="A6" s="175" t="s">
        <v>1068</v>
      </c>
      <c r="B6" s="176"/>
      <c r="C6" s="153">
        <v>7400</v>
      </c>
      <c r="D6" s="153">
        <f>SUM(D3:D5)</f>
        <v>1689.2613899999997</v>
      </c>
      <c r="E6" s="156">
        <f>C6-D6</f>
        <v>5710.7386100000003</v>
      </c>
    </row>
  </sheetData>
  <mergeCells count="1">
    <mergeCell ref="A6:B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9"/>
  <sheetViews>
    <sheetView workbookViewId="0">
      <selection sqref="A1:I319"/>
    </sheetView>
  </sheetViews>
  <sheetFormatPr defaultRowHeight="12.75" x14ac:dyDescent="0.2"/>
  <sheetData>
    <row r="1" spans="1:9" x14ac:dyDescent="0.2">
      <c r="A1" t="s">
        <v>323</v>
      </c>
      <c r="B1">
        <v>6.5</v>
      </c>
      <c r="C1">
        <v>0</v>
      </c>
      <c r="D1">
        <v>1</v>
      </c>
      <c r="E1">
        <v>0</v>
      </c>
      <c r="F1" s="71">
        <v>41861</v>
      </c>
      <c r="G1" t="s">
        <v>47</v>
      </c>
      <c r="H1" s="71">
        <v>41883</v>
      </c>
      <c r="I1" t="s">
        <v>50</v>
      </c>
    </row>
    <row r="2" spans="1:9" x14ac:dyDescent="0.2">
      <c r="A2" t="s">
        <v>109</v>
      </c>
      <c r="B2">
        <v>18</v>
      </c>
      <c r="C2">
        <v>0</v>
      </c>
      <c r="D2">
        <v>1</v>
      </c>
      <c r="E2">
        <v>0</v>
      </c>
      <c r="F2" s="71">
        <v>41861</v>
      </c>
      <c r="G2" t="s">
        <v>47</v>
      </c>
      <c r="H2" s="71">
        <v>41883</v>
      </c>
      <c r="I2" t="s">
        <v>109</v>
      </c>
    </row>
    <row r="3" spans="1:9" x14ac:dyDescent="0.2">
      <c r="A3" t="s">
        <v>87</v>
      </c>
      <c r="B3">
        <v>1.94</v>
      </c>
      <c r="C3">
        <v>1</v>
      </c>
      <c r="D3">
        <v>0</v>
      </c>
      <c r="E3">
        <v>0</v>
      </c>
      <c r="F3" s="71">
        <v>41861</v>
      </c>
      <c r="G3" t="s">
        <v>47</v>
      </c>
      <c r="H3" s="71">
        <v>41883</v>
      </c>
      <c r="I3" t="s">
        <v>345</v>
      </c>
    </row>
    <row r="4" spans="1:9" x14ac:dyDescent="0.2">
      <c r="A4" t="s">
        <v>89</v>
      </c>
      <c r="B4">
        <v>41</v>
      </c>
      <c r="C4">
        <v>1</v>
      </c>
      <c r="D4">
        <v>0</v>
      </c>
      <c r="E4">
        <v>0</v>
      </c>
      <c r="F4" s="71">
        <v>41861</v>
      </c>
      <c r="G4" t="s">
        <v>47</v>
      </c>
      <c r="H4" s="71">
        <v>41883</v>
      </c>
      <c r="I4" t="s">
        <v>345</v>
      </c>
    </row>
    <row r="5" spans="1:9" x14ac:dyDescent="0.2">
      <c r="A5" t="s">
        <v>87</v>
      </c>
      <c r="B5">
        <v>9.06</v>
      </c>
      <c r="C5">
        <v>1</v>
      </c>
      <c r="D5">
        <v>0</v>
      </c>
      <c r="E5">
        <v>0</v>
      </c>
      <c r="F5" s="71">
        <v>41861</v>
      </c>
      <c r="G5" t="s">
        <v>47</v>
      </c>
      <c r="H5" s="71">
        <v>41883</v>
      </c>
      <c r="I5" t="s">
        <v>345</v>
      </c>
    </row>
    <row r="6" spans="1:9" x14ac:dyDescent="0.2">
      <c r="A6" t="s">
        <v>44</v>
      </c>
      <c r="B6">
        <v>30</v>
      </c>
      <c r="C6">
        <v>1</v>
      </c>
      <c r="D6">
        <v>0</v>
      </c>
      <c r="E6">
        <v>0</v>
      </c>
      <c r="F6" s="71">
        <v>41861</v>
      </c>
      <c r="G6" t="s">
        <v>47</v>
      </c>
      <c r="H6" s="71">
        <v>41884</v>
      </c>
      <c r="I6" t="s">
        <v>60</v>
      </c>
    </row>
    <row r="7" spans="1:9" x14ac:dyDescent="0.2">
      <c r="A7" t="s">
        <v>323</v>
      </c>
      <c r="B7">
        <v>2</v>
      </c>
      <c r="C7">
        <v>0</v>
      </c>
      <c r="D7">
        <v>1</v>
      </c>
      <c r="E7">
        <v>0</v>
      </c>
      <c r="F7" s="71">
        <v>41861</v>
      </c>
      <c r="G7" t="s">
        <v>47</v>
      </c>
      <c r="H7" s="71">
        <v>41887</v>
      </c>
      <c r="I7" t="s">
        <v>50</v>
      </c>
    </row>
    <row r="8" spans="1:9" x14ac:dyDescent="0.2">
      <c r="A8" t="s">
        <v>44</v>
      </c>
      <c r="B8">
        <v>30</v>
      </c>
      <c r="C8">
        <v>1</v>
      </c>
      <c r="D8">
        <v>0</v>
      </c>
      <c r="E8">
        <v>0</v>
      </c>
      <c r="F8" s="71">
        <v>41861</v>
      </c>
      <c r="G8" t="s">
        <v>47</v>
      </c>
      <c r="H8" s="71">
        <v>41887</v>
      </c>
      <c r="I8" t="s">
        <v>60</v>
      </c>
    </row>
    <row r="9" spans="1:9" x14ac:dyDescent="0.2">
      <c r="A9" s="12" t="s">
        <v>21</v>
      </c>
      <c r="B9" s="12">
        <v>2445.1999999999998</v>
      </c>
      <c r="C9" s="12">
        <v>1</v>
      </c>
      <c r="D9" s="12">
        <v>0</v>
      </c>
      <c r="E9" s="12">
        <v>0</v>
      </c>
      <c r="F9" s="89">
        <v>41892</v>
      </c>
      <c r="G9" s="12" t="s">
        <v>47</v>
      </c>
      <c r="H9" s="89">
        <v>41892</v>
      </c>
      <c r="I9" s="12" t="s">
        <v>336</v>
      </c>
    </row>
    <row r="10" spans="1:9" x14ac:dyDescent="0.2">
      <c r="A10" s="105" t="s">
        <v>44</v>
      </c>
      <c r="B10" s="105">
        <v>10</v>
      </c>
      <c r="C10" s="105">
        <v>1</v>
      </c>
      <c r="D10" s="105">
        <v>0</v>
      </c>
      <c r="E10" s="105">
        <v>0</v>
      </c>
      <c r="F10" s="107">
        <v>41892</v>
      </c>
      <c r="G10" s="105" t="s">
        <v>47</v>
      </c>
      <c r="H10" s="107">
        <v>41892</v>
      </c>
      <c r="I10" s="105" t="s">
        <v>60</v>
      </c>
    </row>
    <row r="11" spans="1:9" x14ac:dyDescent="0.2">
      <c r="A11" s="105" t="s">
        <v>0</v>
      </c>
      <c r="B11" s="105">
        <v>347.25</v>
      </c>
      <c r="C11" s="105">
        <v>1</v>
      </c>
      <c r="D11" s="105">
        <v>0</v>
      </c>
      <c r="E11" s="105">
        <v>0</v>
      </c>
      <c r="F11" s="107">
        <v>41892</v>
      </c>
      <c r="G11" s="105" t="s">
        <v>47</v>
      </c>
      <c r="H11" s="107">
        <v>41892</v>
      </c>
      <c r="I11" s="105" t="s">
        <v>346</v>
      </c>
    </row>
    <row r="12" spans="1:9" x14ac:dyDescent="0.2">
      <c r="A12" s="105" t="s">
        <v>3</v>
      </c>
      <c r="B12" s="105">
        <v>88.94</v>
      </c>
      <c r="C12" s="105">
        <v>1</v>
      </c>
      <c r="D12" s="105">
        <v>0</v>
      </c>
      <c r="E12" s="105">
        <v>0</v>
      </c>
      <c r="F12" s="107">
        <v>41892</v>
      </c>
      <c r="G12" s="105" t="s">
        <v>47</v>
      </c>
      <c r="H12" s="107">
        <v>41892</v>
      </c>
      <c r="I12" s="105" t="s">
        <v>346</v>
      </c>
    </row>
    <row r="13" spans="1:9" x14ac:dyDescent="0.2">
      <c r="A13" s="105" t="s">
        <v>1</v>
      </c>
      <c r="B13" s="105">
        <v>237.49</v>
      </c>
      <c r="C13" s="105">
        <v>1</v>
      </c>
      <c r="D13" s="105">
        <v>0</v>
      </c>
      <c r="E13" s="105">
        <v>0</v>
      </c>
      <c r="F13" s="107">
        <v>41892</v>
      </c>
      <c r="G13" s="105" t="s">
        <v>47</v>
      </c>
      <c r="H13" s="107">
        <v>41892</v>
      </c>
      <c r="I13" s="105" t="s">
        <v>346</v>
      </c>
    </row>
    <row r="14" spans="1:9" x14ac:dyDescent="0.2">
      <c r="A14" s="105" t="s">
        <v>58</v>
      </c>
      <c r="B14" s="105">
        <v>171</v>
      </c>
      <c r="C14" s="105">
        <v>1</v>
      </c>
      <c r="D14" s="105">
        <v>0</v>
      </c>
      <c r="E14" s="105">
        <v>0</v>
      </c>
      <c r="F14" s="107">
        <v>41892</v>
      </c>
      <c r="G14" s="105" t="s">
        <v>47</v>
      </c>
      <c r="H14" s="107">
        <v>41892</v>
      </c>
      <c r="I14" s="105" t="s">
        <v>345</v>
      </c>
    </row>
    <row r="15" spans="1:9" x14ac:dyDescent="0.2">
      <c r="A15" s="105" t="s">
        <v>1</v>
      </c>
      <c r="B15" s="105">
        <v>164.8</v>
      </c>
      <c r="C15" s="105">
        <v>1</v>
      </c>
      <c r="D15" s="105">
        <v>0</v>
      </c>
      <c r="E15" s="105">
        <v>0</v>
      </c>
      <c r="F15" s="107">
        <v>41892</v>
      </c>
      <c r="G15" s="105" t="s">
        <v>47</v>
      </c>
      <c r="H15" s="107">
        <v>41892</v>
      </c>
      <c r="I15" s="105" t="s">
        <v>346</v>
      </c>
    </row>
    <row r="16" spans="1:9" x14ac:dyDescent="0.2">
      <c r="A16" s="105" t="s">
        <v>26</v>
      </c>
      <c r="B16" s="105">
        <v>501.76</v>
      </c>
      <c r="C16" s="105">
        <v>1</v>
      </c>
      <c r="D16" s="105">
        <v>0</v>
      </c>
      <c r="E16" s="105">
        <v>0</v>
      </c>
      <c r="F16" s="107">
        <v>41892</v>
      </c>
      <c r="G16" s="105" t="s">
        <v>47</v>
      </c>
      <c r="H16" s="107">
        <v>41892</v>
      </c>
      <c r="I16" s="105" t="s">
        <v>345</v>
      </c>
    </row>
    <row r="17" spans="1:9" x14ac:dyDescent="0.2">
      <c r="A17" s="105" t="s">
        <v>28</v>
      </c>
      <c r="B17" s="105">
        <v>38.5</v>
      </c>
      <c r="C17" s="105">
        <v>1</v>
      </c>
      <c r="D17" s="105">
        <v>0</v>
      </c>
      <c r="E17" s="105">
        <v>0</v>
      </c>
      <c r="F17" s="107">
        <v>41892</v>
      </c>
      <c r="G17" s="105" t="s">
        <v>47</v>
      </c>
      <c r="H17" s="107">
        <v>41892</v>
      </c>
      <c r="I17" s="105" t="s">
        <v>345</v>
      </c>
    </row>
    <row r="18" spans="1:9" x14ac:dyDescent="0.2">
      <c r="A18" s="105" t="s">
        <v>27</v>
      </c>
      <c r="B18" s="105">
        <v>282.25</v>
      </c>
      <c r="C18" s="105">
        <v>1</v>
      </c>
      <c r="D18" s="105">
        <v>0</v>
      </c>
      <c r="E18" s="105">
        <v>0</v>
      </c>
      <c r="F18" s="107">
        <v>41892</v>
      </c>
      <c r="G18" s="105" t="s">
        <v>47</v>
      </c>
      <c r="H18" s="107">
        <v>41892</v>
      </c>
      <c r="I18" s="105" t="s">
        <v>345</v>
      </c>
    </row>
    <row r="19" spans="1:9" x14ac:dyDescent="0.2">
      <c r="A19" s="105" t="s">
        <v>29</v>
      </c>
      <c r="B19" s="105">
        <v>40.78</v>
      </c>
      <c r="C19" s="105">
        <v>1</v>
      </c>
      <c r="D19" s="105">
        <v>0</v>
      </c>
      <c r="E19" s="105">
        <v>0</v>
      </c>
      <c r="F19" s="107">
        <v>41892</v>
      </c>
      <c r="G19" s="105" t="s">
        <v>47</v>
      </c>
      <c r="H19" s="107">
        <v>41892</v>
      </c>
      <c r="I19" s="105" t="s">
        <v>345</v>
      </c>
    </row>
    <row r="20" spans="1:9" x14ac:dyDescent="0.2">
      <c r="A20" s="105" t="s">
        <v>2</v>
      </c>
      <c r="B20" s="105">
        <v>50</v>
      </c>
      <c r="C20" s="105">
        <v>1</v>
      </c>
      <c r="D20" s="105">
        <v>0</v>
      </c>
      <c r="E20" s="105">
        <v>0</v>
      </c>
      <c r="F20" s="107">
        <v>41892</v>
      </c>
      <c r="G20" s="105" t="s">
        <v>47</v>
      </c>
      <c r="H20" s="107">
        <v>41892</v>
      </c>
      <c r="I20" s="105" t="s">
        <v>349</v>
      </c>
    </row>
    <row r="21" spans="1:9" x14ac:dyDescent="0.2">
      <c r="A21" s="105" t="s">
        <v>38</v>
      </c>
      <c r="B21" s="105">
        <v>51.9</v>
      </c>
      <c r="C21" s="105">
        <v>1</v>
      </c>
      <c r="D21" s="105">
        <v>0</v>
      </c>
      <c r="E21" s="105">
        <v>0</v>
      </c>
      <c r="F21" s="107">
        <v>41892</v>
      </c>
      <c r="G21" s="105" t="s">
        <v>47</v>
      </c>
      <c r="H21" s="107">
        <v>41892</v>
      </c>
      <c r="I21" s="105" t="s">
        <v>345</v>
      </c>
    </row>
    <row r="22" spans="1:9" x14ac:dyDescent="0.2">
      <c r="A22" s="105" t="s">
        <v>39</v>
      </c>
      <c r="B22" s="105">
        <v>41</v>
      </c>
      <c r="C22" s="105">
        <v>1</v>
      </c>
      <c r="D22" s="105">
        <v>0</v>
      </c>
      <c r="E22" s="105">
        <v>0</v>
      </c>
      <c r="F22" s="107">
        <v>41892</v>
      </c>
      <c r="G22" s="105" t="s">
        <v>47</v>
      </c>
      <c r="H22" s="107">
        <v>41892</v>
      </c>
      <c r="I22" s="105" t="s">
        <v>345</v>
      </c>
    </row>
    <row r="23" spans="1:9" x14ac:dyDescent="0.2">
      <c r="A23" s="105" t="s">
        <v>40</v>
      </c>
      <c r="B23" s="105">
        <v>4.99</v>
      </c>
      <c r="C23" s="105">
        <v>1</v>
      </c>
      <c r="D23" s="105">
        <v>0</v>
      </c>
      <c r="E23" s="105">
        <v>0</v>
      </c>
      <c r="F23" s="107">
        <v>41892</v>
      </c>
      <c r="G23" s="105" t="s">
        <v>47</v>
      </c>
      <c r="H23" s="107">
        <v>41892</v>
      </c>
      <c r="I23" s="105" t="s">
        <v>345</v>
      </c>
    </row>
    <row r="24" spans="1:9" x14ac:dyDescent="0.2">
      <c r="A24" s="105" t="s">
        <v>25</v>
      </c>
      <c r="B24" s="105">
        <v>120</v>
      </c>
      <c r="C24" s="105">
        <v>1</v>
      </c>
      <c r="D24" s="105">
        <v>0</v>
      </c>
      <c r="E24" s="105">
        <v>0</v>
      </c>
      <c r="F24" s="107">
        <v>41892</v>
      </c>
      <c r="G24" s="105" t="s">
        <v>47</v>
      </c>
      <c r="H24" s="107">
        <v>41892</v>
      </c>
      <c r="I24" s="105" t="s">
        <v>25</v>
      </c>
    </row>
    <row r="25" spans="1:9" x14ac:dyDescent="0.2">
      <c r="A25" s="105" t="s">
        <v>12</v>
      </c>
      <c r="B25" s="105">
        <v>536.46</v>
      </c>
      <c r="C25" s="105">
        <v>1</v>
      </c>
      <c r="D25" s="105">
        <v>0</v>
      </c>
      <c r="E25" s="105">
        <v>0</v>
      </c>
      <c r="F25" s="107">
        <v>41892</v>
      </c>
      <c r="G25" s="105" t="s">
        <v>47</v>
      </c>
      <c r="H25" s="107">
        <v>41892</v>
      </c>
      <c r="I25" s="105" t="s">
        <v>348</v>
      </c>
    </row>
    <row r="26" spans="1:9" x14ac:dyDescent="0.2">
      <c r="A26" s="105" t="s">
        <v>158</v>
      </c>
      <c r="B26" s="105">
        <v>400</v>
      </c>
      <c r="C26" s="105">
        <v>1</v>
      </c>
      <c r="D26" s="105">
        <v>0</v>
      </c>
      <c r="E26" s="105">
        <v>0</v>
      </c>
      <c r="F26" s="107">
        <v>41892</v>
      </c>
      <c r="G26" s="105" t="s">
        <v>47</v>
      </c>
      <c r="H26" s="107">
        <v>41892</v>
      </c>
      <c r="I26" s="105" t="s">
        <v>346</v>
      </c>
    </row>
    <row r="27" spans="1:9" x14ac:dyDescent="0.2">
      <c r="A27" s="105" t="s">
        <v>44</v>
      </c>
      <c r="B27" s="105">
        <v>100</v>
      </c>
      <c r="C27" s="105">
        <v>1</v>
      </c>
      <c r="D27" s="105">
        <v>0</v>
      </c>
      <c r="E27" s="105">
        <v>0</v>
      </c>
      <c r="F27" s="107">
        <v>41892</v>
      </c>
      <c r="G27" s="105" t="s">
        <v>47</v>
      </c>
      <c r="H27" s="107">
        <v>41894</v>
      </c>
      <c r="I27" s="105" t="s">
        <v>60</v>
      </c>
    </row>
    <row r="28" spans="1:9" x14ac:dyDescent="0.2">
      <c r="A28" s="105" t="s">
        <v>109</v>
      </c>
      <c r="B28" s="105">
        <v>10</v>
      </c>
      <c r="C28" s="105">
        <v>0</v>
      </c>
      <c r="D28" s="105">
        <v>1</v>
      </c>
      <c r="E28" s="105">
        <v>0</v>
      </c>
      <c r="F28" s="107">
        <v>41892</v>
      </c>
      <c r="G28" s="105" t="s">
        <v>47</v>
      </c>
      <c r="H28" s="107">
        <v>41894</v>
      </c>
      <c r="I28" s="105" t="s">
        <v>109</v>
      </c>
    </row>
    <row r="29" spans="1:9" x14ac:dyDescent="0.2">
      <c r="A29" s="105" t="s">
        <v>109</v>
      </c>
      <c r="B29" s="105">
        <v>14</v>
      </c>
      <c r="C29" s="105">
        <v>0</v>
      </c>
      <c r="D29" s="105">
        <v>1</v>
      </c>
      <c r="E29" s="105">
        <v>0</v>
      </c>
      <c r="F29" s="107">
        <v>41892</v>
      </c>
      <c r="G29" s="105" t="s">
        <v>49</v>
      </c>
      <c r="H29" s="107">
        <v>41896</v>
      </c>
      <c r="I29" s="105" t="s">
        <v>109</v>
      </c>
    </row>
    <row r="30" spans="1:9" x14ac:dyDescent="0.2">
      <c r="A30" s="108" t="s">
        <v>381</v>
      </c>
      <c r="B30" s="105">
        <v>5</v>
      </c>
      <c r="C30" s="105">
        <v>0</v>
      </c>
      <c r="D30" s="105">
        <v>1</v>
      </c>
      <c r="E30" s="105">
        <v>0</v>
      </c>
      <c r="F30" s="107">
        <v>41892</v>
      </c>
      <c r="G30" s="105" t="s">
        <v>51</v>
      </c>
      <c r="H30" s="107">
        <v>41898</v>
      </c>
      <c r="I30" s="105" t="s">
        <v>190</v>
      </c>
    </row>
    <row r="31" spans="1:9" x14ac:dyDescent="0.2">
      <c r="A31" s="105" t="s">
        <v>48</v>
      </c>
      <c r="B31" s="105">
        <v>10</v>
      </c>
      <c r="C31" s="105">
        <v>0</v>
      </c>
      <c r="D31" s="105">
        <v>1</v>
      </c>
      <c r="E31" s="105">
        <v>0</v>
      </c>
      <c r="F31" s="107">
        <v>41892</v>
      </c>
      <c r="G31" s="105" t="s">
        <v>51</v>
      </c>
      <c r="H31" s="107">
        <v>41899</v>
      </c>
      <c r="I31" s="105" t="s">
        <v>48</v>
      </c>
    </row>
    <row r="32" spans="1:9" x14ac:dyDescent="0.2">
      <c r="A32" s="105" t="s">
        <v>116</v>
      </c>
      <c r="B32" s="105">
        <v>30</v>
      </c>
      <c r="C32" s="105">
        <v>1</v>
      </c>
      <c r="D32" s="105">
        <v>0</v>
      </c>
      <c r="E32" s="105">
        <v>0</v>
      </c>
      <c r="F32" s="107">
        <v>41892</v>
      </c>
      <c r="G32" s="105" t="s">
        <v>49</v>
      </c>
      <c r="H32" s="107">
        <v>41902</v>
      </c>
      <c r="I32" s="105" t="s">
        <v>344</v>
      </c>
    </row>
    <row r="33" spans="1:9" x14ac:dyDescent="0.2">
      <c r="A33" s="105" t="s">
        <v>109</v>
      </c>
      <c r="B33" s="105">
        <v>14</v>
      </c>
      <c r="C33" s="105">
        <v>0</v>
      </c>
      <c r="D33" s="105">
        <v>1</v>
      </c>
      <c r="E33" s="105">
        <v>0</v>
      </c>
      <c r="F33" s="107">
        <v>41892</v>
      </c>
      <c r="G33" s="105" t="s">
        <v>49</v>
      </c>
      <c r="H33" s="107">
        <v>41902</v>
      </c>
      <c r="I33" s="105" t="s">
        <v>109</v>
      </c>
    </row>
    <row r="34" spans="1:9" x14ac:dyDescent="0.2">
      <c r="A34" s="105" t="s">
        <v>44</v>
      </c>
      <c r="B34" s="105">
        <v>100</v>
      </c>
      <c r="C34" s="105">
        <v>1</v>
      </c>
      <c r="D34" s="105">
        <v>0</v>
      </c>
      <c r="E34" s="105">
        <v>0</v>
      </c>
      <c r="F34" s="107">
        <v>41892</v>
      </c>
      <c r="G34" s="105" t="s">
        <v>54</v>
      </c>
      <c r="H34" s="107">
        <v>41907</v>
      </c>
      <c r="I34" s="105" t="s">
        <v>60</v>
      </c>
    </row>
    <row r="35" spans="1:9" x14ac:dyDescent="0.2">
      <c r="A35" s="105" t="s">
        <v>48</v>
      </c>
      <c r="B35" s="105">
        <v>100</v>
      </c>
      <c r="C35" s="105">
        <v>0</v>
      </c>
      <c r="D35" s="105">
        <v>1</v>
      </c>
      <c r="E35" s="105">
        <v>0</v>
      </c>
      <c r="F35" s="107">
        <v>41892</v>
      </c>
      <c r="G35" s="105" t="s">
        <v>54</v>
      </c>
      <c r="H35" s="107">
        <v>41907</v>
      </c>
      <c r="I35" s="105" t="s">
        <v>48</v>
      </c>
    </row>
    <row r="36" spans="1:9" x14ac:dyDescent="0.2">
      <c r="A36" s="105" t="s">
        <v>48</v>
      </c>
      <c r="B36" s="105">
        <v>20</v>
      </c>
      <c r="C36" s="105">
        <v>0</v>
      </c>
      <c r="D36" s="105">
        <v>1</v>
      </c>
      <c r="E36" s="105">
        <v>0</v>
      </c>
      <c r="F36" s="107">
        <v>41892</v>
      </c>
      <c r="G36" s="105" t="s">
        <v>54</v>
      </c>
      <c r="H36" s="107">
        <v>41907</v>
      </c>
      <c r="I36" s="105" t="s">
        <v>48</v>
      </c>
    </row>
    <row r="37" spans="1:9" x14ac:dyDescent="0.2">
      <c r="A37" s="105" t="s">
        <v>323</v>
      </c>
      <c r="B37" s="105">
        <v>9</v>
      </c>
      <c r="C37" s="105">
        <v>0</v>
      </c>
      <c r="D37" s="105">
        <v>1</v>
      </c>
      <c r="E37" s="105">
        <v>0</v>
      </c>
      <c r="F37" s="107">
        <v>41892</v>
      </c>
      <c r="G37" s="105" t="s">
        <v>54</v>
      </c>
      <c r="H37" s="107">
        <v>41908</v>
      </c>
      <c r="I37" s="105" t="s">
        <v>50</v>
      </c>
    </row>
    <row r="38" spans="1:9" x14ac:dyDescent="0.2">
      <c r="A38" s="105" t="s">
        <v>182</v>
      </c>
      <c r="B38" s="105">
        <v>0.56000000000000005</v>
      </c>
      <c r="C38" s="105">
        <v>1</v>
      </c>
      <c r="D38" s="105">
        <v>0</v>
      </c>
      <c r="E38" s="105">
        <v>0</v>
      </c>
      <c r="F38" s="107">
        <v>41892</v>
      </c>
      <c r="G38" s="105" t="s">
        <v>180</v>
      </c>
      <c r="H38" s="107">
        <v>41913</v>
      </c>
      <c r="I38" s="105" t="s">
        <v>345</v>
      </c>
    </row>
    <row r="39" spans="1:9" x14ac:dyDescent="0.2">
      <c r="A39" s="105" t="s">
        <v>89</v>
      </c>
      <c r="B39" s="105">
        <v>41</v>
      </c>
      <c r="C39" s="105">
        <v>1</v>
      </c>
      <c r="D39" s="105">
        <v>0</v>
      </c>
      <c r="E39" s="105">
        <v>0</v>
      </c>
      <c r="F39" s="107">
        <v>41892</v>
      </c>
      <c r="G39" s="105" t="s">
        <v>180</v>
      </c>
      <c r="H39" s="107">
        <v>41914</v>
      </c>
      <c r="I39" s="105" t="s">
        <v>345</v>
      </c>
    </row>
    <row r="40" spans="1:9" x14ac:dyDescent="0.2">
      <c r="A40" s="105" t="s">
        <v>48</v>
      </c>
      <c r="B40" s="105">
        <v>20</v>
      </c>
      <c r="C40" s="105">
        <v>0</v>
      </c>
      <c r="D40" s="105">
        <v>1</v>
      </c>
      <c r="E40" s="105">
        <v>0</v>
      </c>
      <c r="F40" s="107">
        <v>41892</v>
      </c>
      <c r="G40" s="105" t="s">
        <v>180</v>
      </c>
      <c r="H40" s="107">
        <v>41918</v>
      </c>
      <c r="I40" s="105" t="s">
        <v>48</v>
      </c>
    </row>
    <row r="41" spans="1:9" x14ac:dyDescent="0.2">
      <c r="A41" s="105" t="s">
        <v>187</v>
      </c>
      <c r="B41" s="105">
        <v>2.39</v>
      </c>
      <c r="C41" s="105">
        <v>1</v>
      </c>
      <c r="D41" s="105">
        <v>0</v>
      </c>
      <c r="E41" s="105">
        <v>0</v>
      </c>
      <c r="F41" s="107">
        <v>41892</v>
      </c>
      <c r="G41" s="105" t="s">
        <v>180</v>
      </c>
      <c r="H41" s="107">
        <v>41918</v>
      </c>
      <c r="I41" s="105" t="s">
        <v>345</v>
      </c>
    </row>
    <row r="42" spans="1:9" x14ac:dyDescent="0.2">
      <c r="A42" s="108" t="s">
        <v>381</v>
      </c>
      <c r="B42" s="105">
        <v>7</v>
      </c>
      <c r="C42" s="105">
        <v>0</v>
      </c>
      <c r="D42" s="105">
        <v>1</v>
      </c>
      <c r="E42" s="105">
        <v>0</v>
      </c>
      <c r="F42" s="107">
        <v>41892</v>
      </c>
      <c r="G42" s="105" t="s">
        <v>180</v>
      </c>
      <c r="H42" s="107">
        <v>41921</v>
      </c>
      <c r="I42" s="105" t="s">
        <v>190</v>
      </c>
    </row>
    <row r="43" spans="1:9" x14ac:dyDescent="0.2">
      <c r="A43" s="105" t="s">
        <v>44</v>
      </c>
      <c r="B43" s="105">
        <v>20</v>
      </c>
      <c r="C43" s="105">
        <v>1</v>
      </c>
      <c r="D43" s="105">
        <v>0</v>
      </c>
      <c r="E43" s="105">
        <v>0</v>
      </c>
      <c r="F43" s="107">
        <v>41892</v>
      </c>
      <c r="G43" s="105" t="s">
        <v>180</v>
      </c>
      <c r="H43" s="107">
        <v>41921</v>
      </c>
      <c r="I43" s="105" t="s">
        <v>60</v>
      </c>
    </row>
    <row r="44" spans="1:9" x14ac:dyDescent="0.2">
      <c r="A44" s="105" t="s">
        <v>323</v>
      </c>
      <c r="B44" s="105">
        <v>4</v>
      </c>
      <c r="C44" s="105">
        <v>0</v>
      </c>
      <c r="D44" s="105">
        <v>1</v>
      </c>
      <c r="E44" s="105">
        <v>0</v>
      </c>
      <c r="F44" s="107">
        <v>41892</v>
      </c>
      <c r="G44" s="105" t="s">
        <v>180</v>
      </c>
      <c r="H44" s="107">
        <v>41921</v>
      </c>
      <c r="I44" s="105" t="s">
        <v>50</v>
      </c>
    </row>
    <row r="45" spans="1:9" x14ac:dyDescent="0.2">
      <c r="A45" s="105" t="s">
        <v>156</v>
      </c>
      <c r="B45" s="105">
        <v>400</v>
      </c>
      <c r="C45" s="105">
        <v>1</v>
      </c>
      <c r="D45" s="105">
        <v>0</v>
      </c>
      <c r="E45" s="105">
        <v>0</v>
      </c>
      <c r="F45" s="107">
        <v>41892</v>
      </c>
      <c r="G45" s="105" t="s">
        <v>180</v>
      </c>
      <c r="H45" s="107">
        <v>41922</v>
      </c>
      <c r="I45" s="105" t="s">
        <v>346</v>
      </c>
    </row>
    <row r="46" spans="1:9" x14ac:dyDescent="0.2">
      <c r="A46" s="105" t="s">
        <v>1037</v>
      </c>
      <c r="B46" s="106">
        <v>46.15</v>
      </c>
      <c r="C46" s="105">
        <v>1</v>
      </c>
      <c r="D46" s="105">
        <v>0</v>
      </c>
      <c r="E46" s="105">
        <v>0</v>
      </c>
      <c r="F46" s="107">
        <v>41892</v>
      </c>
      <c r="G46" s="105" t="s">
        <v>47</v>
      </c>
      <c r="H46" s="107">
        <v>41892</v>
      </c>
      <c r="I46" s="105" t="s">
        <v>1045</v>
      </c>
    </row>
    <row r="47" spans="1:9" x14ac:dyDescent="0.2">
      <c r="A47" s="105" t="s">
        <v>1038</v>
      </c>
      <c r="B47" s="106">
        <v>213</v>
      </c>
      <c r="C47" s="105">
        <v>1</v>
      </c>
      <c r="D47" s="105">
        <v>0</v>
      </c>
      <c r="E47" s="105">
        <v>0</v>
      </c>
      <c r="F47" s="107">
        <v>41892</v>
      </c>
      <c r="G47" s="105" t="s">
        <v>47</v>
      </c>
      <c r="H47" s="107">
        <v>41892</v>
      </c>
      <c r="I47" s="105" t="s">
        <v>1045</v>
      </c>
    </row>
    <row r="48" spans="1:9" x14ac:dyDescent="0.2">
      <c r="A48" s="105" t="s">
        <v>1039</v>
      </c>
      <c r="B48" s="106">
        <v>106.5</v>
      </c>
      <c r="C48" s="105">
        <v>1</v>
      </c>
      <c r="D48" s="105">
        <v>0</v>
      </c>
      <c r="E48" s="105">
        <v>0</v>
      </c>
      <c r="F48" s="107">
        <v>41892</v>
      </c>
      <c r="G48" s="105" t="s">
        <v>47</v>
      </c>
      <c r="H48" s="107">
        <v>41892</v>
      </c>
      <c r="I48" s="105" t="s">
        <v>1045</v>
      </c>
    </row>
    <row r="49" spans="1:9" x14ac:dyDescent="0.2">
      <c r="A49" s="105" t="s">
        <v>1040</v>
      </c>
      <c r="B49" s="106">
        <v>71</v>
      </c>
      <c r="C49" s="105">
        <v>1</v>
      </c>
      <c r="D49" s="105">
        <v>0</v>
      </c>
      <c r="E49" s="105">
        <v>0</v>
      </c>
      <c r="F49" s="107">
        <v>41892</v>
      </c>
      <c r="G49" s="105" t="s">
        <v>47</v>
      </c>
      <c r="H49" s="107">
        <v>41892</v>
      </c>
      <c r="I49" s="105" t="s">
        <v>1045</v>
      </c>
    </row>
    <row r="50" spans="1:9" x14ac:dyDescent="0.2">
      <c r="A50" s="27" t="s">
        <v>157</v>
      </c>
      <c r="B50" s="27">
        <v>365.57</v>
      </c>
      <c r="C50" s="27">
        <v>1</v>
      </c>
      <c r="D50" s="27">
        <v>0</v>
      </c>
      <c r="E50" s="27">
        <v>0</v>
      </c>
      <c r="F50" s="82">
        <v>41922</v>
      </c>
      <c r="G50" s="27" t="s">
        <v>47</v>
      </c>
      <c r="H50" s="82">
        <v>41922</v>
      </c>
      <c r="I50" s="27" t="s">
        <v>346</v>
      </c>
    </row>
    <row r="51" spans="1:9" x14ac:dyDescent="0.2">
      <c r="A51" t="s">
        <v>0</v>
      </c>
      <c r="B51">
        <v>368.56</v>
      </c>
      <c r="C51">
        <v>1</v>
      </c>
      <c r="D51">
        <v>0</v>
      </c>
      <c r="E51">
        <v>0</v>
      </c>
      <c r="F51" s="71">
        <v>41922</v>
      </c>
      <c r="G51" t="s">
        <v>47</v>
      </c>
      <c r="H51" s="71">
        <v>41922</v>
      </c>
      <c r="I51" t="s">
        <v>346</v>
      </c>
    </row>
    <row r="52" spans="1:9" x14ac:dyDescent="0.2">
      <c r="A52" t="s">
        <v>3</v>
      </c>
      <c r="B52">
        <v>58.1</v>
      </c>
      <c r="C52">
        <v>1</v>
      </c>
      <c r="D52">
        <v>0</v>
      </c>
      <c r="E52">
        <v>0</v>
      </c>
      <c r="F52" s="71">
        <v>41922</v>
      </c>
      <c r="G52" t="s">
        <v>47</v>
      </c>
      <c r="H52" s="71">
        <v>41922</v>
      </c>
      <c r="I52" t="s">
        <v>346</v>
      </c>
    </row>
    <row r="53" spans="1:9" x14ac:dyDescent="0.2">
      <c r="A53" t="s">
        <v>1</v>
      </c>
      <c r="B53">
        <v>414.56</v>
      </c>
      <c r="C53">
        <v>1</v>
      </c>
      <c r="D53">
        <v>0</v>
      </c>
      <c r="E53">
        <v>0</v>
      </c>
      <c r="F53" s="71">
        <v>41922</v>
      </c>
      <c r="G53" t="s">
        <v>47</v>
      </c>
      <c r="H53" s="71">
        <v>41922</v>
      </c>
      <c r="I53" t="s">
        <v>346</v>
      </c>
    </row>
    <row r="54" spans="1:9" x14ac:dyDescent="0.2">
      <c r="A54" t="s">
        <v>25</v>
      </c>
      <c r="B54">
        <v>120</v>
      </c>
      <c r="C54">
        <v>1</v>
      </c>
      <c r="D54">
        <v>0</v>
      </c>
      <c r="E54">
        <v>0</v>
      </c>
      <c r="F54" s="71">
        <v>41922</v>
      </c>
      <c r="G54" t="s">
        <v>47</v>
      </c>
      <c r="H54" s="71">
        <v>41922</v>
      </c>
      <c r="I54" t="s">
        <v>25</v>
      </c>
    </row>
    <row r="55" spans="1:9" x14ac:dyDescent="0.2">
      <c r="A55" t="s">
        <v>46</v>
      </c>
      <c r="B55">
        <v>370</v>
      </c>
      <c r="C55">
        <v>0</v>
      </c>
      <c r="D55">
        <v>1</v>
      </c>
      <c r="E55">
        <v>0</v>
      </c>
      <c r="F55" s="71">
        <v>41922</v>
      </c>
      <c r="G55" t="s">
        <v>47</v>
      </c>
      <c r="H55" s="71">
        <v>41922</v>
      </c>
      <c r="I55" t="s">
        <v>344</v>
      </c>
    </row>
    <row r="56" spans="1:9" x14ac:dyDescent="0.2">
      <c r="A56" t="s">
        <v>26</v>
      </c>
      <c r="B56">
        <v>501.76</v>
      </c>
      <c r="C56">
        <v>1</v>
      </c>
      <c r="D56">
        <v>0</v>
      </c>
      <c r="E56">
        <v>0</v>
      </c>
      <c r="F56" s="71">
        <v>41922</v>
      </c>
      <c r="G56" t="s">
        <v>47</v>
      </c>
      <c r="H56" s="71">
        <v>41922</v>
      </c>
      <c r="I56" t="s">
        <v>345</v>
      </c>
    </row>
    <row r="57" spans="1:9" x14ac:dyDescent="0.2">
      <c r="A57" t="s">
        <v>28</v>
      </c>
      <c r="B57">
        <v>38.5</v>
      </c>
      <c r="C57">
        <v>1</v>
      </c>
      <c r="D57">
        <v>0</v>
      </c>
      <c r="E57">
        <v>0</v>
      </c>
      <c r="F57" s="71">
        <v>41922</v>
      </c>
      <c r="G57" t="s">
        <v>47</v>
      </c>
      <c r="H57" s="71">
        <v>41922</v>
      </c>
      <c r="I57" t="s">
        <v>345</v>
      </c>
    </row>
    <row r="58" spans="1:9" x14ac:dyDescent="0.2">
      <c r="A58" t="s">
        <v>27</v>
      </c>
      <c r="B58">
        <v>282.25</v>
      </c>
      <c r="C58">
        <v>1</v>
      </c>
      <c r="D58">
        <v>0</v>
      </c>
      <c r="E58">
        <v>0</v>
      </c>
      <c r="F58" s="71">
        <v>41922</v>
      </c>
      <c r="G58" t="s">
        <v>47</v>
      </c>
      <c r="H58" s="71">
        <v>41922</v>
      </c>
      <c r="I58" t="s">
        <v>345</v>
      </c>
    </row>
    <row r="59" spans="1:9" x14ac:dyDescent="0.2">
      <c r="A59" t="s">
        <v>12</v>
      </c>
      <c r="B59">
        <v>536.46</v>
      </c>
      <c r="C59">
        <v>1</v>
      </c>
      <c r="D59">
        <v>0</v>
      </c>
      <c r="E59">
        <v>0</v>
      </c>
      <c r="F59" s="71">
        <v>41922</v>
      </c>
      <c r="G59" t="s">
        <v>47</v>
      </c>
      <c r="H59" s="71">
        <v>41922</v>
      </c>
      <c r="I59" t="s">
        <v>348</v>
      </c>
    </row>
    <row r="60" spans="1:9" x14ac:dyDescent="0.2">
      <c r="A60" t="s">
        <v>38</v>
      </c>
      <c r="B60">
        <v>51.9</v>
      </c>
      <c r="C60">
        <v>1</v>
      </c>
      <c r="D60">
        <v>0</v>
      </c>
      <c r="E60">
        <v>0</v>
      </c>
      <c r="F60" s="71">
        <v>41922</v>
      </c>
      <c r="G60" t="s">
        <v>47</v>
      </c>
      <c r="H60" s="71">
        <v>41922</v>
      </c>
      <c r="I60" t="s">
        <v>345</v>
      </c>
    </row>
    <row r="61" spans="1:9" x14ac:dyDescent="0.2">
      <c r="A61" t="s">
        <v>982</v>
      </c>
      <c r="B61">
        <v>40.78</v>
      </c>
      <c r="C61">
        <v>1</v>
      </c>
      <c r="D61">
        <v>0</v>
      </c>
      <c r="E61">
        <v>0</v>
      </c>
      <c r="F61" s="71">
        <v>41922</v>
      </c>
      <c r="G61" t="s">
        <v>47</v>
      </c>
      <c r="H61" s="71">
        <v>41922</v>
      </c>
      <c r="I61" t="s">
        <v>345</v>
      </c>
    </row>
    <row r="62" spans="1:9" x14ac:dyDescent="0.2">
      <c r="A62" t="s">
        <v>40</v>
      </c>
      <c r="B62">
        <v>4.99</v>
      </c>
      <c r="C62">
        <v>1</v>
      </c>
      <c r="D62">
        <v>0</v>
      </c>
      <c r="E62">
        <v>0</v>
      </c>
      <c r="F62" s="71">
        <v>41922</v>
      </c>
      <c r="G62" t="s">
        <v>47</v>
      </c>
      <c r="H62" s="71">
        <v>41922</v>
      </c>
      <c r="I62" t="s">
        <v>345</v>
      </c>
    </row>
    <row r="63" spans="1:9" x14ac:dyDescent="0.2">
      <c r="A63" t="s">
        <v>44</v>
      </c>
      <c r="B63">
        <v>20</v>
      </c>
      <c r="C63">
        <v>1</v>
      </c>
      <c r="D63">
        <v>0</v>
      </c>
      <c r="E63">
        <v>0</v>
      </c>
      <c r="F63" s="71">
        <v>41922</v>
      </c>
      <c r="G63" t="s">
        <v>51</v>
      </c>
      <c r="H63" s="71">
        <v>41925</v>
      </c>
      <c r="I63" t="s">
        <v>60</v>
      </c>
    </row>
    <row r="64" spans="1:9" x14ac:dyDescent="0.2">
      <c r="A64" t="s">
        <v>323</v>
      </c>
      <c r="B64">
        <v>6.5</v>
      </c>
      <c r="C64">
        <v>0</v>
      </c>
      <c r="D64">
        <v>1</v>
      </c>
      <c r="E64">
        <v>0</v>
      </c>
      <c r="F64" s="71">
        <v>41922</v>
      </c>
      <c r="G64" t="s">
        <v>51</v>
      </c>
      <c r="H64" s="71">
        <v>41926</v>
      </c>
      <c r="I64" t="s">
        <v>50</v>
      </c>
    </row>
    <row r="65" spans="1:9" x14ac:dyDescent="0.2">
      <c r="A65" t="s">
        <v>323</v>
      </c>
      <c r="B65">
        <v>9</v>
      </c>
      <c r="C65">
        <v>0</v>
      </c>
      <c r="D65">
        <v>1</v>
      </c>
      <c r="E65">
        <v>0</v>
      </c>
      <c r="F65" s="71">
        <v>41922</v>
      </c>
      <c r="G65" t="s">
        <v>51</v>
      </c>
      <c r="H65" s="71">
        <v>41926</v>
      </c>
      <c r="I65" t="s">
        <v>50</v>
      </c>
    </row>
    <row r="66" spans="1:9" x14ac:dyDescent="0.2">
      <c r="A66" t="s">
        <v>44</v>
      </c>
      <c r="B66">
        <v>100</v>
      </c>
      <c r="C66">
        <v>1</v>
      </c>
      <c r="D66">
        <v>0</v>
      </c>
      <c r="E66">
        <v>0</v>
      </c>
      <c r="F66" s="71">
        <v>41922</v>
      </c>
      <c r="G66" t="s">
        <v>51</v>
      </c>
      <c r="H66" s="71">
        <v>41926</v>
      </c>
      <c r="I66" t="s">
        <v>60</v>
      </c>
    </row>
    <row r="67" spans="1:9" x14ac:dyDescent="0.2">
      <c r="A67" t="s">
        <v>48</v>
      </c>
      <c r="B67">
        <v>20</v>
      </c>
      <c r="C67">
        <v>0</v>
      </c>
      <c r="D67">
        <v>1</v>
      </c>
      <c r="E67">
        <v>0</v>
      </c>
      <c r="F67" s="71">
        <v>41922</v>
      </c>
      <c r="G67" t="s">
        <v>51</v>
      </c>
      <c r="H67" s="71">
        <v>41926</v>
      </c>
      <c r="I67" t="s">
        <v>48</v>
      </c>
    </row>
    <row r="68" spans="1:9" x14ac:dyDescent="0.2">
      <c r="A68" t="s">
        <v>96</v>
      </c>
      <c r="B68">
        <v>16.579999999999998</v>
      </c>
      <c r="C68">
        <v>0</v>
      </c>
      <c r="D68">
        <v>1</v>
      </c>
      <c r="E68">
        <v>0</v>
      </c>
      <c r="F68" s="71">
        <v>41922</v>
      </c>
      <c r="G68" t="s">
        <v>51</v>
      </c>
      <c r="H68" s="71">
        <v>41927</v>
      </c>
      <c r="I68" t="s">
        <v>50</v>
      </c>
    </row>
    <row r="69" spans="1:9" x14ac:dyDescent="0.2">
      <c r="A69" t="s">
        <v>323</v>
      </c>
      <c r="B69">
        <v>8.5</v>
      </c>
      <c r="C69">
        <v>0</v>
      </c>
      <c r="D69">
        <v>1</v>
      </c>
      <c r="E69">
        <v>0</v>
      </c>
      <c r="F69" s="71">
        <v>41922</v>
      </c>
      <c r="G69" t="s">
        <v>51</v>
      </c>
      <c r="H69" s="71">
        <v>41927</v>
      </c>
      <c r="I69" t="s">
        <v>50</v>
      </c>
    </row>
    <row r="70" spans="1:9" x14ac:dyDescent="0.2">
      <c r="A70" t="s">
        <v>324</v>
      </c>
      <c r="B70">
        <v>19.899999999999999</v>
      </c>
      <c r="C70">
        <v>0</v>
      </c>
      <c r="D70">
        <v>1</v>
      </c>
      <c r="E70">
        <v>0</v>
      </c>
      <c r="F70" s="71">
        <v>41922</v>
      </c>
      <c r="G70" t="s">
        <v>51</v>
      </c>
      <c r="H70" s="71">
        <v>41927</v>
      </c>
      <c r="I70" t="s">
        <v>153</v>
      </c>
    </row>
    <row r="71" spans="1:9" x14ac:dyDescent="0.2">
      <c r="A71" t="s">
        <v>2</v>
      </c>
      <c r="B71">
        <v>50</v>
      </c>
      <c r="C71">
        <v>1</v>
      </c>
      <c r="D71">
        <v>0</v>
      </c>
      <c r="E71">
        <v>0</v>
      </c>
      <c r="F71" s="71">
        <v>41922</v>
      </c>
      <c r="G71" t="s">
        <v>51</v>
      </c>
      <c r="H71" s="71">
        <v>41927</v>
      </c>
      <c r="I71" t="s">
        <v>349</v>
      </c>
    </row>
    <row r="72" spans="1:9" x14ac:dyDescent="0.2">
      <c r="A72" t="s">
        <v>48</v>
      </c>
      <c r="B72">
        <v>60</v>
      </c>
      <c r="C72">
        <v>0</v>
      </c>
      <c r="D72">
        <v>1</v>
      </c>
      <c r="E72">
        <v>0</v>
      </c>
      <c r="F72" s="71">
        <v>41922</v>
      </c>
      <c r="G72" t="s">
        <v>51</v>
      </c>
      <c r="H72" s="71">
        <v>41928</v>
      </c>
      <c r="I72" t="s">
        <v>48</v>
      </c>
    </row>
    <row r="73" spans="1:9" x14ac:dyDescent="0.2">
      <c r="A73" t="s">
        <v>48</v>
      </c>
      <c r="B73">
        <v>20</v>
      </c>
      <c r="C73">
        <v>0</v>
      </c>
      <c r="D73">
        <v>1</v>
      </c>
      <c r="E73">
        <v>0</v>
      </c>
      <c r="F73" s="71">
        <v>41922</v>
      </c>
      <c r="G73" t="s">
        <v>51</v>
      </c>
      <c r="H73" s="71">
        <v>41928</v>
      </c>
      <c r="I73" t="s">
        <v>48</v>
      </c>
    </row>
    <row r="74" spans="1:9" x14ac:dyDescent="0.2">
      <c r="A74" t="s">
        <v>52</v>
      </c>
      <c r="B74">
        <v>24.96</v>
      </c>
      <c r="C74">
        <v>0</v>
      </c>
      <c r="D74">
        <v>1</v>
      </c>
      <c r="E74">
        <v>0</v>
      </c>
      <c r="F74" s="71">
        <v>41922</v>
      </c>
      <c r="G74" t="s">
        <v>51</v>
      </c>
      <c r="H74" s="71">
        <v>41928</v>
      </c>
      <c r="I74" t="s">
        <v>52</v>
      </c>
    </row>
    <row r="75" spans="1:9" x14ac:dyDescent="0.2">
      <c r="A75" t="s">
        <v>109</v>
      </c>
      <c r="B75">
        <v>27</v>
      </c>
      <c r="C75">
        <v>0</v>
      </c>
      <c r="D75">
        <v>1</v>
      </c>
      <c r="E75">
        <v>0</v>
      </c>
      <c r="F75" s="71">
        <v>41922</v>
      </c>
      <c r="G75" t="s">
        <v>51</v>
      </c>
      <c r="H75" s="71">
        <v>41928</v>
      </c>
      <c r="I75" t="s">
        <v>109</v>
      </c>
    </row>
    <row r="76" spans="1:9" x14ac:dyDescent="0.2">
      <c r="A76" t="s">
        <v>52</v>
      </c>
      <c r="B76">
        <v>46.68</v>
      </c>
      <c r="C76">
        <v>0</v>
      </c>
      <c r="D76">
        <v>1</v>
      </c>
      <c r="E76">
        <v>0</v>
      </c>
      <c r="F76" s="71">
        <v>41922</v>
      </c>
      <c r="G76" t="s">
        <v>51</v>
      </c>
      <c r="H76" s="71">
        <v>41928</v>
      </c>
      <c r="I76" t="s">
        <v>52</v>
      </c>
    </row>
    <row r="77" spans="1:9" x14ac:dyDescent="0.2">
      <c r="A77" s="12" t="s">
        <v>21</v>
      </c>
      <c r="B77" s="88">
        <f>SUMIFS(credito!B1:B9,credito!F1:F9,debito!#REF!,credito!G1:G9,0)</f>
        <v>0</v>
      </c>
      <c r="C77" s="12">
        <v>1</v>
      </c>
      <c r="D77" s="12">
        <v>0</v>
      </c>
      <c r="E77" s="12">
        <v>0</v>
      </c>
      <c r="F77" s="89">
        <v>41922</v>
      </c>
      <c r="G77" s="12" t="s">
        <v>51</v>
      </c>
      <c r="H77" s="89">
        <v>41929</v>
      </c>
      <c r="I77" s="12" t="s">
        <v>336</v>
      </c>
    </row>
    <row r="78" spans="1:9" x14ac:dyDescent="0.2">
      <c r="A78" t="s">
        <v>96</v>
      </c>
      <c r="B78">
        <v>20</v>
      </c>
      <c r="C78">
        <v>0</v>
      </c>
      <c r="D78">
        <v>1</v>
      </c>
      <c r="E78">
        <v>0</v>
      </c>
      <c r="F78" s="71">
        <v>41922</v>
      </c>
      <c r="G78" t="s">
        <v>51</v>
      </c>
      <c r="H78" s="71">
        <v>41929</v>
      </c>
      <c r="I78" t="s">
        <v>50</v>
      </c>
    </row>
    <row r="79" spans="1:9" x14ac:dyDescent="0.2">
      <c r="A79" t="s">
        <v>221</v>
      </c>
      <c r="B79">
        <v>7</v>
      </c>
      <c r="C79">
        <v>0</v>
      </c>
      <c r="D79">
        <v>1</v>
      </c>
      <c r="E79">
        <v>0</v>
      </c>
      <c r="F79" s="71">
        <v>41922</v>
      </c>
      <c r="G79" t="s">
        <v>51</v>
      </c>
      <c r="H79" s="71">
        <v>41929</v>
      </c>
      <c r="I79" t="s">
        <v>50</v>
      </c>
    </row>
    <row r="80" spans="1:9" x14ac:dyDescent="0.2">
      <c r="A80" t="s">
        <v>96</v>
      </c>
      <c r="B80">
        <v>25</v>
      </c>
      <c r="C80">
        <v>0</v>
      </c>
      <c r="D80">
        <v>1</v>
      </c>
      <c r="E80">
        <v>0</v>
      </c>
      <c r="F80" s="71">
        <v>41922</v>
      </c>
      <c r="G80" t="s">
        <v>49</v>
      </c>
      <c r="H80" s="71">
        <v>41930</v>
      </c>
      <c r="I80" t="s">
        <v>50</v>
      </c>
    </row>
    <row r="81" spans="1:9" x14ac:dyDescent="0.2">
      <c r="A81" t="s">
        <v>323</v>
      </c>
      <c r="B81">
        <v>2.5</v>
      </c>
      <c r="C81">
        <v>0</v>
      </c>
      <c r="D81">
        <v>1</v>
      </c>
      <c r="E81">
        <v>0</v>
      </c>
      <c r="F81" s="71">
        <v>41922</v>
      </c>
      <c r="G81" t="s">
        <v>49</v>
      </c>
      <c r="H81" s="71">
        <v>41930</v>
      </c>
      <c r="I81" t="s">
        <v>50</v>
      </c>
    </row>
    <row r="82" spans="1:9" x14ac:dyDescent="0.2">
      <c r="A82" t="s">
        <v>199</v>
      </c>
      <c r="B82">
        <v>78</v>
      </c>
      <c r="C82">
        <v>0</v>
      </c>
      <c r="D82">
        <v>1</v>
      </c>
      <c r="E82">
        <v>0</v>
      </c>
      <c r="F82" s="71">
        <v>41922</v>
      </c>
      <c r="G82" t="s">
        <v>49</v>
      </c>
      <c r="H82" s="71">
        <v>41930</v>
      </c>
      <c r="I82" t="s">
        <v>344</v>
      </c>
    </row>
    <row r="83" spans="1:9" x14ac:dyDescent="0.2">
      <c r="A83" t="s">
        <v>52</v>
      </c>
      <c r="B83">
        <v>10.51</v>
      </c>
      <c r="C83">
        <v>0</v>
      </c>
      <c r="D83">
        <v>1</v>
      </c>
      <c r="E83">
        <v>0</v>
      </c>
      <c r="F83" s="71">
        <v>41922</v>
      </c>
      <c r="G83" t="s">
        <v>49</v>
      </c>
      <c r="H83" s="71">
        <v>41930</v>
      </c>
      <c r="I83" t="s">
        <v>52</v>
      </c>
    </row>
    <row r="84" spans="1:9" x14ac:dyDescent="0.2">
      <c r="A84" t="s">
        <v>48</v>
      </c>
      <c r="B84">
        <v>20</v>
      </c>
      <c r="C84">
        <v>0</v>
      </c>
      <c r="D84">
        <v>1</v>
      </c>
      <c r="E84">
        <v>0</v>
      </c>
      <c r="F84" s="71">
        <v>41922</v>
      </c>
      <c r="G84" t="s">
        <v>49</v>
      </c>
      <c r="H84" s="71">
        <v>41931</v>
      </c>
      <c r="I84" t="s">
        <v>48</v>
      </c>
    </row>
    <row r="85" spans="1:9" x14ac:dyDescent="0.2">
      <c r="A85" t="s">
        <v>43</v>
      </c>
      <c r="B85">
        <v>30</v>
      </c>
      <c r="C85">
        <v>1</v>
      </c>
      <c r="D85">
        <v>0</v>
      </c>
      <c r="E85">
        <v>0</v>
      </c>
      <c r="F85" s="71">
        <v>41922</v>
      </c>
      <c r="G85" t="s">
        <v>49</v>
      </c>
      <c r="H85" s="71">
        <v>41931</v>
      </c>
      <c r="I85" t="s">
        <v>339</v>
      </c>
    </row>
    <row r="86" spans="1:9" x14ac:dyDescent="0.2">
      <c r="A86" t="s">
        <v>156</v>
      </c>
      <c r="B86">
        <v>400</v>
      </c>
      <c r="C86">
        <v>1</v>
      </c>
      <c r="D86">
        <v>0</v>
      </c>
      <c r="E86">
        <v>0</v>
      </c>
      <c r="F86" s="71">
        <v>41922</v>
      </c>
      <c r="G86" t="s">
        <v>54</v>
      </c>
      <c r="H86" s="71">
        <v>41932</v>
      </c>
      <c r="I86" t="s">
        <v>346</v>
      </c>
    </row>
    <row r="87" spans="1:9" x14ac:dyDescent="0.2">
      <c r="A87" s="1" t="s">
        <v>381</v>
      </c>
      <c r="B87">
        <v>10.56</v>
      </c>
      <c r="C87">
        <v>0</v>
      </c>
      <c r="D87">
        <v>1</v>
      </c>
      <c r="E87">
        <v>0</v>
      </c>
      <c r="F87" s="71">
        <v>41922</v>
      </c>
      <c r="G87" t="s">
        <v>54</v>
      </c>
      <c r="H87" s="71">
        <v>41932</v>
      </c>
      <c r="I87" t="s">
        <v>190</v>
      </c>
    </row>
    <row r="88" spans="1:9" x14ac:dyDescent="0.2">
      <c r="A88" t="s">
        <v>48</v>
      </c>
      <c r="B88">
        <v>20</v>
      </c>
      <c r="C88">
        <v>0</v>
      </c>
      <c r="D88">
        <v>1</v>
      </c>
      <c r="E88">
        <v>0</v>
      </c>
      <c r="F88" s="71">
        <v>41922</v>
      </c>
      <c r="G88" t="s">
        <v>54</v>
      </c>
      <c r="H88" s="71">
        <v>41932</v>
      </c>
      <c r="I88" t="s">
        <v>48</v>
      </c>
    </row>
    <row r="89" spans="1:9" x14ac:dyDescent="0.2">
      <c r="A89" t="s">
        <v>221</v>
      </c>
      <c r="B89">
        <v>5.36</v>
      </c>
      <c r="C89">
        <v>0</v>
      </c>
      <c r="D89">
        <v>1</v>
      </c>
      <c r="E89">
        <v>0</v>
      </c>
      <c r="F89" s="71">
        <v>41922</v>
      </c>
      <c r="G89" t="s">
        <v>54</v>
      </c>
      <c r="H89" s="71">
        <v>41933</v>
      </c>
      <c r="I89" t="s">
        <v>50</v>
      </c>
    </row>
    <row r="90" spans="1:9" x14ac:dyDescent="0.2">
      <c r="A90" t="s">
        <v>96</v>
      </c>
      <c r="B90">
        <v>18.8</v>
      </c>
      <c r="C90">
        <v>0</v>
      </c>
      <c r="D90">
        <v>1</v>
      </c>
      <c r="E90">
        <v>0</v>
      </c>
      <c r="F90" s="71">
        <v>41922</v>
      </c>
      <c r="G90" t="s">
        <v>54</v>
      </c>
      <c r="H90" s="71">
        <v>41936</v>
      </c>
      <c r="I90" t="s">
        <v>50</v>
      </c>
    </row>
    <row r="91" spans="1:9" x14ac:dyDescent="0.2">
      <c r="A91" t="s">
        <v>221</v>
      </c>
      <c r="B91">
        <v>4.29</v>
      </c>
      <c r="C91">
        <v>0</v>
      </c>
      <c r="D91">
        <v>1</v>
      </c>
      <c r="E91">
        <v>0</v>
      </c>
      <c r="F91" s="71">
        <v>41922</v>
      </c>
      <c r="G91" t="s">
        <v>54</v>
      </c>
      <c r="H91" s="71">
        <v>41936</v>
      </c>
      <c r="I91" t="s">
        <v>50</v>
      </c>
    </row>
    <row r="92" spans="1:9" x14ac:dyDescent="0.2">
      <c r="A92" s="1" t="s">
        <v>381</v>
      </c>
      <c r="B92">
        <v>25.4</v>
      </c>
      <c r="C92">
        <v>0</v>
      </c>
      <c r="D92">
        <v>1</v>
      </c>
      <c r="E92">
        <v>0</v>
      </c>
      <c r="F92" s="71">
        <v>41922</v>
      </c>
      <c r="G92" t="s">
        <v>54</v>
      </c>
      <c r="H92" s="71">
        <v>41936</v>
      </c>
      <c r="I92" t="s">
        <v>190</v>
      </c>
    </row>
    <row r="93" spans="1:9" x14ac:dyDescent="0.2">
      <c r="A93" t="s">
        <v>323</v>
      </c>
      <c r="B93">
        <v>15.5</v>
      </c>
      <c r="C93">
        <v>0</v>
      </c>
      <c r="D93">
        <v>1</v>
      </c>
      <c r="E93">
        <v>0</v>
      </c>
      <c r="F93" s="71">
        <v>41922</v>
      </c>
      <c r="G93" t="s">
        <v>54</v>
      </c>
      <c r="H93" s="71">
        <v>41936</v>
      </c>
      <c r="I93" t="s">
        <v>50</v>
      </c>
    </row>
    <row r="94" spans="1:9" x14ac:dyDescent="0.2">
      <c r="A94" t="s">
        <v>200</v>
      </c>
      <c r="B94">
        <v>0</v>
      </c>
      <c r="C94">
        <v>1</v>
      </c>
      <c r="D94">
        <v>0</v>
      </c>
      <c r="E94">
        <v>0</v>
      </c>
      <c r="F94" s="71">
        <v>41922</v>
      </c>
      <c r="G94" t="s">
        <v>54</v>
      </c>
      <c r="H94" s="71">
        <v>41936</v>
      </c>
      <c r="I94" t="s">
        <v>343</v>
      </c>
    </row>
    <row r="95" spans="1:9" x14ac:dyDescent="0.2">
      <c r="A95" t="s">
        <v>44</v>
      </c>
      <c r="B95">
        <v>100</v>
      </c>
      <c r="C95">
        <v>1</v>
      </c>
      <c r="D95">
        <v>0</v>
      </c>
      <c r="E95">
        <v>0</v>
      </c>
      <c r="F95" s="71">
        <v>41922</v>
      </c>
      <c r="G95" t="s">
        <v>54</v>
      </c>
      <c r="H95" s="71">
        <v>41937</v>
      </c>
      <c r="I95" t="s">
        <v>60</v>
      </c>
    </row>
    <row r="96" spans="1:9" x14ac:dyDescent="0.2">
      <c r="A96" t="s">
        <v>201</v>
      </c>
      <c r="B96">
        <v>300</v>
      </c>
      <c r="C96">
        <v>0</v>
      </c>
      <c r="D96">
        <v>1</v>
      </c>
      <c r="E96">
        <v>0</v>
      </c>
      <c r="F96" s="71">
        <v>41922</v>
      </c>
      <c r="G96" t="s">
        <v>54</v>
      </c>
      <c r="H96" s="71">
        <v>41937</v>
      </c>
      <c r="I96" t="s">
        <v>338</v>
      </c>
    </row>
    <row r="97" spans="1:9" x14ac:dyDescent="0.2">
      <c r="A97" t="s">
        <v>48</v>
      </c>
      <c r="B97">
        <v>50</v>
      </c>
      <c r="C97">
        <v>0</v>
      </c>
      <c r="D97">
        <v>1</v>
      </c>
      <c r="E97">
        <v>0</v>
      </c>
      <c r="F97" s="71">
        <v>41922</v>
      </c>
      <c r="G97" t="s">
        <v>54</v>
      </c>
      <c r="H97" s="71">
        <v>41937</v>
      </c>
      <c r="I97" t="s">
        <v>48</v>
      </c>
    </row>
    <row r="98" spans="1:9" x14ac:dyDescent="0.2">
      <c r="A98" s="1" t="s">
        <v>381</v>
      </c>
      <c r="B98">
        <v>2.21</v>
      </c>
      <c r="C98">
        <v>0</v>
      </c>
      <c r="D98">
        <v>1</v>
      </c>
      <c r="E98">
        <v>0</v>
      </c>
      <c r="F98" s="71">
        <v>41922</v>
      </c>
      <c r="G98" t="s">
        <v>54</v>
      </c>
      <c r="H98" s="71">
        <v>41937</v>
      </c>
      <c r="I98" t="s">
        <v>190</v>
      </c>
    </row>
    <row r="99" spans="1:9" x14ac:dyDescent="0.2">
      <c r="A99" t="s">
        <v>43</v>
      </c>
      <c r="B99">
        <v>30</v>
      </c>
      <c r="C99">
        <v>1</v>
      </c>
      <c r="D99">
        <v>0</v>
      </c>
      <c r="E99">
        <v>0</v>
      </c>
      <c r="F99" s="71">
        <v>41922</v>
      </c>
      <c r="G99" t="s">
        <v>49</v>
      </c>
      <c r="H99" s="71">
        <v>41938</v>
      </c>
      <c r="I99" t="s">
        <v>339</v>
      </c>
    </row>
    <row r="100" spans="1:9" x14ac:dyDescent="0.2">
      <c r="A100" s="1" t="s">
        <v>381</v>
      </c>
      <c r="B100">
        <v>6.98</v>
      </c>
      <c r="C100">
        <v>0</v>
      </c>
      <c r="D100">
        <v>1</v>
      </c>
      <c r="E100">
        <v>0</v>
      </c>
      <c r="F100" s="71">
        <v>41922</v>
      </c>
      <c r="G100" t="s">
        <v>49</v>
      </c>
      <c r="H100" s="71">
        <v>41938</v>
      </c>
      <c r="I100" t="s">
        <v>190</v>
      </c>
    </row>
    <row r="101" spans="1:9" x14ac:dyDescent="0.2">
      <c r="A101" s="1" t="s">
        <v>381</v>
      </c>
      <c r="B101">
        <v>8.25</v>
      </c>
      <c r="C101">
        <v>0</v>
      </c>
      <c r="D101">
        <v>1</v>
      </c>
      <c r="E101">
        <v>0</v>
      </c>
      <c r="F101" s="71">
        <v>41922</v>
      </c>
      <c r="G101" t="s">
        <v>55</v>
      </c>
      <c r="H101" s="71">
        <v>41940</v>
      </c>
      <c r="I101" t="s">
        <v>190</v>
      </c>
    </row>
    <row r="102" spans="1:9" x14ac:dyDescent="0.2">
      <c r="A102" s="1" t="s">
        <v>381</v>
      </c>
      <c r="B102">
        <v>5.9</v>
      </c>
      <c r="C102">
        <v>0</v>
      </c>
      <c r="D102">
        <v>1</v>
      </c>
      <c r="E102">
        <v>0</v>
      </c>
      <c r="F102" s="71">
        <v>41922</v>
      </c>
      <c r="G102" t="s">
        <v>55</v>
      </c>
      <c r="H102" s="71">
        <v>41941</v>
      </c>
      <c r="I102" t="s">
        <v>190</v>
      </c>
    </row>
    <row r="103" spans="1:9" x14ac:dyDescent="0.2">
      <c r="A103" t="s">
        <v>48</v>
      </c>
      <c r="B103">
        <v>20</v>
      </c>
      <c r="C103">
        <v>0</v>
      </c>
      <c r="D103">
        <v>1</v>
      </c>
      <c r="E103">
        <v>0</v>
      </c>
      <c r="F103" s="71">
        <v>41922</v>
      </c>
      <c r="G103" t="s">
        <v>55</v>
      </c>
      <c r="H103" s="71">
        <v>41941</v>
      </c>
      <c r="I103" t="s">
        <v>48</v>
      </c>
    </row>
    <row r="104" spans="1:9" x14ac:dyDescent="0.2">
      <c r="A104" t="s">
        <v>43</v>
      </c>
      <c r="B104">
        <v>30</v>
      </c>
      <c r="C104">
        <v>1</v>
      </c>
      <c r="D104">
        <v>0</v>
      </c>
      <c r="E104">
        <v>0</v>
      </c>
      <c r="F104" s="71">
        <v>41922</v>
      </c>
      <c r="G104" t="s">
        <v>55</v>
      </c>
      <c r="H104" s="71">
        <v>41942</v>
      </c>
      <c r="I104" t="s">
        <v>339</v>
      </c>
    </row>
    <row r="105" spans="1:9" x14ac:dyDescent="0.2">
      <c r="A105" t="s">
        <v>96</v>
      </c>
      <c r="B105">
        <v>20.86</v>
      </c>
      <c r="C105">
        <v>0</v>
      </c>
      <c r="D105">
        <v>1</v>
      </c>
      <c r="E105">
        <v>0</v>
      </c>
      <c r="F105" s="71">
        <v>41922</v>
      </c>
      <c r="G105" t="s">
        <v>55</v>
      </c>
      <c r="H105" s="71">
        <v>41942</v>
      </c>
      <c r="I105" t="s">
        <v>50</v>
      </c>
    </row>
    <row r="106" spans="1:9" x14ac:dyDescent="0.2">
      <c r="A106" s="1" t="s">
        <v>381</v>
      </c>
      <c r="B106">
        <v>8</v>
      </c>
      <c r="C106">
        <v>0</v>
      </c>
      <c r="D106">
        <v>1</v>
      </c>
      <c r="E106">
        <v>0</v>
      </c>
      <c r="F106" s="71">
        <v>41922</v>
      </c>
      <c r="G106" t="s">
        <v>55</v>
      </c>
      <c r="H106" s="71">
        <v>41942</v>
      </c>
      <c r="I106" t="s">
        <v>190</v>
      </c>
    </row>
    <row r="107" spans="1:9" x14ac:dyDescent="0.2">
      <c r="A107" t="s">
        <v>43</v>
      </c>
      <c r="B107">
        <v>30</v>
      </c>
      <c r="C107">
        <v>1</v>
      </c>
      <c r="D107">
        <v>0</v>
      </c>
      <c r="E107">
        <v>0</v>
      </c>
      <c r="F107" s="71">
        <v>41922</v>
      </c>
      <c r="G107" t="s">
        <v>55</v>
      </c>
      <c r="H107" s="71">
        <v>41943</v>
      </c>
      <c r="I107" t="s">
        <v>339</v>
      </c>
    </row>
    <row r="108" spans="1:9" x14ac:dyDescent="0.2">
      <c r="A108" s="1" t="s">
        <v>381</v>
      </c>
      <c r="B108">
        <v>14</v>
      </c>
      <c r="C108">
        <v>0</v>
      </c>
      <c r="D108">
        <v>1</v>
      </c>
      <c r="E108">
        <v>0</v>
      </c>
      <c r="F108" s="71">
        <v>41922</v>
      </c>
      <c r="G108" t="s">
        <v>49</v>
      </c>
      <c r="H108" s="71">
        <v>41944</v>
      </c>
      <c r="I108" t="s">
        <v>190</v>
      </c>
    </row>
    <row r="109" spans="1:9" x14ac:dyDescent="0.2">
      <c r="A109" t="s">
        <v>109</v>
      </c>
      <c r="B109">
        <v>14</v>
      </c>
      <c r="C109">
        <v>0</v>
      </c>
      <c r="D109">
        <v>1</v>
      </c>
      <c r="E109">
        <v>0</v>
      </c>
      <c r="F109" s="71">
        <v>41922</v>
      </c>
      <c r="G109" t="s">
        <v>49</v>
      </c>
      <c r="H109" s="71">
        <v>41944</v>
      </c>
      <c r="I109" t="s">
        <v>109</v>
      </c>
    </row>
    <row r="110" spans="1:9" x14ac:dyDescent="0.2">
      <c r="A110" t="s">
        <v>202</v>
      </c>
      <c r="B110">
        <v>22</v>
      </c>
      <c r="C110">
        <v>0</v>
      </c>
      <c r="D110">
        <v>1</v>
      </c>
      <c r="E110">
        <v>0</v>
      </c>
      <c r="F110" s="71">
        <v>41922</v>
      </c>
      <c r="G110" t="s">
        <v>49</v>
      </c>
      <c r="H110" s="71">
        <v>41944</v>
      </c>
      <c r="I110" t="s">
        <v>203</v>
      </c>
    </row>
    <row r="111" spans="1:9" x14ac:dyDescent="0.2">
      <c r="A111" t="s">
        <v>202</v>
      </c>
      <c r="B111">
        <v>29</v>
      </c>
      <c r="C111">
        <v>0</v>
      </c>
      <c r="D111">
        <v>1</v>
      </c>
      <c r="E111">
        <v>0</v>
      </c>
      <c r="F111" s="71">
        <v>41922</v>
      </c>
      <c r="G111" t="s">
        <v>49</v>
      </c>
      <c r="H111" s="71">
        <v>41944</v>
      </c>
      <c r="I111" t="s">
        <v>203</v>
      </c>
    </row>
    <row r="112" spans="1:9" x14ac:dyDescent="0.2">
      <c r="A112" t="s">
        <v>43</v>
      </c>
      <c r="B112">
        <v>30</v>
      </c>
      <c r="C112">
        <v>1</v>
      </c>
      <c r="D112">
        <v>0</v>
      </c>
      <c r="E112">
        <v>0</v>
      </c>
      <c r="F112" s="71">
        <v>41922</v>
      </c>
      <c r="G112" t="s">
        <v>49</v>
      </c>
      <c r="H112" s="71">
        <v>41945</v>
      </c>
      <c r="I112" t="s">
        <v>339</v>
      </c>
    </row>
    <row r="113" spans="1:9" x14ac:dyDescent="0.2">
      <c r="A113" t="s">
        <v>43</v>
      </c>
      <c r="B113">
        <v>0</v>
      </c>
      <c r="C113">
        <v>1</v>
      </c>
      <c r="D113">
        <v>0</v>
      </c>
      <c r="E113">
        <v>0</v>
      </c>
      <c r="F113" s="71">
        <v>41922</v>
      </c>
      <c r="G113" t="s">
        <v>49</v>
      </c>
      <c r="H113" s="71">
        <v>41945</v>
      </c>
      <c r="I113" t="s">
        <v>339</v>
      </c>
    </row>
    <row r="114" spans="1:9" x14ac:dyDescent="0.2">
      <c r="A114" t="s">
        <v>48</v>
      </c>
      <c r="B114">
        <v>50</v>
      </c>
      <c r="C114">
        <v>0</v>
      </c>
      <c r="D114">
        <v>1</v>
      </c>
      <c r="E114">
        <v>0</v>
      </c>
      <c r="F114" s="71">
        <v>41922</v>
      </c>
      <c r="G114" t="s">
        <v>49</v>
      </c>
      <c r="H114" s="71">
        <v>41945</v>
      </c>
      <c r="I114" t="s">
        <v>48</v>
      </c>
    </row>
    <row r="115" spans="1:9" x14ac:dyDescent="0.2">
      <c r="A115" s="1" t="s">
        <v>402</v>
      </c>
      <c r="B115">
        <v>44.08</v>
      </c>
      <c r="C115">
        <v>0</v>
      </c>
      <c r="D115">
        <v>1</v>
      </c>
      <c r="E115">
        <v>0</v>
      </c>
      <c r="F115" s="71">
        <v>41922</v>
      </c>
      <c r="G115" t="s">
        <v>49</v>
      </c>
      <c r="H115" s="71">
        <v>41945</v>
      </c>
      <c r="I115" t="s">
        <v>153</v>
      </c>
    </row>
    <row r="116" spans="1:9" x14ac:dyDescent="0.2">
      <c r="A116" t="s">
        <v>337</v>
      </c>
      <c r="B116">
        <v>250</v>
      </c>
      <c r="C116">
        <v>0</v>
      </c>
      <c r="D116">
        <v>1</v>
      </c>
      <c r="E116">
        <v>0</v>
      </c>
      <c r="F116" s="71">
        <v>41922</v>
      </c>
      <c r="G116" t="s">
        <v>180</v>
      </c>
      <c r="H116" s="71">
        <v>41947</v>
      </c>
      <c r="I116" t="s">
        <v>343</v>
      </c>
    </row>
    <row r="117" spans="1:9" x14ac:dyDescent="0.2">
      <c r="A117" t="s">
        <v>48</v>
      </c>
      <c r="B117">
        <v>10</v>
      </c>
      <c r="C117">
        <v>0</v>
      </c>
      <c r="D117">
        <v>1</v>
      </c>
      <c r="E117">
        <v>0</v>
      </c>
      <c r="F117" s="71">
        <v>41922</v>
      </c>
      <c r="G117" t="s">
        <v>180</v>
      </c>
      <c r="H117" s="71">
        <v>41947</v>
      </c>
      <c r="I117" t="s">
        <v>48</v>
      </c>
    </row>
    <row r="118" spans="1:9" x14ac:dyDescent="0.2">
      <c r="A118" s="1" t="s">
        <v>381</v>
      </c>
      <c r="B118">
        <v>18.04</v>
      </c>
      <c r="C118">
        <v>0</v>
      </c>
      <c r="D118">
        <v>1</v>
      </c>
      <c r="E118">
        <v>0</v>
      </c>
      <c r="F118" s="71">
        <v>41922</v>
      </c>
      <c r="G118" t="s">
        <v>180</v>
      </c>
      <c r="H118" s="71">
        <v>41947</v>
      </c>
      <c r="I118" t="s">
        <v>190</v>
      </c>
    </row>
    <row r="119" spans="1:9" x14ac:dyDescent="0.2">
      <c r="A119" t="s">
        <v>39</v>
      </c>
      <c r="B119">
        <v>41</v>
      </c>
      <c r="C119">
        <v>1</v>
      </c>
      <c r="D119">
        <v>0</v>
      </c>
      <c r="E119">
        <v>0</v>
      </c>
      <c r="F119" s="71">
        <v>41922</v>
      </c>
      <c r="G119" t="s">
        <v>180</v>
      </c>
      <c r="H119" s="71">
        <v>41947</v>
      </c>
      <c r="I119" t="s">
        <v>345</v>
      </c>
    </row>
    <row r="120" spans="1:9" x14ac:dyDescent="0.2">
      <c r="A120" s="1" t="s">
        <v>381</v>
      </c>
      <c r="B120">
        <v>11.49</v>
      </c>
      <c r="C120">
        <v>0</v>
      </c>
      <c r="D120">
        <v>1</v>
      </c>
      <c r="E120">
        <v>0</v>
      </c>
      <c r="F120" s="71">
        <v>41922</v>
      </c>
      <c r="G120" t="s">
        <v>180</v>
      </c>
      <c r="H120" s="71">
        <v>41948</v>
      </c>
      <c r="I120" t="s">
        <v>190</v>
      </c>
    </row>
    <row r="121" spans="1:9" x14ac:dyDescent="0.2">
      <c r="A121" t="s">
        <v>109</v>
      </c>
      <c r="B121">
        <v>14</v>
      </c>
      <c r="C121">
        <v>0</v>
      </c>
      <c r="D121">
        <v>1</v>
      </c>
      <c r="E121">
        <v>0</v>
      </c>
      <c r="F121" s="71">
        <v>41922</v>
      </c>
      <c r="G121" t="s">
        <v>180</v>
      </c>
      <c r="H121" s="71">
        <v>41948</v>
      </c>
      <c r="I121" t="s">
        <v>109</v>
      </c>
    </row>
    <row r="122" spans="1:9" x14ac:dyDescent="0.2">
      <c r="A122" t="s">
        <v>43</v>
      </c>
      <c r="B122">
        <v>30</v>
      </c>
      <c r="C122">
        <v>1</v>
      </c>
      <c r="D122">
        <v>0</v>
      </c>
      <c r="E122">
        <v>0</v>
      </c>
      <c r="F122" s="71">
        <v>41922</v>
      </c>
      <c r="G122" t="s">
        <v>180</v>
      </c>
      <c r="H122" s="71">
        <v>41948</v>
      </c>
      <c r="I122" t="s">
        <v>339</v>
      </c>
    </row>
    <row r="123" spans="1:9" x14ac:dyDescent="0.2">
      <c r="A123" t="s">
        <v>221</v>
      </c>
      <c r="B123">
        <v>8</v>
      </c>
      <c r="C123">
        <v>0</v>
      </c>
      <c r="D123">
        <v>1</v>
      </c>
      <c r="E123">
        <v>0</v>
      </c>
      <c r="F123" s="71">
        <v>41922</v>
      </c>
      <c r="G123" t="s">
        <v>180</v>
      </c>
      <c r="H123" s="71">
        <v>41948</v>
      </c>
      <c r="I123" t="s">
        <v>50</v>
      </c>
    </row>
    <row r="124" spans="1:9" x14ac:dyDescent="0.2">
      <c r="A124" t="s">
        <v>325</v>
      </c>
      <c r="B124">
        <v>59.73</v>
      </c>
      <c r="C124">
        <v>0</v>
      </c>
      <c r="D124">
        <v>1</v>
      </c>
      <c r="E124">
        <v>0</v>
      </c>
      <c r="F124" s="71">
        <v>41922</v>
      </c>
      <c r="G124" t="s">
        <v>180</v>
      </c>
      <c r="H124" s="71">
        <v>41948</v>
      </c>
      <c r="I124" t="s">
        <v>203</v>
      </c>
    </row>
    <row r="125" spans="1:9" x14ac:dyDescent="0.2">
      <c r="A125" s="1" t="s">
        <v>381</v>
      </c>
      <c r="B125">
        <v>16.73</v>
      </c>
      <c r="C125">
        <v>0</v>
      </c>
      <c r="D125">
        <v>1</v>
      </c>
      <c r="E125">
        <v>0</v>
      </c>
      <c r="F125" s="71">
        <v>41922</v>
      </c>
      <c r="G125" t="s">
        <v>180</v>
      </c>
      <c r="H125" s="71">
        <v>41949</v>
      </c>
      <c r="I125" t="s">
        <v>190</v>
      </c>
    </row>
    <row r="126" spans="1:9" x14ac:dyDescent="0.2">
      <c r="A126" t="s">
        <v>96</v>
      </c>
      <c r="B126">
        <v>24.9</v>
      </c>
      <c r="C126">
        <v>0</v>
      </c>
      <c r="D126">
        <v>1</v>
      </c>
      <c r="E126">
        <v>0</v>
      </c>
      <c r="F126" s="71">
        <v>41922</v>
      </c>
      <c r="G126" t="s">
        <v>180</v>
      </c>
      <c r="H126" s="71">
        <v>41949</v>
      </c>
      <c r="I126" t="s">
        <v>50</v>
      </c>
    </row>
    <row r="127" spans="1:9" x14ac:dyDescent="0.2">
      <c r="A127" t="s">
        <v>221</v>
      </c>
      <c r="B127">
        <v>9.9</v>
      </c>
      <c r="C127">
        <v>0</v>
      </c>
      <c r="D127">
        <v>1</v>
      </c>
      <c r="E127">
        <v>0</v>
      </c>
      <c r="F127" s="71">
        <v>41922</v>
      </c>
      <c r="G127" t="s">
        <v>180</v>
      </c>
      <c r="H127" s="71">
        <v>41949</v>
      </c>
      <c r="I127" t="s">
        <v>50</v>
      </c>
    </row>
    <row r="128" spans="1:9" x14ac:dyDescent="0.2">
      <c r="A128" t="s">
        <v>44</v>
      </c>
      <c r="B128">
        <v>100</v>
      </c>
      <c r="C128">
        <v>1</v>
      </c>
      <c r="D128">
        <v>0</v>
      </c>
      <c r="E128">
        <v>0</v>
      </c>
      <c r="F128" s="71">
        <v>41922</v>
      </c>
      <c r="G128" t="s">
        <v>180</v>
      </c>
      <c r="H128" s="71">
        <v>41950</v>
      </c>
      <c r="I128" t="s">
        <v>60</v>
      </c>
    </row>
    <row r="129" spans="1:9" x14ac:dyDescent="0.2">
      <c r="A129" t="s">
        <v>96</v>
      </c>
      <c r="B129">
        <v>24.7</v>
      </c>
      <c r="C129">
        <v>0</v>
      </c>
      <c r="D129">
        <v>1</v>
      </c>
      <c r="E129">
        <v>0</v>
      </c>
      <c r="F129" s="71">
        <v>41922</v>
      </c>
      <c r="G129" t="s">
        <v>180</v>
      </c>
      <c r="H129" s="71">
        <v>41950</v>
      </c>
      <c r="I129" t="s">
        <v>50</v>
      </c>
    </row>
    <row r="130" spans="1:9" x14ac:dyDescent="0.2">
      <c r="A130" t="s">
        <v>204</v>
      </c>
      <c r="B130">
        <v>20</v>
      </c>
      <c r="C130">
        <v>0</v>
      </c>
      <c r="D130">
        <v>1</v>
      </c>
      <c r="E130">
        <v>0</v>
      </c>
      <c r="F130" s="71">
        <v>41922</v>
      </c>
      <c r="G130" t="s">
        <v>180</v>
      </c>
      <c r="H130" s="71">
        <v>41950</v>
      </c>
      <c r="I130" t="s">
        <v>204</v>
      </c>
    </row>
    <row r="131" spans="1:9" x14ac:dyDescent="0.2">
      <c r="A131" t="s">
        <v>323</v>
      </c>
      <c r="B131">
        <v>34.75</v>
      </c>
      <c r="C131">
        <v>0</v>
      </c>
      <c r="D131">
        <v>1</v>
      </c>
      <c r="E131">
        <v>0</v>
      </c>
      <c r="F131" s="71">
        <v>41922</v>
      </c>
      <c r="G131" t="s">
        <v>180</v>
      </c>
      <c r="H131" s="71">
        <v>41951</v>
      </c>
      <c r="I131" t="s">
        <v>50</v>
      </c>
    </row>
    <row r="132" spans="1:9" x14ac:dyDescent="0.2">
      <c r="A132" s="100" t="s">
        <v>1037</v>
      </c>
      <c r="B132" s="101">
        <v>46.15</v>
      </c>
      <c r="C132" s="100">
        <v>1</v>
      </c>
      <c r="D132" s="100">
        <v>0</v>
      </c>
      <c r="E132" s="100">
        <v>0</v>
      </c>
      <c r="F132" s="85">
        <v>41922</v>
      </c>
      <c r="G132" s="100" t="s">
        <v>47</v>
      </c>
      <c r="H132" s="85">
        <v>41922</v>
      </c>
      <c r="I132" s="100" t="s">
        <v>1045</v>
      </c>
    </row>
    <row r="133" spans="1:9" x14ac:dyDescent="0.2">
      <c r="A133" s="100" t="s">
        <v>1038</v>
      </c>
      <c r="B133" s="101">
        <v>213</v>
      </c>
      <c r="C133" s="100">
        <v>1</v>
      </c>
      <c r="D133" s="100">
        <v>0</v>
      </c>
      <c r="E133" s="100">
        <v>0</v>
      </c>
      <c r="F133" s="85">
        <v>41922</v>
      </c>
      <c r="G133" s="100" t="s">
        <v>47</v>
      </c>
      <c r="H133" s="85">
        <v>41922</v>
      </c>
      <c r="I133" s="100" t="s">
        <v>1045</v>
      </c>
    </row>
    <row r="134" spans="1:9" x14ac:dyDescent="0.2">
      <c r="A134" s="100" t="s">
        <v>1039</v>
      </c>
      <c r="B134" s="101">
        <v>106.5</v>
      </c>
      <c r="C134" s="100">
        <v>1</v>
      </c>
      <c r="D134" s="100">
        <v>0</v>
      </c>
      <c r="E134" s="100">
        <v>0</v>
      </c>
      <c r="F134" s="85">
        <v>41922</v>
      </c>
      <c r="G134" s="100" t="s">
        <v>47</v>
      </c>
      <c r="H134" s="85">
        <v>41922</v>
      </c>
      <c r="I134" s="100" t="s">
        <v>1045</v>
      </c>
    </row>
    <row r="135" spans="1:9" x14ac:dyDescent="0.2">
      <c r="A135" s="100" t="s">
        <v>1040</v>
      </c>
      <c r="B135" s="101">
        <v>71</v>
      </c>
      <c r="C135" s="100">
        <v>1</v>
      </c>
      <c r="D135" s="100">
        <v>0</v>
      </c>
      <c r="E135" s="100">
        <v>0</v>
      </c>
      <c r="F135" s="85">
        <v>41922</v>
      </c>
      <c r="G135" s="100" t="s">
        <v>47</v>
      </c>
      <c r="H135" s="85">
        <v>41922</v>
      </c>
      <c r="I135" s="100" t="s">
        <v>1045</v>
      </c>
    </row>
    <row r="136" spans="1:9" x14ac:dyDescent="0.2">
      <c r="A136" s="105" t="s">
        <v>43</v>
      </c>
      <c r="B136" s="105">
        <v>60</v>
      </c>
      <c r="C136" s="105">
        <v>1</v>
      </c>
      <c r="D136" s="105">
        <v>0</v>
      </c>
      <c r="E136" s="105">
        <v>0</v>
      </c>
      <c r="F136" s="107">
        <v>41953</v>
      </c>
      <c r="G136" s="105" t="s">
        <v>49</v>
      </c>
      <c r="H136" s="107">
        <v>41952</v>
      </c>
      <c r="I136" s="105" t="s">
        <v>339</v>
      </c>
    </row>
    <row r="137" spans="1:9" x14ac:dyDescent="0.2">
      <c r="A137" s="105" t="s">
        <v>52</v>
      </c>
      <c r="B137" s="105">
        <v>224.11</v>
      </c>
      <c r="C137" s="105">
        <v>0</v>
      </c>
      <c r="D137" s="105">
        <v>1</v>
      </c>
      <c r="E137" s="105">
        <v>0</v>
      </c>
      <c r="F137" s="107">
        <v>41953</v>
      </c>
      <c r="G137" s="105" t="s">
        <v>49</v>
      </c>
      <c r="H137" s="107">
        <v>41952</v>
      </c>
      <c r="I137" s="105" t="s">
        <v>52</v>
      </c>
    </row>
    <row r="138" spans="1:9" x14ac:dyDescent="0.2">
      <c r="A138" s="105" t="s">
        <v>48</v>
      </c>
      <c r="B138" s="105">
        <v>50</v>
      </c>
      <c r="C138" s="105">
        <v>0</v>
      </c>
      <c r="D138" s="105">
        <v>1</v>
      </c>
      <c r="E138" s="105">
        <v>0</v>
      </c>
      <c r="F138" s="107">
        <v>41953</v>
      </c>
      <c r="G138" s="105" t="s">
        <v>49</v>
      </c>
      <c r="H138" s="107">
        <v>41952</v>
      </c>
      <c r="I138" s="105" t="s">
        <v>48</v>
      </c>
    </row>
    <row r="139" spans="1:9" x14ac:dyDescent="0.2">
      <c r="A139" s="108" t="s">
        <v>381</v>
      </c>
      <c r="B139" s="105">
        <v>20.8</v>
      </c>
      <c r="C139" s="105">
        <v>0</v>
      </c>
      <c r="D139" s="105">
        <v>1</v>
      </c>
      <c r="E139" s="105">
        <v>0</v>
      </c>
      <c r="F139" s="107">
        <v>41953</v>
      </c>
      <c r="G139" s="105" t="s">
        <v>49</v>
      </c>
      <c r="H139" s="107">
        <v>41952</v>
      </c>
      <c r="I139" s="105" t="s">
        <v>190</v>
      </c>
    </row>
    <row r="140" spans="1:9" x14ac:dyDescent="0.2">
      <c r="A140" s="105" t="s">
        <v>116</v>
      </c>
      <c r="B140" s="105">
        <v>20</v>
      </c>
      <c r="C140" s="105">
        <v>0</v>
      </c>
      <c r="D140" s="105">
        <v>1</v>
      </c>
      <c r="E140" s="105">
        <v>0</v>
      </c>
      <c r="F140" s="107">
        <v>41953</v>
      </c>
      <c r="G140" s="105" t="s">
        <v>49</v>
      </c>
      <c r="H140" s="107">
        <v>41952</v>
      </c>
      <c r="I140" s="105" t="s">
        <v>344</v>
      </c>
    </row>
    <row r="141" spans="1:9" x14ac:dyDescent="0.2">
      <c r="A141" s="105" t="s">
        <v>40</v>
      </c>
      <c r="B141" s="105">
        <v>4.99</v>
      </c>
      <c r="C141" s="105">
        <v>1</v>
      </c>
      <c r="D141" s="105">
        <v>0</v>
      </c>
      <c r="E141" s="105">
        <v>0</v>
      </c>
      <c r="F141" s="107">
        <v>41953</v>
      </c>
      <c r="G141" s="105" t="s">
        <v>47</v>
      </c>
      <c r="H141" s="107">
        <v>41953</v>
      </c>
      <c r="I141" s="105" t="s">
        <v>345</v>
      </c>
    </row>
    <row r="142" spans="1:9" x14ac:dyDescent="0.2">
      <c r="A142" s="105" t="s">
        <v>2</v>
      </c>
      <c r="B142" s="105">
        <v>50</v>
      </c>
      <c r="C142" s="105">
        <v>1</v>
      </c>
      <c r="D142" s="105">
        <v>0</v>
      </c>
      <c r="E142" s="105">
        <v>0</v>
      </c>
      <c r="F142" s="107">
        <v>41953</v>
      </c>
      <c r="G142" s="105" t="s">
        <v>47</v>
      </c>
      <c r="H142" s="107">
        <v>41953</v>
      </c>
      <c r="I142" s="105" t="s">
        <v>349</v>
      </c>
    </row>
    <row r="143" spans="1:9" x14ac:dyDescent="0.2">
      <c r="A143" s="105" t="s">
        <v>38</v>
      </c>
      <c r="B143" s="105">
        <v>51.9</v>
      </c>
      <c r="C143" s="105">
        <v>1</v>
      </c>
      <c r="D143" s="105">
        <v>0</v>
      </c>
      <c r="E143" s="105">
        <v>0</v>
      </c>
      <c r="F143" s="107">
        <v>41953</v>
      </c>
      <c r="G143" s="105" t="s">
        <v>47</v>
      </c>
      <c r="H143" s="107">
        <v>41953</v>
      </c>
      <c r="I143" s="105" t="s">
        <v>345</v>
      </c>
    </row>
    <row r="144" spans="1:9" x14ac:dyDescent="0.2">
      <c r="A144" s="105" t="s">
        <v>982</v>
      </c>
      <c r="B144" s="105">
        <v>40.78</v>
      </c>
      <c r="C144" s="105">
        <v>1</v>
      </c>
      <c r="D144" s="105">
        <v>0</v>
      </c>
      <c r="E144" s="105">
        <v>0</v>
      </c>
      <c r="F144" s="107">
        <v>41953</v>
      </c>
      <c r="G144" s="105" t="s">
        <v>47</v>
      </c>
      <c r="H144" s="107">
        <v>41953</v>
      </c>
      <c r="I144" s="105" t="s">
        <v>345</v>
      </c>
    </row>
    <row r="145" spans="1:9" x14ac:dyDescent="0.2">
      <c r="A145" s="105" t="s">
        <v>0</v>
      </c>
      <c r="B145" s="105">
        <v>362.25</v>
      </c>
      <c r="C145" s="105">
        <v>1</v>
      </c>
      <c r="D145" s="105">
        <v>0</v>
      </c>
      <c r="E145" s="105">
        <v>0</v>
      </c>
      <c r="F145" s="107">
        <v>41953</v>
      </c>
      <c r="G145" s="105" t="s">
        <v>47</v>
      </c>
      <c r="H145" s="107">
        <v>41953</v>
      </c>
      <c r="I145" s="105" t="s">
        <v>346</v>
      </c>
    </row>
    <row r="146" spans="1:9" x14ac:dyDescent="0.2">
      <c r="A146" s="105" t="s">
        <v>3</v>
      </c>
      <c r="B146" s="105">
        <v>61.38</v>
      </c>
      <c r="C146" s="105">
        <v>1</v>
      </c>
      <c r="D146" s="105">
        <v>0</v>
      </c>
      <c r="E146" s="105">
        <v>0</v>
      </c>
      <c r="F146" s="107">
        <v>41953</v>
      </c>
      <c r="G146" s="105" t="s">
        <v>47</v>
      </c>
      <c r="H146" s="107">
        <v>41953</v>
      </c>
      <c r="I146" s="105" t="s">
        <v>346</v>
      </c>
    </row>
    <row r="147" spans="1:9" x14ac:dyDescent="0.2">
      <c r="A147" s="105" t="s">
        <v>1</v>
      </c>
      <c r="B147" s="105">
        <v>421.12</v>
      </c>
      <c r="C147" s="105">
        <v>1</v>
      </c>
      <c r="D147" s="105">
        <v>0</v>
      </c>
      <c r="E147" s="105">
        <v>0</v>
      </c>
      <c r="F147" s="107">
        <v>41953</v>
      </c>
      <c r="G147" s="105" t="s">
        <v>47</v>
      </c>
      <c r="H147" s="107">
        <v>41953</v>
      </c>
      <c r="I147" s="105" t="s">
        <v>346</v>
      </c>
    </row>
    <row r="148" spans="1:9" x14ac:dyDescent="0.2">
      <c r="A148" s="105" t="s">
        <v>156</v>
      </c>
      <c r="B148" s="105">
        <v>450</v>
      </c>
      <c r="C148" s="105">
        <v>1</v>
      </c>
      <c r="D148" s="105">
        <v>0</v>
      </c>
      <c r="E148" s="105">
        <v>0</v>
      </c>
      <c r="F148" s="107">
        <v>41953</v>
      </c>
      <c r="G148" s="105" t="s">
        <v>47</v>
      </c>
      <c r="H148" s="107">
        <v>41953</v>
      </c>
      <c r="I148" s="105" t="s">
        <v>346</v>
      </c>
    </row>
    <row r="149" spans="1:9" x14ac:dyDescent="0.2">
      <c r="A149" s="105" t="s">
        <v>26</v>
      </c>
      <c r="B149" s="105">
        <v>501.76</v>
      </c>
      <c r="C149" s="105">
        <v>1</v>
      </c>
      <c r="D149" s="105">
        <v>0</v>
      </c>
      <c r="E149" s="105">
        <v>0</v>
      </c>
      <c r="F149" s="107">
        <v>41953</v>
      </c>
      <c r="G149" s="105" t="s">
        <v>47</v>
      </c>
      <c r="H149" s="107">
        <v>41953</v>
      </c>
      <c r="I149" s="105" t="s">
        <v>345</v>
      </c>
    </row>
    <row r="150" spans="1:9" x14ac:dyDescent="0.2">
      <c r="A150" s="105" t="s">
        <v>28</v>
      </c>
      <c r="B150" s="105">
        <v>38.5</v>
      </c>
      <c r="C150" s="105">
        <v>1</v>
      </c>
      <c r="D150" s="105">
        <v>0</v>
      </c>
      <c r="E150" s="105">
        <v>0</v>
      </c>
      <c r="F150" s="107">
        <v>41953</v>
      </c>
      <c r="G150" s="105" t="s">
        <v>47</v>
      </c>
      <c r="H150" s="107">
        <v>41953</v>
      </c>
      <c r="I150" s="105" t="s">
        <v>345</v>
      </c>
    </row>
    <row r="151" spans="1:9" x14ac:dyDescent="0.2">
      <c r="A151" s="105" t="s">
        <v>27</v>
      </c>
      <c r="B151" s="105">
        <v>282.25</v>
      </c>
      <c r="C151" s="105">
        <v>1</v>
      </c>
      <c r="D151" s="105">
        <v>0</v>
      </c>
      <c r="E151" s="105">
        <v>0</v>
      </c>
      <c r="F151" s="107">
        <v>41953</v>
      </c>
      <c r="G151" s="105" t="s">
        <v>47</v>
      </c>
      <c r="H151" s="107">
        <v>41953</v>
      </c>
      <c r="I151" s="105" t="s">
        <v>345</v>
      </c>
    </row>
    <row r="152" spans="1:9" x14ac:dyDescent="0.2">
      <c r="A152" s="105" t="s">
        <v>12</v>
      </c>
      <c r="B152" s="105">
        <v>536.46</v>
      </c>
      <c r="C152" s="105">
        <v>1</v>
      </c>
      <c r="D152" s="105">
        <v>0</v>
      </c>
      <c r="E152" s="105">
        <v>0</v>
      </c>
      <c r="F152" s="107">
        <v>41953</v>
      </c>
      <c r="G152" s="105" t="s">
        <v>47</v>
      </c>
      <c r="H152" s="107">
        <v>41953</v>
      </c>
      <c r="I152" s="105" t="s">
        <v>348</v>
      </c>
    </row>
    <row r="153" spans="1:9" x14ac:dyDescent="0.2">
      <c r="A153" s="105" t="s">
        <v>25</v>
      </c>
      <c r="B153" s="105">
        <v>120</v>
      </c>
      <c r="C153" s="105">
        <v>1</v>
      </c>
      <c r="D153" s="105">
        <v>0</v>
      </c>
      <c r="E153" s="105">
        <v>0</v>
      </c>
      <c r="F153" s="107">
        <v>41953</v>
      </c>
      <c r="G153" s="105" t="s">
        <v>47</v>
      </c>
      <c r="H153" s="107">
        <v>41953</v>
      </c>
      <c r="I153" s="105" t="s">
        <v>25</v>
      </c>
    </row>
    <row r="154" spans="1:9" x14ac:dyDescent="0.2">
      <c r="A154" s="105" t="s">
        <v>201</v>
      </c>
      <c r="B154" s="105">
        <v>100</v>
      </c>
      <c r="C154" s="105">
        <v>0</v>
      </c>
      <c r="D154" s="105">
        <v>1</v>
      </c>
      <c r="E154" s="105">
        <v>0</v>
      </c>
      <c r="F154" s="107">
        <v>41953</v>
      </c>
      <c r="G154" s="105" t="s">
        <v>47</v>
      </c>
      <c r="H154" s="107">
        <v>41953</v>
      </c>
      <c r="I154" s="105" t="s">
        <v>338</v>
      </c>
    </row>
    <row r="155" spans="1:9" x14ac:dyDescent="0.2">
      <c r="A155" s="105" t="s">
        <v>96</v>
      </c>
      <c r="B155" s="105">
        <v>19.899999999999999</v>
      </c>
      <c r="C155" s="105">
        <v>0</v>
      </c>
      <c r="D155" s="105">
        <v>1</v>
      </c>
      <c r="E155" s="105">
        <v>0</v>
      </c>
      <c r="F155" s="107">
        <v>41953</v>
      </c>
      <c r="G155" s="105" t="s">
        <v>47</v>
      </c>
      <c r="H155" s="107">
        <v>41956</v>
      </c>
      <c r="I155" s="105" t="s">
        <v>50</v>
      </c>
    </row>
    <row r="156" spans="1:9" x14ac:dyDescent="0.2">
      <c r="A156" s="105" t="s">
        <v>221</v>
      </c>
      <c r="B156" s="105">
        <v>15.95</v>
      </c>
      <c r="C156" s="105">
        <v>0</v>
      </c>
      <c r="D156" s="105">
        <v>1</v>
      </c>
      <c r="E156" s="105">
        <v>0</v>
      </c>
      <c r="F156" s="107">
        <v>41953</v>
      </c>
      <c r="G156" s="105" t="s">
        <v>47</v>
      </c>
      <c r="H156" s="107">
        <v>41956</v>
      </c>
      <c r="I156" s="105" t="s">
        <v>50</v>
      </c>
    </row>
    <row r="157" spans="1:9" x14ac:dyDescent="0.2">
      <c r="A157" s="108" t="s">
        <v>381</v>
      </c>
      <c r="B157" s="105">
        <v>2.91</v>
      </c>
      <c r="C157" s="105">
        <v>0</v>
      </c>
      <c r="D157" s="105">
        <v>1</v>
      </c>
      <c r="E157" s="105">
        <v>0</v>
      </c>
      <c r="F157" s="107">
        <v>41953</v>
      </c>
      <c r="G157" s="105" t="s">
        <v>47</v>
      </c>
      <c r="H157" s="107">
        <v>41956</v>
      </c>
      <c r="I157" s="105" t="s">
        <v>190</v>
      </c>
    </row>
    <row r="158" spans="1:9" x14ac:dyDescent="0.2">
      <c r="A158" s="105" t="s">
        <v>96</v>
      </c>
      <c r="B158" s="105">
        <v>22</v>
      </c>
      <c r="C158" s="105">
        <v>0</v>
      </c>
      <c r="D158" s="105">
        <v>1</v>
      </c>
      <c r="E158" s="105">
        <v>0</v>
      </c>
      <c r="F158" s="107">
        <v>41953</v>
      </c>
      <c r="G158" s="105" t="s">
        <v>47</v>
      </c>
      <c r="H158" s="107">
        <v>41957</v>
      </c>
      <c r="I158" s="105" t="s">
        <v>50</v>
      </c>
    </row>
    <row r="159" spans="1:9" x14ac:dyDescent="0.2">
      <c r="A159" s="108" t="s">
        <v>381</v>
      </c>
      <c r="B159" s="105">
        <v>3</v>
      </c>
      <c r="C159" s="105">
        <v>0</v>
      </c>
      <c r="D159" s="105">
        <v>1</v>
      </c>
      <c r="E159" s="105">
        <v>0</v>
      </c>
      <c r="F159" s="107">
        <v>41953</v>
      </c>
      <c r="G159" s="105" t="s">
        <v>47</v>
      </c>
      <c r="H159" s="107">
        <v>41957</v>
      </c>
      <c r="I159" s="105" t="s">
        <v>190</v>
      </c>
    </row>
    <row r="160" spans="1:9" x14ac:dyDescent="0.2">
      <c r="A160" s="108" t="s">
        <v>381</v>
      </c>
      <c r="B160" s="105">
        <v>5.99</v>
      </c>
      <c r="C160" s="105">
        <v>0</v>
      </c>
      <c r="D160" s="105">
        <v>1</v>
      </c>
      <c r="E160" s="105">
        <v>0</v>
      </c>
      <c r="F160" s="107">
        <v>41953</v>
      </c>
      <c r="G160" s="105" t="s">
        <v>47</v>
      </c>
      <c r="H160" s="107">
        <v>41957</v>
      </c>
      <c r="I160" s="105" t="s">
        <v>190</v>
      </c>
    </row>
    <row r="161" spans="1:9" x14ac:dyDescent="0.2">
      <c r="A161" s="105" t="s">
        <v>96</v>
      </c>
      <c r="B161" s="105">
        <v>28.9</v>
      </c>
      <c r="C161" s="105">
        <v>0</v>
      </c>
      <c r="D161" s="105">
        <v>1</v>
      </c>
      <c r="E161" s="105">
        <v>0</v>
      </c>
      <c r="F161" s="107">
        <v>41953</v>
      </c>
      <c r="G161" s="105" t="s">
        <v>49</v>
      </c>
      <c r="H161" s="107">
        <v>41958</v>
      </c>
      <c r="I161" s="105" t="s">
        <v>50</v>
      </c>
    </row>
    <row r="162" spans="1:9" x14ac:dyDescent="0.2">
      <c r="A162" s="105" t="s">
        <v>43</v>
      </c>
      <c r="B162" s="105">
        <v>30</v>
      </c>
      <c r="C162" s="105">
        <v>1</v>
      </c>
      <c r="D162" s="105">
        <v>0</v>
      </c>
      <c r="E162" s="105">
        <v>0</v>
      </c>
      <c r="F162" s="107">
        <v>41953</v>
      </c>
      <c r="G162" s="105" t="s">
        <v>49</v>
      </c>
      <c r="H162" s="107">
        <v>41958</v>
      </c>
      <c r="I162" s="105" t="s">
        <v>339</v>
      </c>
    </row>
    <row r="163" spans="1:9" x14ac:dyDescent="0.2">
      <c r="A163" s="108" t="s">
        <v>381</v>
      </c>
      <c r="B163" s="105">
        <v>3.2</v>
      </c>
      <c r="C163" s="105">
        <v>0</v>
      </c>
      <c r="D163" s="105">
        <v>1</v>
      </c>
      <c r="E163" s="105">
        <v>0</v>
      </c>
      <c r="F163" s="107">
        <v>41953</v>
      </c>
      <c r="G163" s="105" t="s">
        <v>49</v>
      </c>
      <c r="H163" s="107">
        <v>41959</v>
      </c>
      <c r="I163" s="105" t="s">
        <v>190</v>
      </c>
    </row>
    <row r="164" spans="1:9" x14ac:dyDescent="0.2">
      <c r="A164" s="105" t="s">
        <v>52</v>
      </c>
      <c r="B164" s="105">
        <v>151.28</v>
      </c>
      <c r="C164" s="105">
        <v>0</v>
      </c>
      <c r="D164" s="105">
        <v>1</v>
      </c>
      <c r="E164" s="105">
        <v>0</v>
      </c>
      <c r="F164" s="107">
        <v>41953</v>
      </c>
      <c r="G164" s="105" t="s">
        <v>49</v>
      </c>
      <c r="H164" s="107">
        <v>41959</v>
      </c>
      <c r="I164" s="105" t="s">
        <v>52</v>
      </c>
    </row>
    <row r="165" spans="1:9" x14ac:dyDescent="0.2">
      <c r="A165" s="105" t="s">
        <v>107</v>
      </c>
      <c r="B165" s="105">
        <v>12.46</v>
      </c>
      <c r="C165" s="105">
        <v>0</v>
      </c>
      <c r="D165" s="105">
        <v>1</v>
      </c>
      <c r="E165" s="105">
        <v>0</v>
      </c>
      <c r="F165" s="107">
        <v>41953</v>
      </c>
      <c r="G165" s="105" t="s">
        <v>49</v>
      </c>
      <c r="H165" s="107">
        <v>41959</v>
      </c>
      <c r="I165" s="105" t="s">
        <v>343</v>
      </c>
    </row>
    <row r="166" spans="1:9" x14ac:dyDescent="0.2">
      <c r="A166" s="108" t="s">
        <v>381</v>
      </c>
      <c r="B166" s="105">
        <v>23.06</v>
      </c>
      <c r="C166" s="105">
        <v>0</v>
      </c>
      <c r="D166" s="105">
        <v>1</v>
      </c>
      <c r="E166" s="105">
        <v>0</v>
      </c>
      <c r="F166" s="107">
        <v>41953</v>
      </c>
      <c r="G166" s="105" t="s">
        <v>49</v>
      </c>
      <c r="H166" s="107">
        <v>41959</v>
      </c>
      <c r="I166" s="105" t="s">
        <v>190</v>
      </c>
    </row>
    <row r="167" spans="1:9" x14ac:dyDescent="0.2">
      <c r="A167" s="12" t="s">
        <v>21</v>
      </c>
      <c r="B167" s="12">
        <f>SUMIF(credito!F1:F9,F167,credito!B1:B9)</f>
        <v>0</v>
      </c>
      <c r="C167" s="12">
        <v>1</v>
      </c>
      <c r="D167" s="12">
        <v>0</v>
      </c>
      <c r="E167" s="12">
        <v>0</v>
      </c>
      <c r="F167" s="89">
        <v>41953</v>
      </c>
      <c r="G167" s="12" t="s">
        <v>51</v>
      </c>
      <c r="H167" s="89">
        <v>41960</v>
      </c>
      <c r="I167" s="12" t="s">
        <v>336</v>
      </c>
    </row>
    <row r="168" spans="1:9" x14ac:dyDescent="0.2">
      <c r="A168" s="105" t="s">
        <v>43</v>
      </c>
      <c r="B168" s="105">
        <v>10</v>
      </c>
      <c r="C168" s="105">
        <v>1</v>
      </c>
      <c r="D168" s="105">
        <v>0</v>
      </c>
      <c r="E168" s="105">
        <v>0</v>
      </c>
      <c r="F168" s="107">
        <v>41953</v>
      </c>
      <c r="G168" s="105" t="s">
        <v>51</v>
      </c>
      <c r="H168" s="107">
        <v>41960</v>
      </c>
      <c r="I168" s="105" t="s">
        <v>339</v>
      </c>
    </row>
    <row r="169" spans="1:9" x14ac:dyDescent="0.2">
      <c r="A169" s="108" t="s">
        <v>381</v>
      </c>
      <c r="B169" s="105">
        <v>13</v>
      </c>
      <c r="C169" s="105">
        <v>0</v>
      </c>
      <c r="D169" s="105">
        <v>1</v>
      </c>
      <c r="E169" s="105">
        <v>0</v>
      </c>
      <c r="F169" s="107">
        <v>41953</v>
      </c>
      <c r="G169" s="105" t="s">
        <v>51</v>
      </c>
      <c r="H169" s="107">
        <v>41960</v>
      </c>
      <c r="I169" s="105" t="s">
        <v>190</v>
      </c>
    </row>
    <row r="170" spans="1:9" x14ac:dyDescent="0.2">
      <c r="A170" s="105" t="s">
        <v>48</v>
      </c>
      <c r="B170" s="105">
        <v>20</v>
      </c>
      <c r="C170" s="105">
        <v>0</v>
      </c>
      <c r="D170" s="105">
        <v>1</v>
      </c>
      <c r="E170" s="105">
        <v>0</v>
      </c>
      <c r="F170" s="107">
        <v>41953</v>
      </c>
      <c r="G170" s="105" t="s">
        <v>51</v>
      </c>
      <c r="H170" s="107">
        <v>41960</v>
      </c>
      <c r="I170" s="105" t="s">
        <v>48</v>
      </c>
    </row>
    <row r="171" spans="1:9" x14ac:dyDescent="0.2">
      <c r="A171" s="105" t="s">
        <v>43</v>
      </c>
      <c r="B171" s="105">
        <v>30</v>
      </c>
      <c r="C171" s="105">
        <v>1</v>
      </c>
      <c r="D171" s="105">
        <v>0</v>
      </c>
      <c r="E171" s="105">
        <v>0</v>
      </c>
      <c r="F171" s="107">
        <v>41953</v>
      </c>
      <c r="G171" s="105" t="s">
        <v>51</v>
      </c>
      <c r="H171" s="107">
        <v>41962</v>
      </c>
      <c r="I171" s="105" t="s">
        <v>339</v>
      </c>
    </row>
    <row r="172" spans="1:9" x14ac:dyDescent="0.2">
      <c r="A172" s="108" t="s">
        <v>381</v>
      </c>
      <c r="B172" s="105">
        <v>29.59</v>
      </c>
      <c r="C172" s="105">
        <v>0</v>
      </c>
      <c r="D172" s="105">
        <v>1</v>
      </c>
      <c r="E172" s="105">
        <v>0</v>
      </c>
      <c r="F172" s="107">
        <v>41953</v>
      </c>
      <c r="G172" s="105" t="s">
        <v>51</v>
      </c>
      <c r="H172" s="107">
        <v>41962</v>
      </c>
      <c r="I172" s="105" t="s">
        <v>190</v>
      </c>
    </row>
    <row r="173" spans="1:9" x14ac:dyDescent="0.2">
      <c r="A173" s="105" t="s">
        <v>96</v>
      </c>
      <c r="B173" s="105">
        <v>28.9</v>
      </c>
      <c r="C173" s="105">
        <v>0</v>
      </c>
      <c r="D173" s="105">
        <v>1</v>
      </c>
      <c r="E173" s="105">
        <v>0</v>
      </c>
      <c r="F173" s="107">
        <v>41953</v>
      </c>
      <c r="G173" s="105" t="s">
        <v>51</v>
      </c>
      <c r="H173" s="107">
        <v>41962</v>
      </c>
      <c r="I173" s="105" t="s">
        <v>50</v>
      </c>
    </row>
    <row r="174" spans="1:9" x14ac:dyDescent="0.2">
      <c r="A174" s="105" t="s">
        <v>52</v>
      </c>
      <c r="B174" s="105">
        <v>36.450000000000003</v>
      </c>
      <c r="C174" s="105">
        <v>0</v>
      </c>
      <c r="D174" s="105">
        <v>1</v>
      </c>
      <c r="E174" s="105">
        <v>0</v>
      </c>
      <c r="F174" s="107">
        <v>41953</v>
      </c>
      <c r="G174" s="105" t="s">
        <v>51</v>
      </c>
      <c r="H174" s="107">
        <v>41963</v>
      </c>
      <c r="I174" s="105" t="s">
        <v>52</v>
      </c>
    </row>
    <row r="175" spans="1:9" x14ac:dyDescent="0.2">
      <c r="A175" s="105" t="s">
        <v>52</v>
      </c>
      <c r="B175" s="105">
        <v>7</v>
      </c>
      <c r="C175" s="105">
        <v>0</v>
      </c>
      <c r="D175" s="105">
        <v>1</v>
      </c>
      <c r="E175" s="105">
        <v>0</v>
      </c>
      <c r="F175" s="107">
        <v>41953</v>
      </c>
      <c r="G175" s="105" t="s">
        <v>51</v>
      </c>
      <c r="H175" s="107">
        <v>41963</v>
      </c>
      <c r="I175" s="105" t="s">
        <v>52</v>
      </c>
    </row>
    <row r="176" spans="1:9" x14ac:dyDescent="0.2">
      <c r="A176" s="105" t="s">
        <v>52</v>
      </c>
      <c r="B176" s="105">
        <v>3.5</v>
      </c>
      <c r="C176" s="105">
        <v>0</v>
      </c>
      <c r="D176" s="105">
        <v>1</v>
      </c>
      <c r="E176" s="105">
        <v>0</v>
      </c>
      <c r="F176" s="107">
        <v>41953</v>
      </c>
      <c r="G176" s="105" t="s">
        <v>51</v>
      </c>
      <c r="H176" s="107">
        <v>41963</v>
      </c>
      <c r="I176" s="105" t="s">
        <v>52</v>
      </c>
    </row>
    <row r="177" spans="1:9" x14ac:dyDescent="0.2">
      <c r="A177" s="105" t="s">
        <v>209</v>
      </c>
      <c r="B177" s="105">
        <v>18</v>
      </c>
      <c r="C177" s="105">
        <v>0</v>
      </c>
      <c r="D177" s="105">
        <v>1</v>
      </c>
      <c r="E177" s="105">
        <v>0</v>
      </c>
      <c r="F177" s="107">
        <v>41953</v>
      </c>
      <c r="G177" s="105" t="s">
        <v>51</v>
      </c>
      <c r="H177" s="107">
        <v>41963</v>
      </c>
      <c r="I177" s="105" t="s">
        <v>52</v>
      </c>
    </row>
    <row r="178" spans="1:9" x14ac:dyDescent="0.2">
      <c r="A178" s="108" t="s">
        <v>381</v>
      </c>
      <c r="B178" s="105">
        <v>6.98</v>
      </c>
      <c r="C178" s="105">
        <v>0</v>
      </c>
      <c r="D178" s="105">
        <v>1</v>
      </c>
      <c r="E178" s="105">
        <v>0</v>
      </c>
      <c r="F178" s="107">
        <v>41953</v>
      </c>
      <c r="G178" s="105" t="s">
        <v>51</v>
      </c>
      <c r="H178" s="107">
        <v>41964</v>
      </c>
      <c r="I178" s="105" t="s">
        <v>190</v>
      </c>
    </row>
    <row r="179" spans="1:9" x14ac:dyDescent="0.2">
      <c r="A179" s="105" t="s">
        <v>323</v>
      </c>
      <c r="B179" s="105">
        <v>6</v>
      </c>
      <c r="C179" s="105">
        <v>0</v>
      </c>
      <c r="D179" s="105">
        <v>1</v>
      </c>
      <c r="E179" s="105">
        <v>0</v>
      </c>
      <c r="F179" s="107">
        <v>41953</v>
      </c>
      <c r="G179" s="105" t="s">
        <v>51</v>
      </c>
      <c r="H179" s="107">
        <v>41964</v>
      </c>
      <c r="I179" s="105" t="s">
        <v>50</v>
      </c>
    </row>
    <row r="180" spans="1:9" x14ac:dyDescent="0.2">
      <c r="A180" s="105" t="s">
        <v>323</v>
      </c>
      <c r="B180" s="105">
        <v>14.14</v>
      </c>
      <c r="C180" s="105">
        <v>0</v>
      </c>
      <c r="D180" s="105">
        <v>1</v>
      </c>
      <c r="E180" s="105">
        <v>0</v>
      </c>
      <c r="F180" s="107">
        <v>41953</v>
      </c>
      <c r="G180" s="105" t="s">
        <v>51</v>
      </c>
      <c r="H180" s="107">
        <v>41964</v>
      </c>
      <c r="I180" s="105" t="s">
        <v>50</v>
      </c>
    </row>
    <row r="181" spans="1:9" x14ac:dyDescent="0.2">
      <c r="A181" s="105" t="s">
        <v>44</v>
      </c>
      <c r="B181" s="105">
        <v>50</v>
      </c>
      <c r="C181" s="105">
        <v>1</v>
      </c>
      <c r="D181" s="105">
        <v>0</v>
      </c>
      <c r="E181" s="105">
        <v>0</v>
      </c>
      <c r="F181" s="107">
        <v>41953</v>
      </c>
      <c r="G181" s="105" t="s">
        <v>51</v>
      </c>
      <c r="H181" s="107">
        <v>41964</v>
      </c>
      <c r="I181" s="105" t="s">
        <v>60</v>
      </c>
    </row>
    <row r="182" spans="1:9" x14ac:dyDescent="0.2">
      <c r="A182" s="105" t="s">
        <v>326</v>
      </c>
      <c r="B182" s="105">
        <v>10</v>
      </c>
      <c r="C182" s="105">
        <v>0</v>
      </c>
      <c r="D182" s="105">
        <v>1</v>
      </c>
      <c r="E182" s="105">
        <v>0</v>
      </c>
      <c r="F182" s="107">
        <v>41953</v>
      </c>
      <c r="G182" s="105" t="s">
        <v>49</v>
      </c>
      <c r="H182" s="107">
        <v>41965</v>
      </c>
      <c r="I182" s="105" t="s">
        <v>153</v>
      </c>
    </row>
    <row r="183" spans="1:9" x14ac:dyDescent="0.2">
      <c r="A183" s="105" t="s">
        <v>48</v>
      </c>
      <c r="B183" s="105">
        <v>20</v>
      </c>
      <c r="C183" s="105">
        <v>0</v>
      </c>
      <c r="D183" s="105">
        <v>1</v>
      </c>
      <c r="E183" s="105">
        <v>0</v>
      </c>
      <c r="F183" s="107">
        <v>41953</v>
      </c>
      <c r="G183" s="105" t="s">
        <v>49</v>
      </c>
      <c r="H183" s="107">
        <v>41965</v>
      </c>
      <c r="I183" s="105" t="s">
        <v>48</v>
      </c>
    </row>
    <row r="184" spans="1:9" x14ac:dyDescent="0.2">
      <c r="A184" s="105" t="s">
        <v>52</v>
      </c>
      <c r="B184" s="105">
        <v>33.71</v>
      </c>
      <c r="C184" s="105">
        <v>0</v>
      </c>
      <c r="D184" s="105">
        <v>1</v>
      </c>
      <c r="E184" s="105">
        <v>0</v>
      </c>
      <c r="F184" s="107">
        <v>41953</v>
      </c>
      <c r="G184" s="105" t="s">
        <v>49</v>
      </c>
      <c r="H184" s="107">
        <v>41965</v>
      </c>
      <c r="I184" s="105" t="s">
        <v>52</v>
      </c>
    </row>
    <row r="185" spans="1:9" x14ac:dyDescent="0.2">
      <c r="A185" s="105" t="s">
        <v>43</v>
      </c>
      <c r="B185" s="105">
        <v>30</v>
      </c>
      <c r="C185" s="105">
        <v>1</v>
      </c>
      <c r="D185" s="105">
        <v>0</v>
      </c>
      <c r="E185" s="105">
        <v>0</v>
      </c>
      <c r="F185" s="107">
        <v>41953</v>
      </c>
      <c r="G185" s="105" t="s">
        <v>49</v>
      </c>
      <c r="H185" s="107">
        <v>41965</v>
      </c>
      <c r="I185" s="105" t="s">
        <v>339</v>
      </c>
    </row>
    <row r="186" spans="1:9" x14ac:dyDescent="0.2">
      <c r="A186" s="108" t="s">
        <v>372</v>
      </c>
      <c r="B186" s="105">
        <v>58.5</v>
      </c>
      <c r="C186" s="105">
        <v>0</v>
      </c>
      <c r="D186" s="105">
        <v>1</v>
      </c>
      <c r="E186" s="105">
        <v>0</v>
      </c>
      <c r="F186" s="107">
        <v>41953</v>
      </c>
      <c r="G186" s="105" t="s">
        <v>54</v>
      </c>
      <c r="H186" s="107">
        <v>41968</v>
      </c>
      <c r="I186" s="108" t="s">
        <v>343</v>
      </c>
    </row>
    <row r="187" spans="1:9" x14ac:dyDescent="0.2">
      <c r="A187" s="108" t="s">
        <v>373</v>
      </c>
      <c r="B187" s="105">
        <v>33.1</v>
      </c>
      <c r="C187" s="105">
        <v>0</v>
      </c>
      <c r="D187" s="105">
        <v>1</v>
      </c>
      <c r="E187" s="105">
        <v>0</v>
      </c>
      <c r="F187" s="107">
        <v>41953</v>
      </c>
      <c r="G187" s="105" t="s">
        <v>54</v>
      </c>
      <c r="H187" s="107">
        <v>41968</v>
      </c>
      <c r="I187" s="108" t="s">
        <v>343</v>
      </c>
    </row>
    <row r="188" spans="1:9" x14ac:dyDescent="0.2">
      <c r="A188" s="108" t="s">
        <v>381</v>
      </c>
      <c r="B188" s="105">
        <v>20</v>
      </c>
      <c r="C188" s="105">
        <v>0</v>
      </c>
      <c r="D188" s="105">
        <v>1</v>
      </c>
      <c r="E188" s="105">
        <v>0</v>
      </c>
      <c r="F188" s="107">
        <v>41953</v>
      </c>
      <c r="G188" s="105" t="s">
        <v>54</v>
      </c>
      <c r="H188" s="107">
        <v>41969</v>
      </c>
      <c r="I188" s="105" t="s">
        <v>190</v>
      </c>
    </row>
    <row r="189" spans="1:9" x14ac:dyDescent="0.2">
      <c r="A189" s="108" t="s">
        <v>381</v>
      </c>
      <c r="B189" s="105">
        <v>6.5</v>
      </c>
      <c r="C189" s="105">
        <v>0</v>
      </c>
      <c r="D189" s="105">
        <v>1</v>
      </c>
      <c r="E189" s="105">
        <v>0</v>
      </c>
      <c r="F189" s="107">
        <v>41953</v>
      </c>
      <c r="G189" s="105" t="s">
        <v>54</v>
      </c>
      <c r="H189" s="107">
        <v>41969</v>
      </c>
      <c r="I189" s="105" t="s">
        <v>190</v>
      </c>
    </row>
    <row r="190" spans="1:9" x14ac:dyDescent="0.2">
      <c r="A190" s="105" t="s">
        <v>44</v>
      </c>
      <c r="B190" s="105">
        <v>100</v>
      </c>
      <c r="C190" s="105">
        <v>1</v>
      </c>
      <c r="D190" s="105">
        <v>0</v>
      </c>
      <c r="E190" s="105">
        <v>0</v>
      </c>
      <c r="F190" s="107">
        <v>41953</v>
      </c>
      <c r="G190" s="105" t="s">
        <v>54</v>
      </c>
      <c r="H190" s="107">
        <v>41969</v>
      </c>
      <c r="I190" s="105" t="s">
        <v>60</v>
      </c>
    </row>
    <row r="191" spans="1:9" x14ac:dyDescent="0.2">
      <c r="A191" s="105" t="s">
        <v>323</v>
      </c>
      <c r="B191" s="105">
        <v>8.8000000000000007</v>
      </c>
      <c r="C191" s="105">
        <v>0</v>
      </c>
      <c r="D191" s="105">
        <v>1</v>
      </c>
      <c r="E191" s="105">
        <v>0</v>
      </c>
      <c r="F191" s="107">
        <v>41953</v>
      </c>
      <c r="G191" s="105" t="s">
        <v>54</v>
      </c>
      <c r="H191" s="107">
        <v>41970</v>
      </c>
      <c r="I191" s="105" t="s">
        <v>50</v>
      </c>
    </row>
    <row r="192" spans="1:9" x14ac:dyDescent="0.2">
      <c r="A192" s="105" t="s">
        <v>96</v>
      </c>
      <c r="B192" s="105">
        <v>31</v>
      </c>
      <c r="C192" s="105">
        <v>0</v>
      </c>
      <c r="D192" s="105">
        <v>1</v>
      </c>
      <c r="E192" s="105">
        <v>0</v>
      </c>
      <c r="F192" s="107">
        <v>41953</v>
      </c>
      <c r="G192" s="105" t="s">
        <v>54</v>
      </c>
      <c r="H192" s="107">
        <v>41970</v>
      </c>
      <c r="I192" s="105" t="s">
        <v>50</v>
      </c>
    </row>
    <row r="193" spans="1:9" x14ac:dyDescent="0.2">
      <c r="A193" s="105" t="s">
        <v>48</v>
      </c>
      <c r="B193" s="105">
        <v>20</v>
      </c>
      <c r="C193" s="105">
        <v>0</v>
      </c>
      <c r="D193" s="105">
        <v>1</v>
      </c>
      <c r="E193" s="105">
        <v>0</v>
      </c>
      <c r="F193" s="107">
        <v>41953</v>
      </c>
      <c r="G193" s="105" t="s">
        <v>54</v>
      </c>
      <c r="H193" s="107">
        <v>41970</v>
      </c>
      <c r="I193" s="105" t="s">
        <v>48</v>
      </c>
    </row>
    <row r="194" spans="1:9" x14ac:dyDescent="0.2">
      <c r="A194" s="108" t="s">
        <v>371</v>
      </c>
      <c r="B194" s="105">
        <v>120</v>
      </c>
      <c r="C194" s="105">
        <v>0</v>
      </c>
      <c r="D194" s="105">
        <v>1</v>
      </c>
      <c r="E194" s="105">
        <v>0</v>
      </c>
      <c r="F194" s="107">
        <v>41953</v>
      </c>
      <c r="G194" s="105" t="s">
        <v>54</v>
      </c>
      <c r="H194" s="107">
        <v>41970</v>
      </c>
      <c r="I194" s="108" t="s">
        <v>344</v>
      </c>
    </row>
    <row r="195" spans="1:9" x14ac:dyDescent="0.2">
      <c r="A195" s="105" t="s">
        <v>325</v>
      </c>
      <c r="B195" s="105">
        <v>46.2</v>
      </c>
      <c r="C195" s="105">
        <v>0</v>
      </c>
      <c r="D195" s="105">
        <v>1</v>
      </c>
      <c r="E195" s="105">
        <v>0</v>
      </c>
      <c r="F195" s="107">
        <v>41953</v>
      </c>
      <c r="G195" s="105" t="s">
        <v>54</v>
      </c>
      <c r="H195" s="107">
        <v>41971</v>
      </c>
      <c r="I195" s="105" t="s">
        <v>203</v>
      </c>
    </row>
    <row r="196" spans="1:9" x14ac:dyDescent="0.2">
      <c r="A196" s="105" t="s">
        <v>330</v>
      </c>
      <c r="B196" s="105">
        <v>0</v>
      </c>
      <c r="C196" s="105">
        <v>0</v>
      </c>
      <c r="D196" s="105">
        <v>1</v>
      </c>
      <c r="E196" s="105">
        <v>0</v>
      </c>
      <c r="F196" s="107">
        <v>41953</v>
      </c>
      <c r="G196" s="105" t="s">
        <v>49</v>
      </c>
      <c r="H196" s="107">
        <v>41972</v>
      </c>
      <c r="I196" s="105" t="s">
        <v>343</v>
      </c>
    </row>
    <row r="197" spans="1:9" x14ac:dyDescent="0.2">
      <c r="A197" s="105" t="s">
        <v>335</v>
      </c>
      <c r="B197" s="105">
        <v>255</v>
      </c>
      <c r="C197" s="105">
        <v>0</v>
      </c>
      <c r="D197" s="105">
        <v>1</v>
      </c>
      <c r="E197" s="105">
        <v>0</v>
      </c>
      <c r="F197" s="107">
        <v>41953</v>
      </c>
      <c r="G197" s="105" t="s">
        <v>49</v>
      </c>
      <c r="H197" s="107">
        <v>41972</v>
      </c>
      <c r="I197" s="105" t="s">
        <v>204</v>
      </c>
    </row>
    <row r="198" spans="1:9" x14ac:dyDescent="0.2">
      <c r="A198" s="105" t="s">
        <v>48</v>
      </c>
      <c r="B198" s="105">
        <v>15</v>
      </c>
      <c r="C198" s="105">
        <v>0</v>
      </c>
      <c r="D198" s="105">
        <v>1</v>
      </c>
      <c r="E198" s="105">
        <v>0</v>
      </c>
      <c r="F198" s="107">
        <v>41953</v>
      </c>
      <c r="G198" s="105" t="s">
        <v>49</v>
      </c>
      <c r="H198" s="107">
        <v>41972</v>
      </c>
      <c r="I198" s="105" t="s">
        <v>48</v>
      </c>
    </row>
    <row r="199" spans="1:9" x14ac:dyDescent="0.2">
      <c r="A199" s="105" t="s">
        <v>340</v>
      </c>
      <c r="B199" s="105">
        <v>35</v>
      </c>
      <c r="C199" s="105">
        <v>0</v>
      </c>
      <c r="D199" s="105">
        <v>1</v>
      </c>
      <c r="E199" s="105">
        <v>0</v>
      </c>
      <c r="F199" s="107">
        <v>41953</v>
      </c>
      <c r="G199" s="105" t="s">
        <v>49</v>
      </c>
      <c r="H199" s="107">
        <v>41972</v>
      </c>
      <c r="I199" s="105" t="s">
        <v>204</v>
      </c>
    </row>
    <row r="200" spans="1:9" x14ac:dyDescent="0.2">
      <c r="A200" s="105" t="s">
        <v>341</v>
      </c>
      <c r="B200" s="105">
        <v>5</v>
      </c>
      <c r="C200" s="105">
        <v>0</v>
      </c>
      <c r="D200" s="105">
        <v>1</v>
      </c>
      <c r="E200" s="105">
        <v>0</v>
      </c>
      <c r="F200" s="107">
        <v>41953</v>
      </c>
      <c r="G200" s="105" t="s">
        <v>49</v>
      </c>
      <c r="H200" s="107">
        <v>41972</v>
      </c>
      <c r="I200" s="105" t="s">
        <v>50</v>
      </c>
    </row>
    <row r="201" spans="1:9" x14ac:dyDescent="0.2">
      <c r="A201" s="105" t="s">
        <v>323</v>
      </c>
      <c r="B201" s="105">
        <v>17.899999999999999</v>
      </c>
      <c r="C201" s="105">
        <v>0</v>
      </c>
      <c r="D201" s="105">
        <v>1</v>
      </c>
      <c r="E201" s="105">
        <v>0</v>
      </c>
      <c r="F201" s="107">
        <v>41953</v>
      </c>
      <c r="G201" s="105" t="s">
        <v>49</v>
      </c>
      <c r="H201" s="107">
        <v>41972</v>
      </c>
      <c r="I201" s="105" t="s">
        <v>50</v>
      </c>
    </row>
    <row r="202" spans="1:9" x14ac:dyDescent="0.2">
      <c r="A202" s="105" t="s">
        <v>325</v>
      </c>
      <c r="B202" s="105">
        <v>32.380000000000003</v>
      </c>
      <c r="C202" s="105">
        <v>0</v>
      </c>
      <c r="D202" s="105">
        <v>1</v>
      </c>
      <c r="E202" s="105">
        <v>0</v>
      </c>
      <c r="F202" s="107">
        <v>41953</v>
      </c>
      <c r="G202" s="105" t="s">
        <v>49</v>
      </c>
      <c r="H202" s="107">
        <v>41973</v>
      </c>
      <c r="I202" s="105" t="s">
        <v>203</v>
      </c>
    </row>
    <row r="203" spans="1:9" x14ac:dyDescent="0.2">
      <c r="A203" s="105" t="s">
        <v>221</v>
      </c>
      <c r="B203" s="105">
        <v>16.38</v>
      </c>
      <c r="C203" s="105">
        <v>0</v>
      </c>
      <c r="D203" s="105">
        <v>1</v>
      </c>
      <c r="E203" s="105">
        <v>0</v>
      </c>
      <c r="F203" s="107">
        <v>41953</v>
      </c>
      <c r="G203" s="105" t="s">
        <v>49</v>
      </c>
      <c r="H203" s="107">
        <v>41973</v>
      </c>
      <c r="I203" s="105" t="s">
        <v>203</v>
      </c>
    </row>
    <row r="204" spans="1:9" x14ac:dyDescent="0.2">
      <c r="A204" s="105" t="s">
        <v>221</v>
      </c>
      <c r="B204" s="105">
        <v>7.6</v>
      </c>
      <c r="C204" s="105">
        <v>0</v>
      </c>
      <c r="D204" s="105">
        <v>1</v>
      </c>
      <c r="E204" s="105">
        <v>0</v>
      </c>
      <c r="F204" s="107">
        <v>41953</v>
      </c>
      <c r="G204" s="105" t="s">
        <v>49</v>
      </c>
      <c r="H204" s="107">
        <v>41973</v>
      </c>
      <c r="I204" s="105" t="s">
        <v>203</v>
      </c>
    </row>
    <row r="205" spans="1:9" x14ac:dyDescent="0.2">
      <c r="A205" s="105" t="s">
        <v>342</v>
      </c>
      <c r="B205" s="105">
        <v>34.93</v>
      </c>
      <c r="C205" s="105">
        <v>0</v>
      </c>
      <c r="D205" s="105">
        <v>1</v>
      </c>
      <c r="E205" s="105">
        <v>0</v>
      </c>
      <c r="F205" s="107">
        <v>41953</v>
      </c>
      <c r="G205" s="105" t="s">
        <v>55</v>
      </c>
      <c r="H205" s="107">
        <v>41974</v>
      </c>
      <c r="I205" s="105" t="s">
        <v>190</v>
      </c>
    </row>
    <row r="206" spans="1:9" x14ac:dyDescent="0.2">
      <c r="A206" s="105" t="s">
        <v>323</v>
      </c>
      <c r="B206" s="105">
        <v>7.5</v>
      </c>
      <c r="C206" s="105">
        <v>0</v>
      </c>
      <c r="D206" s="105">
        <v>1</v>
      </c>
      <c r="E206" s="105">
        <v>0</v>
      </c>
      <c r="F206" s="107">
        <v>41953</v>
      </c>
      <c r="G206" s="105" t="s">
        <v>55</v>
      </c>
      <c r="H206" s="107">
        <v>41975</v>
      </c>
      <c r="I206" s="105" t="s">
        <v>50</v>
      </c>
    </row>
    <row r="207" spans="1:9" x14ac:dyDescent="0.2">
      <c r="A207" s="105" t="s">
        <v>52</v>
      </c>
      <c r="B207" s="105">
        <v>90.97</v>
      </c>
      <c r="C207" s="105">
        <v>0</v>
      </c>
      <c r="D207" s="105">
        <v>1</v>
      </c>
      <c r="E207" s="105">
        <v>0</v>
      </c>
      <c r="F207" s="107">
        <v>41953</v>
      </c>
      <c r="G207" s="105" t="s">
        <v>55</v>
      </c>
      <c r="H207" s="107">
        <v>41976</v>
      </c>
      <c r="I207" s="105" t="s">
        <v>52</v>
      </c>
    </row>
    <row r="208" spans="1:9" x14ac:dyDescent="0.2">
      <c r="A208" s="105" t="s">
        <v>39</v>
      </c>
      <c r="B208" s="105">
        <v>41</v>
      </c>
      <c r="C208" s="105">
        <v>1</v>
      </c>
      <c r="D208" s="105">
        <v>0</v>
      </c>
      <c r="E208" s="105">
        <v>0</v>
      </c>
      <c r="F208" s="107">
        <v>41953</v>
      </c>
      <c r="G208" s="105" t="s">
        <v>55</v>
      </c>
      <c r="H208" s="107">
        <v>41977</v>
      </c>
      <c r="I208" s="105" t="s">
        <v>345</v>
      </c>
    </row>
    <row r="209" spans="1:9" x14ac:dyDescent="0.2">
      <c r="A209" s="105" t="s">
        <v>96</v>
      </c>
      <c r="B209" s="105">
        <v>20.9</v>
      </c>
      <c r="C209" s="105">
        <v>0</v>
      </c>
      <c r="D209" s="105">
        <v>1</v>
      </c>
      <c r="E209" s="105">
        <v>0</v>
      </c>
      <c r="F209" s="107">
        <v>41953</v>
      </c>
      <c r="G209" s="105" t="s">
        <v>55</v>
      </c>
      <c r="H209" s="107">
        <v>41977</v>
      </c>
      <c r="I209" s="105" t="s">
        <v>50</v>
      </c>
    </row>
    <row r="210" spans="1:9" x14ac:dyDescent="0.2">
      <c r="A210" s="105" t="s">
        <v>44</v>
      </c>
      <c r="B210" s="105">
        <v>50</v>
      </c>
      <c r="C210" s="105">
        <v>1</v>
      </c>
      <c r="D210" s="105">
        <v>0</v>
      </c>
      <c r="E210" s="105">
        <v>0</v>
      </c>
      <c r="F210" s="107">
        <v>41953</v>
      </c>
      <c r="G210" s="105" t="s">
        <v>55</v>
      </c>
      <c r="H210" s="107">
        <v>41977</v>
      </c>
      <c r="I210" s="105" t="s">
        <v>60</v>
      </c>
    </row>
    <row r="211" spans="1:9" x14ac:dyDescent="0.2">
      <c r="A211" s="105" t="s">
        <v>323</v>
      </c>
      <c r="B211" s="105">
        <v>5.5</v>
      </c>
      <c r="C211" s="105">
        <v>0</v>
      </c>
      <c r="D211" s="105">
        <v>1</v>
      </c>
      <c r="E211" s="105">
        <v>0</v>
      </c>
      <c r="F211" s="107">
        <v>41953</v>
      </c>
      <c r="G211" s="105" t="s">
        <v>55</v>
      </c>
      <c r="H211" s="107">
        <v>41978</v>
      </c>
      <c r="I211" s="105" t="s">
        <v>50</v>
      </c>
    </row>
    <row r="212" spans="1:9" x14ac:dyDescent="0.2">
      <c r="A212" s="108" t="s">
        <v>323</v>
      </c>
      <c r="B212" s="108">
        <v>8.4</v>
      </c>
      <c r="C212" s="108">
        <v>0</v>
      </c>
      <c r="D212" s="108">
        <v>1</v>
      </c>
      <c r="E212" s="108">
        <v>0</v>
      </c>
      <c r="F212" s="110">
        <v>41953</v>
      </c>
      <c r="G212" s="105" t="s">
        <v>55</v>
      </c>
      <c r="H212" s="110">
        <v>41978</v>
      </c>
      <c r="I212" s="108" t="s">
        <v>50</v>
      </c>
    </row>
    <row r="213" spans="1:9" x14ac:dyDescent="0.2">
      <c r="A213" s="108" t="s">
        <v>359</v>
      </c>
      <c r="B213" s="108">
        <v>8.1</v>
      </c>
      <c r="C213" s="108">
        <v>0</v>
      </c>
      <c r="D213" s="108">
        <v>1</v>
      </c>
      <c r="E213" s="108">
        <v>0</v>
      </c>
      <c r="F213" s="110">
        <v>41953</v>
      </c>
      <c r="G213" s="105" t="s">
        <v>55</v>
      </c>
      <c r="H213" s="110">
        <v>41978</v>
      </c>
      <c r="I213" s="108" t="s">
        <v>345</v>
      </c>
    </row>
    <row r="214" spans="1:9" x14ac:dyDescent="0.2">
      <c r="A214" s="108" t="s">
        <v>402</v>
      </c>
      <c r="B214" s="108">
        <v>14</v>
      </c>
      <c r="C214" s="108">
        <v>0</v>
      </c>
      <c r="D214" s="108">
        <v>1</v>
      </c>
      <c r="E214" s="108">
        <v>0</v>
      </c>
      <c r="F214" s="110">
        <v>41953</v>
      </c>
      <c r="G214" s="105" t="s">
        <v>55</v>
      </c>
      <c r="H214" s="110">
        <v>41979</v>
      </c>
      <c r="I214" s="108" t="s">
        <v>153</v>
      </c>
    </row>
    <row r="215" spans="1:9" x14ac:dyDescent="0.2">
      <c r="A215" s="108" t="s">
        <v>360</v>
      </c>
      <c r="B215" s="108">
        <v>40</v>
      </c>
      <c r="C215" s="108">
        <v>0</v>
      </c>
      <c r="D215" s="108">
        <v>1</v>
      </c>
      <c r="E215" s="108">
        <v>0</v>
      </c>
      <c r="F215" s="110">
        <v>41953</v>
      </c>
      <c r="G215" s="105" t="s">
        <v>55</v>
      </c>
      <c r="H215" s="110">
        <v>41979</v>
      </c>
      <c r="I215" s="108" t="s">
        <v>153</v>
      </c>
    </row>
    <row r="216" spans="1:9" x14ac:dyDescent="0.2">
      <c r="A216" s="108" t="s">
        <v>361</v>
      </c>
      <c r="B216" s="108">
        <v>24</v>
      </c>
      <c r="C216" s="108">
        <v>0</v>
      </c>
      <c r="D216" s="108">
        <v>1</v>
      </c>
      <c r="E216" s="108">
        <v>0</v>
      </c>
      <c r="F216" s="110">
        <v>41953</v>
      </c>
      <c r="G216" s="105" t="s">
        <v>55</v>
      </c>
      <c r="H216" s="110">
        <v>41979</v>
      </c>
      <c r="I216" s="108" t="s">
        <v>153</v>
      </c>
    </row>
    <row r="217" spans="1:9" x14ac:dyDescent="0.2">
      <c r="A217" s="105" t="s">
        <v>116</v>
      </c>
      <c r="B217" s="108">
        <v>40</v>
      </c>
      <c r="C217" s="108">
        <v>0</v>
      </c>
      <c r="D217" s="108">
        <v>1</v>
      </c>
      <c r="E217" s="108">
        <v>0</v>
      </c>
      <c r="F217" s="110">
        <v>41953</v>
      </c>
      <c r="G217" s="105" t="s">
        <v>55</v>
      </c>
      <c r="H217" s="110">
        <v>41979</v>
      </c>
      <c r="I217" s="105" t="s">
        <v>344</v>
      </c>
    </row>
    <row r="218" spans="1:9" x14ac:dyDescent="0.2">
      <c r="A218" s="105" t="s">
        <v>1037</v>
      </c>
      <c r="B218" s="106">
        <v>46.15</v>
      </c>
      <c r="C218" s="105">
        <v>1</v>
      </c>
      <c r="D218" s="105">
        <v>0</v>
      </c>
      <c r="E218" s="105">
        <v>0</v>
      </c>
      <c r="F218" s="107">
        <v>41953</v>
      </c>
      <c r="G218" s="105" t="s">
        <v>47</v>
      </c>
      <c r="H218" s="107">
        <v>41953</v>
      </c>
      <c r="I218" s="105" t="s">
        <v>1045</v>
      </c>
    </row>
    <row r="219" spans="1:9" x14ac:dyDescent="0.2">
      <c r="A219" s="105" t="s">
        <v>1038</v>
      </c>
      <c r="B219" s="106">
        <v>213</v>
      </c>
      <c r="C219" s="105">
        <v>1</v>
      </c>
      <c r="D219" s="105">
        <v>0</v>
      </c>
      <c r="E219" s="105">
        <v>0</v>
      </c>
      <c r="F219" s="107">
        <v>41953</v>
      </c>
      <c r="G219" s="105" t="s">
        <v>47</v>
      </c>
      <c r="H219" s="107">
        <v>41953</v>
      </c>
      <c r="I219" s="105" t="s">
        <v>1045</v>
      </c>
    </row>
    <row r="220" spans="1:9" x14ac:dyDescent="0.2">
      <c r="A220" s="105" t="s">
        <v>1039</v>
      </c>
      <c r="B220" s="106">
        <v>106.5</v>
      </c>
      <c r="C220" s="105">
        <v>1</v>
      </c>
      <c r="D220" s="105">
        <v>0</v>
      </c>
      <c r="E220" s="105">
        <v>0</v>
      </c>
      <c r="F220" s="107">
        <v>41953</v>
      </c>
      <c r="G220" s="105" t="s">
        <v>47</v>
      </c>
      <c r="H220" s="107">
        <v>41953</v>
      </c>
      <c r="I220" s="105" t="s">
        <v>1045</v>
      </c>
    </row>
    <row r="221" spans="1:9" x14ac:dyDescent="0.2">
      <c r="A221" s="105" t="s">
        <v>1040</v>
      </c>
      <c r="B221" s="106">
        <v>71</v>
      </c>
      <c r="C221" s="105">
        <v>1</v>
      </c>
      <c r="D221" s="105">
        <v>0</v>
      </c>
      <c r="E221" s="105">
        <v>0</v>
      </c>
      <c r="F221" s="107">
        <v>41953</v>
      </c>
      <c r="G221" s="105" t="s">
        <v>47</v>
      </c>
      <c r="H221" s="107">
        <v>41953</v>
      </c>
      <c r="I221" s="105" t="s">
        <v>1045</v>
      </c>
    </row>
    <row r="222" spans="1:9" x14ac:dyDescent="0.2">
      <c r="A222" s="27" t="s">
        <v>327</v>
      </c>
      <c r="B222" s="27">
        <v>234.27</v>
      </c>
      <c r="C222" s="27">
        <v>1</v>
      </c>
      <c r="D222" s="27">
        <v>0</v>
      </c>
      <c r="E222" s="27">
        <v>0</v>
      </c>
      <c r="F222" s="82">
        <v>41983</v>
      </c>
      <c r="G222" s="27" t="s">
        <v>55</v>
      </c>
      <c r="H222" s="82">
        <v>41983</v>
      </c>
      <c r="I222" s="27" t="s">
        <v>350</v>
      </c>
    </row>
    <row r="223" spans="1:9" x14ac:dyDescent="0.2">
      <c r="A223" t="s">
        <v>40</v>
      </c>
      <c r="B223">
        <v>4.99</v>
      </c>
      <c r="C223">
        <v>1</v>
      </c>
      <c r="D223">
        <v>0</v>
      </c>
      <c r="E223">
        <v>0</v>
      </c>
      <c r="F223" s="71">
        <v>41983</v>
      </c>
      <c r="G223" t="s">
        <v>47</v>
      </c>
      <c r="H223" s="71">
        <v>41983</v>
      </c>
      <c r="I223" t="s">
        <v>345</v>
      </c>
    </row>
    <row r="224" spans="1:9" x14ac:dyDescent="0.2">
      <c r="A224" t="s">
        <v>2</v>
      </c>
      <c r="B224">
        <v>50</v>
      </c>
      <c r="C224">
        <v>1</v>
      </c>
      <c r="D224">
        <v>0</v>
      </c>
      <c r="E224">
        <v>0</v>
      </c>
      <c r="F224" s="71">
        <v>41983</v>
      </c>
      <c r="G224" t="s">
        <v>47</v>
      </c>
      <c r="H224" s="71">
        <v>41983</v>
      </c>
      <c r="I224" t="s">
        <v>349</v>
      </c>
    </row>
    <row r="225" spans="1:9" x14ac:dyDescent="0.2">
      <c r="A225" t="s">
        <v>38</v>
      </c>
      <c r="B225">
        <v>51.9</v>
      </c>
      <c r="C225">
        <v>1</v>
      </c>
      <c r="D225">
        <v>0</v>
      </c>
      <c r="E225">
        <v>0</v>
      </c>
      <c r="F225" s="71">
        <v>41983</v>
      </c>
      <c r="G225" t="s">
        <v>47</v>
      </c>
      <c r="H225" s="71">
        <v>41983</v>
      </c>
      <c r="I225" t="s">
        <v>345</v>
      </c>
    </row>
    <row r="226" spans="1:9" x14ac:dyDescent="0.2">
      <c r="A226" t="s">
        <v>982</v>
      </c>
      <c r="B226">
        <v>40.78</v>
      </c>
      <c r="C226">
        <v>1</v>
      </c>
      <c r="D226">
        <v>0</v>
      </c>
      <c r="E226">
        <v>0</v>
      </c>
      <c r="F226" s="71">
        <v>41983</v>
      </c>
      <c r="G226" t="s">
        <v>47</v>
      </c>
      <c r="H226" s="71">
        <v>41983</v>
      </c>
      <c r="I226" t="s">
        <v>345</v>
      </c>
    </row>
    <row r="227" spans="1:9" x14ac:dyDescent="0.2">
      <c r="A227" t="s">
        <v>0</v>
      </c>
      <c r="B227">
        <v>361.31</v>
      </c>
      <c r="C227">
        <v>1</v>
      </c>
      <c r="D227">
        <v>0</v>
      </c>
      <c r="E227">
        <v>0</v>
      </c>
      <c r="F227" s="71">
        <v>41983</v>
      </c>
      <c r="G227" t="s">
        <v>47</v>
      </c>
      <c r="H227" s="71">
        <v>41983</v>
      </c>
      <c r="I227" t="s">
        <v>346</v>
      </c>
    </row>
    <row r="228" spans="1:9" x14ac:dyDescent="0.2">
      <c r="A228" t="s">
        <v>3</v>
      </c>
      <c r="B228">
        <v>59.4</v>
      </c>
      <c r="C228">
        <v>1</v>
      </c>
      <c r="D228">
        <v>0</v>
      </c>
      <c r="E228">
        <v>0</v>
      </c>
      <c r="F228" s="71">
        <v>41983</v>
      </c>
      <c r="G228" t="s">
        <v>47</v>
      </c>
      <c r="H228" s="71">
        <v>41983</v>
      </c>
      <c r="I228" t="s">
        <v>346</v>
      </c>
    </row>
    <row r="229" spans="1:9" x14ac:dyDescent="0.2">
      <c r="A229" t="s">
        <v>1</v>
      </c>
      <c r="B229">
        <v>264.08999999999997</v>
      </c>
      <c r="C229">
        <v>1</v>
      </c>
      <c r="D229">
        <v>0</v>
      </c>
      <c r="E229">
        <v>0</v>
      </c>
      <c r="F229" s="71">
        <v>41983</v>
      </c>
      <c r="G229" t="s">
        <v>47</v>
      </c>
      <c r="H229" s="71">
        <v>41983</v>
      </c>
      <c r="I229" t="s">
        <v>346</v>
      </c>
    </row>
    <row r="230" spans="1:9" x14ac:dyDescent="0.2">
      <c r="A230" t="s">
        <v>156</v>
      </c>
      <c r="B230">
        <v>450</v>
      </c>
      <c r="C230">
        <v>1</v>
      </c>
      <c r="D230">
        <v>0</v>
      </c>
      <c r="E230">
        <v>0</v>
      </c>
      <c r="F230" s="71">
        <v>41983</v>
      </c>
      <c r="G230" t="s">
        <v>47</v>
      </c>
      <c r="H230" s="71">
        <v>41983</v>
      </c>
      <c r="I230" t="s">
        <v>346</v>
      </c>
    </row>
    <row r="231" spans="1:9" x14ac:dyDescent="0.2">
      <c r="A231" t="s">
        <v>26</v>
      </c>
      <c r="B231">
        <v>501.76</v>
      </c>
      <c r="C231">
        <v>1</v>
      </c>
      <c r="D231">
        <v>0</v>
      </c>
      <c r="E231">
        <v>0</v>
      </c>
      <c r="F231" s="71">
        <v>41983</v>
      </c>
      <c r="G231" t="s">
        <v>47</v>
      </c>
      <c r="H231" s="71">
        <v>41983</v>
      </c>
      <c r="I231" t="s">
        <v>345</v>
      </c>
    </row>
    <row r="232" spans="1:9" x14ac:dyDescent="0.2">
      <c r="A232" t="s">
        <v>28</v>
      </c>
      <c r="B232">
        <v>38.5</v>
      </c>
      <c r="C232">
        <v>1</v>
      </c>
      <c r="D232">
        <v>0</v>
      </c>
      <c r="E232">
        <v>0</v>
      </c>
      <c r="F232" s="71">
        <v>41983</v>
      </c>
      <c r="G232" t="s">
        <v>47</v>
      </c>
      <c r="H232" s="71">
        <v>41983</v>
      </c>
      <c r="I232" t="s">
        <v>345</v>
      </c>
    </row>
    <row r="233" spans="1:9" x14ac:dyDescent="0.2">
      <c r="A233" t="s">
        <v>27</v>
      </c>
      <c r="B233">
        <v>282.25</v>
      </c>
      <c r="C233">
        <v>1</v>
      </c>
      <c r="D233">
        <v>0</v>
      </c>
      <c r="E233">
        <v>0</v>
      </c>
      <c r="F233" s="71">
        <v>41983</v>
      </c>
      <c r="G233" t="s">
        <v>47</v>
      </c>
      <c r="H233" s="71">
        <v>41983</v>
      </c>
      <c r="I233" t="s">
        <v>345</v>
      </c>
    </row>
    <row r="234" spans="1:9" x14ac:dyDescent="0.2">
      <c r="A234" t="s">
        <v>12</v>
      </c>
      <c r="B234">
        <v>536.46</v>
      </c>
      <c r="C234">
        <v>1</v>
      </c>
      <c r="D234">
        <v>0</v>
      </c>
      <c r="E234">
        <v>0</v>
      </c>
      <c r="F234" s="71">
        <v>41983</v>
      </c>
      <c r="G234" t="s">
        <v>47</v>
      </c>
      <c r="H234" s="71">
        <v>41983</v>
      </c>
      <c r="I234" t="s">
        <v>348</v>
      </c>
    </row>
    <row r="235" spans="1:9" x14ac:dyDescent="0.2">
      <c r="A235" t="s">
        <v>25</v>
      </c>
      <c r="B235">
        <v>120</v>
      </c>
      <c r="C235">
        <v>1</v>
      </c>
      <c r="D235">
        <v>0</v>
      </c>
      <c r="E235">
        <v>0</v>
      </c>
      <c r="F235" s="71">
        <v>41983</v>
      </c>
      <c r="G235" t="s">
        <v>47</v>
      </c>
      <c r="H235" s="71">
        <v>41983</v>
      </c>
      <c r="I235" t="s">
        <v>25</v>
      </c>
    </row>
    <row r="236" spans="1:9" x14ac:dyDescent="0.2">
      <c r="A236" s="100" t="s">
        <v>1041</v>
      </c>
      <c r="B236" s="31">
        <v>142</v>
      </c>
      <c r="C236">
        <v>1</v>
      </c>
      <c r="D236">
        <v>0</v>
      </c>
      <c r="E236">
        <v>0</v>
      </c>
      <c r="F236" s="71">
        <v>41983</v>
      </c>
      <c r="G236" t="s">
        <v>47</v>
      </c>
      <c r="H236" s="71">
        <v>41983</v>
      </c>
      <c r="I236" t="s">
        <v>117</v>
      </c>
    </row>
    <row r="237" spans="1:9" x14ac:dyDescent="0.2">
      <c r="A237" s="100" t="s">
        <v>1042</v>
      </c>
      <c r="B237" s="31">
        <v>133.47999999999999</v>
      </c>
      <c r="C237">
        <v>1</v>
      </c>
      <c r="D237">
        <v>0</v>
      </c>
      <c r="E237">
        <v>0</v>
      </c>
      <c r="F237" s="71">
        <v>41983</v>
      </c>
      <c r="G237" t="s">
        <v>47</v>
      </c>
      <c r="H237" s="71">
        <v>41983</v>
      </c>
      <c r="I237" t="s">
        <v>117</v>
      </c>
    </row>
    <row r="238" spans="1:9" x14ac:dyDescent="0.2">
      <c r="A238" s="100" t="s">
        <v>1043</v>
      </c>
      <c r="B238" s="31">
        <v>63.9</v>
      </c>
      <c r="C238">
        <v>1</v>
      </c>
      <c r="D238">
        <v>0</v>
      </c>
      <c r="E238">
        <v>0</v>
      </c>
      <c r="F238" s="71">
        <v>41983</v>
      </c>
      <c r="G238" t="s">
        <v>47</v>
      </c>
      <c r="H238" s="71">
        <v>41983</v>
      </c>
      <c r="I238" t="s">
        <v>117</v>
      </c>
    </row>
    <row r="239" spans="1:9" x14ac:dyDescent="0.2">
      <c r="A239" t="s">
        <v>44</v>
      </c>
      <c r="B239" s="31">
        <v>106</v>
      </c>
      <c r="C239">
        <v>1</v>
      </c>
      <c r="D239">
        <v>0</v>
      </c>
      <c r="E239">
        <v>0</v>
      </c>
      <c r="F239" s="71">
        <v>41983</v>
      </c>
      <c r="G239" t="s">
        <v>47</v>
      </c>
      <c r="H239" s="71">
        <v>41983</v>
      </c>
      <c r="I239" t="s">
        <v>60</v>
      </c>
    </row>
    <row r="240" spans="1:9" x14ac:dyDescent="0.2">
      <c r="A240" t="s">
        <v>376</v>
      </c>
      <c r="B240" s="31">
        <v>197.63</v>
      </c>
      <c r="C240">
        <v>0</v>
      </c>
      <c r="D240">
        <v>1</v>
      </c>
      <c r="E240">
        <v>0</v>
      </c>
      <c r="F240" s="71">
        <v>41983</v>
      </c>
      <c r="G240" t="s">
        <v>47</v>
      </c>
      <c r="H240" s="71">
        <v>41983</v>
      </c>
      <c r="I240" t="s">
        <v>204</v>
      </c>
    </row>
    <row r="241" spans="1:9" x14ac:dyDescent="0.2">
      <c r="A241" s="1" t="s">
        <v>380</v>
      </c>
      <c r="B241" s="31">
        <v>15</v>
      </c>
      <c r="C241">
        <v>0</v>
      </c>
      <c r="D241">
        <v>1</v>
      </c>
      <c r="E241">
        <v>0</v>
      </c>
      <c r="F241" s="71">
        <v>41983</v>
      </c>
      <c r="G241" t="s">
        <v>47</v>
      </c>
      <c r="H241" s="71">
        <v>41983</v>
      </c>
      <c r="I241" s="1" t="s">
        <v>50</v>
      </c>
    </row>
    <row r="242" spans="1:9" x14ac:dyDescent="0.2">
      <c r="A242" s="1" t="s">
        <v>221</v>
      </c>
      <c r="B242" s="31">
        <v>11</v>
      </c>
      <c r="C242">
        <v>0</v>
      </c>
      <c r="D242">
        <v>1</v>
      </c>
      <c r="E242">
        <v>0</v>
      </c>
      <c r="F242" s="71">
        <v>41983</v>
      </c>
      <c r="G242" t="s">
        <v>47</v>
      </c>
      <c r="H242" s="71">
        <v>41983</v>
      </c>
      <c r="I242" s="1" t="s">
        <v>50</v>
      </c>
    </row>
    <row r="243" spans="1:9" x14ac:dyDescent="0.2">
      <c r="A243" s="1" t="s">
        <v>385</v>
      </c>
      <c r="B243" s="31">
        <v>15</v>
      </c>
      <c r="C243">
        <v>0</v>
      </c>
      <c r="D243">
        <v>1</v>
      </c>
      <c r="E243">
        <v>0</v>
      </c>
      <c r="F243" s="71">
        <v>41983</v>
      </c>
      <c r="G243" t="s">
        <v>47</v>
      </c>
      <c r="H243" s="71">
        <v>41984</v>
      </c>
      <c r="I243" s="1" t="s">
        <v>50</v>
      </c>
    </row>
    <row r="244" spans="1:9" x14ac:dyDescent="0.2">
      <c r="A244" s="1" t="s">
        <v>96</v>
      </c>
      <c r="B244" s="31">
        <v>20.9</v>
      </c>
      <c r="C244">
        <v>0</v>
      </c>
      <c r="D244">
        <v>1</v>
      </c>
      <c r="E244">
        <v>0</v>
      </c>
      <c r="F244" s="71">
        <v>41983</v>
      </c>
      <c r="G244" t="s">
        <v>47</v>
      </c>
      <c r="H244" s="71">
        <v>41984</v>
      </c>
      <c r="I244" s="1" t="s">
        <v>50</v>
      </c>
    </row>
    <row r="245" spans="1:9" x14ac:dyDescent="0.2">
      <c r="A245" s="1" t="s">
        <v>385</v>
      </c>
      <c r="B245" s="31">
        <v>5</v>
      </c>
      <c r="C245">
        <v>0</v>
      </c>
      <c r="D245">
        <v>1</v>
      </c>
      <c r="E245">
        <v>0</v>
      </c>
      <c r="F245" s="71">
        <v>41983</v>
      </c>
      <c r="G245" t="s">
        <v>47</v>
      </c>
      <c r="H245" s="71">
        <v>41985</v>
      </c>
      <c r="I245" s="1" t="s">
        <v>50</v>
      </c>
    </row>
    <row r="246" spans="1:9" x14ac:dyDescent="0.2">
      <c r="A246" s="1" t="s">
        <v>377</v>
      </c>
      <c r="B246" s="31">
        <v>20.9</v>
      </c>
      <c r="C246">
        <v>0</v>
      </c>
      <c r="D246">
        <v>1</v>
      </c>
      <c r="E246">
        <v>0</v>
      </c>
      <c r="F246" s="71">
        <v>41983</v>
      </c>
      <c r="G246" t="s">
        <v>47</v>
      </c>
      <c r="H246" s="71">
        <v>41985</v>
      </c>
      <c r="I246" s="1" t="s">
        <v>50</v>
      </c>
    </row>
    <row r="247" spans="1:9" x14ac:dyDescent="0.2">
      <c r="A247" s="1" t="s">
        <v>379</v>
      </c>
      <c r="B247" s="31">
        <v>12.9</v>
      </c>
      <c r="C247">
        <v>0</v>
      </c>
      <c r="D247">
        <v>1</v>
      </c>
      <c r="E247">
        <v>0</v>
      </c>
      <c r="F247" s="71">
        <v>41983</v>
      </c>
      <c r="G247" t="s">
        <v>47</v>
      </c>
      <c r="H247" s="71">
        <v>41985</v>
      </c>
      <c r="I247" s="1" t="s">
        <v>50</v>
      </c>
    </row>
    <row r="248" spans="1:9" x14ac:dyDescent="0.2">
      <c r="A248" s="1" t="s">
        <v>96</v>
      </c>
      <c r="B248" s="31">
        <v>20</v>
      </c>
      <c r="C248">
        <v>0</v>
      </c>
      <c r="D248">
        <v>1</v>
      </c>
      <c r="E248">
        <v>0</v>
      </c>
      <c r="F248" s="71">
        <v>41983</v>
      </c>
      <c r="G248" t="s">
        <v>47</v>
      </c>
      <c r="H248" s="71">
        <v>41985</v>
      </c>
      <c r="I248" s="1" t="s">
        <v>50</v>
      </c>
    </row>
    <row r="249" spans="1:9" x14ac:dyDescent="0.2">
      <c r="A249" s="1" t="s">
        <v>378</v>
      </c>
      <c r="B249" s="31">
        <v>25.5</v>
      </c>
      <c r="C249">
        <v>0</v>
      </c>
      <c r="D249">
        <v>1</v>
      </c>
      <c r="E249">
        <v>0</v>
      </c>
      <c r="F249" s="71">
        <v>41983</v>
      </c>
      <c r="G249" t="s">
        <v>47</v>
      </c>
      <c r="H249" s="71">
        <v>41985</v>
      </c>
      <c r="I249" s="1" t="s">
        <v>203</v>
      </c>
    </row>
    <row r="250" spans="1:9" x14ac:dyDescent="0.2">
      <c r="A250" s="1" t="s">
        <v>385</v>
      </c>
      <c r="B250" s="31">
        <v>10.5</v>
      </c>
      <c r="C250">
        <v>0</v>
      </c>
      <c r="D250">
        <v>1</v>
      </c>
      <c r="E250">
        <v>0</v>
      </c>
      <c r="F250" s="71">
        <v>41983</v>
      </c>
      <c r="G250" s="1" t="s">
        <v>49</v>
      </c>
      <c r="H250" s="71">
        <v>41986</v>
      </c>
      <c r="I250" s="1" t="s">
        <v>50</v>
      </c>
    </row>
    <row r="251" spans="1:9" x14ac:dyDescent="0.2">
      <c r="A251" s="1" t="s">
        <v>382</v>
      </c>
      <c r="B251" s="31">
        <v>22.09</v>
      </c>
      <c r="C251">
        <v>0</v>
      </c>
      <c r="D251">
        <v>1</v>
      </c>
      <c r="E251">
        <v>0</v>
      </c>
      <c r="F251" s="71">
        <v>41983</v>
      </c>
      <c r="G251" s="1" t="s">
        <v>49</v>
      </c>
      <c r="H251" s="71">
        <v>41987</v>
      </c>
      <c r="I251" s="1" t="s">
        <v>50</v>
      </c>
    </row>
    <row r="252" spans="1:9" x14ac:dyDescent="0.2">
      <c r="A252" s="1" t="s">
        <v>381</v>
      </c>
      <c r="B252" s="31">
        <v>1.35</v>
      </c>
      <c r="C252">
        <v>0</v>
      </c>
      <c r="D252">
        <v>1</v>
      </c>
      <c r="E252">
        <v>0</v>
      </c>
      <c r="F252" s="71">
        <v>41983</v>
      </c>
      <c r="G252" t="s">
        <v>51</v>
      </c>
      <c r="H252" s="71">
        <v>41988</v>
      </c>
      <c r="I252" s="1" t="s">
        <v>190</v>
      </c>
    </row>
    <row r="253" spans="1:9" x14ac:dyDescent="0.2">
      <c r="A253" s="1" t="s">
        <v>383</v>
      </c>
      <c r="B253" s="31">
        <v>3.5</v>
      </c>
      <c r="C253">
        <v>0</v>
      </c>
      <c r="D253">
        <v>1</v>
      </c>
      <c r="E253">
        <v>0</v>
      </c>
      <c r="F253" s="71">
        <v>41983</v>
      </c>
      <c r="G253" t="s">
        <v>51</v>
      </c>
      <c r="H253" s="71">
        <v>41988</v>
      </c>
      <c r="I253" s="1" t="s">
        <v>50</v>
      </c>
    </row>
    <row r="254" spans="1:9" x14ac:dyDescent="0.2">
      <c r="A254" s="1" t="s">
        <v>384</v>
      </c>
      <c r="B254" s="31">
        <v>5.99</v>
      </c>
      <c r="C254">
        <v>0</v>
      </c>
      <c r="D254">
        <v>1</v>
      </c>
      <c r="E254">
        <v>0</v>
      </c>
      <c r="F254" s="71">
        <v>41983</v>
      </c>
      <c r="G254" t="s">
        <v>51</v>
      </c>
      <c r="H254" s="71">
        <v>41988</v>
      </c>
      <c r="I254" s="1" t="s">
        <v>50</v>
      </c>
    </row>
    <row r="255" spans="1:9" x14ac:dyDescent="0.2">
      <c r="A255" s="1" t="s">
        <v>381</v>
      </c>
      <c r="B255" s="31">
        <v>2.16</v>
      </c>
      <c r="C255">
        <v>0</v>
      </c>
      <c r="D255">
        <v>1</v>
      </c>
      <c r="E255">
        <v>0</v>
      </c>
      <c r="F255" s="71">
        <v>41983</v>
      </c>
      <c r="G255" t="s">
        <v>51</v>
      </c>
      <c r="H255" s="71">
        <v>41989</v>
      </c>
      <c r="I255" s="1" t="s">
        <v>190</v>
      </c>
    </row>
    <row r="256" spans="1:9" x14ac:dyDescent="0.2">
      <c r="A256" s="1" t="s">
        <v>387</v>
      </c>
      <c r="B256" s="31">
        <v>11.5</v>
      </c>
      <c r="C256">
        <v>0</v>
      </c>
      <c r="D256">
        <v>1</v>
      </c>
      <c r="E256">
        <v>0</v>
      </c>
      <c r="F256" s="71">
        <v>41983</v>
      </c>
      <c r="G256" t="s">
        <v>51</v>
      </c>
      <c r="H256" s="71">
        <v>41989</v>
      </c>
      <c r="I256" s="1" t="s">
        <v>50</v>
      </c>
    </row>
    <row r="257" spans="1:9" x14ac:dyDescent="0.2">
      <c r="A257" s="1" t="s">
        <v>387</v>
      </c>
      <c r="B257" s="31">
        <v>3</v>
      </c>
      <c r="C257">
        <v>0</v>
      </c>
      <c r="D257">
        <v>1</v>
      </c>
      <c r="E257">
        <v>0</v>
      </c>
      <c r="F257" s="71">
        <v>41983</v>
      </c>
      <c r="G257" t="s">
        <v>51</v>
      </c>
      <c r="H257" s="71">
        <v>41989</v>
      </c>
      <c r="I257" s="1" t="s">
        <v>50</v>
      </c>
    </row>
    <row r="258" spans="1:9" x14ac:dyDescent="0.2">
      <c r="A258" s="1" t="s">
        <v>388</v>
      </c>
      <c r="B258" s="31">
        <v>18.59</v>
      </c>
      <c r="C258">
        <v>0</v>
      </c>
      <c r="D258">
        <v>1</v>
      </c>
      <c r="E258">
        <v>0</v>
      </c>
      <c r="F258" s="71">
        <v>41983</v>
      </c>
      <c r="G258" t="s">
        <v>51</v>
      </c>
      <c r="H258" s="71">
        <v>41989</v>
      </c>
      <c r="I258" s="1" t="s">
        <v>344</v>
      </c>
    </row>
    <row r="259" spans="1:9" x14ac:dyDescent="0.2">
      <c r="A259" s="12" t="s">
        <v>21</v>
      </c>
      <c r="B259" s="88">
        <f>SUMIFS(credito!$B$2:$B$107,credito!$F$2:$F$107,debito!#REF!,credito!$G$2:$G$107,0)</f>
        <v>0</v>
      </c>
      <c r="C259" s="12">
        <v>1</v>
      </c>
      <c r="D259" s="12">
        <v>0</v>
      </c>
      <c r="E259" s="12">
        <v>0</v>
      </c>
      <c r="F259" s="89">
        <v>41983</v>
      </c>
      <c r="G259" s="12" t="s">
        <v>51</v>
      </c>
      <c r="H259" s="89">
        <v>41990</v>
      </c>
      <c r="I259" s="12" t="s">
        <v>336</v>
      </c>
    </row>
    <row r="260" spans="1:9" x14ac:dyDescent="0.2">
      <c r="A260" s="1" t="s">
        <v>385</v>
      </c>
      <c r="B260" s="31">
        <v>13</v>
      </c>
      <c r="C260">
        <v>0</v>
      </c>
      <c r="D260">
        <v>1</v>
      </c>
      <c r="E260">
        <v>0</v>
      </c>
      <c r="F260" s="71">
        <v>41983</v>
      </c>
      <c r="G260" t="s">
        <v>51</v>
      </c>
      <c r="H260" s="71">
        <v>41990</v>
      </c>
      <c r="I260" s="1" t="s">
        <v>50</v>
      </c>
    </row>
    <row r="261" spans="1:9" x14ac:dyDescent="0.2">
      <c r="A261" s="1" t="s">
        <v>96</v>
      </c>
      <c r="B261" s="31">
        <v>22.9</v>
      </c>
      <c r="C261">
        <v>0</v>
      </c>
      <c r="D261">
        <v>1</v>
      </c>
      <c r="E261">
        <v>0</v>
      </c>
      <c r="F261" s="71">
        <v>41983</v>
      </c>
      <c r="G261" t="s">
        <v>51</v>
      </c>
      <c r="H261" s="71">
        <v>41990</v>
      </c>
      <c r="I261" s="1" t="s">
        <v>50</v>
      </c>
    </row>
    <row r="262" spans="1:9" x14ac:dyDescent="0.2">
      <c r="A262" s="1" t="s">
        <v>221</v>
      </c>
      <c r="B262" s="31">
        <v>10</v>
      </c>
      <c r="C262">
        <v>0</v>
      </c>
      <c r="D262">
        <v>1</v>
      </c>
      <c r="E262">
        <v>0</v>
      </c>
      <c r="F262" s="71">
        <v>41983</v>
      </c>
      <c r="G262" t="s">
        <v>51</v>
      </c>
      <c r="H262" s="71">
        <v>41990</v>
      </c>
      <c r="I262" s="1" t="s">
        <v>50</v>
      </c>
    </row>
    <row r="263" spans="1:9" x14ac:dyDescent="0.2">
      <c r="A263" s="1" t="s">
        <v>44</v>
      </c>
      <c r="B263" s="31">
        <v>100</v>
      </c>
      <c r="C263">
        <v>1</v>
      </c>
      <c r="D263">
        <v>0</v>
      </c>
      <c r="E263">
        <v>0</v>
      </c>
      <c r="F263" s="71">
        <v>41983</v>
      </c>
      <c r="G263" t="s">
        <v>51</v>
      </c>
      <c r="H263" s="71">
        <v>41991</v>
      </c>
      <c r="I263" s="1" t="s">
        <v>60</v>
      </c>
    </row>
    <row r="264" spans="1:9" x14ac:dyDescent="0.2">
      <c r="A264" s="1" t="s">
        <v>381</v>
      </c>
      <c r="B264" s="31">
        <v>6.09</v>
      </c>
      <c r="C264">
        <v>0</v>
      </c>
      <c r="D264">
        <v>1</v>
      </c>
      <c r="E264">
        <v>0</v>
      </c>
      <c r="F264" s="71">
        <v>41983</v>
      </c>
      <c r="G264" t="s">
        <v>51</v>
      </c>
      <c r="H264" s="71">
        <v>41991</v>
      </c>
      <c r="I264" s="1" t="s">
        <v>190</v>
      </c>
    </row>
    <row r="265" spans="1:9" x14ac:dyDescent="0.2">
      <c r="A265" s="1" t="s">
        <v>389</v>
      </c>
      <c r="B265" s="31">
        <v>18</v>
      </c>
      <c r="C265">
        <v>0</v>
      </c>
      <c r="D265">
        <v>1</v>
      </c>
      <c r="E265">
        <v>0</v>
      </c>
      <c r="F265" s="71">
        <v>41983</v>
      </c>
      <c r="G265" t="s">
        <v>51</v>
      </c>
      <c r="H265" s="71">
        <v>41991</v>
      </c>
      <c r="I265" s="1" t="s">
        <v>190</v>
      </c>
    </row>
    <row r="266" spans="1:9" x14ac:dyDescent="0.2">
      <c r="A266" s="1" t="s">
        <v>385</v>
      </c>
      <c r="B266" s="31">
        <v>5.98</v>
      </c>
      <c r="C266">
        <v>0</v>
      </c>
      <c r="D266">
        <v>1</v>
      </c>
      <c r="E266">
        <v>0</v>
      </c>
      <c r="F266" s="71">
        <v>41983</v>
      </c>
      <c r="G266" t="s">
        <v>51</v>
      </c>
      <c r="H266" s="71">
        <v>41992</v>
      </c>
      <c r="I266" s="1" t="s">
        <v>50</v>
      </c>
    </row>
    <row r="267" spans="1:9" x14ac:dyDescent="0.2">
      <c r="A267" s="1" t="s">
        <v>385</v>
      </c>
      <c r="B267" s="31">
        <v>3</v>
      </c>
      <c r="C267">
        <v>0</v>
      </c>
      <c r="D267">
        <v>1</v>
      </c>
      <c r="E267">
        <v>0</v>
      </c>
      <c r="F267" s="71">
        <v>41983</v>
      </c>
      <c r="G267" t="s">
        <v>51</v>
      </c>
      <c r="H267" s="71">
        <v>41992</v>
      </c>
      <c r="I267" s="1" t="s">
        <v>50</v>
      </c>
    </row>
    <row r="268" spans="1:9" x14ac:dyDescent="0.2">
      <c r="A268" s="1" t="s">
        <v>96</v>
      </c>
      <c r="B268" s="31">
        <v>22</v>
      </c>
      <c r="C268">
        <v>0</v>
      </c>
      <c r="D268">
        <v>1</v>
      </c>
      <c r="E268">
        <v>0</v>
      </c>
      <c r="F268" s="71">
        <v>41983</v>
      </c>
      <c r="G268" t="s">
        <v>51</v>
      </c>
      <c r="H268" s="71">
        <v>41992</v>
      </c>
      <c r="I268" s="1" t="s">
        <v>50</v>
      </c>
    </row>
    <row r="269" spans="1:9" x14ac:dyDescent="0.2">
      <c r="A269" s="1" t="s">
        <v>221</v>
      </c>
      <c r="B269" s="31">
        <v>8</v>
      </c>
      <c r="C269">
        <v>0</v>
      </c>
      <c r="D269">
        <v>1</v>
      </c>
      <c r="E269">
        <v>0</v>
      </c>
      <c r="F269" s="71">
        <v>41983</v>
      </c>
      <c r="G269" t="s">
        <v>51</v>
      </c>
      <c r="H269" s="71">
        <v>41992</v>
      </c>
      <c r="I269" s="1" t="s">
        <v>50</v>
      </c>
    </row>
    <row r="270" spans="1:9" x14ac:dyDescent="0.2">
      <c r="A270" s="1" t="s">
        <v>385</v>
      </c>
      <c r="B270" s="31">
        <v>9</v>
      </c>
      <c r="C270">
        <v>0</v>
      </c>
      <c r="D270">
        <v>1</v>
      </c>
      <c r="E270">
        <v>0</v>
      </c>
      <c r="F270" s="71">
        <v>41983</v>
      </c>
      <c r="G270" t="s">
        <v>49</v>
      </c>
      <c r="H270" s="71">
        <v>41993</v>
      </c>
      <c r="I270" s="1" t="s">
        <v>50</v>
      </c>
    </row>
    <row r="271" spans="1:9" x14ac:dyDescent="0.2">
      <c r="A271" s="1" t="s">
        <v>385</v>
      </c>
      <c r="B271" s="31">
        <v>6</v>
      </c>
      <c r="C271">
        <v>0</v>
      </c>
      <c r="D271">
        <v>1</v>
      </c>
      <c r="E271">
        <v>0</v>
      </c>
      <c r="F271" s="71">
        <v>41983</v>
      </c>
      <c r="G271" t="s">
        <v>49</v>
      </c>
      <c r="H271" s="71">
        <v>41993</v>
      </c>
      <c r="I271" s="1" t="s">
        <v>50</v>
      </c>
    </row>
    <row r="272" spans="1:9" x14ac:dyDescent="0.2">
      <c r="A272" s="1" t="s">
        <v>390</v>
      </c>
      <c r="B272" s="31">
        <v>75.900000000000006</v>
      </c>
      <c r="C272">
        <v>0</v>
      </c>
      <c r="D272">
        <v>1</v>
      </c>
      <c r="E272">
        <v>0</v>
      </c>
      <c r="F272" s="71">
        <v>41983</v>
      </c>
      <c r="G272" t="s">
        <v>49</v>
      </c>
      <c r="H272" s="71">
        <v>41993</v>
      </c>
      <c r="I272" s="1" t="s">
        <v>203</v>
      </c>
    </row>
    <row r="273" spans="1:9" x14ac:dyDescent="0.2">
      <c r="A273" s="1" t="s">
        <v>43</v>
      </c>
      <c r="B273" s="31">
        <v>30</v>
      </c>
      <c r="C273">
        <v>1</v>
      </c>
      <c r="D273">
        <v>0</v>
      </c>
      <c r="E273">
        <v>0</v>
      </c>
      <c r="F273" s="71">
        <v>41983</v>
      </c>
      <c r="G273" t="s">
        <v>49</v>
      </c>
      <c r="H273" s="71">
        <v>41993</v>
      </c>
      <c r="I273" t="s">
        <v>339</v>
      </c>
    </row>
    <row r="274" spans="1:9" x14ac:dyDescent="0.2">
      <c r="A274" s="1" t="s">
        <v>391</v>
      </c>
      <c r="B274" s="31">
        <v>30</v>
      </c>
      <c r="C274">
        <v>0</v>
      </c>
      <c r="D274">
        <v>1</v>
      </c>
      <c r="E274">
        <v>0</v>
      </c>
      <c r="F274" s="71">
        <v>41983</v>
      </c>
      <c r="G274" t="s">
        <v>49</v>
      </c>
      <c r="H274" s="71">
        <v>41993</v>
      </c>
      <c r="I274" s="1" t="s">
        <v>371</v>
      </c>
    </row>
    <row r="275" spans="1:9" x14ac:dyDescent="0.2">
      <c r="A275" s="1" t="s">
        <v>398</v>
      </c>
      <c r="B275" s="31">
        <v>10</v>
      </c>
      <c r="C275">
        <v>0</v>
      </c>
      <c r="D275">
        <v>1</v>
      </c>
      <c r="E275">
        <v>0</v>
      </c>
      <c r="F275" s="71">
        <v>41983</v>
      </c>
      <c r="G275" t="s">
        <v>49</v>
      </c>
      <c r="H275" s="71">
        <v>41993</v>
      </c>
      <c r="I275" s="1" t="s">
        <v>398</v>
      </c>
    </row>
    <row r="276" spans="1:9" x14ac:dyDescent="0.2">
      <c r="A276" s="1" t="s">
        <v>381</v>
      </c>
      <c r="B276" s="31">
        <v>4.0999999999999996</v>
      </c>
      <c r="C276">
        <v>0</v>
      </c>
      <c r="D276">
        <v>1</v>
      </c>
      <c r="E276">
        <v>0</v>
      </c>
      <c r="F276" s="71">
        <v>41983</v>
      </c>
      <c r="G276" t="s">
        <v>49</v>
      </c>
      <c r="H276" s="71">
        <v>41993</v>
      </c>
      <c r="I276" s="1" t="s">
        <v>190</v>
      </c>
    </row>
    <row r="277" spans="1:9" x14ac:dyDescent="0.2">
      <c r="A277" s="1" t="s">
        <v>387</v>
      </c>
      <c r="B277" s="31">
        <v>52</v>
      </c>
      <c r="C277">
        <v>0</v>
      </c>
      <c r="D277">
        <v>1</v>
      </c>
      <c r="E277">
        <v>0</v>
      </c>
      <c r="F277" s="71">
        <v>41983</v>
      </c>
      <c r="G277" t="s">
        <v>49</v>
      </c>
      <c r="H277" s="71">
        <v>41994</v>
      </c>
      <c r="I277" s="1" t="s">
        <v>50</v>
      </c>
    </row>
    <row r="278" spans="1:9" x14ac:dyDescent="0.2">
      <c r="A278" s="1" t="s">
        <v>460</v>
      </c>
      <c r="B278" s="86">
        <v>115.06</v>
      </c>
      <c r="C278">
        <v>0</v>
      </c>
      <c r="D278">
        <v>1</v>
      </c>
      <c r="E278">
        <v>0</v>
      </c>
      <c r="F278" s="71">
        <v>41983</v>
      </c>
      <c r="G278" s="1" t="s">
        <v>54</v>
      </c>
      <c r="H278" s="71">
        <v>41995</v>
      </c>
      <c r="I278" s="1" t="s">
        <v>203</v>
      </c>
    </row>
    <row r="279" spans="1:9" x14ac:dyDescent="0.2">
      <c r="A279" s="1" t="s">
        <v>399</v>
      </c>
      <c r="B279" s="86">
        <v>500</v>
      </c>
      <c r="C279">
        <v>1</v>
      </c>
      <c r="D279">
        <v>0</v>
      </c>
      <c r="E279">
        <v>0</v>
      </c>
      <c r="F279" s="71">
        <v>41983</v>
      </c>
      <c r="G279" s="1" t="s">
        <v>54</v>
      </c>
      <c r="H279" s="71">
        <v>41996</v>
      </c>
      <c r="I279" s="1" t="s">
        <v>344</v>
      </c>
    </row>
    <row r="280" spans="1:9" x14ac:dyDescent="0.2">
      <c r="A280" s="1" t="s">
        <v>381</v>
      </c>
      <c r="B280" s="87">
        <v>12.96</v>
      </c>
      <c r="C280">
        <v>0</v>
      </c>
      <c r="D280">
        <v>1</v>
      </c>
      <c r="E280">
        <v>0</v>
      </c>
      <c r="F280" s="71">
        <v>41983</v>
      </c>
      <c r="G280" s="1" t="s">
        <v>54</v>
      </c>
      <c r="H280" s="71">
        <v>41996</v>
      </c>
      <c r="I280" s="1" t="s">
        <v>190</v>
      </c>
    </row>
    <row r="281" spans="1:9" x14ac:dyDescent="0.2">
      <c r="A281" s="1" t="s">
        <v>43</v>
      </c>
      <c r="B281" s="86">
        <v>30</v>
      </c>
      <c r="C281">
        <v>1</v>
      </c>
      <c r="D281">
        <v>0</v>
      </c>
      <c r="E281">
        <v>0</v>
      </c>
      <c r="F281" s="71">
        <v>41983</v>
      </c>
      <c r="G281" s="1" t="s">
        <v>54</v>
      </c>
      <c r="H281" s="71">
        <v>41996</v>
      </c>
      <c r="I281" s="1" t="s">
        <v>339</v>
      </c>
    </row>
    <row r="282" spans="1:9" x14ac:dyDescent="0.2">
      <c r="A282" s="1" t="s">
        <v>96</v>
      </c>
      <c r="B282" s="86">
        <v>27.92</v>
      </c>
      <c r="C282">
        <v>0</v>
      </c>
      <c r="D282">
        <v>1</v>
      </c>
      <c r="E282">
        <v>0</v>
      </c>
      <c r="F282" s="71">
        <v>41983</v>
      </c>
      <c r="G282" s="1" t="s">
        <v>54</v>
      </c>
      <c r="H282" s="71">
        <v>41996</v>
      </c>
      <c r="I282" s="1" t="s">
        <v>50</v>
      </c>
    </row>
    <row r="283" spans="1:9" x14ac:dyDescent="0.2">
      <c r="A283" s="1" t="s">
        <v>221</v>
      </c>
      <c r="B283" s="86">
        <v>10</v>
      </c>
      <c r="C283">
        <v>0</v>
      </c>
      <c r="D283">
        <v>1</v>
      </c>
      <c r="E283">
        <v>0</v>
      </c>
      <c r="F283" s="71">
        <v>41983</v>
      </c>
      <c r="G283" s="1" t="s">
        <v>54</v>
      </c>
      <c r="H283" s="71">
        <v>41996</v>
      </c>
      <c r="I283" s="1" t="s">
        <v>50</v>
      </c>
    </row>
    <row r="284" spans="1:9" x14ac:dyDescent="0.2">
      <c r="A284" s="1" t="s">
        <v>400</v>
      </c>
      <c r="B284" s="86">
        <v>20</v>
      </c>
      <c r="C284">
        <v>0</v>
      </c>
      <c r="D284">
        <v>1</v>
      </c>
      <c r="E284">
        <v>0</v>
      </c>
      <c r="F284" s="71">
        <v>41983</v>
      </c>
      <c r="G284" s="1" t="s">
        <v>54</v>
      </c>
      <c r="H284" s="71">
        <v>41997</v>
      </c>
      <c r="I284" s="1" t="s">
        <v>344</v>
      </c>
    </row>
    <row r="285" spans="1:9" x14ac:dyDescent="0.2">
      <c r="A285" s="1" t="s">
        <v>340</v>
      </c>
      <c r="B285" s="86">
        <v>30</v>
      </c>
      <c r="C285">
        <v>0</v>
      </c>
      <c r="D285">
        <v>1</v>
      </c>
      <c r="E285">
        <v>0</v>
      </c>
      <c r="F285" s="71">
        <v>41983</v>
      </c>
      <c r="G285" s="1" t="s">
        <v>54</v>
      </c>
      <c r="H285" s="71">
        <v>41997</v>
      </c>
      <c r="I285" s="1" t="s">
        <v>204</v>
      </c>
    </row>
    <row r="286" spans="1:9" x14ac:dyDescent="0.2">
      <c r="A286" s="1" t="s">
        <v>401</v>
      </c>
      <c r="B286" s="86">
        <v>65</v>
      </c>
      <c r="C286">
        <v>0</v>
      </c>
      <c r="D286">
        <v>1</v>
      </c>
      <c r="E286">
        <v>0</v>
      </c>
      <c r="F286" s="71">
        <v>41983</v>
      </c>
      <c r="G286" s="1" t="s">
        <v>54</v>
      </c>
      <c r="H286" s="71">
        <v>41997</v>
      </c>
      <c r="I286" s="1" t="s">
        <v>344</v>
      </c>
    </row>
    <row r="287" spans="1:9" x14ac:dyDescent="0.2">
      <c r="A287" s="1" t="s">
        <v>43</v>
      </c>
      <c r="B287" s="86">
        <v>30</v>
      </c>
      <c r="C287">
        <v>1</v>
      </c>
      <c r="D287">
        <v>0</v>
      </c>
      <c r="E287">
        <v>0</v>
      </c>
      <c r="F287" s="71">
        <v>41983</v>
      </c>
      <c r="G287" s="1" t="s">
        <v>54</v>
      </c>
      <c r="H287" s="71">
        <v>41998</v>
      </c>
      <c r="I287" s="1" t="s">
        <v>339</v>
      </c>
    </row>
    <row r="288" spans="1:9" x14ac:dyDescent="0.2">
      <c r="A288" s="1" t="s">
        <v>43</v>
      </c>
      <c r="B288" s="86">
        <v>30</v>
      </c>
      <c r="C288">
        <v>1</v>
      </c>
      <c r="D288">
        <v>0</v>
      </c>
      <c r="E288">
        <v>0</v>
      </c>
      <c r="F288" s="71">
        <v>41983</v>
      </c>
      <c r="G288" s="1" t="s">
        <v>54</v>
      </c>
      <c r="H288" s="71">
        <v>41998</v>
      </c>
      <c r="I288" s="1" t="s">
        <v>339</v>
      </c>
    </row>
    <row r="289" spans="1:9" x14ac:dyDescent="0.2">
      <c r="A289" s="1" t="s">
        <v>385</v>
      </c>
      <c r="B289" s="86">
        <v>10.85</v>
      </c>
      <c r="C289">
        <v>0</v>
      </c>
      <c r="D289">
        <v>1</v>
      </c>
      <c r="E289">
        <v>0</v>
      </c>
      <c r="F289" s="71">
        <v>41983</v>
      </c>
      <c r="G289" s="1" t="s">
        <v>54</v>
      </c>
      <c r="H289" s="71">
        <v>41999</v>
      </c>
      <c r="I289" s="1" t="s">
        <v>190</v>
      </c>
    </row>
    <row r="290" spans="1:9" x14ac:dyDescent="0.2">
      <c r="A290" s="1" t="s">
        <v>374</v>
      </c>
      <c r="B290" s="86">
        <v>2.2000000000000002</v>
      </c>
      <c r="C290">
        <v>0</v>
      </c>
      <c r="D290">
        <v>1</v>
      </c>
      <c r="E290">
        <v>0</v>
      </c>
      <c r="F290" s="71">
        <v>41983</v>
      </c>
      <c r="G290" s="1" t="s">
        <v>54</v>
      </c>
      <c r="H290" s="71">
        <v>41999</v>
      </c>
      <c r="I290" s="1" t="s">
        <v>50</v>
      </c>
    </row>
    <row r="291" spans="1:9" x14ac:dyDescent="0.2">
      <c r="A291" s="1" t="s">
        <v>402</v>
      </c>
      <c r="B291" s="86">
        <v>13</v>
      </c>
      <c r="C291">
        <v>0</v>
      </c>
      <c r="D291">
        <v>1</v>
      </c>
      <c r="E291">
        <v>0</v>
      </c>
      <c r="F291" s="71">
        <v>41983</v>
      </c>
      <c r="G291" s="1" t="s">
        <v>54</v>
      </c>
      <c r="H291" s="71">
        <v>41999</v>
      </c>
      <c r="I291" s="1" t="s">
        <v>153</v>
      </c>
    </row>
    <row r="292" spans="1:9" x14ac:dyDescent="0.2">
      <c r="A292" s="1" t="s">
        <v>402</v>
      </c>
      <c r="B292" s="86">
        <v>30</v>
      </c>
      <c r="C292">
        <v>0</v>
      </c>
      <c r="D292">
        <v>1</v>
      </c>
      <c r="E292">
        <v>0</v>
      </c>
      <c r="F292" s="71">
        <v>41983</v>
      </c>
      <c r="G292" s="1" t="s">
        <v>54</v>
      </c>
      <c r="H292" s="71">
        <v>41999</v>
      </c>
      <c r="I292" s="1" t="s">
        <v>153</v>
      </c>
    </row>
    <row r="293" spans="1:9" x14ac:dyDescent="0.2">
      <c r="A293" s="1" t="s">
        <v>385</v>
      </c>
      <c r="B293" s="86">
        <v>9</v>
      </c>
      <c r="C293">
        <v>0</v>
      </c>
      <c r="D293">
        <v>1</v>
      </c>
      <c r="E293">
        <v>0</v>
      </c>
      <c r="F293" s="71">
        <v>41983</v>
      </c>
      <c r="G293" s="1" t="s">
        <v>49</v>
      </c>
      <c r="H293" s="71">
        <v>42000</v>
      </c>
      <c r="I293" s="1" t="s">
        <v>50</v>
      </c>
    </row>
    <row r="294" spans="1:9" x14ac:dyDescent="0.2">
      <c r="A294" s="1" t="s">
        <v>221</v>
      </c>
      <c r="B294" s="86">
        <v>8</v>
      </c>
      <c r="C294">
        <v>0</v>
      </c>
      <c r="D294">
        <v>1</v>
      </c>
      <c r="E294">
        <v>0</v>
      </c>
      <c r="F294" s="71">
        <v>41983</v>
      </c>
      <c r="G294" s="1" t="s">
        <v>49</v>
      </c>
      <c r="H294" s="71">
        <v>42000</v>
      </c>
      <c r="I294" s="1" t="s">
        <v>50</v>
      </c>
    </row>
    <row r="295" spans="1:9" x14ac:dyDescent="0.2">
      <c r="A295" s="1" t="s">
        <v>403</v>
      </c>
      <c r="B295" s="86">
        <v>86.79</v>
      </c>
      <c r="C295">
        <v>0</v>
      </c>
      <c r="D295">
        <v>1</v>
      </c>
      <c r="E295">
        <v>0</v>
      </c>
      <c r="F295" s="71">
        <v>41983</v>
      </c>
      <c r="G295" s="1" t="s">
        <v>49</v>
      </c>
      <c r="H295" s="71">
        <v>42001</v>
      </c>
      <c r="I295" s="1" t="s">
        <v>203</v>
      </c>
    </row>
    <row r="296" spans="1:9" x14ac:dyDescent="0.2">
      <c r="A296" s="1" t="s">
        <v>96</v>
      </c>
      <c r="B296" s="86">
        <v>40.700000000000003</v>
      </c>
      <c r="C296">
        <v>0</v>
      </c>
      <c r="D296">
        <v>1</v>
      </c>
      <c r="E296">
        <v>0</v>
      </c>
      <c r="F296" s="71">
        <v>41983</v>
      </c>
      <c r="G296" s="1" t="s">
        <v>55</v>
      </c>
      <c r="H296" s="71">
        <v>42002</v>
      </c>
      <c r="I296" s="1" t="s">
        <v>50</v>
      </c>
    </row>
    <row r="297" spans="1:9" x14ac:dyDescent="0.2">
      <c r="A297" s="1" t="s">
        <v>48</v>
      </c>
      <c r="B297" s="86">
        <v>60</v>
      </c>
      <c r="C297">
        <v>0</v>
      </c>
      <c r="D297">
        <v>1</v>
      </c>
      <c r="E297">
        <v>0</v>
      </c>
      <c r="F297" s="71">
        <v>41983</v>
      </c>
      <c r="G297" s="1" t="s">
        <v>55</v>
      </c>
      <c r="H297" s="71">
        <v>42002</v>
      </c>
      <c r="I297" s="1" t="s">
        <v>48</v>
      </c>
    </row>
    <row r="298" spans="1:9" x14ac:dyDescent="0.2">
      <c r="A298" s="1" t="s">
        <v>410</v>
      </c>
      <c r="B298" s="86">
        <v>250</v>
      </c>
      <c r="C298">
        <v>0</v>
      </c>
      <c r="D298">
        <v>1</v>
      </c>
      <c r="E298">
        <v>0</v>
      </c>
      <c r="F298" s="71">
        <v>41983</v>
      </c>
      <c r="G298" s="1" t="s">
        <v>55</v>
      </c>
      <c r="H298" s="71">
        <v>42002</v>
      </c>
      <c r="I298" s="1" t="s">
        <v>153</v>
      </c>
    </row>
    <row r="299" spans="1:9" x14ac:dyDescent="0.2">
      <c r="A299" s="1" t="s">
        <v>44</v>
      </c>
      <c r="B299" s="86">
        <v>6</v>
      </c>
      <c r="C299">
        <v>1</v>
      </c>
      <c r="D299">
        <v>0</v>
      </c>
      <c r="E299">
        <v>0</v>
      </c>
      <c r="F299" s="71">
        <v>41983</v>
      </c>
      <c r="G299" s="1" t="s">
        <v>55</v>
      </c>
      <c r="H299" s="71">
        <v>42002</v>
      </c>
      <c r="I299" s="1" t="s">
        <v>60</v>
      </c>
    </row>
    <row r="300" spans="1:9" x14ac:dyDescent="0.2">
      <c r="A300" s="1" t="s">
        <v>411</v>
      </c>
      <c r="B300" s="86">
        <v>17.7</v>
      </c>
      <c r="C300">
        <v>0</v>
      </c>
      <c r="D300">
        <v>1</v>
      </c>
      <c r="E300">
        <v>0</v>
      </c>
      <c r="F300" s="71">
        <v>41983</v>
      </c>
      <c r="G300" s="1" t="s">
        <v>55</v>
      </c>
      <c r="H300" s="71">
        <v>42002</v>
      </c>
      <c r="I300" s="1" t="s">
        <v>190</v>
      </c>
    </row>
    <row r="301" spans="1:9" x14ac:dyDescent="0.2">
      <c r="A301" s="1" t="s">
        <v>96</v>
      </c>
      <c r="B301" s="86">
        <v>24.9</v>
      </c>
      <c r="C301">
        <v>0</v>
      </c>
      <c r="D301">
        <v>1</v>
      </c>
      <c r="E301">
        <v>0</v>
      </c>
      <c r="F301" s="71">
        <v>41983</v>
      </c>
      <c r="G301" s="1" t="s">
        <v>55</v>
      </c>
      <c r="H301" s="71">
        <v>42003</v>
      </c>
      <c r="I301" s="1" t="s">
        <v>50</v>
      </c>
    </row>
    <row r="302" spans="1:9" x14ac:dyDescent="0.2">
      <c r="A302" s="1" t="s">
        <v>44</v>
      </c>
      <c r="B302" s="86">
        <v>50</v>
      </c>
      <c r="C302">
        <v>1</v>
      </c>
      <c r="D302">
        <v>0</v>
      </c>
      <c r="E302">
        <v>0</v>
      </c>
      <c r="F302" s="71">
        <v>41983</v>
      </c>
      <c r="G302" s="1" t="s">
        <v>55</v>
      </c>
      <c r="H302" s="71">
        <v>42003</v>
      </c>
      <c r="I302" s="1" t="s">
        <v>60</v>
      </c>
    </row>
    <row r="303" spans="1:9" x14ac:dyDescent="0.2">
      <c r="A303" s="1" t="s">
        <v>52</v>
      </c>
      <c r="B303" s="86">
        <v>100</v>
      </c>
      <c r="C303">
        <v>0</v>
      </c>
      <c r="D303">
        <v>1</v>
      </c>
      <c r="E303">
        <v>0</v>
      </c>
      <c r="F303" s="71">
        <v>41983</v>
      </c>
      <c r="G303" s="1" t="s">
        <v>180</v>
      </c>
      <c r="H303" s="71">
        <v>42004</v>
      </c>
      <c r="I303" s="1" t="s">
        <v>52</v>
      </c>
    </row>
    <row r="304" spans="1:9" x14ac:dyDescent="0.2">
      <c r="A304" s="1" t="s">
        <v>455</v>
      </c>
      <c r="B304" s="86">
        <v>22</v>
      </c>
      <c r="C304">
        <v>0</v>
      </c>
      <c r="D304">
        <v>1</v>
      </c>
      <c r="E304">
        <v>0</v>
      </c>
      <c r="F304" s="71">
        <v>41983</v>
      </c>
      <c r="G304" s="1" t="s">
        <v>180</v>
      </c>
      <c r="H304" s="71">
        <v>42004</v>
      </c>
      <c r="I304" s="1" t="s">
        <v>203</v>
      </c>
    </row>
    <row r="305" spans="1:9" x14ac:dyDescent="0.2">
      <c r="A305" s="1" t="s">
        <v>454</v>
      </c>
      <c r="B305" s="86">
        <v>27</v>
      </c>
      <c r="C305">
        <v>0</v>
      </c>
      <c r="D305">
        <v>1</v>
      </c>
      <c r="E305">
        <v>0</v>
      </c>
      <c r="F305" s="71">
        <v>41983</v>
      </c>
      <c r="G305" s="1" t="s">
        <v>55</v>
      </c>
      <c r="H305" s="71">
        <v>42006</v>
      </c>
      <c r="I305" s="1" t="s">
        <v>203</v>
      </c>
    </row>
    <row r="306" spans="1:9" x14ac:dyDescent="0.2">
      <c r="A306" s="1" t="s">
        <v>456</v>
      </c>
      <c r="B306" s="86">
        <v>6</v>
      </c>
      <c r="C306">
        <v>0</v>
      </c>
      <c r="D306">
        <v>1</v>
      </c>
      <c r="E306">
        <v>0</v>
      </c>
      <c r="F306" s="71">
        <v>41983</v>
      </c>
      <c r="G306" s="1" t="s">
        <v>55</v>
      </c>
      <c r="H306" s="71">
        <v>42006</v>
      </c>
      <c r="I306" s="1" t="s">
        <v>203</v>
      </c>
    </row>
    <row r="307" spans="1:9" x14ac:dyDescent="0.2">
      <c r="A307" s="1" t="s">
        <v>457</v>
      </c>
      <c r="B307" s="86">
        <v>6</v>
      </c>
      <c r="C307">
        <v>0</v>
      </c>
      <c r="D307">
        <v>1</v>
      </c>
      <c r="E307">
        <v>0</v>
      </c>
      <c r="F307" s="71">
        <v>41983</v>
      </c>
      <c r="G307" s="1" t="s">
        <v>55</v>
      </c>
      <c r="H307" s="71">
        <v>42006</v>
      </c>
      <c r="I307" s="1" t="s">
        <v>203</v>
      </c>
    </row>
    <row r="308" spans="1:9" x14ac:dyDescent="0.2">
      <c r="A308" s="1" t="s">
        <v>458</v>
      </c>
      <c r="B308" s="86">
        <v>4.8</v>
      </c>
      <c r="C308">
        <v>0</v>
      </c>
      <c r="D308">
        <v>1</v>
      </c>
      <c r="E308">
        <v>0</v>
      </c>
      <c r="F308" s="71">
        <v>41983</v>
      </c>
      <c r="G308" s="1" t="s">
        <v>55</v>
      </c>
      <c r="H308" s="71">
        <v>42006</v>
      </c>
      <c r="I308" s="1" t="s">
        <v>203</v>
      </c>
    </row>
    <row r="309" spans="1:9" x14ac:dyDescent="0.2">
      <c r="A309" s="1" t="s">
        <v>381</v>
      </c>
      <c r="B309" s="86">
        <v>26.9</v>
      </c>
      <c r="C309">
        <v>0</v>
      </c>
      <c r="D309">
        <v>1</v>
      </c>
      <c r="E309">
        <v>0</v>
      </c>
      <c r="F309" s="71">
        <v>41983</v>
      </c>
      <c r="G309" s="1" t="s">
        <v>49</v>
      </c>
      <c r="H309" s="71">
        <v>42007</v>
      </c>
      <c r="I309" s="1" t="s">
        <v>190</v>
      </c>
    </row>
    <row r="310" spans="1:9" x14ac:dyDescent="0.2">
      <c r="A310" t="s">
        <v>39</v>
      </c>
      <c r="B310">
        <v>41</v>
      </c>
      <c r="C310">
        <v>1</v>
      </c>
      <c r="D310">
        <v>0</v>
      </c>
      <c r="E310">
        <v>0</v>
      </c>
      <c r="F310" s="71">
        <v>41983</v>
      </c>
      <c r="G310" s="1" t="s">
        <v>49</v>
      </c>
      <c r="H310" s="71">
        <v>42008</v>
      </c>
      <c r="I310" t="s">
        <v>345</v>
      </c>
    </row>
    <row r="311" spans="1:9" x14ac:dyDescent="0.2">
      <c r="A311" s="1" t="s">
        <v>43</v>
      </c>
      <c r="B311" s="86">
        <v>30</v>
      </c>
      <c r="C311">
        <v>1</v>
      </c>
      <c r="D311">
        <v>0</v>
      </c>
      <c r="E311">
        <v>0</v>
      </c>
      <c r="F311" s="71">
        <v>41983</v>
      </c>
      <c r="G311" s="1" t="s">
        <v>49</v>
      </c>
      <c r="H311" s="71">
        <v>42008</v>
      </c>
      <c r="I311" s="1" t="s">
        <v>339</v>
      </c>
    </row>
    <row r="312" spans="1:9" x14ac:dyDescent="0.2">
      <c r="A312" s="1" t="s">
        <v>96</v>
      </c>
      <c r="B312" s="86">
        <v>31.36</v>
      </c>
      <c r="C312">
        <v>0</v>
      </c>
      <c r="D312">
        <v>1</v>
      </c>
      <c r="E312">
        <v>0</v>
      </c>
      <c r="F312" s="71">
        <v>41983</v>
      </c>
      <c r="G312" t="s">
        <v>180</v>
      </c>
      <c r="H312" s="71">
        <v>42009</v>
      </c>
      <c r="I312" s="1" t="s">
        <v>50</v>
      </c>
    </row>
    <row r="313" spans="1:9" x14ac:dyDescent="0.2">
      <c r="A313" s="1" t="s">
        <v>96</v>
      </c>
      <c r="B313" s="86">
        <v>26</v>
      </c>
      <c r="C313">
        <v>0</v>
      </c>
      <c r="D313">
        <v>1</v>
      </c>
      <c r="E313">
        <v>0</v>
      </c>
      <c r="F313" s="71">
        <v>41983</v>
      </c>
      <c r="G313" t="s">
        <v>180</v>
      </c>
      <c r="H313" s="71">
        <v>42010</v>
      </c>
      <c r="I313" s="1" t="s">
        <v>50</v>
      </c>
    </row>
    <row r="314" spans="1:9" x14ac:dyDescent="0.2">
      <c r="A314" s="1" t="s">
        <v>44</v>
      </c>
      <c r="B314" s="86">
        <v>50</v>
      </c>
      <c r="C314">
        <v>1</v>
      </c>
      <c r="D314">
        <v>0</v>
      </c>
      <c r="E314">
        <v>0</v>
      </c>
      <c r="F314" s="71">
        <v>41983</v>
      </c>
      <c r="G314" t="s">
        <v>180</v>
      </c>
      <c r="H314" s="71">
        <v>42011</v>
      </c>
      <c r="I314" s="1" t="s">
        <v>60</v>
      </c>
    </row>
    <row r="315" spans="1:9" x14ac:dyDescent="0.2">
      <c r="A315" s="1" t="s">
        <v>15</v>
      </c>
      <c r="B315" s="86">
        <v>18</v>
      </c>
      <c r="C315">
        <v>0</v>
      </c>
      <c r="D315">
        <v>1</v>
      </c>
      <c r="E315">
        <v>0</v>
      </c>
      <c r="F315" s="71">
        <v>41983</v>
      </c>
      <c r="G315" t="s">
        <v>180</v>
      </c>
      <c r="H315" s="71">
        <v>42012</v>
      </c>
      <c r="I315" s="1" t="s">
        <v>46</v>
      </c>
    </row>
    <row r="316" spans="1:9" x14ac:dyDescent="0.2">
      <c r="A316" s="100" t="s">
        <v>1037</v>
      </c>
      <c r="B316" s="101">
        <v>46.15</v>
      </c>
      <c r="C316" s="100">
        <v>1</v>
      </c>
      <c r="D316" s="100">
        <v>0</v>
      </c>
      <c r="E316" s="100">
        <v>0</v>
      </c>
      <c r="F316" s="85">
        <v>41983</v>
      </c>
      <c r="G316" s="100" t="s">
        <v>47</v>
      </c>
      <c r="H316" s="85">
        <v>41983</v>
      </c>
      <c r="I316" s="100" t="s">
        <v>1045</v>
      </c>
    </row>
    <row r="317" spans="1:9" x14ac:dyDescent="0.2">
      <c r="A317" s="100" t="s">
        <v>1038</v>
      </c>
      <c r="B317" s="101">
        <v>213</v>
      </c>
      <c r="C317" s="100">
        <v>1</v>
      </c>
      <c r="D317" s="100">
        <v>0</v>
      </c>
      <c r="E317" s="100">
        <v>0</v>
      </c>
      <c r="F317" s="85">
        <v>41983</v>
      </c>
      <c r="G317" s="100" t="s">
        <v>47</v>
      </c>
      <c r="H317" s="85">
        <v>41983</v>
      </c>
      <c r="I317" s="100" t="s">
        <v>1045</v>
      </c>
    </row>
    <row r="318" spans="1:9" x14ac:dyDescent="0.2">
      <c r="A318" s="100" t="s">
        <v>1039</v>
      </c>
      <c r="B318" s="101">
        <v>106.5</v>
      </c>
      <c r="C318" s="100">
        <v>1</v>
      </c>
      <c r="D318" s="100">
        <v>0</v>
      </c>
      <c r="E318" s="100">
        <v>0</v>
      </c>
      <c r="F318" s="85">
        <v>41983</v>
      </c>
      <c r="G318" s="100" t="s">
        <v>47</v>
      </c>
      <c r="H318" s="85">
        <v>41983</v>
      </c>
      <c r="I318" s="100" t="s">
        <v>1045</v>
      </c>
    </row>
    <row r="319" spans="1:9" x14ac:dyDescent="0.2">
      <c r="A319" s="100" t="s">
        <v>1040</v>
      </c>
      <c r="B319" s="101">
        <v>71</v>
      </c>
      <c r="C319" s="100">
        <v>1</v>
      </c>
      <c r="D319" s="100">
        <v>0</v>
      </c>
      <c r="E319" s="100">
        <v>0</v>
      </c>
      <c r="F319" s="85">
        <v>41983</v>
      </c>
      <c r="G319" s="100" t="s">
        <v>47</v>
      </c>
      <c r="H319" s="85">
        <v>41983</v>
      </c>
      <c r="I319" s="100" t="s">
        <v>1045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entrada</vt:lpstr>
      <vt:lpstr>debito</vt:lpstr>
      <vt:lpstr>credito</vt:lpstr>
      <vt:lpstr>Planilha2</vt:lpstr>
      <vt:lpstr>mercado</vt:lpstr>
      <vt:lpstr>planilha</vt:lpstr>
      <vt:lpstr>terceiro</vt:lpstr>
      <vt:lpstr>pendente</vt:lpstr>
      <vt:lpstr>gasto</vt:lpstr>
      <vt:lpstr>Plan1</vt:lpstr>
      <vt:lpstr>old</vt:lpstr>
      <vt:lpstr>divida empresa</vt:lpstr>
      <vt:lpstr>divida carro</vt:lpstr>
      <vt:lpstr>divida moto</vt:lpstr>
      <vt:lpstr>Plan2</vt:lpstr>
      <vt:lpstr>Plan3</vt:lpstr>
      <vt:lpstr>Plan5</vt:lpstr>
      <vt:lpstr>Plan4</vt:lpstr>
      <vt:lpstr>Plan6</vt:lpstr>
      <vt:lpstr>Planilha1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andre</cp:lastModifiedBy>
  <cp:lastPrinted>2011-06-01T19:00:57Z</cp:lastPrinted>
  <dcterms:created xsi:type="dcterms:W3CDTF">2011-04-26T13:46:03Z</dcterms:created>
  <dcterms:modified xsi:type="dcterms:W3CDTF">2017-07-14T23:30:33Z</dcterms:modified>
</cp:coreProperties>
</file>